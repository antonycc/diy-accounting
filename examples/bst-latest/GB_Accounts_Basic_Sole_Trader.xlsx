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30.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31.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2.xml" ContentType="application/vnd.openxmlformats-officedocument.spreadsheetml.worksheet+xml"/>
  <Override PartName="/xl/worksheets/sheet19.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Home" sheetId="1" state="visible" r:id="rId3"/>
    <sheet name="Business Details" sheetId="2" state="visible" r:id="rId4"/>
    <sheet name="SE Short" sheetId="3" state="visible" r:id="rId5"/>
    <sheet name="Profit &amp; Loss Acc" sheetId="4" state="visible" r:id="rId6"/>
    <sheet name="Income Tax" sheetId="5" state="visible" r:id="rId7"/>
    <sheet name="Fixed Assets" sheetId="6" state="visible" r:id="rId8"/>
    <sheet name="PurchasesStock" sheetId="7" state="visible" r:id="rId9"/>
    <sheet name="Debtors &amp; Creditors" sheetId="8" state="visible" r:id="rId10"/>
    <sheet name="SalesApr" sheetId="9" state="visible" r:id="rId11"/>
    <sheet name="PurchasesApr" sheetId="10" state="visible" r:id="rId12"/>
    <sheet name="SalesMay" sheetId="11" state="visible" r:id="rId13"/>
    <sheet name="PurchasesMay" sheetId="12" state="visible" r:id="rId14"/>
    <sheet name="SalesJun" sheetId="13" state="visible" r:id="rId15"/>
    <sheet name="PurchasesJun" sheetId="14" state="visible" r:id="rId16"/>
    <sheet name="SalesJul" sheetId="15" state="visible" r:id="rId17"/>
    <sheet name="PurchasesJul" sheetId="16" state="visible" r:id="rId18"/>
    <sheet name="SalesAug" sheetId="17" state="visible" r:id="rId19"/>
    <sheet name="PurchasesAug" sheetId="18" state="visible" r:id="rId20"/>
    <sheet name="SalesSep" sheetId="19" state="visible" r:id="rId21"/>
    <sheet name="PurchasesSep" sheetId="20" state="visible" r:id="rId22"/>
    <sheet name="SalesOct" sheetId="21" state="visible" r:id="rId23"/>
    <sheet name="PurchasesOct" sheetId="22" state="visible" r:id="rId24"/>
    <sheet name="SalesNov" sheetId="23" state="visible" r:id="rId25"/>
    <sheet name="PurchasesNov" sheetId="24" state="visible" r:id="rId26"/>
    <sheet name="SalesDec" sheetId="25" state="visible" r:id="rId27"/>
    <sheet name="PurchasesDec" sheetId="26" state="visible" r:id="rId28"/>
    <sheet name="SalesJan" sheetId="27" state="visible" r:id="rId29"/>
    <sheet name="PurchasesJan" sheetId="28" state="visible" r:id="rId30"/>
    <sheet name="SalesFeb" sheetId="29" state="visible" r:id="rId31"/>
    <sheet name="PurchasesFeb" sheetId="30" state="visible" r:id="rId32"/>
    <sheet name="SalesMar" sheetId="31" state="visible" r:id="rId33"/>
    <sheet name="PurchasesMar" sheetId="32" state="visible" r:id="rId34"/>
    <sheet name="Admin" sheetId="33" state="visible" r:id="rId35"/>
  </sheets>
  <definedNames>
    <definedName function="false" hidden="false" localSheetId="3" name="_xlnm.Print_Titles" vbProcedure="false">'Profit &amp; Loss Acc'!$1:$3</definedName>
    <definedName function="false" hidden="false" localSheetId="9" name="_xlnm.Print_Area" vbProcedure="false">PurchasesApr!$A$1:$X$68</definedName>
    <definedName function="false" hidden="false" localSheetId="9" name="_xlnm.Print_Titles" vbProcedure="false">PurchasesApr!$A:$A,PurchasesApr!$1:$2</definedName>
    <definedName function="false" hidden="false" localSheetId="17" name="_xlnm.Print_Area" vbProcedure="false">PurchasesAug!$A$1:$X$68</definedName>
    <definedName function="false" hidden="false" localSheetId="17" name="_xlnm.Print_Titles" vbProcedure="false">PurchasesAug!$A:$A,PurchasesAug!$1:$2</definedName>
    <definedName function="false" hidden="false" localSheetId="25" name="_xlnm.Print_Area" vbProcedure="false">PurchasesDec!$A$1:$X$68</definedName>
    <definedName function="false" hidden="false" localSheetId="25" name="_xlnm.Print_Titles" vbProcedure="false">PurchasesDec!$A:$A,PurchasesDec!$1:$2</definedName>
    <definedName function="false" hidden="false" localSheetId="29" name="_xlnm.Print_Area" vbProcedure="false">PurchasesFeb!$A$1:$X$68</definedName>
    <definedName function="false" hidden="false" localSheetId="29" name="_xlnm.Print_Titles" vbProcedure="false">PurchasesFeb!$A:$A,PurchasesFeb!$1:$2</definedName>
    <definedName function="false" hidden="false" localSheetId="27" name="_xlnm.Print_Area" vbProcedure="false">PurchasesJan!$A$1:$X$68</definedName>
    <definedName function="false" hidden="false" localSheetId="27" name="_xlnm.Print_Titles" vbProcedure="false">PurchasesJan!$A:$A,PurchasesJan!$1:$2</definedName>
    <definedName function="false" hidden="false" localSheetId="15" name="_xlnm.Print_Area" vbProcedure="false">PurchasesJul!$A$1:$X$68</definedName>
    <definedName function="false" hidden="false" localSheetId="15" name="_xlnm.Print_Titles" vbProcedure="false">PurchasesJul!$A:$A,PurchasesJul!$1:$2</definedName>
    <definedName function="false" hidden="false" localSheetId="13" name="_xlnm.Print_Area" vbProcedure="false">PurchasesJun!$A$1:$X$68</definedName>
    <definedName function="false" hidden="false" localSheetId="13" name="_xlnm.Print_Titles" vbProcedure="false">PurchasesJun!$A:$A,PurchasesJun!$1:$2</definedName>
    <definedName function="false" hidden="false" localSheetId="31" name="_xlnm.Print_Area" vbProcedure="false">PurchasesMar!$A$1:$X$68</definedName>
    <definedName function="false" hidden="false" localSheetId="31" name="_xlnm.Print_Titles" vbProcedure="false">PurchasesMar!$A:$A,PurchasesMar!$1:$2</definedName>
    <definedName function="false" hidden="false" localSheetId="11" name="_xlnm.Print_Area" vbProcedure="false">PurchasesMay!$A$1:$X$68</definedName>
    <definedName function="false" hidden="false" localSheetId="11" name="_xlnm.Print_Titles" vbProcedure="false">PurchasesMay!$A:$A,PurchasesMay!$1:$2</definedName>
    <definedName function="false" hidden="false" localSheetId="23" name="_xlnm.Print_Area" vbProcedure="false">PurchasesNov!$A$1:$X$68</definedName>
    <definedName function="false" hidden="false" localSheetId="23" name="_xlnm.Print_Titles" vbProcedure="false">PurchasesNov!$A:$A,PurchasesNov!$1:$2</definedName>
    <definedName function="false" hidden="false" localSheetId="21" name="_xlnm.Print_Area" vbProcedure="false">PurchasesOct!$A$1:$X$68</definedName>
    <definedName function="false" hidden="false" localSheetId="21" name="_xlnm.Print_Titles" vbProcedure="false">PurchasesOct!$A:$A,PurchasesOct!$1:$2</definedName>
    <definedName function="false" hidden="false" localSheetId="19" name="_xlnm.Print_Area" vbProcedure="false">PurchasesSep!$A$1:$X$68</definedName>
    <definedName function="false" hidden="false" localSheetId="19" name="_xlnm.Print_Titles" vbProcedure="false">PurchasesSep!$A:$A,PurchasesSep!$1:$2</definedName>
    <definedName function="false" hidden="false" localSheetId="8" name="_xlnm.Print_Area" vbProcedure="false">SalesApr!$A$1:$K$68</definedName>
    <definedName function="false" hidden="false" localSheetId="8" name="_xlnm.Print_Titles" vbProcedure="false">SalesApr!$1:$3</definedName>
    <definedName function="false" hidden="false" localSheetId="16" name="_xlnm.Print_Area" vbProcedure="false">SalesAug!$A$1:$K$68</definedName>
    <definedName function="false" hidden="false" localSheetId="16" name="_xlnm.Print_Titles" vbProcedure="false">SalesAug!$1:$3</definedName>
    <definedName function="false" hidden="false" localSheetId="24" name="_xlnm.Print_Area" vbProcedure="false">SalesDec!$A$1:$K$68</definedName>
    <definedName function="false" hidden="false" localSheetId="24" name="_xlnm.Print_Titles" vbProcedure="false">SalesDec!$1:$3</definedName>
    <definedName function="false" hidden="false" localSheetId="28" name="_xlnm.Print_Area" vbProcedure="false">SalesFeb!$A$1:$K$68</definedName>
    <definedName function="false" hidden="false" localSheetId="28" name="_xlnm.Print_Titles" vbProcedure="false">SalesFeb!$1:$3</definedName>
    <definedName function="false" hidden="false" localSheetId="26" name="_xlnm.Print_Area" vbProcedure="false">SalesJan!$A$1:$K$68</definedName>
    <definedName function="false" hidden="false" localSheetId="26" name="_xlnm.Print_Titles" vbProcedure="false">SalesJan!$1:$3</definedName>
    <definedName function="false" hidden="false" localSheetId="14" name="_xlnm.Print_Area" vbProcedure="false">SalesJul!$A$1:$K$68</definedName>
    <definedName function="false" hidden="false" localSheetId="14" name="_xlnm.Print_Titles" vbProcedure="false">SalesJul!$1:$3</definedName>
    <definedName function="false" hidden="false" localSheetId="12" name="_xlnm.Print_Area" vbProcedure="false">SalesJun!$A$1:$K$68</definedName>
    <definedName function="false" hidden="false" localSheetId="12" name="_xlnm.Print_Titles" vbProcedure="false">SalesJun!$1:$3</definedName>
    <definedName function="false" hidden="false" localSheetId="30" name="_xlnm.Print_Area" vbProcedure="false">SalesMar!$A$1:$K$68</definedName>
    <definedName function="false" hidden="false" localSheetId="30" name="_xlnm.Print_Titles" vbProcedure="false">SalesMar!$1:$3</definedName>
    <definedName function="false" hidden="false" localSheetId="10" name="_xlnm.Print_Area" vbProcedure="false">SalesMay!$A$1:$K$68</definedName>
    <definedName function="false" hidden="false" localSheetId="10" name="_xlnm.Print_Titles" vbProcedure="false">SalesMay!$1:$3</definedName>
    <definedName function="false" hidden="false" localSheetId="22" name="_xlnm.Print_Area" vbProcedure="false">SalesNov!$A$1:$K$68</definedName>
    <definedName function="false" hidden="false" localSheetId="22" name="_xlnm.Print_Titles" vbProcedure="false">SalesNov!$1:$3</definedName>
    <definedName function="false" hidden="false" localSheetId="20" name="_xlnm.Print_Area" vbProcedure="false">SalesOct!$A$1:$K$68</definedName>
    <definedName function="false" hidden="false" localSheetId="20" name="_xlnm.Print_Titles" vbProcedure="false">SalesOct!$1:$3</definedName>
    <definedName function="false" hidden="false" localSheetId="18" name="_xlnm.Print_Area" vbProcedure="false">SalesSep!$A$1:$K$68</definedName>
    <definedName function="false" hidden="false" localSheetId="18" name="_xlnm.Print_Titles" vbProcedure="false">SalesSep!$1:$3</definedName>
    <definedName function="false" hidden="false" name="Annual_ConsolidatedExpenses" vbProcedure="false">'Profit &amp; Loss Acc'!$X$28</definedName>
    <definedName function="false" hidden="false" name="Annual_ExpenseAdminCosts" vbProcedure="false">'Profit &amp; Loss Acc'!$X$14</definedName>
    <definedName function="false" hidden="false" name="Annual_ExpenseAdminCostsDisallowable" vbProcedure="false">'Profit &amp; Loss Acc'!$X$41</definedName>
    <definedName function="false" hidden="false" name="Annual_ExpenseAdvertisingCosts" vbProcedure="false">'Profit &amp; Loss Acc'!$X$17</definedName>
    <definedName function="false" hidden="false" name="Annual_ExpenseAdvertisingCostsDisallowable" vbProcedure="false">'Profit &amp; Loss Acc'!$X$42</definedName>
    <definedName function="false" hidden="false" name="Annual_ExpenseBadDebt" vbProcedure="false">'Profit &amp; Loss Acc'!$X$19</definedName>
    <definedName function="false" hidden="false" name="Annual_ExpenseBadDebtDisallowable" vbProcedure="false">'Profit &amp; Loss Acc'!$X$46</definedName>
    <definedName function="false" hidden="false" name="Annual_ExpenseBusinessEntertainmentCosts" vbProcedure="false">'Profit &amp; Loss Acc'!$X$24</definedName>
    <definedName function="false" hidden="false" name="Annual_ExpenseBusinessEntertainmentCostsDisallowable" vbProcedure="false">'Profit &amp; Loss Acc'!$X$43</definedName>
    <definedName function="false" hidden="false" name="Annual_ExpenseCisPaymentsToSubcontractors" vbProcedure="false">'Profit &amp; Loss Acc'!$X$23</definedName>
    <definedName function="false" hidden="false" name="Annual_ExpenseCisPaymentsToSubcontractorsDisallowable" vbProcedure="false">'Profit &amp; Loss Acc'!$X$36</definedName>
    <definedName function="false" hidden="false" name="Annual_ExpenseCostOfGoodsBought" vbProcedure="false">'Profit &amp; Loss Acc'!$X$6</definedName>
    <definedName function="false" hidden="false" name="Annual_ExpenseCostOfGoodsBoughtDisallowable" vbProcedure="false">'Profit &amp; Loss Acc'!$X$35</definedName>
    <definedName function="false" hidden="false" name="Annual_ExpenseDepreciation" vbProcedure="false">'Profit &amp; Loss Acc'!$X$25</definedName>
    <definedName function="false" hidden="false" name="Annual_ExpenseDepreciationDisallowable" vbProcedure="false">'Profit &amp; Loss Acc'!$X$48</definedName>
    <definedName function="false" hidden="false" name="Annual_ExpenseFinancialCharges" vbProcedure="false">'Profit &amp; Loss Acc'!$X$15</definedName>
    <definedName function="false" hidden="false" name="Annual_ExpenseFinancialChargesDisallowable" vbProcedure="false">'Profit &amp; Loss Acc'!$X$45</definedName>
    <definedName function="false" hidden="false" name="Annual_ExpenseInterest" vbProcedure="false">'Profit &amp; Loss Acc'!$X$20</definedName>
    <definedName function="false" hidden="false" name="Annual_ExpenseInterestDisallowable" vbProcedure="false">'Profit &amp; Loss Acc'!$X$44</definedName>
    <definedName function="false" hidden="false" name="Annual_ExpenseMaintenanceCosts" vbProcedure="false">'Profit &amp; Loss Acc'!$X$13</definedName>
    <definedName function="false" hidden="false" name="Annual_ExpenseMaintenanceCostsDisallowable" vbProcedure="false">'Profit &amp; Loss Acc'!$X$40</definedName>
    <definedName function="false" hidden="false" name="Annual_ExpenseOther" vbProcedure="false">'Profit &amp; Loss Acc'!$X$21</definedName>
    <definedName function="false" hidden="false" name="Annual_ExpenseOtherDisallowable" vbProcedure="false">'Profit &amp; Loss Acc'!$X$49</definedName>
    <definedName function="false" hidden="false" name="Annual_ExpensePremisesRunningCosts" vbProcedure="false">'Profit &amp; Loss Acc'!$X$12</definedName>
    <definedName function="false" hidden="false" name="Annual_ExpensePremisesRunningCostsDisallowable" vbProcedure="false">'Profit &amp; Loss Acc'!$X$39</definedName>
    <definedName function="false" hidden="false" name="Annual_ExpenseProfessionalFees" vbProcedure="false">'Profit &amp; Loss Acc'!$X$18</definedName>
    <definedName function="false" hidden="false" name="Annual_ExpenseProfessionalFeesDisallowable" vbProcedure="false">'Profit &amp; Loss Acc'!$X$47</definedName>
    <definedName function="false" hidden="false" name="Annual_ExpenseStaffCosts" vbProcedure="false">'Profit &amp; Loss Acc'!$X$11</definedName>
    <definedName function="false" hidden="false" name="Annual_ExpenseStaffCostsDisallowable" vbProcedure="false">'Profit &amp; Loss Acc'!$X$37</definedName>
    <definedName function="false" hidden="false" name="Annual_ExpenseTravelCosts" vbProcedure="false">'Profit &amp; Loss Acc'!$X$16</definedName>
    <definedName function="false" hidden="false" name="Annual_ExpenseTravelCostsDisallowable" vbProcedure="false">'Profit &amp; Loss Acc'!$X$38</definedName>
    <definedName function="false" hidden="false" name="Annual_IncomeOther" vbProcedure="false">'Profit &amp; Loss Acc'!$X$5</definedName>
    <definedName function="false" hidden="false" name="Annual_IncomeTurnover" vbProcedure="false">'Profit &amp; Loss Acc'!$X$4</definedName>
    <definedName function="false" hidden="false" name="Q1_ConsolidatedExpenses" vbProcedure="false">'Profit &amp; Loss Acc'!$T$28</definedName>
    <definedName function="false" hidden="false" name="Q1_ExpenseAdminCosts" vbProcedure="false">'Profit &amp; Loss Acc'!$T$14</definedName>
    <definedName function="false" hidden="false" name="Q1_ExpenseAdminCostsDisallowable" vbProcedure="false">'Profit &amp; Loss Acc'!$T$41</definedName>
    <definedName function="false" hidden="false" name="Q1_ExpenseAdvertisingCosts" vbProcedure="false">'Profit &amp; Loss Acc'!$T$17</definedName>
    <definedName function="false" hidden="false" name="Q1_ExpenseAdvertisingCostsDisallowable" vbProcedure="false">'Profit &amp; Loss Acc'!$T$42</definedName>
    <definedName function="false" hidden="false" name="Q1_ExpenseBadDebt" vbProcedure="false">'Profit &amp; Loss Acc'!$T$19</definedName>
    <definedName function="false" hidden="false" name="Q1_ExpenseBadDebtDisallowable" vbProcedure="false">'Profit &amp; Loss Acc'!$T$46</definedName>
    <definedName function="false" hidden="false" name="Q1_ExpenseBusinessEntertainmentCosts" vbProcedure="false">'Profit &amp; Loss Acc'!$T$24</definedName>
    <definedName function="false" hidden="false" name="Q1_ExpenseBusinessEntertainmentCostsDisallowable" vbProcedure="false">'Profit &amp; Loss Acc'!$T$43</definedName>
    <definedName function="false" hidden="false" name="Q1_ExpenseCisPaymentsToSubcontractors" vbProcedure="false">'Profit &amp; Loss Acc'!$T$23</definedName>
    <definedName function="false" hidden="false" name="Q1_ExpenseCisPaymentsToSubcontractorsDisallowable" vbProcedure="false">'Profit &amp; Loss Acc'!$T$36</definedName>
    <definedName function="false" hidden="false" name="Q1_ExpenseCostOfGoodsBought" vbProcedure="false">'Profit &amp; Loss Acc'!$T$6</definedName>
    <definedName function="false" hidden="false" name="Q1_ExpenseCostOfGoodsBoughtDisallowable" vbProcedure="false">'Profit &amp; Loss Acc'!$T$35</definedName>
    <definedName function="false" hidden="false" name="Q1_ExpenseDepreciation" vbProcedure="false">'Profit &amp; Loss Acc'!$T$25</definedName>
    <definedName function="false" hidden="false" name="Q1_ExpenseDepreciationDisallowable" vbProcedure="false">'Profit &amp; Loss Acc'!$T$48</definedName>
    <definedName function="false" hidden="false" name="Q1_ExpenseFinancialCharges" vbProcedure="false">'Profit &amp; Loss Acc'!$T$15</definedName>
    <definedName function="false" hidden="false" name="Q1_ExpenseFinancialChargesDisallowable" vbProcedure="false">'Profit &amp; Loss Acc'!$T$45</definedName>
    <definedName function="false" hidden="false" name="Q1_ExpenseInterest" vbProcedure="false">'Profit &amp; Loss Acc'!$T$20</definedName>
    <definedName function="false" hidden="false" name="Q1_ExpenseInterestDisallowable" vbProcedure="false">'Profit &amp; Loss Acc'!$T$44</definedName>
    <definedName function="false" hidden="false" name="Q1_ExpenseMaintenanceCosts" vbProcedure="false">'Profit &amp; Loss Acc'!$T$13</definedName>
    <definedName function="false" hidden="false" name="Q1_ExpenseMaintenanceCostsDisallowable" vbProcedure="false">'Profit &amp; Loss Acc'!$T$40</definedName>
    <definedName function="false" hidden="false" name="Q1_ExpenseOther" vbProcedure="false">'Profit &amp; Loss Acc'!$T$21</definedName>
    <definedName function="false" hidden="false" name="Q1_ExpenseOtherDisallowable" vbProcedure="false">'Profit &amp; Loss Acc'!$T$49</definedName>
    <definedName function="false" hidden="false" name="Q1_ExpensePremisesRunningCosts" vbProcedure="false">'Profit &amp; Loss Acc'!$T$12</definedName>
    <definedName function="false" hidden="false" name="Q1_ExpensePremisesRunningCostsDisallowable" vbProcedure="false">'Profit &amp; Loss Acc'!$T$39</definedName>
    <definedName function="false" hidden="false" name="Q1_ExpenseProfessionalFees" vbProcedure="false">'Profit &amp; Loss Acc'!$T$18</definedName>
    <definedName function="false" hidden="false" name="Q1_ExpenseProfessionalFeesDisallowable" vbProcedure="false">'Profit &amp; Loss Acc'!$T$47</definedName>
    <definedName function="false" hidden="false" name="Q1_ExpenseStaffCosts" vbProcedure="false">'Profit &amp; Loss Acc'!$T$11</definedName>
    <definedName function="false" hidden="false" name="Q1_ExpenseStaffCostsDisallowable" vbProcedure="false">'Profit &amp; Loss Acc'!$T$37</definedName>
    <definedName function="false" hidden="false" name="Q1_ExpenseTravelCosts" vbProcedure="false">'Profit &amp; Loss Acc'!$T$16</definedName>
    <definedName function="false" hidden="false" name="Q1_ExpenseTravelCostsDisallowable" vbProcedure="false">'Profit &amp; Loss Acc'!$T$38</definedName>
    <definedName function="false" hidden="false" name="Q1_IncomeOther" vbProcedure="false">'Profit &amp; Loss Acc'!$T$5</definedName>
    <definedName function="false" hidden="false" name="Q1_IncomeTurnover" vbProcedure="false">'Profit &amp; Loss Acc'!$T$4</definedName>
    <definedName function="false" hidden="false" name="Q2_ConsolidatedExpenses" vbProcedure="false">'Profit &amp; Loss Acc'!$U$28</definedName>
    <definedName function="false" hidden="false" name="Q2_ExpenseAdminCosts" vbProcedure="false">'Profit &amp; Loss Acc'!$U$14</definedName>
    <definedName function="false" hidden="false" name="Q2_ExpenseAdminCostsDisallowable" vbProcedure="false">'Profit &amp; Loss Acc'!$U$41</definedName>
    <definedName function="false" hidden="false" name="Q2_ExpenseAdvertisingCosts" vbProcedure="false">'Profit &amp; Loss Acc'!$U$17</definedName>
    <definedName function="false" hidden="false" name="Q2_ExpenseAdvertisingCostsDisallowable" vbProcedure="false">'Profit &amp; Loss Acc'!$U$42</definedName>
    <definedName function="false" hidden="false" name="Q2_ExpenseBadDebt" vbProcedure="false">'Profit &amp; Loss Acc'!$U$19</definedName>
    <definedName function="false" hidden="false" name="Q2_ExpenseBadDebtDisallowable" vbProcedure="false">'Profit &amp; Loss Acc'!$U$46</definedName>
    <definedName function="false" hidden="false" name="Q2_ExpenseBusinessEntertainmentCosts" vbProcedure="false">'Profit &amp; Loss Acc'!$U$24</definedName>
    <definedName function="false" hidden="false" name="Q2_ExpenseBusinessEntertainmentCostsDisallowable" vbProcedure="false">'Profit &amp; Loss Acc'!$U$43</definedName>
    <definedName function="false" hidden="false" name="Q2_ExpenseCisPaymentsToSubcontractors" vbProcedure="false">'Profit &amp; Loss Acc'!$U$23</definedName>
    <definedName function="false" hidden="false" name="Q2_ExpenseCisPaymentsToSubcontractorsDisallowable" vbProcedure="false">'Profit &amp; Loss Acc'!$U$36</definedName>
    <definedName function="false" hidden="false" name="Q2_ExpenseCostOfGoodsBought" vbProcedure="false">'Profit &amp; Loss Acc'!$U$6</definedName>
    <definedName function="false" hidden="false" name="Q2_ExpenseCostOfGoodsBoughtDisallowable" vbProcedure="false">'Profit &amp; Loss Acc'!$U$35</definedName>
    <definedName function="false" hidden="false" name="Q2_ExpenseDepreciation" vbProcedure="false">'Profit &amp; Loss Acc'!$U$25</definedName>
    <definedName function="false" hidden="false" name="Q2_ExpenseDepreciationDisallowable" vbProcedure="false">'Profit &amp; Loss Acc'!$U$48</definedName>
    <definedName function="false" hidden="false" name="Q2_ExpenseFinancialCharges" vbProcedure="false">'Profit &amp; Loss Acc'!$U$15</definedName>
    <definedName function="false" hidden="false" name="Q2_ExpenseFinancialChargesDisallowable" vbProcedure="false">'Profit &amp; Loss Acc'!$U$45</definedName>
    <definedName function="false" hidden="false" name="Q2_ExpenseInterest" vbProcedure="false">'Profit &amp; Loss Acc'!$U$20</definedName>
    <definedName function="false" hidden="false" name="Q2_ExpenseInterestDisallowable" vbProcedure="false">'Profit &amp; Loss Acc'!$U$44</definedName>
    <definedName function="false" hidden="false" name="Q2_ExpenseMaintenanceCosts" vbProcedure="false">'Profit &amp; Loss Acc'!$U$13</definedName>
    <definedName function="false" hidden="false" name="Q2_ExpenseMaintenanceCostsDisallowable" vbProcedure="false">'Profit &amp; Loss Acc'!$U$40</definedName>
    <definedName function="false" hidden="false" name="Q2_ExpenseOther" vbProcedure="false">'Profit &amp; Loss Acc'!$U$21</definedName>
    <definedName function="false" hidden="false" name="Q2_ExpenseOtherDisallowable" vbProcedure="false">'Profit &amp; Loss Acc'!$U$49</definedName>
    <definedName function="false" hidden="false" name="Q2_ExpensePremisesRunningCosts" vbProcedure="false">'Profit &amp; Loss Acc'!$U$12</definedName>
    <definedName function="false" hidden="false" name="Q2_ExpensePremisesRunningCostsDisallowable" vbProcedure="false">'Profit &amp; Loss Acc'!$U$39</definedName>
    <definedName function="false" hidden="false" name="Q2_ExpenseProfessionalFees" vbProcedure="false">'Profit &amp; Loss Acc'!$U$18</definedName>
    <definedName function="false" hidden="false" name="Q2_ExpenseProfessionalFeesDisallowable" vbProcedure="false">'Profit &amp; Loss Acc'!$U$47</definedName>
    <definedName function="false" hidden="false" name="Q2_ExpenseStaffCosts" vbProcedure="false">'Profit &amp; Loss Acc'!$U$11</definedName>
    <definedName function="false" hidden="false" name="Q2_ExpenseStaffCostsDisallowable" vbProcedure="false">'Profit &amp; Loss Acc'!$U$37</definedName>
    <definedName function="false" hidden="false" name="Q2_ExpenseTravelCosts" vbProcedure="false">'Profit &amp; Loss Acc'!$U$16</definedName>
    <definedName function="false" hidden="false" name="Q2_ExpenseTravelCostsDisallowable" vbProcedure="false">'Profit &amp; Loss Acc'!$U$38</definedName>
    <definedName function="false" hidden="false" name="Q2_IncomeOther" vbProcedure="false">'Profit &amp; Loss Acc'!$U$5</definedName>
    <definedName function="false" hidden="false" name="Q2_IncomeTurnover" vbProcedure="false">'Profit &amp; Loss Acc'!$U$4</definedName>
    <definedName function="false" hidden="false" name="Q3_ConsolidatedExpenses" vbProcedure="false">'Profit &amp; Loss Acc'!$V$28</definedName>
    <definedName function="false" hidden="false" name="Q3_ExpenseAdminCosts" vbProcedure="false">'Profit &amp; Loss Acc'!$V$14</definedName>
    <definedName function="false" hidden="false" name="Q3_ExpenseAdminCostsDisallowable" vbProcedure="false">'Profit &amp; Loss Acc'!$V$41</definedName>
    <definedName function="false" hidden="false" name="Q3_ExpenseAdvertisingCosts" vbProcedure="false">'Profit &amp; Loss Acc'!$V$17</definedName>
    <definedName function="false" hidden="false" name="Q3_ExpenseAdvertisingCostsDisallowable" vbProcedure="false">'Profit &amp; Loss Acc'!$V$42</definedName>
    <definedName function="false" hidden="false" name="Q3_ExpenseBadDebt" vbProcedure="false">'Profit &amp; Loss Acc'!$V$19</definedName>
    <definedName function="false" hidden="false" name="Q3_ExpenseBadDebtDisallowable" vbProcedure="false">'Profit &amp; Loss Acc'!$V$46</definedName>
    <definedName function="false" hidden="false" name="Q3_ExpenseBusinessEntertainmentCosts" vbProcedure="false">'Profit &amp; Loss Acc'!$V$24</definedName>
    <definedName function="false" hidden="false" name="Q3_ExpenseBusinessEntertainmentCostsDisallowable" vbProcedure="false">'Profit &amp; Loss Acc'!$V$43</definedName>
    <definedName function="false" hidden="false" name="Q3_ExpenseCisPaymentsToSubcontractors" vbProcedure="false">'Profit &amp; Loss Acc'!$V$23</definedName>
    <definedName function="false" hidden="false" name="Q3_ExpenseCisPaymentsToSubcontractorsDisallowable" vbProcedure="false">'Profit &amp; Loss Acc'!$V$36</definedName>
    <definedName function="false" hidden="false" name="Q3_ExpenseCostOfGoodsBought" vbProcedure="false">'Profit &amp; Loss Acc'!$V$6</definedName>
    <definedName function="false" hidden="false" name="Q3_ExpenseCostOfGoodsBoughtDisallowable" vbProcedure="false">'Profit &amp; Loss Acc'!$V$35</definedName>
    <definedName function="false" hidden="false" name="Q3_ExpenseDepreciation" vbProcedure="false">'Profit &amp; Loss Acc'!$V$25</definedName>
    <definedName function="false" hidden="false" name="Q3_ExpenseDepreciationDisallowable" vbProcedure="false">'Profit &amp; Loss Acc'!$V$48</definedName>
    <definedName function="false" hidden="false" name="Q3_ExpenseFinancialCharges" vbProcedure="false">'Profit &amp; Loss Acc'!$V$15</definedName>
    <definedName function="false" hidden="false" name="Q3_ExpenseFinancialChargesDisallowable" vbProcedure="false">'Profit &amp; Loss Acc'!$V$45</definedName>
    <definedName function="false" hidden="false" name="Q3_ExpenseInterest" vbProcedure="false">'Profit &amp; Loss Acc'!$V$20</definedName>
    <definedName function="false" hidden="false" name="Q3_ExpenseInterestDisallowable" vbProcedure="false">'Profit &amp; Loss Acc'!$V$44</definedName>
    <definedName function="false" hidden="false" name="Q3_ExpenseMaintenanceCosts" vbProcedure="false">'Profit &amp; Loss Acc'!$V$13</definedName>
    <definedName function="false" hidden="false" name="Q3_ExpenseMaintenanceCostsDisallowable" vbProcedure="false">'Profit &amp; Loss Acc'!$V$40</definedName>
    <definedName function="false" hidden="false" name="Q3_ExpenseOther" vbProcedure="false">'Profit &amp; Loss Acc'!$V$21</definedName>
    <definedName function="false" hidden="false" name="Q3_ExpenseOtherDisallowable" vbProcedure="false">'Profit &amp; Loss Acc'!$V$49</definedName>
    <definedName function="false" hidden="false" name="Q3_ExpensePremisesRunningCosts" vbProcedure="false">'Profit &amp; Loss Acc'!$V$12</definedName>
    <definedName function="false" hidden="false" name="Q3_ExpensePremisesRunningCostsDisallowable" vbProcedure="false">'Profit &amp; Loss Acc'!$V$39</definedName>
    <definedName function="false" hidden="false" name="Q3_ExpenseProfessionalFees" vbProcedure="false">'Profit &amp; Loss Acc'!$V$18</definedName>
    <definedName function="false" hidden="false" name="Q3_ExpenseProfessionalFeesDisallowable" vbProcedure="false">'Profit &amp; Loss Acc'!$V$47</definedName>
    <definedName function="false" hidden="false" name="Q3_ExpenseStaffCosts" vbProcedure="false">'Profit &amp; Loss Acc'!$V$11</definedName>
    <definedName function="false" hidden="false" name="Q3_ExpenseStaffCostsDisallowable" vbProcedure="false">'Profit &amp; Loss Acc'!$V$37</definedName>
    <definedName function="false" hidden="false" name="Q3_ExpenseTravelCosts" vbProcedure="false">'Profit &amp; Loss Acc'!$V$16</definedName>
    <definedName function="false" hidden="false" name="Q3_ExpenseTravelCostsDisallowable" vbProcedure="false">'Profit &amp; Loss Acc'!$V$38</definedName>
    <definedName function="false" hidden="false" name="Q3_IncomeOther" vbProcedure="false">'Profit &amp; Loss Acc'!$V$5</definedName>
    <definedName function="false" hidden="false" name="Q3_IncomeTurnover" vbProcedure="false">'Profit &amp; Loss Acc'!$V$4</definedName>
    <definedName function="false" hidden="false" name="Q4_ConsolidatedExpenses" vbProcedure="false">'Profit &amp; Loss Acc'!$W$28</definedName>
    <definedName function="false" hidden="false" name="Q4_ExpenseAdminCosts" vbProcedure="false">'Profit &amp; Loss Acc'!$W$14</definedName>
    <definedName function="false" hidden="false" name="Q4_ExpenseAdminCostsDisallowable" vbProcedure="false">'Profit &amp; Loss Acc'!$W$41</definedName>
    <definedName function="false" hidden="false" name="Q4_ExpenseAdvertisingCosts" vbProcedure="false">'Profit &amp; Loss Acc'!$W$17</definedName>
    <definedName function="false" hidden="false" name="Q4_ExpenseAdvertisingCostsDisallowable" vbProcedure="false">'Profit &amp; Loss Acc'!$W$42</definedName>
    <definedName function="false" hidden="false" name="Q4_ExpenseBadDebt" vbProcedure="false">'Profit &amp; Loss Acc'!$W$19</definedName>
    <definedName function="false" hidden="false" name="Q4_ExpenseBadDebtDisallowable" vbProcedure="false">'Profit &amp; Loss Acc'!$W$46</definedName>
    <definedName function="false" hidden="false" name="Q4_ExpenseBusinessEntertainmentCosts" vbProcedure="false">'Profit &amp; Loss Acc'!$W$24</definedName>
    <definedName function="false" hidden="false" name="Q4_ExpenseBusinessEntertainmentCostsDisallowable" vbProcedure="false">'Profit &amp; Loss Acc'!$W$43</definedName>
    <definedName function="false" hidden="false" name="Q4_ExpenseCisPaymentsToSubcontractors" vbProcedure="false">'Profit &amp; Loss Acc'!$W$23</definedName>
    <definedName function="false" hidden="false" name="Q4_ExpenseCisPaymentsToSubcontractorsDisallowable" vbProcedure="false">'Profit &amp; Loss Acc'!$W$36</definedName>
    <definedName function="false" hidden="false" name="Q4_ExpenseCostOfGoodsBought" vbProcedure="false">'Profit &amp; Loss Acc'!$W$6</definedName>
    <definedName function="false" hidden="false" name="Q4_ExpenseCostOfGoodsBoughtDisallowable" vbProcedure="false">'Profit &amp; Loss Acc'!$W$35</definedName>
    <definedName function="false" hidden="false" name="Q4_ExpenseDepreciation" vbProcedure="false">'Profit &amp; Loss Acc'!$W$25</definedName>
    <definedName function="false" hidden="false" name="Q4_ExpenseDepreciationDisallowable" vbProcedure="false">'Profit &amp; Loss Acc'!$W$48</definedName>
    <definedName function="false" hidden="false" name="Q4_ExpenseFinancialCharges" vbProcedure="false">'Profit &amp; Loss Acc'!$W$15</definedName>
    <definedName function="false" hidden="false" name="Q4_ExpenseFinancialChargesDisallowable" vbProcedure="false">'Profit &amp; Loss Acc'!$W$45</definedName>
    <definedName function="false" hidden="false" name="Q4_ExpenseInterest" vbProcedure="false">'Profit &amp; Loss Acc'!$W$20</definedName>
    <definedName function="false" hidden="false" name="Q4_ExpenseInterestDisallowable" vbProcedure="false">'Profit &amp; Loss Acc'!$W$44</definedName>
    <definedName function="false" hidden="false" name="Q4_ExpenseMaintenanceCosts" vbProcedure="false">'Profit &amp; Loss Acc'!$W$13</definedName>
    <definedName function="false" hidden="false" name="Q4_ExpenseMaintenanceCostsDisallowable" vbProcedure="false">'Profit &amp; Loss Acc'!$W$40</definedName>
    <definedName function="false" hidden="false" name="Q4_ExpenseOther" vbProcedure="false">'Profit &amp; Loss Acc'!$W$21</definedName>
    <definedName function="false" hidden="false" name="Q4_ExpenseOtherDisallowable" vbProcedure="false">'Profit &amp; Loss Acc'!$W$49</definedName>
    <definedName function="false" hidden="false" name="Q4_ExpensePremisesRunningCosts" vbProcedure="false">'Profit &amp; Loss Acc'!$W$12</definedName>
    <definedName function="false" hidden="false" name="Q4_ExpensePremisesRunningCostsDisallowable" vbProcedure="false">'Profit &amp; Loss Acc'!$W$39</definedName>
    <definedName function="false" hidden="false" name="Q4_ExpenseProfessionalFees" vbProcedure="false">'Profit &amp; Loss Acc'!$W$18</definedName>
    <definedName function="false" hidden="false" name="Q4_ExpenseProfessionalFeesDisallowable" vbProcedure="false">'Profit &amp; Loss Acc'!$W$47</definedName>
    <definedName function="false" hidden="false" name="Q4_ExpenseStaffCosts" vbProcedure="false">'Profit &amp; Loss Acc'!$W$11</definedName>
    <definedName function="false" hidden="false" name="Q4_ExpenseStaffCostsDisallowable" vbProcedure="false">'Profit &amp; Loss Acc'!$W$37</definedName>
    <definedName function="false" hidden="false" name="Q4_ExpenseTravelCosts" vbProcedure="false">'Profit &amp; Loss Acc'!$W$16</definedName>
    <definedName function="false" hidden="false" name="Q4_ExpenseTravelCostsDisallowable" vbProcedure="false">'Profit &amp; Loss Acc'!$W$38</definedName>
    <definedName function="false" hidden="false" name="Q4_IncomeOther" vbProcedure="false">'Profit &amp; Loss Acc'!$W$5</definedName>
    <definedName function="false" hidden="false" name="Q4_IncomeTurnover" vbProcedure="false">'Profit &amp; Loss Acc'!$W$4</definedName>
    <definedName function="false" hidden="false" localSheetId="3" name="_xlnm_Print_Titles" vbProcedure="false">'Profit &amp; Loss Acc'!$1:$3</definedName>
    <definedName function="false" hidden="false" localSheetId="8" name="_xlnm_Print_Area" vbProcedure="false">SalesApr!$A$1:$K$68</definedName>
    <definedName function="false" hidden="false" localSheetId="8" name="_xlnm_Print_Titles" vbProcedure="false">SalesApr!$1:$3</definedName>
    <definedName function="false" hidden="false" localSheetId="9" name="Excel_BuiltIn_Print_Titles" vbProcedure="false">(PurchasesApr!$A:$A,PurchasesApr!$1:$2)</definedName>
    <definedName function="false" hidden="false" localSheetId="9" name="_xlnm_Print_Area" vbProcedure="false">PurchasesApr!$A$1:$X$68</definedName>
    <definedName function="false" hidden="false" localSheetId="9" name="_xlnm_Print_Titles" vbProcedure="false">(PurchasesApr!$A:$A,PurchasesApr!$1:$2)</definedName>
    <definedName function="false" hidden="false" localSheetId="10" name="_xlnm_Print_Area" vbProcedure="false">SalesMay!$A$1:$K$68</definedName>
    <definedName function="false" hidden="false" localSheetId="10" name="_xlnm_Print_Titles" vbProcedure="false">SalesMay!$1:$3</definedName>
    <definedName function="false" hidden="false" localSheetId="11" name="Excel_BuiltIn_Print_Titles" vbProcedure="false">(PurchasesMay!$A:$A,PurchasesMay!$1:$2)</definedName>
    <definedName function="false" hidden="false" localSheetId="11" name="_xlnm_Print_Area" vbProcedure="false">PurchasesMay!$A$1:$X$68</definedName>
    <definedName function="false" hidden="false" localSheetId="11" name="_xlnm_Print_Titles" vbProcedure="false">(PurchasesMay!$A:$A,PurchasesMay!$1:$2)</definedName>
    <definedName function="false" hidden="false" localSheetId="12" name="_xlnm_Print_Area" vbProcedure="false">SalesJun!$A$1:$K$68</definedName>
    <definedName function="false" hidden="false" localSheetId="12" name="_xlnm_Print_Titles" vbProcedure="false">SalesJun!$1:$3</definedName>
    <definedName function="false" hidden="false" localSheetId="13" name="Excel_BuiltIn_Print_Titles" vbProcedure="false">(PurchasesJun!$A:$A,PurchasesJun!$1:$2)</definedName>
    <definedName function="false" hidden="false" localSheetId="13" name="_xlnm_Print_Area" vbProcedure="false">PurchasesJun!$A$1:$X$68</definedName>
    <definedName function="false" hidden="false" localSheetId="13" name="_xlnm_Print_Titles" vbProcedure="false">(PurchasesJun!$A:$A,PurchasesJun!$1:$2)</definedName>
    <definedName function="false" hidden="false" localSheetId="14" name="_xlnm_Print_Area" vbProcedure="false">SalesJul!$A$1:$K$68</definedName>
    <definedName function="false" hidden="false" localSheetId="14" name="_xlnm_Print_Titles" vbProcedure="false">SalesJul!$1:$3</definedName>
    <definedName function="false" hidden="false" localSheetId="15" name="Excel_BuiltIn_Print_Titles" vbProcedure="false">(PurchasesJul!$A:$A,PurchasesJul!$1:$2)</definedName>
    <definedName function="false" hidden="false" localSheetId="15" name="_xlnm_Print_Area" vbProcedure="false">PurchasesJul!$A$1:$X$68</definedName>
    <definedName function="false" hidden="false" localSheetId="15" name="_xlnm_Print_Titles" vbProcedure="false">(PurchasesJul!$A:$A,PurchasesJul!$1:$2)</definedName>
    <definedName function="false" hidden="false" localSheetId="16" name="_xlnm_Print_Area" vbProcedure="false">SalesAug!$A$1:$K$68</definedName>
    <definedName function="false" hidden="false" localSheetId="16" name="_xlnm_Print_Titles" vbProcedure="false">SalesAug!$1:$3</definedName>
    <definedName function="false" hidden="false" localSheetId="17" name="Excel_BuiltIn_Print_Titles" vbProcedure="false">(PurchasesAug!$A:$A,PurchasesAug!$1:$2)</definedName>
    <definedName function="false" hidden="false" localSheetId="17" name="_xlnm_Print_Area" vbProcedure="false">PurchasesAug!$A$1:$X$68</definedName>
    <definedName function="false" hidden="false" localSheetId="17" name="_xlnm_Print_Titles" vbProcedure="false">(PurchasesAug!$A:$A,PurchasesAug!$1:$2)</definedName>
    <definedName function="false" hidden="false" localSheetId="18" name="_xlnm_Print_Area" vbProcedure="false">SalesSep!$A$1:$K$68</definedName>
    <definedName function="false" hidden="false" localSheetId="18" name="_xlnm_Print_Titles" vbProcedure="false">SalesSep!$1:$3</definedName>
    <definedName function="false" hidden="false" localSheetId="19" name="Excel_BuiltIn_Print_Titles" vbProcedure="false">(PurchasesSep!$A:$A,PurchasesSep!$1:$2)</definedName>
    <definedName function="false" hidden="false" localSheetId="19" name="_xlnm_Print_Area" vbProcedure="false">PurchasesSep!$A$1:$X$68</definedName>
    <definedName function="false" hidden="false" localSheetId="19" name="_xlnm_Print_Titles" vbProcedure="false">(PurchasesSep!$A:$A,PurchasesSep!$1:$2)</definedName>
    <definedName function="false" hidden="false" localSheetId="20" name="_xlnm_Print_Area" vbProcedure="false">SalesOct!$A$1:$K$68</definedName>
    <definedName function="false" hidden="false" localSheetId="20" name="_xlnm_Print_Titles" vbProcedure="false">SalesOct!$1:$3</definedName>
    <definedName function="false" hidden="false" localSheetId="21" name="Excel_BuiltIn_Print_Titles" vbProcedure="false">(PurchasesOct!$A:$A,PurchasesOct!$1:$2)</definedName>
    <definedName function="false" hidden="false" localSheetId="21" name="_xlnm_Print_Area" vbProcedure="false">PurchasesOct!$A$1:$X$68</definedName>
    <definedName function="false" hidden="false" localSheetId="21" name="_xlnm_Print_Titles" vbProcedure="false">(PurchasesOct!$A:$A,PurchasesOct!$1:$2)</definedName>
    <definedName function="false" hidden="false" localSheetId="22" name="_xlnm_Print_Area" vbProcedure="false">SalesNov!$A$1:$K$68</definedName>
    <definedName function="false" hidden="false" localSheetId="22" name="_xlnm_Print_Titles" vbProcedure="false">SalesNov!$1:$3</definedName>
    <definedName function="false" hidden="false" localSheetId="23" name="Excel_BuiltIn_Print_Titles" vbProcedure="false">(PurchasesNov!$A:$A,PurchasesNov!$1:$2)</definedName>
    <definedName function="false" hidden="false" localSheetId="23" name="_xlnm_Print_Area" vbProcedure="false">PurchasesNov!$A$1:$X$68</definedName>
    <definedName function="false" hidden="false" localSheetId="23" name="_xlnm_Print_Titles" vbProcedure="false">(PurchasesNov!$A:$A,PurchasesNov!$1:$2)</definedName>
    <definedName function="false" hidden="false" localSheetId="24" name="_xlnm_Print_Area" vbProcedure="false">SalesDec!$A$1:$K$68</definedName>
    <definedName function="false" hidden="false" localSheetId="24" name="_xlnm_Print_Titles" vbProcedure="false">SalesDec!$1:$3</definedName>
    <definedName function="false" hidden="false" localSheetId="25" name="Excel_BuiltIn_Print_Titles" vbProcedure="false">(PurchasesDec!$A:$A,PurchasesDec!$1:$2)</definedName>
    <definedName function="false" hidden="false" localSheetId="25" name="_xlnm_Print_Area" vbProcedure="false">PurchasesDec!$A$1:$X$68</definedName>
    <definedName function="false" hidden="false" localSheetId="25" name="_xlnm_Print_Titles" vbProcedure="false">(PurchasesDec!$A:$A,PurchasesDec!$1:$2)</definedName>
    <definedName function="false" hidden="false" localSheetId="26" name="_xlnm_Print_Area" vbProcedure="false">SalesJan!$A$1:$K$68</definedName>
    <definedName function="false" hidden="false" localSheetId="26" name="_xlnm_Print_Titles" vbProcedure="false">SalesJan!$1:$3</definedName>
    <definedName function="false" hidden="false" localSheetId="27" name="Excel_BuiltIn_Print_Titles" vbProcedure="false">(PurchasesJan!$A:$A,PurchasesJan!$1:$2)</definedName>
    <definedName function="false" hidden="false" localSheetId="27" name="_xlnm_Print_Area" vbProcedure="false">PurchasesJan!$A$1:$X$68</definedName>
    <definedName function="false" hidden="false" localSheetId="27" name="_xlnm_Print_Titles" vbProcedure="false">(PurchasesJan!$A:$A,PurchasesJan!$1:$2)</definedName>
    <definedName function="false" hidden="false" localSheetId="28" name="_xlnm_Print_Area" vbProcedure="false">SalesFeb!$A$1:$K$68</definedName>
    <definedName function="false" hidden="false" localSheetId="28" name="_xlnm_Print_Titles" vbProcedure="false">SalesFeb!$1:$3</definedName>
    <definedName function="false" hidden="false" localSheetId="29" name="Excel_BuiltIn_Print_Titles" vbProcedure="false">(PurchasesFeb!$A:$A,PurchasesFeb!$1:$2)</definedName>
    <definedName function="false" hidden="false" localSheetId="29" name="_xlnm_Print_Area" vbProcedure="false">PurchasesFeb!$A$1:$X$68</definedName>
    <definedName function="false" hidden="false" localSheetId="29" name="_xlnm_Print_Titles" vbProcedure="false">(PurchasesFeb!$A:$A,PurchasesFeb!$1:$2)</definedName>
    <definedName function="false" hidden="false" localSheetId="30" name="_xlnm_Print_Area" vbProcedure="false">SalesMar!$A$1:$K$68</definedName>
    <definedName function="false" hidden="false" localSheetId="30" name="_xlnm_Print_Titles" vbProcedure="false">SalesMar!$1:$3</definedName>
    <definedName function="false" hidden="false" localSheetId="31" name="Excel_BuiltIn_Print_Titles" vbProcedure="false">(PurchasesMar!$A:$A,PurchasesMar!$1:$2)</definedName>
    <definedName function="false" hidden="false" localSheetId="31" name="_xlnm_Print_Area" vbProcedure="false">PurchasesMar!$A$1:$X$68</definedName>
    <definedName function="false" hidden="false" localSheetId="31" name="_xlnm_Print_Titles" vbProcedure="false">(PurchasesMar!$A:$A,PurchasesMar!$1:$2)</definedName>
  </definedNames>
  <calcPr iterateCount="100" refMode="A1" iterate="false" iterateDelta="0.0001"/>
  <extLst>
    <ext xmlns:loext="http://schemas.libreoffice.org/" uri="{7626C862-2A13-11E5-B345-FEFF819CDC9F}">
      <loext:extCalcPr stringRefSyntax="CalcA1"/>
    </ext>
  </extLst>
</workbook>
</file>

<file path=xl/sharedStrings.xml><?xml version="1.0" encoding="utf-8"?>
<sst xmlns="http://schemas.openxmlformats.org/spreadsheetml/2006/main" count="1991" uniqueCount="426">
  <si>
    <t xml:space="preserve">Basic Sole Trader Accounts</t>
  </si>
  <si>
    <r>
      <rPr>
        <i val="true"/>
        <sz val="10"/>
        <rFont val="Arial"/>
        <family val="2"/>
        <charset val="1"/>
      </rPr>
      <t xml:space="preserve">Click a link below to navigate to the desired page.
To return to the home page click the Home tab. If you can't see the Home tab, you can scroll to it by clicking the </t>
    </r>
    <r>
      <rPr>
        <b val="true"/>
        <i val="true"/>
        <sz val="10"/>
        <rFont val="Arial"/>
        <family val="2"/>
        <charset val="1"/>
      </rPr>
      <t xml:space="preserve">|&lt;</t>
    </r>
    <r>
      <rPr>
        <i val="true"/>
        <sz val="10"/>
        <rFont val="Arial"/>
        <family val="2"/>
        <charset val="1"/>
      </rPr>
      <t xml:space="preserve"> symbol (bottom left).</t>
    </r>
  </si>
  <si>
    <t xml:space="preserve">Preparation</t>
  </si>
  <si>
    <t xml:space="preserve">Sales</t>
  </si>
  <si>
    <t xml:space="preserve">Purchases</t>
  </si>
  <si>
    <t xml:space="preserve">Results</t>
  </si>
  <si>
    <r>
      <rPr>
        <b val="true"/>
        <sz val="9"/>
        <rFont val="Arial"/>
        <family val="2"/>
        <charset val="1"/>
      </rPr>
      <t xml:space="preserve">ENTER YOUR BUSINESS DETAILS </t>
    </r>
    <r>
      <rPr>
        <i val="true"/>
        <sz val="9"/>
        <rFont val="Arial"/>
        <family val="2"/>
        <charset val="1"/>
      </rPr>
      <t xml:space="preserve">- which are then transferred to the Self-employment Tax Return</t>
    </r>
  </si>
  <si>
    <t xml:space="preserve">Your name</t>
  </si>
  <si>
    <t xml:space="preserve">Your unique taxpayer reference (UTR)</t>
  </si>
  <si>
    <t xml:space="preserve">Precision Code Trading</t>
  </si>
  <si>
    <t xml:space="preserve">IT consultancy and software development</t>
  </si>
  <si>
    <t xml:space="preserve">If you are a foster carer or adult placement carer, put 'X'</t>
  </si>
  <si>
    <t xml:space="preserve">123 High Street</t>
  </si>
  <si>
    <t xml:space="preserve">Manchester</t>
  </si>
  <si>
    <t xml:space="preserve">M1 1AA</t>
  </si>
  <si>
    <t xml:space="preserve">If your business started sifter </t>
  </si>
  <si>
    <r>
      <rPr>
        <sz val="8"/>
        <rFont val="Arial"/>
        <family val="2"/>
        <charset val="1"/>
      </rPr>
      <t xml:space="preserve">enter the start date </t>
    </r>
    <r>
      <rPr>
        <i val="true"/>
        <sz val="8"/>
        <rFont val="Arial"/>
        <family val="2"/>
        <charset val="1"/>
      </rPr>
      <t xml:space="preserve">DD/MM/YYY</t>
    </r>
  </si>
  <si>
    <t xml:space="preserve">Postcode of your business</t>
  </si>
  <si>
    <t xml:space="preserve">If your business ceased before</t>
  </si>
  <si>
    <t xml:space="preserve">If your business name, description, address or postcode</t>
  </si>
  <si>
    <t xml:space="preserve">enter the final date of trading</t>
  </si>
  <si>
    <t xml:space="preserve">have changed in the last 12 months, put 'X' in the box</t>
  </si>
  <si>
    <t xml:space="preserve">and give details in the 'Any other information' box of</t>
  </si>
  <si>
    <t xml:space="preserve">of your Tax Return</t>
  </si>
  <si>
    <r>
      <rPr>
        <sz val="8"/>
        <rFont val="Arial"/>
        <family val="2"/>
        <charset val="1"/>
      </rPr>
      <t xml:space="preserve">Date your books or accounts are made up to -</t>
    </r>
    <r>
      <rPr>
        <i val="true"/>
        <sz val="8"/>
        <rFont val="Arial"/>
        <family val="2"/>
        <charset val="1"/>
      </rPr>
      <t xml:space="preserve"> read</t>
    </r>
  </si>
  <si>
    <t xml:space="preserve">page SESN 2 of the notes</t>
  </si>
  <si>
    <r>
      <rPr>
        <b val="true"/>
        <sz val="8"/>
        <rFont val="Arial"/>
        <family val="2"/>
        <charset val="1"/>
      </rPr>
      <t xml:space="preserve">ENTER</t>
    </r>
    <r>
      <rPr>
        <sz val="8"/>
        <rFont val="Arial"/>
        <family val="2"/>
        <charset val="1"/>
      </rPr>
      <t xml:space="preserve">: Total losses brought forward from earlier years</t>
    </r>
  </si>
  <si>
    <r>
      <rPr>
        <b val="true"/>
        <sz val="8"/>
        <rFont val="Arial"/>
        <family val="2"/>
        <charset val="1"/>
      </rPr>
      <t xml:space="preserve">ENTER</t>
    </r>
    <r>
      <rPr>
        <sz val="8"/>
        <rFont val="Arial"/>
        <family val="2"/>
        <charset val="1"/>
      </rPr>
      <t xml:space="preserve">: Value of goods and services for your own use</t>
    </r>
  </si>
  <si>
    <t xml:space="preserve"> - read page SESN 7 of the notes</t>
  </si>
  <si>
    <t xml:space="preserve">£</t>
  </si>
  <si>
    <t xml:space="preserve">.</t>
  </si>
  <si>
    <t xml:space="preserve">Loss used this year</t>
  </si>
  <si>
    <t xml:space="preserve">Total loss carried forward to future years</t>
  </si>
  <si>
    <t xml:space="preserve">Calculated no entry required</t>
  </si>
  <si>
    <t xml:space="preserve">HM Revenue                  &amp; Customs</t>
  </si>
  <si>
    <t xml:space="preserve">Self-employment (short)</t>
  </si>
  <si>
    <t xml:space="preserve">Tax year </t>
  </si>
  <si>
    <t xml:space="preserve">to</t>
  </si>
  <si>
    <t xml:space="preserve">Business details</t>
  </si>
  <si>
    <t xml:space="preserve">Description of business</t>
  </si>
  <si>
    <r>
      <rPr>
        <sz val="8"/>
        <rFont val="Arial"/>
        <family val="2"/>
        <charset val="1"/>
      </rPr>
      <t xml:space="preserve">in the box - </t>
    </r>
    <r>
      <rPr>
        <i val="true"/>
        <sz val="8"/>
        <rFont val="Arial"/>
        <family val="2"/>
        <charset val="1"/>
      </rPr>
      <t xml:space="preserve">read page SESN 2 of the notes</t>
    </r>
  </si>
  <si>
    <t xml:space="preserve">If your business started after </t>
  </si>
  <si>
    <r>
      <rPr>
        <sz val="8"/>
        <rFont val="Arial"/>
        <family val="2"/>
        <charset val="1"/>
      </rPr>
      <t xml:space="preserve">Your turnover -</t>
    </r>
    <r>
      <rPr>
        <i val="true"/>
        <sz val="8"/>
        <rFont val="Arial"/>
        <family val="2"/>
        <charset val="1"/>
      </rPr>
      <t xml:space="preserve"> the takings, fees, sales or money earned</t>
    </r>
  </si>
  <si>
    <t xml:space="preserve">Any other business income not included in box 8</t>
  </si>
  <si>
    <t xml:space="preserve">by your business</t>
  </si>
  <si>
    <t xml:space="preserve"> - excluding Business Start-up Allowance</t>
  </si>
  <si>
    <t xml:space="preserve">Allowable business expenses</t>
  </si>
  <si>
    <r>
      <rPr>
        <sz val="8"/>
        <rFont val="Arial"/>
        <family val="2"/>
        <charset val="1"/>
      </rPr>
      <t xml:space="preserve">Read pages SESN 3 of the </t>
    </r>
    <r>
      <rPr>
        <i val="true"/>
        <sz val="8"/>
        <rFont val="Arial"/>
        <family val="2"/>
        <charset val="1"/>
      </rPr>
      <t xml:space="preserve">notes</t>
    </r>
    <r>
      <rPr>
        <sz val="8"/>
        <rFont val="Arial"/>
        <family val="2"/>
        <charset val="1"/>
      </rPr>
      <t xml:space="preserve"> to see which expenses are allowed for tax purposes. If your annual turnover was below £30,000</t>
    </r>
  </si>
  <si>
    <t xml:space="preserve">you may just put your total expenses in box 19, rather than filling in the whole section.</t>
  </si>
  <si>
    <t xml:space="preserve">Cost of goods bought for re-sale or goods used</t>
  </si>
  <si>
    <t xml:space="preserve">Accountancy, legal and other professional fees</t>
  </si>
  <si>
    <r>
      <rPr>
        <sz val="8"/>
        <rFont val="Arial"/>
        <family val="2"/>
        <charset val="1"/>
      </rPr>
      <t xml:space="preserve">Car, van and other travel expenses - </t>
    </r>
    <r>
      <rPr>
        <i val="true"/>
        <sz val="8"/>
        <rFont val="Arial"/>
        <family val="2"/>
        <charset val="1"/>
      </rPr>
      <t xml:space="preserve">after private</t>
    </r>
  </si>
  <si>
    <t xml:space="preserve">Interest and bank and credit card etc. financial charges</t>
  </si>
  <si>
    <t xml:space="preserve">use proportion</t>
  </si>
  <si>
    <t xml:space="preserve">Wages, salaries and other staff costs</t>
  </si>
  <si>
    <t xml:space="preserve">Telephone, fax, stationery and other office costs</t>
  </si>
  <si>
    <t xml:space="preserve">Rent, rates, power and insurance costs</t>
  </si>
  <si>
    <r>
      <rPr>
        <sz val="8"/>
        <rFont val="Arial"/>
        <family val="2"/>
        <charset val="1"/>
      </rPr>
      <t xml:space="preserve">Other allowable business expenses - </t>
    </r>
    <r>
      <rPr>
        <i val="true"/>
        <sz val="8"/>
        <rFont val="Arial"/>
        <family val="2"/>
        <charset val="1"/>
      </rPr>
      <t xml:space="preserve">client entertaining</t>
    </r>
  </si>
  <si>
    <t xml:space="preserve">costs are not an allowable expense</t>
  </si>
  <si>
    <t xml:space="preserve">Repairs and renewals of property and equipment</t>
  </si>
  <si>
    <r>
      <rPr>
        <sz val="8"/>
        <rFont val="Arial"/>
        <family val="2"/>
        <charset val="1"/>
      </rPr>
      <t xml:space="preserve">Total allowable expenses - </t>
    </r>
    <r>
      <rPr>
        <i val="true"/>
        <sz val="8"/>
        <rFont val="Arial"/>
        <family val="2"/>
        <charset val="1"/>
      </rPr>
      <t xml:space="preserve">total of boxes 10 to 18</t>
    </r>
  </si>
  <si>
    <t xml:space="preserve">Net profit or loss</t>
  </si>
  <si>
    <r>
      <rPr>
        <sz val="8"/>
        <rFont val="Arial"/>
        <family val="2"/>
        <charset val="1"/>
      </rPr>
      <t xml:space="preserve">Net profit -</t>
    </r>
    <r>
      <rPr>
        <i val="true"/>
        <sz val="8"/>
        <rFont val="Arial"/>
        <family val="2"/>
        <charset val="1"/>
      </rPr>
      <t xml:space="preserve"> if your business income is more then your</t>
    </r>
  </si>
  <si>
    <r>
      <rPr>
        <sz val="8"/>
        <rFont val="Arial"/>
        <family val="2"/>
        <charset val="1"/>
      </rPr>
      <t xml:space="preserve">Or, net loss -</t>
    </r>
    <r>
      <rPr>
        <i val="true"/>
        <sz val="8"/>
        <rFont val="Arial"/>
        <family val="2"/>
        <charset val="1"/>
      </rPr>
      <t xml:space="preserve"> if your expenses exceed your business</t>
    </r>
  </si>
  <si>
    <t xml:space="preserve">expenses (box 8 + box 9 minus box 19)</t>
  </si>
  <si>
    <t xml:space="preserve">income (box 8 + box 9 minus box 19 is negative)</t>
  </si>
  <si>
    <t xml:space="preserve">Tax allowances for vehicles and equipment (capital allowances)</t>
  </si>
  <si>
    <t xml:space="preserve">There are 'capital' tax allowances for vehicles and equipment used in your business (you should not have included the cost of</t>
  </si>
  <si>
    <r>
      <rPr>
        <sz val="8"/>
        <rFont val="Arial"/>
        <family val="2"/>
        <charset val="1"/>
      </rPr>
      <t xml:space="preserve">these in your business expenses)  Read pages SESN 3 to SEFN 6 of the </t>
    </r>
    <r>
      <rPr>
        <i val="true"/>
        <sz val="8"/>
        <rFont val="Arial"/>
        <family val="2"/>
        <charset val="1"/>
      </rPr>
      <t xml:space="preserve">notes</t>
    </r>
    <r>
      <rPr>
        <sz val="8"/>
        <rFont val="Arial"/>
        <family val="2"/>
        <charset val="1"/>
      </rPr>
      <t xml:space="preserve"> and use the example and Working Sheets to work out</t>
    </r>
  </si>
  <si>
    <t xml:space="preserve">your capital allowances.</t>
  </si>
  <si>
    <t xml:space="preserve">Annual Investment Allowance</t>
  </si>
  <si>
    <t xml:space="preserve">Other Capital Allowances</t>
  </si>
  <si>
    <t xml:space="preserve">Allowance of small balance of unrelieved</t>
  </si>
  <si>
    <t xml:space="preserve">Total balancing charges - where you have disposed of</t>
  </si>
  <si>
    <t xml:space="preserve">expenditure</t>
  </si>
  <si>
    <t xml:space="preserve">items for more than their value</t>
  </si>
  <si>
    <t xml:space="preserve">Calculating your taxable profits</t>
  </si>
  <si>
    <r>
      <rPr>
        <sz val="8"/>
        <rFont val="Arial"/>
        <family val="2"/>
        <charset val="1"/>
      </rPr>
      <t xml:space="preserve">Your taxable profit may not be the same as your net profit. Read page SESN 7 of the </t>
    </r>
    <r>
      <rPr>
        <i val="true"/>
        <sz val="8"/>
        <rFont val="Arial"/>
        <family val="2"/>
        <charset val="1"/>
      </rPr>
      <t xml:space="preserve">notes</t>
    </r>
    <r>
      <rPr>
        <sz val="8"/>
        <rFont val="Arial"/>
        <family val="2"/>
        <charset val="1"/>
      </rPr>
      <t xml:space="preserve"> to see if you need to make any</t>
    </r>
  </si>
  <si>
    <t xml:space="preserve">adjustments and fill in the boxes which apply to arrive at your taxable profit for the year.</t>
  </si>
  <si>
    <r>
      <rPr>
        <sz val="8"/>
        <rFont val="Arial"/>
        <family val="2"/>
        <charset val="1"/>
      </rPr>
      <t xml:space="preserve">Goods and services for your own use - </t>
    </r>
    <r>
      <rPr>
        <i val="true"/>
        <sz val="8"/>
        <rFont val="Arial"/>
        <family val="2"/>
        <charset val="1"/>
      </rPr>
      <t xml:space="preserve">read page</t>
    </r>
  </si>
  <si>
    <t xml:space="preserve">Loss brought forward from earlier years set-off against</t>
  </si>
  <si>
    <t xml:space="preserve">SESN 9 of the notes</t>
  </si>
  <si>
    <r>
      <rPr>
        <sz val="8"/>
        <rFont val="Arial"/>
        <family val="2"/>
        <charset val="1"/>
      </rPr>
      <t xml:space="preserve">this year's profits - </t>
    </r>
    <r>
      <rPr>
        <i val="true"/>
        <sz val="8"/>
        <rFont val="Arial"/>
        <family val="2"/>
        <charset val="1"/>
      </rPr>
      <t xml:space="preserve">up to the amount in box 27</t>
    </r>
  </si>
  <si>
    <t xml:space="preserve">Net business profit for tax purposes (if box 20 + box 25 +</t>
  </si>
  <si>
    <t xml:space="preserve">Any other business income not included in boxes 8 or 9</t>
  </si>
  <si>
    <t xml:space="preserve">box 26 minus boxes 21 to 24) is positive)</t>
  </si>
  <si>
    <t xml:space="preserve"> - for example, Business Start-up Allowance</t>
  </si>
  <si>
    <t xml:space="preserve">Total taxable profits or net business loss</t>
  </si>
  <si>
    <t xml:space="preserve">Total taxable profits from this business</t>
  </si>
  <si>
    <t xml:space="preserve">Net business loss for tax purposes (if boxes 21 to 24</t>
  </si>
  <si>
    <t xml:space="preserve">if box 27 + box 29 minus box 28 is positive</t>
  </si>
  <si>
    <t xml:space="preserve">minus (box 20 + box 25 + box 26) is positive)</t>
  </si>
  <si>
    <t xml:space="preserve">Losses, Class 4 NICs and deductions</t>
  </si>
  <si>
    <r>
      <rPr>
        <sz val="8"/>
        <rFont val="Arial"/>
        <family val="2"/>
        <charset val="1"/>
      </rPr>
      <t xml:space="preserve">If you have made a loss for tax purposes (box 29), read page SESN 7 of the </t>
    </r>
    <r>
      <rPr>
        <i val="true"/>
        <sz val="8"/>
        <rFont val="Arial"/>
        <family val="2"/>
        <charset val="1"/>
      </rPr>
      <t xml:space="preserve">notes</t>
    </r>
    <r>
      <rPr>
        <sz val="8"/>
        <rFont val="Arial"/>
        <family val="2"/>
        <charset val="1"/>
      </rPr>
      <t xml:space="preserve"> and fill in boxes 30 to 32 as appropriate.</t>
    </r>
  </si>
  <si>
    <t xml:space="preserve">Loss from this tax year set-off against other income</t>
  </si>
  <si>
    <t xml:space="preserve">If you are exempt from paying Class 4 NICs, put 'X' in the</t>
  </si>
  <si>
    <t xml:space="preserve">for </t>
  </si>
  <si>
    <r>
      <rPr>
        <sz val="8"/>
        <rFont val="Arial"/>
        <family val="2"/>
        <charset val="1"/>
      </rPr>
      <t xml:space="preserve">box - </t>
    </r>
    <r>
      <rPr>
        <i val="true"/>
        <sz val="8"/>
        <rFont val="Arial"/>
        <family val="2"/>
        <charset val="1"/>
      </rPr>
      <t xml:space="preserve">read page SESN 10 of the notes</t>
    </r>
  </si>
  <si>
    <t xml:space="preserve">Loss to be carried back to previous year(s) and set-off</t>
  </si>
  <si>
    <t xml:space="preserve">If you have been given a Class 4 NICs</t>
  </si>
  <si>
    <t xml:space="preserve">against income (or capital gains)</t>
  </si>
  <si>
    <r>
      <rPr>
        <sz val="8"/>
        <rFont val="Arial"/>
        <family val="2"/>
        <charset val="1"/>
      </rPr>
      <t xml:space="preserve">deferment certificate, put 'X' in the box - </t>
    </r>
    <r>
      <rPr>
        <i val="true"/>
        <sz val="8"/>
        <rFont val="Arial"/>
        <family val="2"/>
        <charset val="1"/>
      </rPr>
      <t xml:space="preserve">read page SESN 10</t>
    </r>
  </si>
  <si>
    <t xml:space="preserve">of the notes</t>
  </si>
  <si>
    <t xml:space="preserve">Total loss to carry forward after all other set-offs</t>
  </si>
  <si>
    <t xml:space="preserve">Deductions on payment and deduction statements from</t>
  </si>
  <si>
    <t xml:space="preserve"> - including unused losses brought forward</t>
  </si>
  <si>
    <r>
      <rPr>
        <sz val="8"/>
        <rFont val="Arial"/>
        <family val="2"/>
        <charset val="1"/>
      </rPr>
      <t xml:space="preserve">contractors -</t>
    </r>
    <r>
      <rPr>
        <i val="true"/>
        <sz val="8"/>
        <rFont val="Arial"/>
        <family val="2"/>
        <charset val="1"/>
      </rPr>
      <t xml:space="preserve"> construction industry subcontractors only</t>
    </r>
  </si>
  <si>
    <t xml:space="preserve">Profit &amp; Loss Account</t>
  </si>
  <si>
    <t xml:space="preserve">Ref</t>
  </si>
  <si>
    <t xml:space="preserve">TOTAL</t>
  </si>
  <si>
    <t xml:space="preserve">VitalTax summary</t>
  </si>
  <si>
    <t xml:space="preserve">Q1</t>
  </si>
  <si>
    <t xml:space="preserve">Q2</t>
  </si>
  <si>
    <t xml:space="preserve">Q3</t>
  </si>
  <si>
    <t xml:space="preserve">Q4</t>
  </si>
  <si>
    <t xml:space="preserve">Annual</t>
  </si>
  <si>
    <t xml:space="preserve">Notes</t>
  </si>
  <si>
    <t xml:space="preserve">Sales Turnover</t>
  </si>
  <si>
    <t xml:space="preserve">Turnover</t>
  </si>
  <si>
    <t xml:space="preserve">Other income</t>
  </si>
  <si>
    <t xml:space="preserve">Cost of sales</t>
  </si>
  <si>
    <t xml:space="preserve">Cost of goods bought</t>
  </si>
  <si>
    <t xml:space="preserve">Other direct costs</t>
  </si>
  <si>
    <t xml:space="preserve">Gross Profit</t>
  </si>
  <si>
    <t xml:space="preserve">Allowable expenses</t>
  </si>
  <si>
    <t xml:space="preserve">Employee costs</t>
  </si>
  <si>
    <t xml:space="preserve">Staff costs</t>
  </si>
  <si>
    <t xml:space="preserve">Premises costs</t>
  </si>
  <si>
    <t xml:space="preserve">Premises running costs</t>
  </si>
  <si>
    <t xml:space="preserve">Repairs</t>
  </si>
  <si>
    <t xml:space="preserve">Maintenance</t>
  </si>
  <si>
    <t xml:space="preserve">General admin expenses</t>
  </si>
  <si>
    <t xml:space="preserve">Admin</t>
  </si>
  <si>
    <t xml:space="preserve">Motor expenses</t>
  </si>
  <si>
    <t xml:space="preserve">Financial charges</t>
  </si>
  <si>
    <t xml:space="preserve">Travel &amp; subsistence</t>
  </si>
  <si>
    <t xml:space="preserve">Travel</t>
  </si>
  <si>
    <t xml:space="preserve">Advertising &amp; promotion</t>
  </si>
  <si>
    <t xml:space="preserve">Advertising</t>
  </si>
  <si>
    <t xml:space="preserve">Legal &amp; professional</t>
  </si>
  <si>
    <t xml:space="preserve">Professional</t>
  </si>
  <si>
    <t xml:space="preserve">Bad debts</t>
  </si>
  <si>
    <t xml:space="preserve">Bad debt</t>
  </si>
  <si>
    <t xml:space="preserve">Interest, finance charges</t>
  </si>
  <si>
    <t xml:space="preserve">Interest</t>
  </si>
  <si>
    <t xml:space="preserve">Other expenses</t>
  </si>
  <si>
    <t xml:space="preserve">Other</t>
  </si>
  <si>
    <t xml:space="preserve">Total Expenses</t>
  </si>
  <si>
    <t xml:space="preserve">CIS payment to subcontractors</t>
  </si>
  <si>
    <t xml:space="preserve">Not captured in DIY Accounting</t>
  </si>
  <si>
    <t xml:space="preserve">Net Profit/Loss</t>
  </si>
  <si>
    <t xml:space="preserve">Business entertainment</t>
  </si>
  <si>
    <t xml:space="preserve">Depreciation</t>
  </si>
  <si>
    <t xml:space="preserve">Less Capital Allowances</t>
  </si>
  <si>
    <t xml:space="preserve">NET TAXABLE PROFIT</t>
  </si>
  <si>
    <t xml:space="preserve">Total allowable expenses </t>
  </si>
  <si>
    <t xml:space="preserve">Any Other Business Income</t>
  </si>
  <si>
    <t xml:space="preserve"> Income Tax</t>
  </si>
  <si>
    <t xml:space="preserve"> National Insurance</t>
  </si>
  <si>
    <t xml:space="preserve">Disallowable expenses</t>
  </si>
  <si>
    <t xml:space="preserve"> Net Income after Tax</t>
  </si>
  <si>
    <t xml:space="preserve">Enter Drawings (optional)</t>
  </si>
  <si>
    <t xml:space="preserve">Travel </t>
  </si>
  <si>
    <t xml:space="preserve">Financial charges </t>
  </si>
  <si>
    <t xml:space="preserve">Bad debt </t>
  </si>
  <si>
    <t xml:space="preserve">TAXATION CALCULATION </t>
  </si>
  <si>
    <t xml:space="preserve">This section an indication and for your information only</t>
  </si>
  <si>
    <t xml:space="preserve">Profit from Self employment</t>
  </si>
  <si>
    <t xml:space="preserve">Minus Personal Allowance</t>
  </si>
  <si>
    <t xml:space="preserve">Total income on which tax is due</t>
  </si>
  <si>
    <t xml:space="preserve">Income Tax first band</t>
  </si>
  <si>
    <t xml:space="preserve">Income Tax second band</t>
  </si>
  <si>
    <t xml:space="preserve">Income Tax payable</t>
  </si>
  <si>
    <t xml:space="preserve">Deductions by contractors</t>
  </si>
  <si>
    <t xml:space="preserve">Amounts Payable by</t>
  </si>
  <si>
    <t xml:space="preserve">Class 4 NI Contribution Lower - Upper profits</t>
  </si>
  <si>
    <t xml:space="preserve">Class 4 NI Contribution Upper profits</t>
  </si>
  <si>
    <t xml:space="preserve">TOTAL Income Tax &amp; NI Liability</t>
  </si>
  <si>
    <t xml:space="preserve">FUTURE TAX LIABILITY (if over £500)</t>
  </si>
  <si>
    <t xml:space="preserve">This section for your information only</t>
  </si>
  <si>
    <t xml:space="preserve">Due Date</t>
  </si>
  <si>
    <t xml:space="preserve">Amount Payable</t>
  </si>
  <si>
    <t xml:space="preserve">Tax &amp; NI Assessment</t>
  </si>
  <si>
    <t xml:space="preserve">Previous Year</t>
  </si>
  <si>
    <t xml:space="preserve">50% Payable</t>
  </si>
  <si>
    <t xml:space="preserve">NOTES:</t>
  </si>
  <si>
    <t xml:space="preserve">Working Tax Credit</t>
  </si>
  <si>
    <t xml:space="preserve">Not taxable and not added to self employment income for tax purposes</t>
  </si>
  <si>
    <t xml:space="preserve">Pension Entitlement</t>
  </si>
  <si>
    <t xml:space="preserve">To receive Full Pension entitlement NI has to be paid 44 years out of 49 years (16 - 65)</t>
  </si>
  <si>
    <t xml:space="preserve">UK residents aged 60 - 65 get 5 years bonus.</t>
  </si>
  <si>
    <t xml:space="preserve">To confirm current NI / Pension entitlement years the helpline number is 0845 3000 168</t>
  </si>
  <si>
    <t xml:space="preserve">Date Asset Purchased</t>
  </si>
  <si>
    <t xml:space="preserve">FIXED ASSETS</t>
  </si>
  <si>
    <t xml:space="preserve">Enter % Personal use of vehicles</t>
  </si>
  <si>
    <t xml:space="preserve">First Year Allow</t>
  </si>
  <si>
    <t xml:space="preserve">Date Asset  Sold</t>
  </si>
  <si>
    <t xml:space="preserve">Asset Description</t>
  </si>
  <si>
    <t xml:space="preserve">Purchase Reference</t>
  </si>
  <si>
    <t xml:space="preserve">Original Cost</t>
  </si>
  <si>
    <r>
      <rPr>
        <sz val="9"/>
        <rFont val="Times New Roman"/>
        <family val="1"/>
        <charset val="1"/>
      </rPr>
      <t xml:space="preserve">Written Down </t>
    </r>
    <r>
      <rPr>
        <b val="true"/>
        <sz val="9"/>
        <rFont val="Times New Roman"/>
        <family val="1"/>
        <charset val="1"/>
      </rPr>
      <t xml:space="preserve">Tax Value</t>
    </r>
  </si>
  <si>
    <t xml:space="preserve">First Year Allowance</t>
  </si>
  <si>
    <t xml:space="preserve">W Down Allowance</t>
  </si>
  <si>
    <r>
      <rPr>
        <sz val="9"/>
        <rFont val="Times New Roman"/>
        <family val="1"/>
        <charset val="1"/>
      </rPr>
      <t xml:space="preserve">Written Down   </t>
    </r>
    <r>
      <rPr>
        <b val="true"/>
        <sz val="9"/>
        <rFont val="Times New Roman"/>
        <family val="1"/>
        <charset val="1"/>
      </rPr>
      <t xml:space="preserve">Tax Value</t>
    </r>
  </si>
  <si>
    <r>
      <rPr>
        <b val="true"/>
        <sz val="9"/>
        <rFont val="Times New Roman"/>
        <family val="1"/>
        <charset val="1"/>
      </rPr>
      <t xml:space="preserve">Sales Value</t>
    </r>
    <r>
      <rPr>
        <sz val="9"/>
        <rFont val="Times New Roman"/>
        <family val="1"/>
        <charset val="1"/>
      </rPr>
      <t xml:space="preserve"> Assets Sold</t>
    </r>
  </si>
  <si>
    <t xml:space="preserve">Capital Allowance</t>
  </si>
  <si>
    <t xml:space="preserve">Balancing Charge</t>
  </si>
  <si>
    <t xml:space="preserve">EXISTING FIXED ASSETS at </t>
  </si>
  <si>
    <t xml:space="preserve">Land &amp; Property</t>
  </si>
  <si>
    <t xml:space="preserve">Existing Land &amp; Property</t>
  </si>
  <si>
    <t xml:space="preserve">Plant &amp; Machinery</t>
  </si>
  <si>
    <t xml:space="preserve">Existing Plant &amp; Machinery</t>
  </si>
  <si>
    <t xml:space="preserve">Fixtures &amp; Fittings</t>
  </si>
  <si>
    <t xml:space="preserve">Existing Fixtures &amp; Fittings</t>
  </si>
  <si>
    <t xml:space="preserve">Computers</t>
  </si>
  <si>
    <t xml:space="preserve">Existing Computers</t>
  </si>
  <si>
    <t xml:space="preserve">Motor Vehicles - costing over £</t>
  </si>
  <si>
    <t xml:space="preserve">Motor Vehicles - costing under £</t>
  </si>
  <si>
    <t xml:space="preserve">Motor Vehicles - Vans &amp; Lorries</t>
  </si>
  <si>
    <t xml:space="preserve">Existing Motor Vehicles</t>
  </si>
  <si>
    <t xml:space="preserve">NEW FIXED ASSETS Bought AFTER </t>
  </si>
  <si>
    <t xml:space="preserve">New Land &amp; Property</t>
  </si>
  <si>
    <t xml:space="preserve">New Plant &amp; Machinery</t>
  </si>
  <si>
    <t xml:space="preserve">New Fixtures &amp; Fittings</t>
  </si>
  <si>
    <t xml:space="preserve">New Computers</t>
  </si>
  <si>
    <t xml:space="preserve">New Motor Vehicles</t>
  </si>
  <si>
    <t xml:space="preserve">Month end   Date</t>
  </si>
  <si>
    <t xml:space="preserve">Physical     Stock Value</t>
  </si>
  <si>
    <t xml:space="preserve">Opening Stock</t>
  </si>
  <si>
    <t xml:space="preserve">Closing Stock</t>
  </si>
  <si>
    <t xml:space="preserve">Sales         Month</t>
  </si>
  <si>
    <t xml:space="preserve">Sales not yet received</t>
  </si>
  <si>
    <t xml:space="preserve">Purchase    Month</t>
  </si>
  <si>
    <t xml:space="preserve">Purchases still   to be paid</t>
  </si>
  <si>
    <t xml:space="preserve">Owed start year</t>
  </si>
  <si>
    <t xml:space="preserve">Acme Corp</t>
  </si>
  <si>
    <t xml:space="preserve">Beta Systems</t>
  </si>
  <si>
    <t xml:space="preserve">TechStart Ltd</t>
  </si>
  <si>
    <t xml:space="preserve">Gamma Ltd</t>
  </si>
  <si>
    <t xml:space="preserve">WorkSpace Ltd</t>
  </si>
  <si>
    <t xml:space="preserve">Smith &amp; Co</t>
  </si>
  <si>
    <t xml:space="preserve">TechParts Ltd</t>
  </si>
  <si>
    <t xml:space="preserve">BT Business</t>
  </si>
  <si>
    <t xml:space="preserve">Shell</t>
  </si>
  <si>
    <t xml:space="preserve">Amount owed by customers</t>
  </si>
  <si>
    <t xml:space="preserve">Amount owed    to suppliers</t>
  </si>
  <si>
    <t xml:space="preserve">Sales    Date</t>
  </si>
  <si>
    <t xml:space="preserve">Customer Name</t>
  </si>
  <si>
    <t xml:space="preserve">Total for Month</t>
  </si>
  <si>
    <t xml:space="preserve">Sales Invoice or reference</t>
  </si>
  <si>
    <t xml:space="preserve">Receipt record            Cash, Bank deposit, Dr Cr Card</t>
  </si>
  <si>
    <t xml:space="preserve">Sales Mileage</t>
  </si>
  <si>
    <t xml:space="preserve">Gross Sales Value</t>
  </si>
  <si>
    <t xml:space="preserve">Other Income (start up grants)</t>
  </si>
  <si>
    <t xml:space="preserve">Sales Value not yet received</t>
  </si>
  <si>
    <t xml:space="preserve">Number of Days Outstanding</t>
  </si>
  <si>
    <t xml:space="preserve">Sub contractors only</t>
  </si>
  <si>
    <t xml:space="preserve">CIS Tax Deducted</t>
  </si>
  <si>
    <t xml:space="preserve">CIS Certificate reference</t>
  </si>
  <si>
    <t xml:space="preserve">FreshField Ltd</t>
  </si>
  <si>
    <t xml:space="preserve">CloudNine Ltd</t>
  </si>
  <si>
    <t xml:space="preserve">Cedar Systems</t>
  </si>
  <si>
    <t xml:space="preserve">Pinnacle Group</t>
  </si>
  <si>
    <t xml:space="preserve">DataFlow Inc</t>
  </si>
  <si>
    <t xml:space="preserve">Horizon Analytics</t>
  </si>
  <si>
    <t xml:space="preserve">Entries below this line not included in totals</t>
  </si>
  <si>
    <t xml:space="preserve">Mileage to date</t>
  </si>
  <si>
    <t xml:space="preserve">Purchase Date</t>
  </si>
  <si>
    <t xml:space="preserve">Purchase Reference / Invoice Number</t>
  </si>
  <si>
    <t xml:space="preserve">Payment method    Enter cash, cheque no., DD, credit card</t>
  </si>
  <si>
    <t xml:space="preserve"> Enter Expense Code Letter</t>
  </si>
  <si>
    <t xml:space="preserve">Enter Mileage on purchases</t>
  </si>
  <si>
    <t xml:space="preserve">Total Purchase Value incl Vat</t>
  </si>
  <si>
    <t xml:space="preserve">Purchases waiting payment</t>
  </si>
  <si>
    <t xml:space="preserve">Purchases number of days outstanding</t>
  </si>
  <si>
    <t xml:space="preserve">Stock Purchases</t>
  </si>
  <si>
    <t xml:space="preserve">Direct other costs</t>
  </si>
  <si>
    <t xml:space="preserve">Employee Costs</t>
  </si>
  <si>
    <t xml:space="preserve">Premises Costs</t>
  </si>
  <si>
    <t xml:space="preserve">Repairs &amp; Maintenance</t>
  </si>
  <si>
    <t xml:space="preserve">Gen Admin Postage Tel &amp; Stationery</t>
  </si>
  <si>
    <t xml:space="preserve">Motor Expenses</t>
  </si>
  <si>
    <t xml:space="preserve">Travel &amp; Subsistence</t>
  </si>
  <si>
    <t xml:space="preserve">Advertising &amp; Promotion</t>
  </si>
  <si>
    <t xml:space="preserve">Legal &amp; Professional</t>
  </si>
  <si>
    <t xml:space="preserve">Bad      Debts</t>
  </si>
  <si>
    <t xml:space="preserve">Bank Interest Charges</t>
  </si>
  <si>
    <t xml:space="preserve">Other Expenses</t>
  </si>
  <si>
    <t xml:space="preserve">Fixed Assets (items over £100)</t>
  </si>
  <si>
    <t xml:space="preserve">Contractors </t>
  </si>
  <si>
    <t xml:space="preserve">CIS Certificates</t>
  </si>
  <si>
    <t xml:space="preserve">m</t>
  </si>
  <si>
    <t xml:space="preserve">S</t>
  </si>
  <si>
    <t xml:space="preserve">D</t>
  </si>
  <si>
    <t xml:space="preserve">E</t>
  </si>
  <si>
    <t xml:space="preserve">P</t>
  </si>
  <si>
    <t xml:space="preserve">R</t>
  </si>
  <si>
    <t xml:space="preserve">G</t>
  </si>
  <si>
    <t xml:space="preserve">M</t>
  </si>
  <si>
    <t xml:space="preserve">T</t>
  </si>
  <si>
    <t xml:space="preserve">A</t>
  </si>
  <si>
    <t xml:space="preserve">L</t>
  </si>
  <si>
    <t xml:space="preserve">B</t>
  </si>
  <si>
    <t xml:space="preserve">I</t>
  </si>
  <si>
    <t xml:space="preserve">O</t>
  </si>
  <si>
    <t xml:space="preserve">F</t>
  </si>
  <si>
    <t xml:space="preserve">Tax Paid</t>
  </si>
  <si>
    <t xml:space="preserve">Certificate No</t>
  </si>
  <si>
    <t xml:space="preserve">p</t>
  </si>
  <si>
    <t xml:space="preserve">Microsoft</t>
  </si>
  <si>
    <t xml:space="preserve">g</t>
  </si>
  <si>
    <t xml:space="preserve">Slack</t>
  </si>
  <si>
    <t xml:space="preserve">GitHub</t>
  </si>
  <si>
    <t xml:space="preserve">o</t>
  </si>
  <si>
    <t xml:space="preserve">Hiscox</t>
  </si>
  <si>
    <t xml:space="preserve">Cloudflare</t>
  </si>
  <si>
    <t xml:space="preserve">Zoom</t>
  </si>
  <si>
    <t xml:space="preserve">AWS</t>
  </si>
  <si>
    <t xml:space="preserve">Argos</t>
  </si>
  <si>
    <t xml:space="preserve">Ryman</t>
  </si>
  <si>
    <t xml:space="preserve">BP</t>
  </si>
  <si>
    <t xml:space="preserve">DigitalOcean</t>
  </si>
  <si>
    <t xml:space="preserve">National Rail</t>
  </si>
  <si>
    <t xml:space="preserve">t</t>
  </si>
  <si>
    <t xml:space="preserve">Amazon</t>
  </si>
  <si>
    <t xml:space="preserve">Xerox</t>
  </si>
  <si>
    <t xml:space="preserve">TechParts</t>
  </si>
  <si>
    <t xml:space="preserve">s</t>
  </si>
  <si>
    <t xml:space="preserve">NCP</t>
  </si>
  <si>
    <t xml:space="preserve">Toolstation</t>
  </si>
  <si>
    <t xml:space="preserve">Uber</t>
  </si>
  <si>
    <t xml:space="preserve">Costa Coffee</t>
  </si>
  <si>
    <t xml:space="preserve">Royal Mail</t>
  </si>
  <si>
    <t xml:space="preserve">Jet</t>
  </si>
  <si>
    <t xml:space="preserve">Office Maintenance Ltd</t>
  </si>
  <si>
    <t xml:space="preserve">r</t>
  </si>
  <si>
    <t xml:space="preserve">Greggs</t>
  </si>
  <si>
    <t xml:space="preserve">Screwfix</t>
  </si>
  <si>
    <t xml:space="preserve">Wilko</t>
  </si>
  <si>
    <t xml:space="preserve">Mileage claim</t>
  </si>
  <si>
    <t xml:space="preserve">l</t>
  </si>
  <si>
    <t xml:space="preserve">QuickFix IT</t>
  </si>
  <si>
    <t xml:space="preserve">Summit Training</t>
  </si>
  <si>
    <t xml:space="preserve">Oakridge Partners</t>
  </si>
  <si>
    <t xml:space="preserve">Enter Mileage</t>
  </si>
  <si>
    <t xml:space="preserve">Trainline</t>
  </si>
  <si>
    <t xml:space="preserve">Hilti</t>
  </si>
  <si>
    <t xml:space="preserve">Google Ads</t>
  </si>
  <si>
    <t xml:space="preserve">a</t>
  </si>
  <si>
    <t xml:space="preserve">ComponentsDirect</t>
  </si>
  <si>
    <t xml:space="preserve">Dell</t>
  </si>
  <si>
    <t xml:space="preserve">f</t>
  </si>
  <si>
    <t xml:space="preserve">WHSmith</t>
  </si>
  <si>
    <t xml:space="preserve">ParcelForce</t>
  </si>
  <si>
    <t xml:space="preserve">CableCo</t>
  </si>
  <si>
    <t xml:space="preserve">Halfords</t>
  </si>
  <si>
    <t xml:space="preserve">WidgetWorks</t>
  </si>
  <si>
    <t xml:space="preserve">Vistaprint</t>
  </si>
  <si>
    <t xml:space="preserve">BuildTech Solutions</t>
  </si>
  <si>
    <t xml:space="preserve">d</t>
  </si>
  <si>
    <t xml:space="preserve">Premier Inn</t>
  </si>
  <si>
    <t xml:space="preserve">ElectroParts</t>
  </si>
  <si>
    <t xml:space="preserve">EnergySupply</t>
  </si>
  <si>
    <t xml:space="preserve">Directors loan</t>
  </si>
  <si>
    <t xml:space="preserve">i</t>
  </si>
  <si>
    <t xml:space="preserve">NorthStar Digital</t>
  </si>
  <si>
    <t xml:space="preserve">J. Smith Consulting</t>
  </si>
  <si>
    <t xml:space="preserve">LinkedIn</t>
  </si>
  <si>
    <t xml:space="preserve">ToolHire</t>
  </si>
  <si>
    <t xml:space="preserve">IKEA</t>
  </si>
  <si>
    <t xml:space="preserve">DHL</t>
  </si>
  <si>
    <t xml:space="preserve">Innovate UK</t>
  </si>
  <si>
    <t xml:space="preserve">PC Repair Shop</t>
  </si>
  <si>
    <t xml:space="preserve">Casual worker</t>
  </si>
  <si>
    <t xml:space="preserve">e</t>
  </si>
  <si>
    <t xml:space="preserve">StartupHub</t>
  </si>
  <si>
    <t xml:space="preserve">Epsilon Partners</t>
  </si>
  <si>
    <t xml:space="preserve">Jones Solicitors</t>
  </si>
  <si>
    <t xml:space="preserve">Simply Business</t>
  </si>
  <si>
    <t xml:space="preserve">TechExpo</t>
  </si>
  <si>
    <t xml:space="preserve">Ford</t>
  </si>
  <si>
    <t xml:space="preserve">Delta PLC</t>
  </si>
  <si>
    <t xml:space="preserve">Code Club UK</t>
  </si>
  <si>
    <t xml:space="preserve">b</t>
  </si>
  <si>
    <t xml:space="preserve">Director</t>
  </si>
  <si>
    <t xml:space="preserve">Lambda Corp</t>
  </si>
  <si>
    <t xml:space="preserve">MegaCorp</t>
  </si>
  <si>
    <t xml:space="preserve">Zeta Corp</t>
  </si>
  <si>
    <t xml:space="preserve">Dates</t>
  </si>
  <si>
    <t xml:space="preserve">Capital Tax Allowances </t>
  </si>
  <si>
    <t xml:space="preserve">Income Tax Rates</t>
  </si>
  <si>
    <t xml:space="preserve">Personal allowance</t>
  </si>
  <si>
    <t xml:space="preserve">Writing down allowance</t>
  </si>
  <si>
    <t xml:space="preserve">Starting tax rate on lower tax band</t>
  </si>
  <si>
    <t xml:space="preserve">%</t>
  </si>
  <si>
    <t xml:space="preserve">Allowances restricted on Motor vehicles</t>
  </si>
  <si>
    <t xml:space="preserve">Basic rate applicable on taxable income up to higher rate</t>
  </si>
  <si>
    <t xml:space="preserve">Costing over </t>
  </si>
  <si>
    <t xml:space="preserve">Restricted to</t>
  </si>
  <si>
    <t xml:space="preserve">Higher rate applicable on taxable income over higher rate</t>
  </si>
  <si>
    <t xml:space="preserve">Taxable Bands Allowances</t>
  </si>
  <si>
    <t xml:space="preserve">Start Level</t>
  </si>
  <si>
    <t xml:space="preserve"> End Level</t>
  </si>
  <si>
    <t xml:space="preserve"> Tax Band </t>
  </si>
  <si>
    <t xml:space="preserve">Depreciation Rates Applied</t>
  </si>
  <si>
    <t xml:space="preserve">Starter rate</t>
  </si>
  <si>
    <t xml:space="preserve">Basic rate</t>
  </si>
  <si>
    <t xml:space="preserve">Higher rate</t>
  </si>
  <si>
    <t xml:space="preserve">National Insurance rates</t>
  </si>
  <si>
    <t xml:space="preserve">Computer Equipment</t>
  </si>
  <si>
    <t xml:space="preserve">Motor Vehicles</t>
  </si>
  <si>
    <t xml:space="preserve">NI Class 2 rate</t>
  </si>
  <si>
    <t xml:space="preserve">Above Lower Profits Threshold (LPT)</t>
  </si>
  <si>
    <t xml:space="preserve">Mileage Allowances</t>
  </si>
  <si>
    <t xml:space="preserve">Miles</t>
  </si>
  <si>
    <t xml:space="preserve">p per mile</t>
  </si>
  <si>
    <t xml:space="preserve">NI Class 4 rate between lower profits and upper profits limit</t>
  </si>
  <si>
    <t xml:space="preserve">NIC class 4 lower limit</t>
  </si>
  <si>
    <t xml:space="preserve">Higher rate allowance up to</t>
  </si>
  <si>
    <t xml:space="preserve">Lower rate allowance over</t>
  </si>
  <si>
    <t xml:space="preserve">NI Class 4 rate above upper profits limit</t>
  </si>
  <si>
    <t xml:space="preserve">NIC class 4 upper limit</t>
  </si>
  <si>
    <t xml:space="preserve">2026-27</t>
  </si>
  <si>
    <t xml:space="preserve">2027-28</t>
  </si>
  <si>
    <t xml:space="preserve">VAT</t>
  </si>
  <si>
    <t xml:space="preserve">VAT Registration threshold</t>
  </si>
</sst>
</file>

<file path=xl/styles.xml><?xml version="1.0" encoding="utf-8"?>
<styleSheet xmlns="http://schemas.openxmlformats.org/spreadsheetml/2006/main">
  <numFmts count="17">
    <numFmt numFmtId="164" formatCode="General"/>
    <numFmt numFmtId="165" formatCode="m/d/yyyy"/>
    <numFmt numFmtId="166" formatCode="General"/>
    <numFmt numFmtId="167" formatCode="mmm\-yy"/>
    <numFmt numFmtId="168" formatCode="[$-F800]dddd&quot;, &quot;mmmm\ dd&quot;, &quot;yyyy"/>
    <numFmt numFmtId="169" formatCode="dd/mm/yyyy;@"/>
    <numFmt numFmtId="170" formatCode="#,##0"/>
    <numFmt numFmtId="171" formatCode="0"/>
    <numFmt numFmtId="172" formatCode="d\-mmm\-yy"/>
    <numFmt numFmtId="173" formatCode="0.00_ ;[RED]\-0.00\ "/>
    <numFmt numFmtId="174" formatCode="#,##0_ ;[RED]\-#,##0\ "/>
    <numFmt numFmtId="175" formatCode="#,##0.00"/>
    <numFmt numFmtId="176" formatCode="0.00"/>
    <numFmt numFmtId="177" formatCode="#,##0.00_ ;[RED]\-#,##0.00\ "/>
    <numFmt numFmtId="178" formatCode="0_ ;[RED]\-0\ "/>
    <numFmt numFmtId="179" formatCode="0%"/>
    <numFmt numFmtId="180" formatCode="0.00%"/>
  </numFmts>
  <fonts count="38">
    <font>
      <sz val="10"/>
      <name val="Arial"/>
      <family val="0"/>
      <charset val="1"/>
    </font>
    <font>
      <sz val="10"/>
      <name val="Arial"/>
      <family val="0"/>
    </font>
    <font>
      <sz val="10"/>
      <name val="Arial"/>
      <family val="0"/>
    </font>
    <font>
      <sz val="10"/>
      <name val="Arial"/>
      <family val="0"/>
    </font>
    <font>
      <sz val="10"/>
      <name val="Arial"/>
      <family val="2"/>
      <charset val="1"/>
    </font>
    <font>
      <b val="true"/>
      <sz val="10"/>
      <name val="Arial"/>
      <family val="2"/>
      <charset val="1"/>
    </font>
    <font>
      <sz val="10"/>
      <color rgb="FFFFFFFF"/>
      <name val="Arial"/>
      <family val="2"/>
      <charset val="1"/>
    </font>
    <font>
      <i val="true"/>
      <sz val="10"/>
      <name val="Arial"/>
      <family val="2"/>
      <charset val="1"/>
    </font>
    <font>
      <b val="true"/>
      <i val="true"/>
      <sz val="10"/>
      <name val="Arial"/>
      <family val="2"/>
      <charset val="1"/>
    </font>
    <font>
      <u val="single"/>
      <sz val="10"/>
      <color rgb="FF0000FF"/>
      <name val="Arial"/>
      <family val="2"/>
      <charset val="1"/>
    </font>
    <font>
      <sz val="9"/>
      <name val="Arial"/>
      <family val="2"/>
      <charset val="1"/>
    </font>
    <font>
      <b val="true"/>
      <sz val="9"/>
      <name val="Arial"/>
      <family val="2"/>
      <charset val="1"/>
    </font>
    <font>
      <i val="true"/>
      <sz val="9"/>
      <name val="Arial"/>
      <family val="2"/>
      <charset val="1"/>
    </font>
    <font>
      <sz val="8"/>
      <name val="Arial"/>
      <family val="2"/>
      <charset val="1"/>
    </font>
    <font>
      <i val="true"/>
      <sz val="8"/>
      <name val="Arial"/>
      <family val="2"/>
      <charset val="1"/>
    </font>
    <font>
      <b val="true"/>
      <sz val="11"/>
      <name val="Arial"/>
      <family val="2"/>
      <charset val="1"/>
    </font>
    <font>
      <b val="true"/>
      <sz val="14"/>
      <name val="Arial"/>
      <family val="2"/>
      <charset val="1"/>
    </font>
    <font>
      <b val="true"/>
      <sz val="8"/>
      <name val="Arial"/>
      <family val="2"/>
      <charset val="1"/>
    </font>
    <font>
      <sz val="10"/>
      <color rgb="FF3366FF"/>
      <name val="Arial"/>
      <family val="2"/>
      <charset val="1"/>
    </font>
    <font>
      <b val="true"/>
      <sz val="12"/>
      <name val="Arial"/>
      <family val="2"/>
      <charset val="1"/>
    </font>
    <font>
      <i val="true"/>
      <sz val="8"/>
      <color rgb="FF0000FF"/>
      <name val="Arial"/>
      <family val="2"/>
      <charset val="1"/>
    </font>
    <font>
      <b val="true"/>
      <sz val="14"/>
      <color rgb="FF333399"/>
      <name val="Arial"/>
      <family val="2"/>
      <charset val="1"/>
    </font>
    <font>
      <b val="true"/>
      <sz val="8"/>
      <color rgb="FFFF6600"/>
      <name val="Arial"/>
      <family val="2"/>
      <charset val="1"/>
    </font>
    <font>
      <b val="true"/>
      <sz val="16"/>
      <color rgb="FF333399"/>
      <name val="Arial"/>
      <family val="2"/>
      <charset val="1"/>
    </font>
    <font>
      <b val="true"/>
      <sz val="10"/>
      <color rgb="FF333399"/>
      <name val="Arial"/>
      <family val="2"/>
      <charset val="1"/>
    </font>
    <font>
      <sz val="12"/>
      <name val="Arial"/>
      <family val="2"/>
      <charset val="1"/>
    </font>
    <font>
      <sz val="11"/>
      <color rgb="FF3366FF"/>
      <name val="Arial"/>
      <family val="2"/>
      <charset val="1"/>
    </font>
    <font>
      <sz val="10"/>
      <name val="Times New Roman"/>
      <family val="1"/>
      <charset val="1"/>
    </font>
    <font>
      <b val="true"/>
      <sz val="10"/>
      <name val="Times New Roman"/>
      <family val="1"/>
      <charset val="1"/>
    </font>
    <font>
      <sz val="10"/>
      <color rgb="FFFF0000"/>
      <name val="Times New Roman"/>
      <family val="1"/>
      <charset val="1"/>
    </font>
    <font>
      <sz val="9"/>
      <name val="Times New Roman"/>
      <family val="1"/>
      <charset val="1"/>
    </font>
    <font>
      <sz val="10"/>
      <color rgb="FF0000FF"/>
      <name val="Times New Roman"/>
      <family val="1"/>
      <charset val="1"/>
    </font>
    <font>
      <b val="true"/>
      <sz val="10"/>
      <color rgb="FF0000FF"/>
      <name val="Times New Roman"/>
      <family val="1"/>
      <charset val="1"/>
    </font>
    <font>
      <b val="true"/>
      <i val="true"/>
      <sz val="10"/>
      <name val="Times New Roman"/>
      <family val="1"/>
      <charset val="1"/>
    </font>
    <font>
      <b val="true"/>
      <sz val="9"/>
      <name val="Times New Roman"/>
      <family val="1"/>
      <charset val="1"/>
    </font>
    <font>
      <sz val="8"/>
      <name val="Times New Roman"/>
      <family val="1"/>
      <charset val="1"/>
    </font>
    <font>
      <b val="true"/>
      <sz val="8"/>
      <name val="Times New Roman"/>
      <family val="1"/>
      <charset val="1"/>
    </font>
    <font>
      <b val="true"/>
      <i val="true"/>
      <sz val="8"/>
      <name val="Times New Roman"/>
      <family val="1"/>
      <charset val="1"/>
    </font>
  </fonts>
  <fills count="6">
    <fill>
      <patternFill patternType="none"/>
    </fill>
    <fill>
      <patternFill patternType="gray125"/>
    </fill>
    <fill>
      <patternFill patternType="solid">
        <fgColor rgb="FFFFFF99"/>
        <bgColor rgb="FFFFFFCC"/>
      </patternFill>
    </fill>
    <fill>
      <patternFill patternType="solid">
        <fgColor rgb="FFFFFFCC"/>
        <bgColor rgb="FFFFFFFF"/>
      </patternFill>
    </fill>
    <fill>
      <patternFill patternType="solid">
        <fgColor rgb="FFFF9900"/>
        <bgColor rgb="FFFFCC00"/>
      </patternFill>
    </fill>
    <fill>
      <patternFill patternType="solid">
        <fgColor rgb="FFCCFFFF"/>
        <bgColor rgb="FFCCFFFF"/>
      </patternFill>
    </fill>
  </fills>
  <borders count="44">
    <border diagonalUp="false" diagonalDown="false">
      <left/>
      <right/>
      <top/>
      <bottom/>
      <diagonal/>
    </border>
    <border diagonalUp="false" diagonalDown="false">
      <left style="thin">
        <color rgb="FF00CCFF"/>
      </left>
      <right style="thin">
        <color rgb="FF00CCFF"/>
      </right>
      <top style="thin">
        <color rgb="FF00CCFF"/>
      </top>
      <bottom style="thin">
        <color rgb="FF00CCFF"/>
      </bottom>
      <diagonal/>
    </border>
    <border diagonalUp="false" diagonalDown="false">
      <left style="thin">
        <color rgb="FF00CCFF"/>
      </left>
      <right/>
      <top style="thin">
        <color rgb="FF00CCFF"/>
      </top>
      <bottom/>
      <diagonal/>
    </border>
    <border diagonalUp="false" diagonalDown="false">
      <left/>
      <right/>
      <top style="thin">
        <color rgb="FF00CCFF"/>
      </top>
      <bottom/>
      <diagonal/>
    </border>
    <border diagonalUp="false" diagonalDown="false">
      <left/>
      <right style="thin">
        <color rgb="FF00CCFF"/>
      </right>
      <top style="thin">
        <color rgb="FF00CCFF"/>
      </top>
      <bottom/>
      <diagonal/>
    </border>
    <border diagonalUp="false" diagonalDown="false">
      <left style="thin">
        <color rgb="FF00CCFF"/>
      </left>
      <right/>
      <top/>
      <bottom/>
      <diagonal/>
    </border>
    <border diagonalUp="false" diagonalDown="false">
      <left/>
      <right style="thin">
        <color rgb="FF00CCFF"/>
      </right>
      <top/>
      <bottom/>
      <diagonal/>
    </border>
    <border diagonalUp="false" diagonalDown="false">
      <left style="thin">
        <color rgb="FF99CCFF"/>
      </left>
      <right/>
      <top style="thin">
        <color rgb="FF99CCFF"/>
      </top>
      <bottom style="thin">
        <color rgb="FF99CCFF"/>
      </bottom>
      <diagonal/>
    </border>
    <border diagonalUp="false" diagonalDown="false">
      <left style="thin">
        <color rgb="FF99CCFF"/>
      </left>
      <right style="thin">
        <color rgb="FF99CCFF"/>
      </right>
      <top style="thin">
        <color rgb="FF99CCFF"/>
      </top>
      <bottom style="thin">
        <color rgb="FF99CCFF"/>
      </bottom>
      <diagonal/>
    </border>
    <border diagonalUp="false" diagonalDown="false">
      <left/>
      <right style="thin">
        <color rgb="FF99CCFF"/>
      </right>
      <top/>
      <bottom/>
      <diagonal/>
    </border>
    <border diagonalUp="false" diagonalDown="false">
      <left style="thin">
        <color rgb="FF99CCFF"/>
      </left>
      <right/>
      <top/>
      <bottom/>
      <diagonal/>
    </border>
    <border diagonalUp="false" diagonalDown="false">
      <left style="thin">
        <color rgb="FF99CCFF"/>
      </left>
      <right/>
      <top/>
      <bottom style="thin">
        <color rgb="FF99CCFF"/>
      </bottom>
      <diagonal/>
    </border>
    <border diagonalUp="false" diagonalDown="false">
      <left/>
      <right/>
      <top/>
      <bottom style="thin">
        <color rgb="FF99CCFF"/>
      </bottom>
      <diagonal/>
    </border>
    <border diagonalUp="false" diagonalDown="false">
      <left/>
      <right style="thin">
        <color rgb="FF99CCFF"/>
      </right>
      <top/>
      <bottom style="thin">
        <color rgb="FF99CCFF"/>
      </bottom>
      <diagonal/>
    </border>
    <border diagonalUp="false" diagonalDown="false">
      <left/>
      <right/>
      <top/>
      <bottom style="thin">
        <color rgb="FF00CCFF"/>
      </bottom>
      <diagonal/>
    </border>
    <border diagonalUp="false" diagonalDown="false">
      <left style="thin">
        <color rgb="FF00CCFF"/>
      </left>
      <right/>
      <top/>
      <bottom style="thin">
        <color rgb="FF00CCFF"/>
      </bottom>
      <diagonal/>
    </border>
    <border diagonalUp="false" diagonalDown="false">
      <left/>
      <right style="thin">
        <color rgb="FF00CCFF"/>
      </right>
      <top/>
      <bottom style="thin">
        <color rgb="FF00CCFF"/>
      </bottom>
      <diagonal/>
    </border>
    <border diagonalUp="false" diagonalDown="false">
      <left style="thin">
        <color rgb="FF99CCFF"/>
      </left>
      <right/>
      <top style="thin">
        <color rgb="FF99CCFF"/>
      </top>
      <bottom/>
      <diagonal/>
    </border>
    <border diagonalUp="false" diagonalDown="false">
      <left/>
      <right/>
      <top style="thin">
        <color rgb="FF99CCFF"/>
      </top>
      <bottom/>
      <diagonal/>
    </border>
    <border diagonalUp="false" diagonalDown="false">
      <left/>
      <right style="thin">
        <color rgb="FF99CCFF"/>
      </right>
      <top style="thin">
        <color rgb="FF99CCFF"/>
      </top>
      <bottom/>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style="thin"/>
      <right style="thin"/>
      <top/>
      <bottom style="thin"/>
      <diagonal/>
    </border>
    <border diagonalUp="false" diagonalDown="false">
      <left style="thin"/>
      <right style="thin"/>
      <top style="thin"/>
      <bottom style="medium"/>
      <diagonal/>
    </border>
    <border diagonalUp="false" diagonalDown="false">
      <left/>
      <right/>
      <top style="thin"/>
      <bottom style="medium"/>
      <diagonal/>
    </border>
    <border diagonalUp="false" diagonalDown="false">
      <left/>
      <right/>
      <top/>
      <bottom style="thin"/>
      <diagonal/>
    </border>
    <border diagonalUp="false" diagonalDown="false">
      <left/>
      <right/>
      <top style="thin"/>
      <bottom style="double"/>
      <diagonal/>
    </border>
    <border diagonalUp="false" diagonalDown="false">
      <left style="medium"/>
      <right style="medium"/>
      <top style="medium"/>
      <bottom style="medium"/>
      <diagonal/>
    </border>
    <border diagonalUp="false" diagonalDown="false">
      <left/>
      <right/>
      <top style="thin"/>
      <bottom style="thin"/>
      <diagonal/>
    </border>
    <border diagonalUp="false" diagonalDown="false">
      <left style="medium"/>
      <right/>
      <top style="medium"/>
      <bottom style="medium"/>
      <diagonal/>
    </border>
    <border diagonalUp="false" diagonalDown="false">
      <left/>
      <right style="medium"/>
      <top style="medium"/>
      <bottom style="medium"/>
      <diagonal/>
    </border>
    <border diagonalUp="false" diagonalDown="false">
      <left/>
      <right style="thin"/>
      <top style="thin"/>
      <bottom style="thin"/>
      <diagonal/>
    </border>
    <border diagonalUp="false" diagonalDown="false">
      <left style="thin"/>
      <right style="thin"/>
      <top style="medium"/>
      <bottom style="thin"/>
      <diagonal/>
    </border>
    <border diagonalUp="false" diagonalDown="false">
      <left style="thin"/>
      <right style="thin"/>
      <top style="medium"/>
      <bottom/>
      <diagonal/>
    </border>
    <border diagonalUp="false" diagonalDown="false">
      <left/>
      <right style="medium"/>
      <top style="medium"/>
      <bottom/>
      <diagonal/>
    </border>
    <border diagonalUp="false" diagonalDown="false">
      <left/>
      <right style="medium"/>
      <top/>
      <bottom/>
      <diagonal/>
    </border>
    <border diagonalUp="false" diagonalDown="false">
      <left style="thin"/>
      <right/>
      <top/>
      <bottom/>
      <diagonal/>
    </border>
    <border diagonalUp="false" diagonalDown="false">
      <left/>
      <right style="thin"/>
      <top/>
      <bottom/>
      <diagonal/>
    </border>
    <border diagonalUp="false" diagonalDown="false">
      <left style="thin"/>
      <right/>
      <top/>
      <bottom style="medium"/>
      <diagonal/>
    </border>
    <border diagonalUp="false" diagonalDown="false">
      <left/>
      <right/>
      <top/>
      <bottom style="medium"/>
      <diagonal/>
    </border>
    <border diagonalUp="false" diagonalDown="false">
      <left/>
      <right style="medium"/>
      <top/>
      <bottom style="medium"/>
      <diagonal/>
    </border>
    <border diagonalUp="false" diagonalDown="false">
      <left style="medium"/>
      <right style="medium"/>
      <top style="medium"/>
      <bottom/>
      <diagonal/>
    </border>
    <border diagonalUp="false" diagonalDown="false">
      <left style="medium"/>
      <right style="medium"/>
      <top/>
      <bottom style="medium"/>
      <diagonal/>
    </border>
    <border diagonalUp="false" diagonalDown="false">
      <left style="thin"/>
      <right style="thin"/>
      <top/>
      <bottom/>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9"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cellStyleXfs>
  <cellXfs count="429">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2" borderId="0" xfId="0" applyFont="true" applyBorder="true" applyAlignment="true" applyProtection="false">
      <alignment horizontal="center"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7" fillId="2" borderId="0" xfId="0" applyFont="true" applyBorder="true" applyAlignment="true" applyProtection="false">
      <alignment horizontal="left" vertical="bottom" textRotation="0" wrapText="tru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6" fontId="9" fillId="2" borderId="0" xfId="20" applyFont="true" applyBorder="true" applyAlignment="true" applyProtection="true">
      <alignment horizontal="general" vertical="bottom" textRotation="0" wrapText="false" indent="0" shrinkToFit="false"/>
      <protection locked="true" hidden="false"/>
    </xf>
    <xf numFmtId="167" fontId="9" fillId="2" borderId="0" xfId="20" applyFont="true" applyBorder="true" applyAlignment="true" applyProtection="tru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left" vertical="center" textRotation="0" wrapText="false" indent="1" shrinkToFit="false"/>
      <protection locked="true" hidden="false"/>
    </xf>
    <xf numFmtId="164" fontId="10" fillId="3" borderId="2" xfId="0" applyFont="true" applyBorder="true" applyAlignment="false" applyProtection="false">
      <alignment horizontal="general" vertical="bottom" textRotation="0" wrapText="false" indent="0" shrinkToFit="false"/>
      <protection locked="true" hidden="false"/>
    </xf>
    <xf numFmtId="164" fontId="10" fillId="3" borderId="3" xfId="0" applyFont="true" applyBorder="true" applyAlignment="false" applyProtection="false">
      <alignment horizontal="general" vertical="bottom" textRotation="0" wrapText="false" indent="0" shrinkToFit="false"/>
      <protection locked="true" hidden="false"/>
    </xf>
    <xf numFmtId="164" fontId="10" fillId="3" borderId="4" xfId="0" applyFont="true" applyBorder="true" applyAlignment="false" applyProtection="false">
      <alignment horizontal="general" vertical="bottom" textRotation="0" wrapText="false" indent="0" shrinkToFit="false"/>
      <protection locked="true" hidden="false"/>
    </xf>
    <xf numFmtId="164" fontId="10" fillId="3" borderId="5" xfId="0" applyFont="true" applyBorder="true" applyAlignment="false" applyProtection="false">
      <alignment horizontal="general" vertical="bottom" textRotation="0" wrapText="false" indent="0" shrinkToFit="false"/>
      <protection locked="true" hidden="false"/>
    </xf>
    <xf numFmtId="164" fontId="10" fillId="3" borderId="0" xfId="0" applyFont="true" applyBorder="false" applyAlignment="false" applyProtection="false">
      <alignment horizontal="general" vertical="bottom" textRotation="0" wrapText="false" indent="0" shrinkToFit="false"/>
      <protection locked="true" hidden="false"/>
    </xf>
    <xf numFmtId="164" fontId="13" fillId="3" borderId="0" xfId="0" applyFont="true" applyBorder="false" applyAlignment="false" applyProtection="false">
      <alignment horizontal="general" vertical="bottom" textRotation="0" wrapText="false" indent="0" shrinkToFit="false"/>
      <protection locked="true" hidden="false"/>
    </xf>
    <xf numFmtId="164" fontId="13" fillId="3" borderId="6" xfId="0" applyFont="true" applyBorder="true" applyAlignment="false" applyProtection="false">
      <alignment horizontal="general" vertical="bottom" textRotation="0" wrapText="false" indent="0" shrinkToFit="false"/>
      <protection locked="true" hidden="false"/>
    </xf>
    <xf numFmtId="164" fontId="10" fillId="0" borderId="7" xfId="0" applyFont="true" applyBorder="true" applyAlignment="true" applyProtection="false">
      <alignment horizontal="general" vertical="center" textRotation="0" wrapText="fals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3" fillId="0" borderId="8" xfId="0" applyFont="true" applyBorder="true" applyAlignment="false" applyProtection="false">
      <alignment horizontal="general" vertical="bottom" textRotation="0" wrapText="false" indent="0" shrinkToFit="false"/>
      <protection locked="true" hidden="false"/>
    </xf>
    <xf numFmtId="168" fontId="13"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13" fillId="3" borderId="9" xfId="0" applyFont="true" applyBorder="true" applyAlignment="false" applyProtection="false">
      <alignment horizontal="general" vertical="bottom" textRotation="0" wrapText="false" indent="0" shrinkToFit="false"/>
      <protection locked="true" hidden="false"/>
    </xf>
    <xf numFmtId="164" fontId="10" fillId="3" borderId="10" xfId="0" applyFont="true" applyBorder="true" applyAlignment="false" applyProtection="false">
      <alignment horizontal="general" vertical="bottom" textRotation="0" wrapText="false" indent="0" shrinkToFit="false"/>
      <protection locked="true" hidden="false"/>
    </xf>
    <xf numFmtId="164" fontId="10" fillId="3" borderId="0" xfId="0" applyFont="true" applyBorder="false" applyAlignment="true" applyProtection="false">
      <alignment horizontal="general" vertical="center" textRotation="0" wrapText="false" indent="0" shrinkToFit="false"/>
      <protection locked="true" hidden="false"/>
    </xf>
    <xf numFmtId="164" fontId="10" fillId="3" borderId="9" xfId="0" applyFont="true" applyBorder="true" applyAlignment="false" applyProtection="false">
      <alignment horizontal="general" vertical="bottom" textRotation="0" wrapText="false" indent="0" shrinkToFit="false"/>
      <protection locked="true" hidden="false"/>
    </xf>
    <xf numFmtId="168" fontId="13" fillId="3" borderId="0" xfId="0" applyFont="true" applyBorder="true" applyAlignment="true" applyProtection="false">
      <alignment horizontal="left" vertical="bottom" textRotation="0" wrapText="false" indent="0" shrinkToFit="false"/>
      <protection locked="true" hidden="false"/>
    </xf>
    <xf numFmtId="164" fontId="13" fillId="3" borderId="0" xfId="0" applyFont="true" applyBorder="true" applyAlignment="true" applyProtection="false">
      <alignment horizontal="general" vertical="center" textRotation="0" wrapText="false" indent="0" shrinkToFit="false"/>
      <protection locked="true" hidden="false"/>
    </xf>
    <xf numFmtId="164" fontId="13" fillId="3" borderId="9" xfId="0" applyFont="true" applyBorder="true" applyAlignment="true" applyProtection="false">
      <alignment horizontal="general" vertical="center" textRotation="0" wrapText="false" indent="0" shrinkToFit="false"/>
      <protection locked="true" hidden="false"/>
    </xf>
    <xf numFmtId="169" fontId="15" fillId="0" borderId="8" xfId="0" applyFont="true" applyBorder="true" applyAlignment="true" applyProtection="false">
      <alignment horizontal="center" vertical="center" textRotation="0" wrapText="false" indent="0" shrinkToFit="false"/>
      <protection locked="true" hidden="false"/>
    </xf>
    <xf numFmtId="164" fontId="10" fillId="0" borderId="8" xfId="0" applyFont="true" applyBorder="true" applyAlignment="true" applyProtection="false">
      <alignment horizontal="right" vertical="bottom" textRotation="0" wrapText="false" indent="0" shrinkToFit="false"/>
      <protection locked="true" hidden="false"/>
    </xf>
    <xf numFmtId="164" fontId="10" fillId="0" borderId="8" xfId="0" applyFont="true" applyBorder="true" applyAlignment="true" applyProtection="false">
      <alignment horizontal="left" vertical="bottom" textRotation="0" wrapText="false" indent="0" shrinkToFit="false"/>
      <protection locked="true" hidden="false"/>
    </xf>
    <xf numFmtId="164" fontId="14" fillId="3" borderId="0" xfId="0" applyFont="true" applyBorder="false" applyAlignment="false" applyProtection="false">
      <alignment horizontal="general" vertical="bottom" textRotation="0" wrapText="false" indent="0" shrinkToFit="false"/>
      <protection locked="true" hidden="false"/>
    </xf>
    <xf numFmtId="164" fontId="13" fillId="3" borderId="0" xfId="0" applyFont="true" applyBorder="false" applyAlignment="true" applyProtection="false">
      <alignment horizontal="general" vertical="center" textRotation="0" wrapText="false" indent="0" shrinkToFit="false"/>
      <protection locked="true" hidden="false"/>
    </xf>
    <xf numFmtId="164" fontId="16" fillId="0" borderId="8" xfId="0" applyFont="true" applyBorder="true" applyAlignment="true" applyProtection="false">
      <alignment horizontal="center" vertical="bottom" textRotation="0" wrapText="false" indent="0" shrinkToFit="false"/>
      <protection locked="true" hidden="false"/>
    </xf>
    <xf numFmtId="164" fontId="14" fillId="3" borderId="0" xfId="0" applyFont="true" applyBorder="false" applyAlignment="true" applyProtection="false">
      <alignment horizontal="general" vertical="center" textRotation="0" wrapText="false" indent="0" shrinkToFit="false"/>
      <protection locked="true" hidden="false"/>
    </xf>
    <xf numFmtId="164" fontId="17" fillId="3" borderId="0" xfId="0" applyFont="true" applyBorder="false" applyAlignment="false" applyProtection="false">
      <alignment horizontal="general" vertical="bottom" textRotation="0" wrapText="false" indent="0" shrinkToFit="false"/>
      <protection locked="true" hidden="false"/>
    </xf>
    <xf numFmtId="164" fontId="18" fillId="3" borderId="8" xfId="0" applyFont="true" applyBorder="true" applyAlignment="true" applyProtection="false">
      <alignment horizontal="center" vertical="center" textRotation="0" wrapText="false" indent="0" shrinkToFit="false"/>
      <protection locked="true" hidden="false"/>
    </xf>
    <xf numFmtId="170" fontId="15" fillId="0" borderId="8" xfId="0" applyFont="true" applyBorder="true" applyAlignment="true" applyProtection="false">
      <alignment horizontal="general" vertical="center" textRotation="0" wrapText="false" indent="0" shrinkToFit="false"/>
      <protection locked="true" hidden="false"/>
    </xf>
    <xf numFmtId="164" fontId="19" fillId="3" borderId="0" xfId="0" applyFont="true" applyBorder="false" applyAlignment="true" applyProtection="false">
      <alignment horizontal="center" vertical="center" textRotation="0" wrapText="false" indent="0" shrinkToFit="false"/>
      <protection locked="true" hidden="false"/>
    </xf>
    <xf numFmtId="171" fontId="18" fillId="3" borderId="8" xfId="0" applyFont="true" applyBorder="true" applyAlignment="true" applyProtection="false">
      <alignment horizontal="center" vertical="center" textRotation="0" wrapText="false" indent="0" shrinkToFit="false"/>
      <protection locked="true" hidden="false"/>
    </xf>
    <xf numFmtId="164" fontId="18" fillId="3" borderId="0" xfId="0" applyFont="true" applyBorder="false" applyAlignment="true" applyProtection="false">
      <alignment horizontal="center" vertical="center" textRotation="0" wrapText="false" indent="0" shrinkToFit="false"/>
      <protection locked="true" hidden="false"/>
    </xf>
    <xf numFmtId="170" fontId="15" fillId="3" borderId="0" xfId="0" applyFont="true" applyBorder="false" applyAlignment="true" applyProtection="false">
      <alignment horizontal="general" vertical="center" textRotation="0" wrapText="false" indent="0" shrinkToFit="false"/>
      <protection locked="true" hidden="false"/>
    </xf>
    <xf numFmtId="171" fontId="18" fillId="3" borderId="0" xfId="0" applyFont="true" applyBorder="false" applyAlignment="true" applyProtection="false">
      <alignment horizontal="center" vertical="center" textRotation="0" wrapText="false" indent="0" shrinkToFit="false"/>
      <protection locked="true" hidden="false"/>
    </xf>
    <xf numFmtId="164" fontId="10" fillId="3" borderId="9" xfId="0" applyFont="true" applyBorder="true" applyAlignment="true" applyProtection="false">
      <alignment horizontal="general" vertical="center" textRotation="0" wrapText="false" indent="0" shrinkToFit="false"/>
      <protection locked="true" hidden="false"/>
    </xf>
    <xf numFmtId="164" fontId="10" fillId="0" borderId="0" xfId="0" applyFont="true" applyBorder="false" applyAlignment="true" applyProtection="false">
      <alignment horizontal="general" vertical="center" textRotation="0" wrapText="false" indent="0" shrinkToFit="false"/>
      <protection locked="true" hidden="false"/>
    </xf>
    <xf numFmtId="164" fontId="20" fillId="3" borderId="0" xfId="0" applyFont="true" applyBorder="false" applyAlignment="true" applyProtection="false">
      <alignment horizontal="general" vertical="center" textRotation="0" wrapText="false" indent="0" shrinkToFit="false"/>
      <protection locked="true" hidden="false"/>
    </xf>
    <xf numFmtId="170" fontId="15" fillId="3" borderId="8" xfId="0" applyFont="true" applyBorder="true" applyAlignment="true" applyProtection="false">
      <alignment horizontal="general" vertical="center" textRotation="0" wrapText="false" indent="0" shrinkToFit="false"/>
      <protection locked="true" hidden="false"/>
    </xf>
    <xf numFmtId="164" fontId="10" fillId="3" borderId="11" xfId="0" applyFont="true" applyBorder="true" applyAlignment="false" applyProtection="false">
      <alignment horizontal="general" vertical="bottom" textRotation="0" wrapText="false" indent="0" shrinkToFit="false"/>
      <protection locked="true" hidden="false"/>
    </xf>
    <xf numFmtId="164" fontId="10" fillId="3" borderId="12" xfId="0" applyFont="true" applyBorder="true" applyAlignment="false" applyProtection="false">
      <alignment horizontal="general" vertical="bottom" textRotation="0" wrapText="false" indent="0" shrinkToFit="false"/>
      <protection locked="true" hidden="false"/>
    </xf>
    <xf numFmtId="164" fontId="10" fillId="3" borderId="13"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true">
      <alignment horizontal="general" vertical="bottom" textRotation="0" wrapText="false" indent="0" shrinkToFit="false"/>
      <protection locked="true" hidden="true"/>
    </xf>
    <xf numFmtId="164" fontId="21" fillId="0" borderId="0" xfId="0" applyFont="true" applyBorder="true" applyAlignment="true" applyProtection="true">
      <alignment horizontal="center" vertical="center" textRotation="0" wrapText="true" indent="0" shrinkToFit="false"/>
      <protection locked="true" hidden="true"/>
    </xf>
    <xf numFmtId="166" fontId="22" fillId="0" borderId="0" xfId="0" applyFont="true" applyBorder="true" applyAlignment="true" applyProtection="true">
      <alignment horizontal="center" vertical="center" textRotation="0" wrapText="true" indent="0" shrinkToFit="false"/>
      <protection locked="true" hidden="true"/>
    </xf>
    <xf numFmtId="164" fontId="23" fillId="0" borderId="0" xfId="0" applyFont="true" applyBorder="true" applyAlignment="true" applyProtection="true">
      <alignment horizontal="left" vertical="center" textRotation="0" wrapText="true" indent="1" shrinkToFit="false"/>
      <protection locked="true" hidden="true"/>
    </xf>
    <xf numFmtId="164" fontId="24" fillId="0" borderId="0" xfId="0" applyFont="true" applyBorder="true" applyAlignment="true" applyProtection="true">
      <alignment horizontal="right" vertical="center" textRotation="0" wrapText="false" indent="0" shrinkToFit="false"/>
      <protection locked="true" hidden="true"/>
    </xf>
    <xf numFmtId="168" fontId="24" fillId="0" borderId="0" xfId="0" applyFont="true" applyBorder="true" applyAlignment="true" applyProtection="true">
      <alignment horizontal="center" vertical="center" textRotation="0" wrapText="false" indent="0" shrinkToFit="false"/>
      <protection locked="true" hidden="true"/>
    </xf>
    <xf numFmtId="164" fontId="24" fillId="0" borderId="0" xfId="0" applyFont="true" applyBorder="false" applyAlignment="true" applyProtection="true">
      <alignment horizontal="center" vertical="center" textRotation="0" wrapText="false" indent="0" shrinkToFit="false"/>
      <protection locked="true" hidden="true"/>
    </xf>
    <xf numFmtId="164" fontId="10" fillId="4" borderId="0" xfId="0" applyFont="true" applyBorder="true" applyAlignment="false" applyProtection="true">
      <alignment horizontal="general" vertical="bottom" textRotation="0" wrapText="false" indent="0" shrinkToFit="false"/>
      <protection locked="true" hidden="true"/>
    </xf>
    <xf numFmtId="164" fontId="10" fillId="0" borderId="14" xfId="0" applyFont="true" applyBorder="true" applyAlignment="false" applyProtection="true">
      <alignment horizontal="general" vertical="bottom" textRotation="0" wrapText="false" indent="0" shrinkToFit="false"/>
      <protection locked="true" hidden="true"/>
    </xf>
    <xf numFmtId="164" fontId="10" fillId="3" borderId="2" xfId="0" applyFont="true" applyBorder="true" applyAlignment="false" applyProtection="true">
      <alignment horizontal="general" vertical="bottom" textRotation="0" wrapText="false" indent="0" shrinkToFit="false"/>
      <protection locked="true" hidden="true"/>
    </xf>
    <xf numFmtId="164" fontId="10" fillId="3" borderId="3" xfId="0" applyFont="true" applyBorder="true" applyAlignment="false" applyProtection="true">
      <alignment horizontal="general" vertical="bottom" textRotation="0" wrapText="false" indent="0" shrinkToFit="false"/>
      <protection locked="true" hidden="true"/>
    </xf>
    <xf numFmtId="164" fontId="10" fillId="3" borderId="4" xfId="0" applyFont="true" applyBorder="true" applyAlignment="false" applyProtection="true">
      <alignment horizontal="general" vertical="bottom" textRotation="0" wrapText="false" indent="0" shrinkToFit="false"/>
      <protection locked="true" hidden="true"/>
    </xf>
    <xf numFmtId="164" fontId="10" fillId="3" borderId="5" xfId="0" applyFont="true" applyBorder="true" applyAlignment="false" applyProtection="true">
      <alignment horizontal="general" vertical="bottom" textRotation="0" wrapText="false" indent="0" shrinkToFit="false"/>
      <protection locked="true" hidden="true"/>
    </xf>
    <xf numFmtId="164" fontId="10" fillId="3" borderId="0" xfId="0" applyFont="true" applyBorder="false" applyAlignment="false" applyProtection="true">
      <alignment horizontal="general" vertical="bottom" textRotation="0" wrapText="false" indent="0" shrinkToFit="false"/>
      <protection locked="true" hidden="true"/>
    </xf>
    <xf numFmtId="164" fontId="13" fillId="3" borderId="0" xfId="0" applyFont="true" applyBorder="false" applyAlignment="false" applyProtection="true">
      <alignment horizontal="general" vertical="bottom" textRotation="0" wrapText="false" indent="0" shrinkToFit="false"/>
      <protection locked="true" hidden="true"/>
    </xf>
    <xf numFmtId="164" fontId="13" fillId="3" borderId="6" xfId="0" applyFont="true" applyBorder="true" applyAlignment="false" applyProtection="true">
      <alignment horizontal="general" vertical="bottom" textRotation="0" wrapText="false" indent="0" shrinkToFit="false"/>
      <protection locked="true" hidden="true"/>
    </xf>
    <xf numFmtId="166" fontId="10" fillId="0" borderId="8" xfId="0" applyFont="true" applyBorder="true" applyAlignment="true" applyProtection="true">
      <alignment horizontal="general" vertical="center" textRotation="0" wrapText="false" indent="0" shrinkToFit="false"/>
      <protection locked="true" hidden="true"/>
    </xf>
    <xf numFmtId="166" fontId="11" fillId="0" borderId="8" xfId="0" applyFont="true" applyBorder="true" applyAlignment="true" applyProtection="true">
      <alignment horizontal="center" vertical="center" textRotation="0" wrapText="false" indent="0" shrinkToFit="false"/>
      <protection locked="true" hidden="true"/>
    </xf>
    <xf numFmtId="164" fontId="10" fillId="3" borderId="6" xfId="0" applyFont="true" applyBorder="true" applyAlignment="false" applyProtection="true">
      <alignment horizontal="general" vertical="bottom" textRotation="0" wrapText="false" indent="0" shrinkToFit="false"/>
      <protection locked="true" hidden="true"/>
    </xf>
    <xf numFmtId="164" fontId="10" fillId="3" borderId="15" xfId="0" applyFont="true" applyBorder="true" applyAlignment="false" applyProtection="true">
      <alignment horizontal="general" vertical="bottom" textRotation="0" wrapText="false" indent="0" shrinkToFit="false"/>
      <protection locked="true" hidden="true"/>
    </xf>
    <xf numFmtId="164" fontId="10" fillId="3" borderId="14" xfId="0" applyFont="true" applyBorder="true" applyAlignment="false" applyProtection="true">
      <alignment horizontal="general" vertical="bottom" textRotation="0" wrapText="false" indent="0" shrinkToFit="false"/>
      <protection locked="true" hidden="true"/>
    </xf>
    <xf numFmtId="164" fontId="10" fillId="3" borderId="16" xfId="0" applyFont="true" applyBorder="true" applyAlignment="false" applyProtection="true">
      <alignment horizontal="general" vertical="bottom" textRotation="0" wrapText="false" indent="0" shrinkToFit="false"/>
      <protection locked="true" hidden="true"/>
    </xf>
    <xf numFmtId="164" fontId="25" fillId="0" borderId="3" xfId="0" applyFont="true" applyBorder="true" applyAlignment="true" applyProtection="true">
      <alignment horizontal="general" vertical="center" textRotation="0" wrapText="false" indent="0" shrinkToFit="false"/>
      <protection locked="true" hidden="true"/>
    </xf>
    <xf numFmtId="164" fontId="10" fillId="3" borderId="17" xfId="0" applyFont="true" applyBorder="true" applyAlignment="false" applyProtection="true">
      <alignment horizontal="general" vertical="bottom" textRotation="0" wrapText="false" indent="0" shrinkToFit="false"/>
      <protection locked="true" hidden="true"/>
    </xf>
    <xf numFmtId="164" fontId="10" fillId="3" borderId="18" xfId="0" applyFont="true" applyBorder="true" applyAlignment="false" applyProtection="true">
      <alignment horizontal="general" vertical="bottom" textRotation="0" wrapText="false" indent="0" shrinkToFit="false"/>
      <protection locked="true" hidden="true"/>
    </xf>
    <xf numFmtId="164" fontId="10" fillId="3" borderId="19" xfId="0" applyFont="true" applyBorder="true" applyAlignment="false" applyProtection="true">
      <alignment horizontal="general" vertical="bottom" textRotation="0" wrapText="false" indent="0" shrinkToFit="false"/>
      <protection locked="true" hidden="true"/>
    </xf>
    <xf numFmtId="164" fontId="13" fillId="0" borderId="8" xfId="0" applyFont="true" applyBorder="true" applyAlignment="false" applyProtection="true">
      <alignment horizontal="general" vertical="bottom" textRotation="0" wrapText="false" indent="0" shrinkToFit="false"/>
      <protection locked="true" hidden="true"/>
    </xf>
    <xf numFmtId="168" fontId="13" fillId="3" borderId="0" xfId="0" applyFont="true" applyBorder="false" applyAlignment="false" applyProtection="true">
      <alignment horizontal="general" vertical="bottom" textRotation="0" wrapText="false" indent="0" shrinkToFit="false"/>
      <protection locked="true" hidden="true"/>
    </xf>
    <xf numFmtId="164" fontId="0" fillId="3" borderId="0" xfId="0" applyFont="false" applyBorder="false" applyAlignment="false" applyProtection="true">
      <alignment horizontal="general" vertical="bottom" textRotation="0" wrapText="false" indent="0" shrinkToFit="false"/>
      <protection locked="true" hidden="true"/>
    </xf>
    <xf numFmtId="164" fontId="13" fillId="3" borderId="9" xfId="0" applyFont="true" applyBorder="true" applyAlignment="false" applyProtection="true">
      <alignment horizontal="general" vertical="bottom" textRotation="0" wrapText="false" indent="0" shrinkToFit="false"/>
      <protection locked="true" hidden="true"/>
    </xf>
    <xf numFmtId="164" fontId="10" fillId="3" borderId="10" xfId="0" applyFont="true" applyBorder="true" applyAlignment="false" applyProtection="true">
      <alignment horizontal="general" vertical="bottom" textRotation="0" wrapText="false" indent="0" shrinkToFit="false"/>
      <protection locked="true" hidden="true"/>
    </xf>
    <xf numFmtId="164" fontId="13" fillId="3" borderId="0" xfId="0" applyFont="true" applyBorder="false" applyAlignment="true" applyProtection="true">
      <alignment horizontal="general" vertical="center" textRotation="0" wrapText="false" indent="0" shrinkToFit="false"/>
      <protection locked="true" hidden="true"/>
    </xf>
    <xf numFmtId="164" fontId="10" fillId="3" borderId="0" xfId="0" applyFont="true" applyBorder="false" applyAlignment="true" applyProtection="true">
      <alignment horizontal="general" vertical="center" textRotation="0" wrapText="false" indent="0" shrinkToFit="false"/>
      <protection locked="true" hidden="true"/>
    </xf>
    <xf numFmtId="164" fontId="10" fillId="3" borderId="9" xfId="0" applyFont="true" applyBorder="true" applyAlignment="false" applyProtection="true">
      <alignment horizontal="general" vertical="bottom" textRotation="0" wrapText="false" indent="0" shrinkToFit="false"/>
      <protection locked="true" hidden="true"/>
    </xf>
    <xf numFmtId="166" fontId="10" fillId="0" borderId="8" xfId="0" applyFont="true" applyBorder="true" applyAlignment="true" applyProtection="true">
      <alignment horizontal="left" vertical="bottom" textRotation="0" wrapText="false" indent="0" shrinkToFit="false"/>
      <protection locked="true" hidden="true"/>
    </xf>
    <xf numFmtId="168" fontId="13" fillId="3" borderId="0" xfId="0" applyFont="true" applyBorder="true" applyAlignment="true" applyProtection="true">
      <alignment horizontal="left" vertical="bottom" textRotation="0" wrapText="false" indent="0" shrinkToFit="false"/>
      <protection locked="true" hidden="true"/>
    </xf>
    <xf numFmtId="164" fontId="13" fillId="3" borderId="0" xfId="0" applyFont="true" applyBorder="true" applyAlignment="true" applyProtection="true">
      <alignment horizontal="general" vertical="center" textRotation="0" wrapText="false" indent="0" shrinkToFit="false"/>
      <protection locked="true" hidden="true"/>
    </xf>
    <xf numFmtId="164" fontId="13" fillId="3" borderId="9" xfId="0" applyFont="true" applyBorder="true" applyAlignment="true" applyProtection="true">
      <alignment horizontal="general" vertical="center" textRotation="0" wrapText="false" indent="0" shrinkToFit="false"/>
      <protection locked="true" hidden="true"/>
    </xf>
    <xf numFmtId="169" fontId="15" fillId="0" borderId="8" xfId="0" applyFont="true" applyBorder="true" applyAlignment="true" applyProtection="true">
      <alignment horizontal="center" vertical="center" textRotation="0" wrapText="false" indent="0" shrinkToFit="false"/>
      <protection locked="true" hidden="true"/>
    </xf>
    <xf numFmtId="166" fontId="10" fillId="0" borderId="8" xfId="0" applyFont="true" applyBorder="true" applyAlignment="true" applyProtection="true">
      <alignment horizontal="right" vertical="bottom" textRotation="0" wrapText="false" indent="0" shrinkToFit="false"/>
      <protection locked="true" hidden="true"/>
    </xf>
    <xf numFmtId="164" fontId="14" fillId="3" borderId="0" xfId="0" applyFont="true" applyBorder="false" applyAlignment="false" applyProtection="true">
      <alignment horizontal="general" vertical="bottom" textRotation="0" wrapText="false" indent="0" shrinkToFit="false"/>
      <protection locked="true" hidden="true"/>
    </xf>
    <xf numFmtId="164" fontId="14" fillId="3" borderId="0" xfId="0" applyFont="true" applyBorder="false" applyAlignment="true" applyProtection="true">
      <alignment horizontal="general" vertical="center" textRotation="0" wrapText="false" indent="0" shrinkToFit="false"/>
      <protection locked="true" hidden="true"/>
    </xf>
    <xf numFmtId="164" fontId="10" fillId="3" borderId="11" xfId="0" applyFont="true" applyBorder="true" applyAlignment="false" applyProtection="true">
      <alignment horizontal="general" vertical="bottom" textRotation="0" wrapText="false" indent="0" shrinkToFit="false"/>
      <protection locked="true" hidden="true"/>
    </xf>
    <xf numFmtId="164" fontId="10" fillId="3" borderId="12" xfId="0" applyFont="true" applyBorder="true" applyAlignment="false" applyProtection="true">
      <alignment horizontal="general" vertical="bottom" textRotation="0" wrapText="false" indent="0" shrinkToFit="false"/>
      <protection locked="true" hidden="true"/>
    </xf>
    <xf numFmtId="164" fontId="10" fillId="3" borderId="13" xfId="0" applyFont="true" applyBorder="true" applyAlignment="false" applyProtection="true">
      <alignment horizontal="general" vertical="bottom" textRotation="0" wrapText="false" indent="0" shrinkToFit="false"/>
      <protection locked="true" hidden="true"/>
    </xf>
    <xf numFmtId="166" fontId="25" fillId="0" borderId="0" xfId="0" applyFont="true" applyBorder="true" applyAlignment="true" applyProtection="true">
      <alignment horizontal="general" vertical="center" textRotation="0" wrapText="false" indent="0" shrinkToFit="false"/>
      <protection locked="true" hidden="true"/>
    </xf>
    <xf numFmtId="164" fontId="18" fillId="3" borderId="8" xfId="0" applyFont="true" applyBorder="true" applyAlignment="true" applyProtection="true">
      <alignment horizontal="center" vertical="center" textRotation="0" wrapText="false" indent="0" shrinkToFit="false"/>
      <protection locked="true" hidden="true"/>
    </xf>
    <xf numFmtId="170" fontId="15" fillId="0" borderId="8" xfId="0" applyFont="true" applyBorder="true" applyAlignment="true" applyProtection="true">
      <alignment horizontal="general" vertical="center" textRotation="0" wrapText="false" indent="0" shrinkToFit="false"/>
      <protection locked="true" hidden="true"/>
    </xf>
    <xf numFmtId="164" fontId="19" fillId="3" borderId="0" xfId="0" applyFont="true" applyBorder="false" applyAlignment="true" applyProtection="true">
      <alignment horizontal="center" vertical="center" textRotation="0" wrapText="false" indent="0" shrinkToFit="false"/>
      <protection locked="true" hidden="true"/>
    </xf>
    <xf numFmtId="171" fontId="18" fillId="3" borderId="8" xfId="0" applyFont="true" applyBorder="true" applyAlignment="true" applyProtection="true">
      <alignment horizontal="center" vertical="center" textRotation="0" wrapText="false" indent="0" shrinkToFit="false"/>
      <protection locked="true" hidden="true"/>
    </xf>
    <xf numFmtId="171" fontId="26" fillId="3" borderId="10" xfId="0" applyFont="true" applyBorder="true" applyAlignment="true" applyProtection="true">
      <alignment horizontal="center" vertical="center" textRotation="0" wrapText="false" indent="0" shrinkToFit="false"/>
      <protection locked="true" hidden="true"/>
    </xf>
    <xf numFmtId="171" fontId="26" fillId="3" borderId="0" xfId="0" applyFont="true" applyBorder="false" applyAlignment="true" applyProtection="true">
      <alignment horizontal="center" vertical="center" textRotation="0" wrapText="false" indent="0" shrinkToFit="false"/>
      <protection locked="true" hidden="true"/>
    </xf>
    <xf numFmtId="164" fontId="13" fillId="0" borderId="0" xfId="0" applyFont="true" applyBorder="true" applyAlignment="true" applyProtection="true">
      <alignment horizontal="general" vertical="center" textRotation="0" wrapText="false" indent="0" shrinkToFit="false"/>
      <protection locked="true" hidden="true"/>
    </xf>
    <xf numFmtId="164" fontId="4" fillId="0" borderId="0" xfId="0" applyFont="true" applyBorder="false" applyAlignment="false" applyProtection="true">
      <alignment horizontal="general" vertical="bottom" textRotation="0" wrapText="false" indent="0" shrinkToFit="false"/>
      <protection locked="true" hidden="true"/>
    </xf>
    <xf numFmtId="164" fontId="13" fillId="3" borderId="10" xfId="0" applyFont="true" applyBorder="true" applyAlignment="false" applyProtection="true">
      <alignment horizontal="general" vertical="bottom" textRotation="0" wrapText="false" indent="0" shrinkToFit="false"/>
      <protection locked="true" hidden="true"/>
    </xf>
    <xf numFmtId="164" fontId="25" fillId="0" borderId="12" xfId="0" applyFont="true" applyBorder="true" applyAlignment="true" applyProtection="true">
      <alignment horizontal="general" vertical="center" textRotation="0" wrapText="false" indent="0" shrinkToFit="false"/>
      <protection locked="true" hidden="true"/>
    </xf>
    <xf numFmtId="164" fontId="10" fillId="3" borderId="9" xfId="0" applyFont="true" applyBorder="true" applyAlignment="true" applyProtection="true">
      <alignment horizontal="center" vertical="bottom" textRotation="0" wrapText="false" indent="0" shrinkToFit="false"/>
      <protection locked="true" hidden="true"/>
    </xf>
    <xf numFmtId="170" fontId="10" fillId="0" borderId="0" xfId="0" applyFont="true" applyBorder="false" applyAlignment="false" applyProtection="true">
      <alignment horizontal="general" vertical="bottom" textRotation="0" wrapText="false" indent="0" shrinkToFit="false"/>
      <protection locked="true" hidden="true"/>
    </xf>
    <xf numFmtId="164" fontId="12" fillId="3" borderId="0" xfId="0" applyFont="true" applyBorder="false" applyAlignment="false" applyProtection="true">
      <alignment horizontal="general" vertical="bottom" textRotation="0" wrapText="false" indent="0" shrinkToFit="false"/>
      <protection locked="true" hidden="true"/>
    </xf>
    <xf numFmtId="164" fontId="25" fillId="0" borderId="18" xfId="0" applyFont="true" applyBorder="true" applyAlignment="true" applyProtection="true">
      <alignment horizontal="general" vertical="center" textRotation="0" wrapText="false" indent="0" shrinkToFit="false"/>
      <protection locked="true" hidden="true"/>
    </xf>
    <xf numFmtId="164" fontId="15" fillId="3" borderId="0" xfId="0" applyFont="true" applyBorder="false" applyAlignment="true" applyProtection="true">
      <alignment horizontal="general" vertical="center" textRotation="0" wrapText="false" indent="0" shrinkToFit="false"/>
      <protection locked="true" hidden="true"/>
    </xf>
    <xf numFmtId="164" fontId="13" fillId="3" borderId="12" xfId="0" applyFont="true" applyBorder="true" applyAlignment="false" applyProtection="true">
      <alignment horizontal="general" vertical="bottom" textRotation="0" wrapText="false" indent="0" shrinkToFit="false"/>
      <protection locked="true" hidden="true"/>
    </xf>
    <xf numFmtId="172" fontId="13" fillId="3" borderId="0" xfId="0" applyFont="true" applyBorder="true" applyAlignment="true" applyProtection="true">
      <alignment horizontal="left" vertical="bottom" textRotation="0" wrapText="false" indent="0" shrinkToFit="false"/>
      <protection locked="true" hidden="true"/>
    </xf>
    <xf numFmtId="164" fontId="13" fillId="3" borderId="0" xfId="0" applyFont="true" applyBorder="true" applyAlignment="false" applyProtection="true">
      <alignment horizontal="general" vertical="bottom" textRotation="0" wrapText="false" indent="0" shrinkToFit="false"/>
      <protection locked="true" hidden="true"/>
    </xf>
    <xf numFmtId="164" fontId="26" fillId="3" borderId="12" xfId="0" applyFont="true" applyBorder="true" applyAlignment="true" applyProtection="true">
      <alignment horizontal="center" vertical="center" textRotation="0" wrapText="false" indent="0" shrinkToFit="false"/>
      <protection locked="true" hidden="true"/>
    </xf>
    <xf numFmtId="164" fontId="15" fillId="3" borderId="12" xfId="0" applyFont="true" applyBorder="true" applyAlignment="true" applyProtection="true">
      <alignment horizontal="general" vertical="center" textRotation="0" wrapText="false" indent="0" shrinkToFit="false"/>
      <protection locked="true" hidden="true"/>
    </xf>
    <xf numFmtId="164" fontId="19" fillId="3" borderId="12" xfId="0" applyFont="true" applyBorder="true" applyAlignment="true" applyProtection="true">
      <alignment horizontal="center" vertical="center" textRotation="0" wrapText="false" indent="0" shrinkToFit="false"/>
      <protection locked="true" hidden="true"/>
    </xf>
    <xf numFmtId="171" fontId="26" fillId="3" borderId="12" xfId="0" applyFont="true" applyBorder="true" applyAlignment="true" applyProtection="true">
      <alignment horizontal="center" vertical="center" textRotation="0" wrapText="false" indent="0" shrinkToFit="false"/>
      <protection locked="true" hidden="true"/>
    </xf>
    <xf numFmtId="164" fontId="27" fillId="0" borderId="0" xfId="0" applyFont="true" applyBorder="false" applyAlignment="false" applyProtection="true">
      <alignment horizontal="general" vertical="bottom" textRotation="0" wrapText="false" indent="0" shrinkToFit="false"/>
      <protection locked="true" hidden="true"/>
    </xf>
    <xf numFmtId="173" fontId="27" fillId="0" borderId="0" xfId="0" applyFont="true" applyBorder="false" applyAlignment="true" applyProtection="true">
      <alignment horizontal="center" vertical="bottom" textRotation="0" wrapText="false" indent="0" shrinkToFit="false"/>
      <protection locked="true" hidden="true"/>
    </xf>
    <xf numFmtId="174" fontId="27" fillId="0" borderId="0" xfId="0" applyFont="true" applyBorder="false" applyAlignment="true" applyProtection="true">
      <alignment horizontal="center" vertical="bottom" textRotation="0" wrapText="false" indent="0" shrinkToFit="false"/>
      <protection locked="true" hidden="true"/>
    </xf>
    <xf numFmtId="164" fontId="28" fillId="3" borderId="20" xfId="0" applyFont="true" applyBorder="true" applyAlignment="true" applyProtection="true">
      <alignment horizontal="center" vertical="center" textRotation="0" wrapText="true" indent="0" shrinkToFit="false"/>
      <protection locked="true" hidden="true"/>
    </xf>
    <xf numFmtId="167" fontId="28" fillId="3" borderId="20" xfId="0" applyFont="true" applyBorder="true" applyAlignment="true" applyProtection="true">
      <alignment horizontal="center" vertical="bottom" textRotation="0" wrapText="false" indent="0" shrinkToFit="false"/>
      <protection locked="true" hidden="true"/>
    </xf>
    <xf numFmtId="167" fontId="28" fillId="3" borderId="21" xfId="0" applyFont="true" applyBorder="true" applyAlignment="true" applyProtection="true">
      <alignment horizontal="center" vertical="center" textRotation="0" wrapText="true" indent="0" shrinkToFit="false"/>
      <protection locked="true" hidden="true"/>
    </xf>
    <xf numFmtId="167" fontId="27" fillId="3" borderId="20" xfId="0" applyFont="true" applyBorder="true" applyAlignment="true" applyProtection="true">
      <alignment horizontal="center" vertical="center" textRotation="0" wrapText="true" indent="0" shrinkToFit="false"/>
      <protection locked="true" hidden="true"/>
    </xf>
    <xf numFmtId="167" fontId="27" fillId="3" borderId="0" xfId="0" applyFont="true" applyBorder="false" applyAlignment="true" applyProtection="true">
      <alignment horizontal="center" vertical="bottom" textRotation="0" wrapText="false" indent="0" shrinkToFit="false"/>
      <protection locked="true" hidden="true"/>
    </xf>
    <xf numFmtId="167" fontId="27" fillId="0" borderId="0" xfId="0" applyFont="true" applyBorder="false" applyAlignment="true" applyProtection="true">
      <alignment horizontal="center" vertical="bottom" textRotation="0" wrapText="false" indent="0" shrinkToFit="false"/>
      <protection locked="true" hidden="true"/>
    </xf>
    <xf numFmtId="164" fontId="27" fillId="3" borderId="0" xfId="0" applyFont="true" applyBorder="false" applyAlignment="false" applyProtection="true">
      <alignment horizontal="general" vertical="bottom" textRotation="0" wrapText="false" indent="0" shrinkToFit="false"/>
      <protection locked="true" hidden="true"/>
    </xf>
    <xf numFmtId="164" fontId="28" fillId="3" borderId="20" xfId="0" applyFont="true" applyBorder="true" applyAlignment="true" applyProtection="true">
      <alignment horizontal="center" vertical="center" textRotation="0" wrapText="false" indent="0" shrinkToFit="false"/>
      <protection locked="true" hidden="true"/>
    </xf>
    <xf numFmtId="173" fontId="28" fillId="3" borderId="20" xfId="0" applyFont="true" applyBorder="true" applyAlignment="true" applyProtection="true">
      <alignment horizontal="center" vertical="bottom" textRotation="0" wrapText="false" indent="0" shrinkToFit="false"/>
      <protection locked="true" hidden="true"/>
    </xf>
    <xf numFmtId="166" fontId="28" fillId="3" borderId="22" xfId="0" applyFont="true" applyBorder="true" applyAlignment="true" applyProtection="true">
      <alignment horizontal="center" vertical="center" textRotation="0" wrapText="true" indent="0" shrinkToFit="false"/>
      <protection locked="true" hidden="true"/>
    </xf>
    <xf numFmtId="173" fontId="29" fillId="3" borderId="0" xfId="0" applyFont="true" applyBorder="false" applyAlignment="true" applyProtection="true">
      <alignment horizontal="center" vertical="bottom" textRotation="0" wrapText="false" indent="0" shrinkToFit="false"/>
      <protection locked="true" hidden="true"/>
    </xf>
    <xf numFmtId="174" fontId="29" fillId="3" borderId="0" xfId="0" applyFont="true" applyBorder="false" applyAlignment="true" applyProtection="true">
      <alignment horizontal="center" vertical="bottom" textRotation="0" wrapText="false" indent="0" shrinkToFit="false"/>
      <protection locked="true" hidden="true"/>
    </xf>
    <xf numFmtId="164" fontId="29" fillId="3" borderId="0" xfId="0" applyFont="true" applyBorder="false" applyAlignment="true" applyProtection="true">
      <alignment horizontal="center" vertical="bottom" textRotation="0" wrapText="false" indent="0" shrinkToFit="false"/>
      <protection locked="true" hidden="true"/>
    </xf>
    <xf numFmtId="164" fontId="29" fillId="0" borderId="0" xfId="0" applyFont="true" applyBorder="false" applyAlignment="true" applyProtection="true">
      <alignment horizontal="center" vertical="bottom" textRotation="0" wrapText="false" indent="0" shrinkToFit="false"/>
      <protection locked="true" hidden="true"/>
    </xf>
    <xf numFmtId="164" fontId="28" fillId="3" borderId="0" xfId="0" applyFont="true" applyBorder="false" applyAlignment="true" applyProtection="true">
      <alignment horizontal="center" vertical="bottom" textRotation="0" wrapText="true" indent="0" shrinkToFit="false"/>
      <protection locked="true" hidden="true"/>
    </xf>
    <xf numFmtId="173" fontId="28" fillId="0" borderId="0" xfId="0" applyFont="true" applyBorder="false" applyAlignment="true" applyProtection="true">
      <alignment horizontal="center" vertical="bottom" textRotation="0" wrapText="true" indent="0" shrinkToFit="false"/>
      <protection locked="true" hidden="true"/>
    </xf>
    <xf numFmtId="174" fontId="28" fillId="0" borderId="20" xfId="0" applyFont="true" applyBorder="true" applyAlignment="true" applyProtection="true">
      <alignment horizontal="right" vertical="bottom" textRotation="0" wrapText="false" indent="1" shrinkToFit="false"/>
      <protection locked="true" hidden="true"/>
    </xf>
    <xf numFmtId="174" fontId="27" fillId="0" borderId="0" xfId="0" applyFont="true" applyBorder="false" applyAlignment="false" applyProtection="true">
      <alignment horizontal="general" vertical="bottom" textRotation="0" wrapText="false" indent="0" shrinkToFit="false"/>
      <protection locked="true" hidden="true"/>
    </xf>
    <xf numFmtId="175" fontId="27" fillId="0" borderId="0" xfId="0" applyFont="true" applyBorder="false" applyAlignment="false" applyProtection="true">
      <alignment horizontal="general" vertical="bottom" textRotation="0" wrapText="false" indent="0" shrinkToFit="false"/>
      <protection locked="true" hidden="true"/>
    </xf>
    <xf numFmtId="164" fontId="27" fillId="3" borderId="0" xfId="0" applyFont="true" applyBorder="false" applyAlignment="true" applyProtection="true">
      <alignment horizontal="center" vertical="bottom" textRotation="0" wrapText="true" indent="0" shrinkToFit="false"/>
      <protection locked="true" hidden="true"/>
    </xf>
    <xf numFmtId="173" fontId="27" fillId="0" borderId="0" xfId="0" applyFont="true" applyBorder="false" applyAlignment="true" applyProtection="true">
      <alignment horizontal="center" vertical="bottom" textRotation="0" wrapText="true" indent="0" shrinkToFit="false"/>
      <protection locked="true" hidden="true"/>
    </xf>
    <xf numFmtId="174" fontId="27" fillId="3" borderId="0" xfId="0" applyFont="true" applyBorder="false" applyAlignment="true" applyProtection="true">
      <alignment horizontal="right" vertical="bottom" textRotation="0" wrapText="false" indent="1" shrinkToFit="false"/>
      <protection locked="true" hidden="true"/>
    </xf>
    <xf numFmtId="174" fontId="27" fillId="3" borderId="0" xfId="0" applyFont="true" applyBorder="false" applyAlignment="true" applyProtection="true">
      <alignment horizontal="center" vertical="bottom" textRotation="0" wrapText="false" indent="0" shrinkToFit="false"/>
      <protection locked="true" hidden="true"/>
    </xf>
    <xf numFmtId="174" fontId="27" fillId="0" borderId="20" xfId="0" applyFont="true" applyBorder="true" applyAlignment="true" applyProtection="true">
      <alignment horizontal="right" vertical="bottom" textRotation="0" wrapText="false" indent="1" shrinkToFit="false"/>
      <protection locked="true" hidden="true"/>
    </xf>
    <xf numFmtId="176" fontId="27" fillId="3" borderId="0" xfId="0" applyFont="true" applyBorder="false" applyAlignment="false" applyProtection="true">
      <alignment horizontal="general" vertical="bottom" textRotation="0" wrapText="false" indent="0" shrinkToFit="false"/>
      <protection locked="true" hidden="true"/>
    </xf>
    <xf numFmtId="176" fontId="27" fillId="0" borderId="0" xfId="0" applyFont="true" applyBorder="false" applyAlignment="false" applyProtection="true">
      <alignment horizontal="general" vertical="bottom" textRotation="0" wrapText="false" indent="0" shrinkToFit="false"/>
      <protection locked="true" hidden="true"/>
    </xf>
    <xf numFmtId="164" fontId="28" fillId="3" borderId="0" xfId="0" applyFont="true" applyBorder="false" applyAlignment="true" applyProtection="true">
      <alignment horizontal="center" vertical="bottom" textRotation="0" wrapText="false" indent="0" shrinkToFit="false"/>
      <protection locked="true" hidden="true"/>
    </xf>
    <xf numFmtId="173" fontId="28" fillId="0" borderId="0" xfId="0" applyFont="true" applyBorder="false" applyAlignment="true" applyProtection="true">
      <alignment horizontal="center" vertical="bottom" textRotation="0" wrapText="false" indent="0" shrinkToFit="false"/>
      <protection locked="true" hidden="true"/>
    </xf>
    <xf numFmtId="174" fontId="27" fillId="0" borderId="0" xfId="0" applyFont="true" applyBorder="false" applyAlignment="true" applyProtection="true">
      <alignment horizontal="right" vertical="bottom" textRotation="0" wrapText="false" indent="1" shrinkToFit="false"/>
      <protection locked="true" hidden="true"/>
    </xf>
    <xf numFmtId="164" fontId="28" fillId="3" borderId="0" xfId="0" applyFont="true" applyBorder="false" applyAlignment="false" applyProtection="true">
      <alignment horizontal="general" vertical="bottom" textRotation="0" wrapText="false" indent="0" shrinkToFit="false"/>
      <protection locked="true" hidden="true"/>
    </xf>
    <xf numFmtId="164" fontId="27" fillId="3" borderId="0" xfId="0" applyFont="true" applyBorder="false" applyAlignment="true" applyProtection="true">
      <alignment horizontal="center" vertical="bottom" textRotation="0" wrapText="false" indent="0" shrinkToFit="false"/>
      <protection locked="true" hidden="true"/>
    </xf>
    <xf numFmtId="174" fontId="28" fillId="0" borderId="23" xfId="0" applyFont="true" applyBorder="true" applyAlignment="true" applyProtection="true">
      <alignment horizontal="right" vertical="bottom" textRotation="0" wrapText="false" indent="1" shrinkToFit="false"/>
      <protection locked="true" hidden="true"/>
    </xf>
    <xf numFmtId="174" fontId="27" fillId="0" borderId="24" xfId="0" applyFont="true" applyBorder="true" applyAlignment="true" applyProtection="true">
      <alignment horizontal="right" vertical="bottom" textRotation="0" wrapText="false" indent="1" shrinkToFit="false"/>
      <protection locked="true" hidden="true"/>
    </xf>
    <xf numFmtId="174" fontId="27" fillId="3" borderId="25" xfId="0" applyFont="true" applyBorder="true" applyAlignment="true" applyProtection="true">
      <alignment horizontal="right" vertical="bottom" textRotation="0" wrapText="false" indent="1" shrinkToFit="false"/>
      <protection locked="true" hidden="true"/>
    </xf>
    <xf numFmtId="174" fontId="27" fillId="0" borderId="26" xfId="0" applyFont="true" applyBorder="true" applyAlignment="true" applyProtection="true">
      <alignment horizontal="right" vertical="bottom" textRotation="0" wrapText="false" indent="1" shrinkToFit="false"/>
      <protection locked="true" hidden="true"/>
    </xf>
    <xf numFmtId="173" fontId="27" fillId="3" borderId="0" xfId="0" applyFont="true" applyBorder="false" applyAlignment="true" applyProtection="true">
      <alignment horizontal="center" vertical="bottom" textRotation="0" wrapText="false" indent="0" shrinkToFit="false"/>
      <protection locked="true" hidden="true"/>
    </xf>
    <xf numFmtId="164" fontId="11" fillId="3" borderId="0" xfId="0" applyFont="true" applyBorder="false" applyAlignment="true" applyProtection="true">
      <alignment horizontal="center" vertical="bottom" textRotation="0" wrapText="false" indent="0" shrinkToFit="false"/>
      <protection locked="true" hidden="true"/>
    </xf>
    <xf numFmtId="174" fontId="28" fillId="0" borderId="27" xfId="0" applyFont="true" applyBorder="true" applyAlignment="true" applyProtection="true">
      <alignment horizontal="right" vertical="bottom" textRotation="0" wrapText="false" indent="1" shrinkToFit="false"/>
      <protection locked="true" hidden="true"/>
    </xf>
    <xf numFmtId="174" fontId="28" fillId="0" borderId="28" xfId="0" applyFont="true" applyBorder="true" applyAlignment="false" applyProtection="true">
      <alignment horizontal="general" vertical="bottom" textRotation="0" wrapText="false" indent="0" shrinkToFit="false"/>
      <protection locked="true" hidden="true"/>
    </xf>
    <xf numFmtId="164" fontId="27" fillId="3" borderId="28" xfId="0" applyFont="true" applyBorder="true" applyAlignment="false" applyProtection="true">
      <alignment horizontal="general" vertical="bottom" textRotation="0" wrapText="false" indent="0" shrinkToFit="false"/>
      <protection locked="true" hidden="true"/>
    </xf>
    <xf numFmtId="164" fontId="30" fillId="3" borderId="0" xfId="0" applyFont="true" applyBorder="false" applyAlignment="false" applyProtection="true">
      <alignment horizontal="general" vertical="bottom" textRotation="0" wrapText="false" indent="0" shrinkToFit="false"/>
      <protection locked="true" hidden="true"/>
    </xf>
    <xf numFmtId="164" fontId="5" fillId="3" borderId="0" xfId="0" applyFont="true" applyBorder="false" applyAlignment="false" applyProtection="true">
      <alignment horizontal="general" vertical="bottom" textRotation="0" wrapText="false" indent="0" shrinkToFit="false"/>
      <protection locked="true" hidden="true"/>
    </xf>
    <xf numFmtId="176" fontId="27" fillId="0" borderId="0" xfId="0" applyFont="true" applyBorder="false" applyAlignment="true" applyProtection="true">
      <alignment horizontal="center" vertical="bottom" textRotation="0" wrapText="false" indent="0" shrinkToFit="false"/>
      <protection locked="true" hidden="true"/>
    </xf>
    <xf numFmtId="177" fontId="27" fillId="0" borderId="0" xfId="0" applyFont="true" applyBorder="false" applyAlignment="true" applyProtection="true">
      <alignment horizontal="center" vertical="bottom" textRotation="0" wrapText="false" indent="0" shrinkToFit="false"/>
      <protection locked="true" hidden="true"/>
    </xf>
    <xf numFmtId="171" fontId="27" fillId="0" borderId="0" xfId="0" applyFont="true" applyBorder="false" applyAlignment="false" applyProtection="true">
      <alignment horizontal="general" vertical="bottom" textRotation="0" wrapText="false" indent="0" shrinkToFit="false"/>
      <protection locked="true" hidden="true"/>
    </xf>
    <xf numFmtId="176" fontId="27" fillId="3" borderId="0" xfId="0" applyFont="true" applyBorder="false" applyAlignment="true" applyProtection="true">
      <alignment horizontal="center" vertical="bottom" textRotation="0" wrapText="false" indent="0" shrinkToFit="false"/>
      <protection locked="true" hidden="true"/>
    </xf>
    <xf numFmtId="177" fontId="27" fillId="3" borderId="0" xfId="0" applyFont="true" applyBorder="false" applyAlignment="true" applyProtection="true">
      <alignment horizontal="center" vertical="bottom" textRotation="0" wrapText="false" indent="0" shrinkToFit="false"/>
      <protection locked="true" hidden="true"/>
    </xf>
    <xf numFmtId="171" fontId="27" fillId="3" borderId="0" xfId="0" applyFont="true" applyBorder="false" applyAlignment="false" applyProtection="true">
      <alignment horizontal="general" vertical="bottom" textRotation="0" wrapText="false" indent="0" shrinkToFit="false"/>
      <protection locked="true" hidden="true"/>
    </xf>
    <xf numFmtId="164" fontId="5" fillId="3" borderId="29" xfId="0" applyFont="true" applyBorder="true" applyAlignment="true" applyProtection="true">
      <alignment horizontal="left" vertical="center" textRotation="0" wrapText="true" indent="1" shrinkToFit="false"/>
      <protection locked="true" hidden="true"/>
    </xf>
    <xf numFmtId="166" fontId="5" fillId="3" borderId="30" xfId="0" applyFont="true" applyBorder="true" applyAlignment="true" applyProtection="false">
      <alignment horizontal="left" vertical="center" textRotation="0" wrapText="true" indent="1" shrinkToFit="false"/>
      <protection locked="true" hidden="false"/>
    </xf>
    <xf numFmtId="176" fontId="27" fillId="3" borderId="31" xfId="0" applyFont="true" applyBorder="true" applyAlignment="true" applyProtection="true">
      <alignment horizontal="center" vertical="center" textRotation="0" wrapText="true" indent="0" shrinkToFit="false"/>
      <protection locked="true" hidden="true"/>
    </xf>
    <xf numFmtId="164" fontId="0" fillId="3" borderId="0" xfId="0" applyFont="false" applyBorder="false" applyAlignment="true" applyProtection="false">
      <alignment horizontal="left" vertical="center" textRotation="0" wrapText="true" indent="1" shrinkToFit="false"/>
      <protection locked="true" hidden="false"/>
    </xf>
    <xf numFmtId="164" fontId="27" fillId="3" borderId="0" xfId="0" applyFont="true" applyBorder="false" applyAlignment="true" applyProtection="true">
      <alignment horizontal="left" vertical="bottom" textRotation="0" wrapText="false" indent="1" shrinkToFit="false"/>
      <protection locked="true" hidden="true"/>
    </xf>
    <xf numFmtId="164" fontId="27" fillId="3" borderId="20" xfId="0" applyFont="true" applyBorder="true" applyAlignment="true" applyProtection="true">
      <alignment horizontal="left" vertical="center" textRotation="0" wrapText="false" indent="1" shrinkToFit="false"/>
      <protection locked="true" hidden="true"/>
    </xf>
    <xf numFmtId="177" fontId="27" fillId="0" borderId="20" xfId="0" applyFont="true" applyBorder="true" applyAlignment="true" applyProtection="true">
      <alignment horizontal="center" vertical="bottom" textRotation="0" wrapText="false" indent="0" shrinkToFit="false"/>
      <protection locked="true" hidden="true"/>
    </xf>
    <xf numFmtId="178" fontId="27" fillId="3" borderId="0" xfId="0" applyFont="true" applyBorder="false" applyAlignment="true" applyProtection="true">
      <alignment horizontal="center" vertical="bottom" textRotation="0" wrapText="false" indent="0" shrinkToFit="false"/>
      <protection locked="true" hidden="true"/>
    </xf>
    <xf numFmtId="171" fontId="27" fillId="3" borderId="0" xfId="0" applyFont="true" applyBorder="false" applyAlignment="true" applyProtection="true">
      <alignment horizontal="center" vertical="bottom" textRotation="0" wrapText="false" indent="0" shrinkToFit="false"/>
      <protection locked="true" hidden="true"/>
    </xf>
    <xf numFmtId="179" fontId="27" fillId="3" borderId="0" xfId="0" applyFont="true" applyBorder="false" applyAlignment="true" applyProtection="true">
      <alignment horizontal="center" vertical="bottom" textRotation="0" wrapText="false" indent="0" shrinkToFit="false"/>
      <protection locked="true" hidden="true"/>
    </xf>
    <xf numFmtId="164" fontId="31" fillId="0" borderId="0" xfId="0" applyFont="true" applyBorder="false" applyAlignment="false" applyProtection="true">
      <alignment horizontal="general" vertical="bottom" textRotation="0" wrapText="false" indent="0" shrinkToFit="false"/>
      <protection locked="true" hidden="true"/>
    </xf>
    <xf numFmtId="164" fontId="27" fillId="3" borderId="27" xfId="0" applyFont="true" applyBorder="true" applyAlignment="true" applyProtection="true">
      <alignment horizontal="left" vertical="center" textRotation="0" wrapText="false" indent="1" shrinkToFit="false"/>
      <protection locked="true" hidden="true"/>
    </xf>
    <xf numFmtId="164" fontId="27" fillId="3" borderId="0" xfId="0" applyFont="true" applyBorder="false" applyAlignment="true" applyProtection="true">
      <alignment horizontal="left" vertical="center" textRotation="0" wrapText="false" indent="1" shrinkToFit="false"/>
      <protection locked="true" hidden="true"/>
    </xf>
    <xf numFmtId="164" fontId="5" fillId="3" borderId="0" xfId="0" applyFont="true" applyBorder="false" applyAlignment="true" applyProtection="false">
      <alignment horizontal="left" vertical="center" textRotation="0" wrapText="false" indent="1" shrinkToFit="false"/>
      <protection locked="true" hidden="false"/>
    </xf>
    <xf numFmtId="177" fontId="28" fillId="0" borderId="27" xfId="0" applyFont="true" applyBorder="true" applyAlignment="true" applyProtection="true">
      <alignment horizontal="center" vertical="bottom" textRotation="0" wrapText="false" indent="0" shrinkToFit="false"/>
      <protection locked="true" hidden="true"/>
    </xf>
    <xf numFmtId="173" fontId="27" fillId="3" borderId="0" xfId="0" applyFont="true" applyBorder="false" applyAlignment="false" applyProtection="true">
      <alignment horizontal="general" vertical="bottom" textRotation="0" wrapText="false" indent="0" shrinkToFit="false"/>
      <protection locked="true" hidden="true"/>
    </xf>
    <xf numFmtId="171" fontId="32" fillId="3" borderId="0" xfId="0" applyFont="true" applyBorder="false" applyAlignment="true" applyProtection="true">
      <alignment horizontal="center" vertical="bottom" textRotation="0" wrapText="false" indent="0" shrinkToFit="false"/>
      <protection locked="true" hidden="true"/>
    </xf>
    <xf numFmtId="174" fontId="28" fillId="3" borderId="0" xfId="0" applyFont="true" applyBorder="false" applyAlignment="true" applyProtection="true">
      <alignment horizontal="center" vertical="bottom" textRotation="0" wrapText="false" indent="0" shrinkToFit="false"/>
      <protection locked="true" hidden="true"/>
    </xf>
    <xf numFmtId="164" fontId="33" fillId="3" borderId="0" xfId="0" applyFont="true" applyBorder="false" applyAlignment="true" applyProtection="true">
      <alignment horizontal="right" vertical="bottom" textRotation="0" wrapText="false" indent="0" shrinkToFit="false"/>
      <protection locked="true" hidden="true"/>
    </xf>
    <xf numFmtId="168" fontId="33" fillId="3" borderId="0" xfId="0" applyFont="true" applyBorder="true" applyAlignment="true" applyProtection="true">
      <alignment horizontal="left" vertical="bottom" textRotation="0" wrapText="false" indent="0" shrinkToFit="false"/>
      <protection locked="true" hidden="true"/>
    </xf>
    <xf numFmtId="172" fontId="27" fillId="3" borderId="0" xfId="0" applyFont="true" applyBorder="false" applyAlignment="true" applyProtection="true">
      <alignment horizontal="center" vertical="bottom" textRotation="0" wrapText="false" indent="0" shrinkToFit="false"/>
      <protection locked="true" hidden="true"/>
    </xf>
    <xf numFmtId="177" fontId="28" fillId="3" borderId="0" xfId="0" applyFont="true" applyBorder="false" applyAlignment="true" applyProtection="true">
      <alignment horizontal="center" vertical="bottom" textRotation="0" wrapText="false" indent="0" shrinkToFit="false"/>
      <protection locked="true" hidden="true"/>
    </xf>
    <xf numFmtId="164" fontId="27" fillId="3" borderId="27" xfId="0" applyFont="true" applyBorder="true" applyAlignment="true" applyProtection="true">
      <alignment horizontal="left" vertical="bottom" textRotation="0" wrapText="false" indent="1" shrinkToFit="false"/>
      <protection locked="true" hidden="true"/>
    </xf>
    <xf numFmtId="177" fontId="27" fillId="3" borderId="20" xfId="0" applyFont="true" applyBorder="true" applyAlignment="true" applyProtection="true">
      <alignment horizontal="center" vertical="bottom" textRotation="0" wrapText="false" indent="0" shrinkToFit="false"/>
      <protection locked="true" hidden="true"/>
    </xf>
    <xf numFmtId="179" fontId="27" fillId="0" borderId="0" xfId="0" applyFont="true" applyBorder="false" applyAlignment="false" applyProtection="true">
      <alignment horizontal="general" vertical="bottom" textRotation="0" wrapText="false" indent="0" shrinkToFit="false"/>
      <protection locked="true" hidden="true"/>
    </xf>
    <xf numFmtId="164" fontId="28" fillId="3" borderId="27" xfId="0" applyFont="true" applyBorder="true" applyAlignment="true" applyProtection="true">
      <alignment horizontal="left" vertical="bottom" textRotation="0" wrapText="false" indent="1" shrinkToFit="false"/>
      <protection locked="true" hidden="true"/>
    </xf>
    <xf numFmtId="164" fontId="27" fillId="3" borderId="29" xfId="0" applyFont="true" applyBorder="true" applyAlignment="true" applyProtection="true">
      <alignment horizontal="left" vertical="center" textRotation="0" wrapText="false" indent="1" shrinkToFit="false"/>
      <protection locked="true" hidden="true"/>
    </xf>
    <xf numFmtId="174" fontId="27" fillId="3" borderId="27" xfId="0" applyFont="true" applyBorder="true" applyAlignment="true" applyProtection="true">
      <alignment horizontal="center" vertical="center" textRotation="0" wrapText="true" indent="0" shrinkToFit="false"/>
      <protection locked="true" hidden="true"/>
    </xf>
    <xf numFmtId="176" fontId="27" fillId="3" borderId="20" xfId="0" applyFont="true" applyBorder="true" applyAlignment="true" applyProtection="true">
      <alignment horizontal="center" vertical="bottom" textRotation="0" wrapText="true" indent="0" shrinkToFit="false"/>
      <protection locked="true" hidden="true"/>
    </xf>
    <xf numFmtId="177" fontId="27" fillId="3" borderId="20" xfId="0" applyFont="true" applyBorder="true" applyAlignment="true" applyProtection="true">
      <alignment horizontal="center" vertical="bottom" textRotation="0" wrapText="true" indent="0" shrinkToFit="false"/>
      <protection locked="true" hidden="true"/>
    </xf>
    <xf numFmtId="164" fontId="27" fillId="0" borderId="0" xfId="0" applyFont="true" applyBorder="false" applyAlignment="true" applyProtection="true">
      <alignment horizontal="center" vertical="bottom" textRotation="0" wrapText="false" indent="0" shrinkToFit="false"/>
      <protection locked="true" hidden="true"/>
    </xf>
    <xf numFmtId="172" fontId="27" fillId="3" borderId="0" xfId="0" applyFont="true" applyBorder="false" applyAlignment="true" applyProtection="true">
      <alignment horizontal="left" vertical="bottom" textRotation="0" wrapText="false" indent="1" shrinkToFit="false"/>
      <protection locked="true" hidden="true"/>
    </xf>
    <xf numFmtId="176" fontId="27" fillId="3" borderId="20" xfId="0" applyFont="true" applyBorder="true" applyAlignment="true" applyProtection="true">
      <alignment horizontal="center" vertical="bottom" textRotation="0" wrapText="false" indent="0" shrinkToFit="false"/>
      <protection locked="true" hidden="true"/>
    </xf>
    <xf numFmtId="172" fontId="27" fillId="3" borderId="20" xfId="0" applyFont="true" applyBorder="true" applyAlignment="true" applyProtection="true">
      <alignment horizontal="center" vertical="bottom" textRotation="0" wrapText="false" indent="0" shrinkToFit="false"/>
      <protection locked="true" hidden="true"/>
    </xf>
    <xf numFmtId="164" fontId="30" fillId="3" borderId="20" xfId="0" applyFont="true" applyBorder="true" applyAlignment="true" applyProtection="true">
      <alignment horizontal="left" vertical="bottom" textRotation="0" wrapText="false" indent="1" shrinkToFit="false"/>
      <protection locked="true" hidden="true"/>
    </xf>
    <xf numFmtId="164" fontId="30" fillId="3" borderId="0" xfId="0" applyFont="true" applyBorder="false" applyAlignment="true" applyProtection="true">
      <alignment horizontal="left" vertical="bottom" textRotation="0" wrapText="false" indent="1" shrinkToFit="false"/>
      <protection locked="true" hidden="true"/>
    </xf>
    <xf numFmtId="164" fontId="34" fillId="3" borderId="0" xfId="0" applyFont="true" applyBorder="false" applyAlignment="true" applyProtection="true">
      <alignment horizontal="left" vertical="bottom" textRotation="0" wrapText="false" indent="1" shrinkToFit="false"/>
      <protection locked="true" hidden="true"/>
    </xf>
    <xf numFmtId="177" fontId="28" fillId="3" borderId="0" xfId="0" applyFont="true" applyBorder="false" applyAlignment="false" applyProtection="true">
      <alignment horizontal="general" vertical="bottom" textRotation="0" wrapText="false" indent="0" shrinkToFit="false"/>
      <protection locked="true" hidden="true"/>
    </xf>
    <xf numFmtId="174" fontId="27" fillId="3" borderId="0" xfId="0" applyFont="true" applyBorder="false" applyAlignment="false" applyProtection="true">
      <alignment horizontal="general" vertical="bottom" textRotation="0" wrapText="false" indent="0" shrinkToFit="false"/>
      <protection locked="true" hidden="true"/>
    </xf>
    <xf numFmtId="172" fontId="30" fillId="3" borderId="0" xfId="0" applyFont="true" applyBorder="false" applyAlignment="true" applyProtection="true">
      <alignment horizontal="left" vertical="bottom" textRotation="0" wrapText="false" indent="1" shrinkToFit="false"/>
      <protection locked="true" hidden="true"/>
    </xf>
    <xf numFmtId="172" fontId="27" fillId="3" borderId="0" xfId="0" applyFont="true" applyBorder="false" applyAlignment="false" applyProtection="true">
      <alignment horizontal="general" vertical="bottom" textRotation="0" wrapText="false" indent="0" shrinkToFit="false"/>
      <protection locked="true" hidden="true"/>
    </xf>
    <xf numFmtId="172" fontId="34" fillId="3" borderId="0" xfId="0" applyFont="true" applyBorder="false" applyAlignment="true" applyProtection="true">
      <alignment horizontal="left" vertical="bottom" textRotation="0" wrapText="false" indent="1" shrinkToFit="false"/>
      <protection locked="true" hidden="true"/>
    </xf>
    <xf numFmtId="177" fontId="27" fillId="3" borderId="0" xfId="0" applyFont="true" applyBorder="false" applyAlignment="false" applyProtection="true">
      <alignment horizontal="general" vertical="bottom" textRotation="0" wrapText="false" indent="0" shrinkToFit="false"/>
      <protection locked="true" hidden="true"/>
    </xf>
    <xf numFmtId="164" fontId="30" fillId="0" borderId="0" xfId="0" applyFont="true" applyBorder="false" applyAlignment="false" applyProtection="false">
      <alignment horizontal="general" vertical="bottom" textRotation="0" wrapText="false" indent="0" shrinkToFit="false"/>
      <protection locked="true" hidden="false"/>
    </xf>
    <xf numFmtId="172" fontId="30" fillId="0" borderId="0" xfId="0" applyFont="true" applyBorder="false" applyAlignment="false" applyProtection="false">
      <alignment horizontal="general" vertical="bottom" textRotation="0" wrapText="false" indent="0" shrinkToFit="false"/>
      <protection locked="true" hidden="false"/>
    </xf>
    <xf numFmtId="164" fontId="35" fillId="0" borderId="0" xfId="0" applyFont="true" applyBorder="false" applyAlignment="false" applyProtection="false">
      <alignment horizontal="general" vertical="bottom" textRotation="0" wrapText="false" indent="0" shrinkToFit="false"/>
      <protection locked="true" hidden="false"/>
    </xf>
    <xf numFmtId="171" fontId="30" fillId="0" borderId="0" xfId="0" applyFont="true" applyBorder="false" applyAlignment="false" applyProtection="false">
      <alignment horizontal="general" vertical="bottom" textRotation="0" wrapText="false" indent="0" shrinkToFit="false"/>
      <protection locked="true" hidden="false"/>
    </xf>
    <xf numFmtId="177" fontId="30" fillId="0" borderId="0" xfId="0" applyFont="true" applyBorder="false" applyAlignment="false" applyProtection="false">
      <alignment horizontal="general" vertical="bottom" textRotation="0" wrapText="false" indent="0" shrinkToFit="false"/>
      <protection locked="true" hidden="false"/>
    </xf>
    <xf numFmtId="179" fontId="30" fillId="0" borderId="0" xfId="0" applyFont="true" applyBorder="false" applyAlignment="true" applyProtection="false">
      <alignment horizontal="center" vertical="bottom" textRotation="0" wrapText="false" indent="0" shrinkToFit="false"/>
      <protection locked="true" hidden="false"/>
    </xf>
    <xf numFmtId="177" fontId="30" fillId="0" borderId="0" xfId="0" applyFont="true" applyBorder="false" applyAlignment="true" applyProtection="false">
      <alignment horizontal="center" vertical="bottom" textRotation="0" wrapText="false" indent="0" shrinkToFit="false"/>
      <protection locked="true" hidden="false"/>
    </xf>
    <xf numFmtId="171" fontId="30" fillId="0" borderId="0" xfId="0" applyFont="true" applyBorder="false" applyAlignment="true" applyProtection="false">
      <alignment horizontal="center" vertical="bottom" textRotation="0" wrapText="false" indent="0" shrinkToFit="false"/>
      <protection locked="true" hidden="false"/>
    </xf>
    <xf numFmtId="164" fontId="34" fillId="3" borderId="20" xfId="0" applyFont="true" applyBorder="true" applyAlignment="false" applyProtection="false">
      <alignment horizontal="general" vertical="bottom" textRotation="0" wrapText="false" indent="0" shrinkToFit="false"/>
      <protection locked="true" hidden="false"/>
    </xf>
    <xf numFmtId="172" fontId="30" fillId="3" borderId="20" xfId="0" applyFont="true" applyBorder="true" applyAlignment="true" applyProtection="false">
      <alignment horizontal="center" vertical="center" textRotation="0" wrapText="true" indent="0" shrinkToFit="false"/>
      <protection locked="true" hidden="false"/>
    </xf>
    <xf numFmtId="164" fontId="34" fillId="3" borderId="20" xfId="0" applyFont="true" applyBorder="true" applyAlignment="true" applyProtection="false">
      <alignment horizontal="center" vertical="center" textRotation="0" wrapText="false" indent="0" shrinkToFit="false"/>
      <protection locked="true" hidden="false"/>
    </xf>
    <xf numFmtId="177" fontId="34" fillId="3" borderId="20" xfId="0" applyFont="true" applyBorder="true" applyAlignment="true" applyProtection="false">
      <alignment horizontal="center" vertical="bottom" textRotation="0" wrapText="false" indent="0" shrinkToFit="false"/>
      <protection locked="true" hidden="false"/>
    </xf>
    <xf numFmtId="177" fontId="34" fillId="3" borderId="32" xfId="0" applyFont="true" applyBorder="true" applyAlignment="true" applyProtection="false">
      <alignment horizontal="center" vertical="bottom" textRotation="0" wrapText="false" indent="0" shrinkToFit="false"/>
      <protection locked="true" hidden="false"/>
    </xf>
    <xf numFmtId="179" fontId="35" fillId="3" borderId="32" xfId="0" applyFont="true" applyBorder="true" applyAlignment="true" applyProtection="false">
      <alignment horizontal="center" vertical="center" textRotation="0" wrapText="true" indent="0" shrinkToFit="false"/>
      <protection locked="true" hidden="false"/>
    </xf>
    <xf numFmtId="171" fontId="30" fillId="3" borderId="33" xfId="0" applyFont="true" applyBorder="true" applyAlignment="true" applyProtection="false">
      <alignment horizontal="center" vertical="center" textRotation="0" wrapText="true" indent="0" shrinkToFit="false"/>
      <protection locked="true" hidden="false"/>
    </xf>
    <xf numFmtId="177" fontId="34" fillId="3" borderId="33" xfId="0" applyFont="true" applyBorder="true" applyAlignment="true" applyProtection="false">
      <alignment horizontal="center" vertical="bottom" textRotation="0" wrapText="false" indent="0" shrinkToFit="false"/>
      <protection locked="true" hidden="false"/>
    </xf>
    <xf numFmtId="172" fontId="30" fillId="3" borderId="32" xfId="0" applyFont="true" applyBorder="true" applyAlignment="true" applyProtection="false">
      <alignment horizontal="center" vertical="center" textRotation="0" wrapText="true" indent="0" shrinkToFit="false"/>
      <protection locked="true" hidden="false"/>
    </xf>
    <xf numFmtId="164" fontId="34" fillId="3" borderId="34" xfId="0" applyFont="true" applyBorder="true" applyAlignment="false" applyProtection="false">
      <alignment horizontal="general" vertical="bottom" textRotation="0" wrapText="false" indent="0" shrinkToFit="false"/>
      <protection locked="true" hidden="false"/>
    </xf>
    <xf numFmtId="164" fontId="34" fillId="0" borderId="0" xfId="0" applyFont="true" applyBorder="false" applyAlignment="false" applyProtection="false">
      <alignment horizontal="general" vertical="bottom" textRotation="0" wrapText="false" indent="0" shrinkToFit="false"/>
      <protection locked="true" hidden="false"/>
    </xf>
    <xf numFmtId="165" fontId="30" fillId="3" borderId="20" xfId="0" applyFont="true" applyBorder="true" applyAlignment="true" applyProtection="false">
      <alignment horizontal="center" vertical="center" textRotation="0" wrapText="true" indent="0" shrinkToFit="false"/>
      <protection locked="true" hidden="false"/>
    </xf>
    <xf numFmtId="171" fontId="30" fillId="3" borderId="20" xfId="0" applyFont="true" applyBorder="true" applyAlignment="true" applyProtection="false">
      <alignment horizontal="center" vertical="center" textRotation="0" wrapText="true" indent="0" shrinkToFit="false"/>
      <protection locked="true" hidden="false"/>
    </xf>
    <xf numFmtId="177" fontId="30" fillId="3" borderId="20" xfId="0" applyFont="true" applyBorder="true" applyAlignment="true" applyProtection="false">
      <alignment horizontal="center" vertical="center" textRotation="0" wrapText="true" indent="0" shrinkToFit="false"/>
      <protection locked="true" hidden="false"/>
    </xf>
    <xf numFmtId="177" fontId="34" fillId="3" borderId="20" xfId="0" applyFont="true" applyBorder="true" applyAlignment="true" applyProtection="false">
      <alignment horizontal="center" vertical="center" textRotation="0" wrapText="true" indent="0" shrinkToFit="false"/>
      <protection locked="true" hidden="false"/>
    </xf>
    <xf numFmtId="164" fontId="30" fillId="3" borderId="35" xfId="0" applyFont="true" applyBorder="true" applyAlignment="false" applyProtection="false">
      <alignment horizontal="general" vertical="bottom" textRotation="0" wrapText="false" indent="0" shrinkToFit="false"/>
      <protection locked="true" hidden="false"/>
    </xf>
    <xf numFmtId="172" fontId="35" fillId="3" borderId="20" xfId="0" applyFont="true" applyBorder="true" applyAlignment="true" applyProtection="false">
      <alignment horizontal="center" vertical="center" textRotation="0" wrapText="true" indent="0" shrinkToFit="false"/>
      <protection locked="true" hidden="false"/>
    </xf>
    <xf numFmtId="179" fontId="36" fillId="3" borderId="22" xfId="0" applyFont="true" applyBorder="true" applyAlignment="true" applyProtection="false">
      <alignment horizontal="center" vertical="bottom" textRotation="0" wrapText="true" indent="0" shrinkToFit="false"/>
      <protection locked="true" hidden="false"/>
    </xf>
    <xf numFmtId="179" fontId="34" fillId="3" borderId="20" xfId="0" applyFont="true" applyBorder="true" applyAlignment="true" applyProtection="false">
      <alignment horizontal="center" vertical="bottom" textRotation="0" wrapText="false" indent="0" shrinkToFit="false"/>
      <protection locked="true" hidden="false"/>
    </xf>
    <xf numFmtId="165" fontId="30" fillId="3" borderId="35" xfId="0" applyFont="true" applyBorder="true" applyAlignment="false" applyProtection="false">
      <alignment horizontal="general" vertical="bottom" textRotation="0" wrapText="false" indent="0" shrinkToFit="false"/>
      <protection locked="true" hidden="false"/>
    </xf>
    <xf numFmtId="165" fontId="30" fillId="0" borderId="0" xfId="0" applyFont="true" applyBorder="false" applyAlignment="false" applyProtection="false">
      <alignment horizontal="general" vertical="bottom" textRotation="0" wrapText="false" indent="0" shrinkToFit="false"/>
      <protection locked="true" hidden="false"/>
    </xf>
    <xf numFmtId="165" fontId="30" fillId="3" borderId="36" xfId="0" applyFont="true" applyBorder="true" applyAlignment="false" applyProtection="false">
      <alignment horizontal="general" vertical="bottom" textRotation="0" wrapText="false" indent="0" shrinkToFit="false"/>
      <protection locked="true" hidden="false"/>
    </xf>
    <xf numFmtId="172" fontId="30" fillId="3" borderId="0" xfId="0" applyFont="true" applyBorder="false" applyAlignment="true" applyProtection="false">
      <alignment horizontal="center" vertical="center" textRotation="0" wrapText="true" indent="0" shrinkToFit="false"/>
      <protection locked="true" hidden="false"/>
    </xf>
    <xf numFmtId="164" fontId="35" fillId="3" borderId="0" xfId="0" applyFont="true" applyBorder="false" applyAlignment="true" applyProtection="false">
      <alignment horizontal="center" vertical="center" textRotation="0" wrapText="true" indent="0" shrinkToFit="false"/>
      <protection locked="true" hidden="false"/>
    </xf>
    <xf numFmtId="171" fontId="30" fillId="3" borderId="0" xfId="0" applyFont="true" applyBorder="false" applyAlignment="true" applyProtection="false">
      <alignment horizontal="center" vertical="center" textRotation="0" wrapText="true" indent="0" shrinkToFit="false"/>
      <protection locked="true" hidden="false"/>
    </xf>
    <xf numFmtId="177" fontId="30" fillId="3" borderId="0" xfId="0" applyFont="true" applyBorder="false" applyAlignment="true" applyProtection="false">
      <alignment horizontal="center" vertical="center" textRotation="0" wrapText="true" indent="0" shrinkToFit="false"/>
      <protection locked="true" hidden="false"/>
    </xf>
    <xf numFmtId="164" fontId="0" fillId="3" borderId="0" xfId="0" applyFont="false" applyBorder="false" applyAlignment="true" applyProtection="false">
      <alignment horizontal="center" vertical="bottom" textRotation="0" wrapText="false" indent="0" shrinkToFit="false"/>
      <protection locked="true" hidden="false"/>
    </xf>
    <xf numFmtId="179" fontId="30" fillId="3" borderId="0" xfId="0" applyFont="true" applyBorder="false" applyAlignment="true" applyProtection="false">
      <alignment horizontal="center" vertical="center" textRotation="0" wrapText="true" indent="0" shrinkToFit="false"/>
      <protection locked="true" hidden="false"/>
    </xf>
    <xf numFmtId="177" fontId="30" fillId="3" borderId="0" xfId="0" applyFont="true" applyBorder="false" applyAlignment="true" applyProtection="false">
      <alignment horizontal="center" vertical="center" textRotation="0" wrapText="false" indent="0" shrinkToFit="false"/>
      <protection locked="true" hidden="false"/>
    </xf>
    <xf numFmtId="179" fontId="34" fillId="3" borderId="0" xfId="0" applyFont="true" applyBorder="false" applyAlignment="true" applyProtection="false">
      <alignment horizontal="center" vertical="bottom" textRotation="0" wrapText="false" indent="0" shrinkToFit="false"/>
      <protection locked="true" hidden="false"/>
    </xf>
    <xf numFmtId="164" fontId="30" fillId="3" borderId="36" xfId="0" applyFont="true" applyBorder="true" applyAlignment="false" applyProtection="false">
      <alignment horizontal="general" vertical="bottom" textRotation="0" wrapText="false" indent="0" shrinkToFit="false"/>
      <protection locked="true" hidden="false"/>
    </xf>
    <xf numFmtId="164" fontId="34" fillId="3" borderId="29" xfId="0" applyFont="true" applyBorder="true" applyAlignment="true" applyProtection="false">
      <alignment horizontal="right" vertical="center" textRotation="0" wrapText="false" indent="0" shrinkToFit="false"/>
      <protection locked="true" hidden="false"/>
    </xf>
    <xf numFmtId="168" fontId="36" fillId="3" borderId="30" xfId="0" applyFont="true" applyBorder="true" applyAlignment="true" applyProtection="false">
      <alignment horizontal="center" vertical="center" textRotation="0" wrapText="true" indent="0" shrinkToFit="false"/>
      <protection locked="true" hidden="false"/>
    </xf>
    <xf numFmtId="177" fontId="30" fillId="3" borderId="0" xfId="0" applyFont="true" applyBorder="false" applyAlignment="true" applyProtection="false">
      <alignment horizontal="left" vertical="center" textRotation="0" wrapText="false" indent="2" shrinkToFit="false"/>
      <protection locked="true" hidden="false"/>
    </xf>
    <xf numFmtId="179" fontId="30" fillId="3" borderId="0" xfId="0" applyFont="true" applyBorder="false" applyAlignment="true" applyProtection="false">
      <alignment horizontal="center" vertical="center" textRotation="0" wrapText="false" indent="0" shrinkToFit="false"/>
      <protection locked="true" hidden="false"/>
    </xf>
    <xf numFmtId="177" fontId="30" fillId="3" borderId="0" xfId="0" applyFont="true" applyBorder="false" applyAlignment="true" applyProtection="false">
      <alignment horizontal="center" vertical="bottom" textRotation="0" wrapText="false" indent="0" shrinkToFit="false"/>
      <protection locked="true" hidden="false"/>
    </xf>
    <xf numFmtId="171" fontId="30" fillId="3" borderId="0" xfId="0" applyFont="true" applyBorder="false" applyAlignment="true" applyProtection="false">
      <alignment horizontal="center" vertical="bottom" textRotation="0" wrapText="false" indent="0" shrinkToFit="false"/>
      <protection locked="true" hidden="false"/>
    </xf>
    <xf numFmtId="172" fontId="30" fillId="3" borderId="0" xfId="0" applyFont="true" applyBorder="false" applyAlignment="false" applyProtection="false">
      <alignment horizontal="general" vertical="bottom" textRotation="0" wrapText="false" indent="0" shrinkToFit="false"/>
      <protection locked="true" hidden="false"/>
    </xf>
    <xf numFmtId="177" fontId="30" fillId="3" borderId="0" xfId="0" applyFont="true" applyBorder="false" applyAlignment="false" applyProtection="false">
      <alignment horizontal="general" vertical="bottom" textRotation="0" wrapText="false" indent="0" shrinkToFit="false"/>
      <protection locked="true" hidden="false"/>
    </xf>
    <xf numFmtId="164" fontId="34" fillId="3" borderId="0" xfId="0" applyFont="true" applyBorder="true" applyAlignment="true" applyProtection="false">
      <alignment horizontal="general" vertical="center" textRotation="0" wrapText="true" indent="0" shrinkToFit="false"/>
      <protection locked="true" hidden="false"/>
    </xf>
    <xf numFmtId="171" fontId="30" fillId="3" borderId="0" xfId="0" applyFont="true" applyBorder="false" applyAlignment="true" applyProtection="false">
      <alignment horizontal="general" vertical="center" textRotation="0" wrapText="false" indent="0" shrinkToFit="false"/>
      <protection locked="true" hidden="false"/>
    </xf>
    <xf numFmtId="172" fontId="30" fillId="0" borderId="20" xfId="0" applyFont="true" applyBorder="true" applyAlignment="false" applyProtection="false">
      <alignment horizontal="general" vertical="bottom" textRotation="0" wrapText="false" indent="0" shrinkToFit="false"/>
      <protection locked="true" hidden="false"/>
    </xf>
    <xf numFmtId="164" fontId="35" fillId="0" borderId="20" xfId="0" applyFont="true" applyBorder="true" applyAlignment="false" applyProtection="false">
      <alignment horizontal="general" vertical="bottom" textRotation="0" wrapText="false" indent="0" shrinkToFit="false"/>
      <protection locked="true" hidden="false"/>
    </xf>
    <xf numFmtId="171" fontId="30" fillId="0" borderId="20" xfId="0" applyFont="true" applyBorder="true" applyAlignment="false" applyProtection="false">
      <alignment horizontal="general" vertical="bottom" textRotation="0" wrapText="false" indent="0" shrinkToFit="false"/>
      <protection locked="true" hidden="false"/>
    </xf>
    <xf numFmtId="177" fontId="30" fillId="0" borderId="20" xfId="0" applyFont="true" applyBorder="true" applyAlignment="false" applyProtection="false">
      <alignment horizontal="general" vertical="bottom" textRotation="0" wrapText="false" indent="0" shrinkToFit="false"/>
      <protection locked="true" hidden="false"/>
    </xf>
    <xf numFmtId="179" fontId="30" fillId="3" borderId="0" xfId="0" applyFont="true" applyBorder="false" applyAlignment="true" applyProtection="false">
      <alignment horizontal="center" vertical="bottom" textRotation="0" wrapText="false" indent="0" shrinkToFit="false"/>
      <protection locked="true" hidden="false"/>
    </xf>
    <xf numFmtId="172" fontId="30" fillId="3" borderId="37" xfId="0" applyFont="true" applyBorder="true" applyAlignment="true" applyProtection="false">
      <alignment horizontal="left" vertical="bottom" textRotation="0" wrapText="true" indent="7" shrinkToFit="false"/>
      <protection locked="true" hidden="false"/>
    </xf>
    <xf numFmtId="177" fontId="30" fillId="3" borderId="22" xfId="0" applyFont="true" applyBorder="true" applyAlignment="false" applyProtection="false">
      <alignment horizontal="general" vertical="bottom" textRotation="0" wrapText="false" indent="0" shrinkToFit="false"/>
      <protection locked="true" hidden="false"/>
    </xf>
    <xf numFmtId="177" fontId="30" fillId="3" borderId="20" xfId="0" applyFont="true" applyBorder="true" applyAlignment="false" applyProtection="false">
      <alignment horizontal="general" vertical="bottom" textRotation="0" wrapText="false" indent="0" shrinkToFit="false"/>
      <protection locked="true" hidden="false"/>
    </xf>
    <xf numFmtId="171" fontId="30" fillId="3" borderId="0" xfId="0" applyFont="true" applyBorder="false" applyAlignment="false" applyProtection="false">
      <alignment horizontal="general" vertical="bottom" textRotation="0" wrapText="false" indent="0" shrinkToFit="false"/>
      <protection locked="true" hidden="false"/>
    </xf>
    <xf numFmtId="172" fontId="30" fillId="3" borderId="0" xfId="0" applyFont="true" applyBorder="false" applyAlignment="true" applyProtection="false">
      <alignment horizontal="left" vertical="bottom" textRotation="0" wrapText="true" indent="7" shrinkToFit="false"/>
      <protection locked="true" hidden="false"/>
    </xf>
    <xf numFmtId="164" fontId="35" fillId="3" borderId="0" xfId="0" applyFont="true" applyBorder="false" applyAlignment="true" applyProtection="false">
      <alignment horizontal="left" vertical="bottom" textRotation="0" wrapText="true" indent="7" shrinkToFit="false"/>
      <protection locked="true" hidden="false"/>
    </xf>
    <xf numFmtId="164" fontId="30" fillId="3" borderId="0" xfId="0" applyFont="true" applyBorder="false" applyAlignment="true" applyProtection="false">
      <alignment horizontal="left" vertical="bottom" textRotation="0" wrapText="true" indent="7" shrinkToFit="false"/>
      <protection locked="true" hidden="false"/>
    </xf>
    <xf numFmtId="177" fontId="30" fillId="0" borderId="20" xfId="0" applyFont="true" applyBorder="true" applyAlignment="true" applyProtection="false">
      <alignment horizontal="center" vertical="bottom" textRotation="0" wrapText="false" indent="0" shrinkToFit="false"/>
      <protection locked="true" hidden="false"/>
    </xf>
    <xf numFmtId="171" fontId="34" fillId="3" borderId="0" xfId="0" applyFont="true" applyBorder="false" applyAlignment="false" applyProtection="false">
      <alignment horizontal="general" vertical="bottom" textRotation="0" wrapText="false" indent="0" shrinkToFit="false"/>
      <protection locked="true" hidden="false"/>
    </xf>
    <xf numFmtId="164" fontId="34" fillId="3" borderId="25" xfId="0" applyFont="true" applyBorder="true" applyAlignment="true" applyProtection="false">
      <alignment horizontal="right" vertical="center" textRotation="0" wrapText="true" indent="0" shrinkToFit="false"/>
      <protection locked="true" hidden="false"/>
    </xf>
    <xf numFmtId="170" fontId="34" fillId="3" borderId="0" xfId="0" applyFont="true" applyBorder="false" applyAlignment="true" applyProtection="false">
      <alignment horizontal="left" vertical="bottom" textRotation="0" wrapText="false" indent="0" shrinkToFit="false"/>
      <protection locked="true" hidden="false"/>
    </xf>
    <xf numFmtId="179" fontId="30" fillId="3" borderId="0" xfId="0" applyFont="true" applyBorder="false" applyAlignment="false" applyProtection="false">
      <alignment horizontal="general" vertical="bottom" textRotation="0" wrapText="false" indent="0" shrinkToFit="false"/>
      <protection locked="true" hidden="false"/>
    </xf>
    <xf numFmtId="164" fontId="30" fillId="3" borderId="0" xfId="0" applyFont="true" applyBorder="false" applyAlignment="false" applyProtection="false">
      <alignment horizontal="general" vertical="bottom" textRotation="0" wrapText="false" indent="0" shrinkToFit="false"/>
      <protection locked="true" hidden="false"/>
    </xf>
    <xf numFmtId="179" fontId="30" fillId="0" borderId="20" xfId="0" applyFont="true" applyBorder="true" applyAlignment="true" applyProtection="false">
      <alignment horizontal="center" vertical="bottom" textRotation="0" wrapText="false" indent="0" shrinkToFit="false"/>
      <protection locked="true" hidden="false"/>
    </xf>
    <xf numFmtId="164" fontId="35" fillId="3" borderId="0" xfId="0" applyFont="true" applyBorder="false" applyAlignment="false" applyProtection="false">
      <alignment horizontal="general" vertical="bottom" textRotation="0" wrapText="false" indent="0" shrinkToFit="false"/>
      <protection locked="true" hidden="false"/>
    </xf>
    <xf numFmtId="177" fontId="30" fillId="3" borderId="27" xfId="0" applyFont="true" applyBorder="true" applyAlignment="false" applyProtection="false">
      <alignment horizontal="general" vertical="bottom" textRotation="0" wrapText="false" indent="0" shrinkToFit="false"/>
      <protection locked="true" hidden="false"/>
    </xf>
    <xf numFmtId="172" fontId="34" fillId="3" borderId="0" xfId="0" applyFont="true" applyBorder="false" applyAlignment="true" applyProtection="false">
      <alignment horizontal="general" vertical="bottom" textRotation="0" wrapText="true" indent="0" shrinkToFit="false"/>
      <protection locked="true" hidden="false"/>
    </xf>
    <xf numFmtId="164" fontId="37" fillId="3" borderId="0" xfId="0" applyFont="true" applyBorder="false" applyAlignment="true" applyProtection="false">
      <alignment horizontal="general" vertical="bottom" textRotation="0" wrapText="true" indent="0" shrinkToFit="false"/>
      <protection locked="true" hidden="false"/>
    </xf>
    <xf numFmtId="171" fontId="34" fillId="3" borderId="0" xfId="0" applyFont="true" applyBorder="false" applyAlignment="true" applyProtection="false">
      <alignment horizontal="general" vertical="bottom" textRotation="0" wrapText="true" indent="0" shrinkToFit="false"/>
      <protection locked="true" hidden="false"/>
    </xf>
    <xf numFmtId="171" fontId="34" fillId="0" borderId="20" xfId="0" applyFont="true" applyBorder="true" applyAlignment="false" applyProtection="false">
      <alignment horizontal="general" vertical="bottom" textRotation="0" wrapText="false" indent="0" shrinkToFit="false"/>
      <protection locked="true" hidden="false"/>
    </xf>
    <xf numFmtId="171" fontId="30" fillId="3" borderId="20" xfId="0" applyFont="true" applyBorder="true" applyAlignment="false" applyProtection="false">
      <alignment horizontal="general" vertical="bottom" textRotation="0" wrapText="false" indent="0" shrinkToFit="false"/>
      <protection locked="true" hidden="false"/>
    </xf>
    <xf numFmtId="166" fontId="34" fillId="3" borderId="28" xfId="0" applyFont="true" applyBorder="true" applyAlignment="true" applyProtection="false">
      <alignment horizontal="right" vertical="center" textRotation="0" wrapText="true" indent="0" shrinkToFit="false"/>
      <protection locked="true" hidden="false"/>
    </xf>
    <xf numFmtId="177" fontId="30" fillId="0" borderId="21" xfId="0" applyFont="true" applyBorder="true" applyAlignment="false" applyProtection="false">
      <alignment horizontal="general" vertical="bottom" textRotation="0" wrapText="false" indent="0" shrinkToFit="false"/>
      <protection locked="true" hidden="false"/>
    </xf>
    <xf numFmtId="164" fontId="30" fillId="3" borderId="38" xfId="0" applyFont="true" applyBorder="true" applyAlignment="false" applyProtection="false">
      <alignment horizontal="general" vertical="bottom" textRotation="0" wrapText="false" indent="0" shrinkToFit="false"/>
      <protection locked="true" hidden="false"/>
    </xf>
    <xf numFmtId="172" fontId="30" fillId="3" borderId="39" xfId="0" applyFont="true" applyBorder="true" applyAlignment="false" applyProtection="false">
      <alignment horizontal="general" vertical="bottom" textRotation="0" wrapText="false" indent="0" shrinkToFit="false"/>
      <protection locked="true" hidden="false"/>
    </xf>
    <xf numFmtId="164" fontId="35" fillId="3" borderId="39" xfId="0" applyFont="true" applyBorder="true" applyAlignment="false" applyProtection="false">
      <alignment horizontal="general" vertical="bottom" textRotation="0" wrapText="false" indent="0" shrinkToFit="false"/>
      <protection locked="true" hidden="false"/>
    </xf>
    <xf numFmtId="171" fontId="30" fillId="3" borderId="39" xfId="0" applyFont="true" applyBorder="true" applyAlignment="false" applyProtection="false">
      <alignment horizontal="general" vertical="bottom" textRotation="0" wrapText="false" indent="0" shrinkToFit="false"/>
      <protection locked="true" hidden="false"/>
    </xf>
    <xf numFmtId="177" fontId="30" fillId="3" borderId="39" xfId="0" applyFont="true" applyBorder="true" applyAlignment="false" applyProtection="false">
      <alignment horizontal="general" vertical="bottom" textRotation="0" wrapText="false" indent="0" shrinkToFit="false"/>
      <protection locked="true" hidden="false"/>
    </xf>
    <xf numFmtId="179" fontId="30" fillId="3" borderId="39" xfId="0" applyFont="true" applyBorder="true" applyAlignment="true" applyProtection="false">
      <alignment horizontal="center" vertical="bottom" textRotation="0" wrapText="false" indent="0" shrinkToFit="false"/>
      <protection locked="true" hidden="false"/>
    </xf>
    <xf numFmtId="177" fontId="30" fillId="3" borderId="39" xfId="0" applyFont="true" applyBorder="true" applyAlignment="true" applyProtection="false">
      <alignment horizontal="center" vertical="bottom" textRotation="0" wrapText="false" indent="0" shrinkToFit="false"/>
      <protection locked="true" hidden="false"/>
    </xf>
    <xf numFmtId="171" fontId="30" fillId="3" borderId="39" xfId="0" applyFont="true" applyBorder="true" applyAlignment="true" applyProtection="false">
      <alignment horizontal="center" vertical="bottom" textRotation="0" wrapText="false" indent="0" shrinkToFit="false"/>
      <protection locked="true" hidden="false"/>
    </xf>
    <xf numFmtId="164" fontId="30" fillId="3" borderId="40" xfId="0" applyFont="true" applyBorder="true" applyAlignment="false" applyProtection="false">
      <alignment horizontal="general" vertical="bottom" textRotation="0" wrapText="false" indent="0" shrinkToFit="false"/>
      <protection locked="true" hidden="false"/>
    </xf>
    <xf numFmtId="164" fontId="10" fillId="0" borderId="0" xfId="21" applyFont="true" applyBorder="false" applyAlignment="false" applyProtection="false">
      <alignment horizontal="general" vertical="bottom" textRotation="0" wrapText="false" indent="0" shrinkToFit="false"/>
      <protection locked="true" hidden="false"/>
    </xf>
    <xf numFmtId="172" fontId="10" fillId="0" borderId="0" xfId="21" applyFont="true" applyBorder="false" applyAlignment="false" applyProtection="false">
      <alignment horizontal="general" vertical="bottom" textRotation="0" wrapText="false" indent="0" shrinkToFit="false"/>
      <protection locked="true" hidden="false"/>
    </xf>
    <xf numFmtId="174" fontId="10" fillId="0" borderId="0" xfId="21" applyFont="true" applyBorder="false" applyAlignment="false" applyProtection="false">
      <alignment horizontal="general" vertical="bottom" textRotation="0" wrapText="false" indent="0" shrinkToFit="false"/>
      <protection locked="true" hidden="false"/>
    </xf>
    <xf numFmtId="164" fontId="10" fillId="3" borderId="0" xfId="21" applyFont="true" applyBorder="false" applyAlignment="false" applyProtection="false">
      <alignment horizontal="general" vertical="bottom" textRotation="0" wrapText="false" indent="0" shrinkToFit="false"/>
      <protection locked="true" hidden="false"/>
    </xf>
    <xf numFmtId="172" fontId="10" fillId="3" borderId="0" xfId="21" applyFont="true" applyBorder="false" applyAlignment="false" applyProtection="false">
      <alignment horizontal="general" vertical="bottom" textRotation="0" wrapText="false" indent="0" shrinkToFit="false"/>
      <protection locked="true" hidden="false"/>
    </xf>
    <xf numFmtId="174" fontId="10" fillId="3" borderId="0" xfId="21" applyFont="true" applyBorder="false" applyAlignment="false" applyProtection="false">
      <alignment horizontal="general" vertical="bottom" textRotation="0" wrapText="false" indent="0" shrinkToFit="false"/>
      <protection locked="true" hidden="false"/>
    </xf>
    <xf numFmtId="172" fontId="11" fillId="3" borderId="20" xfId="21" applyFont="true" applyBorder="true" applyAlignment="true" applyProtection="false">
      <alignment horizontal="center" vertical="bottom" textRotation="0" wrapText="true" indent="0" shrinkToFit="false"/>
      <protection locked="true" hidden="false"/>
    </xf>
    <xf numFmtId="172" fontId="10" fillId="3" borderId="0" xfId="21" applyFont="true" applyBorder="false" applyAlignment="true" applyProtection="false">
      <alignment horizontal="center" vertical="bottom" textRotation="0" wrapText="true" indent="0" shrinkToFit="false"/>
      <protection locked="true" hidden="false"/>
    </xf>
    <xf numFmtId="174" fontId="11" fillId="3" borderId="20" xfId="21" applyFont="true" applyBorder="true" applyAlignment="true" applyProtection="false">
      <alignment horizontal="center" vertical="bottom" textRotation="0" wrapText="true" indent="0" shrinkToFit="false"/>
      <protection locked="true" hidden="false"/>
    </xf>
    <xf numFmtId="174" fontId="10" fillId="3" borderId="0" xfId="21" applyFont="true" applyBorder="false" applyAlignment="true" applyProtection="false">
      <alignment horizontal="center" vertical="bottom" textRotation="0" wrapText="true" indent="0" shrinkToFit="false"/>
      <protection locked="true" hidden="false"/>
    </xf>
    <xf numFmtId="172" fontId="11" fillId="3" borderId="41" xfId="21" applyFont="true" applyBorder="true" applyAlignment="true" applyProtection="false">
      <alignment horizontal="center" vertical="bottom" textRotation="0" wrapText="false" indent="0" shrinkToFit="false"/>
      <protection locked="true" hidden="false"/>
    </xf>
    <xf numFmtId="172" fontId="11" fillId="3" borderId="42" xfId="21" applyFont="true" applyBorder="true" applyAlignment="true" applyProtection="false">
      <alignment horizontal="left" vertical="bottom" textRotation="0" wrapText="false" indent="1" shrinkToFit="false"/>
      <protection locked="true" hidden="false"/>
    </xf>
    <xf numFmtId="172" fontId="10" fillId="3" borderId="0" xfId="21" applyFont="true" applyBorder="false" applyAlignment="true" applyProtection="false">
      <alignment horizontal="left" vertical="bottom" textRotation="0" wrapText="false" indent="1" shrinkToFit="false"/>
      <protection locked="true" hidden="false"/>
    </xf>
    <xf numFmtId="174" fontId="10" fillId="0" borderId="27" xfId="21" applyFont="true" applyBorder="true" applyAlignment="false" applyProtection="false">
      <alignment horizontal="general" vertical="bottom" textRotation="0" wrapText="false" indent="0" shrinkToFit="false"/>
      <protection locked="true" hidden="false"/>
    </xf>
    <xf numFmtId="172" fontId="10" fillId="3" borderId="20" xfId="21" applyFont="true" applyBorder="true" applyAlignment="true" applyProtection="false">
      <alignment horizontal="left" vertical="bottom" textRotation="0" wrapText="false" indent="1" shrinkToFit="false"/>
      <protection locked="true" hidden="false"/>
    </xf>
    <xf numFmtId="164" fontId="27" fillId="0" borderId="0" xfId="0" applyFont="true" applyBorder="false" applyAlignment="false" applyProtection="false">
      <alignment horizontal="general" vertical="bottom" textRotation="0" wrapText="false" indent="0" shrinkToFit="false"/>
      <protection locked="true" hidden="false"/>
    </xf>
    <xf numFmtId="164" fontId="27" fillId="0" borderId="0" xfId="0" applyFont="true" applyBorder="false" applyAlignment="true" applyProtection="false">
      <alignment horizontal="center" vertical="bottom" textRotation="0" wrapText="false" indent="0" shrinkToFit="false"/>
      <protection locked="true" hidden="false"/>
    </xf>
    <xf numFmtId="177" fontId="27" fillId="0" borderId="0" xfId="0" applyFont="true" applyBorder="false" applyAlignment="false" applyProtection="false">
      <alignment horizontal="general" vertical="bottom" textRotation="0" wrapText="false" indent="0" shrinkToFit="false"/>
      <protection locked="true" hidden="false"/>
    </xf>
    <xf numFmtId="164" fontId="27" fillId="3" borderId="0" xfId="0" applyFont="true" applyBorder="false" applyAlignment="true" applyProtection="false">
      <alignment horizontal="general" vertical="bottom" textRotation="0" wrapText="true" indent="0" shrinkToFit="false"/>
      <protection locked="true" hidden="false"/>
    </xf>
    <xf numFmtId="164" fontId="27" fillId="3" borderId="20" xfId="0" applyFont="true" applyBorder="true" applyAlignment="true" applyProtection="false">
      <alignment horizontal="center" vertical="center" textRotation="0" wrapText="true" indent="0" shrinkToFit="false"/>
      <protection locked="true" hidden="false"/>
    </xf>
    <xf numFmtId="177" fontId="27" fillId="3" borderId="20" xfId="0" applyFont="true" applyBorder="true" applyAlignment="true" applyProtection="false">
      <alignment horizontal="center" vertical="center" textRotation="0" wrapText="true" indent="0" shrinkToFit="false"/>
      <protection locked="true" hidden="false"/>
    </xf>
    <xf numFmtId="164" fontId="27" fillId="3" borderId="0" xfId="0" applyFont="true" applyBorder="false" applyAlignment="true" applyProtection="false">
      <alignment horizontal="center" vertical="center" textRotation="0" wrapText="true" indent="0" shrinkToFit="false"/>
      <protection locked="true" hidden="false"/>
    </xf>
    <xf numFmtId="164" fontId="27" fillId="0" borderId="0" xfId="0" applyFont="true" applyBorder="false" applyAlignment="true" applyProtection="false">
      <alignment horizontal="general" vertical="bottom" textRotation="0" wrapText="true" indent="0" shrinkToFit="false"/>
      <protection locked="true" hidden="false"/>
    </xf>
    <xf numFmtId="164" fontId="27" fillId="3" borderId="0" xfId="0" applyFont="true" applyBorder="false" applyAlignment="false" applyProtection="false">
      <alignment horizontal="general" vertical="bottom" textRotation="0" wrapText="false" indent="0" shrinkToFit="false"/>
      <protection locked="true" hidden="false"/>
    </xf>
    <xf numFmtId="164" fontId="27" fillId="3" borderId="0" xfId="0" applyFont="true" applyBorder="false" applyAlignment="true" applyProtection="false">
      <alignment horizontal="center" vertical="bottom" textRotation="0" wrapText="false" indent="0" shrinkToFit="false"/>
      <protection locked="true" hidden="false"/>
    </xf>
    <xf numFmtId="177" fontId="27" fillId="3" borderId="0" xfId="0" applyFont="true" applyBorder="false" applyAlignment="false" applyProtection="false">
      <alignment horizontal="general" vertical="bottom" textRotation="0" wrapText="false" indent="0" shrinkToFit="false"/>
      <protection locked="true" hidden="false"/>
    </xf>
    <xf numFmtId="164" fontId="27" fillId="0" borderId="20" xfId="0" applyFont="true" applyBorder="true" applyAlignment="true" applyProtection="false">
      <alignment horizontal="center" vertical="bottom" textRotation="0" wrapText="false" indent="0" shrinkToFit="false"/>
      <protection locked="true" hidden="false"/>
    </xf>
    <xf numFmtId="177" fontId="27" fillId="0" borderId="20" xfId="0" applyFont="true" applyBorder="true" applyAlignment="false" applyProtection="false">
      <alignment horizontal="general" vertical="bottom" textRotation="0" wrapText="false" indent="0" shrinkToFit="false"/>
      <protection locked="true" hidden="false"/>
    </xf>
    <xf numFmtId="167" fontId="27" fillId="0" borderId="20" xfId="0" applyFont="true" applyBorder="true" applyAlignment="true" applyProtection="false">
      <alignment horizontal="center" vertical="bottom" textRotation="0" wrapText="false" indent="0" shrinkToFit="false"/>
      <protection locked="true" hidden="false"/>
    </xf>
    <xf numFmtId="177" fontId="27" fillId="0" borderId="20" xfId="0" applyFont="true" applyBorder="true" applyAlignment="false" applyProtection="true">
      <alignment horizontal="general" vertical="bottom" textRotation="0" wrapText="false" indent="0" shrinkToFit="false"/>
      <protection locked="true" hidden="true"/>
    </xf>
    <xf numFmtId="164" fontId="27" fillId="3" borderId="0" xfId="0" applyFont="true" applyBorder="false" applyAlignment="true" applyProtection="false">
      <alignment horizontal="center" vertical="bottom" textRotation="0" wrapText="true" indent="0" shrinkToFit="false"/>
      <protection locked="true" hidden="false"/>
    </xf>
    <xf numFmtId="177" fontId="27" fillId="0" borderId="27" xfId="0" applyFont="true" applyBorder="true" applyAlignment="true" applyProtection="false">
      <alignment horizontal="center" vertical="center" textRotation="0" wrapText="true" indent="0" shrinkToFit="false"/>
      <protection locked="true" hidden="false"/>
    </xf>
    <xf numFmtId="172" fontId="27" fillId="0" borderId="0" xfId="21" applyFont="true" applyBorder="false" applyAlignment="false" applyProtection="false">
      <alignment horizontal="general" vertical="bottom" textRotation="0" wrapText="false" indent="0" shrinkToFit="false"/>
      <protection locked="true" hidden="false"/>
    </xf>
    <xf numFmtId="177" fontId="27" fillId="0" borderId="0" xfId="21" applyFont="true" applyBorder="false" applyAlignment="false" applyProtection="false">
      <alignment horizontal="general" vertical="bottom" textRotation="0" wrapText="false" indent="0" shrinkToFit="false"/>
      <protection locked="true" hidden="false"/>
    </xf>
    <xf numFmtId="171" fontId="27" fillId="0" borderId="0" xfId="21" applyFont="true" applyBorder="false" applyAlignment="false" applyProtection="false">
      <alignment horizontal="general" vertical="bottom" textRotation="0" wrapText="false" indent="0" shrinkToFit="false"/>
      <protection locked="true" hidden="false"/>
    </xf>
    <xf numFmtId="178" fontId="27" fillId="0" borderId="0" xfId="21" applyFont="true" applyBorder="false" applyAlignment="false" applyProtection="false">
      <alignment horizontal="general" vertical="bottom" textRotation="0" wrapText="false" indent="0" shrinkToFit="false"/>
      <protection locked="true" hidden="false"/>
    </xf>
    <xf numFmtId="174" fontId="27" fillId="0" borderId="0" xfId="21" applyFont="true" applyBorder="false" applyAlignment="true" applyProtection="false">
      <alignment horizontal="center" vertical="bottom" textRotation="0" wrapText="false" indent="0" shrinkToFit="false"/>
      <protection locked="true" hidden="false"/>
    </xf>
    <xf numFmtId="177" fontId="29" fillId="0" borderId="0" xfId="21" applyFont="true" applyBorder="false" applyAlignment="true" applyProtection="false">
      <alignment horizontal="center" vertical="bottom" textRotation="0" wrapText="false" indent="0" shrinkToFit="false"/>
      <protection locked="true" hidden="false"/>
    </xf>
    <xf numFmtId="171" fontId="29" fillId="0" borderId="0" xfId="21" applyFont="true" applyBorder="false" applyAlignment="true" applyProtection="false">
      <alignment horizontal="center" vertical="bottom" textRotation="0" wrapText="false" indent="0" shrinkToFit="false"/>
      <protection locked="true" hidden="false"/>
    </xf>
    <xf numFmtId="172" fontId="27" fillId="3" borderId="20" xfId="21" applyFont="true" applyBorder="true" applyAlignment="true" applyProtection="false">
      <alignment horizontal="center" vertical="center" textRotation="0" wrapText="true" indent="0" shrinkToFit="false"/>
      <protection locked="true" hidden="false"/>
    </xf>
    <xf numFmtId="177" fontId="27" fillId="3" borderId="20" xfId="21" applyFont="true" applyBorder="true" applyAlignment="true" applyProtection="false">
      <alignment horizontal="center" vertical="center" textRotation="0" wrapText="true" indent="0" shrinkToFit="false"/>
      <protection locked="true" hidden="false"/>
    </xf>
    <xf numFmtId="171" fontId="28" fillId="3" borderId="0" xfId="21" applyFont="true" applyBorder="false" applyAlignment="false" applyProtection="false">
      <alignment horizontal="general" vertical="bottom" textRotation="0" wrapText="false" indent="0" shrinkToFit="false"/>
      <protection locked="true" hidden="false"/>
    </xf>
    <xf numFmtId="177" fontId="28" fillId="3" borderId="20" xfId="21" applyFont="true" applyBorder="true" applyAlignment="true" applyProtection="false">
      <alignment horizontal="center" vertical="bottom" textRotation="0" wrapText="false" indent="0" shrinkToFit="false"/>
      <protection locked="true" hidden="false"/>
    </xf>
    <xf numFmtId="174" fontId="28" fillId="3" borderId="20" xfId="21" applyFont="true" applyBorder="true" applyAlignment="true" applyProtection="false">
      <alignment horizontal="center" vertical="bottom" textRotation="0" wrapText="false" indent="0" shrinkToFit="false"/>
      <protection locked="true" hidden="false"/>
    </xf>
    <xf numFmtId="177" fontId="28" fillId="5" borderId="20" xfId="21" applyFont="true" applyBorder="true" applyAlignment="true" applyProtection="false">
      <alignment horizontal="center" vertical="bottom" textRotation="0" wrapText="false" indent="0" shrinkToFit="false"/>
      <protection locked="true" hidden="false"/>
    </xf>
    <xf numFmtId="172" fontId="28" fillId="5" borderId="20" xfId="21" applyFont="true" applyBorder="true" applyAlignment="true" applyProtection="false">
      <alignment horizontal="center" vertical="bottom" textRotation="0" wrapText="false" indent="0" shrinkToFit="false"/>
      <protection locked="true" hidden="false"/>
    </xf>
    <xf numFmtId="177" fontId="28" fillId="3" borderId="31" xfId="21" applyFont="true" applyBorder="true" applyAlignment="true" applyProtection="false">
      <alignment horizontal="center" vertical="bottom" textRotation="0" wrapText="false" indent="0" shrinkToFit="false"/>
      <protection locked="true" hidden="false"/>
    </xf>
    <xf numFmtId="177" fontId="28" fillId="0" borderId="0" xfId="21" applyFont="true" applyBorder="false" applyAlignment="false" applyProtection="false">
      <alignment horizontal="general" vertical="bottom" textRotation="0" wrapText="false" indent="0" shrinkToFit="false"/>
      <protection locked="true" hidden="false"/>
    </xf>
    <xf numFmtId="171" fontId="27" fillId="3" borderId="22" xfId="21" applyFont="true" applyBorder="true" applyAlignment="true" applyProtection="false">
      <alignment horizontal="center" vertical="center" textRotation="0" wrapText="true" indent="0" shrinkToFit="false"/>
      <protection locked="true" hidden="false"/>
    </xf>
    <xf numFmtId="178" fontId="30" fillId="3" borderId="31" xfId="21" applyFont="true" applyBorder="true" applyAlignment="true" applyProtection="false">
      <alignment horizontal="center" vertical="center" textRotation="0" wrapText="true" indent="0" shrinkToFit="false"/>
      <protection locked="true" hidden="false"/>
    </xf>
    <xf numFmtId="174" fontId="27" fillId="3" borderId="20" xfId="21" applyFont="true" applyBorder="true" applyAlignment="true" applyProtection="false">
      <alignment horizontal="center" vertical="center" textRotation="0" wrapText="true" indent="0" shrinkToFit="false"/>
      <protection locked="true" hidden="false"/>
    </xf>
    <xf numFmtId="177" fontId="27" fillId="5" borderId="20" xfId="21" applyFont="true" applyBorder="true" applyAlignment="true" applyProtection="false">
      <alignment horizontal="center" vertical="center" textRotation="0" wrapText="true" indent="0" shrinkToFit="false"/>
      <protection locked="true" hidden="false"/>
    </xf>
    <xf numFmtId="171" fontId="27" fillId="5" borderId="20" xfId="21" applyFont="true" applyBorder="true" applyAlignment="true" applyProtection="false">
      <alignment horizontal="center" vertical="center" textRotation="0" wrapText="true" indent="0" shrinkToFit="false"/>
      <protection locked="true" hidden="false"/>
    </xf>
    <xf numFmtId="177" fontId="27" fillId="0" borderId="0" xfId="21" applyFont="true" applyBorder="false" applyAlignment="true" applyProtection="false">
      <alignment horizontal="center" vertical="center" textRotation="0" wrapText="true" indent="0" shrinkToFit="false"/>
      <protection locked="true" hidden="false"/>
    </xf>
    <xf numFmtId="172" fontId="30" fillId="0" borderId="0" xfId="21" applyFont="true" applyBorder="false" applyAlignment="false" applyProtection="false">
      <alignment horizontal="general" vertical="bottom" textRotation="0" wrapText="false" indent="0" shrinkToFit="false"/>
      <protection locked="true" hidden="false"/>
    </xf>
    <xf numFmtId="177" fontId="27" fillId="0" borderId="39" xfId="21" applyFont="true" applyBorder="true" applyAlignment="false" applyProtection="false">
      <alignment horizontal="general" vertical="bottom" textRotation="0" wrapText="false" indent="0" shrinkToFit="false"/>
      <protection locked="true" hidden="false"/>
    </xf>
    <xf numFmtId="171" fontId="27" fillId="0" borderId="39" xfId="21" applyFont="true" applyBorder="true" applyAlignment="false" applyProtection="false">
      <alignment horizontal="general" vertical="bottom" textRotation="0" wrapText="false" indent="0" shrinkToFit="false"/>
      <protection locked="true" hidden="false"/>
    </xf>
    <xf numFmtId="178" fontId="27" fillId="0" borderId="39" xfId="21" applyFont="true" applyBorder="true" applyAlignment="false" applyProtection="false">
      <alignment horizontal="general" vertical="bottom" textRotation="0" wrapText="false" indent="0" shrinkToFit="false"/>
      <protection locked="true" hidden="false"/>
    </xf>
    <xf numFmtId="174" fontId="27" fillId="0" borderId="39" xfId="21" applyFont="true" applyBorder="true" applyAlignment="true" applyProtection="false">
      <alignment horizontal="center" vertical="bottom" textRotation="0" wrapText="false" indent="0" shrinkToFit="false"/>
      <protection locked="true" hidden="false"/>
    </xf>
    <xf numFmtId="177" fontId="29" fillId="0" borderId="39" xfId="21" applyFont="true" applyBorder="true" applyAlignment="true" applyProtection="false">
      <alignment horizontal="center" vertical="bottom" textRotation="0" wrapText="false" indent="0" shrinkToFit="false"/>
      <protection locked="true" hidden="false"/>
    </xf>
    <xf numFmtId="171" fontId="29" fillId="0" borderId="39" xfId="21" applyFont="true" applyBorder="true" applyAlignment="true" applyProtection="false">
      <alignment horizontal="center" vertical="bottom" textRotation="0" wrapText="false" indent="0" shrinkToFit="false"/>
      <protection locked="true" hidden="false"/>
    </xf>
    <xf numFmtId="172" fontId="27" fillId="0" borderId="0" xfId="21" applyFont="true" applyBorder="false" applyAlignment="true" applyProtection="false">
      <alignment horizontal="center" vertical="bottom" textRotation="0" wrapText="false" indent="0" shrinkToFit="false"/>
      <protection locked="true" hidden="false"/>
    </xf>
    <xf numFmtId="164" fontId="27" fillId="0" borderId="0" xfId="21" applyFont="true" applyBorder="false" applyAlignment="false" applyProtection="false">
      <alignment horizontal="general" vertical="bottom" textRotation="0" wrapText="false" indent="0" shrinkToFit="false"/>
      <protection locked="true" hidden="false"/>
    </xf>
    <xf numFmtId="164" fontId="27" fillId="0" borderId="0" xfId="21" applyFont="true" applyBorder="false" applyAlignment="true" applyProtection="false">
      <alignment horizontal="left" vertical="bottom" textRotation="0" wrapText="false" indent="0" shrinkToFit="false"/>
      <protection locked="true" hidden="false"/>
    </xf>
    <xf numFmtId="164" fontId="27" fillId="0" borderId="0" xfId="21" applyFont="true" applyBorder="false" applyAlignment="true" applyProtection="false">
      <alignment horizontal="center" vertical="bottom" textRotation="0" wrapText="false" indent="0" shrinkToFit="false"/>
      <protection locked="true" hidden="false"/>
    </xf>
    <xf numFmtId="177" fontId="27" fillId="0" borderId="0" xfId="21" applyFont="true" applyBorder="false" applyAlignment="true" applyProtection="false">
      <alignment horizontal="right" vertical="bottom" textRotation="0" wrapText="false" indent="0" shrinkToFit="false"/>
      <protection locked="true" hidden="false"/>
    </xf>
    <xf numFmtId="178" fontId="29" fillId="0" borderId="0" xfId="21" applyFont="true" applyBorder="false" applyAlignment="true" applyProtection="false">
      <alignment horizontal="center" vertical="bottom" textRotation="0" wrapText="false" indent="0" shrinkToFit="false"/>
      <protection locked="true" hidden="false"/>
    </xf>
    <xf numFmtId="177" fontId="30" fillId="0" borderId="0" xfId="21" applyFont="true" applyBorder="false" applyAlignment="false" applyProtection="false">
      <alignment horizontal="general" vertical="bottom" textRotation="0" wrapText="false" indent="0" shrinkToFit="false"/>
      <protection locked="true" hidden="false"/>
    </xf>
    <xf numFmtId="177" fontId="27" fillId="3" borderId="20" xfId="21" applyFont="true" applyBorder="true" applyAlignment="true" applyProtection="false">
      <alignment horizontal="center" vertical="bottom" textRotation="0" wrapText="false" indent="0" shrinkToFit="false"/>
      <protection locked="true" hidden="false"/>
    </xf>
    <xf numFmtId="177" fontId="28" fillId="3" borderId="20" xfId="21" applyFont="true" applyBorder="true" applyAlignment="true" applyProtection="false">
      <alignment horizontal="center" vertical="center" textRotation="0" wrapText="false" indent="0" shrinkToFit="false"/>
      <protection locked="true" hidden="false"/>
    </xf>
    <xf numFmtId="177" fontId="29" fillId="3" borderId="20" xfId="21" applyFont="true" applyBorder="true" applyAlignment="true" applyProtection="false">
      <alignment horizontal="center" vertical="bottom" textRotation="0" wrapText="false" indent="0" shrinkToFit="false"/>
      <protection locked="true" hidden="false"/>
    </xf>
    <xf numFmtId="177" fontId="27" fillId="5" borderId="20" xfId="21" applyFont="true" applyBorder="true" applyAlignment="true" applyProtection="false">
      <alignment horizontal="center" vertical="bottom" textRotation="0" wrapText="false" indent="0" shrinkToFit="false"/>
      <protection locked="true" hidden="false"/>
    </xf>
    <xf numFmtId="172" fontId="27" fillId="5" borderId="20" xfId="21" applyFont="true" applyBorder="true" applyAlignment="true" applyProtection="false">
      <alignment horizontal="center" vertical="bottom" textRotation="0" wrapText="false" indent="0" shrinkToFit="false"/>
      <protection locked="true" hidden="false"/>
    </xf>
    <xf numFmtId="177" fontId="27" fillId="5" borderId="20" xfId="21" applyFont="true" applyBorder="true" applyAlignment="false" applyProtection="false">
      <alignment horizontal="general" vertical="bottom" textRotation="0" wrapText="false" indent="0" shrinkToFit="false"/>
      <protection locked="true" hidden="false"/>
    </xf>
    <xf numFmtId="177" fontId="34" fillId="3" borderId="20" xfId="21" applyFont="true" applyBorder="true" applyAlignment="true" applyProtection="false">
      <alignment horizontal="center" vertical="bottom" textRotation="0" wrapText="false" indent="0" shrinkToFit="false"/>
      <protection locked="true" hidden="false"/>
    </xf>
    <xf numFmtId="177" fontId="34" fillId="3" borderId="31" xfId="21" applyFont="true" applyBorder="true" applyAlignment="true" applyProtection="false">
      <alignment horizontal="center" vertical="bottom" textRotation="0" wrapText="false" indent="0" shrinkToFit="false"/>
      <protection locked="true" hidden="false"/>
    </xf>
    <xf numFmtId="172" fontId="30" fillId="3" borderId="20" xfId="21" applyFont="true" applyBorder="true" applyAlignment="true" applyProtection="false">
      <alignment horizontal="center" vertical="center" textRotation="0" wrapText="true" indent="0" shrinkToFit="false"/>
      <protection locked="true" hidden="false"/>
    </xf>
    <xf numFmtId="177" fontId="28" fillId="3" borderId="20" xfId="21" applyFont="true" applyBorder="true" applyAlignment="true" applyProtection="false">
      <alignment horizontal="center" vertical="center" textRotation="0" wrapText="true" indent="0" shrinkToFit="false"/>
      <protection locked="true" hidden="false"/>
    </xf>
    <xf numFmtId="164" fontId="30" fillId="3" borderId="20" xfId="21" applyFont="true" applyBorder="true" applyAlignment="true" applyProtection="false">
      <alignment horizontal="center" vertical="center" textRotation="0" wrapText="true" indent="0" shrinkToFit="false"/>
      <protection locked="true" hidden="false"/>
    </xf>
    <xf numFmtId="177" fontId="30" fillId="3" borderId="20" xfId="21" applyFont="true" applyBorder="true" applyAlignment="true" applyProtection="false">
      <alignment horizontal="center" vertical="center" textRotation="0" wrapText="true" indent="0" shrinkToFit="false"/>
      <protection locked="true" hidden="false"/>
    </xf>
    <xf numFmtId="177" fontId="30" fillId="5" borderId="20" xfId="21" applyFont="true" applyBorder="true" applyAlignment="true" applyProtection="false">
      <alignment horizontal="center" vertical="center" textRotation="0" wrapText="true" indent="0" shrinkToFit="false"/>
      <protection locked="true" hidden="false"/>
    </xf>
    <xf numFmtId="178" fontId="30" fillId="5" borderId="20" xfId="21" applyFont="true" applyBorder="true" applyAlignment="true" applyProtection="false">
      <alignment horizontal="center" vertical="center" textRotation="0" wrapText="true" indent="0" shrinkToFit="false"/>
      <protection locked="true" hidden="false"/>
    </xf>
    <xf numFmtId="166" fontId="30" fillId="5" borderId="20" xfId="21" applyFont="true" applyBorder="true" applyAlignment="true" applyProtection="false">
      <alignment horizontal="center" vertical="center" textRotation="0" wrapText="true" indent="0" shrinkToFit="false"/>
      <protection locked="true" hidden="false"/>
    </xf>
    <xf numFmtId="164" fontId="30" fillId="0" borderId="0" xfId="21" applyFont="true" applyBorder="false" applyAlignment="true" applyProtection="false">
      <alignment horizontal="center" vertical="center" textRotation="0" wrapText="false" indent="0" shrinkToFit="false"/>
      <protection locked="true" hidden="false"/>
    </xf>
    <xf numFmtId="177" fontId="27" fillId="3" borderId="20" xfId="21" applyFont="true" applyBorder="true" applyAlignment="false" applyProtection="false">
      <alignment horizontal="general" vertical="bottom" textRotation="0" wrapText="false" indent="0" shrinkToFit="false"/>
      <protection locked="true" hidden="false"/>
    </xf>
    <xf numFmtId="164" fontId="34" fillId="0" borderId="0" xfId="21" applyFont="true" applyBorder="false" applyAlignment="true" applyProtection="false">
      <alignment horizontal="center" vertical="center" textRotation="0" wrapText="false" indent="0" shrinkToFit="false"/>
      <protection locked="true" hidden="false"/>
    </xf>
    <xf numFmtId="164" fontId="27" fillId="3" borderId="20" xfId="21" applyFont="true" applyBorder="true" applyAlignment="true" applyProtection="false">
      <alignment horizontal="center" vertical="bottom" textRotation="0" wrapText="false" indent="0" shrinkToFit="false"/>
      <protection locked="true" hidden="false"/>
    </xf>
    <xf numFmtId="177" fontId="27" fillId="3" borderId="20" xfId="21" applyFont="true" applyBorder="true" applyAlignment="true" applyProtection="false">
      <alignment horizontal="right" vertical="bottom" textRotation="0" wrapText="false" indent="0" shrinkToFit="false"/>
      <protection locked="true" hidden="false"/>
    </xf>
    <xf numFmtId="177" fontId="34" fillId="3" borderId="31" xfId="21" applyFont="true" applyBorder="true" applyAlignment="true" applyProtection="false">
      <alignment horizontal="center" vertical="center" textRotation="0" wrapText="true" indent="0" shrinkToFit="false"/>
      <protection locked="true" hidden="false"/>
    </xf>
    <xf numFmtId="177" fontId="34" fillId="3" borderId="20" xfId="21" applyFont="true" applyBorder="true" applyAlignment="true" applyProtection="false">
      <alignment horizontal="center" vertical="center" textRotation="0" wrapText="true" indent="0" shrinkToFit="false"/>
      <protection locked="true" hidden="false"/>
    </xf>
    <xf numFmtId="164" fontId="28" fillId="3" borderId="0" xfId="21" applyFont="true" applyBorder="false" applyAlignment="true" applyProtection="false">
      <alignment horizontal="center" vertical="bottom" textRotation="0" wrapText="false" indent="0" shrinkToFit="false"/>
      <protection locked="true" hidden="false"/>
    </xf>
    <xf numFmtId="177" fontId="34" fillId="5" borderId="20" xfId="21" applyFont="true" applyBorder="true" applyAlignment="true" applyProtection="false">
      <alignment horizontal="center" vertical="center" textRotation="0" wrapText="true" indent="0" shrinkToFit="false"/>
      <protection locked="true" hidden="false"/>
    </xf>
    <xf numFmtId="164" fontId="27" fillId="0" borderId="39" xfId="21" applyFont="true" applyBorder="true" applyAlignment="false" applyProtection="false">
      <alignment horizontal="general" vertical="bottom" textRotation="0" wrapText="false" indent="0" shrinkToFit="false"/>
      <protection locked="true" hidden="false"/>
    </xf>
    <xf numFmtId="164" fontId="27" fillId="0" borderId="39" xfId="21" applyFont="true" applyBorder="true" applyAlignment="true" applyProtection="false">
      <alignment horizontal="left" vertical="bottom" textRotation="0" wrapText="false" indent="0" shrinkToFit="false"/>
      <protection locked="true" hidden="false"/>
    </xf>
    <xf numFmtId="166" fontId="27" fillId="0" borderId="39" xfId="21" applyFont="true" applyBorder="true" applyAlignment="true" applyProtection="false">
      <alignment horizontal="center" vertical="bottom" textRotation="0" wrapText="false" indent="0" shrinkToFit="false"/>
      <protection locked="true" hidden="false"/>
    </xf>
    <xf numFmtId="164" fontId="27" fillId="0" borderId="39" xfId="21" applyFont="true" applyBorder="true" applyAlignment="true" applyProtection="false">
      <alignment horizontal="center" vertical="bottom" textRotation="0" wrapText="false" indent="0" shrinkToFit="false"/>
      <protection locked="true" hidden="false"/>
    </xf>
    <xf numFmtId="177" fontId="27" fillId="0" borderId="39" xfId="21" applyFont="true" applyBorder="true" applyAlignment="true" applyProtection="false">
      <alignment horizontal="right" vertical="bottom" textRotation="0" wrapText="false" indent="0" shrinkToFit="false"/>
      <protection locked="true" hidden="false"/>
    </xf>
    <xf numFmtId="178" fontId="29" fillId="0" borderId="39" xfId="21" applyFont="true" applyBorder="true" applyAlignment="true" applyProtection="false">
      <alignment horizontal="center" vertical="bottom" textRotation="0" wrapText="false" indent="0" shrinkToFit="false"/>
      <protection locked="true" hidden="false"/>
    </xf>
    <xf numFmtId="177" fontId="30" fillId="0" borderId="39" xfId="21" applyFont="true" applyBorder="true" applyAlignment="false" applyProtection="false">
      <alignment horizontal="general" vertical="bottom" textRotation="0" wrapText="false" indent="0" shrinkToFit="false"/>
      <protection locked="true" hidden="false"/>
    </xf>
    <xf numFmtId="176" fontId="13" fillId="3" borderId="0" xfId="21" applyFont="true" applyBorder="false" applyAlignment="false" applyProtection="false">
      <alignment horizontal="general" vertical="bottom" textRotation="0" wrapText="false" indent="0" shrinkToFit="false"/>
      <protection locked="true" hidden="false"/>
    </xf>
    <xf numFmtId="175" fontId="27" fillId="3" borderId="20" xfId="21" applyFont="true" applyBorder="true" applyAlignment="true" applyProtection="false">
      <alignment horizontal="center" vertical="bottom" textRotation="0" wrapText="false" indent="0" shrinkToFit="false"/>
      <protection locked="true" hidden="false"/>
    </xf>
    <xf numFmtId="172" fontId="30" fillId="0" borderId="39" xfId="21" applyFont="true" applyBorder="true" applyAlignment="false" applyProtection="false">
      <alignment horizontal="general" vertical="bottom" textRotation="0" wrapText="false" indent="0" shrinkToFit="false"/>
      <protection locked="true" hidden="false"/>
    </xf>
    <xf numFmtId="172" fontId="13" fillId="0" borderId="0" xfId="0" applyFont="true" applyBorder="false" applyAlignment="true" applyProtection="true">
      <alignment horizontal="center" vertical="bottom" textRotation="0" wrapText="false" indent="0" shrinkToFit="false"/>
      <protection locked="true" hidden="true"/>
    </xf>
    <xf numFmtId="164" fontId="10" fillId="0" borderId="0" xfId="0" applyFont="true" applyBorder="false" applyAlignment="true" applyProtection="true">
      <alignment horizontal="center" vertical="bottom" textRotation="0" wrapText="false" indent="0" shrinkToFit="false"/>
      <protection locked="true" hidden="true"/>
    </xf>
    <xf numFmtId="172" fontId="13" fillId="3" borderId="39" xfId="0" applyFont="true" applyBorder="true" applyAlignment="true" applyProtection="true">
      <alignment horizontal="center" vertical="bottom" textRotation="0" wrapText="false" indent="0" shrinkToFit="false"/>
      <protection locked="true" hidden="true"/>
    </xf>
    <xf numFmtId="164" fontId="11" fillId="3" borderId="0" xfId="0" applyFont="true" applyBorder="true" applyAlignment="true" applyProtection="true">
      <alignment horizontal="center" vertical="bottom" textRotation="0" wrapText="false" indent="0" shrinkToFit="false"/>
      <protection locked="true" hidden="true"/>
    </xf>
    <xf numFmtId="172" fontId="13" fillId="0" borderId="43" xfId="0" applyFont="true" applyBorder="true" applyAlignment="true" applyProtection="true">
      <alignment horizontal="center" vertical="bottom" textRotation="0" wrapText="false" indent="0" shrinkToFit="false"/>
      <protection locked="true" hidden="true"/>
    </xf>
    <xf numFmtId="164" fontId="11" fillId="0" borderId="20" xfId="0" applyFont="true" applyBorder="true" applyAlignment="true" applyProtection="true">
      <alignment horizontal="center" vertical="bottom" textRotation="0" wrapText="false" indent="0" shrinkToFit="false"/>
      <protection locked="true" hidden="true"/>
    </xf>
    <xf numFmtId="172" fontId="11" fillId="0" borderId="20" xfId="0" applyFont="true" applyBorder="true" applyAlignment="true" applyProtection="true">
      <alignment horizontal="center" vertical="bottom" textRotation="0" wrapText="false" indent="0" shrinkToFit="false"/>
      <protection locked="true" hidden="true"/>
    </xf>
    <xf numFmtId="164" fontId="11" fillId="0" borderId="20" xfId="0" applyFont="true" applyBorder="true" applyAlignment="true" applyProtection="true">
      <alignment horizontal="center" vertical="center" textRotation="0" wrapText="false" indent="0" shrinkToFit="false"/>
      <protection locked="true" hidden="true"/>
    </xf>
    <xf numFmtId="166" fontId="11" fillId="0" borderId="20" xfId="0" applyFont="true" applyBorder="true" applyAlignment="true" applyProtection="true">
      <alignment horizontal="center" vertical="bottom" textRotation="0" wrapText="false" indent="0" shrinkToFit="false"/>
      <protection locked="true" hidden="true"/>
    </xf>
    <xf numFmtId="164" fontId="10" fillId="3" borderId="0" xfId="0" applyFont="true" applyBorder="false" applyAlignment="true" applyProtection="true">
      <alignment horizontal="center" vertical="bottom" textRotation="0" wrapText="false" indent="0" shrinkToFit="false"/>
      <protection locked="true" hidden="true"/>
    </xf>
    <xf numFmtId="164" fontId="11" fillId="3" borderId="0" xfId="0" applyFont="true" applyBorder="false" applyAlignment="true" applyProtection="true">
      <alignment horizontal="center" vertical="center" textRotation="0" wrapText="false" indent="0" shrinkToFit="false"/>
      <protection locked="true" hidden="true"/>
    </xf>
    <xf numFmtId="172" fontId="13" fillId="0" borderId="27" xfId="0" applyFont="true" applyBorder="true" applyAlignment="true" applyProtection="true">
      <alignment horizontal="center" vertical="bottom" textRotation="0" wrapText="false" indent="0" shrinkToFit="false"/>
      <protection locked="true" hidden="true"/>
    </xf>
    <xf numFmtId="164" fontId="10" fillId="3" borderId="0" xfId="0" applyFont="true" applyBorder="true" applyAlignment="false" applyProtection="true">
      <alignment horizontal="general" vertical="bottom" textRotation="0" wrapText="false" indent="0" shrinkToFit="false"/>
      <protection locked="true" hidden="true"/>
    </xf>
    <xf numFmtId="179" fontId="10" fillId="0" borderId="20" xfId="0" applyFont="true" applyBorder="true" applyAlignment="true" applyProtection="true">
      <alignment horizontal="center" vertical="bottom" textRotation="0" wrapText="false" indent="0" shrinkToFit="false"/>
      <protection locked="true" hidden="true"/>
    </xf>
    <xf numFmtId="171" fontId="10" fillId="0" borderId="20" xfId="0" applyFont="true" applyBorder="true" applyAlignment="true" applyProtection="true">
      <alignment horizontal="center" vertical="bottom" textRotation="0" wrapText="false" indent="0" shrinkToFit="false"/>
      <protection locked="true" hidden="true"/>
    </xf>
    <xf numFmtId="164" fontId="10" fillId="0" borderId="20" xfId="0" applyFont="true" applyBorder="true" applyAlignment="true" applyProtection="true">
      <alignment horizontal="center" vertical="bottom" textRotation="0" wrapText="false" indent="0" shrinkToFit="false"/>
      <protection locked="true" hidden="true"/>
    </xf>
    <xf numFmtId="164" fontId="10" fillId="3" borderId="0" xfId="0" applyFont="true" applyBorder="false" applyAlignment="true" applyProtection="true">
      <alignment horizontal="center" vertical="center" textRotation="0" wrapText="true" indent="0" shrinkToFit="false"/>
      <protection locked="true" hidden="true"/>
    </xf>
    <xf numFmtId="164" fontId="10" fillId="3" borderId="0" xfId="0" applyFont="true" applyBorder="false" applyAlignment="true" applyProtection="true">
      <alignment horizontal="center" vertical="bottom" textRotation="0" wrapText="true" indent="0" shrinkToFit="false"/>
      <protection locked="true" hidden="true"/>
    </xf>
    <xf numFmtId="179" fontId="10" fillId="3" borderId="0" xfId="0" applyFont="true" applyBorder="false" applyAlignment="true" applyProtection="true">
      <alignment horizontal="center" vertical="bottom" textRotation="0" wrapText="false" indent="0" shrinkToFit="false"/>
      <protection locked="true" hidden="true"/>
    </xf>
    <xf numFmtId="176" fontId="10" fillId="0" borderId="20" xfId="0" applyFont="true" applyBorder="true" applyAlignment="true" applyProtection="true">
      <alignment horizontal="center" vertical="bottom" textRotation="0" wrapText="false" indent="0" shrinkToFit="false"/>
      <protection locked="true" hidden="true"/>
    </xf>
    <xf numFmtId="164" fontId="10" fillId="3" borderId="0" xfId="0" applyFont="true" applyBorder="true" applyAlignment="true" applyProtection="true">
      <alignment horizontal="general" vertical="bottom" textRotation="0" wrapText="true" indent="0" shrinkToFit="false"/>
      <protection locked="true" hidden="true"/>
    </xf>
    <xf numFmtId="164" fontId="10" fillId="3" borderId="0" xfId="0" applyFont="true" applyBorder="true" applyAlignment="true" applyProtection="true">
      <alignment horizontal="left" vertical="center" textRotation="0" wrapText="true" indent="1" shrinkToFit="false"/>
      <protection locked="true" hidden="true"/>
    </xf>
    <xf numFmtId="180" fontId="10" fillId="0" borderId="20" xfId="0" applyFont="true" applyBorder="true" applyAlignment="true" applyProtection="true">
      <alignment horizontal="center" vertical="bottom" textRotation="0" wrapText="false" indent="0" shrinkToFit="false"/>
      <protection locked="true" hidden="true"/>
    </xf>
    <xf numFmtId="164" fontId="10" fillId="3" borderId="0" xfId="0" applyFont="true" applyBorder="false" applyAlignment="true" applyProtection="true">
      <alignment horizontal="general" vertical="bottom" textRotation="0" wrapText="true" indent="0" shrinkToFit="false"/>
      <protection locked="true" hidden="true"/>
    </xf>
    <xf numFmtId="176" fontId="10" fillId="3" borderId="0" xfId="0" applyFont="true" applyBorder="false" applyAlignment="true" applyProtection="true">
      <alignment horizontal="center" vertical="bottom" textRotation="0" wrapText="false" indent="0" shrinkToFit="false"/>
      <protection locked="true" hidden="true"/>
    </xf>
    <xf numFmtId="172" fontId="13" fillId="3" borderId="0" xfId="0" applyFont="true" applyBorder="false" applyAlignment="true" applyProtection="true">
      <alignment horizontal="center" vertical="bottom" textRotation="0" wrapText="false" indent="0" shrinkToFit="false"/>
      <protection locked="true" hidden="tru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Normal 2" xfId="21"/>
    <cellStyle name="*unknown*" xfId="20" builtinId="8"/>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82421875" defaultRowHeight="12.75" zeroHeight="false" outlineLevelRow="0" outlineLevelCol="0"/>
  <cols>
    <col collapsed="false" customWidth="true" hidden="false" outlineLevel="0" max="1" min="1" style="0" width="3.49"/>
    <col collapsed="false" customWidth="true" hidden="false" outlineLevel="0" max="2" min="2" style="0" width="16.99"/>
    <col collapsed="false" customWidth="true" hidden="false" outlineLevel="0" max="5" min="3" style="0" width="23.15"/>
    <col collapsed="false" customWidth="true" hidden="false" outlineLevel="0" max="8" min="8" style="0" width="10.15"/>
  </cols>
  <sheetData>
    <row r="2" customFormat="false" ht="12.75" hidden="false" customHeight="false" outlineLevel="0" collapsed="false">
      <c r="B2" s="1" t="s">
        <v>0</v>
      </c>
      <c r="C2" s="1"/>
      <c r="D2" s="1"/>
      <c r="E2" s="1"/>
      <c r="H2" s="2"/>
    </row>
    <row r="3" customFormat="false" ht="15" hidden="false" customHeight="true" outlineLevel="0" collapsed="false">
      <c r="B3" s="3"/>
      <c r="C3" s="4"/>
      <c r="D3" s="4"/>
      <c r="E3" s="4"/>
    </row>
    <row r="4" s="5" customFormat="true" ht="54.75" hidden="false" customHeight="true" outlineLevel="0" collapsed="false">
      <c r="B4" s="6" t="s">
        <v>1</v>
      </c>
      <c r="C4" s="6"/>
      <c r="D4" s="6"/>
      <c r="E4" s="6"/>
    </row>
    <row r="5" customFormat="false" ht="15" hidden="false" customHeight="true" outlineLevel="0" collapsed="false">
      <c r="B5" s="4"/>
      <c r="C5" s="4"/>
      <c r="D5" s="4"/>
      <c r="E5" s="4"/>
    </row>
    <row r="6" customFormat="false" ht="12.75" hidden="false" customHeight="false" outlineLevel="0" collapsed="false">
      <c r="B6" s="7" t="s">
        <v>2</v>
      </c>
      <c r="C6" s="7" t="s">
        <v>3</v>
      </c>
      <c r="D6" s="7" t="s">
        <v>4</v>
      </c>
      <c r="E6" s="7" t="s">
        <v>5</v>
      </c>
    </row>
    <row r="7" customFormat="false" ht="12.75" hidden="false" customHeight="false" outlineLevel="0" collapsed="false">
      <c r="B7" s="4"/>
      <c r="C7" s="4"/>
      <c r="D7" s="4"/>
      <c r="E7" s="4"/>
    </row>
    <row r="8" customFormat="false" ht="12.75" hidden="false" customHeight="false" outlineLevel="0" collapsed="false">
      <c r="B8" s="8" t="str">
        <f aca="false">HYPERLINK("#'Business Details'!C5","Business Details")</f>
        <v>Business Details</v>
      </c>
      <c r="C8" s="9" t="str">
        <f aca="false">HYPERLINK("#'SalesApr'!A4","SalesApr")</f>
        <v>SalesApr</v>
      </c>
      <c r="D8" s="9" t="str">
        <f aca="false">HYPERLINK("#'PurchasesApr'!A5","PurchasesApr")</f>
        <v>PurchasesApr</v>
      </c>
      <c r="E8" s="8" t="str">
        <f aca="false">HYPERLINK("#'SE Short'!C8","SE Short")</f>
        <v>SE Short</v>
      </c>
    </row>
    <row r="9" customFormat="false" ht="12.75" hidden="false" customHeight="false" outlineLevel="0" collapsed="false">
      <c r="B9" s="8" t="str">
        <f aca="false">HYPERLINK("#'Fixed Assets'!B8","Fixed Assets")</f>
        <v>Fixed Assets</v>
      </c>
      <c r="C9" s="9" t="str">
        <f aca="false">HYPERLINK("#'SalesMay'!A4","SalesMay")</f>
        <v>SalesMay</v>
      </c>
      <c r="D9" s="9" t="str">
        <f aca="false">HYPERLINK("#'PurchasesMay'!A5","PurchasesMay")</f>
        <v>PurchasesMay</v>
      </c>
      <c r="E9" s="8" t="str">
        <f aca="false">HYPERLINK("#'Profit &amp; Loss Acc'!A1","Profit &amp; Loss Acc")</f>
        <v>Profit &amp; Loss Acc</v>
      </c>
    </row>
    <row r="10" customFormat="false" ht="12.75" hidden="false" customHeight="false" outlineLevel="0" collapsed="false">
      <c r="B10" s="8" t="str">
        <f aca="false">HYPERLINK("#'Debtors &amp; Creditors'!C3","Debtors &amp; Creditors")</f>
        <v>Debtors &amp; Creditors</v>
      </c>
      <c r="C10" s="9" t="str">
        <f aca="false">HYPERLINK("#'SalesJun'!A4","SalesJun")</f>
        <v>SalesJun</v>
      </c>
      <c r="D10" s="9" t="str">
        <f aca="false">HYPERLINK("#'PurchasesJun'!A5","PurchasesJun")</f>
        <v>PurchasesJun</v>
      </c>
      <c r="E10" s="8" t="str">
        <f aca="false">HYPERLINK("#'Income Tax'!D2","Income Tax")</f>
        <v>Income Tax</v>
      </c>
    </row>
    <row r="11" customFormat="false" ht="12.75" hidden="false" customHeight="false" outlineLevel="0" collapsed="false">
      <c r="B11" s="9"/>
      <c r="C11" s="9" t="str">
        <f aca="false">HYPERLINK("#'SalesJul'!A4","SalesJul")</f>
        <v>SalesJul</v>
      </c>
      <c r="D11" s="9" t="str">
        <f aca="false">HYPERLINK("#'PurchasesJul'!A5","PurchasesJul")</f>
        <v>PurchasesJul</v>
      </c>
      <c r="E11" s="8"/>
    </row>
    <row r="12" customFormat="false" ht="12.75" hidden="false" customHeight="false" outlineLevel="0" collapsed="false">
      <c r="B12" s="9"/>
      <c r="C12" s="9" t="str">
        <f aca="false">HYPERLINK("#'SalesAug'!A4","SalesAug")</f>
        <v>SalesAug</v>
      </c>
      <c r="D12" s="9" t="str">
        <f aca="false">HYPERLINK("#'PurchasesAug'!A5","PurchasesAug")</f>
        <v>PurchasesAug</v>
      </c>
      <c r="E12" s="8"/>
    </row>
    <row r="13" customFormat="false" ht="12.75" hidden="false" customHeight="false" outlineLevel="0" collapsed="false">
      <c r="B13" s="9"/>
      <c r="C13" s="9" t="str">
        <f aca="false">HYPERLINK("#'SalesSep'!A4","SalesSep")</f>
        <v>SalesSep</v>
      </c>
      <c r="D13" s="9" t="str">
        <f aca="false">HYPERLINK("#'PurchasesSep'!A5","PurchasesSep")</f>
        <v>PurchasesSep</v>
      </c>
      <c r="E13" s="8"/>
    </row>
    <row r="14" customFormat="false" ht="12.75" hidden="false" customHeight="false" outlineLevel="0" collapsed="false">
      <c r="B14" s="9"/>
      <c r="C14" s="9" t="str">
        <f aca="false">HYPERLINK("#'SalesOct'!A4","SalesOct")</f>
        <v>SalesOct</v>
      </c>
      <c r="D14" s="9" t="str">
        <f aca="false">HYPERLINK("#'PurchasesOct'!A5","PurchasesOct")</f>
        <v>PurchasesOct</v>
      </c>
      <c r="E14" s="8"/>
    </row>
    <row r="15" customFormat="false" ht="12.75" hidden="false" customHeight="false" outlineLevel="0" collapsed="false">
      <c r="B15" s="9"/>
      <c r="C15" s="9" t="str">
        <f aca="false">HYPERLINK("#'SalesNov'!A4","SalesNov")</f>
        <v>SalesNov</v>
      </c>
      <c r="D15" s="9" t="str">
        <f aca="false">HYPERLINK("#'PurchasesNov'!A5","PurchasesNov")</f>
        <v>PurchasesNov</v>
      </c>
      <c r="E15" s="8"/>
    </row>
    <row r="16" customFormat="false" ht="12.75" hidden="false" customHeight="false" outlineLevel="0" collapsed="false">
      <c r="B16" s="9"/>
      <c r="C16" s="9" t="str">
        <f aca="false">HYPERLINK("#'SalesDec'!A4","SalesDec")</f>
        <v>SalesDec</v>
      </c>
      <c r="D16" s="9" t="str">
        <f aca="false">HYPERLINK("#'PurchasesDec'!A5","PurchasesDec")</f>
        <v>PurchasesDec</v>
      </c>
      <c r="E16" s="8"/>
    </row>
    <row r="17" customFormat="false" ht="12.75" hidden="false" customHeight="false" outlineLevel="0" collapsed="false">
      <c r="B17" s="9"/>
      <c r="C17" s="9" t="str">
        <f aca="false">HYPERLINK("#'SalesJan'!A4","SalesJan")</f>
        <v>SalesJan</v>
      </c>
      <c r="D17" s="9" t="str">
        <f aca="false">HYPERLINK("#'PurchasesJan'!A5","PurchasesJan")</f>
        <v>PurchasesJan</v>
      </c>
      <c r="E17" s="4"/>
    </row>
    <row r="18" customFormat="false" ht="12.75" hidden="false" customHeight="false" outlineLevel="0" collapsed="false">
      <c r="B18" s="9"/>
      <c r="C18" s="9" t="str">
        <f aca="false">HYPERLINK("#'SalesFeb'!A4","SalesFeb")</f>
        <v>SalesFeb</v>
      </c>
      <c r="D18" s="9" t="str">
        <f aca="false">HYPERLINK("#'PurchasesFeb'!A5","PurchasesFeb")</f>
        <v>PurchasesFeb</v>
      </c>
      <c r="E18" s="4"/>
    </row>
    <row r="19" customFormat="false" ht="12.75" hidden="false" customHeight="false" outlineLevel="0" collapsed="false">
      <c r="B19" s="9"/>
      <c r="C19" s="9" t="str">
        <f aca="false">HYPERLINK("#'SalesMar'!A4","SalesMar")</f>
        <v>SalesMar</v>
      </c>
      <c r="D19" s="9" t="str">
        <f aca="false">HYPERLINK("#'PurchasesMar'!A5","PurchasesMar")</f>
        <v>PurchasesMar</v>
      </c>
      <c r="E19" s="4"/>
    </row>
    <row r="20" customFormat="false" ht="12.75" hidden="false" customHeight="false" outlineLevel="0" collapsed="false">
      <c r="B20" s="4"/>
      <c r="C20" s="4"/>
      <c r="D20" s="4"/>
      <c r="E20" s="4"/>
    </row>
  </sheetData>
  <mergeCells count="2">
    <mergeCell ref="B2:E2"/>
    <mergeCell ref="B4:E4"/>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 zeroHeight="false" outlineLevelRow="0" outlineLevelCol="0"/>
  <cols>
    <col collapsed="false" customWidth="true" hidden="false" outlineLevel="0" max="1" min="1" style="10" width="3.66"/>
    <col collapsed="false" customWidth="true" hidden="false" outlineLevel="0" max="2" min="2" style="10" width="0.82"/>
    <col collapsed="false" customWidth="true" hidden="false" outlineLevel="0" max="3" min="3" style="10" width="3.66"/>
    <col collapsed="false" customWidth="true" hidden="false" outlineLevel="0" max="4" min="4" style="10" width="4.66"/>
    <col collapsed="false" customWidth="true" hidden="false" outlineLevel="0" max="5" min="5" style="10" width="1.66"/>
    <col collapsed="false" customWidth="true" hidden="false" outlineLevel="0" max="6" min="6" style="10" width="10.66"/>
    <col collapsed="false" customWidth="true" hidden="false" outlineLevel="0" max="7" min="7" style="10" width="1.66"/>
    <col collapsed="false" customWidth="true" hidden="false" outlineLevel="0" max="9" min="8" style="10" width="2.5"/>
    <col collapsed="false" customWidth="true" hidden="false" outlineLevel="0" max="11" min="10" style="10" width="6.66"/>
    <col collapsed="false" customWidth="true" hidden="false" outlineLevel="0" max="12" min="12" style="10" width="3.66"/>
    <col collapsed="false" customWidth="true" hidden="false" outlineLevel="0" max="13" min="13" style="10" width="0.82"/>
    <col collapsed="false" customWidth="true" hidden="false" outlineLevel="0" max="15" min="14" style="10" width="3.66"/>
    <col collapsed="false" customWidth="true" hidden="false" outlineLevel="0" max="17" min="16" style="10" width="6.66"/>
    <col collapsed="false" customWidth="true" hidden="false" outlineLevel="0" max="18" min="18" style="10" width="1.66"/>
    <col collapsed="false" customWidth="true" hidden="false" outlineLevel="0" max="20" min="19" style="10" width="2.5"/>
    <col collapsed="false" customWidth="true" hidden="false" outlineLevel="0" max="21" min="21" style="10" width="2.66"/>
    <col collapsed="false" customWidth="true" hidden="false" outlineLevel="0" max="22" min="22" style="10" width="7.66"/>
    <col collapsed="false" customWidth="true" hidden="false" outlineLevel="0" max="23" min="23" style="10" width="4.66"/>
    <col collapsed="false" customWidth="false" hidden="false" outlineLevel="0" max="257" min="24" style="10" width="9.15"/>
  </cols>
  <sheetData>
    <row r="1" customFormat="false" ht="15.75" hidden="false" customHeight="true" outlineLevel="0" collapsed="false">
      <c r="A1" s="11" t="s">
        <v>6</v>
      </c>
      <c r="B1" s="11"/>
      <c r="C1" s="11"/>
      <c r="D1" s="11"/>
      <c r="E1" s="11"/>
      <c r="F1" s="11"/>
      <c r="G1" s="11"/>
      <c r="H1" s="11"/>
      <c r="I1" s="11"/>
      <c r="J1" s="11"/>
      <c r="K1" s="11"/>
      <c r="L1" s="11"/>
      <c r="M1" s="11"/>
      <c r="N1" s="11"/>
      <c r="O1" s="11"/>
      <c r="P1" s="11"/>
      <c r="Q1" s="11"/>
      <c r="R1" s="11"/>
      <c r="S1" s="11"/>
      <c r="T1" s="11"/>
      <c r="U1" s="11"/>
      <c r="V1" s="11"/>
      <c r="W1" s="11"/>
    </row>
    <row r="2" customFormat="false" ht="3.75" hidden="false" customHeight="true" outlineLevel="0" collapsed="false">
      <c r="A2" s="12"/>
      <c r="B2" s="13"/>
      <c r="C2" s="13"/>
      <c r="D2" s="13"/>
      <c r="E2" s="13"/>
      <c r="F2" s="13"/>
      <c r="G2" s="13"/>
      <c r="H2" s="13"/>
      <c r="I2" s="13"/>
      <c r="J2" s="13"/>
      <c r="K2" s="13"/>
      <c r="L2" s="13"/>
      <c r="M2" s="13"/>
      <c r="N2" s="13"/>
      <c r="O2" s="13"/>
      <c r="P2" s="13"/>
      <c r="Q2" s="13"/>
      <c r="R2" s="13"/>
      <c r="S2" s="13"/>
      <c r="T2" s="13"/>
      <c r="U2" s="13"/>
      <c r="V2" s="13"/>
      <c r="W2" s="14"/>
    </row>
    <row r="3" customFormat="false" ht="12" hidden="false" customHeight="false" outlineLevel="0" collapsed="false">
      <c r="A3" s="15"/>
      <c r="B3" s="16"/>
      <c r="C3" s="17" t="s">
        <v>7</v>
      </c>
      <c r="D3" s="17"/>
      <c r="E3" s="17"/>
      <c r="F3" s="16"/>
      <c r="G3" s="16"/>
      <c r="H3" s="16"/>
      <c r="I3" s="16"/>
      <c r="J3" s="16"/>
      <c r="K3" s="16"/>
      <c r="L3" s="16"/>
      <c r="M3" s="16"/>
      <c r="N3" s="17" t="s">
        <v>8</v>
      </c>
      <c r="O3" s="17"/>
      <c r="P3" s="17"/>
      <c r="Q3" s="17"/>
      <c r="R3" s="17"/>
      <c r="S3" s="17"/>
      <c r="T3" s="17"/>
      <c r="U3" s="17"/>
      <c r="V3" s="17"/>
      <c r="W3" s="18"/>
    </row>
    <row r="4" customFormat="false" ht="7.5" hidden="false" customHeight="true" outlineLevel="0" collapsed="false">
      <c r="A4" s="15"/>
      <c r="B4" s="16"/>
      <c r="C4" s="17"/>
      <c r="D4" s="17"/>
      <c r="E4" s="17"/>
      <c r="F4" s="16"/>
      <c r="G4" s="16"/>
      <c r="H4" s="16"/>
      <c r="I4" s="16"/>
      <c r="J4" s="16"/>
      <c r="K4" s="16"/>
      <c r="L4" s="16"/>
      <c r="M4" s="16"/>
      <c r="N4" s="17"/>
      <c r="O4" s="17"/>
      <c r="P4" s="17"/>
      <c r="Q4" s="17"/>
      <c r="R4" s="17"/>
      <c r="S4" s="17"/>
      <c r="T4" s="17"/>
      <c r="U4" s="17"/>
      <c r="V4" s="17"/>
      <c r="W4" s="18"/>
    </row>
    <row r="5" customFormat="false" ht="15" hidden="false" customHeight="true" outlineLevel="0" collapsed="false">
      <c r="A5" s="15"/>
      <c r="B5" s="16"/>
      <c r="C5" s="19" t="s">
        <v>9</v>
      </c>
      <c r="D5" s="19"/>
      <c r="E5" s="19"/>
      <c r="F5" s="19"/>
      <c r="G5" s="19"/>
      <c r="H5" s="19"/>
      <c r="I5" s="19"/>
      <c r="J5" s="19"/>
      <c r="O5" s="20"/>
      <c r="P5" s="20"/>
      <c r="R5" s="20"/>
      <c r="S5" s="20"/>
      <c r="T5" s="20"/>
      <c r="U5" s="20"/>
    </row>
    <row r="7" customFormat="false" ht="12" hidden="false" customHeight="false" outlineLevel="0" collapsed="false">
      <c r="B7" s="16"/>
      <c r="C7" s="17" t="s">
        <v>10</v>
      </c>
      <c r="D7" s="17"/>
      <c r="E7" s="17"/>
      <c r="F7" s="16"/>
      <c r="G7" s="16"/>
      <c r="H7" s="16"/>
      <c r="I7" s="16"/>
      <c r="J7" s="16"/>
      <c r="K7" s="16"/>
      <c r="L7" s="21" t="n">
        <v>4</v>
      </c>
      <c r="M7" s="16"/>
      <c r="N7" s="17" t="s">
        <v>11</v>
      </c>
      <c r="O7" s="17"/>
      <c r="P7" s="17"/>
      <c r="Q7" s="17"/>
      <c r="R7" s="22"/>
      <c r="S7" s="23"/>
      <c r="T7" s="23"/>
      <c r="U7" s="23"/>
      <c r="V7" s="17"/>
      <c r="W7" s="24"/>
    </row>
    <row r="8" customFormat="false" ht="15" hidden="false" customHeight="true" outlineLevel="0" collapsed="false">
      <c r="A8" s="25"/>
      <c r="B8" s="16"/>
      <c r="C8" s="19" t="s">
        <v>12</v>
      </c>
      <c r="D8" s="19"/>
      <c r="E8" s="19"/>
      <c r="F8" s="19"/>
      <c r="G8" s="19"/>
      <c r="H8" s="19"/>
      <c r="I8" s="19"/>
      <c r="J8" s="19"/>
      <c r="O8" s="17"/>
      <c r="P8" s="17"/>
      <c r="Q8" s="17"/>
      <c r="R8" s="17"/>
      <c r="S8" s="17"/>
      <c r="T8" s="17"/>
      <c r="U8" s="17"/>
      <c r="V8" s="17"/>
      <c r="W8" s="24"/>
    </row>
    <row r="9" customFormat="false" ht="7.5" hidden="false" customHeight="true" outlineLevel="0" collapsed="false">
      <c r="A9" s="25"/>
      <c r="B9" s="16"/>
      <c r="C9" s="16"/>
      <c r="D9" s="16"/>
      <c r="E9" s="16"/>
      <c r="F9" s="16"/>
      <c r="G9" s="16"/>
      <c r="H9" s="16"/>
      <c r="I9" s="16"/>
      <c r="J9" s="16"/>
      <c r="K9" s="16"/>
      <c r="L9" s="16"/>
      <c r="M9" s="16"/>
      <c r="N9" s="26"/>
      <c r="O9" s="26"/>
      <c r="P9" s="26"/>
      <c r="Q9" s="26"/>
      <c r="R9" s="16"/>
      <c r="S9" s="16"/>
      <c r="T9" s="16"/>
      <c r="U9" s="16"/>
      <c r="V9" s="16"/>
      <c r="W9" s="27"/>
    </row>
    <row r="10" customFormat="false" ht="15" hidden="false" customHeight="true" outlineLevel="0" collapsed="false">
      <c r="A10" s="25"/>
      <c r="B10" s="16"/>
      <c r="C10" s="19" t="s">
        <v>13</v>
      </c>
      <c r="D10" s="19"/>
      <c r="E10" s="19"/>
      <c r="F10" s="19"/>
      <c r="G10" s="19"/>
      <c r="H10" s="19"/>
      <c r="I10" s="19"/>
      <c r="J10" s="19"/>
    </row>
    <row r="12" customFormat="false" ht="12" hidden="false" customHeight="false" outlineLevel="0" collapsed="false">
      <c r="C12" s="20" t="s">
        <v>14</v>
      </c>
      <c r="D12" s="20"/>
      <c r="E12" s="20"/>
      <c r="F12" s="20"/>
      <c r="G12" s="20"/>
      <c r="H12" s="20"/>
      <c r="I12" s="20"/>
      <c r="J12" s="20"/>
      <c r="M12" s="16"/>
      <c r="N12" s="17" t="s">
        <v>15</v>
      </c>
      <c r="O12" s="17"/>
      <c r="P12" s="17"/>
      <c r="Q12" s="17"/>
      <c r="R12" s="22"/>
      <c r="S12" s="28" t="n">
        <f aca="false">Admin!B4</f>
        <v>46118</v>
      </c>
      <c r="T12" s="28"/>
      <c r="U12" s="28"/>
      <c r="V12" s="28"/>
      <c r="W12" s="24"/>
    </row>
    <row r="13" customFormat="false" ht="11.25" hidden="false" customHeight="true" outlineLevel="0" collapsed="false">
      <c r="A13" s="25"/>
      <c r="B13" s="16"/>
      <c r="C13" s="16"/>
      <c r="D13" s="16"/>
      <c r="E13" s="16"/>
      <c r="F13" s="16"/>
      <c r="G13" s="16"/>
      <c r="H13" s="16"/>
      <c r="I13" s="16"/>
      <c r="J13" s="16"/>
      <c r="K13" s="16"/>
      <c r="L13" s="16"/>
      <c r="M13" s="16"/>
      <c r="N13" s="29" t="s">
        <v>16</v>
      </c>
      <c r="O13" s="29"/>
      <c r="P13" s="29"/>
      <c r="Q13" s="29"/>
      <c r="R13" s="29"/>
      <c r="S13" s="29"/>
      <c r="T13" s="29"/>
      <c r="U13" s="29"/>
      <c r="V13" s="29"/>
      <c r="W13" s="30"/>
    </row>
    <row r="14" customFormat="false" ht="7.5" hidden="false" customHeight="true" outlineLevel="0" collapsed="false">
      <c r="A14" s="25"/>
      <c r="B14" s="16"/>
      <c r="C14" s="16"/>
      <c r="D14" s="16"/>
      <c r="E14" s="16"/>
      <c r="F14" s="16"/>
      <c r="G14" s="16"/>
      <c r="H14" s="16"/>
      <c r="I14" s="16"/>
      <c r="J14" s="16"/>
      <c r="K14" s="16"/>
      <c r="L14" s="16"/>
      <c r="M14" s="16"/>
      <c r="N14" s="16"/>
      <c r="O14" s="16"/>
      <c r="P14" s="16"/>
      <c r="Q14" s="16"/>
      <c r="R14" s="16"/>
      <c r="S14" s="16"/>
      <c r="T14" s="16"/>
      <c r="U14" s="16"/>
      <c r="V14" s="16"/>
      <c r="W14" s="27"/>
    </row>
    <row r="15" customFormat="false" ht="13.5" hidden="false" customHeight="false" outlineLevel="0" collapsed="false">
      <c r="A15" s="21" t="n">
        <v>2</v>
      </c>
      <c r="B15" s="16"/>
      <c r="C15" s="17" t="s">
        <v>17</v>
      </c>
      <c r="D15" s="17"/>
      <c r="E15" s="17"/>
      <c r="F15" s="16"/>
      <c r="G15" s="16"/>
      <c r="H15" s="16"/>
      <c r="I15" s="16"/>
      <c r="J15" s="16"/>
      <c r="K15" s="16"/>
      <c r="L15" s="16"/>
      <c r="M15" s="16"/>
      <c r="N15" s="31"/>
      <c r="O15" s="31"/>
      <c r="P15" s="31"/>
      <c r="Q15" s="31"/>
      <c r="R15" s="17"/>
      <c r="S15" s="17"/>
      <c r="T15" s="17"/>
      <c r="U15" s="17"/>
      <c r="V15" s="17"/>
      <c r="W15" s="24"/>
    </row>
    <row r="16" customFormat="false" ht="6" hidden="false" customHeight="true" outlineLevel="0" collapsed="false">
      <c r="A16" s="25"/>
      <c r="B16" s="16"/>
      <c r="C16" s="16"/>
      <c r="D16" s="16"/>
      <c r="E16" s="16"/>
      <c r="F16" s="16"/>
      <c r="G16" s="16"/>
      <c r="H16" s="16"/>
      <c r="I16" s="16"/>
      <c r="J16" s="16"/>
      <c r="K16" s="16"/>
      <c r="L16" s="16"/>
      <c r="M16" s="16"/>
      <c r="N16" s="16"/>
      <c r="O16" s="16"/>
      <c r="P16" s="16"/>
      <c r="Q16" s="16"/>
      <c r="R16" s="16"/>
      <c r="S16" s="16"/>
      <c r="T16" s="16"/>
      <c r="U16" s="16"/>
      <c r="V16" s="16"/>
      <c r="W16" s="27"/>
    </row>
    <row r="17" customFormat="false" ht="15" hidden="false" customHeight="true" outlineLevel="0" collapsed="false">
      <c r="A17" s="25"/>
      <c r="B17" s="16"/>
      <c r="C17" s="32"/>
      <c r="D17" s="32"/>
      <c r="E17" s="16"/>
      <c r="F17" s="33"/>
      <c r="G17" s="16"/>
      <c r="H17" s="16"/>
      <c r="I17" s="16"/>
      <c r="J17" s="16"/>
      <c r="K17" s="16"/>
      <c r="L17" s="16"/>
      <c r="M17" s="16"/>
      <c r="N17" s="17"/>
      <c r="O17" s="17"/>
      <c r="P17" s="17"/>
      <c r="Q17" s="17"/>
      <c r="R17" s="17"/>
      <c r="S17" s="17"/>
      <c r="T17" s="17"/>
      <c r="U17" s="17"/>
      <c r="V17" s="17"/>
      <c r="W17" s="24"/>
    </row>
    <row r="18" customFormat="false" ht="12" hidden="false" customHeight="false" outlineLevel="0" collapsed="false">
      <c r="A18" s="25"/>
      <c r="B18" s="16"/>
      <c r="C18" s="16"/>
      <c r="D18" s="16"/>
      <c r="E18" s="16"/>
      <c r="F18" s="16"/>
      <c r="G18" s="16"/>
      <c r="H18" s="16"/>
      <c r="I18" s="16"/>
      <c r="J18" s="16"/>
      <c r="K18" s="16"/>
      <c r="L18" s="21" t="n">
        <v>6</v>
      </c>
      <c r="M18" s="17"/>
      <c r="N18" s="17" t="s">
        <v>18</v>
      </c>
      <c r="O18" s="34"/>
      <c r="P18" s="17"/>
      <c r="Q18" s="17"/>
      <c r="R18" s="17"/>
      <c r="S18" s="28" t="n">
        <f aca="false">Admin!B17</f>
        <v>46482</v>
      </c>
      <c r="T18" s="28"/>
      <c r="U18" s="28"/>
      <c r="V18" s="28"/>
      <c r="W18" s="24"/>
    </row>
    <row r="19" customFormat="false" ht="12" hidden="false" customHeight="false" outlineLevel="0" collapsed="false">
      <c r="A19" s="21" t="n">
        <v>3</v>
      </c>
      <c r="B19" s="16"/>
      <c r="C19" s="17" t="s">
        <v>19</v>
      </c>
      <c r="D19" s="16"/>
      <c r="E19" s="16"/>
      <c r="F19" s="16"/>
      <c r="G19" s="16"/>
      <c r="H19" s="16"/>
      <c r="I19" s="16"/>
      <c r="J19" s="16"/>
      <c r="K19" s="16"/>
      <c r="L19" s="16"/>
      <c r="M19" s="17"/>
      <c r="N19" s="35" t="s">
        <v>20</v>
      </c>
      <c r="O19" s="26"/>
      <c r="P19" s="26"/>
      <c r="Q19" s="26"/>
      <c r="R19" s="16"/>
      <c r="S19" s="16"/>
      <c r="T19" s="16"/>
      <c r="U19" s="16"/>
      <c r="V19" s="16"/>
      <c r="W19" s="27"/>
    </row>
    <row r="20" customFormat="false" ht="12" hidden="false" customHeight="false" outlineLevel="0" collapsed="false">
      <c r="A20" s="25"/>
      <c r="B20" s="16"/>
      <c r="C20" s="17" t="s">
        <v>21</v>
      </c>
      <c r="D20" s="16"/>
      <c r="E20" s="16"/>
      <c r="F20" s="16"/>
      <c r="G20" s="16"/>
      <c r="H20" s="16"/>
      <c r="I20" s="16"/>
      <c r="J20" s="16"/>
      <c r="K20" s="16"/>
      <c r="L20" s="16"/>
      <c r="M20" s="16"/>
      <c r="N20" s="26"/>
      <c r="O20" s="26"/>
      <c r="P20" s="26"/>
      <c r="Q20" s="26"/>
      <c r="R20" s="16"/>
      <c r="S20" s="16"/>
      <c r="T20" s="16"/>
      <c r="U20" s="16"/>
      <c r="V20" s="16"/>
      <c r="W20" s="27"/>
    </row>
    <row r="21" customFormat="false" ht="13.5" hidden="false" customHeight="false" outlineLevel="0" collapsed="false">
      <c r="A21" s="25"/>
      <c r="B21" s="16"/>
      <c r="C21" s="35" t="s">
        <v>22</v>
      </c>
      <c r="D21" s="26"/>
      <c r="E21" s="26"/>
      <c r="F21" s="26"/>
      <c r="G21" s="26"/>
      <c r="H21" s="26"/>
      <c r="I21" s="26"/>
      <c r="J21" s="26"/>
      <c r="K21" s="26"/>
      <c r="L21" s="16"/>
      <c r="M21" s="16"/>
      <c r="N21" s="31"/>
      <c r="O21" s="31"/>
      <c r="P21" s="31"/>
      <c r="Q21" s="31"/>
      <c r="R21" s="16"/>
      <c r="S21" s="16"/>
      <c r="T21" s="16"/>
      <c r="U21" s="16"/>
      <c r="V21" s="16"/>
      <c r="W21" s="27"/>
    </row>
    <row r="22" customFormat="false" ht="9.75" hidden="false" customHeight="true" outlineLevel="0" collapsed="false">
      <c r="A22" s="25"/>
      <c r="B22" s="16"/>
      <c r="C22" s="35" t="s">
        <v>23</v>
      </c>
      <c r="D22" s="16"/>
      <c r="E22" s="16"/>
      <c r="F22" s="16"/>
      <c r="G22" s="16"/>
      <c r="H22" s="16"/>
      <c r="I22" s="16"/>
      <c r="J22" s="16"/>
      <c r="K22" s="16"/>
      <c r="L22" s="16"/>
      <c r="M22" s="16"/>
      <c r="N22" s="26"/>
      <c r="O22" s="26"/>
      <c r="P22" s="26"/>
      <c r="Q22" s="26"/>
      <c r="R22" s="16"/>
      <c r="S22" s="16"/>
      <c r="T22" s="16"/>
      <c r="U22" s="16"/>
      <c r="V22" s="16"/>
      <c r="W22" s="27"/>
    </row>
    <row r="23" customFormat="false" ht="12" hidden="false" customHeight="false" outlineLevel="0" collapsed="false">
      <c r="A23" s="25"/>
      <c r="B23" s="16"/>
      <c r="C23" s="26"/>
      <c r="D23" s="16"/>
      <c r="E23" s="16"/>
      <c r="F23" s="16"/>
      <c r="G23" s="16"/>
      <c r="H23" s="16"/>
      <c r="I23" s="16"/>
      <c r="J23" s="16"/>
      <c r="K23" s="16"/>
      <c r="L23" s="21" t="n">
        <v>7</v>
      </c>
      <c r="M23" s="16"/>
      <c r="N23" s="35" t="s">
        <v>24</v>
      </c>
      <c r="O23" s="26"/>
      <c r="P23" s="26"/>
      <c r="Q23" s="26"/>
      <c r="R23" s="16"/>
      <c r="S23" s="16"/>
      <c r="T23" s="16"/>
      <c r="U23" s="16"/>
      <c r="V23" s="16"/>
      <c r="W23" s="27"/>
    </row>
    <row r="24" customFormat="false" ht="15" hidden="false" customHeight="true" outlineLevel="0" collapsed="false">
      <c r="A24" s="25"/>
      <c r="B24" s="16"/>
      <c r="C24" s="36"/>
      <c r="D24" s="16"/>
      <c r="E24" s="16"/>
      <c r="F24" s="16"/>
      <c r="G24" s="16"/>
      <c r="H24" s="16"/>
      <c r="I24" s="16"/>
      <c r="J24" s="16"/>
      <c r="K24" s="16"/>
      <c r="L24" s="16"/>
      <c r="M24" s="16"/>
      <c r="N24" s="37" t="s">
        <v>25</v>
      </c>
      <c r="O24" s="26"/>
      <c r="P24" s="26"/>
      <c r="Q24" s="26"/>
      <c r="R24" s="16"/>
      <c r="S24" s="16"/>
      <c r="T24" s="16"/>
      <c r="U24" s="16"/>
      <c r="V24" s="16"/>
      <c r="W24" s="27"/>
    </row>
    <row r="25" customFormat="false" ht="15" hidden="false" customHeight="true" outlineLevel="0" collapsed="false">
      <c r="A25" s="25"/>
      <c r="B25" s="16"/>
      <c r="C25" s="16"/>
      <c r="D25" s="16"/>
      <c r="E25" s="16"/>
      <c r="F25" s="16"/>
      <c r="G25" s="16"/>
      <c r="H25" s="16"/>
      <c r="I25" s="16"/>
      <c r="J25" s="16"/>
      <c r="K25" s="16"/>
      <c r="L25" s="16"/>
      <c r="M25" s="16"/>
      <c r="N25" s="31" t="n">
        <f aca="false">Admin!B17</f>
        <v>46482</v>
      </c>
      <c r="O25" s="31"/>
      <c r="P25" s="31"/>
      <c r="Q25" s="31"/>
      <c r="R25" s="16"/>
      <c r="S25" s="16"/>
      <c r="T25" s="16"/>
      <c r="U25" s="16"/>
      <c r="V25" s="16"/>
      <c r="W25" s="27"/>
    </row>
    <row r="26" customFormat="false" ht="12" hidden="false" customHeight="true" outlineLevel="0" collapsed="false">
      <c r="A26" s="25"/>
      <c r="B26" s="16"/>
      <c r="C26" s="16"/>
      <c r="D26" s="16"/>
      <c r="E26" s="16"/>
      <c r="F26" s="16"/>
      <c r="G26" s="16"/>
      <c r="H26" s="16"/>
      <c r="I26" s="16"/>
      <c r="J26" s="16"/>
      <c r="K26" s="16"/>
      <c r="L26" s="16"/>
      <c r="M26" s="16"/>
      <c r="N26" s="37"/>
      <c r="O26" s="26"/>
      <c r="P26" s="26"/>
      <c r="Q26" s="26"/>
      <c r="R26" s="16"/>
      <c r="S26" s="16"/>
      <c r="T26" s="16"/>
      <c r="U26" s="16"/>
      <c r="V26" s="16"/>
      <c r="W26" s="27"/>
    </row>
    <row r="27" customFormat="false" ht="12" hidden="false" customHeight="false" outlineLevel="0" collapsed="false">
      <c r="A27" s="21" t="n">
        <v>26</v>
      </c>
      <c r="B27" s="16"/>
      <c r="C27" s="38" t="s">
        <v>26</v>
      </c>
      <c r="D27" s="16"/>
      <c r="E27" s="16"/>
      <c r="F27" s="16"/>
      <c r="G27" s="16"/>
      <c r="H27" s="16"/>
      <c r="I27" s="16"/>
      <c r="J27" s="16"/>
      <c r="K27" s="16"/>
      <c r="L27" s="21" t="n">
        <v>24</v>
      </c>
      <c r="M27" s="16"/>
      <c r="N27" s="38" t="s">
        <v>27</v>
      </c>
      <c r="O27" s="17"/>
      <c r="P27" s="17"/>
      <c r="Q27" s="17"/>
      <c r="R27" s="17"/>
      <c r="S27" s="17"/>
      <c r="T27" s="17"/>
      <c r="U27" s="17"/>
      <c r="V27" s="17"/>
      <c r="W27" s="27"/>
    </row>
    <row r="28" customFormat="false" ht="12" hidden="false" customHeight="true" outlineLevel="0" collapsed="false">
      <c r="A28" s="17"/>
      <c r="B28" s="16"/>
      <c r="C28" s="16"/>
      <c r="D28" s="16"/>
      <c r="E28" s="16"/>
      <c r="F28" s="16"/>
      <c r="G28" s="16"/>
      <c r="H28" s="16"/>
      <c r="I28" s="16"/>
      <c r="J28" s="16"/>
      <c r="K28" s="16"/>
      <c r="L28" s="17"/>
      <c r="M28" s="16"/>
      <c r="N28" s="34" t="s">
        <v>28</v>
      </c>
      <c r="O28" s="17"/>
      <c r="P28" s="17"/>
      <c r="Q28" s="17"/>
      <c r="R28" s="17"/>
      <c r="S28" s="17"/>
      <c r="T28" s="17"/>
      <c r="U28" s="17"/>
      <c r="V28" s="17"/>
      <c r="W28" s="27"/>
    </row>
    <row r="29" customFormat="false" ht="15" hidden="false" customHeight="true" outlineLevel="0" collapsed="false">
      <c r="A29" s="16"/>
      <c r="B29" s="16"/>
      <c r="C29" s="39" t="s">
        <v>29</v>
      </c>
      <c r="D29" s="40" t="n">
        <v>0</v>
      </c>
      <c r="E29" s="40"/>
      <c r="F29" s="40"/>
      <c r="G29" s="41" t="s">
        <v>30</v>
      </c>
      <c r="H29" s="42" t="n">
        <v>0</v>
      </c>
      <c r="I29" s="42" t="n">
        <v>0</v>
      </c>
      <c r="J29" s="16"/>
      <c r="K29" s="16"/>
      <c r="L29" s="17"/>
      <c r="M29" s="16"/>
      <c r="N29" s="39" t="s">
        <v>29</v>
      </c>
      <c r="O29" s="40" t="n">
        <v>0</v>
      </c>
      <c r="P29" s="40"/>
      <c r="Q29" s="40"/>
      <c r="R29" s="41" t="s">
        <v>30</v>
      </c>
      <c r="S29" s="42" t="n">
        <v>0</v>
      </c>
      <c r="T29" s="42" t="n">
        <v>0</v>
      </c>
      <c r="U29" s="17"/>
      <c r="V29" s="17"/>
      <c r="W29" s="27"/>
    </row>
    <row r="30" customFormat="false" ht="7.5" hidden="false" customHeight="true" outlineLevel="0" collapsed="false">
      <c r="A30" s="16"/>
      <c r="B30" s="16"/>
      <c r="C30" s="43"/>
      <c r="D30" s="44"/>
      <c r="E30" s="44"/>
      <c r="F30" s="44"/>
      <c r="G30" s="41"/>
      <c r="H30" s="45"/>
      <c r="I30" s="45"/>
      <c r="J30" s="16"/>
      <c r="K30" s="16"/>
      <c r="L30" s="16"/>
      <c r="M30" s="16"/>
      <c r="N30" s="16"/>
      <c r="O30" s="16"/>
      <c r="P30" s="16"/>
      <c r="Q30" s="16"/>
      <c r="R30" s="16"/>
      <c r="S30" s="16"/>
      <c r="T30" s="16"/>
      <c r="U30" s="16"/>
      <c r="V30" s="16"/>
      <c r="W30" s="27"/>
    </row>
    <row r="31" s="47" customFormat="true" ht="12" hidden="false" customHeight="true" outlineLevel="0" collapsed="false">
      <c r="A31" s="26"/>
      <c r="B31" s="26"/>
      <c r="C31" s="35" t="s">
        <v>31</v>
      </c>
      <c r="D31" s="44"/>
      <c r="E31" s="44"/>
      <c r="F31" s="44"/>
      <c r="G31" s="41"/>
      <c r="H31" s="45"/>
      <c r="I31" s="45"/>
      <c r="J31" s="26"/>
      <c r="K31" s="26"/>
      <c r="L31" s="26"/>
      <c r="M31" s="26"/>
      <c r="N31" s="35" t="s">
        <v>32</v>
      </c>
      <c r="O31" s="26"/>
      <c r="P31" s="26"/>
      <c r="Q31" s="26"/>
      <c r="R31" s="26"/>
      <c r="S31" s="26"/>
      <c r="T31" s="26"/>
      <c r="U31" s="26"/>
      <c r="V31" s="26"/>
      <c r="W31" s="46"/>
    </row>
    <row r="32" s="47" customFormat="true" ht="12" hidden="false" customHeight="true" outlineLevel="0" collapsed="false">
      <c r="A32" s="26"/>
      <c r="B32" s="26"/>
      <c r="C32" s="48" t="s">
        <v>33</v>
      </c>
      <c r="D32" s="44"/>
      <c r="E32" s="44"/>
      <c r="F32" s="44"/>
      <c r="G32" s="41"/>
      <c r="H32" s="45"/>
      <c r="I32" s="45"/>
      <c r="J32" s="26"/>
      <c r="K32" s="26"/>
      <c r="L32" s="26"/>
      <c r="M32" s="26"/>
      <c r="N32" s="48" t="s">
        <v>33</v>
      </c>
      <c r="O32" s="44"/>
      <c r="P32" s="44"/>
      <c r="Q32" s="44"/>
      <c r="R32" s="41"/>
      <c r="S32" s="45"/>
      <c r="T32" s="45"/>
      <c r="U32" s="26"/>
      <c r="V32" s="26"/>
      <c r="W32" s="46"/>
    </row>
    <row r="33" customFormat="false" ht="3.75" hidden="false" customHeight="true" outlineLevel="0" collapsed="false">
      <c r="A33" s="25"/>
      <c r="B33" s="16"/>
      <c r="C33" s="16"/>
      <c r="D33" s="16"/>
      <c r="E33" s="16"/>
      <c r="F33" s="16"/>
      <c r="G33" s="16"/>
      <c r="H33" s="16"/>
      <c r="I33" s="16"/>
      <c r="J33" s="16"/>
      <c r="K33" s="16"/>
      <c r="L33" s="16"/>
      <c r="M33" s="16"/>
      <c r="N33" s="26"/>
      <c r="O33" s="26"/>
      <c r="P33" s="26"/>
      <c r="Q33" s="26"/>
      <c r="R33" s="16"/>
      <c r="S33" s="16"/>
      <c r="T33" s="16"/>
      <c r="U33" s="16"/>
      <c r="V33" s="16"/>
      <c r="W33" s="27"/>
    </row>
    <row r="34" customFormat="false" ht="15" hidden="false" customHeight="true" outlineLevel="0" collapsed="false">
      <c r="A34" s="16"/>
      <c r="B34" s="16"/>
      <c r="C34" s="39" t="s">
        <v>29</v>
      </c>
      <c r="D34" s="49" t="n">
        <f aca="false">'SE Short'!O94</f>
        <v>0</v>
      </c>
      <c r="E34" s="49"/>
      <c r="F34" s="49"/>
      <c r="G34" s="41" t="s">
        <v>30</v>
      </c>
      <c r="H34" s="42" t="n">
        <v>0</v>
      </c>
      <c r="I34" s="42" t="n">
        <v>0</v>
      </c>
      <c r="J34" s="16"/>
      <c r="K34" s="16"/>
      <c r="L34" s="16"/>
      <c r="M34" s="16"/>
      <c r="N34" s="39" t="s">
        <v>29</v>
      </c>
      <c r="O34" s="49" t="n">
        <f aca="false">D29-D34+'SE Short'!O106</f>
        <v>0</v>
      </c>
      <c r="P34" s="49"/>
      <c r="Q34" s="49"/>
      <c r="R34" s="41" t="s">
        <v>30</v>
      </c>
      <c r="S34" s="42" t="n">
        <v>0</v>
      </c>
      <c r="T34" s="42" t="n">
        <v>0</v>
      </c>
      <c r="U34" s="16"/>
      <c r="V34" s="16"/>
      <c r="W34" s="27"/>
    </row>
    <row r="35" customFormat="false" ht="7.5" hidden="false" customHeight="true" outlineLevel="0" collapsed="false">
      <c r="A35" s="50"/>
      <c r="B35" s="51"/>
      <c r="C35" s="51"/>
      <c r="D35" s="51"/>
      <c r="E35" s="51"/>
      <c r="F35" s="51"/>
      <c r="G35" s="51"/>
      <c r="H35" s="51"/>
      <c r="I35" s="51"/>
      <c r="J35" s="51"/>
      <c r="K35" s="51"/>
      <c r="L35" s="51"/>
      <c r="M35" s="51"/>
      <c r="N35" s="51"/>
      <c r="O35" s="51"/>
      <c r="P35" s="51"/>
      <c r="Q35" s="51"/>
      <c r="R35" s="51"/>
      <c r="S35" s="51"/>
      <c r="T35" s="51"/>
      <c r="U35" s="51"/>
      <c r="V35" s="51"/>
      <c r="W35" s="52"/>
    </row>
  </sheetData>
  <mergeCells count="18">
    <mergeCell ref="A1:W1"/>
    <mergeCell ref="C5:J5"/>
    <mergeCell ref="O5:P5"/>
    <mergeCell ref="R5:U5"/>
    <mergeCell ref="C8:J8"/>
    <mergeCell ref="C10:J10"/>
    <mergeCell ref="C12:J12"/>
    <mergeCell ref="S12:V12"/>
    <mergeCell ref="N13:V13"/>
    <mergeCell ref="N15:Q15"/>
    <mergeCell ref="C17:D17"/>
    <mergeCell ref="S18:V18"/>
    <mergeCell ref="N21:Q21"/>
    <mergeCell ref="N25:Q25"/>
    <mergeCell ref="D29:F29"/>
    <mergeCell ref="O29:Q29"/>
    <mergeCell ref="D34:F34"/>
    <mergeCell ref="O34:Q34"/>
  </mergeCells>
  <printOptions headings="false" gridLines="false" gridLinesSet="true" horizontalCentered="true" verticalCentered="false"/>
  <pageMargins left="0.39375" right="0.39375"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 zeroHeight="false" outlineLevelRow="0" outlineLevelCol="0"/>
  <cols>
    <col collapsed="false" customWidth="true" hidden="false" outlineLevel="0" max="1" min="1" style="53" width="3.66"/>
    <col collapsed="false" customWidth="true" hidden="false" outlineLevel="0" max="2" min="2" style="53" width="0.82"/>
    <col collapsed="false" customWidth="true" hidden="false" outlineLevel="0" max="3" min="3" style="53" width="3.66"/>
    <col collapsed="false" customWidth="true" hidden="false" outlineLevel="0" max="4" min="4" style="53" width="4.66"/>
    <col collapsed="false" customWidth="true" hidden="false" outlineLevel="0" max="5" min="5" style="53" width="1.66"/>
    <col collapsed="false" customWidth="true" hidden="false" outlineLevel="0" max="6" min="6" style="53" width="10.66"/>
    <col collapsed="false" customWidth="true" hidden="false" outlineLevel="0" max="7" min="7" style="53" width="1.66"/>
    <col collapsed="false" customWidth="true" hidden="false" outlineLevel="0" max="9" min="8" style="53" width="2.5"/>
    <col collapsed="false" customWidth="true" hidden="false" outlineLevel="0" max="11" min="10" style="53" width="6.66"/>
    <col collapsed="false" customWidth="true" hidden="false" outlineLevel="0" max="12" min="12" style="53" width="3.66"/>
    <col collapsed="false" customWidth="true" hidden="false" outlineLevel="0" max="13" min="13" style="53" width="0.82"/>
    <col collapsed="false" customWidth="true" hidden="false" outlineLevel="0" max="15" min="14" style="53" width="3.66"/>
    <col collapsed="false" customWidth="true" hidden="false" outlineLevel="0" max="17" min="16" style="53" width="6.66"/>
    <col collapsed="false" customWidth="true" hidden="false" outlineLevel="0" max="18" min="18" style="53" width="1.66"/>
    <col collapsed="false" customWidth="true" hidden="false" outlineLevel="0" max="19" min="19" style="53" width="2.5"/>
    <col collapsed="false" customWidth="true" hidden="false" outlineLevel="0" max="20" min="20" style="53" width="12.15"/>
    <col collapsed="false" customWidth="true" hidden="false" outlineLevel="0" max="21" min="21" style="53" width="2.66"/>
    <col collapsed="false" customWidth="true" hidden="false" outlineLevel="0" max="22" min="22" style="53" width="7.66"/>
    <col collapsed="false" customWidth="true" hidden="false" outlineLevel="0" max="23" min="23" style="53" width="10.66"/>
    <col collapsed="false" customWidth="false" hidden="false" outlineLevel="0" max="257" min="24" style="53" width="9.15"/>
  </cols>
  <sheetData>
    <row r="1" customFormat="false" ht="30" hidden="false" customHeight="true" outlineLevel="0" collapsed="false">
      <c r="A1" s="54" t="s">
        <v>34</v>
      </c>
      <c r="B1" s="54"/>
      <c r="C1" s="54"/>
      <c r="D1" s="54"/>
      <c r="E1" s="54"/>
      <c r="F1" s="54"/>
      <c r="G1" s="55" t="str">
        <f aca="false">"SUBMIT ONLINE RETURN TO HMRC BY 31ST JANUARY "&amp;TEXT(YEAR(Admin!B17)+1,"0000")</f>
        <v>SUBMIT ONLINE RETURN TO HMRC BY 31ST JANUARY 2028</v>
      </c>
      <c r="H1" s="55"/>
      <c r="I1" s="55"/>
      <c r="J1" s="55"/>
      <c r="K1" s="55"/>
      <c r="L1" s="55"/>
      <c r="M1" s="55"/>
      <c r="N1" s="55"/>
      <c r="O1" s="56" t="s">
        <v>35</v>
      </c>
      <c r="P1" s="56"/>
      <c r="Q1" s="56"/>
      <c r="R1" s="56"/>
      <c r="S1" s="56"/>
      <c r="T1" s="56"/>
      <c r="U1" s="56"/>
      <c r="V1" s="56"/>
      <c r="W1" s="56"/>
    </row>
    <row r="2" customFormat="false" ht="30" hidden="false" customHeight="true" outlineLevel="0" collapsed="false">
      <c r="A2" s="54"/>
      <c r="B2" s="54"/>
      <c r="C2" s="54"/>
      <c r="D2" s="54"/>
      <c r="E2" s="54"/>
      <c r="F2" s="54"/>
      <c r="G2" s="55"/>
      <c r="H2" s="55"/>
      <c r="I2" s="55"/>
      <c r="J2" s="55"/>
      <c r="K2" s="55"/>
      <c r="L2" s="55"/>
      <c r="M2" s="55"/>
      <c r="N2" s="55"/>
      <c r="O2" s="57" t="s">
        <v>36</v>
      </c>
      <c r="P2" s="57"/>
      <c r="Q2" s="58" t="n">
        <f aca="false">Admin!B4</f>
        <v>46118</v>
      </c>
      <c r="R2" s="58"/>
      <c r="S2" s="58"/>
      <c r="T2" s="58"/>
      <c r="U2" s="59" t="s">
        <v>37</v>
      </c>
      <c r="V2" s="58" t="n">
        <f aca="false">Admin!B17</f>
        <v>46482</v>
      </c>
      <c r="W2" s="58"/>
    </row>
    <row r="3" customFormat="false" ht="8.25" hidden="false" customHeight="true" outlineLevel="0" collapsed="false">
      <c r="A3" s="60"/>
      <c r="B3" s="60"/>
      <c r="C3" s="60"/>
      <c r="D3" s="60"/>
      <c r="E3" s="60"/>
      <c r="F3" s="60"/>
      <c r="G3" s="60"/>
      <c r="H3" s="60"/>
      <c r="I3" s="60"/>
      <c r="J3" s="60"/>
      <c r="K3" s="60"/>
      <c r="L3" s="60"/>
      <c r="M3" s="60"/>
      <c r="N3" s="60"/>
      <c r="O3" s="60"/>
      <c r="P3" s="60"/>
      <c r="Q3" s="60"/>
      <c r="R3" s="60"/>
      <c r="S3" s="60"/>
      <c r="T3" s="60"/>
      <c r="U3" s="60"/>
      <c r="V3" s="60"/>
      <c r="W3" s="60"/>
    </row>
    <row r="4" customFormat="false" ht="9.75" hidden="false" customHeight="true" outlineLevel="0" collapsed="false">
      <c r="A4" s="61"/>
      <c r="B4" s="61"/>
      <c r="C4" s="61"/>
      <c r="D4" s="61"/>
      <c r="E4" s="61"/>
      <c r="F4" s="61"/>
      <c r="G4" s="61"/>
      <c r="H4" s="61"/>
      <c r="I4" s="61"/>
      <c r="J4" s="61"/>
      <c r="K4" s="61"/>
      <c r="L4" s="61"/>
      <c r="M4" s="61"/>
      <c r="N4" s="61"/>
      <c r="O4" s="61"/>
      <c r="P4" s="61"/>
      <c r="Q4" s="61"/>
      <c r="R4" s="61"/>
      <c r="S4" s="61"/>
      <c r="T4" s="61"/>
      <c r="U4" s="61"/>
      <c r="V4" s="61"/>
      <c r="W4" s="61"/>
    </row>
    <row r="5" customFormat="false" ht="6" hidden="false" customHeight="true" outlineLevel="0" collapsed="false">
      <c r="A5" s="62"/>
      <c r="B5" s="63"/>
      <c r="C5" s="63"/>
      <c r="D5" s="63"/>
      <c r="E5" s="63"/>
      <c r="F5" s="63"/>
      <c r="G5" s="63"/>
      <c r="H5" s="63"/>
      <c r="I5" s="63"/>
      <c r="J5" s="63"/>
      <c r="K5" s="63"/>
      <c r="L5" s="63"/>
      <c r="M5" s="63"/>
      <c r="N5" s="63"/>
      <c r="O5" s="63"/>
      <c r="P5" s="63"/>
      <c r="Q5" s="63"/>
      <c r="R5" s="63"/>
      <c r="S5" s="63"/>
      <c r="T5" s="63"/>
      <c r="U5" s="63"/>
      <c r="V5" s="63"/>
      <c r="W5" s="64"/>
    </row>
    <row r="6" customFormat="false" ht="12" hidden="false" customHeight="false" outlineLevel="0" collapsed="false">
      <c r="A6" s="65"/>
      <c r="B6" s="66"/>
      <c r="C6" s="67" t="s">
        <v>7</v>
      </c>
      <c r="D6" s="67"/>
      <c r="E6" s="67"/>
      <c r="F6" s="66"/>
      <c r="G6" s="66"/>
      <c r="H6" s="66"/>
      <c r="I6" s="66"/>
      <c r="J6" s="66"/>
      <c r="K6" s="66"/>
      <c r="L6" s="66"/>
      <c r="M6" s="66"/>
      <c r="N6" s="67" t="s">
        <v>8</v>
      </c>
      <c r="O6" s="67"/>
      <c r="P6" s="67"/>
      <c r="Q6" s="67"/>
      <c r="R6" s="67"/>
      <c r="S6" s="67"/>
      <c r="T6" s="67"/>
      <c r="U6" s="67"/>
      <c r="V6" s="67"/>
      <c r="W6" s="68"/>
    </row>
    <row r="7" customFormat="false" ht="7.5" hidden="false" customHeight="true" outlineLevel="0" collapsed="false">
      <c r="A7" s="65"/>
      <c r="B7" s="66"/>
      <c r="C7" s="67"/>
      <c r="D7" s="67"/>
      <c r="E7" s="67"/>
      <c r="F7" s="66"/>
      <c r="G7" s="66"/>
      <c r="H7" s="66"/>
      <c r="I7" s="66"/>
      <c r="J7" s="66"/>
      <c r="K7" s="66"/>
      <c r="L7" s="66"/>
      <c r="M7" s="66"/>
      <c r="N7" s="67"/>
      <c r="O7" s="67"/>
      <c r="P7" s="67"/>
      <c r="Q7" s="67"/>
      <c r="R7" s="67"/>
      <c r="S7" s="67"/>
      <c r="T7" s="67"/>
      <c r="U7" s="67"/>
      <c r="V7" s="67"/>
      <c r="W7" s="68"/>
    </row>
    <row r="8" customFormat="false" ht="15" hidden="false" customHeight="true" outlineLevel="0" collapsed="false">
      <c r="A8" s="65"/>
      <c r="B8" s="66"/>
      <c r="C8" s="69" t="str">
        <f aca="false">IF('Business Details'!C5&gt;0,'Business Details'!C5," ")</f>
        <v>Precision Code Trading</v>
      </c>
      <c r="D8" s="69"/>
      <c r="E8" s="69"/>
      <c r="F8" s="69"/>
      <c r="G8" s="69"/>
      <c r="H8" s="69"/>
      <c r="I8" s="69"/>
      <c r="J8" s="69"/>
      <c r="K8" s="66"/>
      <c r="L8" s="66"/>
      <c r="M8" s="66"/>
      <c r="N8" s="66"/>
      <c r="O8" s="70" t="str">
        <f aca="false">IF('Business Details'!O5&gt;0,'Business Details'!O5," ")</f>
        <v> </v>
      </c>
      <c r="P8" s="70"/>
      <c r="Q8" s="66"/>
      <c r="R8" s="70" t="str">
        <f aca="false">IF('Business Details'!R5&gt;0,'Business Details'!R5," ")</f>
        <v> </v>
      </c>
      <c r="S8" s="70"/>
      <c r="T8" s="70"/>
      <c r="U8" s="70"/>
      <c r="V8" s="66"/>
      <c r="W8" s="71"/>
    </row>
    <row r="9" customFormat="false" ht="6" hidden="false" customHeight="true" outlineLevel="0" collapsed="false">
      <c r="A9" s="72"/>
      <c r="B9" s="73"/>
      <c r="C9" s="73"/>
      <c r="D9" s="73"/>
      <c r="E9" s="73"/>
      <c r="F9" s="73"/>
      <c r="G9" s="73"/>
      <c r="H9" s="73"/>
      <c r="I9" s="73"/>
      <c r="J9" s="73"/>
      <c r="K9" s="73"/>
      <c r="L9" s="73"/>
      <c r="M9" s="73"/>
      <c r="N9" s="73"/>
      <c r="O9" s="73"/>
      <c r="P9" s="73"/>
      <c r="Q9" s="73"/>
      <c r="R9" s="73"/>
      <c r="S9" s="73"/>
      <c r="T9" s="73"/>
      <c r="U9" s="73"/>
      <c r="V9" s="73"/>
      <c r="W9" s="74"/>
    </row>
    <row r="10" customFormat="false" ht="24.75" hidden="false" customHeight="true" outlineLevel="0" collapsed="false">
      <c r="A10" s="75" t="s">
        <v>38</v>
      </c>
      <c r="B10" s="75"/>
      <c r="C10" s="75"/>
      <c r="D10" s="75"/>
      <c r="E10" s="75"/>
      <c r="F10" s="75"/>
      <c r="G10" s="75"/>
      <c r="H10" s="75"/>
      <c r="I10" s="75"/>
      <c r="J10" s="75"/>
      <c r="K10" s="75"/>
      <c r="L10" s="75"/>
      <c r="M10" s="75"/>
      <c r="N10" s="75"/>
      <c r="O10" s="75"/>
      <c r="P10" s="75"/>
      <c r="Q10" s="75"/>
      <c r="R10" s="75"/>
      <c r="S10" s="75"/>
      <c r="T10" s="75"/>
      <c r="U10" s="75"/>
      <c r="V10" s="75"/>
      <c r="W10" s="75"/>
    </row>
    <row r="11" customFormat="false" ht="7.5" hidden="false" customHeight="true" outlineLevel="0" collapsed="false">
      <c r="A11" s="76"/>
      <c r="B11" s="77"/>
      <c r="C11" s="77"/>
      <c r="D11" s="77"/>
      <c r="E11" s="77"/>
      <c r="F11" s="77"/>
      <c r="G11" s="77"/>
      <c r="H11" s="77"/>
      <c r="I11" s="77"/>
      <c r="J11" s="77"/>
      <c r="K11" s="77"/>
      <c r="L11" s="77"/>
      <c r="M11" s="77"/>
      <c r="N11" s="77"/>
      <c r="O11" s="77"/>
      <c r="P11" s="77"/>
      <c r="Q11" s="77"/>
      <c r="R11" s="77"/>
      <c r="S11" s="77"/>
      <c r="T11" s="77"/>
      <c r="U11" s="77"/>
      <c r="V11" s="77"/>
      <c r="W11" s="78"/>
    </row>
    <row r="12" customFormat="false" ht="12.65" hidden="false" customHeight="false" outlineLevel="0" collapsed="false">
      <c r="A12" s="79" t="n">
        <v>1</v>
      </c>
      <c r="B12" s="66"/>
      <c r="C12" s="67" t="s">
        <v>39</v>
      </c>
      <c r="D12" s="67"/>
      <c r="E12" s="67"/>
      <c r="F12" s="66"/>
      <c r="G12" s="66"/>
      <c r="H12" s="66"/>
      <c r="I12" s="66"/>
      <c r="J12" s="66"/>
      <c r="K12" s="66"/>
      <c r="L12" s="79" t="n">
        <v>4</v>
      </c>
      <c r="M12" s="66"/>
      <c r="N12" s="67" t="s">
        <v>11</v>
      </c>
      <c r="O12" s="67"/>
      <c r="P12" s="67"/>
      <c r="Q12" s="67"/>
      <c r="R12" s="80"/>
      <c r="S12" s="81"/>
      <c r="T12" s="81"/>
      <c r="U12" s="81"/>
      <c r="V12" s="67"/>
      <c r="W12" s="82"/>
    </row>
    <row r="13" customFormat="false" ht="15" hidden="false" customHeight="true" outlineLevel="0" collapsed="false">
      <c r="A13" s="83"/>
      <c r="B13" s="66"/>
      <c r="C13" s="69" t="str">
        <f aca="false">IF('Business Details'!C8&gt;0,'Business Details'!C8," ")</f>
        <v>123 High Street</v>
      </c>
      <c r="D13" s="69"/>
      <c r="E13" s="69"/>
      <c r="F13" s="69"/>
      <c r="G13" s="69"/>
      <c r="H13" s="69"/>
      <c r="I13" s="69"/>
      <c r="J13" s="69"/>
      <c r="K13" s="66"/>
      <c r="L13" s="66"/>
      <c r="M13" s="66"/>
      <c r="N13" s="84" t="s">
        <v>40</v>
      </c>
      <c r="O13" s="67"/>
      <c r="P13" s="67"/>
      <c r="Q13" s="67"/>
      <c r="R13" s="67"/>
      <c r="S13" s="67"/>
      <c r="T13" s="67"/>
      <c r="U13" s="67"/>
      <c r="V13" s="67"/>
      <c r="W13" s="82"/>
    </row>
    <row r="14" customFormat="false" ht="7.5" hidden="false" customHeight="true" outlineLevel="0" collapsed="false">
      <c r="A14" s="83"/>
      <c r="B14" s="66"/>
      <c r="C14" s="66"/>
      <c r="D14" s="66"/>
      <c r="E14" s="66"/>
      <c r="F14" s="66"/>
      <c r="G14" s="66"/>
      <c r="H14" s="66"/>
      <c r="I14" s="66"/>
      <c r="J14" s="66"/>
      <c r="K14" s="66"/>
      <c r="L14" s="66"/>
      <c r="M14" s="66"/>
      <c r="N14" s="85"/>
      <c r="O14" s="85"/>
      <c r="P14" s="85"/>
      <c r="Q14" s="85"/>
      <c r="R14" s="66"/>
      <c r="S14" s="66"/>
      <c r="T14" s="66"/>
      <c r="U14" s="66"/>
      <c r="V14" s="66"/>
      <c r="W14" s="86"/>
    </row>
    <row r="15" customFormat="false" ht="15" hidden="false" customHeight="true" outlineLevel="0" collapsed="false">
      <c r="A15" s="83"/>
      <c r="B15" s="66"/>
      <c r="C15" s="69" t="str">
        <f aca="false">IF('Business Details'!C10&gt;0,'Business Details'!C10," ")</f>
        <v>Manchester</v>
      </c>
      <c r="D15" s="69"/>
      <c r="E15" s="69"/>
      <c r="F15" s="69"/>
      <c r="G15" s="69"/>
      <c r="H15" s="69"/>
      <c r="I15" s="69"/>
      <c r="J15" s="69"/>
      <c r="K15" s="66"/>
      <c r="L15" s="66"/>
      <c r="M15" s="66"/>
      <c r="N15" s="87" t="str">
        <f aca="false">IF('Business Details'!N10&gt;0,'Business Details'!N10," ")</f>
        <v> </v>
      </c>
      <c r="O15" s="85"/>
      <c r="P15" s="85"/>
      <c r="Q15" s="85"/>
      <c r="R15" s="66"/>
      <c r="S15" s="66"/>
      <c r="T15" s="66"/>
      <c r="U15" s="66"/>
      <c r="V15" s="66"/>
      <c r="W15" s="86"/>
    </row>
    <row r="16" customFormat="false" ht="7.5" hidden="false" customHeight="true" outlineLevel="0" collapsed="false">
      <c r="A16" s="83"/>
      <c r="B16" s="66"/>
      <c r="C16" s="66"/>
      <c r="D16" s="66"/>
      <c r="E16" s="66"/>
      <c r="F16" s="66"/>
      <c r="G16" s="66"/>
      <c r="H16" s="66"/>
      <c r="I16" s="66"/>
      <c r="J16" s="66"/>
      <c r="K16" s="66"/>
      <c r="L16" s="66"/>
      <c r="M16" s="66"/>
      <c r="N16" s="66"/>
      <c r="O16" s="66"/>
      <c r="P16" s="66"/>
      <c r="Q16" s="66"/>
      <c r="R16" s="66"/>
      <c r="S16" s="66"/>
      <c r="T16" s="66"/>
      <c r="U16" s="66"/>
      <c r="V16" s="66"/>
      <c r="W16" s="86"/>
    </row>
    <row r="17" customFormat="false" ht="15" hidden="false" customHeight="true" outlineLevel="0" collapsed="false">
      <c r="A17" s="83"/>
      <c r="B17" s="66"/>
      <c r="C17" s="69" t="str">
        <f aca="false">IF('Business Details'!C12&gt;0,'Business Details'!C12," ")</f>
        <v>M1 1AA</v>
      </c>
      <c r="D17" s="69"/>
      <c r="E17" s="69"/>
      <c r="F17" s="69"/>
      <c r="G17" s="69"/>
      <c r="H17" s="69"/>
      <c r="I17" s="69"/>
      <c r="J17" s="69"/>
      <c r="K17" s="66"/>
      <c r="L17" s="79" t="n">
        <v>5</v>
      </c>
      <c r="M17" s="66"/>
      <c r="N17" s="67" t="s">
        <v>41</v>
      </c>
      <c r="O17" s="67"/>
      <c r="P17" s="67"/>
      <c r="Q17" s="67"/>
      <c r="R17" s="80"/>
      <c r="S17" s="88" t="n">
        <f aca="false">Admin!B4</f>
        <v>46118</v>
      </c>
      <c r="T17" s="88"/>
      <c r="U17" s="88"/>
      <c r="V17" s="88"/>
      <c r="W17" s="82"/>
    </row>
    <row r="18" customFormat="false" ht="12" hidden="false" customHeight="true" outlineLevel="0" collapsed="false">
      <c r="A18" s="83"/>
      <c r="B18" s="66"/>
      <c r="C18" s="66"/>
      <c r="D18" s="66"/>
      <c r="E18" s="66"/>
      <c r="F18" s="66"/>
      <c r="G18" s="66"/>
      <c r="H18" s="66"/>
      <c r="I18" s="66"/>
      <c r="J18" s="66"/>
      <c r="K18" s="66"/>
      <c r="L18" s="66"/>
      <c r="M18" s="66"/>
      <c r="N18" s="89" t="s">
        <v>16</v>
      </c>
      <c r="O18" s="89"/>
      <c r="P18" s="89"/>
      <c r="Q18" s="89"/>
      <c r="R18" s="89"/>
      <c r="S18" s="89"/>
      <c r="T18" s="89"/>
      <c r="U18" s="89"/>
      <c r="V18" s="89"/>
      <c r="W18" s="90"/>
    </row>
    <row r="19" customFormat="false" ht="7.5" hidden="false" customHeight="true" outlineLevel="0" collapsed="false">
      <c r="A19" s="83"/>
      <c r="B19" s="66"/>
      <c r="C19" s="66"/>
      <c r="D19" s="66"/>
      <c r="E19" s="66"/>
      <c r="F19" s="66"/>
      <c r="G19" s="66"/>
      <c r="H19" s="66"/>
      <c r="I19" s="66"/>
      <c r="J19" s="66"/>
      <c r="K19" s="66"/>
      <c r="L19" s="66"/>
      <c r="M19" s="66"/>
      <c r="N19" s="66"/>
      <c r="O19" s="66"/>
      <c r="P19" s="66"/>
      <c r="Q19" s="66"/>
      <c r="R19" s="66"/>
      <c r="S19" s="66"/>
      <c r="T19" s="66"/>
      <c r="U19" s="66"/>
      <c r="V19" s="66"/>
      <c r="W19" s="86"/>
    </row>
    <row r="20" customFormat="false" ht="13.5" hidden="false" customHeight="false" outlineLevel="0" collapsed="false">
      <c r="A20" s="79" t="n">
        <v>2</v>
      </c>
      <c r="B20" s="66"/>
      <c r="C20" s="67" t="s">
        <v>17</v>
      </c>
      <c r="D20" s="67"/>
      <c r="E20" s="67"/>
      <c r="F20" s="66"/>
      <c r="G20" s="66"/>
      <c r="H20" s="66"/>
      <c r="I20" s="66"/>
      <c r="J20" s="66"/>
      <c r="K20" s="66"/>
      <c r="L20" s="66"/>
      <c r="M20" s="66"/>
      <c r="N20" s="91" t="str">
        <f aca="false">IF('Business Details'!N15&gt;0,'Business Details'!N15," ")</f>
        <v> </v>
      </c>
      <c r="O20" s="91"/>
      <c r="P20" s="91"/>
      <c r="Q20" s="91"/>
      <c r="R20" s="67"/>
      <c r="S20" s="67"/>
      <c r="T20" s="67"/>
      <c r="U20" s="67"/>
      <c r="V20" s="67"/>
      <c r="W20" s="82"/>
    </row>
    <row r="21" customFormat="false" ht="7.5" hidden="false" customHeight="true" outlineLevel="0" collapsed="false">
      <c r="A21" s="83"/>
      <c r="B21" s="66"/>
      <c r="C21" s="66"/>
      <c r="D21" s="66"/>
      <c r="E21" s="66"/>
      <c r="F21" s="66"/>
      <c r="G21" s="66"/>
      <c r="H21" s="66"/>
      <c r="I21" s="66"/>
      <c r="J21" s="66"/>
      <c r="K21" s="66"/>
      <c r="L21" s="66"/>
      <c r="M21" s="66"/>
      <c r="N21" s="66"/>
      <c r="O21" s="66"/>
      <c r="P21" s="66"/>
      <c r="Q21" s="66"/>
      <c r="R21" s="66"/>
      <c r="S21" s="66"/>
      <c r="T21" s="66"/>
      <c r="U21" s="66"/>
      <c r="V21" s="66"/>
      <c r="W21" s="86"/>
    </row>
    <row r="22" customFormat="false" ht="15" hidden="false" customHeight="true" outlineLevel="0" collapsed="false">
      <c r="A22" s="83"/>
      <c r="B22" s="66"/>
      <c r="C22" s="92" t="str">
        <f aca="false">IF('Business Details'!C17&gt;0,'Business Details'!C17," ")</f>
        <v> </v>
      </c>
      <c r="D22" s="92"/>
      <c r="E22" s="66"/>
      <c r="F22" s="87" t="str">
        <f aca="false">IF('Business Details'!F17&gt;0,'Business Details'!F17," ")</f>
        <v> </v>
      </c>
      <c r="G22" s="66"/>
      <c r="H22" s="66"/>
      <c r="I22" s="66"/>
      <c r="J22" s="66"/>
      <c r="K22" s="66"/>
      <c r="L22" s="66"/>
      <c r="M22" s="66"/>
      <c r="N22" s="67"/>
      <c r="O22" s="67"/>
      <c r="P22" s="67"/>
      <c r="Q22" s="67"/>
      <c r="R22" s="67"/>
      <c r="S22" s="67"/>
      <c r="T22" s="67"/>
      <c r="U22" s="67"/>
      <c r="V22" s="67"/>
      <c r="W22" s="82"/>
    </row>
    <row r="23" customFormat="false" ht="12" hidden="false" customHeight="false" outlineLevel="0" collapsed="false">
      <c r="A23" s="83"/>
      <c r="B23" s="66"/>
      <c r="C23" s="66"/>
      <c r="D23" s="66"/>
      <c r="E23" s="66"/>
      <c r="F23" s="66"/>
      <c r="G23" s="66"/>
      <c r="H23" s="66"/>
      <c r="I23" s="66"/>
      <c r="J23" s="66"/>
      <c r="K23" s="66"/>
      <c r="L23" s="79" t="n">
        <v>6</v>
      </c>
      <c r="M23" s="67"/>
      <c r="N23" s="67" t="s">
        <v>18</v>
      </c>
      <c r="O23" s="93"/>
      <c r="P23" s="67"/>
      <c r="Q23" s="67"/>
      <c r="R23" s="67"/>
      <c r="S23" s="88" t="n">
        <f aca="false">Admin!B4</f>
        <v>46118</v>
      </c>
      <c r="T23" s="88"/>
      <c r="U23" s="88"/>
      <c r="V23" s="88"/>
      <c r="W23" s="82"/>
    </row>
    <row r="24" customFormat="false" ht="12" hidden="false" customHeight="false" outlineLevel="0" collapsed="false">
      <c r="A24" s="79" t="n">
        <v>3</v>
      </c>
      <c r="B24" s="66"/>
      <c r="C24" s="67" t="s">
        <v>19</v>
      </c>
      <c r="D24" s="66"/>
      <c r="E24" s="66"/>
      <c r="F24" s="66"/>
      <c r="G24" s="66"/>
      <c r="H24" s="66"/>
      <c r="I24" s="66"/>
      <c r="J24" s="66"/>
      <c r="K24" s="66"/>
      <c r="L24" s="66"/>
      <c r="M24" s="67"/>
      <c r="N24" s="84" t="s">
        <v>20</v>
      </c>
      <c r="O24" s="85"/>
      <c r="P24" s="85"/>
      <c r="Q24" s="85"/>
      <c r="R24" s="66"/>
      <c r="S24" s="66"/>
      <c r="T24" s="66"/>
      <c r="U24" s="66"/>
      <c r="V24" s="66"/>
      <c r="W24" s="86"/>
    </row>
    <row r="25" customFormat="false" ht="12" hidden="false" customHeight="false" outlineLevel="0" collapsed="false">
      <c r="A25" s="83"/>
      <c r="B25" s="66"/>
      <c r="C25" s="67" t="s">
        <v>21</v>
      </c>
      <c r="D25" s="66"/>
      <c r="E25" s="66"/>
      <c r="F25" s="66"/>
      <c r="G25" s="66"/>
      <c r="H25" s="66"/>
      <c r="I25" s="66"/>
      <c r="J25" s="66"/>
      <c r="K25" s="66"/>
      <c r="L25" s="66"/>
      <c r="M25" s="66"/>
      <c r="N25" s="85"/>
      <c r="O25" s="85"/>
      <c r="P25" s="85"/>
      <c r="Q25" s="85"/>
      <c r="R25" s="66"/>
      <c r="S25" s="66"/>
      <c r="T25" s="66"/>
      <c r="U25" s="66"/>
      <c r="V25" s="66"/>
      <c r="W25" s="86"/>
    </row>
    <row r="26" customFormat="false" ht="13.5" hidden="false" customHeight="false" outlineLevel="0" collapsed="false">
      <c r="A26" s="83"/>
      <c r="B26" s="66"/>
      <c r="C26" s="84" t="s">
        <v>22</v>
      </c>
      <c r="D26" s="85"/>
      <c r="E26" s="85"/>
      <c r="F26" s="85"/>
      <c r="G26" s="85"/>
      <c r="H26" s="85"/>
      <c r="I26" s="85"/>
      <c r="J26" s="85"/>
      <c r="K26" s="85"/>
      <c r="L26" s="66"/>
      <c r="M26" s="66"/>
      <c r="N26" s="91" t="str">
        <f aca="false">IF('Business Details'!N21&gt;0,'Business Details'!N21," ")</f>
        <v> </v>
      </c>
      <c r="O26" s="91"/>
      <c r="P26" s="91"/>
      <c r="Q26" s="91"/>
      <c r="R26" s="66"/>
      <c r="S26" s="66"/>
      <c r="T26" s="66"/>
      <c r="U26" s="66"/>
      <c r="V26" s="66"/>
      <c r="W26" s="86"/>
    </row>
    <row r="27" customFormat="false" ht="12" hidden="false" customHeight="false" outlineLevel="0" collapsed="false">
      <c r="A27" s="83"/>
      <c r="B27" s="66"/>
      <c r="C27" s="84" t="s">
        <v>23</v>
      </c>
      <c r="D27" s="66"/>
      <c r="E27" s="66"/>
      <c r="F27" s="66"/>
      <c r="G27" s="66"/>
      <c r="H27" s="66"/>
      <c r="I27" s="66"/>
      <c r="J27" s="66"/>
      <c r="K27" s="66"/>
      <c r="L27" s="66"/>
      <c r="M27" s="66"/>
      <c r="N27" s="85"/>
      <c r="O27" s="85"/>
      <c r="P27" s="85"/>
      <c r="Q27" s="85"/>
      <c r="R27" s="66"/>
      <c r="S27" s="66"/>
      <c r="T27" s="66"/>
      <c r="U27" s="66"/>
      <c r="V27" s="66"/>
      <c r="W27" s="86"/>
    </row>
    <row r="28" customFormat="false" ht="12" hidden="false" customHeight="false" outlineLevel="0" collapsed="false">
      <c r="A28" s="83"/>
      <c r="B28" s="66"/>
      <c r="C28" s="85"/>
      <c r="D28" s="66"/>
      <c r="E28" s="66"/>
      <c r="F28" s="66"/>
      <c r="G28" s="66"/>
      <c r="H28" s="66"/>
      <c r="I28" s="66"/>
      <c r="J28" s="66"/>
      <c r="K28" s="66"/>
      <c r="L28" s="79" t="n">
        <v>7</v>
      </c>
      <c r="M28" s="66"/>
      <c r="N28" s="84" t="s">
        <v>24</v>
      </c>
      <c r="O28" s="85"/>
      <c r="P28" s="85"/>
      <c r="Q28" s="85"/>
      <c r="R28" s="66"/>
      <c r="S28" s="66"/>
      <c r="T28" s="66"/>
      <c r="U28" s="66"/>
      <c r="V28" s="66"/>
      <c r="W28" s="86"/>
    </row>
    <row r="29" customFormat="false" ht="15" hidden="false" customHeight="true" outlineLevel="0" collapsed="false">
      <c r="A29" s="83"/>
      <c r="B29" s="66"/>
      <c r="C29" s="87" t="str">
        <f aca="false">IF('Business Details'!C24&gt;0,'Business Details'!C24," ")</f>
        <v> </v>
      </c>
      <c r="D29" s="66"/>
      <c r="E29" s="66"/>
      <c r="F29" s="66"/>
      <c r="G29" s="66"/>
      <c r="H29" s="66"/>
      <c r="I29" s="66"/>
      <c r="J29" s="66"/>
      <c r="K29" s="66"/>
      <c r="L29" s="66"/>
      <c r="M29" s="66"/>
      <c r="N29" s="94" t="s">
        <v>25</v>
      </c>
      <c r="O29" s="85"/>
      <c r="P29" s="85"/>
      <c r="Q29" s="85"/>
      <c r="R29" s="66"/>
      <c r="S29" s="66"/>
      <c r="T29" s="66"/>
      <c r="U29" s="66"/>
      <c r="V29" s="66"/>
      <c r="W29" s="86"/>
    </row>
    <row r="30" customFormat="false" ht="7.5" hidden="false" customHeight="true" outlineLevel="0" collapsed="false">
      <c r="A30" s="83"/>
      <c r="B30" s="66"/>
      <c r="C30" s="66"/>
      <c r="D30" s="66"/>
      <c r="E30" s="66"/>
      <c r="F30" s="66"/>
      <c r="G30" s="66"/>
      <c r="H30" s="66"/>
      <c r="I30" s="66"/>
      <c r="J30" s="66"/>
      <c r="K30" s="66"/>
      <c r="L30" s="66"/>
      <c r="M30" s="66"/>
      <c r="N30" s="94"/>
      <c r="O30" s="85"/>
      <c r="P30" s="85"/>
      <c r="Q30" s="85"/>
      <c r="R30" s="66"/>
      <c r="S30" s="66"/>
      <c r="T30" s="66"/>
      <c r="U30" s="66"/>
      <c r="V30" s="66"/>
      <c r="W30" s="86"/>
    </row>
    <row r="31" customFormat="false" ht="13.5" hidden="false" customHeight="false" outlineLevel="0" collapsed="false">
      <c r="A31" s="83"/>
      <c r="B31" s="66"/>
      <c r="C31" s="66"/>
      <c r="D31" s="66"/>
      <c r="E31" s="66"/>
      <c r="F31" s="66"/>
      <c r="G31" s="66"/>
      <c r="H31" s="66"/>
      <c r="I31" s="66"/>
      <c r="J31" s="66"/>
      <c r="K31" s="66"/>
      <c r="L31" s="66"/>
      <c r="M31" s="66"/>
      <c r="N31" s="91" t="n">
        <f aca="false">Admin!B17</f>
        <v>46482</v>
      </c>
      <c r="O31" s="91"/>
      <c r="P31" s="91"/>
      <c r="Q31" s="91"/>
      <c r="R31" s="66"/>
      <c r="S31" s="66"/>
      <c r="T31" s="66"/>
      <c r="U31" s="66"/>
      <c r="V31" s="66"/>
      <c r="W31" s="86"/>
    </row>
    <row r="32" customFormat="false" ht="7.5" hidden="false" customHeight="true" outlineLevel="0" collapsed="false">
      <c r="A32" s="95"/>
      <c r="B32" s="96"/>
      <c r="C32" s="96"/>
      <c r="D32" s="96"/>
      <c r="E32" s="96"/>
      <c r="F32" s="96"/>
      <c r="G32" s="96"/>
      <c r="H32" s="96"/>
      <c r="I32" s="96"/>
      <c r="J32" s="96"/>
      <c r="K32" s="96"/>
      <c r="L32" s="96"/>
      <c r="M32" s="96"/>
      <c r="N32" s="96"/>
      <c r="O32" s="96"/>
      <c r="P32" s="96"/>
      <c r="Q32" s="96"/>
      <c r="R32" s="96"/>
      <c r="S32" s="96"/>
      <c r="T32" s="96"/>
      <c r="U32" s="96"/>
      <c r="V32" s="96"/>
      <c r="W32" s="97"/>
    </row>
    <row r="33" customFormat="false" ht="24.75" hidden="false" customHeight="true" outlineLevel="0" collapsed="false">
      <c r="A33" s="98" t="str">
        <f aca="false">"Business income - if your annual turnover was below £"&amp;Admin!F26&amp;" vat threshold"</f>
        <v>Business income - if your annual turnover was below £90000 vat threshold</v>
      </c>
      <c r="B33" s="98"/>
      <c r="C33" s="98"/>
      <c r="D33" s="98"/>
      <c r="E33" s="98"/>
      <c r="F33" s="98"/>
      <c r="G33" s="98"/>
      <c r="H33" s="98"/>
      <c r="I33" s="98"/>
      <c r="J33" s="98"/>
      <c r="K33" s="98"/>
      <c r="L33" s="98"/>
      <c r="M33" s="98"/>
      <c r="N33" s="98"/>
      <c r="O33" s="98"/>
      <c r="P33" s="98"/>
      <c r="Q33" s="98"/>
      <c r="R33" s="98"/>
      <c r="S33" s="98"/>
      <c r="T33" s="98"/>
      <c r="U33" s="98"/>
      <c r="V33" s="98"/>
      <c r="W33" s="98"/>
    </row>
    <row r="34" customFormat="false" ht="7.5" hidden="false" customHeight="true" outlineLevel="0" collapsed="false">
      <c r="A34" s="76"/>
      <c r="B34" s="77"/>
      <c r="C34" s="77"/>
      <c r="D34" s="77"/>
      <c r="E34" s="77"/>
      <c r="F34" s="77"/>
      <c r="G34" s="77"/>
      <c r="H34" s="77"/>
      <c r="I34" s="77"/>
      <c r="J34" s="77"/>
      <c r="K34" s="77"/>
      <c r="L34" s="77"/>
      <c r="M34" s="77"/>
      <c r="N34" s="77"/>
      <c r="O34" s="77"/>
      <c r="P34" s="77"/>
      <c r="Q34" s="77"/>
      <c r="R34" s="77"/>
      <c r="S34" s="77"/>
      <c r="T34" s="77"/>
      <c r="U34" s="77"/>
      <c r="V34" s="77"/>
      <c r="W34" s="78"/>
    </row>
    <row r="35" customFormat="false" ht="12" hidden="false" customHeight="false" outlineLevel="0" collapsed="false">
      <c r="A35" s="79" t="n">
        <v>8</v>
      </c>
      <c r="B35" s="66"/>
      <c r="C35" s="67" t="s">
        <v>42</v>
      </c>
      <c r="D35" s="67"/>
      <c r="E35" s="67"/>
      <c r="F35" s="67"/>
      <c r="G35" s="67"/>
      <c r="H35" s="67"/>
      <c r="I35" s="67"/>
      <c r="J35" s="67"/>
      <c r="K35" s="67"/>
      <c r="L35" s="79" t="n">
        <v>9</v>
      </c>
      <c r="M35" s="66"/>
      <c r="N35" s="67" t="s">
        <v>43</v>
      </c>
      <c r="O35" s="67"/>
      <c r="P35" s="67"/>
      <c r="Q35" s="67"/>
      <c r="R35" s="67"/>
      <c r="S35" s="67"/>
      <c r="T35" s="67"/>
      <c r="U35" s="67"/>
      <c r="V35" s="67"/>
      <c r="W35" s="82"/>
    </row>
    <row r="36" customFormat="false" ht="12" hidden="false" customHeight="false" outlineLevel="0" collapsed="false">
      <c r="A36" s="83"/>
      <c r="B36" s="66"/>
      <c r="C36" s="93" t="s">
        <v>44</v>
      </c>
      <c r="D36" s="66"/>
      <c r="E36" s="66"/>
      <c r="F36" s="66"/>
      <c r="G36" s="66"/>
      <c r="H36" s="66"/>
      <c r="I36" s="66"/>
      <c r="J36" s="66"/>
      <c r="K36" s="66"/>
      <c r="L36" s="66"/>
      <c r="M36" s="66"/>
      <c r="N36" s="93" t="s">
        <v>45</v>
      </c>
      <c r="O36" s="66"/>
      <c r="P36" s="66"/>
      <c r="Q36" s="66"/>
      <c r="R36" s="66"/>
      <c r="S36" s="66"/>
      <c r="T36" s="66"/>
      <c r="U36" s="66"/>
      <c r="V36" s="66"/>
      <c r="W36" s="86"/>
    </row>
    <row r="37" customFormat="false" ht="6" hidden="false" customHeight="true" outlineLevel="0" collapsed="false">
      <c r="A37" s="83"/>
      <c r="B37" s="66"/>
      <c r="C37" s="66"/>
      <c r="D37" s="66"/>
      <c r="E37" s="66"/>
      <c r="F37" s="66"/>
      <c r="G37" s="66"/>
      <c r="H37" s="66"/>
      <c r="I37" s="66"/>
      <c r="J37" s="66"/>
      <c r="K37" s="66"/>
      <c r="L37" s="66"/>
      <c r="M37" s="66"/>
      <c r="N37" s="66"/>
      <c r="O37" s="66"/>
      <c r="P37" s="66"/>
      <c r="Q37" s="66"/>
      <c r="R37" s="66"/>
      <c r="S37" s="66"/>
      <c r="T37" s="66"/>
      <c r="U37" s="66"/>
      <c r="V37" s="66"/>
      <c r="W37" s="86"/>
    </row>
    <row r="38" customFormat="false" ht="15" hidden="false" customHeight="false" outlineLevel="0" collapsed="false">
      <c r="A38" s="83"/>
      <c r="B38" s="66"/>
      <c r="C38" s="99" t="s">
        <v>29</v>
      </c>
      <c r="D38" s="100" t="n">
        <f aca="false">'Profit &amp; Loss Acc'!C4</f>
        <v>409900</v>
      </c>
      <c r="E38" s="100"/>
      <c r="F38" s="100"/>
      <c r="G38" s="101" t="s">
        <v>30</v>
      </c>
      <c r="H38" s="102" t="n">
        <v>0</v>
      </c>
      <c r="I38" s="102" t="n">
        <v>0</v>
      </c>
      <c r="J38" s="66"/>
      <c r="K38" s="66"/>
      <c r="L38" s="66"/>
      <c r="M38" s="66"/>
      <c r="N38" s="99" t="s">
        <v>29</v>
      </c>
      <c r="O38" s="100"/>
      <c r="P38" s="100"/>
      <c r="Q38" s="100"/>
      <c r="R38" s="101" t="s">
        <v>30</v>
      </c>
      <c r="S38" s="102" t="n">
        <v>0</v>
      </c>
      <c r="T38" s="102" t="n">
        <v>0</v>
      </c>
      <c r="U38" s="103"/>
      <c r="V38" s="104"/>
      <c r="W38" s="86"/>
    </row>
    <row r="39" customFormat="false" ht="7.5" hidden="false" customHeight="true" outlineLevel="0" collapsed="false">
      <c r="A39" s="95"/>
      <c r="B39" s="96"/>
      <c r="C39" s="96"/>
      <c r="D39" s="96"/>
      <c r="E39" s="96"/>
      <c r="F39" s="96"/>
      <c r="G39" s="96"/>
      <c r="H39" s="96"/>
      <c r="I39" s="96"/>
      <c r="J39" s="96"/>
      <c r="K39" s="96"/>
      <c r="L39" s="96"/>
      <c r="M39" s="96"/>
      <c r="N39" s="96"/>
      <c r="O39" s="96"/>
      <c r="P39" s="96"/>
      <c r="Q39" s="96"/>
      <c r="R39" s="96"/>
      <c r="S39" s="96"/>
      <c r="T39" s="96"/>
      <c r="U39" s="96"/>
      <c r="V39" s="96"/>
      <c r="W39" s="97"/>
    </row>
    <row r="40" customFormat="false" ht="24.75" hidden="false" customHeight="true" outlineLevel="0" collapsed="false">
      <c r="A40" s="98" t="s">
        <v>46</v>
      </c>
      <c r="B40" s="98"/>
      <c r="C40" s="98"/>
      <c r="D40" s="98"/>
      <c r="E40" s="98"/>
      <c r="F40" s="98"/>
      <c r="G40" s="98"/>
      <c r="H40" s="98"/>
      <c r="I40" s="98"/>
      <c r="J40" s="98"/>
      <c r="K40" s="98"/>
      <c r="L40" s="98"/>
      <c r="M40" s="98"/>
      <c r="N40" s="98"/>
      <c r="O40" s="98"/>
      <c r="P40" s="98"/>
      <c r="Q40" s="98"/>
      <c r="R40" s="98"/>
      <c r="S40" s="98"/>
      <c r="T40" s="98"/>
      <c r="U40" s="98"/>
      <c r="V40" s="98"/>
      <c r="W40" s="98"/>
    </row>
    <row r="41" s="106" customFormat="true" ht="13.5" hidden="false" customHeight="true" outlineLevel="0" collapsed="false">
      <c r="A41" s="105" t="s">
        <v>47</v>
      </c>
      <c r="B41" s="105"/>
      <c r="C41" s="105"/>
      <c r="D41" s="105"/>
      <c r="E41" s="105"/>
      <c r="F41" s="105"/>
      <c r="G41" s="105"/>
      <c r="H41" s="105"/>
      <c r="I41" s="105"/>
      <c r="J41" s="105"/>
      <c r="K41" s="105"/>
      <c r="L41" s="105"/>
      <c r="M41" s="105"/>
      <c r="N41" s="105"/>
      <c r="O41" s="105"/>
      <c r="P41" s="105"/>
      <c r="Q41" s="105"/>
      <c r="R41" s="105"/>
      <c r="S41" s="105"/>
      <c r="T41" s="105"/>
      <c r="U41" s="105"/>
      <c r="V41" s="105"/>
      <c r="W41" s="105"/>
    </row>
    <row r="42" s="106" customFormat="true" ht="13.5" hidden="false" customHeight="true" outlineLevel="0" collapsed="false">
      <c r="A42" s="105" t="s">
        <v>48</v>
      </c>
      <c r="B42" s="105"/>
      <c r="C42" s="105"/>
      <c r="D42" s="105"/>
      <c r="E42" s="105"/>
      <c r="F42" s="105"/>
      <c r="G42" s="105"/>
      <c r="H42" s="105"/>
      <c r="I42" s="105"/>
      <c r="J42" s="105"/>
      <c r="K42" s="105"/>
      <c r="L42" s="105"/>
      <c r="M42" s="105"/>
      <c r="N42" s="105"/>
      <c r="O42" s="105"/>
      <c r="P42" s="105"/>
      <c r="Q42" s="105"/>
      <c r="R42" s="105"/>
      <c r="S42" s="105"/>
      <c r="T42" s="105"/>
      <c r="U42" s="105"/>
      <c r="V42" s="105"/>
      <c r="W42" s="105"/>
    </row>
    <row r="43" customFormat="false" ht="7.5" hidden="false" customHeight="true" outlineLevel="0" collapsed="false">
      <c r="A43" s="76"/>
      <c r="B43" s="77"/>
      <c r="C43" s="77"/>
      <c r="D43" s="77"/>
      <c r="E43" s="77"/>
      <c r="F43" s="77"/>
      <c r="G43" s="77"/>
      <c r="H43" s="77"/>
      <c r="I43" s="77"/>
      <c r="J43" s="77"/>
      <c r="K43" s="77"/>
      <c r="L43" s="77"/>
      <c r="M43" s="77"/>
      <c r="N43" s="77"/>
      <c r="O43" s="77"/>
      <c r="P43" s="77"/>
      <c r="Q43" s="77"/>
      <c r="R43" s="77"/>
      <c r="S43" s="77"/>
      <c r="T43" s="77"/>
      <c r="U43" s="77"/>
      <c r="V43" s="77"/>
      <c r="W43" s="78"/>
    </row>
    <row r="44" customFormat="false" ht="12" hidden="false" customHeight="false" outlineLevel="0" collapsed="false">
      <c r="A44" s="79" t="n">
        <v>10</v>
      </c>
      <c r="B44" s="66"/>
      <c r="C44" s="67" t="s">
        <v>49</v>
      </c>
      <c r="D44" s="67"/>
      <c r="E44" s="67"/>
      <c r="F44" s="67"/>
      <c r="G44" s="67"/>
      <c r="H44" s="67"/>
      <c r="I44" s="67"/>
      <c r="J44" s="67"/>
      <c r="K44" s="67"/>
      <c r="L44" s="79" t="n">
        <v>15</v>
      </c>
      <c r="M44" s="66"/>
      <c r="N44" s="67" t="s">
        <v>50</v>
      </c>
      <c r="O44" s="66"/>
      <c r="P44" s="66"/>
      <c r="Q44" s="66"/>
      <c r="R44" s="66"/>
      <c r="S44" s="66"/>
      <c r="T44" s="66"/>
      <c r="U44" s="66"/>
      <c r="V44" s="66"/>
      <c r="W44" s="86"/>
    </row>
    <row r="45" customFormat="false" ht="6" hidden="false" customHeight="true" outlineLevel="0" collapsed="false">
      <c r="A45" s="107"/>
      <c r="B45" s="66"/>
      <c r="C45" s="67"/>
      <c r="D45" s="67"/>
      <c r="E45" s="67"/>
      <c r="F45" s="67"/>
      <c r="G45" s="67"/>
      <c r="H45" s="67"/>
      <c r="I45" s="67"/>
      <c r="J45" s="67"/>
      <c r="K45" s="67"/>
      <c r="L45" s="67"/>
      <c r="M45" s="66"/>
      <c r="N45" s="66"/>
      <c r="O45" s="66"/>
      <c r="P45" s="66"/>
      <c r="Q45" s="66"/>
      <c r="R45" s="66"/>
      <c r="S45" s="66"/>
      <c r="T45" s="66"/>
      <c r="U45" s="66"/>
      <c r="V45" s="66"/>
      <c r="W45" s="86"/>
    </row>
    <row r="46" customFormat="false" ht="15" hidden="false" customHeight="false" outlineLevel="0" collapsed="false">
      <c r="A46" s="83"/>
      <c r="B46" s="66"/>
      <c r="C46" s="99" t="s">
        <v>29</v>
      </c>
      <c r="D46" s="100" t="n">
        <f aca="false">IF(('Profit &amp; Loss Acc'!C4&lt;30000)," ",'Profit &amp; Loss Acc'!C6+'Profit &amp; Loss Acc'!C7)</f>
        <v>18540</v>
      </c>
      <c r="E46" s="100"/>
      <c r="F46" s="100"/>
      <c r="G46" s="101" t="s">
        <v>30</v>
      </c>
      <c r="H46" s="102" t="n">
        <v>0</v>
      </c>
      <c r="I46" s="102" t="n">
        <v>0</v>
      </c>
      <c r="J46" s="66"/>
      <c r="K46" s="66"/>
      <c r="L46" s="66"/>
      <c r="M46" s="66"/>
      <c r="N46" s="99" t="s">
        <v>29</v>
      </c>
      <c r="O46" s="100" t="n">
        <f aca="false">IF(('Profit &amp; Loss Acc'!C4&lt;30000)," ",'Profit &amp; Loss Acc'!C18)</f>
        <v>4560</v>
      </c>
      <c r="P46" s="100"/>
      <c r="Q46" s="100"/>
      <c r="R46" s="101" t="s">
        <v>30</v>
      </c>
      <c r="S46" s="102" t="n">
        <v>0</v>
      </c>
      <c r="T46" s="102" t="n">
        <v>0</v>
      </c>
      <c r="U46" s="66"/>
      <c r="V46" s="66"/>
      <c r="W46" s="86"/>
    </row>
    <row r="47" customFormat="false" ht="12" hidden="false" customHeight="false" outlineLevel="0" collapsed="false">
      <c r="A47" s="83"/>
      <c r="B47" s="66"/>
      <c r="C47" s="66"/>
      <c r="D47" s="66"/>
      <c r="E47" s="66"/>
      <c r="F47" s="66"/>
      <c r="G47" s="66"/>
      <c r="H47" s="66"/>
      <c r="I47" s="66"/>
      <c r="J47" s="66"/>
      <c r="K47" s="66"/>
      <c r="L47" s="66"/>
      <c r="M47" s="66"/>
      <c r="N47" s="66"/>
      <c r="O47" s="66"/>
      <c r="P47" s="66"/>
      <c r="Q47" s="66"/>
      <c r="R47" s="66"/>
      <c r="S47" s="66"/>
      <c r="T47" s="66"/>
      <c r="U47" s="66"/>
      <c r="V47" s="66"/>
      <c r="W47" s="86"/>
    </row>
    <row r="48" customFormat="false" ht="12" hidden="false" customHeight="false" outlineLevel="0" collapsed="false">
      <c r="A48" s="79" t="n">
        <v>11</v>
      </c>
      <c r="B48" s="66"/>
      <c r="C48" s="67" t="s">
        <v>51</v>
      </c>
      <c r="D48" s="67"/>
      <c r="E48" s="67"/>
      <c r="F48" s="67"/>
      <c r="G48" s="67"/>
      <c r="H48" s="67"/>
      <c r="I48" s="67"/>
      <c r="J48" s="67"/>
      <c r="K48" s="67"/>
      <c r="L48" s="79" t="n">
        <v>16</v>
      </c>
      <c r="M48" s="66"/>
      <c r="N48" s="67" t="s">
        <v>52</v>
      </c>
      <c r="O48" s="66"/>
      <c r="P48" s="66"/>
      <c r="Q48" s="66"/>
      <c r="R48" s="66"/>
      <c r="S48" s="66"/>
      <c r="T48" s="66"/>
      <c r="U48" s="66"/>
      <c r="V48" s="66"/>
      <c r="W48" s="86"/>
    </row>
    <row r="49" customFormat="false" ht="12.75" hidden="false" customHeight="true" outlineLevel="0" collapsed="false">
      <c r="A49" s="83"/>
      <c r="B49" s="66"/>
      <c r="C49" s="93" t="s">
        <v>53</v>
      </c>
      <c r="D49" s="66"/>
      <c r="E49" s="66"/>
      <c r="F49" s="66"/>
      <c r="G49" s="66"/>
      <c r="H49" s="66"/>
      <c r="I49" s="66"/>
      <c r="J49" s="66"/>
      <c r="K49" s="66"/>
      <c r="L49" s="66"/>
      <c r="M49" s="66"/>
      <c r="N49" s="66"/>
      <c r="O49" s="66"/>
      <c r="P49" s="66"/>
      <c r="Q49" s="66"/>
      <c r="R49" s="66"/>
      <c r="S49" s="66"/>
      <c r="T49" s="66"/>
      <c r="U49" s="66"/>
      <c r="V49" s="66"/>
      <c r="W49" s="86"/>
    </row>
    <row r="50" customFormat="false" ht="6" hidden="false" customHeight="true" outlineLevel="0" collapsed="false">
      <c r="A50" s="107"/>
      <c r="B50" s="66"/>
      <c r="C50" s="67"/>
      <c r="D50" s="67"/>
      <c r="E50" s="67"/>
      <c r="F50" s="67"/>
      <c r="G50" s="67"/>
      <c r="H50" s="67"/>
      <c r="I50" s="67"/>
      <c r="J50" s="67"/>
      <c r="K50" s="67"/>
      <c r="L50" s="67"/>
      <c r="M50" s="66"/>
      <c r="N50" s="66"/>
      <c r="O50" s="66"/>
      <c r="P50" s="66"/>
      <c r="Q50" s="66"/>
      <c r="R50" s="66"/>
      <c r="S50" s="66"/>
      <c r="T50" s="66"/>
      <c r="U50" s="66"/>
      <c r="V50" s="66"/>
      <c r="W50" s="86"/>
    </row>
    <row r="51" customFormat="false" ht="15" hidden="false" customHeight="false" outlineLevel="0" collapsed="false">
      <c r="A51" s="83"/>
      <c r="B51" s="66"/>
      <c r="C51" s="99" t="s">
        <v>29</v>
      </c>
      <c r="D51" s="100" t="n">
        <f aca="false">IF(('Profit &amp; Loss Acc'!C4&lt;30000)," ",'Profit &amp; Loss Acc'!C15+'Profit &amp; Loss Acc'!C16)</f>
        <v>9458</v>
      </c>
      <c r="E51" s="100"/>
      <c r="F51" s="100"/>
      <c r="G51" s="101" t="s">
        <v>30</v>
      </c>
      <c r="H51" s="102" t="n">
        <v>0</v>
      </c>
      <c r="I51" s="102" t="n">
        <v>0</v>
      </c>
      <c r="J51" s="66"/>
      <c r="K51" s="66"/>
      <c r="L51" s="66"/>
      <c r="M51" s="66"/>
      <c r="N51" s="99" t="s">
        <v>29</v>
      </c>
      <c r="O51" s="100" t="n">
        <f aca="false">IF(('Profit &amp; Loss Acc'!C4&lt;30000)," ",'Profit &amp; Loss Acc'!C20)</f>
        <v>750</v>
      </c>
      <c r="P51" s="100"/>
      <c r="Q51" s="100"/>
      <c r="R51" s="101" t="s">
        <v>30</v>
      </c>
      <c r="S51" s="102" t="n">
        <v>0</v>
      </c>
      <c r="T51" s="102" t="n">
        <v>0</v>
      </c>
      <c r="U51" s="66"/>
      <c r="V51" s="66"/>
      <c r="W51" s="86"/>
    </row>
    <row r="52" customFormat="false" ht="12.75" hidden="false" customHeight="true" outlineLevel="0" collapsed="false">
      <c r="A52" s="83"/>
      <c r="B52" s="66"/>
      <c r="C52" s="66"/>
      <c r="D52" s="66"/>
      <c r="E52" s="66"/>
      <c r="F52" s="66"/>
      <c r="G52" s="66"/>
      <c r="H52" s="66"/>
      <c r="I52" s="66"/>
      <c r="J52" s="66"/>
      <c r="K52" s="66"/>
      <c r="L52" s="66"/>
      <c r="M52" s="66"/>
      <c r="N52" s="66"/>
      <c r="O52" s="66"/>
      <c r="P52" s="66"/>
      <c r="Q52" s="66"/>
      <c r="R52" s="66"/>
      <c r="S52" s="66"/>
      <c r="T52" s="66"/>
      <c r="U52" s="66"/>
      <c r="V52" s="66"/>
      <c r="W52" s="86"/>
    </row>
    <row r="53" customFormat="false" ht="12" hidden="false" customHeight="false" outlineLevel="0" collapsed="false">
      <c r="A53" s="79" t="n">
        <v>12</v>
      </c>
      <c r="B53" s="66"/>
      <c r="C53" s="67" t="s">
        <v>54</v>
      </c>
      <c r="D53" s="67"/>
      <c r="E53" s="67"/>
      <c r="F53" s="67"/>
      <c r="G53" s="67"/>
      <c r="H53" s="67"/>
      <c r="I53" s="67"/>
      <c r="J53" s="67"/>
      <c r="K53" s="67"/>
      <c r="L53" s="79" t="n">
        <v>17</v>
      </c>
      <c r="M53" s="66"/>
      <c r="N53" s="67" t="s">
        <v>55</v>
      </c>
      <c r="O53" s="66"/>
      <c r="P53" s="66"/>
      <c r="Q53" s="66"/>
      <c r="R53" s="66"/>
      <c r="S53" s="66"/>
      <c r="T53" s="66"/>
      <c r="U53" s="66"/>
      <c r="V53" s="66"/>
      <c r="W53" s="86"/>
    </row>
    <row r="54" customFormat="false" ht="6" hidden="false" customHeight="true" outlineLevel="0" collapsed="false">
      <c r="A54" s="107"/>
      <c r="B54" s="66"/>
      <c r="C54" s="67"/>
      <c r="D54" s="67"/>
      <c r="E54" s="67"/>
      <c r="F54" s="67"/>
      <c r="G54" s="67"/>
      <c r="H54" s="67"/>
      <c r="I54" s="67"/>
      <c r="J54" s="67"/>
      <c r="K54" s="67"/>
      <c r="L54" s="67"/>
      <c r="M54" s="66"/>
      <c r="N54" s="66"/>
      <c r="O54" s="66"/>
      <c r="P54" s="66"/>
      <c r="Q54" s="66"/>
      <c r="R54" s="66"/>
      <c r="S54" s="66"/>
      <c r="T54" s="66"/>
      <c r="U54" s="66"/>
      <c r="V54" s="66"/>
      <c r="W54" s="86"/>
    </row>
    <row r="55" customFormat="false" ht="15" hidden="false" customHeight="false" outlineLevel="0" collapsed="false">
      <c r="A55" s="83"/>
      <c r="B55" s="66"/>
      <c r="C55" s="99" t="s">
        <v>29</v>
      </c>
      <c r="D55" s="100" t="n">
        <f aca="false">IF(('Profit &amp; Loss Acc'!C4&lt;30000)," ",'Profit &amp; Loss Acc'!C11)</f>
        <v>800</v>
      </c>
      <c r="E55" s="100"/>
      <c r="F55" s="100"/>
      <c r="G55" s="101" t="s">
        <v>30</v>
      </c>
      <c r="H55" s="102" t="n">
        <v>0</v>
      </c>
      <c r="I55" s="102" t="n">
        <v>0</v>
      </c>
      <c r="J55" s="66"/>
      <c r="K55" s="66"/>
      <c r="L55" s="66"/>
      <c r="M55" s="66"/>
      <c r="N55" s="99" t="s">
        <v>29</v>
      </c>
      <c r="O55" s="100" t="n">
        <f aca="false">IF(('Profit &amp; Loss Acc'!C4&lt;30000)," ",'Profit &amp; Loss Acc'!C14)</f>
        <v>1962</v>
      </c>
      <c r="P55" s="100"/>
      <c r="Q55" s="100"/>
      <c r="R55" s="101" t="s">
        <v>30</v>
      </c>
      <c r="S55" s="102" t="n">
        <v>0</v>
      </c>
      <c r="T55" s="102" t="n">
        <v>0</v>
      </c>
      <c r="U55" s="66"/>
      <c r="V55" s="66"/>
      <c r="W55" s="86"/>
    </row>
    <row r="56" customFormat="false" ht="12" hidden="false" customHeight="false" outlineLevel="0" collapsed="false">
      <c r="A56" s="83"/>
      <c r="B56" s="66"/>
      <c r="C56" s="66"/>
      <c r="D56" s="66"/>
      <c r="E56" s="66"/>
      <c r="F56" s="66"/>
      <c r="G56" s="66"/>
      <c r="H56" s="66"/>
      <c r="I56" s="66"/>
      <c r="J56" s="66"/>
      <c r="K56" s="66"/>
      <c r="L56" s="66"/>
      <c r="M56" s="66"/>
      <c r="N56" s="66"/>
      <c r="O56" s="66"/>
      <c r="P56" s="66"/>
      <c r="Q56" s="66"/>
      <c r="R56" s="66"/>
      <c r="S56" s="66"/>
      <c r="T56" s="66"/>
      <c r="U56" s="66"/>
      <c r="V56" s="66"/>
      <c r="W56" s="86"/>
    </row>
    <row r="57" customFormat="false" ht="12" hidden="false" customHeight="false" outlineLevel="0" collapsed="false">
      <c r="A57" s="79" t="n">
        <v>13</v>
      </c>
      <c r="B57" s="66"/>
      <c r="C57" s="67" t="s">
        <v>56</v>
      </c>
      <c r="D57" s="67"/>
      <c r="E57" s="67"/>
      <c r="F57" s="67"/>
      <c r="G57" s="67"/>
      <c r="H57" s="67"/>
      <c r="I57" s="67"/>
      <c r="J57" s="67"/>
      <c r="K57" s="67"/>
      <c r="L57" s="79" t="n">
        <v>18</v>
      </c>
      <c r="M57" s="66"/>
      <c r="N57" s="67" t="s">
        <v>57</v>
      </c>
      <c r="O57" s="66"/>
      <c r="P57" s="66"/>
      <c r="Q57" s="66"/>
      <c r="R57" s="66"/>
      <c r="S57" s="66"/>
      <c r="T57" s="66"/>
      <c r="U57" s="66"/>
      <c r="V57" s="66"/>
      <c r="W57" s="86"/>
    </row>
    <row r="58" customFormat="false" ht="12" hidden="false" customHeight="false" outlineLevel="0" collapsed="false">
      <c r="A58" s="83"/>
      <c r="B58" s="66"/>
      <c r="C58" s="66"/>
      <c r="D58" s="66"/>
      <c r="E58" s="66"/>
      <c r="F58" s="66"/>
      <c r="G58" s="66"/>
      <c r="H58" s="66"/>
      <c r="I58" s="66"/>
      <c r="J58" s="66"/>
      <c r="K58" s="66"/>
      <c r="L58" s="66"/>
      <c r="M58" s="66"/>
      <c r="N58" s="93" t="s">
        <v>58</v>
      </c>
      <c r="O58" s="66"/>
      <c r="P58" s="66"/>
      <c r="Q58" s="66"/>
      <c r="R58" s="66"/>
      <c r="S58" s="66"/>
      <c r="T58" s="66"/>
      <c r="U58" s="66"/>
      <c r="V58" s="66"/>
      <c r="W58" s="86"/>
    </row>
    <row r="59" customFormat="false" ht="6" hidden="false" customHeight="true" outlineLevel="0" collapsed="false">
      <c r="A59" s="107"/>
      <c r="B59" s="66"/>
      <c r="C59" s="67"/>
      <c r="D59" s="67"/>
      <c r="E59" s="67"/>
      <c r="F59" s="67"/>
      <c r="G59" s="67"/>
      <c r="H59" s="67"/>
      <c r="I59" s="67"/>
      <c r="J59" s="67"/>
      <c r="K59" s="67"/>
      <c r="L59" s="67"/>
      <c r="M59" s="66"/>
      <c r="N59" s="66"/>
      <c r="O59" s="66"/>
      <c r="P59" s="66"/>
      <c r="Q59" s="66"/>
      <c r="R59" s="66"/>
      <c r="S59" s="66"/>
      <c r="T59" s="66"/>
      <c r="U59" s="66"/>
      <c r="V59" s="66"/>
      <c r="W59" s="86"/>
    </row>
    <row r="60" customFormat="false" ht="15" hidden="false" customHeight="false" outlineLevel="0" collapsed="false">
      <c r="A60" s="83"/>
      <c r="B60" s="66"/>
      <c r="C60" s="99" t="s">
        <v>29</v>
      </c>
      <c r="D60" s="100" t="n">
        <f aca="false">IF(('Profit &amp; Loss Acc'!C4&lt;30000)," ",'Profit &amp; Loss Acc'!C12)</f>
        <v>15840</v>
      </c>
      <c r="E60" s="100"/>
      <c r="F60" s="100"/>
      <c r="G60" s="101" t="s">
        <v>30</v>
      </c>
      <c r="H60" s="102" t="n">
        <v>0</v>
      </c>
      <c r="I60" s="102" t="n">
        <v>0</v>
      </c>
      <c r="J60" s="66"/>
      <c r="K60" s="66"/>
      <c r="L60" s="66"/>
      <c r="M60" s="66"/>
      <c r="N60" s="99" t="s">
        <v>29</v>
      </c>
      <c r="O60" s="100" t="n">
        <f aca="false">IF(('Profit &amp; Loss Acc'!C4&lt;30000)," ",'Profit &amp; Loss Acc'!C17+'Profit &amp; Loss Acc'!C19+'Profit &amp; Loss Acc'!C21)</f>
        <v>22942</v>
      </c>
      <c r="P60" s="100"/>
      <c r="Q60" s="100"/>
      <c r="R60" s="101" t="s">
        <v>30</v>
      </c>
      <c r="S60" s="102" t="n">
        <v>0</v>
      </c>
      <c r="T60" s="102" t="n">
        <v>0</v>
      </c>
      <c r="U60" s="66"/>
      <c r="V60" s="66"/>
      <c r="W60" s="86"/>
    </row>
    <row r="61" customFormat="false" ht="12" hidden="false" customHeight="false" outlineLevel="0" collapsed="false">
      <c r="A61" s="83"/>
      <c r="B61" s="66"/>
      <c r="C61" s="66"/>
      <c r="D61" s="66"/>
      <c r="E61" s="66"/>
      <c r="F61" s="66"/>
      <c r="G61" s="66"/>
      <c r="H61" s="66"/>
      <c r="I61" s="66"/>
      <c r="J61" s="66"/>
      <c r="K61" s="66"/>
      <c r="L61" s="66"/>
      <c r="M61" s="66"/>
      <c r="N61" s="66"/>
      <c r="O61" s="66"/>
      <c r="P61" s="66"/>
      <c r="Q61" s="66"/>
      <c r="R61" s="66"/>
      <c r="S61" s="66"/>
      <c r="T61" s="66"/>
      <c r="U61" s="66"/>
      <c r="V61" s="66"/>
      <c r="W61" s="86"/>
    </row>
    <row r="62" customFormat="false" ht="12" hidden="false" customHeight="false" outlineLevel="0" collapsed="false">
      <c r="A62" s="79" t="n">
        <v>14</v>
      </c>
      <c r="B62" s="66"/>
      <c r="C62" s="67" t="s">
        <v>59</v>
      </c>
      <c r="D62" s="67"/>
      <c r="E62" s="67"/>
      <c r="F62" s="67"/>
      <c r="G62" s="67"/>
      <c r="H62" s="67"/>
      <c r="I62" s="67"/>
      <c r="J62" s="67"/>
      <c r="K62" s="67"/>
      <c r="L62" s="79" t="n">
        <v>19</v>
      </c>
      <c r="M62" s="66"/>
      <c r="N62" s="67" t="s">
        <v>60</v>
      </c>
      <c r="O62" s="66"/>
      <c r="P62" s="66"/>
      <c r="Q62" s="66"/>
      <c r="R62" s="66"/>
      <c r="S62" s="66"/>
      <c r="T62" s="66"/>
      <c r="U62" s="66"/>
      <c r="V62" s="66"/>
      <c r="W62" s="86"/>
    </row>
    <row r="63" customFormat="false" ht="6" hidden="false" customHeight="true" outlineLevel="0" collapsed="false">
      <c r="A63" s="107"/>
      <c r="B63" s="66"/>
      <c r="C63" s="67"/>
      <c r="D63" s="67"/>
      <c r="E63" s="67"/>
      <c r="F63" s="67"/>
      <c r="G63" s="67"/>
      <c r="H63" s="67"/>
      <c r="I63" s="67"/>
      <c r="J63" s="67"/>
      <c r="K63" s="67"/>
      <c r="L63" s="67"/>
      <c r="M63" s="66"/>
      <c r="N63" s="66"/>
      <c r="O63" s="66"/>
      <c r="P63" s="66"/>
      <c r="Q63" s="66"/>
      <c r="R63" s="66"/>
      <c r="S63" s="66"/>
      <c r="T63" s="66"/>
      <c r="U63" s="66"/>
      <c r="V63" s="66"/>
      <c r="W63" s="86"/>
    </row>
    <row r="64" customFormat="false" ht="15" hidden="false" customHeight="false" outlineLevel="0" collapsed="false">
      <c r="A64" s="83"/>
      <c r="B64" s="66"/>
      <c r="C64" s="99" t="s">
        <v>29</v>
      </c>
      <c r="D64" s="100" t="n">
        <f aca="false">IF(('Profit &amp; Loss Acc'!C4&lt;30000)," ",'Profit &amp; Loss Acc'!C13)</f>
        <v>1140</v>
      </c>
      <c r="E64" s="100"/>
      <c r="F64" s="100"/>
      <c r="G64" s="101" t="s">
        <v>30</v>
      </c>
      <c r="H64" s="102" t="n">
        <v>0</v>
      </c>
      <c r="I64" s="102" t="n">
        <v>0</v>
      </c>
      <c r="J64" s="66"/>
      <c r="K64" s="66"/>
      <c r="L64" s="66"/>
      <c r="M64" s="66"/>
      <c r="N64" s="99" t="s">
        <v>29</v>
      </c>
      <c r="O64" s="100" t="n">
        <f aca="false">'Profit &amp; Loss Acc'!C6+'Profit &amp; Loss Acc'!C7+'Profit &amp; Loss Acc'!C22</f>
        <v>75992</v>
      </c>
      <c r="P64" s="100"/>
      <c r="Q64" s="100"/>
      <c r="R64" s="101" t="s">
        <v>30</v>
      </c>
      <c r="S64" s="102" t="n">
        <v>0</v>
      </c>
      <c r="T64" s="102" t="n">
        <v>0</v>
      </c>
      <c r="U64" s="66"/>
      <c r="V64" s="66"/>
      <c r="W64" s="86"/>
    </row>
    <row r="65" customFormat="false" ht="7.5" hidden="false" customHeight="true" outlineLevel="0" collapsed="false">
      <c r="A65" s="95"/>
      <c r="B65" s="96"/>
      <c r="C65" s="96"/>
      <c r="D65" s="96"/>
      <c r="E65" s="96"/>
      <c r="F65" s="96"/>
      <c r="G65" s="96"/>
      <c r="H65" s="96"/>
      <c r="I65" s="96"/>
      <c r="J65" s="96"/>
      <c r="K65" s="96"/>
      <c r="L65" s="96"/>
      <c r="M65" s="96"/>
      <c r="N65" s="96"/>
      <c r="O65" s="96"/>
      <c r="P65" s="96"/>
      <c r="Q65" s="96"/>
      <c r="R65" s="96"/>
      <c r="S65" s="96"/>
      <c r="T65" s="96"/>
      <c r="U65" s="96"/>
      <c r="V65" s="96"/>
      <c r="W65" s="97"/>
    </row>
    <row r="66" customFormat="false" ht="24.75" hidden="false" customHeight="true" outlineLevel="0" collapsed="false">
      <c r="A66" s="108" t="s">
        <v>61</v>
      </c>
      <c r="B66" s="108"/>
      <c r="C66" s="108"/>
      <c r="D66" s="108"/>
      <c r="E66" s="108"/>
      <c r="F66" s="108"/>
      <c r="G66" s="108"/>
      <c r="H66" s="108"/>
      <c r="I66" s="108"/>
      <c r="J66" s="108"/>
      <c r="K66" s="108"/>
      <c r="L66" s="108"/>
      <c r="M66" s="108"/>
      <c r="N66" s="108"/>
      <c r="O66" s="108"/>
      <c r="P66" s="108"/>
      <c r="Q66" s="108"/>
      <c r="R66" s="108"/>
      <c r="S66" s="108"/>
      <c r="T66" s="108"/>
      <c r="U66" s="108"/>
      <c r="V66" s="108"/>
      <c r="W66" s="108"/>
    </row>
    <row r="67" customFormat="false" ht="7.5" hidden="false" customHeight="true" outlineLevel="0" collapsed="false">
      <c r="A67" s="76"/>
      <c r="B67" s="77"/>
      <c r="C67" s="77"/>
      <c r="D67" s="77"/>
      <c r="E67" s="77"/>
      <c r="F67" s="77"/>
      <c r="G67" s="77"/>
      <c r="H67" s="77"/>
      <c r="I67" s="77"/>
      <c r="J67" s="77"/>
      <c r="K67" s="77"/>
      <c r="L67" s="77"/>
      <c r="M67" s="77"/>
      <c r="N67" s="77"/>
      <c r="O67" s="77"/>
      <c r="P67" s="77"/>
      <c r="Q67" s="77"/>
      <c r="R67" s="77"/>
      <c r="S67" s="77"/>
      <c r="T67" s="77"/>
      <c r="U67" s="77"/>
      <c r="V67" s="77"/>
      <c r="W67" s="78"/>
    </row>
    <row r="68" customFormat="false" ht="12" hidden="false" customHeight="false" outlineLevel="0" collapsed="false">
      <c r="A68" s="79" t="n">
        <v>20</v>
      </c>
      <c r="B68" s="66"/>
      <c r="C68" s="67" t="s">
        <v>62</v>
      </c>
      <c r="D68" s="67"/>
      <c r="E68" s="67"/>
      <c r="F68" s="67"/>
      <c r="G68" s="67"/>
      <c r="H68" s="67"/>
      <c r="I68" s="67"/>
      <c r="J68" s="67"/>
      <c r="K68" s="67"/>
      <c r="L68" s="79" t="n">
        <v>21</v>
      </c>
      <c r="M68" s="66"/>
      <c r="N68" s="67" t="s">
        <v>63</v>
      </c>
      <c r="O68" s="66"/>
      <c r="P68" s="66"/>
      <c r="Q68" s="66"/>
      <c r="R68" s="66"/>
      <c r="S68" s="66"/>
      <c r="T68" s="66"/>
      <c r="U68" s="66"/>
      <c r="V68" s="66"/>
      <c r="W68" s="86"/>
    </row>
    <row r="69" customFormat="false" ht="12" hidden="false" customHeight="false" outlineLevel="0" collapsed="false">
      <c r="A69" s="83"/>
      <c r="B69" s="66"/>
      <c r="C69" s="93" t="s">
        <v>64</v>
      </c>
      <c r="D69" s="67"/>
      <c r="E69" s="67"/>
      <c r="F69" s="67"/>
      <c r="G69" s="67"/>
      <c r="H69" s="67"/>
      <c r="I69" s="67"/>
      <c r="J69" s="67"/>
      <c r="K69" s="67"/>
      <c r="L69" s="66"/>
      <c r="M69" s="66"/>
      <c r="N69" s="93" t="s">
        <v>65</v>
      </c>
      <c r="O69" s="66"/>
      <c r="P69" s="66"/>
      <c r="Q69" s="66"/>
      <c r="R69" s="66"/>
      <c r="S69" s="66"/>
      <c r="T69" s="66"/>
      <c r="U69" s="66"/>
      <c r="V69" s="66"/>
      <c r="W69" s="86"/>
    </row>
    <row r="70" customFormat="false" ht="6" hidden="false" customHeight="true" outlineLevel="0" collapsed="false">
      <c r="A70" s="107"/>
      <c r="B70" s="66"/>
      <c r="C70" s="67"/>
      <c r="D70" s="67"/>
      <c r="E70" s="67"/>
      <c r="F70" s="67"/>
      <c r="G70" s="67"/>
      <c r="H70" s="67"/>
      <c r="I70" s="67"/>
      <c r="J70" s="67"/>
      <c r="K70" s="67"/>
      <c r="L70" s="67"/>
      <c r="M70" s="66"/>
      <c r="N70" s="66"/>
      <c r="O70" s="66"/>
      <c r="P70" s="66"/>
      <c r="Q70" s="66"/>
      <c r="R70" s="66"/>
      <c r="S70" s="66"/>
      <c r="T70" s="66"/>
      <c r="U70" s="66"/>
      <c r="V70" s="66"/>
      <c r="W70" s="86"/>
    </row>
    <row r="71" customFormat="false" ht="15" hidden="false" customHeight="false" outlineLevel="0" collapsed="false">
      <c r="A71" s="83"/>
      <c r="B71" s="66"/>
      <c r="C71" s="99" t="s">
        <v>29</v>
      </c>
      <c r="D71" s="100" t="n">
        <f aca="false">IF((D38+O38-O64)&gt;=0,D38+O38-O64,0)</f>
        <v>333908</v>
      </c>
      <c r="E71" s="100"/>
      <c r="F71" s="100"/>
      <c r="G71" s="101" t="s">
        <v>30</v>
      </c>
      <c r="H71" s="102" t="n">
        <v>0</v>
      </c>
      <c r="I71" s="102" t="n">
        <v>0</v>
      </c>
      <c r="J71" s="66"/>
      <c r="K71" s="66"/>
      <c r="L71" s="66"/>
      <c r="M71" s="66"/>
      <c r="N71" s="99" t="s">
        <v>29</v>
      </c>
      <c r="O71" s="100" t="n">
        <f aca="false">IF((D38+O38-O64)&lt;0,-D38-O38+O64,0)</f>
        <v>0</v>
      </c>
      <c r="P71" s="100"/>
      <c r="Q71" s="100"/>
      <c r="R71" s="101" t="s">
        <v>30</v>
      </c>
      <c r="S71" s="102" t="n">
        <v>0</v>
      </c>
      <c r="T71" s="102" t="n">
        <v>0</v>
      </c>
      <c r="U71" s="66"/>
      <c r="V71" s="66"/>
      <c r="W71" s="109"/>
      <c r="Y71" s="110"/>
      <c r="Z71" s="110"/>
    </row>
    <row r="72" customFormat="false" ht="7.5" hidden="false" customHeight="true" outlineLevel="0" collapsed="false">
      <c r="A72" s="95"/>
      <c r="B72" s="96"/>
      <c r="C72" s="96"/>
      <c r="D72" s="96"/>
      <c r="E72" s="96"/>
      <c r="F72" s="96"/>
      <c r="G72" s="96"/>
      <c r="H72" s="96"/>
      <c r="I72" s="96"/>
      <c r="J72" s="96"/>
      <c r="K72" s="96"/>
      <c r="L72" s="96"/>
      <c r="M72" s="96"/>
      <c r="N72" s="96"/>
      <c r="O72" s="96"/>
      <c r="P72" s="96"/>
      <c r="Q72" s="96"/>
      <c r="R72" s="96"/>
      <c r="S72" s="96"/>
      <c r="T72" s="96"/>
      <c r="U72" s="96"/>
      <c r="V72" s="96"/>
      <c r="W72" s="97"/>
    </row>
    <row r="73" customFormat="false" ht="24.75" hidden="false" customHeight="true" outlineLevel="0" collapsed="false">
      <c r="A73" s="98" t="s">
        <v>66</v>
      </c>
      <c r="B73" s="98"/>
      <c r="C73" s="98"/>
      <c r="D73" s="98"/>
      <c r="E73" s="98"/>
      <c r="F73" s="98"/>
      <c r="G73" s="98"/>
      <c r="H73" s="98"/>
      <c r="I73" s="98"/>
      <c r="J73" s="98"/>
      <c r="K73" s="98"/>
      <c r="L73" s="98"/>
      <c r="M73" s="98"/>
      <c r="N73" s="98"/>
      <c r="O73" s="98"/>
      <c r="P73" s="98"/>
      <c r="Q73" s="98"/>
      <c r="R73" s="98"/>
      <c r="S73" s="98"/>
      <c r="T73" s="98"/>
      <c r="U73" s="98"/>
      <c r="V73" s="98"/>
      <c r="W73" s="98"/>
      <c r="Y73" s="110"/>
      <c r="Z73" s="110"/>
    </row>
    <row r="74" customFormat="false" ht="13.5" hidden="false" customHeight="true" outlineLevel="0" collapsed="false">
      <c r="A74" s="105" t="s">
        <v>67</v>
      </c>
      <c r="B74" s="105"/>
      <c r="C74" s="105"/>
      <c r="D74" s="105"/>
      <c r="E74" s="105"/>
      <c r="F74" s="105"/>
      <c r="G74" s="105"/>
      <c r="H74" s="105"/>
      <c r="I74" s="105"/>
      <c r="J74" s="105"/>
      <c r="K74" s="105"/>
      <c r="L74" s="105"/>
      <c r="M74" s="105"/>
      <c r="N74" s="105"/>
      <c r="O74" s="105"/>
      <c r="P74" s="105"/>
      <c r="Q74" s="105"/>
      <c r="R74" s="105"/>
      <c r="S74" s="105"/>
      <c r="T74" s="105"/>
      <c r="U74" s="105"/>
      <c r="V74" s="105"/>
      <c r="W74" s="105"/>
    </row>
    <row r="75" customFormat="false" ht="13.5" hidden="false" customHeight="true" outlineLevel="0" collapsed="false">
      <c r="A75" s="105" t="s">
        <v>68</v>
      </c>
      <c r="B75" s="105"/>
      <c r="C75" s="105"/>
      <c r="D75" s="105"/>
      <c r="E75" s="105"/>
      <c r="F75" s="105"/>
      <c r="G75" s="105"/>
      <c r="H75" s="105"/>
      <c r="I75" s="105"/>
      <c r="J75" s="105"/>
      <c r="K75" s="105"/>
      <c r="L75" s="105"/>
      <c r="M75" s="105"/>
      <c r="N75" s="105"/>
      <c r="O75" s="105"/>
      <c r="P75" s="105"/>
      <c r="Q75" s="105"/>
      <c r="R75" s="105"/>
      <c r="S75" s="105"/>
      <c r="T75" s="105"/>
      <c r="U75" s="105"/>
      <c r="V75" s="105"/>
      <c r="W75" s="105"/>
      <c r="Y75" s="110"/>
      <c r="Z75" s="110"/>
    </row>
    <row r="76" customFormat="false" ht="13.5" hidden="false" customHeight="true" outlineLevel="0" collapsed="false">
      <c r="A76" s="105" t="s">
        <v>69</v>
      </c>
      <c r="B76" s="105"/>
      <c r="C76" s="105"/>
      <c r="D76" s="105"/>
      <c r="E76" s="105"/>
      <c r="F76" s="105"/>
      <c r="G76" s="105"/>
      <c r="H76" s="105"/>
      <c r="I76" s="105"/>
      <c r="J76" s="105"/>
      <c r="K76" s="105"/>
      <c r="L76" s="105"/>
      <c r="M76" s="105"/>
      <c r="N76" s="105"/>
      <c r="O76" s="105"/>
      <c r="P76" s="105"/>
      <c r="Q76" s="105"/>
      <c r="R76" s="105"/>
      <c r="S76" s="105"/>
      <c r="T76" s="105"/>
      <c r="U76" s="105"/>
      <c r="V76" s="105"/>
      <c r="W76" s="105"/>
    </row>
    <row r="77" customFormat="false" ht="7.5" hidden="false" customHeight="true" outlineLevel="0" collapsed="false">
      <c r="A77" s="76"/>
      <c r="B77" s="77"/>
      <c r="C77" s="77"/>
      <c r="D77" s="77"/>
      <c r="E77" s="77"/>
      <c r="F77" s="77"/>
      <c r="G77" s="77"/>
      <c r="H77" s="77"/>
      <c r="I77" s="77"/>
      <c r="J77" s="77"/>
      <c r="K77" s="77"/>
      <c r="L77" s="77"/>
      <c r="M77" s="77"/>
      <c r="N77" s="77"/>
      <c r="O77" s="77"/>
      <c r="P77" s="77"/>
      <c r="Q77" s="77"/>
      <c r="R77" s="77"/>
      <c r="S77" s="77"/>
      <c r="T77" s="77"/>
      <c r="U77" s="77"/>
      <c r="V77" s="77"/>
      <c r="W77" s="78"/>
    </row>
    <row r="78" customFormat="false" ht="12" hidden="false" customHeight="false" outlineLevel="0" collapsed="false">
      <c r="A78" s="79" t="n">
        <v>22</v>
      </c>
      <c r="B78" s="66"/>
      <c r="C78" s="67" t="s">
        <v>70</v>
      </c>
      <c r="D78" s="67"/>
      <c r="E78" s="67"/>
      <c r="F78" s="67"/>
      <c r="G78" s="67"/>
      <c r="H78" s="67"/>
      <c r="I78" s="67"/>
      <c r="J78" s="67"/>
      <c r="K78" s="67"/>
      <c r="L78" s="79" t="n">
        <v>24</v>
      </c>
      <c r="M78" s="66"/>
      <c r="N78" s="67" t="s">
        <v>71</v>
      </c>
      <c r="O78" s="66"/>
      <c r="P78" s="66"/>
      <c r="Q78" s="66"/>
      <c r="R78" s="66"/>
      <c r="S78" s="66"/>
      <c r="T78" s="66"/>
      <c r="U78" s="66"/>
      <c r="V78" s="66"/>
      <c r="W78" s="86"/>
    </row>
    <row r="79" customFormat="false" ht="12" hidden="false" customHeight="false" outlineLevel="0" collapsed="false">
      <c r="A79" s="107"/>
      <c r="B79" s="66"/>
      <c r="C79" s="67"/>
      <c r="D79" s="67"/>
      <c r="E79" s="67"/>
      <c r="F79" s="67"/>
      <c r="G79" s="67"/>
      <c r="H79" s="67"/>
      <c r="I79" s="67"/>
      <c r="J79" s="67"/>
      <c r="K79" s="67"/>
      <c r="L79" s="66"/>
      <c r="M79" s="66"/>
      <c r="N79" s="66"/>
      <c r="O79" s="66"/>
      <c r="P79" s="66"/>
      <c r="Q79" s="66"/>
      <c r="R79" s="66"/>
      <c r="S79" s="111"/>
      <c r="T79" s="111"/>
      <c r="U79" s="111"/>
      <c r="V79" s="111"/>
      <c r="W79" s="86"/>
    </row>
    <row r="80" customFormat="false" ht="15" hidden="false" customHeight="true" outlineLevel="0" collapsed="false">
      <c r="A80" s="107"/>
      <c r="B80" s="66"/>
      <c r="C80" s="99" t="s">
        <v>29</v>
      </c>
      <c r="D80" s="100" t="n">
        <f aca="false">IF(('Fixed Assets'!K1)&gt;0,'Fixed Assets'!K1,0)</f>
        <v>0</v>
      </c>
      <c r="E80" s="100"/>
      <c r="F80" s="100"/>
      <c r="G80" s="101" t="s">
        <v>30</v>
      </c>
      <c r="H80" s="102" t="n">
        <v>0</v>
      </c>
      <c r="I80" s="102" t="n">
        <v>0</v>
      </c>
      <c r="J80" s="67"/>
      <c r="K80" s="67"/>
      <c r="L80" s="67"/>
      <c r="M80" s="66"/>
      <c r="N80" s="99" t="s">
        <v>29</v>
      </c>
      <c r="O80" s="100" t="n">
        <f aca="false">IF(('Fixed Assets'!L1+'Fixed Assets'!Q1)&gt;0,'Fixed Assets'!L1+'Fixed Assets'!Q1,0)</f>
        <v>0</v>
      </c>
      <c r="P80" s="100"/>
      <c r="Q80" s="100"/>
      <c r="R80" s="101" t="s">
        <v>30</v>
      </c>
      <c r="S80" s="102" t="n">
        <v>0</v>
      </c>
      <c r="T80" s="102" t="n">
        <v>0</v>
      </c>
      <c r="U80" s="66"/>
      <c r="V80" s="66"/>
      <c r="W80" s="86"/>
    </row>
    <row r="81" customFormat="false" ht="6" hidden="false" customHeight="true" outlineLevel="0" collapsed="false">
      <c r="A81" s="107"/>
      <c r="B81" s="66"/>
      <c r="C81" s="67"/>
      <c r="D81" s="67"/>
      <c r="E81" s="67"/>
      <c r="F81" s="67"/>
      <c r="G81" s="67"/>
      <c r="H81" s="67"/>
      <c r="I81" s="67"/>
      <c r="J81" s="67"/>
      <c r="K81" s="67"/>
      <c r="L81" s="67"/>
      <c r="M81" s="66"/>
      <c r="N81" s="66"/>
      <c r="O81" s="66"/>
      <c r="P81" s="66"/>
      <c r="Q81" s="66"/>
      <c r="R81" s="66"/>
      <c r="S81" s="66"/>
      <c r="T81" s="66"/>
      <c r="U81" s="66"/>
      <c r="V81" s="66"/>
      <c r="W81" s="86"/>
    </row>
    <row r="82" customFormat="false" ht="12" hidden="false" customHeight="false" outlineLevel="0" collapsed="false">
      <c r="A82" s="79" t="n">
        <v>23</v>
      </c>
      <c r="B82" s="66"/>
      <c r="C82" s="67" t="s">
        <v>72</v>
      </c>
      <c r="D82" s="66"/>
      <c r="E82" s="66"/>
      <c r="F82" s="66"/>
      <c r="G82" s="66"/>
      <c r="H82" s="66"/>
      <c r="I82" s="66"/>
      <c r="J82" s="66"/>
      <c r="K82" s="66"/>
      <c r="L82" s="79" t="n">
        <v>25</v>
      </c>
      <c r="M82" s="66"/>
      <c r="N82" s="67" t="s">
        <v>73</v>
      </c>
      <c r="O82" s="66"/>
      <c r="P82" s="66"/>
      <c r="Q82" s="66"/>
      <c r="R82" s="66"/>
      <c r="S82" s="66"/>
      <c r="T82" s="66"/>
      <c r="U82" s="66"/>
      <c r="V82" s="66"/>
      <c r="W82" s="86"/>
    </row>
    <row r="83" customFormat="false" ht="11.25" hidden="false" customHeight="true" outlineLevel="0" collapsed="false">
      <c r="A83" s="83"/>
      <c r="B83" s="66"/>
      <c r="C83" s="67" t="s">
        <v>74</v>
      </c>
      <c r="D83" s="66"/>
      <c r="E83" s="66"/>
      <c r="F83" s="66"/>
      <c r="G83" s="66"/>
      <c r="H83" s="66"/>
      <c r="I83" s="66"/>
      <c r="J83" s="66"/>
      <c r="K83" s="66"/>
      <c r="L83" s="67"/>
      <c r="M83" s="66"/>
      <c r="N83" s="67" t="s">
        <v>75</v>
      </c>
      <c r="O83" s="111"/>
      <c r="P83" s="111"/>
      <c r="Q83" s="111"/>
      <c r="R83" s="111"/>
      <c r="S83" s="96"/>
      <c r="T83" s="96"/>
      <c r="U83" s="96"/>
      <c r="V83" s="96"/>
      <c r="W83" s="97"/>
    </row>
    <row r="84" customFormat="false" ht="6" hidden="false" customHeight="true" outlineLevel="0" collapsed="false">
      <c r="A84" s="107"/>
      <c r="B84" s="66"/>
      <c r="C84" s="67"/>
      <c r="D84" s="67"/>
      <c r="E84" s="67"/>
      <c r="F84" s="67"/>
      <c r="G84" s="67"/>
      <c r="H84" s="67"/>
      <c r="I84" s="67"/>
      <c r="J84" s="67"/>
      <c r="K84" s="67"/>
      <c r="L84" s="67"/>
      <c r="M84" s="66"/>
      <c r="N84" s="66"/>
      <c r="O84" s="66"/>
      <c r="P84" s="66"/>
      <c r="Q84" s="66"/>
      <c r="R84" s="66"/>
      <c r="S84" s="66"/>
      <c r="T84" s="66"/>
      <c r="U84" s="66"/>
      <c r="V84" s="66"/>
      <c r="W84" s="86"/>
    </row>
    <row r="85" customFormat="false" ht="15" hidden="false" customHeight="false" outlineLevel="0" collapsed="false">
      <c r="A85" s="107"/>
      <c r="B85" s="66"/>
      <c r="C85" s="99" t="s">
        <v>29</v>
      </c>
      <c r="D85" s="100" t="n">
        <f aca="false">IF(('Fixed Assets'!M1+'Fixed Assets'!L1)&lt;1000,'Fixed Assets'!M1,0)</f>
        <v>0</v>
      </c>
      <c r="E85" s="100"/>
      <c r="F85" s="100"/>
      <c r="G85" s="101" t="s">
        <v>30</v>
      </c>
      <c r="H85" s="102" t="n">
        <v>0</v>
      </c>
      <c r="I85" s="102" t="n">
        <v>0</v>
      </c>
      <c r="J85" s="67"/>
      <c r="K85" s="67"/>
      <c r="L85" s="66"/>
      <c r="M85" s="66"/>
      <c r="N85" s="99" t="s">
        <v>29</v>
      </c>
      <c r="O85" s="100" t="n">
        <f aca="false">IF('Fixed Assets'!R1&gt;0,'Fixed Assets'!R1,0)</f>
        <v>0</v>
      </c>
      <c r="P85" s="100"/>
      <c r="Q85" s="100"/>
      <c r="R85" s="101" t="s">
        <v>30</v>
      </c>
      <c r="S85" s="102" t="n">
        <v>0</v>
      </c>
      <c r="T85" s="102" t="n">
        <v>0</v>
      </c>
      <c r="U85" s="66"/>
      <c r="V85" s="66"/>
      <c r="W85" s="86"/>
    </row>
    <row r="86" customFormat="false" ht="7.5" hidden="false" customHeight="true" outlineLevel="0" collapsed="false">
      <c r="A86" s="95"/>
      <c r="B86" s="96"/>
      <c r="C86" s="96"/>
      <c r="D86" s="96"/>
      <c r="E86" s="96"/>
      <c r="F86" s="96"/>
      <c r="G86" s="96"/>
      <c r="H86" s="96"/>
      <c r="I86" s="96"/>
      <c r="J86" s="96"/>
      <c r="K86" s="96"/>
      <c r="L86" s="96"/>
      <c r="M86" s="96"/>
      <c r="N86" s="96"/>
      <c r="O86" s="96"/>
      <c r="P86" s="96"/>
      <c r="Q86" s="96"/>
      <c r="R86" s="96"/>
      <c r="S86" s="96"/>
      <c r="T86" s="96"/>
      <c r="U86" s="96"/>
      <c r="V86" s="96"/>
      <c r="W86" s="97"/>
    </row>
    <row r="87" customFormat="false" ht="24.75" hidden="false" customHeight="true" outlineLevel="0" collapsed="false">
      <c r="A87" s="112" t="s">
        <v>76</v>
      </c>
      <c r="B87" s="112"/>
      <c r="C87" s="112"/>
      <c r="D87" s="112"/>
      <c r="E87" s="112"/>
      <c r="F87" s="112"/>
      <c r="G87" s="112"/>
      <c r="H87" s="112"/>
      <c r="I87" s="112"/>
      <c r="J87" s="112"/>
      <c r="K87" s="112"/>
      <c r="L87" s="112"/>
      <c r="M87" s="112"/>
      <c r="N87" s="112"/>
      <c r="O87" s="112"/>
      <c r="P87" s="112"/>
      <c r="Q87" s="112"/>
      <c r="R87" s="112"/>
      <c r="S87" s="112"/>
      <c r="T87" s="112"/>
      <c r="U87" s="112"/>
      <c r="V87" s="112"/>
      <c r="W87" s="112"/>
    </row>
    <row r="88" customFormat="false" ht="15.75" hidden="false" customHeight="true" outlineLevel="0" collapsed="false">
      <c r="A88" s="105" t="s">
        <v>77</v>
      </c>
      <c r="B88" s="105"/>
      <c r="C88" s="105"/>
      <c r="D88" s="105"/>
      <c r="E88" s="105"/>
      <c r="F88" s="105"/>
      <c r="G88" s="105"/>
      <c r="H88" s="105"/>
      <c r="I88" s="105"/>
      <c r="J88" s="105"/>
      <c r="K88" s="105"/>
      <c r="L88" s="105"/>
      <c r="M88" s="105"/>
      <c r="N88" s="105"/>
      <c r="O88" s="105"/>
      <c r="P88" s="105"/>
      <c r="Q88" s="105"/>
      <c r="R88" s="105"/>
      <c r="S88" s="105"/>
      <c r="T88" s="105"/>
      <c r="U88" s="105"/>
      <c r="V88" s="105"/>
      <c r="W88" s="105"/>
    </row>
    <row r="89" customFormat="false" ht="15.75" hidden="false" customHeight="true" outlineLevel="0" collapsed="false">
      <c r="A89" s="105" t="s">
        <v>78</v>
      </c>
      <c r="B89" s="105"/>
      <c r="C89" s="105"/>
      <c r="D89" s="105"/>
      <c r="E89" s="105"/>
      <c r="F89" s="105"/>
      <c r="G89" s="105"/>
      <c r="H89" s="105"/>
      <c r="I89" s="105"/>
      <c r="J89" s="105"/>
      <c r="K89" s="105"/>
      <c r="L89" s="105"/>
      <c r="M89" s="105"/>
      <c r="N89" s="105"/>
      <c r="O89" s="105"/>
      <c r="P89" s="105"/>
      <c r="Q89" s="105"/>
      <c r="R89" s="105"/>
      <c r="S89" s="105"/>
      <c r="T89" s="105"/>
      <c r="U89" s="105"/>
      <c r="V89" s="105"/>
      <c r="W89" s="105"/>
    </row>
    <row r="90" customFormat="false" ht="7.5" hidden="false" customHeight="true" outlineLevel="0" collapsed="false">
      <c r="A90" s="76"/>
      <c r="B90" s="77"/>
      <c r="C90" s="77"/>
      <c r="D90" s="77"/>
      <c r="E90" s="77"/>
      <c r="F90" s="77"/>
      <c r="G90" s="77"/>
      <c r="H90" s="77"/>
      <c r="I90" s="77"/>
      <c r="J90" s="77"/>
      <c r="K90" s="77"/>
      <c r="L90" s="77"/>
      <c r="M90" s="77"/>
      <c r="N90" s="77"/>
      <c r="O90" s="77"/>
      <c r="P90" s="77"/>
      <c r="Q90" s="77"/>
      <c r="R90" s="77"/>
      <c r="S90" s="77"/>
      <c r="T90" s="77"/>
      <c r="U90" s="77"/>
      <c r="V90" s="77"/>
      <c r="W90" s="78"/>
    </row>
    <row r="91" customFormat="false" ht="12" hidden="false" customHeight="false" outlineLevel="0" collapsed="false">
      <c r="A91" s="79" t="n">
        <v>26</v>
      </c>
      <c r="B91" s="66"/>
      <c r="C91" s="67" t="s">
        <v>79</v>
      </c>
      <c r="D91" s="67"/>
      <c r="E91" s="67"/>
      <c r="F91" s="67"/>
      <c r="G91" s="67"/>
      <c r="H91" s="67"/>
      <c r="I91" s="67"/>
      <c r="J91" s="67"/>
      <c r="K91" s="67"/>
      <c r="L91" s="79" t="n">
        <v>28</v>
      </c>
      <c r="M91" s="66"/>
      <c r="N91" s="67" t="s">
        <v>80</v>
      </c>
      <c r="O91" s="66"/>
      <c r="P91" s="66"/>
      <c r="Q91" s="66"/>
      <c r="R91" s="66"/>
      <c r="S91" s="66"/>
      <c r="T91" s="66"/>
      <c r="U91" s="66"/>
      <c r="V91" s="66"/>
      <c r="W91" s="86"/>
    </row>
    <row r="92" customFormat="false" ht="12" hidden="false" customHeight="false" outlineLevel="0" collapsed="false">
      <c r="A92" s="67"/>
      <c r="B92" s="66"/>
      <c r="C92" s="93" t="s">
        <v>81</v>
      </c>
      <c r="D92" s="67"/>
      <c r="E92" s="67"/>
      <c r="F92" s="67"/>
      <c r="G92" s="67"/>
      <c r="H92" s="67"/>
      <c r="I92" s="67"/>
      <c r="J92" s="67"/>
      <c r="K92" s="67"/>
      <c r="L92" s="67"/>
      <c r="M92" s="66"/>
      <c r="N92" s="67" t="s">
        <v>82</v>
      </c>
      <c r="O92" s="111"/>
      <c r="P92" s="111"/>
      <c r="Q92" s="111"/>
      <c r="R92" s="111"/>
      <c r="S92" s="111"/>
      <c r="T92" s="111"/>
      <c r="U92" s="111"/>
      <c r="V92" s="111"/>
      <c r="W92" s="86"/>
    </row>
    <row r="93" customFormat="false" ht="6" hidden="false" customHeight="true" outlineLevel="0" collapsed="false">
      <c r="A93" s="67"/>
      <c r="B93" s="66"/>
      <c r="C93" s="67"/>
      <c r="D93" s="67"/>
      <c r="E93" s="67"/>
      <c r="F93" s="67"/>
      <c r="G93" s="67"/>
      <c r="H93" s="67"/>
      <c r="I93" s="67"/>
      <c r="J93" s="67"/>
      <c r="K93" s="67"/>
      <c r="L93" s="67"/>
      <c r="M93" s="66"/>
      <c r="N93" s="66"/>
      <c r="O93" s="66"/>
      <c r="P93" s="66"/>
      <c r="Q93" s="66"/>
      <c r="R93" s="66"/>
      <c r="S93" s="66"/>
      <c r="T93" s="66"/>
      <c r="U93" s="66"/>
      <c r="V93" s="66"/>
      <c r="W93" s="86"/>
    </row>
    <row r="94" customFormat="false" ht="15" hidden="false" customHeight="false" outlineLevel="0" collapsed="false">
      <c r="A94" s="66"/>
      <c r="B94" s="66"/>
      <c r="C94" s="99" t="s">
        <v>29</v>
      </c>
      <c r="D94" s="100" t="n">
        <f aca="false">'Business Details'!O29</f>
        <v>0</v>
      </c>
      <c r="E94" s="100"/>
      <c r="F94" s="100"/>
      <c r="G94" s="101" t="s">
        <v>30</v>
      </c>
      <c r="H94" s="102" t="n">
        <v>0</v>
      </c>
      <c r="I94" s="102" t="n">
        <v>0</v>
      </c>
      <c r="J94" s="66"/>
      <c r="K94" s="66"/>
      <c r="L94" s="66"/>
      <c r="M94" s="66"/>
      <c r="N94" s="99" t="s">
        <v>29</v>
      </c>
      <c r="O94" s="100" t="n">
        <f aca="false">IF(O106&gt;0,0,IF('Business Details'!D29=0,0,IF(D99&gt;'Business Details'!D29,'Business Details'!D29,D99)))</f>
        <v>0</v>
      </c>
      <c r="P94" s="100"/>
      <c r="Q94" s="100"/>
      <c r="R94" s="101" t="s">
        <v>30</v>
      </c>
      <c r="S94" s="102" t="n">
        <v>0</v>
      </c>
      <c r="T94" s="102" t="n">
        <v>0</v>
      </c>
      <c r="U94" s="66"/>
      <c r="V94" s="66"/>
      <c r="W94" s="86"/>
    </row>
    <row r="95" customFormat="false" ht="12" hidden="false" customHeight="false" outlineLevel="0" collapsed="false">
      <c r="A95" s="66"/>
      <c r="B95" s="66"/>
      <c r="C95" s="66"/>
      <c r="D95" s="66"/>
      <c r="E95" s="66"/>
      <c r="F95" s="66"/>
      <c r="G95" s="66"/>
      <c r="H95" s="66"/>
      <c r="I95" s="66"/>
      <c r="J95" s="66"/>
      <c r="K95" s="66"/>
      <c r="L95" s="66"/>
      <c r="M95" s="66"/>
      <c r="N95" s="66"/>
      <c r="O95" s="66"/>
      <c r="P95" s="66"/>
      <c r="Q95" s="66"/>
      <c r="R95" s="66"/>
      <c r="S95" s="66"/>
      <c r="T95" s="66"/>
      <c r="U95" s="66"/>
      <c r="V95" s="66"/>
      <c r="W95" s="86"/>
    </row>
    <row r="96" customFormat="false" ht="12" hidden="false" customHeight="false" outlineLevel="0" collapsed="false">
      <c r="A96" s="79" t="n">
        <v>27</v>
      </c>
      <c r="B96" s="66"/>
      <c r="C96" s="67" t="s">
        <v>83</v>
      </c>
      <c r="D96" s="67"/>
      <c r="E96" s="67"/>
      <c r="F96" s="67"/>
      <c r="G96" s="67"/>
      <c r="H96" s="67"/>
      <c r="I96" s="67"/>
      <c r="J96" s="67"/>
      <c r="K96" s="67"/>
      <c r="L96" s="79" t="n">
        <v>29</v>
      </c>
      <c r="M96" s="66"/>
      <c r="N96" s="67" t="s">
        <v>84</v>
      </c>
      <c r="O96" s="66"/>
      <c r="P96" s="66"/>
      <c r="Q96" s="66"/>
      <c r="R96" s="66"/>
      <c r="S96" s="66"/>
      <c r="T96" s="66"/>
      <c r="U96" s="66"/>
      <c r="V96" s="66"/>
      <c r="W96" s="86"/>
    </row>
    <row r="97" customFormat="false" ht="12" hidden="false" customHeight="true" outlineLevel="0" collapsed="false">
      <c r="A97" s="107"/>
      <c r="B97" s="66"/>
      <c r="C97" s="67" t="s">
        <v>85</v>
      </c>
      <c r="D97" s="67"/>
      <c r="E97" s="67"/>
      <c r="F97" s="67"/>
      <c r="G97" s="67"/>
      <c r="H97" s="67"/>
      <c r="I97" s="67"/>
      <c r="J97" s="67"/>
      <c r="K97" s="67"/>
      <c r="L97" s="67"/>
      <c r="M97" s="66"/>
      <c r="N97" s="93" t="s">
        <v>86</v>
      </c>
      <c r="O97" s="66"/>
      <c r="P97" s="66"/>
      <c r="Q97" s="66"/>
      <c r="R97" s="66"/>
      <c r="S97" s="66"/>
      <c r="T97" s="66"/>
      <c r="U97" s="66"/>
      <c r="V97" s="66"/>
      <c r="W97" s="86"/>
    </row>
    <row r="98" customFormat="false" ht="6" hidden="false" customHeight="true" outlineLevel="0" collapsed="false">
      <c r="A98" s="107"/>
      <c r="B98" s="66"/>
      <c r="C98" s="67"/>
      <c r="D98" s="67"/>
      <c r="E98" s="67"/>
      <c r="F98" s="67"/>
      <c r="G98" s="67"/>
      <c r="H98" s="67"/>
      <c r="I98" s="67"/>
      <c r="J98" s="67"/>
      <c r="K98" s="67"/>
      <c r="L98" s="67"/>
      <c r="M98" s="66"/>
      <c r="N98" s="66"/>
      <c r="O98" s="66"/>
      <c r="P98" s="66"/>
      <c r="Q98" s="66"/>
      <c r="R98" s="66"/>
      <c r="S98" s="66"/>
      <c r="T98" s="66"/>
      <c r="U98" s="66"/>
      <c r="V98" s="66"/>
      <c r="W98" s="86"/>
    </row>
    <row r="99" customFormat="false" ht="15" hidden="false" customHeight="false" outlineLevel="0" collapsed="false">
      <c r="A99" s="83"/>
      <c r="B99" s="66"/>
      <c r="C99" s="99" t="s">
        <v>29</v>
      </c>
      <c r="D99" s="100" t="n">
        <f aca="false">IF((D71+O85+D94-O71-D80-D85-O80)&gt;0,D71+O85+D94-O71-D80-D85-O80,0)</f>
        <v>333908</v>
      </c>
      <c r="E99" s="100"/>
      <c r="F99" s="100"/>
      <c r="G99" s="101" t="s">
        <v>30</v>
      </c>
      <c r="H99" s="102" t="n">
        <v>0</v>
      </c>
      <c r="I99" s="102" t="n">
        <v>0</v>
      </c>
      <c r="J99" s="66"/>
      <c r="K99" s="66"/>
      <c r="L99" s="67"/>
      <c r="M99" s="66"/>
      <c r="N99" s="99" t="s">
        <v>29</v>
      </c>
      <c r="O99" s="100" t="n">
        <f aca="false">'Profit &amp; Loss Acc'!C30</f>
        <v>0</v>
      </c>
      <c r="P99" s="100"/>
      <c r="Q99" s="100"/>
      <c r="R99" s="101" t="s">
        <v>30</v>
      </c>
      <c r="S99" s="102" t="n">
        <v>0</v>
      </c>
      <c r="T99" s="102" t="n">
        <v>0</v>
      </c>
      <c r="U99" s="66"/>
      <c r="V99" s="66"/>
      <c r="W99" s="86"/>
      <c r="Y99" s="110"/>
      <c r="Z99" s="110"/>
    </row>
    <row r="100" customFormat="false" ht="12" hidden="false" customHeight="true" outlineLevel="0" collapsed="false">
      <c r="A100" s="95"/>
      <c r="B100" s="96"/>
      <c r="C100" s="96"/>
      <c r="D100" s="96"/>
      <c r="E100" s="96"/>
      <c r="F100" s="96"/>
      <c r="G100" s="96"/>
      <c r="H100" s="96"/>
      <c r="I100" s="96"/>
      <c r="J100" s="96"/>
      <c r="K100" s="96"/>
      <c r="L100" s="96"/>
      <c r="M100" s="96"/>
      <c r="N100" s="96"/>
      <c r="O100" s="96"/>
      <c r="P100" s="96"/>
      <c r="Q100" s="96"/>
      <c r="R100" s="96"/>
      <c r="S100" s="96"/>
      <c r="T100" s="96"/>
      <c r="U100" s="96"/>
      <c r="V100" s="96"/>
      <c r="W100" s="97"/>
    </row>
    <row r="101" customFormat="false" ht="24.75" hidden="false" customHeight="true" outlineLevel="0" collapsed="false">
      <c r="A101" s="98" t="s">
        <v>87</v>
      </c>
      <c r="B101" s="98"/>
      <c r="C101" s="98"/>
      <c r="D101" s="98"/>
      <c r="E101" s="98"/>
      <c r="F101" s="98"/>
      <c r="G101" s="98"/>
      <c r="H101" s="98"/>
      <c r="I101" s="98"/>
      <c r="J101" s="98"/>
      <c r="K101" s="98"/>
      <c r="L101" s="98"/>
      <c r="M101" s="98"/>
      <c r="N101" s="98"/>
      <c r="O101" s="98"/>
      <c r="P101" s="98"/>
      <c r="Q101" s="98"/>
      <c r="R101" s="98"/>
      <c r="S101" s="98"/>
      <c r="T101" s="98"/>
      <c r="U101" s="98"/>
      <c r="V101" s="98"/>
      <c r="W101" s="98"/>
    </row>
    <row r="102" customFormat="false" ht="7.5" hidden="false" customHeight="true" outlineLevel="0" collapsed="false">
      <c r="A102" s="76"/>
      <c r="B102" s="77"/>
      <c r="C102" s="77"/>
      <c r="D102" s="77"/>
      <c r="E102" s="77"/>
      <c r="F102" s="77"/>
      <c r="G102" s="77"/>
      <c r="H102" s="77"/>
      <c r="I102" s="77"/>
      <c r="J102" s="77"/>
      <c r="K102" s="77"/>
      <c r="L102" s="77"/>
      <c r="M102" s="77"/>
      <c r="N102" s="77"/>
      <c r="O102" s="77"/>
      <c r="P102" s="77"/>
      <c r="Q102" s="77"/>
      <c r="R102" s="77"/>
      <c r="S102" s="77"/>
      <c r="T102" s="77"/>
      <c r="U102" s="77"/>
      <c r="V102" s="77"/>
      <c r="W102" s="78"/>
    </row>
    <row r="103" customFormat="false" ht="12" hidden="false" customHeight="false" outlineLevel="0" collapsed="false">
      <c r="A103" s="79" t="n">
        <v>30</v>
      </c>
      <c r="B103" s="66"/>
      <c r="C103" s="67" t="s">
        <v>88</v>
      </c>
      <c r="D103" s="67"/>
      <c r="E103" s="67"/>
      <c r="F103" s="67"/>
      <c r="G103" s="67"/>
      <c r="H103" s="67"/>
      <c r="I103" s="67"/>
      <c r="J103" s="67"/>
      <c r="K103" s="67"/>
      <c r="L103" s="79" t="n">
        <v>31</v>
      </c>
      <c r="M103" s="66"/>
      <c r="N103" s="67" t="s">
        <v>89</v>
      </c>
      <c r="O103" s="66"/>
      <c r="P103" s="66"/>
      <c r="Q103" s="66"/>
      <c r="R103" s="66"/>
      <c r="S103" s="66"/>
      <c r="T103" s="66"/>
      <c r="U103" s="66"/>
      <c r="V103" s="66"/>
      <c r="W103" s="86"/>
    </row>
    <row r="104" customFormat="false" ht="12" hidden="false" customHeight="true" outlineLevel="0" collapsed="false">
      <c r="A104" s="83"/>
      <c r="B104" s="66"/>
      <c r="C104" s="84" t="s">
        <v>90</v>
      </c>
      <c r="D104" s="113"/>
      <c r="E104" s="113"/>
      <c r="F104" s="113"/>
      <c r="G104" s="101"/>
      <c r="H104" s="104"/>
      <c r="I104" s="104"/>
      <c r="J104" s="66"/>
      <c r="K104" s="66"/>
      <c r="L104" s="67"/>
      <c r="M104" s="66"/>
      <c r="N104" s="67" t="s">
        <v>91</v>
      </c>
      <c r="O104" s="66"/>
      <c r="P104" s="66"/>
      <c r="Q104" s="66"/>
      <c r="R104" s="66"/>
      <c r="S104" s="66"/>
      <c r="T104" s="66"/>
      <c r="U104" s="66"/>
      <c r="V104" s="66"/>
      <c r="W104" s="86"/>
    </row>
    <row r="105" customFormat="false" ht="6" hidden="false" customHeight="true" outlineLevel="0" collapsed="false">
      <c r="A105" s="107"/>
      <c r="B105" s="66"/>
      <c r="C105" s="67"/>
      <c r="D105" s="67"/>
      <c r="E105" s="67"/>
      <c r="F105" s="67"/>
      <c r="G105" s="67"/>
      <c r="H105" s="67"/>
      <c r="I105" s="67"/>
      <c r="J105" s="67"/>
      <c r="K105" s="67"/>
      <c r="L105" s="67"/>
      <c r="M105" s="66"/>
      <c r="N105" s="66"/>
      <c r="O105" s="66"/>
      <c r="P105" s="66"/>
      <c r="Q105" s="66"/>
      <c r="R105" s="66"/>
      <c r="S105" s="66"/>
      <c r="T105" s="66"/>
      <c r="U105" s="66"/>
      <c r="V105" s="66"/>
      <c r="W105" s="86"/>
    </row>
    <row r="106" customFormat="false" ht="15" hidden="false" customHeight="false" outlineLevel="0" collapsed="false">
      <c r="A106" s="107"/>
      <c r="B106" s="66"/>
      <c r="C106" s="99" t="s">
        <v>29</v>
      </c>
      <c r="D106" s="100" t="n">
        <f aca="false">IF((D99+O99-O94)&gt;0,D99+O99-O94,0)</f>
        <v>333908</v>
      </c>
      <c r="E106" s="100"/>
      <c r="F106" s="100"/>
      <c r="G106" s="101" t="s">
        <v>30</v>
      </c>
      <c r="H106" s="102" t="n">
        <v>0</v>
      </c>
      <c r="I106" s="102" t="n">
        <v>0</v>
      </c>
      <c r="J106" s="67"/>
      <c r="K106" s="67"/>
      <c r="L106" s="67"/>
      <c r="M106" s="66"/>
      <c r="N106" s="99" t="s">
        <v>29</v>
      </c>
      <c r="O106" s="100" t="n">
        <f aca="false">IF((O71+D80+D85+O80-D71-O85-D94)&gt;=0,O71+D80+D85+O80-D71-O85-D94,0)</f>
        <v>0</v>
      </c>
      <c r="P106" s="100"/>
      <c r="Q106" s="100"/>
      <c r="R106" s="101" t="s">
        <v>30</v>
      </c>
      <c r="S106" s="102" t="n">
        <v>0</v>
      </c>
      <c r="T106" s="102" t="n">
        <v>0</v>
      </c>
      <c r="U106" s="66"/>
      <c r="V106" s="66"/>
      <c r="W106" s="86"/>
    </row>
    <row r="107" customFormat="false" ht="6" hidden="false" customHeight="true" outlineLevel="0" collapsed="false">
      <c r="A107" s="95"/>
      <c r="B107" s="96"/>
      <c r="C107" s="96"/>
      <c r="D107" s="96"/>
      <c r="E107" s="96"/>
      <c r="F107" s="96"/>
      <c r="G107" s="96"/>
      <c r="H107" s="96"/>
      <c r="I107" s="96"/>
      <c r="J107" s="96"/>
      <c r="K107" s="96"/>
      <c r="L107" s="96"/>
      <c r="M107" s="96"/>
      <c r="N107" s="114"/>
      <c r="O107" s="96"/>
      <c r="P107" s="96"/>
      <c r="Q107" s="96"/>
      <c r="R107" s="96"/>
      <c r="S107" s="96"/>
      <c r="T107" s="96"/>
      <c r="U107" s="96"/>
      <c r="V107" s="96"/>
      <c r="W107" s="97"/>
    </row>
    <row r="108" customFormat="false" ht="24.75" hidden="false" customHeight="true" outlineLevel="0" collapsed="false">
      <c r="A108" s="112" t="s">
        <v>92</v>
      </c>
      <c r="B108" s="112"/>
      <c r="C108" s="112"/>
      <c r="D108" s="112"/>
      <c r="E108" s="112"/>
      <c r="F108" s="112"/>
      <c r="G108" s="112"/>
      <c r="H108" s="112"/>
      <c r="I108" s="112"/>
      <c r="J108" s="112"/>
      <c r="K108" s="112"/>
      <c r="L108" s="112"/>
      <c r="M108" s="112"/>
      <c r="N108" s="112"/>
      <c r="O108" s="112"/>
      <c r="P108" s="112"/>
      <c r="Q108" s="112"/>
      <c r="R108" s="112"/>
      <c r="S108" s="112"/>
      <c r="T108" s="112"/>
      <c r="U108" s="112"/>
      <c r="V108" s="112"/>
      <c r="W108" s="112"/>
    </row>
    <row r="109" customFormat="false" ht="15.75" hidden="false" customHeight="true" outlineLevel="0" collapsed="false">
      <c r="A109" s="105" t="s">
        <v>93</v>
      </c>
      <c r="B109" s="105"/>
      <c r="C109" s="105"/>
      <c r="D109" s="105"/>
      <c r="E109" s="105"/>
      <c r="F109" s="105"/>
      <c r="G109" s="105"/>
      <c r="H109" s="105"/>
      <c r="I109" s="105"/>
      <c r="J109" s="105"/>
      <c r="K109" s="105"/>
      <c r="L109" s="105"/>
      <c r="M109" s="105"/>
      <c r="N109" s="105"/>
      <c r="O109" s="105"/>
      <c r="P109" s="105"/>
      <c r="Q109" s="105"/>
      <c r="R109" s="105"/>
      <c r="S109" s="105"/>
      <c r="T109" s="105"/>
      <c r="U109" s="105"/>
      <c r="V109" s="105"/>
      <c r="W109" s="105"/>
    </row>
    <row r="110" customFormat="false" ht="7.5" hidden="false" customHeight="true" outlineLevel="0" collapsed="false">
      <c r="A110" s="76"/>
      <c r="B110" s="77"/>
      <c r="C110" s="77"/>
      <c r="D110" s="77"/>
      <c r="E110" s="77"/>
      <c r="F110" s="77"/>
      <c r="G110" s="77"/>
      <c r="H110" s="77"/>
      <c r="I110" s="77"/>
      <c r="J110" s="77"/>
      <c r="K110" s="77"/>
      <c r="L110" s="77"/>
      <c r="M110" s="77"/>
      <c r="N110" s="77"/>
      <c r="O110" s="77"/>
      <c r="P110" s="77"/>
      <c r="Q110" s="77"/>
      <c r="R110" s="77"/>
      <c r="S110" s="77"/>
      <c r="T110" s="77"/>
      <c r="U110" s="77"/>
      <c r="V110" s="77"/>
      <c r="W110" s="78"/>
    </row>
    <row r="111" customFormat="false" ht="12" hidden="false" customHeight="false" outlineLevel="0" collapsed="false">
      <c r="A111" s="79" t="n">
        <v>32</v>
      </c>
      <c r="B111" s="66"/>
      <c r="C111" s="67" t="s">
        <v>94</v>
      </c>
      <c r="D111" s="67"/>
      <c r="E111" s="67"/>
      <c r="F111" s="67"/>
      <c r="G111" s="67"/>
      <c r="H111" s="67"/>
      <c r="I111" s="67"/>
      <c r="J111" s="67"/>
      <c r="K111" s="67"/>
      <c r="L111" s="79" t="n">
        <v>35</v>
      </c>
      <c r="M111" s="66"/>
      <c r="N111" s="67" t="s">
        <v>95</v>
      </c>
      <c r="O111" s="66"/>
      <c r="P111" s="66"/>
      <c r="Q111" s="66"/>
      <c r="R111" s="66"/>
      <c r="S111" s="66"/>
      <c r="T111" s="66"/>
      <c r="U111" s="66"/>
      <c r="V111" s="66"/>
      <c r="W111" s="86"/>
    </row>
    <row r="112" customFormat="false" ht="12" hidden="false" customHeight="false" outlineLevel="0" collapsed="false">
      <c r="A112" s="107"/>
      <c r="B112" s="66"/>
      <c r="C112" s="67" t="s">
        <v>96</v>
      </c>
      <c r="D112" s="115" t="str">
        <f aca="false">Admin!G$2</f>
        <v>2026-27</v>
      </c>
      <c r="E112" s="115"/>
      <c r="F112" s="115"/>
      <c r="G112" s="67"/>
      <c r="H112" s="67"/>
      <c r="I112" s="67"/>
      <c r="J112" s="67"/>
      <c r="K112" s="67"/>
      <c r="L112" s="67"/>
      <c r="M112" s="66"/>
      <c r="N112" s="67" t="s">
        <v>97</v>
      </c>
      <c r="O112" s="111"/>
      <c r="P112" s="111"/>
      <c r="Q112" s="111"/>
      <c r="R112" s="111"/>
      <c r="S112" s="111"/>
      <c r="T112" s="111"/>
      <c r="U112" s="111"/>
      <c r="V112" s="111"/>
      <c r="W112" s="86"/>
    </row>
    <row r="113" customFormat="false" ht="6" hidden="false" customHeight="true" outlineLevel="0" collapsed="false">
      <c r="A113" s="107"/>
      <c r="B113" s="66"/>
      <c r="C113" s="67"/>
      <c r="D113" s="67"/>
      <c r="E113" s="67"/>
      <c r="F113" s="67"/>
      <c r="G113" s="67"/>
      <c r="H113" s="67"/>
      <c r="I113" s="67"/>
      <c r="J113" s="67"/>
      <c r="K113" s="67"/>
      <c r="L113" s="67"/>
      <c r="M113" s="66"/>
      <c r="N113" s="66"/>
      <c r="O113" s="66"/>
      <c r="P113" s="66"/>
      <c r="Q113" s="66"/>
      <c r="R113" s="66"/>
      <c r="S113" s="66"/>
      <c r="T113" s="66"/>
      <c r="U113" s="66"/>
      <c r="V113" s="66"/>
      <c r="W113" s="86"/>
    </row>
    <row r="114" customFormat="false" ht="15" hidden="false" customHeight="false" outlineLevel="0" collapsed="false">
      <c r="A114" s="83"/>
      <c r="B114" s="66"/>
      <c r="C114" s="99" t="s">
        <v>29</v>
      </c>
      <c r="D114" s="100"/>
      <c r="E114" s="100"/>
      <c r="F114" s="100"/>
      <c r="G114" s="101" t="s">
        <v>30</v>
      </c>
      <c r="H114" s="102" t="n">
        <v>0</v>
      </c>
      <c r="I114" s="102" t="n">
        <v>0</v>
      </c>
      <c r="J114" s="66"/>
      <c r="K114" s="66"/>
      <c r="L114" s="66"/>
      <c r="M114" s="66"/>
      <c r="N114" s="79"/>
      <c r="O114" s="113"/>
      <c r="P114" s="113"/>
      <c r="Q114" s="113"/>
      <c r="R114" s="101"/>
      <c r="S114" s="104"/>
      <c r="T114" s="104"/>
      <c r="U114" s="66"/>
      <c r="V114" s="66"/>
      <c r="W114" s="86"/>
    </row>
    <row r="115" customFormat="false" ht="12" hidden="false" customHeight="false" outlineLevel="0" collapsed="false">
      <c r="A115" s="83"/>
      <c r="B115" s="66"/>
      <c r="C115" s="66"/>
      <c r="D115" s="66"/>
      <c r="E115" s="66"/>
      <c r="F115" s="66"/>
      <c r="G115" s="66"/>
      <c r="H115" s="66"/>
      <c r="I115" s="66"/>
      <c r="J115" s="66"/>
      <c r="K115" s="66"/>
      <c r="L115" s="66"/>
      <c r="M115" s="66"/>
      <c r="N115" s="66"/>
      <c r="O115" s="66"/>
      <c r="P115" s="66"/>
      <c r="Q115" s="66"/>
      <c r="R115" s="66"/>
      <c r="S115" s="66"/>
      <c r="T115" s="66"/>
      <c r="U115" s="66"/>
      <c r="V115" s="66"/>
      <c r="W115" s="86"/>
    </row>
    <row r="116" customFormat="false" ht="12" hidden="false" customHeight="false" outlineLevel="0" collapsed="false">
      <c r="A116" s="79" t="n">
        <v>33</v>
      </c>
      <c r="B116" s="66"/>
      <c r="C116" s="67" t="s">
        <v>98</v>
      </c>
      <c r="D116" s="67"/>
      <c r="E116" s="67"/>
      <c r="F116" s="67"/>
      <c r="G116" s="67"/>
      <c r="H116" s="67"/>
      <c r="I116" s="67"/>
      <c r="J116" s="67"/>
      <c r="K116" s="67"/>
      <c r="L116" s="79" t="n">
        <v>36</v>
      </c>
      <c r="M116" s="66"/>
      <c r="N116" s="67" t="s">
        <v>99</v>
      </c>
      <c r="O116" s="66"/>
      <c r="P116" s="66"/>
      <c r="Q116" s="66"/>
      <c r="R116" s="116"/>
      <c r="S116" s="116"/>
      <c r="T116" s="116"/>
      <c r="U116" s="67"/>
      <c r="V116" s="66"/>
      <c r="W116" s="86"/>
    </row>
    <row r="117" customFormat="false" ht="12" hidden="false" customHeight="true" outlineLevel="0" collapsed="false">
      <c r="A117" s="107"/>
      <c r="B117" s="66"/>
      <c r="C117" s="67" t="s">
        <v>100</v>
      </c>
      <c r="D117" s="67"/>
      <c r="E117" s="67"/>
      <c r="F117" s="67"/>
      <c r="G117" s="67"/>
      <c r="H117" s="67"/>
      <c r="I117" s="67"/>
      <c r="J117" s="67"/>
      <c r="K117" s="67"/>
      <c r="L117" s="67"/>
      <c r="M117" s="66"/>
      <c r="N117" s="67" t="s">
        <v>101</v>
      </c>
      <c r="O117" s="66"/>
      <c r="P117" s="66"/>
      <c r="Q117" s="66"/>
      <c r="R117" s="66"/>
      <c r="S117" s="66"/>
      <c r="T117" s="66"/>
      <c r="U117" s="66"/>
      <c r="V117" s="66"/>
      <c r="W117" s="86"/>
    </row>
    <row r="118" customFormat="false" ht="12" hidden="false" customHeight="true" outlineLevel="0" collapsed="false">
      <c r="A118" s="107"/>
      <c r="B118" s="66"/>
      <c r="C118" s="67"/>
      <c r="D118" s="67"/>
      <c r="E118" s="67"/>
      <c r="F118" s="67"/>
      <c r="G118" s="67"/>
      <c r="H118" s="67"/>
      <c r="I118" s="67"/>
      <c r="J118" s="67"/>
      <c r="K118" s="67"/>
      <c r="L118" s="67"/>
      <c r="M118" s="66"/>
      <c r="N118" s="94" t="s">
        <v>102</v>
      </c>
      <c r="O118" s="66"/>
      <c r="P118" s="66"/>
      <c r="Q118" s="66"/>
      <c r="R118" s="66"/>
      <c r="S118" s="66"/>
      <c r="T118" s="66"/>
      <c r="U118" s="66"/>
      <c r="V118" s="66"/>
      <c r="W118" s="86"/>
    </row>
    <row r="119" customFormat="false" ht="15" hidden="false" customHeight="false" outlineLevel="0" collapsed="false">
      <c r="A119" s="83"/>
      <c r="B119" s="66"/>
      <c r="C119" s="99" t="s">
        <v>29</v>
      </c>
      <c r="D119" s="100"/>
      <c r="E119" s="100"/>
      <c r="F119" s="100"/>
      <c r="G119" s="101" t="s">
        <v>30</v>
      </c>
      <c r="H119" s="102" t="n">
        <v>0</v>
      </c>
      <c r="I119" s="102" t="n">
        <v>0</v>
      </c>
      <c r="J119" s="66"/>
      <c r="K119" s="66"/>
      <c r="L119" s="67"/>
      <c r="M119" s="66"/>
      <c r="N119" s="79"/>
      <c r="O119" s="66"/>
      <c r="P119" s="66"/>
      <c r="Q119" s="66"/>
      <c r="R119" s="66"/>
      <c r="S119" s="66"/>
      <c r="T119" s="66"/>
      <c r="U119" s="66"/>
      <c r="V119" s="66"/>
      <c r="W119" s="86"/>
    </row>
    <row r="120" customFormat="false" ht="12" hidden="false" customHeight="false" outlineLevel="0" collapsed="false">
      <c r="A120" s="79" t="n">
        <v>34</v>
      </c>
      <c r="B120" s="66"/>
      <c r="C120" s="67" t="s">
        <v>103</v>
      </c>
      <c r="D120" s="67"/>
      <c r="E120" s="67"/>
      <c r="F120" s="67"/>
      <c r="G120" s="67"/>
      <c r="H120" s="67"/>
      <c r="I120" s="67"/>
      <c r="J120" s="67"/>
      <c r="K120" s="67"/>
      <c r="L120" s="79" t="n">
        <v>37</v>
      </c>
      <c r="M120" s="66"/>
      <c r="N120" s="67" t="s">
        <v>104</v>
      </c>
      <c r="O120" s="66"/>
      <c r="P120" s="66"/>
      <c r="Q120" s="66"/>
      <c r="R120" s="66"/>
      <c r="S120" s="66"/>
      <c r="T120" s="66"/>
      <c r="U120" s="66"/>
      <c r="V120" s="66"/>
      <c r="W120" s="86"/>
    </row>
    <row r="121" customFormat="false" ht="12" hidden="false" customHeight="true" outlineLevel="0" collapsed="false">
      <c r="A121" s="107"/>
      <c r="B121" s="66"/>
      <c r="C121" s="93" t="s">
        <v>105</v>
      </c>
      <c r="D121" s="67"/>
      <c r="E121" s="67"/>
      <c r="F121" s="67"/>
      <c r="G121" s="67"/>
      <c r="H121" s="67"/>
      <c r="I121" s="67"/>
      <c r="J121" s="67"/>
      <c r="K121" s="67"/>
      <c r="L121" s="67"/>
      <c r="M121" s="66"/>
      <c r="N121" s="67" t="s">
        <v>106</v>
      </c>
      <c r="O121" s="66"/>
      <c r="P121" s="66"/>
      <c r="Q121" s="66"/>
      <c r="R121" s="66"/>
      <c r="S121" s="66"/>
      <c r="T121" s="66"/>
      <c r="U121" s="66"/>
      <c r="V121" s="66"/>
      <c r="W121" s="86"/>
    </row>
    <row r="122" customFormat="false" ht="6" hidden="false" customHeight="true" outlineLevel="0" collapsed="false">
      <c r="A122" s="107"/>
      <c r="B122" s="66"/>
      <c r="C122" s="67"/>
      <c r="D122" s="67"/>
      <c r="E122" s="67"/>
      <c r="F122" s="67"/>
      <c r="G122" s="67"/>
      <c r="H122" s="67"/>
      <c r="I122" s="67"/>
      <c r="J122" s="67"/>
      <c r="K122" s="67"/>
      <c r="L122" s="67"/>
      <c r="M122" s="66"/>
      <c r="N122" s="66"/>
      <c r="O122" s="66"/>
      <c r="P122" s="66"/>
      <c r="Q122" s="66"/>
      <c r="R122" s="66"/>
      <c r="S122" s="66"/>
      <c r="T122" s="66"/>
      <c r="U122" s="66"/>
      <c r="V122" s="66"/>
      <c r="W122" s="86"/>
    </row>
    <row r="123" customFormat="false" ht="15" hidden="false" customHeight="false" outlineLevel="0" collapsed="false">
      <c r="A123" s="83"/>
      <c r="B123" s="66"/>
      <c r="C123" s="99" t="s">
        <v>29</v>
      </c>
      <c r="D123" s="100" t="n">
        <f aca="false">'Business Details'!O34</f>
        <v>0</v>
      </c>
      <c r="E123" s="100"/>
      <c r="F123" s="100"/>
      <c r="G123" s="101" t="s">
        <v>30</v>
      </c>
      <c r="H123" s="102" t="n">
        <v>0</v>
      </c>
      <c r="I123" s="102" t="n">
        <v>0</v>
      </c>
      <c r="J123" s="66"/>
      <c r="K123" s="66"/>
      <c r="L123" s="67"/>
      <c r="M123" s="66"/>
      <c r="N123" s="99" t="s">
        <v>29</v>
      </c>
      <c r="O123" s="100" t="n">
        <f aca="false">SalesMar!$K$1</f>
        <v>0</v>
      </c>
      <c r="P123" s="100"/>
      <c r="Q123" s="100"/>
      <c r="R123" s="101" t="s">
        <v>30</v>
      </c>
      <c r="S123" s="102" t="n">
        <v>0</v>
      </c>
      <c r="T123" s="102" t="n">
        <v>0</v>
      </c>
      <c r="U123" s="66"/>
      <c r="V123" s="66"/>
      <c r="W123" s="86"/>
    </row>
    <row r="124" customFormat="false" ht="12" hidden="false" customHeight="true" outlineLevel="0" collapsed="false">
      <c r="A124" s="95"/>
      <c r="B124" s="96"/>
      <c r="C124" s="96"/>
      <c r="D124" s="96"/>
      <c r="E124" s="96"/>
      <c r="F124" s="96"/>
      <c r="G124" s="96"/>
      <c r="H124" s="96"/>
      <c r="I124" s="96"/>
      <c r="J124" s="96"/>
      <c r="K124" s="96"/>
      <c r="L124" s="114"/>
      <c r="M124" s="96"/>
      <c r="N124" s="117"/>
      <c r="O124" s="118"/>
      <c r="P124" s="118"/>
      <c r="Q124" s="118"/>
      <c r="R124" s="119"/>
      <c r="S124" s="120"/>
      <c r="T124" s="120"/>
      <c r="U124" s="96"/>
      <c r="V124" s="96"/>
      <c r="W124" s="97"/>
    </row>
  </sheetData>
  <mergeCells count="67">
    <mergeCell ref="A1:F2"/>
    <mergeCell ref="G1:N2"/>
    <mergeCell ref="O1:W1"/>
    <mergeCell ref="O2:P2"/>
    <mergeCell ref="Q2:T2"/>
    <mergeCell ref="V2:W2"/>
    <mergeCell ref="A3:W3"/>
    <mergeCell ref="A4:W4"/>
    <mergeCell ref="C8:J8"/>
    <mergeCell ref="O8:P8"/>
    <mergeCell ref="R8:U8"/>
    <mergeCell ref="A10:W10"/>
    <mergeCell ref="C13:J13"/>
    <mergeCell ref="C15:J15"/>
    <mergeCell ref="C17:J17"/>
    <mergeCell ref="S17:V17"/>
    <mergeCell ref="N18:V18"/>
    <mergeCell ref="N20:Q20"/>
    <mergeCell ref="C22:D22"/>
    <mergeCell ref="S23:V23"/>
    <mergeCell ref="N26:Q26"/>
    <mergeCell ref="N31:Q31"/>
    <mergeCell ref="A33:W33"/>
    <mergeCell ref="D38:F38"/>
    <mergeCell ref="O38:Q38"/>
    <mergeCell ref="A40:W40"/>
    <mergeCell ref="A41:W41"/>
    <mergeCell ref="A42:W42"/>
    <mergeCell ref="D46:F46"/>
    <mergeCell ref="O46:Q46"/>
    <mergeCell ref="D51:F51"/>
    <mergeCell ref="O51:Q51"/>
    <mergeCell ref="D55:F55"/>
    <mergeCell ref="O55:Q55"/>
    <mergeCell ref="D60:F60"/>
    <mergeCell ref="O60:Q60"/>
    <mergeCell ref="D64:F64"/>
    <mergeCell ref="O64:Q64"/>
    <mergeCell ref="A66:W66"/>
    <mergeCell ref="D71:F71"/>
    <mergeCell ref="O71:Q71"/>
    <mergeCell ref="A73:W73"/>
    <mergeCell ref="A74:W74"/>
    <mergeCell ref="A75:W75"/>
    <mergeCell ref="A76:W76"/>
    <mergeCell ref="D80:F80"/>
    <mergeCell ref="O80:Q80"/>
    <mergeCell ref="D85:F85"/>
    <mergeCell ref="O85:Q85"/>
    <mergeCell ref="A87:W87"/>
    <mergeCell ref="A88:W88"/>
    <mergeCell ref="A89:W89"/>
    <mergeCell ref="D94:F94"/>
    <mergeCell ref="O94:Q94"/>
    <mergeCell ref="D99:F99"/>
    <mergeCell ref="O99:Q99"/>
    <mergeCell ref="A101:W101"/>
    <mergeCell ref="D106:F106"/>
    <mergeCell ref="O106:Q106"/>
    <mergeCell ref="A108:W108"/>
    <mergeCell ref="A109:W109"/>
    <mergeCell ref="D112:F112"/>
    <mergeCell ref="D114:F114"/>
    <mergeCell ref="R116:T116"/>
    <mergeCell ref="D119:F119"/>
    <mergeCell ref="D123:F123"/>
    <mergeCell ref="O123:Q123"/>
  </mergeCells>
  <printOptions headings="false" gridLines="false" gridLinesSet="true" horizontalCentered="true" verticalCentered="true"/>
  <pageMargins left="0.196527777777778" right="0.196527777777778" top="0.315277777777778" bottom="0.31527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121" width="20.82"/>
    <col collapsed="false" customWidth="true" hidden="true" outlineLevel="0" max="2" min="2" style="122" width="5.99"/>
    <col collapsed="false" customWidth="true" hidden="false" outlineLevel="0" max="3" min="3" style="123" width="11.66"/>
    <col collapsed="false" customWidth="true" hidden="false" outlineLevel="0" max="15" min="4" style="123" width="8.66"/>
    <col collapsed="false" customWidth="true" hidden="false" outlineLevel="0" max="16" min="16" style="121" width="1.66"/>
    <col collapsed="false" customWidth="false" hidden="false" outlineLevel="0" max="17" min="17" style="121" width="9.15"/>
    <col collapsed="false" customWidth="true" hidden="false" outlineLevel="0" max="18" min="18" style="121" width="1.66"/>
    <col collapsed="false" customWidth="true" hidden="false" outlineLevel="0" max="19" min="19" style="121" width="22.32"/>
    <col collapsed="false" customWidth="false" hidden="false" outlineLevel="0" max="20" min="20" style="121" width="9.15"/>
    <col collapsed="false" customWidth="true" hidden="false" outlineLevel="0" max="21" min="21" style="121" width="10.15"/>
    <col collapsed="false" customWidth="false" hidden="false" outlineLevel="0" max="24" min="22" style="121" width="9.15"/>
    <col collapsed="false" customWidth="true" hidden="false" outlineLevel="0" max="25" min="25" style="121" width="23.66"/>
    <col collapsed="false" customWidth="true" hidden="false" outlineLevel="0" max="26" min="26" style="121" width="1.66"/>
    <col collapsed="false" customWidth="false" hidden="false" outlineLevel="0" max="257" min="27" style="121" width="9.15"/>
  </cols>
  <sheetData>
    <row r="1" s="129" customFormat="true" ht="12" hidden="false" customHeight="true" outlineLevel="0" collapsed="false">
      <c r="A1" s="124" t="s">
        <v>107</v>
      </c>
      <c r="B1" s="125" t="s">
        <v>108</v>
      </c>
      <c r="C1" s="126" t="s">
        <v>109</v>
      </c>
      <c r="D1" s="127" t="n">
        <f aca="false">Admin!B5</f>
        <v>46142</v>
      </c>
      <c r="E1" s="127" t="n">
        <f aca="false">Admin!B6</f>
        <v>46173</v>
      </c>
      <c r="F1" s="127" t="n">
        <f aca="false">Admin!B7</f>
        <v>46203</v>
      </c>
      <c r="G1" s="127" t="n">
        <f aca="false">Admin!B8</f>
        <v>46234</v>
      </c>
      <c r="H1" s="127" t="n">
        <f aca="false">Admin!B9</f>
        <v>46265</v>
      </c>
      <c r="I1" s="127" t="n">
        <f aca="false">Admin!B10</f>
        <v>46295</v>
      </c>
      <c r="J1" s="127" t="n">
        <f aca="false">Admin!B11</f>
        <v>46326</v>
      </c>
      <c r="K1" s="127" t="n">
        <f aca="false">Admin!B12</f>
        <v>46356</v>
      </c>
      <c r="L1" s="127" t="n">
        <f aca="false">Admin!B13</f>
        <v>46387</v>
      </c>
      <c r="M1" s="127" t="n">
        <f aca="false">Admin!B14</f>
        <v>46418</v>
      </c>
      <c r="N1" s="127" t="n">
        <f aca="false">Admin!B15</f>
        <v>46446</v>
      </c>
      <c r="O1" s="127" t="n">
        <f aca="false">Admin!B16</f>
        <v>46477</v>
      </c>
      <c r="P1" s="128"/>
      <c r="R1" s="130"/>
      <c r="S1" s="131" t="s">
        <v>110</v>
      </c>
      <c r="T1" s="131" t="s">
        <v>111</v>
      </c>
      <c r="U1" s="131" t="s">
        <v>112</v>
      </c>
      <c r="V1" s="131" t="s">
        <v>113</v>
      </c>
      <c r="W1" s="131" t="s">
        <v>114</v>
      </c>
      <c r="X1" s="131" t="s">
        <v>115</v>
      </c>
      <c r="Y1" s="131" t="s">
        <v>116</v>
      </c>
      <c r="Z1" s="130"/>
    </row>
    <row r="2" customFormat="false" ht="12" hidden="false" customHeight="true" outlineLevel="0" collapsed="false">
      <c r="A2" s="124"/>
      <c r="B2" s="132"/>
      <c r="C2" s="133" t="str">
        <f aca="false">Admin!G2</f>
        <v>2026-27</v>
      </c>
      <c r="D2" s="127"/>
      <c r="E2" s="127"/>
      <c r="F2" s="127"/>
      <c r="G2" s="127"/>
      <c r="H2" s="127"/>
      <c r="I2" s="127"/>
      <c r="J2" s="127"/>
      <c r="K2" s="127"/>
      <c r="L2" s="127"/>
      <c r="M2" s="127"/>
      <c r="N2" s="127"/>
      <c r="O2" s="127"/>
      <c r="P2" s="130"/>
      <c r="R2" s="130"/>
      <c r="S2" s="131"/>
      <c r="T2" s="131"/>
      <c r="U2" s="131"/>
      <c r="V2" s="131"/>
      <c r="W2" s="131"/>
      <c r="X2" s="131"/>
      <c r="Y2" s="131"/>
      <c r="Z2" s="130"/>
    </row>
    <row r="3" s="137" customFormat="true" ht="6" hidden="false" customHeight="true" outlineLevel="0" collapsed="false">
      <c r="A3" s="130" t="str">
        <f aca="false">IF(C3=" "," ","Purchase analysis errors")</f>
        <v> </v>
      </c>
      <c r="B3" s="134"/>
      <c r="C3" s="135" t="str">
        <f aca="false">IF((SUM(D3:O3)&gt;1),ROUND(SUM(D3:O3),0)," ")</f>
        <v> </v>
      </c>
      <c r="D3" s="135" t="str">
        <f aca="false">IF((PurchasesApr!$E$1&gt;1),PurchasesApr!$E$1," ")</f>
        <v> </v>
      </c>
      <c r="E3" s="135" t="str">
        <f aca="false">IF((PurchasesMay!$E$1&gt;1),PurchasesMay!$E$1," ")</f>
        <v> </v>
      </c>
      <c r="F3" s="135" t="str">
        <f aca="false">IF((PurchasesJun!$E$1&gt;1),PurchasesJun!$E$1," ")</f>
        <v> </v>
      </c>
      <c r="G3" s="135" t="str">
        <f aca="false">IF((PurchasesJul!$E$1&gt;1),PurchasesJul!$E$1," ")</f>
        <v> </v>
      </c>
      <c r="H3" s="135" t="str">
        <f aca="false">IF((PurchasesAug!$E$1&gt;1),PurchasesAug!$E$1," ")</f>
        <v> </v>
      </c>
      <c r="I3" s="135" t="str">
        <f aca="false">IF((PurchasesSep!$E$1&gt;1),PurchasesSep!$E$1," ")</f>
        <v> </v>
      </c>
      <c r="J3" s="135" t="str">
        <f aca="false">IF((PurchasesOct!$E$1&gt;1),PurchasesOct!$E$1," ")</f>
        <v> </v>
      </c>
      <c r="K3" s="135" t="str">
        <f aca="false">IF((PurchasesNov!$E$1&gt;1),PurchasesNov!$E$1," ")</f>
        <v> </v>
      </c>
      <c r="L3" s="135" t="str">
        <f aca="false">IF((PurchasesDec!$E$1&gt;1),PurchasesDec!$E$1," ")</f>
        <v> </v>
      </c>
      <c r="M3" s="135" t="str">
        <f aca="false">IF((PurchasesJan!$E$1&gt;1),PurchasesJan!$E$1," ")</f>
        <v> </v>
      </c>
      <c r="N3" s="135" t="str">
        <f aca="false">IF((PurchasesFeb!$E$1&gt;1),PurchasesFeb!$E$1," ")</f>
        <v> </v>
      </c>
      <c r="O3" s="135" t="str">
        <f aca="false">IF((PurchasesMar!$E$1&gt;1),PurchasesMar!$E$1," ")</f>
        <v> </v>
      </c>
      <c r="P3" s="136"/>
      <c r="R3" s="130"/>
      <c r="S3" s="130"/>
      <c r="T3" s="130"/>
      <c r="U3" s="130"/>
      <c r="V3" s="130"/>
      <c r="W3" s="130"/>
      <c r="X3" s="130"/>
      <c r="Y3" s="130"/>
      <c r="Z3" s="130"/>
    </row>
    <row r="4" customFormat="false" ht="12.75" hidden="false" customHeight="false" outlineLevel="0" collapsed="false">
      <c r="A4" s="138" t="s">
        <v>117</v>
      </c>
      <c r="B4" s="139" t="n">
        <v>3.29</v>
      </c>
      <c r="C4" s="140" t="n">
        <f aca="false">ROUND(SUM(D4:O4),0)</f>
        <v>409900</v>
      </c>
      <c r="D4" s="123" t="n">
        <f aca="false">SalesApr!$F$1</f>
        <v>33400</v>
      </c>
      <c r="E4" s="123" t="n">
        <f aca="false">SalesMay!$F$1</f>
        <v>32920</v>
      </c>
      <c r="F4" s="123" t="n">
        <f aca="false">SalesJun!$F$1</f>
        <v>35200</v>
      </c>
      <c r="G4" s="123" t="n">
        <f aca="false">SalesJul!$F$1</f>
        <v>33760</v>
      </c>
      <c r="H4" s="123" t="n">
        <f aca="false">SalesAug!$F$1</f>
        <v>36020</v>
      </c>
      <c r="I4" s="123" t="n">
        <f aca="false">SalesSep!$F$1</f>
        <v>33760</v>
      </c>
      <c r="J4" s="123" t="n">
        <f aca="false">SalesOct!$F$1</f>
        <v>35560</v>
      </c>
      <c r="K4" s="123" t="n">
        <f aca="false">SalesNov!$F$1</f>
        <v>35320</v>
      </c>
      <c r="L4" s="123" t="n">
        <f aca="false">SalesDec!$F$1</f>
        <v>32800</v>
      </c>
      <c r="M4" s="123" t="n">
        <f aca="false">SalesJan!$F$1</f>
        <v>35440</v>
      </c>
      <c r="N4" s="123" t="n">
        <f aca="false">SalesFeb!$F$1</f>
        <v>34360</v>
      </c>
      <c r="O4" s="123" t="n">
        <f aca="false">SalesMar!$F$1</f>
        <v>31360</v>
      </c>
      <c r="P4" s="130"/>
      <c r="R4" s="130"/>
      <c r="S4" s="130" t="s">
        <v>118</v>
      </c>
      <c r="T4" s="141" t="n">
        <f aca="false">SUM(D4:F4)</f>
        <v>101520</v>
      </c>
      <c r="U4" s="141" t="n">
        <f aca="false">SUM(G4:I4)</f>
        <v>103540</v>
      </c>
      <c r="V4" s="141" t="n">
        <f aca="false">SUM(J4:L4)</f>
        <v>103680</v>
      </c>
      <c r="W4" s="141" t="n">
        <f aca="false">SUM(M4:O4)</f>
        <v>101160</v>
      </c>
      <c r="X4" s="142" t="n">
        <f aca="false">SUM(T4:W4)</f>
        <v>409900</v>
      </c>
      <c r="Y4" s="130"/>
      <c r="Z4" s="130"/>
    </row>
    <row r="5" customFormat="false" ht="13.5" hidden="false" customHeight="true" outlineLevel="0" collapsed="false">
      <c r="A5" s="143"/>
      <c r="B5" s="144"/>
      <c r="C5" s="145"/>
      <c r="D5" s="146"/>
      <c r="E5" s="146"/>
      <c r="F5" s="146"/>
      <c r="G5" s="146"/>
      <c r="H5" s="146"/>
      <c r="I5" s="146"/>
      <c r="J5" s="146"/>
      <c r="K5" s="146"/>
      <c r="L5" s="146"/>
      <c r="M5" s="146"/>
      <c r="N5" s="146"/>
      <c r="O5" s="146"/>
      <c r="P5" s="130"/>
      <c r="R5" s="130"/>
      <c r="S5" s="130" t="s">
        <v>119</v>
      </c>
      <c r="T5" s="141" t="n">
        <f aca="false">SUM(D30:F30)</f>
        <v>0</v>
      </c>
      <c r="U5" s="141" t="n">
        <f aca="false">SUM(G30:I30)</f>
        <v>0</v>
      </c>
      <c r="V5" s="141" t="n">
        <f aca="false">SUM(J30:L30)</f>
        <v>0</v>
      </c>
      <c r="W5" s="141" t="n">
        <f aca="false">SUM(M30:O30)</f>
        <v>0</v>
      </c>
      <c r="X5" s="142" t="n">
        <f aca="false">SUM(T5:W5)</f>
        <v>0</v>
      </c>
      <c r="Y5" s="130"/>
      <c r="Z5" s="130"/>
    </row>
    <row r="6" customFormat="false" ht="12.75" hidden="false" customHeight="false" outlineLevel="0" collapsed="false">
      <c r="A6" s="130" t="s">
        <v>120</v>
      </c>
      <c r="B6" s="122" t="n">
        <v>3.46</v>
      </c>
      <c r="C6" s="147" t="n">
        <f aca="false">ROUND(SUM(D6:O6),0)</f>
        <v>10540</v>
      </c>
      <c r="D6" s="123" t="n">
        <f aca="false">PurchasesApr!$J$1+PurchasesStock!$D$5-PurchasesStock!$D$7</f>
        <v>600</v>
      </c>
      <c r="E6" s="123" t="n">
        <f aca="false">PurchasesMay!$J$1+PurchasesStock!$D$7-PurchasesStock!$D$9</f>
        <v>720</v>
      </c>
      <c r="F6" s="123" t="n">
        <f aca="false">PurchasesJun!$J$1+PurchasesStock!$D$9-PurchasesStock!$D$11</f>
        <v>360</v>
      </c>
      <c r="G6" s="123" t="n">
        <f aca="false">PurchasesJul!$J$1+PurchasesStock!$D$11-PurchasesStock!$D$13</f>
        <v>720</v>
      </c>
      <c r="H6" s="123" t="n">
        <f aca="false">PurchasesAug!$J$1+PurchasesStock!$D$13-PurchasesStock!$D$15</f>
        <v>540</v>
      </c>
      <c r="I6" s="123" t="n">
        <f aca="false">PurchasesSep!$J$1+PurchasesStock!$D$15-PurchasesStock!$D$17</f>
        <v>240</v>
      </c>
      <c r="J6" s="123" t="n">
        <f aca="false">PurchasesOct!$J$1+PurchasesStock!$D$17-PurchasesStock!$D$19</f>
        <v>480</v>
      </c>
      <c r="K6" s="123" t="n">
        <f aca="false">PurchasesNov!$J$1+PurchasesStock!$D$19-PurchasesStock!$D$21</f>
        <v>840</v>
      </c>
      <c r="L6" s="123" t="n">
        <f aca="false">PurchasesDec!$J$1+PurchasesStock!$D$21-PurchasesStock!$D$23</f>
        <v>480</v>
      </c>
      <c r="M6" s="123" t="n">
        <f aca="false">PurchasesJan!$J$1+PurchasesStock!$D$23-PurchasesStock!$D$25</f>
        <v>600</v>
      </c>
      <c r="N6" s="123" t="n">
        <f aca="false">PurchasesFeb!$J$1+PurchasesStock!$D$25-PurchasesStock!$D$27</f>
        <v>660</v>
      </c>
      <c r="O6" s="123" t="n">
        <f aca="false">PurchasesMar!$J$1+PurchasesStock!$D$27-PurchasesStock!$D$30</f>
        <v>4300</v>
      </c>
      <c r="P6" s="130"/>
      <c r="R6" s="130"/>
      <c r="S6" s="130" t="s">
        <v>121</v>
      </c>
      <c r="T6" s="141" t="n">
        <f aca="false">SUM(D6:F7)</f>
        <v>6680</v>
      </c>
      <c r="U6" s="141" t="n">
        <f aca="false">SUM(G6:I7)</f>
        <v>1500</v>
      </c>
      <c r="V6" s="141" t="n">
        <f aca="false">SUM(J6:L7)</f>
        <v>4800</v>
      </c>
      <c r="W6" s="141" t="n">
        <f aca="false">SUM(M6:O7)</f>
        <v>5560</v>
      </c>
      <c r="X6" s="142" t="n">
        <f aca="false">SUM(T6:W6)</f>
        <v>18540</v>
      </c>
      <c r="Y6" s="130"/>
      <c r="Z6" s="130"/>
    </row>
    <row r="7" s="149" customFormat="true" ht="12.75" hidden="false" customHeight="false" outlineLevel="0" collapsed="false">
      <c r="A7" s="148" t="s">
        <v>122</v>
      </c>
      <c r="B7" s="122" t="n">
        <v>3.48</v>
      </c>
      <c r="C7" s="147" t="n">
        <f aca="false">ROUND(SUM(D7:O7),0)</f>
        <v>8000</v>
      </c>
      <c r="D7" s="123" t="n">
        <f aca="false">PurchasesApr!$K$1</f>
        <v>0</v>
      </c>
      <c r="E7" s="123" t="n">
        <f aca="false">PurchasesMay!$K$1</f>
        <v>0</v>
      </c>
      <c r="F7" s="123" t="n">
        <f aca="false">PurchasesJun!$K$1</f>
        <v>5000</v>
      </c>
      <c r="G7" s="123" t="n">
        <f aca="false">PurchasesJul!$K$1</f>
        <v>0</v>
      </c>
      <c r="H7" s="123" t="n">
        <f aca="false">PurchasesAug!$K$1</f>
        <v>0</v>
      </c>
      <c r="I7" s="123" t="n">
        <f aca="false">PurchasesSep!$K$1</f>
        <v>0</v>
      </c>
      <c r="J7" s="123" t="n">
        <f aca="false">PurchasesOct!$K$1</f>
        <v>0</v>
      </c>
      <c r="K7" s="123" t="n">
        <f aca="false">PurchasesNov!$K$1</f>
        <v>3000</v>
      </c>
      <c r="L7" s="123" t="n">
        <f aca="false">PurchasesDec!$K$1</f>
        <v>0</v>
      </c>
      <c r="M7" s="123" t="n">
        <f aca="false">PurchasesJan!$K$1</f>
        <v>0</v>
      </c>
      <c r="N7" s="123" t="n">
        <f aca="false">PurchasesFeb!$K$1</f>
        <v>0</v>
      </c>
      <c r="O7" s="123" t="n">
        <f aca="false">PurchasesMar!$K$1</f>
        <v>0</v>
      </c>
      <c r="P7" s="148"/>
      <c r="R7" s="130"/>
      <c r="S7" s="130"/>
      <c r="T7" s="130"/>
      <c r="U7" s="130"/>
      <c r="V7" s="130"/>
      <c r="W7" s="130"/>
      <c r="X7" s="130"/>
      <c r="Y7" s="130"/>
      <c r="Z7" s="130"/>
    </row>
    <row r="8" customFormat="false" ht="6" hidden="false" customHeight="true" outlineLevel="0" collapsed="false">
      <c r="A8" s="130"/>
      <c r="C8" s="146"/>
      <c r="D8" s="146"/>
      <c r="E8" s="146"/>
      <c r="F8" s="146"/>
      <c r="G8" s="146"/>
      <c r="H8" s="146"/>
      <c r="I8" s="146"/>
      <c r="J8" s="146"/>
      <c r="K8" s="146"/>
      <c r="L8" s="146"/>
      <c r="M8" s="146"/>
      <c r="N8" s="146"/>
      <c r="O8" s="146"/>
      <c r="P8" s="130"/>
      <c r="R8" s="130"/>
      <c r="S8" s="130"/>
      <c r="T8" s="130"/>
      <c r="U8" s="130"/>
      <c r="V8" s="130"/>
      <c r="W8" s="130"/>
      <c r="X8" s="130"/>
      <c r="Y8" s="130"/>
      <c r="Z8" s="130"/>
    </row>
    <row r="9" customFormat="false" ht="12.75" hidden="false" customHeight="false" outlineLevel="0" collapsed="false">
      <c r="A9" s="150" t="s">
        <v>123</v>
      </c>
      <c r="B9" s="151" t="n">
        <v>3.49</v>
      </c>
      <c r="C9" s="140" t="n">
        <f aca="false">ROUND((C4-C6-C7),0)</f>
        <v>391360</v>
      </c>
      <c r="D9" s="152" t="n">
        <f aca="false">D4-D6-D7</f>
        <v>32800</v>
      </c>
      <c r="E9" s="152" t="n">
        <f aca="false">E4-E6-E7</f>
        <v>32200</v>
      </c>
      <c r="F9" s="152" t="n">
        <f aca="false">F4-F6-F7</f>
        <v>29840</v>
      </c>
      <c r="G9" s="152" t="n">
        <f aca="false">G4-G6-G7</f>
        <v>33040</v>
      </c>
      <c r="H9" s="152" t="n">
        <f aca="false">H4-H6-H7</f>
        <v>35480</v>
      </c>
      <c r="I9" s="152" t="n">
        <f aca="false">I4-I6-I7</f>
        <v>33520</v>
      </c>
      <c r="J9" s="152" t="n">
        <f aca="false">J4-J6-J7</f>
        <v>35080</v>
      </c>
      <c r="K9" s="152" t="n">
        <f aca="false">K4-K6-K7</f>
        <v>31480</v>
      </c>
      <c r="L9" s="152" t="n">
        <f aca="false">L4-L6-L7</f>
        <v>32320</v>
      </c>
      <c r="M9" s="152" t="n">
        <f aca="false">M4-M6-M7</f>
        <v>34840</v>
      </c>
      <c r="N9" s="152" t="n">
        <f aca="false">N4-N6-N7</f>
        <v>33700</v>
      </c>
      <c r="O9" s="152" t="n">
        <f aca="false">O4-O6-O7</f>
        <v>27060</v>
      </c>
      <c r="P9" s="130"/>
      <c r="R9" s="130"/>
      <c r="S9" s="153" t="s">
        <v>124</v>
      </c>
      <c r="T9" s="130"/>
      <c r="U9" s="130"/>
      <c r="V9" s="130"/>
      <c r="W9" s="130"/>
      <c r="X9" s="130"/>
      <c r="Y9" s="130"/>
      <c r="Z9" s="130"/>
    </row>
    <row r="10" customFormat="false" ht="6" hidden="false" customHeight="true" outlineLevel="0" collapsed="false">
      <c r="A10" s="154"/>
      <c r="C10" s="145"/>
      <c r="D10" s="145"/>
      <c r="E10" s="145"/>
      <c r="F10" s="145"/>
      <c r="G10" s="145"/>
      <c r="H10" s="145"/>
      <c r="I10" s="145"/>
      <c r="J10" s="145"/>
      <c r="K10" s="145"/>
      <c r="L10" s="145"/>
      <c r="M10" s="145"/>
      <c r="N10" s="145"/>
      <c r="O10" s="145"/>
      <c r="P10" s="130"/>
      <c r="R10" s="130"/>
      <c r="S10" s="130"/>
      <c r="T10" s="130"/>
      <c r="U10" s="130"/>
      <c r="V10" s="130"/>
      <c r="W10" s="130"/>
      <c r="X10" s="130"/>
      <c r="Y10" s="130"/>
      <c r="Z10" s="130"/>
    </row>
    <row r="11" customFormat="false" ht="12.75" hidden="false" customHeight="false" outlineLevel="0" collapsed="false">
      <c r="A11" s="130" t="s">
        <v>125</v>
      </c>
      <c r="B11" s="122" t="n">
        <v>3.51</v>
      </c>
      <c r="C11" s="147" t="n">
        <f aca="false">ROUND(SUM(D11:O11),0)</f>
        <v>800</v>
      </c>
      <c r="D11" s="152" t="n">
        <f aca="false">PurchasesApr!$L$1</f>
        <v>0</v>
      </c>
      <c r="E11" s="152" t="n">
        <f aca="false">PurchasesMay!$L$1</f>
        <v>0</v>
      </c>
      <c r="F11" s="152" t="n">
        <f aca="false">PurchasesJun!$L$1</f>
        <v>0</v>
      </c>
      <c r="G11" s="152" t="n">
        <f aca="false">PurchasesJul!$L$1</f>
        <v>0</v>
      </c>
      <c r="H11" s="152" t="n">
        <f aca="false">PurchasesAug!$L$1</f>
        <v>800</v>
      </c>
      <c r="I11" s="152" t="n">
        <f aca="false">PurchasesSep!$L$1</f>
        <v>0</v>
      </c>
      <c r="J11" s="152" t="n">
        <f aca="false">PurchasesOct!$L$1</f>
        <v>0</v>
      </c>
      <c r="K11" s="152" t="n">
        <f aca="false">PurchasesNov!$L$1</f>
        <v>0</v>
      </c>
      <c r="L11" s="152" t="n">
        <f aca="false">PurchasesDec!$L$1</f>
        <v>0</v>
      </c>
      <c r="M11" s="152" t="n">
        <f aca="false">PurchasesJan!$L$1</f>
        <v>0</v>
      </c>
      <c r="N11" s="152" t="n">
        <f aca="false">PurchasesFeb!$L$1</f>
        <v>0</v>
      </c>
      <c r="O11" s="152" t="n">
        <f aca="false">PurchasesMar!$L$1</f>
        <v>0</v>
      </c>
      <c r="P11" s="130"/>
      <c r="R11" s="130"/>
      <c r="S11" s="130" t="s">
        <v>126</v>
      </c>
      <c r="T11" s="142" t="n">
        <f aca="false">SUM(D11:F11)</f>
        <v>0</v>
      </c>
      <c r="U11" s="142" t="n">
        <f aca="false">SUM(G11:I11)</f>
        <v>800</v>
      </c>
      <c r="V11" s="142" t="n">
        <f aca="false">SUM(J11:L11)</f>
        <v>0</v>
      </c>
      <c r="W11" s="142" t="n">
        <f aca="false">SUM(M11:O11)</f>
        <v>0</v>
      </c>
      <c r="X11" s="142" t="n">
        <f aca="false">SUM(T11:W11)</f>
        <v>800</v>
      </c>
      <c r="Y11" s="130"/>
      <c r="Z11" s="130"/>
    </row>
    <row r="12" customFormat="false" ht="12.75" hidden="false" customHeight="false" outlineLevel="0" collapsed="false">
      <c r="A12" s="130" t="s">
        <v>127</v>
      </c>
      <c r="B12" s="122" t="n">
        <v>3.52</v>
      </c>
      <c r="C12" s="147" t="n">
        <f aca="false">ROUND(SUM(D12:O12),0)</f>
        <v>15840</v>
      </c>
      <c r="D12" s="152" t="n">
        <f aca="false">PurchasesApr!$M$1</f>
        <v>1200</v>
      </c>
      <c r="E12" s="152" t="n">
        <f aca="false">PurchasesMay!$M$1</f>
        <v>1200</v>
      </c>
      <c r="F12" s="152" t="n">
        <f aca="false">PurchasesJun!$M$1</f>
        <v>1560</v>
      </c>
      <c r="G12" s="152" t="n">
        <f aca="false">PurchasesJul!$M$1</f>
        <v>1200</v>
      </c>
      <c r="H12" s="152" t="n">
        <f aca="false">PurchasesAug!$M$1</f>
        <v>1200</v>
      </c>
      <c r="I12" s="152" t="n">
        <f aca="false">PurchasesSep!$M$1</f>
        <v>1500</v>
      </c>
      <c r="J12" s="152" t="n">
        <f aca="false">PurchasesOct!$M$1</f>
        <v>1200</v>
      </c>
      <c r="K12" s="152" t="n">
        <f aca="false">PurchasesNov!$M$1</f>
        <v>1200</v>
      </c>
      <c r="L12" s="152" t="n">
        <f aca="false">PurchasesDec!$M$1</f>
        <v>1620</v>
      </c>
      <c r="M12" s="152" t="n">
        <f aca="false">PurchasesJan!$M$1</f>
        <v>1200</v>
      </c>
      <c r="N12" s="152" t="n">
        <f aca="false">PurchasesFeb!$M$1</f>
        <v>1200</v>
      </c>
      <c r="O12" s="152" t="n">
        <f aca="false">PurchasesMar!$M$1</f>
        <v>1560</v>
      </c>
      <c r="P12" s="130"/>
      <c r="R12" s="130"/>
      <c r="S12" s="130" t="s">
        <v>128</v>
      </c>
      <c r="T12" s="142" t="n">
        <f aca="false">SUM(D12:F12)</f>
        <v>3960</v>
      </c>
      <c r="U12" s="142" t="n">
        <f aca="false">SUM(G12:I12)</f>
        <v>3900</v>
      </c>
      <c r="V12" s="142" t="n">
        <f aca="false">SUM(J12:L12)</f>
        <v>4020</v>
      </c>
      <c r="W12" s="142" t="n">
        <f aca="false">SUM(M12:O12)</f>
        <v>3960</v>
      </c>
      <c r="X12" s="142" t="n">
        <f aca="false">SUM(T12:W12)</f>
        <v>15840</v>
      </c>
      <c r="Y12" s="130"/>
      <c r="Z12" s="130"/>
    </row>
    <row r="13" customFormat="false" ht="12.75" hidden="false" customHeight="false" outlineLevel="0" collapsed="false">
      <c r="A13" s="130" t="s">
        <v>129</v>
      </c>
      <c r="B13" s="122" t="n">
        <v>3.53</v>
      </c>
      <c r="C13" s="147" t="n">
        <f aca="false">ROUND(SUM(D13:O13),0)</f>
        <v>1140</v>
      </c>
      <c r="D13" s="152" t="n">
        <f aca="false">PurchasesApr!$N$1</f>
        <v>120</v>
      </c>
      <c r="E13" s="152" t="n">
        <f aca="false">PurchasesMay!$N$1</f>
        <v>0</v>
      </c>
      <c r="F13" s="152" t="n">
        <f aca="false">PurchasesJun!$N$1</f>
        <v>0</v>
      </c>
      <c r="G13" s="152" t="n">
        <f aca="false">PurchasesJul!$N$1</f>
        <v>180</v>
      </c>
      <c r="H13" s="152" t="n">
        <f aca="false">PurchasesAug!$N$1</f>
        <v>240</v>
      </c>
      <c r="I13" s="152" t="n">
        <f aca="false">PurchasesSep!$N$1</f>
        <v>0</v>
      </c>
      <c r="J13" s="152" t="n">
        <f aca="false">PurchasesOct!$N$1</f>
        <v>96</v>
      </c>
      <c r="K13" s="152" t="n">
        <f aca="false">PurchasesNov!$N$1</f>
        <v>0</v>
      </c>
      <c r="L13" s="152" t="n">
        <f aca="false">PurchasesDec!$N$1</f>
        <v>0</v>
      </c>
      <c r="M13" s="152" t="n">
        <f aca="false">PurchasesJan!$N$1</f>
        <v>144</v>
      </c>
      <c r="N13" s="152" t="n">
        <f aca="false">PurchasesFeb!$N$1</f>
        <v>360</v>
      </c>
      <c r="O13" s="152" t="n">
        <f aca="false">PurchasesMar!$N$1</f>
        <v>0</v>
      </c>
      <c r="P13" s="130"/>
      <c r="R13" s="130"/>
      <c r="S13" s="130" t="s">
        <v>130</v>
      </c>
      <c r="T13" s="142" t="n">
        <f aca="false">SUM(D13:F13)</f>
        <v>120</v>
      </c>
      <c r="U13" s="142" t="n">
        <f aca="false">SUM(G13:I13)</f>
        <v>420</v>
      </c>
      <c r="V13" s="142" t="n">
        <f aca="false">SUM(J13:L13)</f>
        <v>96</v>
      </c>
      <c r="W13" s="142" t="n">
        <f aca="false">SUM(M13:O13)</f>
        <v>504</v>
      </c>
      <c r="X13" s="142" t="n">
        <f aca="false">SUM(T13:W13)</f>
        <v>1140</v>
      </c>
      <c r="Y13" s="130"/>
      <c r="Z13" s="130"/>
    </row>
    <row r="14" customFormat="false" ht="12.75" hidden="false" customHeight="false" outlineLevel="0" collapsed="false">
      <c r="A14" s="130" t="s">
        <v>131</v>
      </c>
      <c r="B14" s="122" t="n">
        <v>3.54</v>
      </c>
      <c r="C14" s="147" t="n">
        <f aca="false">ROUND(SUM(D14:O14),0)</f>
        <v>1962</v>
      </c>
      <c r="D14" s="152" t="n">
        <f aca="false">PurchasesApr!$O$1</f>
        <v>135</v>
      </c>
      <c r="E14" s="152" t="n">
        <f aca="false">PurchasesMay!$O$1</f>
        <v>153</v>
      </c>
      <c r="F14" s="152" t="n">
        <f aca="false">PurchasesJun!$O$1</f>
        <v>231</v>
      </c>
      <c r="G14" s="152" t="n">
        <f aca="false">PurchasesJul!$O$1</f>
        <v>159</v>
      </c>
      <c r="H14" s="152" t="n">
        <f aca="false">PurchasesAug!$O$1</f>
        <v>135</v>
      </c>
      <c r="I14" s="152" t="n">
        <f aca="false">PurchasesSep!$O$1</f>
        <v>147</v>
      </c>
      <c r="J14" s="152" t="n">
        <f aca="false">PurchasesOct!$O$1</f>
        <v>135</v>
      </c>
      <c r="K14" s="152" t="n">
        <f aca="false">PurchasesNov!$O$1</f>
        <v>165</v>
      </c>
      <c r="L14" s="152" t="n">
        <f aca="false">PurchasesDec!$O$1</f>
        <v>255</v>
      </c>
      <c r="M14" s="152" t="n">
        <f aca="false">PurchasesJan!$O$1</f>
        <v>153</v>
      </c>
      <c r="N14" s="152" t="n">
        <f aca="false">PurchasesFeb!$O$1</f>
        <v>135</v>
      </c>
      <c r="O14" s="152" t="n">
        <f aca="false">PurchasesMar!$O$1</f>
        <v>159</v>
      </c>
      <c r="P14" s="130"/>
      <c r="R14" s="130"/>
      <c r="S14" s="130" t="s">
        <v>132</v>
      </c>
      <c r="T14" s="142" t="n">
        <f aca="false">SUM(D14:F14)</f>
        <v>519</v>
      </c>
      <c r="U14" s="142" t="n">
        <f aca="false">SUM(G14:I14)</f>
        <v>441</v>
      </c>
      <c r="V14" s="142" t="n">
        <f aca="false">SUM(J14:L14)</f>
        <v>555</v>
      </c>
      <c r="W14" s="142" t="n">
        <f aca="false">SUM(M14:O14)</f>
        <v>447</v>
      </c>
      <c r="X14" s="142" t="n">
        <f aca="false">SUM(T14:W14)</f>
        <v>1962</v>
      </c>
      <c r="Y14" s="130"/>
      <c r="Z14" s="130"/>
    </row>
    <row r="15" customFormat="false" ht="12.75" hidden="false" customHeight="false" outlineLevel="0" collapsed="false">
      <c r="A15" s="130" t="s">
        <v>133</v>
      </c>
      <c r="B15" s="122" t="n">
        <v>3.55</v>
      </c>
      <c r="C15" s="147" t="n">
        <f aca="false">ROUND(SUM(D15:O15),0)</f>
        <v>7598</v>
      </c>
      <c r="D15" s="152" t="n">
        <f aca="false">PurchasesApr!$P$1</f>
        <v>602.25</v>
      </c>
      <c r="E15" s="152" t="n">
        <f aca="false">PurchasesMay!$P$1</f>
        <v>666</v>
      </c>
      <c r="F15" s="152" t="n">
        <f aca="false">PurchasesJun!$P$1</f>
        <v>654</v>
      </c>
      <c r="G15" s="152" t="n">
        <f aca="false">PurchasesJul!$P$1</f>
        <v>584.25</v>
      </c>
      <c r="H15" s="152" t="n">
        <f aca="false">PurchasesAug!$P$1</f>
        <v>602.25</v>
      </c>
      <c r="I15" s="152" t="n">
        <f aca="false">PurchasesSep!$P$1</f>
        <v>708</v>
      </c>
      <c r="J15" s="152" t="n">
        <f aca="false">PurchasesOct!$P$1</f>
        <v>606.75</v>
      </c>
      <c r="K15" s="152" t="n">
        <f aca="false">PurchasesNov!$P$1</f>
        <v>645</v>
      </c>
      <c r="L15" s="152" t="n">
        <f aca="false">PurchasesDec!$P$1</f>
        <v>613.5</v>
      </c>
      <c r="M15" s="152" t="n">
        <f aca="false">PurchasesJan!$P$1</f>
        <v>638.25</v>
      </c>
      <c r="N15" s="152" t="n">
        <f aca="false">PurchasesFeb!$P$1</f>
        <v>595.5</v>
      </c>
      <c r="O15" s="152" t="n">
        <f aca="false">PurchasesMar!$P$1</f>
        <v>682.5</v>
      </c>
      <c r="P15" s="130"/>
      <c r="R15" s="130"/>
      <c r="S15" s="130" t="s">
        <v>134</v>
      </c>
      <c r="T15" s="142" t="n">
        <f aca="false">SUM(D15:F15)</f>
        <v>1922.25</v>
      </c>
      <c r="U15" s="142" t="n">
        <f aca="false">SUM(G15:I15)</f>
        <v>1894.5</v>
      </c>
      <c r="V15" s="142" t="n">
        <f aca="false">SUM(J15:L15)</f>
        <v>1865.25</v>
      </c>
      <c r="W15" s="142" t="n">
        <f aca="false">SUM(M15:O15)</f>
        <v>1916.25</v>
      </c>
      <c r="X15" s="142" t="n">
        <f aca="false">SUM(T15:W15)</f>
        <v>7598.25</v>
      </c>
      <c r="Y15" s="130"/>
      <c r="Z15" s="130"/>
    </row>
    <row r="16" customFormat="false" ht="12.75" hidden="false" customHeight="false" outlineLevel="0" collapsed="false">
      <c r="A16" s="130" t="s">
        <v>135</v>
      </c>
      <c r="B16" s="122" t="n">
        <v>3.56</v>
      </c>
      <c r="C16" s="147" t="n">
        <f aca="false">ROUND(SUM(D16:O16),0)</f>
        <v>1860</v>
      </c>
      <c r="D16" s="152" t="n">
        <f aca="false">PurchasesApr!$Q$1</f>
        <v>92</v>
      </c>
      <c r="E16" s="152" t="n">
        <f aca="false">PurchasesMay!$Q$1</f>
        <v>152</v>
      </c>
      <c r="F16" s="152" t="n">
        <f aca="false">PurchasesJun!$Q$1</f>
        <v>272</v>
      </c>
      <c r="G16" s="152" t="n">
        <f aca="false">PurchasesJul!$Q$1</f>
        <v>92</v>
      </c>
      <c r="H16" s="152" t="n">
        <f aca="false">PurchasesAug!$Q$1</f>
        <v>140</v>
      </c>
      <c r="I16" s="152" t="n">
        <f aca="false">PurchasesSep!$Q$1</f>
        <v>92</v>
      </c>
      <c r="J16" s="152" t="n">
        <f aca="false">PurchasesOct!$Q$1</f>
        <v>212</v>
      </c>
      <c r="K16" s="152" t="n">
        <f aca="false">PurchasesNov!$Q$1</f>
        <v>164</v>
      </c>
      <c r="L16" s="152" t="n">
        <f aca="false">PurchasesDec!$Q$1</f>
        <v>92</v>
      </c>
      <c r="M16" s="152" t="n">
        <f aca="false">PurchasesJan!$Q$1</f>
        <v>92</v>
      </c>
      <c r="N16" s="152" t="n">
        <f aca="false">PurchasesFeb!$Q$1</f>
        <v>368</v>
      </c>
      <c r="O16" s="152" t="n">
        <f aca="false">PurchasesMar!$Q$1</f>
        <v>92</v>
      </c>
      <c r="P16" s="130"/>
      <c r="R16" s="130"/>
      <c r="S16" s="130" t="s">
        <v>136</v>
      </c>
      <c r="T16" s="142" t="n">
        <f aca="false">SUM(D16:F16)</f>
        <v>516</v>
      </c>
      <c r="U16" s="142" t="n">
        <f aca="false">SUM(G16:I16)</f>
        <v>324</v>
      </c>
      <c r="V16" s="142" t="n">
        <f aca="false">SUM(J16:L16)</f>
        <v>468</v>
      </c>
      <c r="W16" s="142" t="n">
        <f aca="false">SUM(M16:O16)</f>
        <v>552</v>
      </c>
      <c r="X16" s="142" t="n">
        <f aca="false">SUM(T16:W16)</f>
        <v>1860</v>
      </c>
      <c r="Y16" s="130"/>
      <c r="Z16" s="130"/>
    </row>
    <row r="17" customFormat="false" ht="12.75" hidden="false" customHeight="false" outlineLevel="0" collapsed="false">
      <c r="A17" s="130" t="s">
        <v>137</v>
      </c>
      <c r="B17" s="122" t="n">
        <v>3.57</v>
      </c>
      <c r="C17" s="147" t="n">
        <f aca="false">ROUND(SUM(D17:O17),0)</f>
        <v>4560</v>
      </c>
      <c r="D17" s="152" t="n">
        <f aca="false">PurchasesApr!$R$1</f>
        <v>0</v>
      </c>
      <c r="E17" s="152" t="n">
        <f aca="false">PurchasesMay!$R$1</f>
        <v>600</v>
      </c>
      <c r="F17" s="152" t="n">
        <f aca="false">PurchasesJun!$R$1</f>
        <v>0</v>
      </c>
      <c r="G17" s="152" t="n">
        <f aca="false">PurchasesJul!$R$1</f>
        <v>480</v>
      </c>
      <c r="H17" s="152" t="n">
        <f aca="false">PurchasesAug!$R$1</f>
        <v>0</v>
      </c>
      <c r="I17" s="152" t="n">
        <f aca="false">PurchasesSep!$R$1</f>
        <v>0</v>
      </c>
      <c r="J17" s="152" t="n">
        <f aca="false">PurchasesOct!$R$1</f>
        <v>3000</v>
      </c>
      <c r="K17" s="152" t="n">
        <f aca="false">PurchasesNov!$R$1</f>
        <v>0</v>
      </c>
      <c r="L17" s="152" t="n">
        <f aca="false">PurchasesDec!$R$1</f>
        <v>0</v>
      </c>
      <c r="M17" s="152" t="n">
        <f aca="false">PurchasesJan!$R$1</f>
        <v>480</v>
      </c>
      <c r="N17" s="152" t="n">
        <f aca="false">PurchasesFeb!$R$1</f>
        <v>0</v>
      </c>
      <c r="O17" s="152" t="n">
        <f aca="false">PurchasesMar!$R$1</f>
        <v>0</v>
      </c>
      <c r="P17" s="130"/>
      <c r="R17" s="130"/>
      <c r="S17" s="130" t="s">
        <v>138</v>
      </c>
      <c r="T17" s="142" t="n">
        <f aca="false">SUM(D17:F17)</f>
        <v>600</v>
      </c>
      <c r="U17" s="142" t="n">
        <f aca="false">SUM(G17:I17)</f>
        <v>480</v>
      </c>
      <c r="V17" s="142" t="n">
        <f aca="false">SUM(J17:L17)</f>
        <v>3000</v>
      </c>
      <c r="W17" s="142" t="n">
        <f aca="false">SUM(M17:O17)</f>
        <v>480</v>
      </c>
      <c r="X17" s="142" t="n">
        <f aca="false">SUM(T17:W17)</f>
        <v>4560</v>
      </c>
      <c r="Y17" s="130"/>
      <c r="Z17" s="130"/>
    </row>
    <row r="18" customFormat="false" ht="12.75" hidden="false" customHeight="false" outlineLevel="0" collapsed="false">
      <c r="A18" s="130" t="s">
        <v>139</v>
      </c>
      <c r="B18" s="122" t="n">
        <v>3.58</v>
      </c>
      <c r="C18" s="147" t="n">
        <f aca="false">ROUND(SUM(D18:O18),0)</f>
        <v>4560</v>
      </c>
      <c r="D18" s="152" t="n">
        <f aca="false">PurchasesApr!$S$1</f>
        <v>300</v>
      </c>
      <c r="E18" s="152" t="n">
        <f aca="false">PurchasesMay!$S$1</f>
        <v>300</v>
      </c>
      <c r="F18" s="152" t="n">
        <f aca="false">PurchasesJun!$S$1</f>
        <v>300</v>
      </c>
      <c r="G18" s="152" t="n">
        <f aca="false">PurchasesJul!$S$1</f>
        <v>300</v>
      </c>
      <c r="H18" s="152" t="n">
        <f aca="false">PurchasesAug!$S$1</f>
        <v>300</v>
      </c>
      <c r="I18" s="152" t="n">
        <f aca="false">PurchasesSep!$S$1</f>
        <v>1260</v>
      </c>
      <c r="J18" s="152" t="n">
        <f aca="false">PurchasesOct!$S$1</f>
        <v>300</v>
      </c>
      <c r="K18" s="152" t="n">
        <f aca="false">PurchasesNov!$S$1</f>
        <v>300</v>
      </c>
      <c r="L18" s="152" t="n">
        <f aca="false">PurchasesDec!$S$1</f>
        <v>300</v>
      </c>
      <c r="M18" s="152" t="n">
        <f aca="false">PurchasesJan!$S$1</f>
        <v>300</v>
      </c>
      <c r="N18" s="152" t="n">
        <f aca="false">PurchasesFeb!$S$1</f>
        <v>300</v>
      </c>
      <c r="O18" s="152" t="n">
        <f aca="false">PurchasesMar!$S$1</f>
        <v>300</v>
      </c>
      <c r="P18" s="130"/>
      <c r="R18" s="130"/>
      <c r="S18" s="130" t="s">
        <v>140</v>
      </c>
      <c r="T18" s="142" t="n">
        <f aca="false">SUM(D18:F18)</f>
        <v>900</v>
      </c>
      <c r="U18" s="142" t="n">
        <f aca="false">SUM(G18:I18)</f>
        <v>1860</v>
      </c>
      <c r="V18" s="142" t="n">
        <f aca="false">SUM(J18:L18)</f>
        <v>900</v>
      </c>
      <c r="W18" s="142" t="n">
        <f aca="false">SUM(M18:O18)</f>
        <v>900</v>
      </c>
      <c r="X18" s="142" t="n">
        <f aca="false">SUM(T18:W18)</f>
        <v>4560</v>
      </c>
      <c r="Y18" s="130"/>
      <c r="Z18" s="130"/>
    </row>
    <row r="19" customFormat="false" ht="12.75" hidden="false" customHeight="false" outlineLevel="0" collapsed="false">
      <c r="A19" s="130" t="s">
        <v>141</v>
      </c>
      <c r="B19" s="122" t="n">
        <v>3.59</v>
      </c>
      <c r="C19" s="147" t="n">
        <f aca="false">ROUND(SUM(D19:O19),0)</f>
        <v>500</v>
      </c>
      <c r="D19" s="152" t="n">
        <f aca="false">PurchasesApr!$T$1</f>
        <v>0</v>
      </c>
      <c r="E19" s="152" t="n">
        <f aca="false">PurchasesMay!$T$1</f>
        <v>0</v>
      </c>
      <c r="F19" s="152" t="n">
        <f aca="false">PurchasesJun!$T$1</f>
        <v>0</v>
      </c>
      <c r="G19" s="152" t="n">
        <f aca="false">PurchasesJul!$T$1</f>
        <v>0</v>
      </c>
      <c r="H19" s="152" t="n">
        <f aca="false">PurchasesAug!$T$1</f>
        <v>0</v>
      </c>
      <c r="I19" s="152" t="n">
        <f aca="false">PurchasesSep!$T$1</f>
        <v>0</v>
      </c>
      <c r="J19" s="152" t="n">
        <f aca="false">PurchasesOct!$T$1</f>
        <v>0</v>
      </c>
      <c r="K19" s="152" t="n">
        <f aca="false">PurchasesNov!$T$1</f>
        <v>0</v>
      </c>
      <c r="L19" s="152" t="n">
        <f aca="false">PurchasesDec!$T$1</f>
        <v>500</v>
      </c>
      <c r="M19" s="152" t="n">
        <f aca="false">PurchasesJan!$T$1</f>
        <v>0</v>
      </c>
      <c r="N19" s="152" t="n">
        <f aca="false">PurchasesFeb!$T$1</f>
        <v>0</v>
      </c>
      <c r="O19" s="152" t="n">
        <f aca="false">PurchasesMar!$T$1</f>
        <v>0</v>
      </c>
      <c r="P19" s="130"/>
      <c r="R19" s="130"/>
      <c r="S19" s="130" t="s">
        <v>142</v>
      </c>
      <c r="T19" s="142" t="n">
        <f aca="false">SUM(D19:F19)</f>
        <v>0</v>
      </c>
      <c r="U19" s="142" t="n">
        <f aca="false">SUM(G19:I19)</f>
        <v>0</v>
      </c>
      <c r="V19" s="142" t="n">
        <f aca="false">SUM(J19:L19)</f>
        <v>500</v>
      </c>
      <c r="W19" s="142" t="n">
        <f aca="false">SUM(M19:O19)</f>
        <v>0</v>
      </c>
      <c r="X19" s="142" t="n">
        <f aca="false">SUM(T19:W19)</f>
        <v>500</v>
      </c>
      <c r="Y19" s="130"/>
      <c r="Z19" s="130"/>
    </row>
    <row r="20" customFormat="false" ht="12.75" hidden="false" customHeight="false" outlineLevel="0" collapsed="false">
      <c r="A20" s="130" t="s">
        <v>143</v>
      </c>
      <c r="B20" s="122" t="n">
        <v>3.6</v>
      </c>
      <c r="C20" s="147" t="n">
        <f aca="false">ROUND(SUM(D20:O20),0)</f>
        <v>750</v>
      </c>
      <c r="D20" s="152" t="n">
        <f aca="false">PurchasesApr!$U$1</f>
        <v>0</v>
      </c>
      <c r="E20" s="152" t="n">
        <f aca="false">PurchasesMay!$U$1</f>
        <v>0</v>
      </c>
      <c r="F20" s="152" t="n">
        <f aca="false">PurchasesJun!$U$1</f>
        <v>250</v>
      </c>
      <c r="G20" s="152" t="n">
        <f aca="false">PurchasesJul!$U$1</f>
        <v>0</v>
      </c>
      <c r="H20" s="152" t="n">
        <f aca="false">PurchasesAug!$U$1</f>
        <v>0</v>
      </c>
      <c r="I20" s="152" t="n">
        <f aca="false">PurchasesSep!$U$1</f>
        <v>208</v>
      </c>
      <c r="J20" s="152" t="n">
        <f aca="false">PurchasesOct!$U$1</f>
        <v>0</v>
      </c>
      <c r="K20" s="152" t="n">
        <f aca="false">PurchasesNov!$U$1</f>
        <v>0</v>
      </c>
      <c r="L20" s="152" t="n">
        <f aca="false">PurchasesDec!$U$1</f>
        <v>167</v>
      </c>
      <c r="M20" s="152" t="n">
        <f aca="false">PurchasesJan!$U$1</f>
        <v>0</v>
      </c>
      <c r="N20" s="152" t="n">
        <f aca="false">PurchasesFeb!$U$1</f>
        <v>0</v>
      </c>
      <c r="O20" s="152" t="n">
        <f aca="false">PurchasesMar!$U$1</f>
        <v>125</v>
      </c>
      <c r="P20" s="130"/>
      <c r="R20" s="130"/>
      <c r="S20" s="130" t="s">
        <v>144</v>
      </c>
      <c r="T20" s="142" t="n">
        <f aca="false">SUM(D20:F20)</f>
        <v>250</v>
      </c>
      <c r="U20" s="142" t="n">
        <f aca="false">SUM(G20:I20)</f>
        <v>208</v>
      </c>
      <c r="V20" s="142" t="n">
        <f aca="false">SUM(J20:L20)</f>
        <v>167</v>
      </c>
      <c r="W20" s="142" t="n">
        <f aca="false">SUM(M20:O20)</f>
        <v>125</v>
      </c>
      <c r="X20" s="142" t="n">
        <f aca="false">SUM(T20:W20)</f>
        <v>750</v>
      </c>
      <c r="Y20" s="130"/>
      <c r="Z20" s="130"/>
    </row>
    <row r="21" customFormat="false" ht="12.75" hidden="false" customHeight="false" outlineLevel="0" collapsed="false">
      <c r="A21" s="130" t="s">
        <v>145</v>
      </c>
      <c r="B21" s="122" t="n">
        <v>3.63</v>
      </c>
      <c r="C21" s="147" t="n">
        <f aca="false">ROUND(SUM(D21:O21),0)</f>
        <v>17882</v>
      </c>
      <c r="D21" s="152" t="n">
        <f aca="false">PurchasesApr!$V$1</f>
        <v>2062</v>
      </c>
      <c r="E21" s="152" t="n">
        <f aca="false">PurchasesMay!$V$1</f>
        <v>784</v>
      </c>
      <c r="F21" s="152" t="n">
        <f aca="false">PurchasesJun!$V$1</f>
        <v>430</v>
      </c>
      <c r="G21" s="152" t="n">
        <f aca="false">PurchasesJul!$V$1</f>
        <v>4144</v>
      </c>
      <c r="H21" s="152" t="n">
        <f aca="false">PurchasesAug!$V$1</f>
        <v>448</v>
      </c>
      <c r="I21" s="152" t="n">
        <f aca="false">PurchasesSep!$V$1</f>
        <v>820</v>
      </c>
      <c r="J21" s="152" t="n">
        <f aca="false">PurchasesOct!$V$1</f>
        <v>976</v>
      </c>
      <c r="K21" s="152" t="n">
        <f aca="false">PurchasesNov!$V$1</f>
        <v>604</v>
      </c>
      <c r="L21" s="152" t="n">
        <f aca="false">PurchasesDec!$V$1</f>
        <v>5424</v>
      </c>
      <c r="M21" s="152" t="n">
        <f aca="false">PurchasesJan!$V$1</f>
        <v>904</v>
      </c>
      <c r="N21" s="152" t="n">
        <f aca="false">PurchasesFeb!$V$1</f>
        <v>778</v>
      </c>
      <c r="O21" s="152" t="n">
        <f aca="false">PurchasesMar!$V$1</f>
        <v>508</v>
      </c>
      <c r="P21" s="130"/>
      <c r="R21" s="130"/>
      <c r="S21" s="130" t="s">
        <v>146</v>
      </c>
      <c r="T21" s="142" t="n">
        <f aca="false">SUM(D21:F21)</f>
        <v>3276</v>
      </c>
      <c r="U21" s="142" t="n">
        <f aca="false">SUM(G21:I21)</f>
        <v>5412</v>
      </c>
      <c r="V21" s="142" t="n">
        <f aca="false">SUM(J21:L21)</f>
        <v>7004</v>
      </c>
      <c r="W21" s="142" t="n">
        <f aca="false">SUM(M21:O21)</f>
        <v>2190</v>
      </c>
      <c r="X21" s="142" t="n">
        <f aca="false">SUM(T21:W21)</f>
        <v>17882</v>
      </c>
      <c r="Y21" s="130"/>
      <c r="Z21" s="130"/>
    </row>
    <row r="22" customFormat="false" ht="12.75" hidden="false" customHeight="false" outlineLevel="0" collapsed="false">
      <c r="A22" s="150" t="s">
        <v>147</v>
      </c>
      <c r="B22" s="151" t="n">
        <v>3.64</v>
      </c>
      <c r="C22" s="155" t="n">
        <f aca="false">SUM(C11:C21)</f>
        <v>57452</v>
      </c>
      <c r="D22" s="156" t="n">
        <f aca="false">SUM(D11:D21)</f>
        <v>4511.25</v>
      </c>
      <c r="E22" s="156" t="n">
        <f aca="false">SUM(E11:E21)</f>
        <v>3855</v>
      </c>
      <c r="F22" s="156" t="n">
        <f aca="false">SUM(F11:F21)</f>
        <v>3697</v>
      </c>
      <c r="G22" s="156" t="n">
        <f aca="false">SUM(G11:G21)</f>
        <v>7139.25</v>
      </c>
      <c r="H22" s="156" t="n">
        <f aca="false">SUM(H11:H21)</f>
        <v>3865.25</v>
      </c>
      <c r="I22" s="156" t="n">
        <f aca="false">SUM(I11:I21)</f>
        <v>4735</v>
      </c>
      <c r="J22" s="156" t="n">
        <f aca="false">SUM(J11:J21)</f>
        <v>6525.75</v>
      </c>
      <c r="K22" s="156" t="n">
        <f aca="false">SUM(K11:K21)</f>
        <v>3078</v>
      </c>
      <c r="L22" s="156" t="n">
        <f aca="false">SUM(L11:L21)</f>
        <v>8971.5</v>
      </c>
      <c r="M22" s="156" t="n">
        <f aca="false">SUM(M11:M21)</f>
        <v>3911.25</v>
      </c>
      <c r="N22" s="156" t="n">
        <f aca="false">SUM(N11:N21)</f>
        <v>3736.5</v>
      </c>
      <c r="O22" s="156" t="n">
        <f aca="false">SUM(O11:O21)</f>
        <v>3426.5</v>
      </c>
      <c r="P22" s="130"/>
      <c r="R22" s="130"/>
      <c r="S22" s="130"/>
      <c r="T22" s="130"/>
      <c r="U22" s="130"/>
      <c r="V22" s="130"/>
      <c r="W22" s="130"/>
      <c r="X22" s="130"/>
      <c r="Y22" s="130"/>
      <c r="Z22" s="130"/>
    </row>
    <row r="23" customFormat="false" ht="13.5" hidden="false" customHeight="true" outlineLevel="0" collapsed="false">
      <c r="A23" s="154"/>
      <c r="C23" s="157"/>
      <c r="D23" s="157"/>
      <c r="E23" s="157"/>
      <c r="F23" s="157"/>
      <c r="G23" s="157"/>
      <c r="H23" s="157"/>
      <c r="I23" s="157"/>
      <c r="J23" s="157"/>
      <c r="K23" s="157"/>
      <c r="L23" s="157"/>
      <c r="M23" s="157"/>
      <c r="N23" s="157"/>
      <c r="O23" s="157"/>
      <c r="P23" s="130"/>
      <c r="R23" s="130"/>
      <c r="S23" s="130" t="s">
        <v>148</v>
      </c>
      <c r="T23" s="142" t="n">
        <v>0</v>
      </c>
      <c r="U23" s="142" t="n">
        <v>0</v>
      </c>
      <c r="V23" s="142" t="n">
        <v>0</v>
      </c>
      <c r="W23" s="142" t="n">
        <v>0</v>
      </c>
      <c r="X23" s="142" t="n">
        <f aca="false">SUM(T23:W23)</f>
        <v>0</v>
      </c>
      <c r="Y23" s="130" t="s">
        <v>149</v>
      </c>
      <c r="Z23" s="130"/>
    </row>
    <row r="24" customFormat="false" ht="12.75" hidden="false" customHeight="false" outlineLevel="0" collapsed="false">
      <c r="A24" s="150" t="s">
        <v>150</v>
      </c>
      <c r="B24" s="122" t="n">
        <v>3.65</v>
      </c>
      <c r="C24" s="140" t="n">
        <f aca="false">ROUND((C9-C22),0)</f>
        <v>333908</v>
      </c>
      <c r="D24" s="158" t="n">
        <f aca="false">D9-D22</f>
        <v>28288.75</v>
      </c>
      <c r="E24" s="158" t="n">
        <f aca="false">E9-E22</f>
        <v>28345</v>
      </c>
      <c r="F24" s="158" t="n">
        <f aca="false">F9-F22</f>
        <v>26143</v>
      </c>
      <c r="G24" s="158" t="n">
        <f aca="false">G9-G22</f>
        <v>25900.75</v>
      </c>
      <c r="H24" s="158" t="n">
        <f aca="false">H9-H22</f>
        <v>31614.75</v>
      </c>
      <c r="I24" s="158" t="n">
        <f aca="false">I9-I22</f>
        <v>28785</v>
      </c>
      <c r="J24" s="158" t="n">
        <f aca="false">J9-J22</f>
        <v>28554.25</v>
      </c>
      <c r="K24" s="158" t="n">
        <f aca="false">K9-K22</f>
        <v>28402</v>
      </c>
      <c r="L24" s="158" t="n">
        <f aca="false">L9-L22</f>
        <v>23348.5</v>
      </c>
      <c r="M24" s="158" t="n">
        <f aca="false">M9-M22</f>
        <v>30928.75</v>
      </c>
      <c r="N24" s="158" t="n">
        <f aca="false">N9-N22</f>
        <v>29963.5</v>
      </c>
      <c r="O24" s="158" t="n">
        <f aca="false">O9-O22</f>
        <v>23633.5</v>
      </c>
      <c r="P24" s="130"/>
      <c r="R24" s="130"/>
      <c r="S24" s="130" t="s">
        <v>151</v>
      </c>
      <c r="T24" s="142" t="n">
        <v>0</v>
      </c>
      <c r="U24" s="142" t="n">
        <v>0</v>
      </c>
      <c r="V24" s="142" t="n">
        <v>0</v>
      </c>
      <c r="W24" s="142" t="n">
        <v>0</v>
      </c>
      <c r="X24" s="142" t="n">
        <f aca="false">SUM(T24:W24)</f>
        <v>0</v>
      </c>
      <c r="Y24" s="130" t="s">
        <v>149</v>
      </c>
      <c r="Z24" s="130"/>
    </row>
    <row r="25" customFormat="false" ht="13.5" hidden="false" customHeight="true" outlineLevel="0" collapsed="false">
      <c r="A25" s="154"/>
      <c r="B25" s="159"/>
      <c r="C25" s="145"/>
      <c r="D25" s="145"/>
      <c r="E25" s="145"/>
      <c r="F25" s="145"/>
      <c r="G25" s="145"/>
      <c r="H25" s="145"/>
      <c r="I25" s="145"/>
      <c r="J25" s="145"/>
      <c r="K25" s="145"/>
      <c r="L25" s="145"/>
      <c r="M25" s="145"/>
      <c r="N25" s="145"/>
      <c r="O25" s="145"/>
      <c r="P25" s="130"/>
      <c r="R25" s="130"/>
      <c r="S25" s="130" t="s">
        <v>152</v>
      </c>
      <c r="T25" s="142" t="n">
        <v>0</v>
      </c>
      <c r="U25" s="142" t="n">
        <v>0</v>
      </c>
      <c r="V25" s="142" t="n">
        <v>0</v>
      </c>
      <c r="W25" s="142" t="n">
        <v>0</v>
      </c>
      <c r="X25" s="142" t="n">
        <f aca="false">SUM(T25:W25)</f>
        <v>0</v>
      </c>
      <c r="Y25" s="130" t="s">
        <v>149</v>
      </c>
      <c r="Z25" s="130"/>
    </row>
    <row r="26" customFormat="false" ht="12.75" hidden="false" customHeight="false" outlineLevel="0" collapsed="false">
      <c r="A26" s="154" t="s">
        <v>153</v>
      </c>
      <c r="B26" s="159"/>
      <c r="C26" s="147" t="n">
        <f aca="false">-'SE Short'!O85+'SE Short'!D80+'SE Short'!D85+'SE Short'!O80</f>
        <v>0</v>
      </c>
      <c r="D26" s="145"/>
      <c r="E26" s="145"/>
      <c r="F26" s="145"/>
      <c r="G26" s="145"/>
      <c r="H26" s="145"/>
      <c r="I26" s="145"/>
      <c r="J26" s="145"/>
      <c r="K26" s="145"/>
      <c r="L26" s="145"/>
      <c r="M26" s="145"/>
      <c r="N26" s="145"/>
      <c r="O26" s="145"/>
      <c r="P26" s="130"/>
      <c r="R26" s="130"/>
      <c r="S26" s="130"/>
      <c r="T26" s="130"/>
      <c r="U26" s="130"/>
      <c r="V26" s="130"/>
      <c r="W26" s="130"/>
      <c r="X26" s="130"/>
      <c r="Y26" s="130"/>
      <c r="Z26" s="130"/>
    </row>
    <row r="27" customFormat="false" ht="6" hidden="false" customHeight="true" outlineLevel="0" collapsed="false">
      <c r="A27" s="154"/>
      <c r="B27" s="159"/>
      <c r="C27" s="145"/>
      <c r="D27" s="145"/>
      <c r="E27" s="145"/>
      <c r="F27" s="145"/>
      <c r="G27" s="145"/>
      <c r="H27" s="145"/>
      <c r="I27" s="145"/>
      <c r="J27" s="145"/>
      <c r="K27" s="145"/>
      <c r="L27" s="145"/>
      <c r="M27" s="145"/>
      <c r="N27" s="145"/>
      <c r="O27" s="145"/>
      <c r="P27" s="130"/>
      <c r="R27" s="130"/>
      <c r="S27" s="130"/>
      <c r="T27" s="130"/>
      <c r="U27" s="130"/>
      <c r="V27" s="130"/>
      <c r="W27" s="130"/>
      <c r="X27" s="130"/>
      <c r="Y27" s="130"/>
      <c r="Z27" s="130"/>
    </row>
    <row r="28" customFormat="false" ht="12.75" hidden="false" customHeight="false" outlineLevel="0" collapsed="false">
      <c r="A28" s="160" t="s">
        <v>154</v>
      </c>
      <c r="B28" s="159"/>
      <c r="C28" s="161" t="n">
        <f aca="false">C24-C26</f>
        <v>333908</v>
      </c>
      <c r="D28" s="145"/>
      <c r="E28" s="145"/>
      <c r="F28" s="145"/>
      <c r="G28" s="145"/>
      <c r="H28" s="145"/>
      <c r="I28" s="145"/>
      <c r="J28" s="145"/>
      <c r="K28" s="145"/>
      <c r="L28" s="145"/>
      <c r="M28" s="145"/>
      <c r="N28" s="145"/>
      <c r="O28" s="145"/>
      <c r="P28" s="130"/>
      <c r="R28" s="130"/>
      <c r="S28" s="153" t="s">
        <v>155</v>
      </c>
      <c r="T28" s="162" t="n">
        <f aca="false">SUM(T6,T11,T12,T13,T14,T15,T16,T17,T18,T19,T20,T21,T23,T24,T25)</f>
        <v>18743.25</v>
      </c>
      <c r="U28" s="162" t="n">
        <f aca="false">SUM(U6,U11,U12,U13,U14,U15,U16,U17,U18,U19,U20,U21,U23,U24,U25)</f>
        <v>17239.5</v>
      </c>
      <c r="V28" s="162" t="n">
        <f aca="false">SUM(V6,V11,V12,V13,V14,V15,V16,V17,V18,V19,V20,V21,V23,V24,V25)</f>
        <v>23375.25</v>
      </c>
      <c r="W28" s="162" t="n">
        <f aca="false">SUM(W6,W11,W12,W13,W14,W15,W16,W17,W18,W19,W20,W21,W23,W24,W25)</f>
        <v>16634.25</v>
      </c>
      <c r="X28" s="162" t="n">
        <f aca="false">SUM(X6,X11,X12,X13,X14,X15,X16,X17,X18,X19,X20,X21,X23,X24,X25)</f>
        <v>75992.25</v>
      </c>
      <c r="Y28" s="163"/>
      <c r="Z28" s="130"/>
    </row>
    <row r="29" customFormat="false" ht="6" hidden="false" customHeight="true" outlineLevel="0" collapsed="false">
      <c r="A29" s="154"/>
      <c r="B29" s="159"/>
      <c r="C29" s="145"/>
      <c r="D29" s="145"/>
      <c r="E29" s="145"/>
      <c r="F29" s="145"/>
      <c r="G29" s="145"/>
      <c r="H29" s="145"/>
      <c r="I29" s="145"/>
      <c r="J29" s="145"/>
      <c r="K29" s="145"/>
      <c r="L29" s="145"/>
      <c r="M29" s="145"/>
      <c r="N29" s="145"/>
      <c r="O29" s="145"/>
      <c r="P29" s="130"/>
      <c r="R29" s="130"/>
      <c r="S29" s="130"/>
      <c r="T29" s="130"/>
      <c r="U29" s="130"/>
      <c r="V29" s="130"/>
      <c r="W29" s="130"/>
      <c r="X29" s="130"/>
      <c r="Y29" s="130"/>
      <c r="Z29" s="130"/>
    </row>
    <row r="30" customFormat="false" ht="12.75" hidden="false" customHeight="false" outlineLevel="0" collapsed="false">
      <c r="A30" s="164" t="s">
        <v>156</v>
      </c>
      <c r="C30" s="147" t="n">
        <f aca="false">ROUND(SUM(D30:O30),0)</f>
        <v>0</v>
      </c>
      <c r="D30" s="147" t="n">
        <f aca="false">SalesApr!$G$1</f>
        <v>0</v>
      </c>
      <c r="E30" s="147" t="n">
        <f aca="false">SalesMay!$G$1</f>
        <v>0</v>
      </c>
      <c r="F30" s="147" t="n">
        <f aca="false">SalesJun!$G$1</f>
        <v>0</v>
      </c>
      <c r="G30" s="147" t="n">
        <f aca="false">SalesJul!$G$1</f>
        <v>0</v>
      </c>
      <c r="H30" s="147" t="n">
        <f aca="false">SalesAug!$G$1</f>
        <v>0</v>
      </c>
      <c r="I30" s="147" t="n">
        <f aca="false">SalesSep!$G$1</f>
        <v>0</v>
      </c>
      <c r="J30" s="147" t="n">
        <f aca="false">SalesOct!$G$1</f>
        <v>0</v>
      </c>
      <c r="K30" s="147" t="n">
        <f aca="false">SalesNov!$G$1</f>
        <v>0</v>
      </c>
      <c r="L30" s="147" t="n">
        <f aca="false">SalesDec!$G$1</f>
        <v>0</v>
      </c>
      <c r="M30" s="147" t="n">
        <f aca="false">SalesJan!$G$1</f>
        <v>0</v>
      </c>
      <c r="N30" s="147" t="n">
        <f aca="false">SalesFeb!$G$1</f>
        <v>0</v>
      </c>
      <c r="O30" s="147" t="n">
        <f aca="false">SalesMar!$G$1</f>
        <v>0</v>
      </c>
      <c r="P30" s="130"/>
      <c r="R30" s="130"/>
      <c r="S30" s="130"/>
      <c r="T30" s="130"/>
      <c r="U30" s="130"/>
      <c r="V30" s="130"/>
      <c r="W30" s="130"/>
      <c r="X30" s="130"/>
      <c r="Y30" s="130"/>
      <c r="Z30" s="130"/>
    </row>
    <row r="31" customFormat="false" ht="6" hidden="false" customHeight="true" outlineLevel="0" collapsed="false">
      <c r="A31" s="164"/>
      <c r="B31" s="159"/>
      <c r="C31" s="145"/>
      <c r="D31" s="145"/>
      <c r="E31" s="145"/>
      <c r="F31" s="145"/>
      <c r="G31" s="145"/>
      <c r="H31" s="145"/>
      <c r="I31" s="145"/>
      <c r="J31" s="145"/>
      <c r="K31" s="145"/>
      <c r="L31" s="145"/>
      <c r="M31" s="145"/>
      <c r="N31" s="145"/>
      <c r="O31" s="145"/>
      <c r="P31" s="130"/>
      <c r="R31" s="130"/>
      <c r="S31" s="130"/>
      <c r="T31" s="130"/>
      <c r="U31" s="130"/>
      <c r="V31" s="130"/>
      <c r="W31" s="130"/>
      <c r="X31" s="130"/>
      <c r="Y31" s="130"/>
      <c r="Z31" s="130"/>
    </row>
    <row r="32" customFormat="false" ht="12.75" hidden="false" customHeight="false" outlineLevel="0" collapsed="false">
      <c r="A32" s="130" t="s">
        <v>157</v>
      </c>
      <c r="C32" s="147" t="n">
        <f aca="false">'Income Tax'!E10-'Income Tax'!E11</f>
        <v>120995</v>
      </c>
      <c r="D32" s="145"/>
      <c r="E32" s="145"/>
      <c r="F32" s="145"/>
      <c r="G32" s="145"/>
      <c r="H32" s="145"/>
      <c r="I32" s="145"/>
      <c r="J32" s="145"/>
      <c r="K32" s="145"/>
      <c r="L32" s="145"/>
      <c r="M32" s="145"/>
      <c r="N32" s="145"/>
      <c r="O32" s="145"/>
      <c r="P32" s="130"/>
      <c r="R32" s="130"/>
      <c r="S32" s="130"/>
      <c r="T32" s="130"/>
      <c r="U32" s="130"/>
      <c r="V32" s="130"/>
      <c r="W32" s="130"/>
      <c r="X32" s="130"/>
      <c r="Y32" s="130"/>
      <c r="Z32" s="130"/>
    </row>
    <row r="33" customFormat="false" ht="12.75" hidden="false" customHeight="false" outlineLevel="0" collapsed="false">
      <c r="A33" s="130" t="s">
        <v>158</v>
      </c>
      <c r="C33" s="147" t="n">
        <f aca="false">'Income Tax'!E15+'Income Tax'!E16</f>
        <v>7934.76</v>
      </c>
      <c r="D33" s="145"/>
      <c r="E33" s="145"/>
      <c r="F33" s="145"/>
      <c r="G33" s="145"/>
      <c r="H33" s="145"/>
      <c r="I33" s="145"/>
      <c r="J33" s="145"/>
      <c r="K33" s="145"/>
      <c r="L33" s="145"/>
      <c r="M33" s="145"/>
      <c r="N33" s="145"/>
      <c r="O33" s="145"/>
      <c r="P33" s="130"/>
      <c r="R33" s="130"/>
      <c r="S33" s="153" t="s">
        <v>159</v>
      </c>
      <c r="T33" s="130"/>
      <c r="U33" s="130"/>
      <c r="V33" s="130"/>
      <c r="W33" s="130"/>
      <c r="X33" s="130"/>
      <c r="Y33" s="130"/>
      <c r="Z33" s="130"/>
    </row>
    <row r="34" customFormat="false" ht="6" hidden="false" customHeight="true" outlineLevel="0" collapsed="false">
      <c r="A34" s="130"/>
      <c r="C34" s="145"/>
      <c r="D34" s="145"/>
      <c r="E34" s="145"/>
      <c r="F34" s="145"/>
      <c r="G34" s="145"/>
      <c r="H34" s="145"/>
      <c r="I34" s="145"/>
      <c r="J34" s="145"/>
      <c r="K34" s="145"/>
      <c r="L34" s="145"/>
      <c r="M34" s="145"/>
      <c r="N34" s="145"/>
      <c r="O34" s="145"/>
      <c r="P34" s="130"/>
      <c r="R34" s="130"/>
      <c r="S34" s="130"/>
      <c r="T34" s="130"/>
      <c r="U34" s="130"/>
      <c r="V34" s="130"/>
      <c r="W34" s="130"/>
      <c r="X34" s="130"/>
      <c r="Y34" s="130"/>
      <c r="Z34" s="130"/>
    </row>
    <row r="35" customFormat="false" ht="12.75" hidden="false" customHeight="false" outlineLevel="0" collapsed="false">
      <c r="A35" s="165" t="s">
        <v>160</v>
      </c>
      <c r="C35" s="161" t="n">
        <f aca="false">C28+C30-C32-C33</f>
        <v>204978.24</v>
      </c>
      <c r="D35" s="145"/>
      <c r="E35" s="145"/>
      <c r="F35" s="145"/>
      <c r="G35" s="145"/>
      <c r="H35" s="145"/>
      <c r="I35" s="145"/>
      <c r="J35" s="145"/>
      <c r="K35" s="145"/>
      <c r="L35" s="145"/>
      <c r="M35" s="145"/>
      <c r="N35" s="145"/>
      <c r="O35" s="145"/>
      <c r="P35" s="130"/>
      <c r="R35" s="130"/>
      <c r="S35" s="130" t="s">
        <v>121</v>
      </c>
      <c r="T35" s="142" t="n">
        <v>0</v>
      </c>
      <c r="U35" s="142" t="n">
        <v>0</v>
      </c>
      <c r="V35" s="142" t="n">
        <v>0</v>
      </c>
      <c r="W35" s="142" t="n">
        <v>0</v>
      </c>
      <c r="X35" s="142" t="n">
        <f aca="false">SUM(T35:W35)</f>
        <v>0</v>
      </c>
      <c r="Y35" s="130" t="s">
        <v>149</v>
      </c>
      <c r="Z35" s="130"/>
    </row>
    <row r="36" customFormat="false" ht="13.5" hidden="false" customHeight="true" outlineLevel="0" collapsed="false">
      <c r="A36" s="130"/>
      <c r="C36" s="145"/>
      <c r="D36" s="145"/>
      <c r="E36" s="145"/>
      <c r="F36" s="145"/>
      <c r="G36" s="145"/>
      <c r="H36" s="145"/>
      <c r="I36" s="145"/>
      <c r="J36" s="145"/>
      <c r="K36" s="145"/>
      <c r="L36" s="145"/>
      <c r="M36" s="145"/>
      <c r="N36" s="145"/>
      <c r="O36" s="145"/>
      <c r="P36" s="130"/>
      <c r="R36" s="130"/>
      <c r="S36" s="130" t="s">
        <v>148</v>
      </c>
      <c r="T36" s="142" t="n">
        <v>0</v>
      </c>
      <c r="U36" s="142" t="n">
        <v>0</v>
      </c>
      <c r="V36" s="142" t="n">
        <v>0</v>
      </c>
      <c r="W36" s="142" t="n">
        <v>0</v>
      </c>
      <c r="X36" s="142" t="n">
        <f aca="false">SUM(T36:W36)</f>
        <v>0</v>
      </c>
      <c r="Y36" s="130" t="s">
        <v>149</v>
      </c>
      <c r="Z36" s="130"/>
    </row>
    <row r="37" customFormat="false" ht="12.75" hidden="false" customHeight="false" outlineLevel="0" collapsed="false">
      <c r="A37" s="130" t="s">
        <v>161</v>
      </c>
      <c r="C37" s="147" t="n">
        <f aca="false">ROUND(SUM(D37:O37),0)</f>
        <v>0</v>
      </c>
      <c r="D37" s="152"/>
      <c r="E37" s="152"/>
      <c r="F37" s="152"/>
      <c r="G37" s="152"/>
      <c r="H37" s="152"/>
      <c r="I37" s="152"/>
      <c r="J37" s="152"/>
      <c r="K37" s="152"/>
      <c r="L37" s="152"/>
      <c r="M37" s="152"/>
      <c r="N37" s="152"/>
      <c r="O37" s="152"/>
      <c r="P37" s="130"/>
      <c r="R37" s="130"/>
      <c r="S37" s="130" t="s">
        <v>126</v>
      </c>
      <c r="T37" s="142" t="n">
        <v>0</v>
      </c>
      <c r="U37" s="142" t="n">
        <v>0</v>
      </c>
      <c r="V37" s="142" t="n">
        <v>0</v>
      </c>
      <c r="W37" s="142" t="n">
        <v>0</v>
      </c>
      <c r="X37" s="142" t="n">
        <f aca="false">SUM(T37:W37)</f>
        <v>0</v>
      </c>
      <c r="Y37" s="130" t="s">
        <v>149</v>
      </c>
      <c r="Z37" s="130"/>
    </row>
    <row r="38" customFormat="false" ht="13.5" hidden="false" customHeight="true" outlineLevel="0" collapsed="false">
      <c r="A38" s="130"/>
      <c r="C38" s="146"/>
      <c r="D38" s="146"/>
      <c r="E38" s="146"/>
      <c r="F38" s="146"/>
      <c r="G38" s="146"/>
      <c r="H38" s="146"/>
      <c r="I38" s="146"/>
      <c r="J38" s="146"/>
      <c r="K38" s="146"/>
      <c r="L38" s="146"/>
      <c r="M38" s="146"/>
      <c r="N38" s="146"/>
      <c r="O38" s="146"/>
      <c r="P38" s="130"/>
      <c r="R38" s="130"/>
      <c r="S38" s="130" t="s">
        <v>162</v>
      </c>
      <c r="T38" s="142" t="n">
        <v>0</v>
      </c>
      <c r="U38" s="142" t="n">
        <v>0</v>
      </c>
      <c r="V38" s="142" t="n">
        <v>0</v>
      </c>
      <c r="W38" s="142" t="n">
        <v>0</v>
      </c>
      <c r="X38" s="142" t="n">
        <f aca="false">SUM(T38:W38)</f>
        <v>0</v>
      </c>
      <c r="Y38" s="130" t="s">
        <v>149</v>
      </c>
      <c r="Z38" s="130"/>
    </row>
    <row r="39" customFormat="false" ht="12.75" hidden="false" customHeight="false" outlineLevel="0" collapsed="false">
      <c r="R39" s="130"/>
      <c r="S39" s="130" t="s">
        <v>128</v>
      </c>
      <c r="T39" s="142" t="n">
        <v>0</v>
      </c>
      <c r="U39" s="142" t="n">
        <v>0</v>
      </c>
      <c r="V39" s="142" t="n">
        <v>0</v>
      </c>
      <c r="W39" s="142" t="n">
        <v>0</v>
      </c>
      <c r="X39" s="142" t="n">
        <f aca="false">SUM(T39:W39)</f>
        <v>0</v>
      </c>
      <c r="Y39" s="130" t="s">
        <v>149</v>
      </c>
      <c r="Z39" s="130"/>
    </row>
    <row r="40" customFormat="false" ht="12.75" hidden="false" customHeight="false" outlineLevel="0" collapsed="false">
      <c r="R40" s="130"/>
      <c r="S40" s="130" t="s">
        <v>130</v>
      </c>
      <c r="T40" s="142" t="n">
        <v>0</v>
      </c>
      <c r="U40" s="142" t="n">
        <v>0</v>
      </c>
      <c r="V40" s="142" t="n">
        <v>0</v>
      </c>
      <c r="W40" s="142" t="n">
        <v>0</v>
      </c>
      <c r="X40" s="142" t="n">
        <f aca="false">SUM(T40:W40)</f>
        <v>0</v>
      </c>
      <c r="Y40" s="130" t="s">
        <v>149</v>
      </c>
      <c r="Z40" s="130"/>
    </row>
    <row r="41" customFormat="false" ht="12.75" hidden="false" customHeight="false" outlineLevel="0" collapsed="false">
      <c r="R41" s="130"/>
      <c r="S41" s="130" t="s">
        <v>132</v>
      </c>
      <c r="T41" s="142" t="n">
        <v>0</v>
      </c>
      <c r="U41" s="142" t="n">
        <v>0</v>
      </c>
      <c r="V41" s="142" t="n">
        <v>0</v>
      </c>
      <c r="W41" s="142" t="n">
        <v>0</v>
      </c>
      <c r="X41" s="142" t="n">
        <f aca="false">SUM(T41:W41)</f>
        <v>0</v>
      </c>
      <c r="Y41" s="130" t="s">
        <v>149</v>
      </c>
      <c r="Z41" s="130"/>
    </row>
    <row r="42" customFormat="false" ht="12.75" hidden="false" customHeight="false" outlineLevel="0" collapsed="false">
      <c r="R42" s="130"/>
      <c r="S42" s="130" t="s">
        <v>138</v>
      </c>
      <c r="T42" s="142" t="n">
        <v>0</v>
      </c>
      <c r="U42" s="142" t="n">
        <v>0</v>
      </c>
      <c r="V42" s="142" t="n">
        <v>0</v>
      </c>
      <c r="W42" s="142" t="n">
        <v>0</v>
      </c>
      <c r="X42" s="142" t="n">
        <f aca="false">SUM(T42:W42)</f>
        <v>0</v>
      </c>
      <c r="Y42" s="130" t="s">
        <v>149</v>
      </c>
      <c r="Z42" s="130"/>
    </row>
    <row r="43" customFormat="false" ht="12.75" hidden="false" customHeight="false" outlineLevel="0" collapsed="false">
      <c r="R43" s="130"/>
      <c r="S43" s="130" t="s">
        <v>151</v>
      </c>
      <c r="T43" s="142" t="n">
        <v>0</v>
      </c>
      <c r="U43" s="142" t="n">
        <v>0</v>
      </c>
      <c r="V43" s="142" t="n">
        <v>0</v>
      </c>
      <c r="W43" s="142" t="n">
        <v>0</v>
      </c>
      <c r="X43" s="142" t="n">
        <f aca="false">SUM(T43:W43)</f>
        <v>0</v>
      </c>
      <c r="Y43" s="130" t="s">
        <v>149</v>
      </c>
      <c r="Z43" s="130"/>
    </row>
    <row r="44" customFormat="false" ht="12.75" hidden="false" customHeight="false" outlineLevel="0" collapsed="false">
      <c r="R44" s="130"/>
      <c r="S44" s="130" t="s">
        <v>144</v>
      </c>
      <c r="T44" s="142" t="n">
        <v>0</v>
      </c>
      <c r="U44" s="142" t="n">
        <v>0</v>
      </c>
      <c r="V44" s="142" t="n">
        <v>0</v>
      </c>
      <c r="W44" s="142" t="n">
        <v>0</v>
      </c>
      <c r="X44" s="142" t="n">
        <f aca="false">SUM(T44:W44)</f>
        <v>0</v>
      </c>
      <c r="Y44" s="130" t="s">
        <v>149</v>
      </c>
      <c r="Z44" s="130"/>
    </row>
    <row r="45" customFormat="false" ht="12.75" hidden="false" customHeight="false" outlineLevel="0" collapsed="false">
      <c r="R45" s="130"/>
      <c r="S45" s="130" t="s">
        <v>163</v>
      </c>
      <c r="T45" s="142" t="n">
        <v>0</v>
      </c>
      <c r="U45" s="142" t="n">
        <v>0</v>
      </c>
      <c r="V45" s="142" t="n">
        <v>0</v>
      </c>
      <c r="W45" s="142" t="n">
        <v>0</v>
      </c>
      <c r="X45" s="142" t="n">
        <f aca="false">SUM(T45:W45)</f>
        <v>0</v>
      </c>
      <c r="Y45" s="130" t="s">
        <v>149</v>
      </c>
      <c r="Z45" s="130"/>
    </row>
    <row r="46" customFormat="false" ht="12.75" hidden="false" customHeight="false" outlineLevel="0" collapsed="false">
      <c r="R46" s="130"/>
      <c r="S46" s="130" t="s">
        <v>164</v>
      </c>
      <c r="T46" s="142" t="n">
        <v>0</v>
      </c>
      <c r="U46" s="142" t="n">
        <v>0</v>
      </c>
      <c r="V46" s="142" t="n">
        <v>0</v>
      </c>
      <c r="W46" s="142" t="n">
        <v>0</v>
      </c>
      <c r="X46" s="142" t="n">
        <f aca="false">SUM(T46:W46)</f>
        <v>0</v>
      </c>
      <c r="Y46" s="130" t="s">
        <v>149</v>
      </c>
      <c r="Z46" s="130"/>
    </row>
    <row r="47" customFormat="false" ht="12.75" hidden="false" customHeight="false" outlineLevel="0" collapsed="false">
      <c r="R47" s="130"/>
      <c r="S47" s="130" t="s">
        <v>140</v>
      </c>
      <c r="T47" s="142" t="n">
        <v>0</v>
      </c>
      <c r="U47" s="142" t="n">
        <v>0</v>
      </c>
      <c r="V47" s="142" t="n">
        <v>0</v>
      </c>
      <c r="W47" s="142" t="n">
        <v>0</v>
      </c>
      <c r="X47" s="142" t="n">
        <f aca="false">SUM(T47:W47)</f>
        <v>0</v>
      </c>
      <c r="Y47" s="130" t="s">
        <v>149</v>
      </c>
      <c r="Z47" s="130"/>
    </row>
    <row r="48" customFormat="false" ht="12.75" hidden="false" customHeight="false" outlineLevel="0" collapsed="false">
      <c r="R48" s="130"/>
      <c r="S48" s="130" t="s">
        <v>152</v>
      </c>
      <c r="T48" s="142" t="n">
        <v>0</v>
      </c>
      <c r="U48" s="142" t="n">
        <v>0</v>
      </c>
      <c r="V48" s="142" t="n">
        <v>0</v>
      </c>
      <c r="W48" s="142" t="n">
        <v>0</v>
      </c>
      <c r="X48" s="142" t="n">
        <f aca="false">SUM(T48:W48)</f>
        <v>0</v>
      </c>
      <c r="Y48" s="130" t="s">
        <v>149</v>
      </c>
      <c r="Z48" s="130"/>
    </row>
    <row r="49" customFormat="false" ht="12.75" hidden="false" customHeight="false" outlineLevel="0" collapsed="false">
      <c r="R49" s="130"/>
      <c r="S49" s="130" t="s">
        <v>146</v>
      </c>
      <c r="T49" s="142" t="n">
        <v>0</v>
      </c>
      <c r="U49" s="142" t="n">
        <v>0</v>
      </c>
      <c r="V49" s="142" t="n">
        <v>0</v>
      </c>
      <c r="W49" s="142" t="n">
        <v>0</v>
      </c>
      <c r="X49" s="142" t="n">
        <f aca="false">SUM(T49:W49)</f>
        <v>0</v>
      </c>
      <c r="Y49" s="130" t="s">
        <v>149</v>
      </c>
      <c r="Z49" s="130"/>
    </row>
    <row r="50" customFormat="false" ht="12.75" hidden="false" customHeight="false" outlineLevel="0" collapsed="false">
      <c r="R50" s="130"/>
      <c r="S50" s="130"/>
      <c r="T50" s="130"/>
      <c r="U50" s="130"/>
      <c r="V50" s="130"/>
      <c r="W50" s="130"/>
      <c r="X50" s="130"/>
      <c r="Y50" s="130"/>
      <c r="Z50" s="130"/>
    </row>
    <row r="51" customFormat="false" ht="12.75" hidden="false" customHeight="false" outlineLevel="0" collapsed="false">
      <c r="R51" s="123"/>
    </row>
  </sheetData>
  <mergeCells count="20">
    <mergeCell ref="A1:A2"/>
    <mergeCell ref="D1:D2"/>
    <mergeCell ref="E1:E2"/>
    <mergeCell ref="F1:F2"/>
    <mergeCell ref="G1:G2"/>
    <mergeCell ref="H1:H2"/>
    <mergeCell ref="I1:I2"/>
    <mergeCell ref="J1:J2"/>
    <mergeCell ref="K1:K2"/>
    <mergeCell ref="L1:L2"/>
    <mergeCell ref="M1:M2"/>
    <mergeCell ref="N1:N2"/>
    <mergeCell ref="O1:O2"/>
    <mergeCell ref="S1:S2"/>
    <mergeCell ref="T1:T2"/>
    <mergeCell ref="U1:U2"/>
    <mergeCell ref="V1:V2"/>
    <mergeCell ref="W1:W2"/>
    <mergeCell ref="X1:X2"/>
    <mergeCell ref="Y1:Y2"/>
  </mergeCells>
  <printOptions headings="false" gridLines="true" gridLinesSet="true" horizontalCentered="false" verticalCentered="false"/>
  <pageMargins left="0.275694444444444" right="0.472222222222222" top="0.747916666666667" bottom="0.786805555555556" header="0.511811023622047" footer="0.354166666666667"/>
  <pageSetup paperSize="9" scale="100" fitToWidth="1" fitToHeight="1" pageOrder="downThenOver" orientation="landscape" blackAndWhite="false" draft="false" cellComments="none" horizontalDpi="300" verticalDpi="300" copies="1"/>
  <headerFooter differentFirst="false" differentOddEven="false">
    <oddHeader/>
    <oddFooter>&amp;L&amp;D  &amp;T&amp;C&amp;P  of  &amp;N&amp;R&amp;F  &amp;A</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121" width="2.66"/>
    <col collapsed="false" customWidth="true" hidden="false" outlineLevel="0" max="2" min="2" style="121" width="25.99"/>
    <col collapsed="false" customWidth="true" hidden="false" outlineLevel="0" max="3" min="3" style="121" width="11.32"/>
    <col collapsed="false" customWidth="true" hidden="false" outlineLevel="0" max="4" min="4" style="166" width="13.49"/>
    <col collapsed="false" customWidth="true" hidden="false" outlineLevel="0" max="5" min="5" style="167" width="12.66"/>
    <col collapsed="false" customWidth="true" hidden="false" outlineLevel="0" max="6" min="6" style="168" width="4.15"/>
    <col collapsed="false" customWidth="true" hidden="false" outlineLevel="0" max="7" min="7" style="123" width="2.66"/>
    <col collapsed="false" customWidth="false" hidden="false" outlineLevel="0" max="10" min="8" style="121" width="9.15"/>
    <col collapsed="false" customWidth="true" hidden="false" outlineLevel="0" max="11" min="11" style="121" width="10.32"/>
    <col collapsed="false" customWidth="false" hidden="false" outlineLevel="0" max="257" min="12" style="121" width="9.15"/>
  </cols>
  <sheetData>
    <row r="1" customFormat="false" ht="12.75" hidden="false" customHeight="false" outlineLevel="0" collapsed="false">
      <c r="A1" s="130"/>
      <c r="B1" s="130"/>
      <c r="C1" s="130"/>
      <c r="D1" s="169"/>
      <c r="E1" s="170"/>
      <c r="F1" s="171"/>
      <c r="G1" s="130"/>
    </row>
    <row r="2" customFormat="false" ht="18" hidden="false" customHeight="true" outlineLevel="0" collapsed="false">
      <c r="A2" s="130"/>
      <c r="B2" s="172" t="s">
        <v>165</v>
      </c>
      <c r="C2" s="173" t="str">
        <f aca="false">Admin!L2</f>
        <v>2026-27</v>
      </c>
      <c r="D2" s="174" t="s">
        <v>166</v>
      </c>
      <c r="E2" s="174"/>
      <c r="F2" s="174"/>
      <c r="G2" s="146"/>
    </row>
    <row r="3" customFormat="false" ht="18.75" hidden="false" customHeight="true" outlineLevel="0" collapsed="false">
      <c r="A3" s="130"/>
      <c r="B3" s="175"/>
      <c r="C3" s="175"/>
      <c r="D3" s="174"/>
      <c r="E3" s="174"/>
      <c r="F3" s="174"/>
      <c r="G3" s="146"/>
    </row>
    <row r="4" customFormat="false" ht="12.75" hidden="false" customHeight="false" outlineLevel="0" collapsed="false">
      <c r="A4" s="130"/>
      <c r="B4" s="176"/>
      <c r="C4" s="176"/>
      <c r="D4" s="159"/>
      <c r="E4" s="170"/>
      <c r="F4" s="171"/>
      <c r="G4" s="146"/>
    </row>
    <row r="5" customFormat="false" ht="12.75" hidden="false" customHeight="false" outlineLevel="0" collapsed="false">
      <c r="A5" s="130"/>
      <c r="B5" s="177" t="s">
        <v>167</v>
      </c>
      <c r="C5" s="177"/>
      <c r="D5" s="177"/>
      <c r="E5" s="178" t="n">
        <f aca="false">'SE Short'!D106</f>
        <v>333908</v>
      </c>
      <c r="F5" s="171"/>
      <c r="G5" s="146"/>
    </row>
    <row r="6" customFormat="false" ht="12.75" hidden="false" customHeight="false" outlineLevel="0" collapsed="false">
      <c r="A6" s="130"/>
      <c r="B6" s="176" t="s">
        <v>168</v>
      </c>
      <c r="C6" s="176" t="str">
        <f aca="false">C2</f>
        <v>2026-27</v>
      </c>
      <c r="D6" s="179"/>
      <c r="E6" s="146" t="n">
        <f aca="false">IF((E5&gt;0),Admin!N$4,0)</f>
        <v>12570</v>
      </c>
      <c r="F6" s="171"/>
      <c r="G6" s="146"/>
    </row>
    <row r="7" customFormat="false" ht="12.75" hidden="false" customHeight="false" outlineLevel="0" collapsed="false">
      <c r="A7" s="130"/>
      <c r="B7" s="177" t="s">
        <v>169</v>
      </c>
      <c r="C7" s="177"/>
      <c r="D7" s="177"/>
      <c r="E7" s="178" t="n">
        <f aca="false">IF((E5&gt;Admin!N4),(E5-E6),0)</f>
        <v>321338</v>
      </c>
      <c r="F7" s="171"/>
      <c r="G7" s="146"/>
    </row>
    <row r="8" customFormat="false" ht="12.75" hidden="false" customHeight="false" outlineLevel="0" collapsed="false">
      <c r="A8" s="130"/>
      <c r="B8" s="176" t="s">
        <v>170</v>
      </c>
      <c r="C8" s="180" t="n">
        <f aca="false">Admin!N12</f>
        <v>0</v>
      </c>
      <c r="D8" s="181" t="n">
        <f aca="false">Admin!N7</f>
        <v>0.2</v>
      </c>
      <c r="E8" s="170" t="n">
        <f aca="false">IF((E7&gt;0),(IF((E7&lt;C9),E7*D8,C9*D8)),0)</f>
        <v>7540.2</v>
      </c>
      <c r="F8" s="171"/>
      <c r="G8" s="146"/>
      <c r="H8" s="182"/>
    </row>
    <row r="9" customFormat="false" ht="12.75" hidden="false" customHeight="false" outlineLevel="0" collapsed="false">
      <c r="A9" s="130"/>
      <c r="B9" s="176" t="s">
        <v>171</v>
      </c>
      <c r="C9" s="180" t="n">
        <f aca="false">Admin!N13</f>
        <v>37701</v>
      </c>
      <c r="D9" s="181" t="n">
        <f aca="false">Admin!N8</f>
        <v>0.4</v>
      </c>
      <c r="E9" s="170" t="n">
        <f aca="false">IF((E7&gt;C9),((E7-C9)*D9),0)</f>
        <v>113454.8</v>
      </c>
      <c r="F9" s="171"/>
      <c r="G9" s="146"/>
    </row>
    <row r="10" customFormat="false" ht="12.75" hidden="false" customHeight="false" outlineLevel="0" collapsed="false">
      <c r="A10" s="130"/>
      <c r="B10" s="183" t="s">
        <v>172</v>
      </c>
      <c r="C10" s="184"/>
      <c r="D10" s="185"/>
      <c r="E10" s="186" t="n">
        <f aca="false">SUM(E8:E9)</f>
        <v>120995</v>
      </c>
      <c r="F10" s="171"/>
      <c r="G10" s="146"/>
    </row>
    <row r="11" customFormat="false" ht="12.75" hidden="false" customHeight="false" outlineLevel="0" collapsed="false">
      <c r="A11" s="130"/>
      <c r="B11" s="176" t="s">
        <v>173</v>
      </c>
      <c r="C11" s="176"/>
      <c r="D11" s="187"/>
      <c r="E11" s="170" t="n">
        <f aca="false">-SalesMar!$K$1</f>
        <v>-0</v>
      </c>
      <c r="F11" s="188"/>
      <c r="G11" s="189"/>
    </row>
    <row r="12" customFormat="false" ht="12.75" hidden="false" customHeight="false" outlineLevel="0" collapsed="false">
      <c r="A12" s="130"/>
      <c r="B12" s="176"/>
      <c r="C12" s="176"/>
      <c r="D12" s="187"/>
      <c r="E12" s="170"/>
      <c r="F12" s="188"/>
      <c r="G12" s="189"/>
    </row>
    <row r="13" customFormat="false" ht="12.75" hidden="false" customHeight="false" outlineLevel="0" collapsed="false">
      <c r="A13" s="130"/>
      <c r="B13" s="190" t="s">
        <v>174</v>
      </c>
      <c r="C13" s="191" t="n">
        <f aca="false">Admin!B21</f>
        <v>46783</v>
      </c>
      <c r="D13" s="191"/>
      <c r="E13" s="170"/>
      <c r="F13" s="188"/>
      <c r="G13" s="189"/>
    </row>
    <row r="14" customFormat="false" ht="12.75" hidden="false" customHeight="false" outlineLevel="0" collapsed="false">
      <c r="A14" s="130"/>
      <c r="B14" s="176"/>
      <c r="C14" s="176"/>
      <c r="D14" s="192"/>
      <c r="E14" s="193"/>
      <c r="F14" s="171"/>
      <c r="G14" s="189"/>
    </row>
    <row r="15" customFormat="false" ht="12.75" hidden="false" customHeight="false" outlineLevel="0" collapsed="false">
      <c r="A15" s="130"/>
      <c r="B15" s="194" t="s">
        <v>175</v>
      </c>
      <c r="C15" s="194"/>
      <c r="D15" s="181" t="n">
        <f aca="false">Admin!L$20</f>
        <v>0.06</v>
      </c>
      <c r="E15" s="195" t="n">
        <f aca="false">IF(E5&gt;Admin!N20,IF(E5&lt;Admin!N$23,(E5-Admin!N20)*D15,(Admin!N$23-Admin!N20)*D15),0)</f>
        <v>2262</v>
      </c>
      <c r="F15" s="171"/>
      <c r="G15" s="189"/>
      <c r="J15" s="196"/>
    </row>
    <row r="16" customFormat="false" ht="12.75" hidden="false" customHeight="false" outlineLevel="0" collapsed="false">
      <c r="A16" s="130"/>
      <c r="B16" s="194" t="s">
        <v>176</v>
      </c>
      <c r="C16" s="194"/>
      <c r="D16" s="181" t="n">
        <f aca="false">Admin!L$23</f>
        <v>0.02</v>
      </c>
      <c r="E16" s="195" t="n">
        <f aca="false">IF((E5&gt;Admin!N$23),((E5-Admin!N$23)*D16),0)</f>
        <v>5672.76</v>
      </c>
      <c r="F16" s="171"/>
      <c r="G16" s="189"/>
      <c r="J16" s="196"/>
    </row>
    <row r="17" customFormat="false" ht="12.75" hidden="false" customHeight="false" outlineLevel="0" collapsed="false">
      <c r="A17" s="130"/>
      <c r="B17" s="176"/>
      <c r="C17" s="176"/>
      <c r="D17" s="192"/>
      <c r="E17" s="193"/>
      <c r="F17" s="171"/>
      <c r="G17" s="189"/>
      <c r="J17" s="196"/>
    </row>
    <row r="18" customFormat="false" ht="12.75" hidden="false" customHeight="false" outlineLevel="0" collapsed="false">
      <c r="A18" s="130"/>
      <c r="B18" s="197" t="s">
        <v>177</v>
      </c>
      <c r="C18" s="197"/>
      <c r="D18" s="192"/>
      <c r="E18" s="186" t="n">
        <f aca="false">SUM(E10:E17)</f>
        <v>128929.76</v>
      </c>
      <c r="F18" s="171"/>
      <c r="G18" s="146"/>
      <c r="J18" s="196"/>
    </row>
    <row r="19" customFormat="false" ht="12.75" hidden="false" customHeight="false" outlineLevel="0" collapsed="false">
      <c r="A19" s="130"/>
      <c r="B19" s="150"/>
      <c r="C19" s="150"/>
      <c r="D19" s="192"/>
      <c r="E19" s="193"/>
      <c r="F19" s="171"/>
      <c r="G19" s="146"/>
    </row>
    <row r="20" customFormat="false" ht="12.75" hidden="false" customHeight="false" outlineLevel="0" collapsed="false">
      <c r="A20" s="130"/>
      <c r="B20" s="150"/>
      <c r="C20" s="150"/>
      <c r="D20" s="192"/>
      <c r="E20" s="193"/>
      <c r="F20" s="171"/>
      <c r="G20" s="146"/>
    </row>
    <row r="21" customFormat="false" ht="18" hidden="false" customHeight="true" outlineLevel="0" collapsed="false">
      <c r="A21" s="130"/>
      <c r="B21" s="183" t="s">
        <v>178</v>
      </c>
      <c r="C21" s="198"/>
      <c r="D21" s="199" t="s">
        <v>179</v>
      </c>
      <c r="E21" s="199"/>
      <c r="F21" s="199"/>
      <c r="G21" s="130"/>
    </row>
    <row r="22" customFormat="false" ht="12.75" hidden="false" customHeight="true" outlineLevel="0" collapsed="false">
      <c r="A22" s="130"/>
      <c r="B22" s="176"/>
      <c r="C22" s="176"/>
      <c r="D22" s="192"/>
      <c r="E22" s="193"/>
      <c r="F22" s="171"/>
      <c r="G22" s="189"/>
    </row>
    <row r="23" s="202" customFormat="true" ht="12.75" hidden="false" customHeight="true" outlineLevel="0" collapsed="false">
      <c r="A23" s="154"/>
      <c r="B23" s="176"/>
      <c r="C23" s="176"/>
      <c r="D23" s="200" t="s">
        <v>180</v>
      </c>
      <c r="E23" s="201" t="s">
        <v>181</v>
      </c>
      <c r="F23" s="180"/>
      <c r="G23" s="146"/>
    </row>
    <row r="24" s="202" customFormat="true" ht="12.75" hidden="false" customHeight="false" outlineLevel="0" collapsed="false">
      <c r="A24" s="154"/>
      <c r="B24" s="176"/>
      <c r="C24" s="176"/>
      <c r="D24" s="200"/>
      <c r="E24" s="200"/>
      <c r="F24" s="180"/>
      <c r="G24" s="146"/>
    </row>
    <row r="25" customFormat="false" ht="12.75" hidden="false" customHeight="false" outlineLevel="0" collapsed="false">
      <c r="A25" s="130"/>
      <c r="B25" s="176" t="s">
        <v>182</v>
      </c>
      <c r="C25" s="203" t="str">
        <f aca="false">Admin!B24</f>
        <v>2027-28</v>
      </c>
      <c r="D25" s="204" t="s">
        <v>183</v>
      </c>
      <c r="E25" s="195" t="n">
        <f aca="false">E18</f>
        <v>128929.76</v>
      </c>
      <c r="F25" s="171"/>
      <c r="G25" s="146"/>
    </row>
    <row r="26" customFormat="false" ht="12.75" hidden="false" customHeight="false" outlineLevel="0" collapsed="false">
      <c r="A26" s="130"/>
      <c r="B26" s="176" t="s">
        <v>184</v>
      </c>
      <c r="C26" s="176"/>
      <c r="D26" s="205" t="n">
        <f aca="false">Admin!B21</f>
        <v>46783</v>
      </c>
      <c r="E26" s="178" t="n">
        <f aca="false">E25/2</f>
        <v>64464.88</v>
      </c>
      <c r="F26" s="171"/>
      <c r="G26" s="146"/>
    </row>
    <row r="27" customFormat="false" ht="12.75" hidden="false" customHeight="false" outlineLevel="0" collapsed="false">
      <c r="A27" s="130"/>
      <c r="B27" s="176" t="s">
        <v>184</v>
      </c>
      <c r="C27" s="176"/>
      <c r="D27" s="205" t="n">
        <f aca="false">Admin!B22</f>
        <v>46965</v>
      </c>
      <c r="E27" s="178" t="n">
        <f aca="false">E25/2</f>
        <v>64464.88</v>
      </c>
      <c r="F27" s="171"/>
      <c r="G27" s="146"/>
    </row>
    <row r="28" customFormat="false" ht="12.75" hidden="false" customHeight="false" outlineLevel="0" collapsed="false">
      <c r="A28" s="130"/>
      <c r="B28" s="130"/>
      <c r="C28" s="130"/>
      <c r="D28" s="192"/>
      <c r="E28" s="170"/>
      <c r="F28" s="171"/>
      <c r="G28" s="146"/>
    </row>
    <row r="29" customFormat="false" ht="12.75" hidden="false" customHeight="false" outlineLevel="0" collapsed="false">
      <c r="A29" s="130"/>
      <c r="B29" s="206" t="s">
        <v>185</v>
      </c>
      <c r="C29" s="207"/>
      <c r="D29" s="192"/>
      <c r="E29" s="170"/>
      <c r="F29" s="171"/>
      <c r="G29" s="146"/>
    </row>
    <row r="30" customFormat="false" ht="12.75" hidden="false" customHeight="false" outlineLevel="0" collapsed="false">
      <c r="A30" s="130"/>
      <c r="B30" s="208" t="s">
        <v>186</v>
      </c>
      <c r="C30" s="208"/>
      <c r="D30" s="130"/>
      <c r="E30" s="209"/>
      <c r="F30" s="171"/>
      <c r="G30" s="210"/>
    </row>
    <row r="31" customFormat="false" ht="12.75" hidden="false" customHeight="false" outlineLevel="0" collapsed="false">
      <c r="A31" s="130"/>
      <c r="B31" s="211" t="s">
        <v>187</v>
      </c>
      <c r="C31" s="211"/>
      <c r="D31" s="212"/>
      <c r="E31" s="209"/>
      <c r="F31" s="171"/>
      <c r="G31" s="210"/>
    </row>
    <row r="32" customFormat="false" ht="12.75" hidden="false" customHeight="false" outlineLevel="0" collapsed="false">
      <c r="A32" s="130"/>
      <c r="B32" s="213" t="s">
        <v>188</v>
      </c>
      <c r="C32" s="211"/>
      <c r="D32" s="212"/>
      <c r="E32" s="209"/>
      <c r="F32" s="171"/>
      <c r="G32" s="210"/>
    </row>
    <row r="33" customFormat="false" ht="12.75" hidden="false" customHeight="false" outlineLevel="0" collapsed="false">
      <c r="A33" s="130"/>
      <c r="B33" s="207" t="s">
        <v>189</v>
      </c>
      <c r="C33" s="207"/>
      <c r="D33" s="212"/>
      <c r="E33" s="214"/>
      <c r="F33" s="171"/>
      <c r="G33" s="210"/>
    </row>
    <row r="34" customFormat="false" ht="12.75" hidden="false" customHeight="false" outlineLevel="0" collapsed="false">
      <c r="A34" s="130"/>
      <c r="B34" s="207" t="s">
        <v>190</v>
      </c>
      <c r="C34" s="207"/>
      <c r="D34" s="212"/>
      <c r="E34" s="214"/>
      <c r="F34" s="171"/>
      <c r="G34" s="210"/>
    </row>
    <row r="35" customFormat="false" ht="12.75" hidden="false" customHeight="false" outlineLevel="0" collapsed="false">
      <c r="A35" s="130"/>
      <c r="B35" s="207" t="s">
        <v>191</v>
      </c>
      <c r="C35" s="207"/>
      <c r="D35" s="212"/>
      <c r="E35" s="214"/>
      <c r="F35" s="171"/>
      <c r="G35" s="210"/>
    </row>
    <row r="36" customFormat="false" ht="12.75" hidden="false" customHeight="false" outlineLevel="0" collapsed="false">
      <c r="A36" s="130"/>
      <c r="B36" s="130"/>
      <c r="C36" s="130"/>
      <c r="D36" s="212"/>
      <c r="E36" s="214"/>
      <c r="F36" s="171"/>
      <c r="G36" s="210"/>
    </row>
  </sheetData>
  <mergeCells count="10">
    <mergeCell ref="D2:F3"/>
    <mergeCell ref="B5:D5"/>
    <mergeCell ref="B7:D7"/>
    <mergeCell ref="C13:D13"/>
    <mergeCell ref="B15:C15"/>
    <mergeCell ref="B16:C16"/>
    <mergeCell ref="B18:C18"/>
    <mergeCell ref="D21:F21"/>
    <mergeCell ref="D23:D24"/>
    <mergeCell ref="E23:E24"/>
  </mergeCells>
  <printOptions headings="false" gridLines="false" gridLinesSet="true" horizontalCentered="false" verticalCentered="false"/>
  <pageMargins left="0.747916666666667" right="0.747916666666667" top="0.984027777777778" bottom="0.984027777777778" header="0.511805555555556" footer="0.511805555555556"/>
  <pageSetup paperSize="9" scale="100" fitToWidth="1" fitToHeight="1" pageOrder="downThenOver" orientation="portrait" blackAndWhite="false" draft="false" cellComments="none" horizontalDpi="300" verticalDpi="300" copies="1"/>
  <headerFooter differentFirst="false" differentOddEven="false">
    <oddHeader>&amp;C&amp;"Arial,Bold"&amp;11Provisional tax calculation
&amp;"Arial,Regular"&amp;10precise figures will depend upon personal circumstances</oddHeader>
    <oddFooter>&amp;L&amp;D  &amp;T&amp;C&amp;P  of  &amp;N&amp;R&amp;F  &amp;A</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 zeroHeight="false" outlineLevelRow="0" outlineLevelCol="0"/>
  <cols>
    <col collapsed="false" customWidth="true" hidden="false" outlineLevel="0" max="1" min="1" style="215" width="0.66"/>
    <col collapsed="false" customWidth="true" hidden="false" outlineLevel="0" max="2" min="2" style="216" width="8.33"/>
    <col collapsed="false" customWidth="true" hidden="false" outlineLevel="0" max="3" min="3" style="217" width="22.66"/>
    <col collapsed="false" customWidth="true" hidden="false" outlineLevel="0" max="4" min="4" style="218" width="16.32"/>
    <col collapsed="false" customWidth="true" hidden="false" outlineLevel="0" max="5" min="5" style="219" width="8.66"/>
    <col collapsed="false" customWidth="true" hidden="false" outlineLevel="0" max="6" min="6" style="219" width="0.66"/>
    <col collapsed="false" customWidth="true" hidden="false" outlineLevel="0" max="7" min="7" style="220" width="6.66"/>
    <col collapsed="false" customWidth="true" hidden="false" outlineLevel="0" max="8" min="8" style="219" width="0.66"/>
    <col collapsed="false" customWidth="true" hidden="false" outlineLevel="0" max="9" min="9" style="221" width="10.99"/>
    <col collapsed="false" customWidth="true" hidden="false" outlineLevel="0" max="10" min="10" style="222" width="5.99"/>
    <col collapsed="false" customWidth="true" hidden="false" outlineLevel="0" max="12" min="11" style="221" width="8.66"/>
    <col collapsed="false" customWidth="true" hidden="false" outlineLevel="0" max="13" min="13" style="221" width="10.66"/>
    <col collapsed="false" customWidth="true" hidden="false" outlineLevel="0" max="14" min="14" style="221" width="0.66"/>
    <col collapsed="false" customWidth="true" hidden="false" outlineLevel="0" max="15" min="15" style="216" width="8.33"/>
    <col collapsed="false" customWidth="true" hidden="false" outlineLevel="0" max="16" min="16" style="219" width="9.66"/>
    <col collapsed="false" customWidth="true" hidden="false" outlineLevel="0" max="17" min="17" style="221" width="8.33"/>
    <col collapsed="false" customWidth="true" hidden="false" outlineLevel="0" max="18" min="18" style="221" width="7.66"/>
    <col collapsed="false" customWidth="true" hidden="false" outlineLevel="0" max="19" min="19" style="215" width="0.66"/>
    <col collapsed="false" customWidth="false" hidden="false" outlineLevel="0" max="257" min="20" style="215" width="9.15"/>
  </cols>
  <sheetData>
    <row r="1" s="233" customFormat="true" ht="13.5" hidden="false" customHeight="true" outlineLevel="0" collapsed="false">
      <c r="A1" s="223"/>
      <c r="B1" s="224" t="s">
        <v>192</v>
      </c>
      <c r="C1" s="225" t="s">
        <v>193</v>
      </c>
      <c r="D1" s="225"/>
      <c r="E1" s="226" t="n">
        <f aca="false">E57+E110</f>
        <v>0</v>
      </c>
      <c r="F1" s="227"/>
      <c r="G1" s="228" t="s">
        <v>194</v>
      </c>
      <c r="H1" s="227"/>
      <c r="I1" s="227" t="n">
        <f aca="false">I57+I110</f>
        <v>0</v>
      </c>
      <c r="J1" s="229" t="s">
        <v>195</v>
      </c>
      <c r="K1" s="227" t="n">
        <f aca="false">K57+K110</f>
        <v>0</v>
      </c>
      <c r="L1" s="227" t="n">
        <f aca="false">L57+L110</f>
        <v>0</v>
      </c>
      <c r="M1" s="227" t="n">
        <f aca="false">M57+M110</f>
        <v>0</v>
      </c>
      <c r="N1" s="230"/>
      <c r="O1" s="231" t="s">
        <v>196</v>
      </c>
      <c r="P1" s="227" t="n">
        <f aca="false">P57+P110</f>
        <v>0</v>
      </c>
      <c r="Q1" s="227" t="n">
        <f aca="false">Q57+Q110</f>
        <v>0</v>
      </c>
      <c r="R1" s="227" t="n">
        <f aca="false">R57+R110</f>
        <v>0</v>
      </c>
      <c r="S1" s="232"/>
    </row>
    <row r="2" customFormat="false" ht="12" hidden="false" customHeight="true" outlineLevel="0" collapsed="false">
      <c r="A2" s="223"/>
      <c r="B2" s="224"/>
      <c r="C2" s="234" t="s">
        <v>197</v>
      </c>
      <c r="D2" s="235" t="s">
        <v>198</v>
      </c>
      <c r="E2" s="236" t="s">
        <v>199</v>
      </c>
      <c r="F2" s="227"/>
      <c r="G2" s="228"/>
      <c r="H2" s="227"/>
      <c r="I2" s="236" t="s">
        <v>200</v>
      </c>
      <c r="J2" s="229"/>
      <c r="K2" s="236" t="s">
        <v>201</v>
      </c>
      <c r="L2" s="236" t="s">
        <v>202</v>
      </c>
      <c r="M2" s="236" t="s">
        <v>203</v>
      </c>
      <c r="N2" s="230"/>
      <c r="O2" s="231"/>
      <c r="P2" s="237" t="s">
        <v>204</v>
      </c>
      <c r="Q2" s="236" t="s">
        <v>205</v>
      </c>
      <c r="R2" s="236" t="s">
        <v>206</v>
      </c>
      <c r="S2" s="238"/>
    </row>
    <row r="3" customFormat="false" ht="12" hidden="false" customHeight="true" outlineLevel="0" collapsed="false">
      <c r="A3" s="223"/>
      <c r="B3" s="224"/>
      <c r="C3" s="234"/>
      <c r="D3" s="235"/>
      <c r="E3" s="236"/>
      <c r="F3" s="227"/>
      <c r="G3" s="228"/>
      <c r="H3" s="227"/>
      <c r="I3" s="236"/>
      <c r="J3" s="229"/>
      <c r="K3" s="236"/>
      <c r="L3" s="236"/>
      <c r="M3" s="236"/>
      <c r="N3" s="230"/>
      <c r="O3" s="231"/>
      <c r="P3" s="237"/>
      <c r="Q3" s="237"/>
      <c r="R3" s="237"/>
      <c r="S3" s="238"/>
    </row>
    <row r="4" s="243" customFormat="true" ht="12.75" hidden="false" customHeight="true" outlineLevel="0" collapsed="false">
      <c r="A4" s="223"/>
      <c r="B4" s="224"/>
      <c r="C4" s="234"/>
      <c r="D4" s="235"/>
      <c r="E4" s="236"/>
      <c r="F4" s="227"/>
      <c r="G4" s="228"/>
      <c r="H4" s="227"/>
      <c r="I4" s="239" t="n">
        <f aca="false">Admin!B4</f>
        <v>46118</v>
      </c>
      <c r="J4" s="240" t="n">
        <f aca="false">Admin!G4</f>
        <v>1</v>
      </c>
      <c r="K4" s="236"/>
      <c r="L4" s="241" t="n">
        <f aca="false">Admin!G5</f>
        <v>0.14</v>
      </c>
      <c r="M4" s="239" t="n">
        <f aca="false">Admin!B17</f>
        <v>46482</v>
      </c>
      <c r="N4" s="230"/>
      <c r="O4" s="231"/>
      <c r="P4" s="237"/>
      <c r="Q4" s="237"/>
      <c r="R4" s="237"/>
      <c r="S4" s="242"/>
    </row>
    <row r="5" s="243" customFormat="true" ht="6" hidden="false" customHeight="true" outlineLevel="0" collapsed="false">
      <c r="A5" s="244"/>
      <c r="B5" s="245"/>
      <c r="C5" s="246"/>
      <c r="D5" s="247"/>
      <c r="E5" s="248"/>
      <c r="F5" s="249"/>
      <c r="G5" s="250"/>
      <c r="H5" s="249"/>
      <c r="I5" s="248"/>
      <c r="J5" s="247"/>
      <c r="K5" s="251"/>
      <c r="L5" s="252"/>
      <c r="M5" s="248"/>
      <c r="N5" s="249"/>
      <c r="O5" s="245"/>
      <c r="P5" s="248"/>
      <c r="Q5" s="248"/>
      <c r="R5" s="248"/>
      <c r="S5" s="242"/>
    </row>
    <row r="6" customFormat="false" ht="13.5" hidden="false" customHeight="true" outlineLevel="0" collapsed="false">
      <c r="A6" s="253"/>
      <c r="B6" s="254" t="s">
        <v>207</v>
      </c>
      <c r="C6" s="254"/>
      <c r="D6" s="255" t="n">
        <f aca="false">Admin!B$4</f>
        <v>46118</v>
      </c>
      <c r="E6" s="256"/>
      <c r="F6" s="256"/>
      <c r="G6" s="257"/>
      <c r="H6" s="256"/>
      <c r="I6" s="258"/>
      <c r="J6" s="259"/>
      <c r="K6" s="258"/>
      <c r="L6" s="258"/>
      <c r="M6" s="258"/>
      <c r="N6" s="258"/>
      <c r="O6" s="260"/>
      <c r="P6" s="261"/>
      <c r="Q6" s="258"/>
      <c r="R6" s="258"/>
      <c r="S6" s="238"/>
    </row>
    <row r="7" customFormat="false" ht="13.5" hidden="false" customHeight="true" outlineLevel="0" collapsed="false">
      <c r="A7" s="253"/>
      <c r="B7" s="262" t="s">
        <v>208</v>
      </c>
      <c r="C7" s="262"/>
      <c r="D7" s="263"/>
      <c r="E7" s="256"/>
      <c r="F7" s="256"/>
      <c r="G7" s="257"/>
      <c r="H7" s="256"/>
      <c r="I7" s="258"/>
      <c r="J7" s="259"/>
      <c r="K7" s="258"/>
      <c r="L7" s="258"/>
      <c r="M7" s="258"/>
      <c r="N7" s="258"/>
      <c r="O7" s="260"/>
      <c r="P7" s="261"/>
      <c r="Q7" s="258"/>
      <c r="R7" s="258"/>
      <c r="S7" s="238"/>
    </row>
    <row r="8" customFormat="false" ht="12" hidden="false" customHeight="false" outlineLevel="0" collapsed="false">
      <c r="A8" s="253"/>
      <c r="B8" s="264"/>
      <c r="C8" s="265"/>
      <c r="D8" s="266"/>
      <c r="E8" s="267"/>
      <c r="F8" s="261"/>
      <c r="G8" s="268"/>
      <c r="H8" s="261"/>
      <c r="I8" s="258"/>
      <c r="J8" s="259"/>
      <c r="K8" s="258"/>
      <c r="L8" s="258"/>
      <c r="M8" s="258"/>
      <c r="N8" s="258"/>
      <c r="O8" s="264"/>
      <c r="P8" s="267"/>
      <c r="Q8" s="258"/>
      <c r="R8" s="258"/>
      <c r="S8" s="238"/>
    </row>
    <row r="9" customFormat="false" ht="12" hidden="false" customHeight="false" outlineLevel="0" collapsed="false">
      <c r="A9" s="253"/>
      <c r="B9" s="264"/>
      <c r="C9" s="265"/>
      <c r="D9" s="266"/>
      <c r="E9" s="267"/>
      <c r="F9" s="261"/>
      <c r="G9" s="268"/>
      <c r="H9" s="261"/>
      <c r="I9" s="258"/>
      <c r="J9" s="259"/>
      <c r="K9" s="258"/>
      <c r="L9" s="258"/>
      <c r="M9" s="258"/>
      <c r="N9" s="258"/>
      <c r="O9" s="264"/>
      <c r="P9" s="267"/>
      <c r="Q9" s="258"/>
      <c r="R9" s="258"/>
      <c r="S9" s="238"/>
    </row>
    <row r="10" customFormat="false" ht="12" hidden="false" customHeight="false" outlineLevel="0" collapsed="false">
      <c r="A10" s="253"/>
      <c r="B10" s="264"/>
      <c r="C10" s="265"/>
      <c r="D10" s="266"/>
      <c r="E10" s="267"/>
      <c r="F10" s="261"/>
      <c r="G10" s="268"/>
      <c r="H10" s="261"/>
      <c r="I10" s="258"/>
      <c r="J10" s="259"/>
      <c r="K10" s="258"/>
      <c r="L10" s="258"/>
      <c r="M10" s="258"/>
      <c r="N10" s="258"/>
      <c r="O10" s="264"/>
      <c r="P10" s="267"/>
      <c r="Q10" s="258"/>
      <c r="R10" s="258"/>
      <c r="S10" s="238"/>
    </row>
    <row r="11" customFormat="false" ht="12" hidden="false" customHeight="true" outlineLevel="0" collapsed="false">
      <c r="A11" s="253"/>
      <c r="B11" s="269" t="s">
        <v>209</v>
      </c>
      <c r="C11" s="269"/>
      <c r="D11" s="269"/>
      <c r="E11" s="270" t="n">
        <f aca="false">SUM(E8:E10)</f>
        <v>0</v>
      </c>
      <c r="F11" s="261"/>
      <c r="G11" s="268"/>
      <c r="H11" s="261"/>
      <c r="I11" s="271" t="n">
        <f aca="false">SUM(I8:I10)</f>
        <v>0</v>
      </c>
      <c r="J11" s="272"/>
      <c r="K11" s="271" t="n">
        <f aca="false">SUM(K8:K10)</f>
        <v>0</v>
      </c>
      <c r="L11" s="271" t="n">
        <f aca="false">SUM(L8:L10)</f>
        <v>0</v>
      </c>
      <c r="M11" s="271" t="n">
        <f aca="false">SUM(M8:M10)</f>
        <v>0</v>
      </c>
      <c r="N11" s="258"/>
      <c r="O11" s="260"/>
      <c r="P11" s="270" t="n">
        <f aca="false">SUM(P8:P10)</f>
        <v>0</v>
      </c>
      <c r="Q11" s="271" t="n">
        <f aca="false">SUM(Q8:Q10)</f>
        <v>0</v>
      </c>
      <c r="R11" s="271" t="n">
        <f aca="false">SUM(R8:R10)</f>
        <v>0</v>
      </c>
      <c r="S11" s="238"/>
    </row>
    <row r="12" customFormat="false" ht="6" hidden="false" customHeight="true" outlineLevel="0" collapsed="false">
      <c r="A12" s="253"/>
      <c r="B12" s="273"/>
      <c r="C12" s="274"/>
      <c r="D12" s="275"/>
      <c r="E12" s="261"/>
      <c r="F12" s="261"/>
      <c r="G12" s="268"/>
      <c r="H12" s="261"/>
      <c r="I12" s="261"/>
      <c r="J12" s="272"/>
      <c r="K12" s="261"/>
      <c r="L12" s="261"/>
      <c r="M12" s="261"/>
      <c r="N12" s="258"/>
      <c r="O12" s="260"/>
      <c r="P12" s="261"/>
      <c r="Q12" s="261"/>
      <c r="R12" s="261"/>
      <c r="S12" s="238"/>
    </row>
    <row r="13" customFormat="false" ht="12" hidden="false" customHeight="true" outlineLevel="0" collapsed="false">
      <c r="A13" s="253"/>
      <c r="B13" s="262" t="s">
        <v>210</v>
      </c>
      <c r="C13" s="262"/>
      <c r="D13" s="272"/>
      <c r="E13" s="261"/>
      <c r="F13" s="261"/>
      <c r="G13" s="268"/>
      <c r="H13" s="261"/>
      <c r="I13" s="258"/>
      <c r="J13" s="259"/>
      <c r="K13" s="258"/>
      <c r="L13" s="258"/>
      <c r="M13" s="258"/>
      <c r="N13" s="258"/>
      <c r="O13" s="260"/>
      <c r="P13" s="261"/>
      <c r="Q13" s="258"/>
      <c r="R13" s="258"/>
      <c r="S13" s="238"/>
    </row>
    <row r="14" customFormat="false" ht="12" hidden="false" customHeight="false" outlineLevel="0" collapsed="false">
      <c r="A14" s="253"/>
      <c r="B14" s="264"/>
      <c r="C14" s="265"/>
      <c r="D14" s="266"/>
      <c r="E14" s="267"/>
      <c r="F14" s="261"/>
      <c r="G14" s="268"/>
      <c r="H14" s="261"/>
      <c r="I14" s="276"/>
      <c r="J14" s="259"/>
      <c r="K14" s="258"/>
      <c r="L14" s="258" t="str">
        <f aca="false">IF(I14&gt;0,I14*L$4," ")</f>
        <v> </v>
      </c>
      <c r="M14" s="258" t="str">
        <f aca="false">IF(I14&gt;0,I14-L14," ")</f>
        <v> </v>
      </c>
      <c r="N14" s="258"/>
      <c r="O14" s="264"/>
      <c r="P14" s="267"/>
      <c r="Q14" s="258" t="str">
        <f aca="false">IF((O14+P14)&gt;0,IF(P14&lt;M14,M14-P14," ")," ")</f>
        <v> </v>
      </c>
      <c r="R14" s="258" t="str">
        <f aca="false">IF((O14+P14)&gt;0,IF(P14&gt;M14,P14-M14," ")," ")</f>
        <v> </v>
      </c>
      <c r="S14" s="238"/>
    </row>
    <row r="15" customFormat="false" ht="12" hidden="false" customHeight="false" outlineLevel="0" collapsed="false">
      <c r="A15" s="253"/>
      <c r="B15" s="264"/>
      <c r="C15" s="265"/>
      <c r="D15" s="266"/>
      <c r="E15" s="267"/>
      <c r="F15" s="261"/>
      <c r="G15" s="268"/>
      <c r="H15" s="261"/>
      <c r="I15" s="276"/>
      <c r="J15" s="259"/>
      <c r="K15" s="258"/>
      <c r="L15" s="258" t="str">
        <f aca="false">IF(I15&gt;0,I15*L$4," ")</f>
        <v> </v>
      </c>
      <c r="M15" s="258" t="str">
        <f aca="false">IF(I15&gt;0,I15-L15," ")</f>
        <v> </v>
      </c>
      <c r="N15" s="258"/>
      <c r="O15" s="264"/>
      <c r="P15" s="267"/>
      <c r="Q15" s="258" t="str">
        <f aca="false">IF((O15+P15)&gt;0,IF(P15&lt;M15,M15-P15," ")," ")</f>
        <v> </v>
      </c>
      <c r="R15" s="258" t="str">
        <f aca="false">IF((O15+P15)&gt;0,IF(P15&gt;M15,P15-M15," ")," ")</f>
        <v> </v>
      </c>
      <c r="S15" s="238"/>
    </row>
    <row r="16" customFormat="false" ht="12" hidden="false" customHeight="false" outlineLevel="0" collapsed="false">
      <c r="A16" s="253"/>
      <c r="B16" s="264"/>
      <c r="C16" s="265"/>
      <c r="D16" s="266"/>
      <c r="E16" s="267"/>
      <c r="F16" s="261"/>
      <c r="G16" s="268"/>
      <c r="H16" s="261"/>
      <c r="I16" s="276"/>
      <c r="J16" s="259"/>
      <c r="K16" s="258"/>
      <c r="L16" s="258" t="str">
        <f aca="false">IF(I16&gt;0,I16*L$4," ")</f>
        <v> </v>
      </c>
      <c r="M16" s="258" t="str">
        <f aca="false">IF(I16&gt;0,I16-L16," ")</f>
        <v> </v>
      </c>
      <c r="N16" s="258"/>
      <c r="O16" s="264"/>
      <c r="P16" s="267"/>
      <c r="Q16" s="258" t="str">
        <f aca="false">IF((O16+P16)&gt;0,IF(P16&lt;M16,M16-P16," ")," ")</f>
        <v> </v>
      </c>
      <c r="R16" s="258" t="str">
        <f aca="false">IF((O16+P16)&gt;0,IF(P16&gt;M16,P16-M16," ")," ")</f>
        <v> </v>
      </c>
      <c r="S16" s="238"/>
    </row>
    <row r="17" customFormat="false" ht="12" hidden="false" customHeight="false" outlineLevel="0" collapsed="false">
      <c r="A17" s="253"/>
      <c r="B17" s="264"/>
      <c r="C17" s="265"/>
      <c r="D17" s="266"/>
      <c r="E17" s="267"/>
      <c r="F17" s="261"/>
      <c r="G17" s="268"/>
      <c r="H17" s="261"/>
      <c r="I17" s="276"/>
      <c r="J17" s="259"/>
      <c r="K17" s="258"/>
      <c r="L17" s="258" t="str">
        <f aca="false">IF(I17&gt;0,I17*L$4," ")</f>
        <v> </v>
      </c>
      <c r="M17" s="258" t="str">
        <f aca="false">IF(I17&gt;0,I17-L17," ")</f>
        <v> </v>
      </c>
      <c r="N17" s="258"/>
      <c r="O17" s="264"/>
      <c r="P17" s="267"/>
      <c r="Q17" s="258" t="str">
        <f aca="false">IF((O17+P17)&gt;0,IF(P17&lt;M17,M17-P17," ")," ")</f>
        <v> </v>
      </c>
      <c r="R17" s="258" t="str">
        <f aca="false">IF((O17+P17)&gt;0,IF(P17&gt;M17,P17-M17," ")," ")</f>
        <v> </v>
      </c>
      <c r="S17" s="238"/>
    </row>
    <row r="18" customFormat="false" ht="12" hidden="false" customHeight="false" outlineLevel="0" collapsed="false">
      <c r="A18" s="253"/>
      <c r="B18" s="264"/>
      <c r="C18" s="265"/>
      <c r="D18" s="266"/>
      <c r="E18" s="267"/>
      <c r="F18" s="261"/>
      <c r="G18" s="268"/>
      <c r="H18" s="261"/>
      <c r="I18" s="276"/>
      <c r="J18" s="259"/>
      <c r="K18" s="258"/>
      <c r="L18" s="258" t="str">
        <f aca="false">IF(I18&gt;0,I18*L$4," ")</f>
        <v> </v>
      </c>
      <c r="M18" s="258" t="str">
        <f aca="false">IF(I18&gt;0,I18-L18," ")</f>
        <v> </v>
      </c>
      <c r="N18" s="258"/>
      <c r="O18" s="264"/>
      <c r="P18" s="267"/>
      <c r="Q18" s="258" t="str">
        <f aca="false">IF((O18+P18)&gt;0,IF(P18&lt;M18,M18-P18," ")," ")</f>
        <v> </v>
      </c>
      <c r="R18" s="258" t="str">
        <f aca="false">IF((O18+P18)&gt;0,IF(P18&gt;M18,P18-M18," ")," ")</f>
        <v> </v>
      </c>
      <c r="S18" s="238"/>
    </row>
    <row r="19" customFormat="false" ht="12" hidden="false" customHeight="true" outlineLevel="0" collapsed="false">
      <c r="A19" s="253"/>
      <c r="B19" s="269" t="s">
        <v>211</v>
      </c>
      <c r="C19" s="269"/>
      <c r="D19" s="269"/>
      <c r="E19" s="270" t="n">
        <f aca="false">SUM(E14:E18)</f>
        <v>0</v>
      </c>
      <c r="F19" s="261"/>
      <c r="G19" s="268"/>
      <c r="H19" s="261"/>
      <c r="I19" s="271" t="n">
        <f aca="false">SUM(I14:I18)</f>
        <v>0</v>
      </c>
      <c r="J19" s="272"/>
      <c r="K19" s="271" t="n">
        <f aca="false">SUM(K14:K18)</f>
        <v>0</v>
      </c>
      <c r="L19" s="271" t="n">
        <f aca="false">SUM(L14:L18)</f>
        <v>0</v>
      </c>
      <c r="M19" s="271" t="n">
        <f aca="false">SUM(M14:M18)</f>
        <v>0</v>
      </c>
      <c r="N19" s="258"/>
      <c r="O19" s="260"/>
      <c r="P19" s="270" t="n">
        <f aca="false">SUM(P14:P18)</f>
        <v>0</v>
      </c>
      <c r="Q19" s="271" t="n">
        <f aca="false">SUM(Q14:Q18)</f>
        <v>0</v>
      </c>
      <c r="R19" s="271" t="n">
        <f aca="false">SUM(R14:R18)</f>
        <v>0</v>
      </c>
      <c r="S19" s="238"/>
    </row>
    <row r="20" customFormat="false" ht="6" hidden="false" customHeight="true" outlineLevel="0" collapsed="false">
      <c r="A20" s="253"/>
      <c r="B20" s="273"/>
      <c r="C20" s="274"/>
      <c r="D20" s="275"/>
      <c r="E20" s="261"/>
      <c r="F20" s="261"/>
      <c r="G20" s="268"/>
      <c r="H20" s="261"/>
      <c r="I20" s="261"/>
      <c r="J20" s="272"/>
      <c r="K20" s="261"/>
      <c r="L20" s="261"/>
      <c r="M20" s="261"/>
      <c r="N20" s="258"/>
      <c r="O20" s="260"/>
      <c r="P20" s="261"/>
      <c r="Q20" s="261"/>
      <c r="R20" s="261"/>
      <c r="S20" s="238"/>
    </row>
    <row r="21" customFormat="false" ht="12" hidden="false" customHeight="true" outlineLevel="0" collapsed="false">
      <c r="A21" s="253"/>
      <c r="B21" s="262" t="s">
        <v>212</v>
      </c>
      <c r="C21" s="262"/>
      <c r="D21" s="272"/>
      <c r="E21" s="261"/>
      <c r="F21" s="261"/>
      <c r="G21" s="268"/>
      <c r="H21" s="261"/>
      <c r="I21" s="258"/>
      <c r="J21" s="259"/>
      <c r="K21" s="258"/>
      <c r="L21" s="258"/>
      <c r="M21" s="258"/>
      <c r="N21" s="258"/>
      <c r="O21" s="260"/>
      <c r="P21" s="261"/>
      <c r="Q21" s="258"/>
      <c r="R21" s="258"/>
      <c r="S21" s="238"/>
    </row>
    <row r="22" customFormat="false" ht="12" hidden="false" customHeight="false" outlineLevel="0" collapsed="false">
      <c r="A22" s="253"/>
      <c r="B22" s="264"/>
      <c r="C22" s="265"/>
      <c r="D22" s="266"/>
      <c r="E22" s="267"/>
      <c r="F22" s="261"/>
      <c r="G22" s="268"/>
      <c r="H22" s="261"/>
      <c r="I22" s="276"/>
      <c r="J22" s="259"/>
      <c r="K22" s="258"/>
      <c r="L22" s="258" t="str">
        <f aca="false">IF(I22&gt;0,I22*L$4," ")</f>
        <v> </v>
      </c>
      <c r="M22" s="258" t="str">
        <f aca="false">IF(I22&gt;0,I22-L22," ")</f>
        <v> </v>
      </c>
      <c r="N22" s="258"/>
      <c r="O22" s="264"/>
      <c r="P22" s="267"/>
      <c r="Q22" s="258" t="str">
        <f aca="false">IF((O22+P22)&gt;0,IF(P22&lt;M22,M22-P22," ")," ")</f>
        <v> </v>
      </c>
      <c r="R22" s="258" t="str">
        <f aca="false">IF((O22+P22)&gt;0,IF(P22&gt;M22,P22-M22," ")," ")</f>
        <v> </v>
      </c>
      <c r="S22" s="238"/>
    </row>
    <row r="23" customFormat="false" ht="12" hidden="false" customHeight="false" outlineLevel="0" collapsed="false">
      <c r="A23" s="253"/>
      <c r="B23" s="264"/>
      <c r="C23" s="265"/>
      <c r="D23" s="266"/>
      <c r="E23" s="267"/>
      <c r="F23" s="261"/>
      <c r="G23" s="268"/>
      <c r="H23" s="261"/>
      <c r="I23" s="276"/>
      <c r="J23" s="259"/>
      <c r="K23" s="258"/>
      <c r="L23" s="258" t="str">
        <f aca="false">IF(I23&gt;0,I23*L$4," ")</f>
        <v> </v>
      </c>
      <c r="M23" s="258" t="str">
        <f aca="false">IF(I23&gt;0,I23-L23," ")</f>
        <v> </v>
      </c>
      <c r="N23" s="258"/>
      <c r="O23" s="264"/>
      <c r="P23" s="267"/>
      <c r="Q23" s="258" t="str">
        <f aca="false">IF((O23+P23)&gt;0,IF(P23&lt;M23,M23-P23," ")," ")</f>
        <v> </v>
      </c>
      <c r="R23" s="258" t="str">
        <f aca="false">IF((O23+P23)&gt;0,IF(P23&gt;M23,P23-M23," ")," ")</f>
        <v> </v>
      </c>
      <c r="S23" s="238"/>
    </row>
    <row r="24" customFormat="false" ht="12" hidden="false" customHeight="false" outlineLevel="0" collapsed="false">
      <c r="A24" s="253"/>
      <c r="B24" s="264"/>
      <c r="C24" s="265"/>
      <c r="D24" s="266"/>
      <c r="E24" s="267"/>
      <c r="F24" s="261"/>
      <c r="G24" s="268"/>
      <c r="H24" s="261"/>
      <c r="I24" s="276"/>
      <c r="J24" s="259"/>
      <c r="K24" s="258"/>
      <c r="L24" s="258" t="str">
        <f aca="false">IF(I24&gt;0,I24*L$4," ")</f>
        <v> </v>
      </c>
      <c r="M24" s="258" t="str">
        <f aca="false">IF(I24&gt;0,I24-L24," ")</f>
        <v> </v>
      </c>
      <c r="N24" s="258"/>
      <c r="O24" s="264"/>
      <c r="P24" s="267"/>
      <c r="Q24" s="258" t="str">
        <f aca="false">IF((O24+P24)&gt;0,IF(P24&lt;M24,M24-P24," ")," ")</f>
        <v> </v>
      </c>
      <c r="R24" s="258" t="str">
        <f aca="false">IF((O24+P24)&gt;0,IF(P24&gt;M24,P24-M24," ")," ")</f>
        <v> </v>
      </c>
      <c r="S24" s="238"/>
    </row>
    <row r="25" customFormat="false" ht="12" hidden="false" customHeight="false" outlineLevel="0" collapsed="false">
      <c r="A25" s="253"/>
      <c r="B25" s="264"/>
      <c r="C25" s="265"/>
      <c r="D25" s="266"/>
      <c r="E25" s="267"/>
      <c r="F25" s="261"/>
      <c r="G25" s="268"/>
      <c r="H25" s="261"/>
      <c r="I25" s="276"/>
      <c r="J25" s="259"/>
      <c r="K25" s="258"/>
      <c r="L25" s="258" t="str">
        <f aca="false">IF(I25&gt;0,I25*L$4," ")</f>
        <v> </v>
      </c>
      <c r="M25" s="258" t="str">
        <f aca="false">IF(I25&gt;0,I25-L25," ")</f>
        <v> </v>
      </c>
      <c r="N25" s="258"/>
      <c r="O25" s="264"/>
      <c r="P25" s="267"/>
      <c r="Q25" s="258" t="str">
        <f aca="false">IF((O25+P25)&gt;0,IF(P25&lt;M25,M25-P25," ")," ")</f>
        <v> </v>
      </c>
      <c r="R25" s="258" t="str">
        <f aca="false">IF((O25+P25)&gt;0,IF(P25&gt;M25,P25-M25," ")," ")</f>
        <v> </v>
      </c>
      <c r="S25" s="238"/>
    </row>
    <row r="26" customFormat="false" ht="12" hidden="false" customHeight="false" outlineLevel="0" collapsed="false">
      <c r="A26" s="253"/>
      <c r="B26" s="264"/>
      <c r="C26" s="265"/>
      <c r="D26" s="266"/>
      <c r="E26" s="267"/>
      <c r="F26" s="261"/>
      <c r="G26" s="268"/>
      <c r="H26" s="261"/>
      <c r="I26" s="276"/>
      <c r="J26" s="259"/>
      <c r="K26" s="258"/>
      <c r="L26" s="258" t="str">
        <f aca="false">IF(I26&gt;0,I26*L$4," ")</f>
        <v> </v>
      </c>
      <c r="M26" s="258" t="str">
        <f aca="false">IF(I26&gt;0,I26-L26," ")</f>
        <v> </v>
      </c>
      <c r="N26" s="258"/>
      <c r="O26" s="264"/>
      <c r="P26" s="267"/>
      <c r="Q26" s="258" t="str">
        <f aca="false">IF((O26+P26)&gt;0,IF(P26&lt;M26,M26-P26," ")," ")</f>
        <v> </v>
      </c>
      <c r="R26" s="258" t="str">
        <f aca="false">IF((O26+P26)&gt;0,IF(P26&gt;M26,P26-M26," ")," ")</f>
        <v> </v>
      </c>
      <c r="S26" s="238"/>
    </row>
    <row r="27" customFormat="false" ht="12" hidden="false" customHeight="true" outlineLevel="0" collapsed="false">
      <c r="A27" s="253"/>
      <c r="B27" s="269" t="s">
        <v>213</v>
      </c>
      <c r="C27" s="269"/>
      <c r="D27" s="269"/>
      <c r="E27" s="270" t="n">
        <f aca="false">SUM(E22:E26)</f>
        <v>0</v>
      </c>
      <c r="F27" s="261"/>
      <c r="G27" s="268"/>
      <c r="H27" s="261"/>
      <c r="I27" s="271" t="n">
        <f aca="false">SUM(I22:I26)</f>
        <v>0</v>
      </c>
      <c r="J27" s="272"/>
      <c r="K27" s="271" t="n">
        <f aca="false">SUM(K22:K26)</f>
        <v>0</v>
      </c>
      <c r="L27" s="271" t="n">
        <f aca="false">SUM(L22:L26)</f>
        <v>0</v>
      </c>
      <c r="M27" s="271" t="n">
        <f aca="false">SUM(M22:M26)</f>
        <v>0</v>
      </c>
      <c r="N27" s="258"/>
      <c r="O27" s="260"/>
      <c r="P27" s="270" t="n">
        <f aca="false">SUM(P22:P26)</f>
        <v>0</v>
      </c>
      <c r="Q27" s="271" t="n">
        <f aca="false">SUM(Q22:Q26)</f>
        <v>0</v>
      </c>
      <c r="R27" s="271" t="n">
        <f aca="false">SUM(R22:R26)</f>
        <v>0</v>
      </c>
      <c r="S27" s="238"/>
    </row>
    <row r="28" customFormat="false" ht="6" hidden="false" customHeight="true" outlineLevel="0" collapsed="false">
      <c r="A28" s="253"/>
      <c r="B28" s="273"/>
      <c r="C28" s="274"/>
      <c r="D28" s="275"/>
      <c r="E28" s="261"/>
      <c r="F28" s="261"/>
      <c r="G28" s="268"/>
      <c r="H28" s="261"/>
      <c r="I28" s="261"/>
      <c r="J28" s="272"/>
      <c r="K28" s="261"/>
      <c r="L28" s="261"/>
      <c r="M28" s="261"/>
      <c r="N28" s="258"/>
      <c r="O28" s="260"/>
      <c r="P28" s="261"/>
      <c r="Q28" s="261"/>
      <c r="R28" s="261"/>
      <c r="S28" s="238"/>
    </row>
    <row r="29" customFormat="false" ht="12" hidden="false" customHeight="true" outlineLevel="0" collapsed="false">
      <c r="A29" s="253"/>
      <c r="B29" s="262" t="s">
        <v>214</v>
      </c>
      <c r="C29" s="262"/>
      <c r="D29" s="277"/>
      <c r="E29" s="261"/>
      <c r="F29" s="261"/>
      <c r="G29" s="268"/>
      <c r="H29" s="261"/>
      <c r="I29" s="258"/>
      <c r="J29" s="259"/>
      <c r="K29" s="258"/>
      <c r="L29" s="258"/>
      <c r="M29" s="258"/>
      <c r="N29" s="258"/>
      <c r="O29" s="260"/>
      <c r="P29" s="261"/>
      <c r="Q29" s="258"/>
      <c r="R29" s="258"/>
      <c r="S29" s="238"/>
    </row>
    <row r="30" customFormat="false" ht="12" hidden="false" customHeight="false" outlineLevel="0" collapsed="false">
      <c r="A30" s="253"/>
      <c r="B30" s="264"/>
      <c r="C30" s="265"/>
      <c r="D30" s="266"/>
      <c r="E30" s="267"/>
      <c r="F30" s="261"/>
      <c r="G30" s="268"/>
      <c r="H30" s="261"/>
      <c r="I30" s="276"/>
      <c r="J30" s="259"/>
      <c r="K30" s="258"/>
      <c r="L30" s="258" t="str">
        <f aca="false">IF(I30&gt;0,I30*L$4," ")</f>
        <v> </v>
      </c>
      <c r="M30" s="258" t="str">
        <f aca="false">IF(I30&gt;0,I30-L30," ")</f>
        <v> </v>
      </c>
      <c r="N30" s="258"/>
      <c r="O30" s="264"/>
      <c r="P30" s="267"/>
      <c r="Q30" s="258" t="str">
        <f aca="false">IF((O30+P30)&gt;0,IF(P30&lt;M30,M30-P30," ")," ")</f>
        <v> </v>
      </c>
      <c r="R30" s="258" t="str">
        <f aca="false">IF((O30+P30)&gt;0,IF(P30&gt;M30,P30-M30," ")," ")</f>
        <v> </v>
      </c>
      <c r="S30" s="238"/>
    </row>
    <row r="31" customFormat="false" ht="12" hidden="false" customHeight="false" outlineLevel="0" collapsed="false">
      <c r="A31" s="253"/>
      <c r="B31" s="264"/>
      <c r="C31" s="265"/>
      <c r="D31" s="266"/>
      <c r="E31" s="267"/>
      <c r="F31" s="261"/>
      <c r="G31" s="268"/>
      <c r="H31" s="261"/>
      <c r="I31" s="276"/>
      <c r="J31" s="259"/>
      <c r="K31" s="258"/>
      <c r="L31" s="258" t="str">
        <f aca="false">IF(I31&gt;0,I31*L$4," ")</f>
        <v> </v>
      </c>
      <c r="M31" s="258" t="str">
        <f aca="false">IF(I31&gt;0,I31-L31," ")</f>
        <v> </v>
      </c>
      <c r="N31" s="258"/>
      <c r="O31" s="264"/>
      <c r="P31" s="267"/>
      <c r="Q31" s="258" t="str">
        <f aca="false">IF((O31+P31)&gt;0,IF(P31&lt;M31,M31-P31," ")," ")</f>
        <v> </v>
      </c>
      <c r="R31" s="258" t="str">
        <f aca="false">IF((O31+P31)&gt;0,IF(P31&gt;M31,P31-M31," ")," ")</f>
        <v> </v>
      </c>
      <c r="S31" s="238"/>
    </row>
    <row r="32" customFormat="false" ht="12" hidden="false" customHeight="false" outlineLevel="0" collapsed="false">
      <c r="A32" s="253"/>
      <c r="B32" s="264"/>
      <c r="C32" s="265"/>
      <c r="D32" s="266"/>
      <c r="E32" s="267"/>
      <c r="F32" s="261"/>
      <c r="G32" s="268"/>
      <c r="H32" s="261"/>
      <c r="I32" s="276"/>
      <c r="J32" s="259"/>
      <c r="K32" s="258"/>
      <c r="L32" s="258" t="str">
        <f aca="false">IF(I32&gt;0,I32*L$4," ")</f>
        <v> </v>
      </c>
      <c r="M32" s="258" t="str">
        <f aca="false">IF(I32&gt;0,I32-L32," ")</f>
        <v> </v>
      </c>
      <c r="N32" s="258"/>
      <c r="O32" s="264"/>
      <c r="P32" s="267"/>
      <c r="Q32" s="258" t="str">
        <f aca="false">IF((O32+P32)&gt;0,IF(P32&lt;M32,M32-P32," ")," ")</f>
        <v> </v>
      </c>
      <c r="R32" s="258" t="str">
        <f aca="false">IF((O32+P32)&gt;0,IF(P32&gt;M32,P32-M32," ")," ")</f>
        <v> </v>
      </c>
      <c r="S32" s="238"/>
    </row>
    <row r="33" customFormat="false" ht="12" hidden="false" customHeight="false" outlineLevel="0" collapsed="false">
      <c r="A33" s="253"/>
      <c r="B33" s="264"/>
      <c r="C33" s="265"/>
      <c r="D33" s="266"/>
      <c r="E33" s="267"/>
      <c r="F33" s="261"/>
      <c r="G33" s="268"/>
      <c r="H33" s="261"/>
      <c r="I33" s="276"/>
      <c r="J33" s="259"/>
      <c r="K33" s="258"/>
      <c r="L33" s="258" t="str">
        <f aca="false">IF(I33&gt;0,I33*L$4," ")</f>
        <v> </v>
      </c>
      <c r="M33" s="258" t="str">
        <f aca="false">IF(I33&gt;0,I33-L33," ")</f>
        <v> </v>
      </c>
      <c r="N33" s="258"/>
      <c r="O33" s="264"/>
      <c r="P33" s="267"/>
      <c r="Q33" s="258" t="str">
        <f aca="false">IF((O33+P33)&gt;0,IF(P33&lt;M33,M33-P33," ")," ")</f>
        <v> </v>
      </c>
      <c r="R33" s="258" t="str">
        <f aca="false">IF((O33+P33)&gt;0,IF(P33&gt;M33,P33-M33," ")," ")</f>
        <v> </v>
      </c>
      <c r="S33" s="238"/>
    </row>
    <row r="34" customFormat="false" ht="12" hidden="false" customHeight="false" outlineLevel="0" collapsed="false">
      <c r="A34" s="253"/>
      <c r="B34" s="264"/>
      <c r="C34" s="265"/>
      <c r="D34" s="266"/>
      <c r="E34" s="267"/>
      <c r="F34" s="261"/>
      <c r="G34" s="268"/>
      <c r="H34" s="261"/>
      <c r="I34" s="276"/>
      <c r="J34" s="259"/>
      <c r="K34" s="258"/>
      <c r="L34" s="258" t="str">
        <f aca="false">IF(I34&gt;0,I34*L$4," ")</f>
        <v> </v>
      </c>
      <c r="M34" s="258" t="str">
        <f aca="false">IF(I34&gt;0,I34-L34," ")</f>
        <v> </v>
      </c>
      <c r="N34" s="258"/>
      <c r="O34" s="264"/>
      <c r="P34" s="267"/>
      <c r="Q34" s="258" t="str">
        <f aca="false">IF((O34+P34)&gt;0,IF(P34&lt;M34,M34-P34," ")," ")</f>
        <v> </v>
      </c>
      <c r="R34" s="258" t="str">
        <f aca="false">IF((O34+P34)&gt;0,IF(P34&gt;M34,P34-M34," ")," ")</f>
        <v> </v>
      </c>
      <c r="S34" s="238"/>
    </row>
    <row r="35" customFormat="false" ht="12" hidden="false" customHeight="true" outlineLevel="0" collapsed="false">
      <c r="A35" s="253"/>
      <c r="B35" s="269" t="s">
        <v>215</v>
      </c>
      <c r="C35" s="269"/>
      <c r="D35" s="269"/>
      <c r="E35" s="270" t="n">
        <f aca="false">SUM(E30:E34)</f>
        <v>0</v>
      </c>
      <c r="F35" s="261"/>
      <c r="G35" s="268"/>
      <c r="H35" s="261"/>
      <c r="I35" s="271" t="n">
        <f aca="false">SUM(I30:I34)</f>
        <v>0</v>
      </c>
      <c r="J35" s="272"/>
      <c r="K35" s="271" t="n">
        <f aca="false">SUM(K30:K34)</f>
        <v>0</v>
      </c>
      <c r="L35" s="271" t="n">
        <f aca="false">SUM(L30:L34)</f>
        <v>0</v>
      </c>
      <c r="M35" s="271" t="n">
        <f aca="false">SUM(M30:M34)</f>
        <v>0</v>
      </c>
      <c r="N35" s="258"/>
      <c r="O35" s="260"/>
      <c r="P35" s="270" t="n">
        <f aca="false">SUM(P30:P34)</f>
        <v>0</v>
      </c>
      <c r="Q35" s="271" t="n">
        <f aca="false">SUM(Q30:Q34)</f>
        <v>0</v>
      </c>
      <c r="R35" s="271" t="n">
        <f aca="false">SUM(R30:R34)</f>
        <v>0</v>
      </c>
      <c r="S35" s="238"/>
    </row>
    <row r="36" customFormat="false" ht="6" hidden="false" customHeight="true" outlineLevel="0" collapsed="false">
      <c r="A36" s="253"/>
      <c r="B36" s="273"/>
      <c r="C36" s="274"/>
      <c r="D36" s="275"/>
      <c r="E36" s="261"/>
      <c r="F36" s="261"/>
      <c r="G36" s="268"/>
      <c r="H36" s="261"/>
      <c r="I36" s="261"/>
      <c r="J36" s="272"/>
      <c r="K36" s="261"/>
      <c r="L36" s="261"/>
      <c r="M36" s="261"/>
      <c r="N36" s="258"/>
      <c r="O36" s="260"/>
      <c r="P36" s="261"/>
      <c r="Q36" s="261"/>
      <c r="R36" s="261"/>
      <c r="S36" s="238"/>
    </row>
    <row r="37" customFormat="false" ht="12" hidden="false" customHeight="true" outlineLevel="0" collapsed="false">
      <c r="A37" s="253"/>
      <c r="B37" s="278" t="s">
        <v>216</v>
      </c>
      <c r="C37" s="278"/>
      <c r="D37" s="279" t="n">
        <f aca="false">Admin!E8</f>
        <v>12000</v>
      </c>
      <c r="E37" s="261"/>
      <c r="F37" s="261"/>
      <c r="G37" s="280"/>
      <c r="H37" s="261"/>
      <c r="I37" s="261"/>
      <c r="J37" s="272"/>
      <c r="K37" s="261"/>
      <c r="L37" s="261"/>
      <c r="M37" s="261"/>
      <c r="N37" s="281"/>
      <c r="O37" s="260"/>
      <c r="P37" s="261"/>
      <c r="Q37" s="261"/>
      <c r="R37" s="261"/>
      <c r="S37" s="238"/>
    </row>
    <row r="38" customFormat="false" ht="12" hidden="false" customHeight="false" outlineLevel="0" collapsed="false">
      <c r="A38" s="253"/>
      <c r="B38" s="264"/>
      <c r="C38" s="265"/>
      <c r="D38" s="266"/>
      <c r="E38" s="267"/>
      <c r="F38" s="261"/>
      <c r="G38" s="282" t="n">
        <v>0</v>
      </c>
      <c r="H38" s="261"/>
      <c r="I38" s="276"/>
      <c r="J38" s="259"/>
      <c r="K38" s="258"/>
      <c r="L38" s="258" t="str">
        <f aca="false">IF(I38&gt;0,MIN(I38*L$4*(1-G38),Admin!G$8*(1-G38))," ")</f>
        <v> </v>
      </c>
      <c r="M38" s="258" t="str">
        <f aca="false">IF(I38&gt;0,I38-L38," ")</f>
        <v> </v>
      </c>
      <c r="N38" s="258"/>
      <c r="O38" s="264"/>
      <c r="P38" s="267"/>
      <c r="Q38" s="258" t="str">
        <f aca="false">IF((O38+P38)&gt;0,IF(P38&lt;M38,(M38-P38)*(1-G38)," ")," ")</f>
        <v> </v>
      </c>
      <c r="R38" s="258" t="str">
        <f aca="false">IF((O38+P38)&gt;0,IF(P38&gt;M38,(P38-M38)*(1-G38)," ")," ")</f>
        <v> </v>
      </c>
      <c r="S38" s="238"/>
    </row>
    <row r="39" customFormat="false" ht="12" hidden="false" customHeight="false" outlineLevel="0" collapsed="false">
      <c r="A39" s="253"/>
      <c r="B39" s="264"/>
      <c r="C39" s="265"/>
      <c r="D39" s="266"/>
      <c r="E39" s="267"/>
      <c r="F39" s="261"/>
      <c r="G39" s="282" t="n">
        <v>0</v>
      </c>
      <c r="H39" s="261"/>
      <c r="I39" s="276"/>
      <c r="J39" s="259"/>
      <c r="K39" s="258"/>
      <c r="L39" s="258" t="str">
        <f aca="false">IF(I39&gt;0,MIN(I39*L$4*(1-G39),Admin!G$8*(1-G39))," ")</f>
        <v> </v>
      </c>
      <c r="M39" s="258" t="str">
        <f aca="false">IF(I39&gt;0,I39-L39," ")</f>
        <v> </v>
      </c>
      <c r="N39" s="258"/>
      <c r="O39" s="264"/>
      <c r="P39" s="267"/>
      <c r="Q39" s="258" t="str">
        <f aca="false">IF((O39+P39)&gt;0,IF(P39&lt;M39,(M39-P39)*(1-G39)," ")," ")</f>
        <v> </v>
      </c>
      <c r="R39" s="258" t="str">
        <f aca="false">IF((O39+P39)&gt;0,IF(P39&gt;M39,(P39-M39)*(1-G39)," ")," ")</f>
        <v> </v>
      </c>
      <c r="S39" s="238"/>
    </row>
    <row r="40" customFormat="false" ht="12" hidden="false" customHeight="false" outlineLevel="0" collapsed="false">
      <c r="A40" s="253"/>
      <c r="B40" s="264"/>
      <c r="C40" s="265"/>
      <c r="D40" s="266"/>
      <c r="E40" s="267"/>
      <c r="F40" s="261"/>
      <c r="G40" s="282" t="n">
        <v>0</v>
      </c>
      <c r="H40" s="261"/>
      <c r="I40" s="276"/>
      <c r="J40" s="259"/>
      <c r="K40" s="258"/>
      <c r="L40" s="258" t="str">
        <f aca="false">IF(I40&gt;0,MIN(I40*L$4*(1-G40),Admin!G$8*(1-G40))," ")</f>
        <v> </v>
      </c>
      <c r="M40" s="258" t="str">
        <f aca="false">IF(I40&gt;0,I40-L40," ")</f>
        <v> </v>
      </c>
      <c r="N40" s="258"/>
      <c r="O40" s="264"/>
      <c r="P40" s="267"/>
      <c r="Q40" s="258" t="str">
        <f aca="false">IF((O40+P40)&gt;0,IF(P40&lt;M40,(M40-P40)*(1-G40)," ")," ")</f>
        <v> </v>
      </c>
      <c r="R40" s="258" t="str">
        <f aca="false">IF((O40+P40)&gt;0,IF(P40&gt;M40,(P40-M40)*(1-G40)," ")," ")</f>
        <v> </v>
      </c>
      <c r="S40" s="238"/>
    </row>
    <row r="41" customFormat="false" ht="12" hidden="false" customHeight="false" outlineLevel="0" collapsed="false">
      <c r="A41" s="253"/>
      <c r="B41" s="264"/>
      <c r="C41" s="265"/>
      <c r="D41" s="266"/>
      <c r="E41" s="267"/>
      <c r="F41" s="261"/>
      <c r="G41" s="282" t="n">
        <v>0</v>
      </c>
      <c r="H41" s="261"/>
      <c r="I41" s="276"/>
      <c r="J41" s="259"/>
      <c r="K41" s="258"/>
      <c r="L41" s="258" t="str">
        <f aca="false">IF(I41&gt;0,MIN(I41*L$4*(1-G41),Admin!G$8*(1-G41))," ")</f>
        <v> </v>
      </c>
      <c r="M41" s="258" t="str">
        <f aca="false">IF(I41&gt;0,I41-L41," ")</f>
        <v> </v>
      </c>
      <c r="N41" s="258"/>
      <c r="O41" s="264"/>
      <c r="P41" s="267"/>
      <c r="Q41" s="258" t="str">
        <f aca="false">IF((O41+P41)&gt;0,IF(P41&lt;M41,(M41-P41)*(1-G41)," ")," ")</f>
        <v> </v>
      </c>
      <c r="R41" s="258" t="str">
        <f aca="false">IF((O41+P41)&gt;0,IF(P41&gt;M41,(P41-M41)*(1-G41)," ")," ")</f>
        <v> </v>
      </c>
      <c r="S41" s="238"/>
    </row>
    <row r="42" customFormat="false" ht="12" hidden="false" customHeight="false" outlineLevel="0" collapsed="false">
      <c r="A42" s="253"/>
      <c r="B42" s="264"/>
      <c r="C42" s="265"/>
      <c r="D42" s="266"/>
      <c r="E42" s="267"/>
      <c r="F42" s="261"/>
      <c r="G42" s="282" t="n">
        <v>0</v>
      </c>
      <c r="H42" s="261"/>
      <c r="I42" s="276"/>
      <c r="J42" s="259"/>
      <c r="K42" s="258"/>
      <c r="L42" s="258" t="str">
        <f aca="false">IF(I42&gt;0,MIN(I42*L$4*(1-G42),Admin!G$8*(1-G42))," ")</f>
        <v> </v>
      </c>
      <c r="M42" s="258" t="str">
        <f aca="false">IF(I42&gt;0,I42-L42," ")</f>
        <v> </v>
      </c>
      <c r="N42" s="258"/>
      <c r="O42" s="264"/>
      <c r="P42" s="267"/>
      <c r="Q42" s="258" t="str">
        <f aca="false">IF((O42+P42)&gt;0,IF(P42&lt;M42,(M42-P42)*(1-G42)," ")," ")</f>
        <v> </v>
      </c>
      <c r="R42" s="258" t="str">
        <f aca="false">IF((O42+P42)&gt;0,IF(P42&gt;M42,(P42-M42)*(1-G42)," ")," ")</f>
        <v> </v>
      </c>
      <c r="S42" s="238"/>
    </row>
    <row r="43" customFormat="false" ht="12" hidden="false" customHeight="true" outlineLevel="0" collapsed="false">
      <c r="A43" s="253"/>
      <c r="B43" s="278" t="s">
        <v>217</v>
      </c>
      <c r="C43" s="278"/>
      <c r="D43" s="279" t="n">
        <f aca="false">Admin!E8</f>
        <v>12000</v>
      </c>
      <c r="E43" s="261"/>
      <c r="F43" s="261"/>
      <c r="G43" s="268"/>
      <c r="H43" s="261"/>
      <c r="I43" s="258"/>
      <c r="J43" s="259"/>
      <c r="K43" s="258"/>
      <c r="L43" s="258"/>
      <c r="M43" s="258"/>
      <c r="N43" s="258"/>
      <c r="O43" s="260"/>
      <c r="P43" s="261"/>
      <c r="Q43" s="258"/>
      <c r="R43" s="258"/>
      <c r="S43" s="238"/>
    </row>
    <row r="44" customFormat="false" ht="12" hidden="false" customHeight="false" outlineLevel="0" collapsed="false">
      <c r="A44" s="253"/>
      <c r="B44" s="264"/>
      <c r="C44" s="265"/>
      <c r="D44" s="266"/>
      <c r="E44" s="267"/>
      <c r="F44" s="261"/>
      <c r="G44" s="282" t="n">
        <v>0</v>
      </c>
      <c r="H44" s="261"/>
      <c r="I44" s="276"/>
      <c r="J44" s="259"/>
      <c r="K44" s="258"/>
      <c r="L44" s="258" t="str">
        <f aca="false">IF(I44&gt;0,MIN(I44*L$4*(1-G44),Admin!G$8*(1-G44))," ")</f>
        <v> </v>
      </c>
      <c r="M44" s="258" t="str">
        <f aca="false">IF(I44&gt;0,I44-L44," ")</f>
        <v> </v>
      </c>
      <c r="N44" s="258"/>
      <c r="O44" s="264"/>
      <c r="P44" s="267"/>
      <c r="Q44" s="258" t="str">
        <f aca="false">IF((O44+P44)&gt;0,IF(P44&lt;M44,(M44-P44)*(1-G44)," ")," ")</f>
        <v> </v>
      </c>
      <c r="R44" s="258" t="str">
        <f aca="false">IF((O44+P44)&gt;0,IF(P44&gt;M44,(P44-M44)*(1-G44)," ")," ")</f>
        <v> </v>
      </c>
      <c r="S44" s="238"/>
    </row>
    <row r="45" customFormat="false" ht="12" hidden="false" customHeight="false" outlineLevel="0" collapsed="false">
      <c r="A45" s="253"/>
      <c r="B45" s="264"/>
      <c r="C45" s="265"/>
      <c r="D45" s="266"/>
      <c r="E45" s="267"/>
      <c r="F45" s="261"/>
      <c r="G45" s="282" t="n">
        <v>0</v>
      </c>
      <c r="H45" s="261"/>
      <c r="I45" s="276"/>
      <c r="J45" s="259"/>
      <c r="K45" s="258"/>
      <c r="L45" s="258" t="str">
        <f aca="false">IF(I45&gt;0,MIN(I45*L$4*(1-G45),Admin!G$8*(1-G45))," ")</f>
        <v> </v>
      </c>
      <c r="M45" s="258" t="str">
        <f aca="false">IF(I45&gt;0,I45-L45," ")</f>
        <v> </v>
      </c>
      <c r="N45" s="258"/>
      <c r="O45" s="264"/>
      <c r="P45" s="267"/>
      <c r="Q45" s="258" t="str">
        <f aca="false">IF((O45+P45)&gt;0,IF(P45&lt;M45,(M45-P45)*(1-G45)," ")," ")</f>
        <v> </v>
      </c>
      <c r="R45" s="258" t="str">
        <f aca="false">IF((O45+P45)&gt;0,IF(P45&gt;M45,(P45-M45)*(1-G45)," ")," ")</f>
        <v> </v>
      </c>
      <c r="S45" s="238"/>
    </row>
    <row r="46" customFormat="false" ht="12" hidden="false" customHeight="false" outlineLevel="0" collapsed="false">
      <c r="A46" s="253"/>
      <c r="B46" s="264"/>
      <c r="C46" s="265"/>
      <c r="D46" s="266"/>
      <c r="E46" s="267"/>
      <c r="F46" s="261"/>
      <c r="G46" s="282" t="n">
        <v>0</v>
      </c>
      <c r="H46" s="261"/>
      <c r="I46" s="276"/>
      <c r="J46" s="259"/>
      <c r="K46" s="258"/>
      <c r="L46" s="258" t="str">
        <f aca="false">IF(I46&gt;0,MIN(I46*L$4*(1-G46),Admin!G$8*(1-G46))," ")</f>
        <v> </v>
      </c>
      <c r="M46" s="258" t="str">
        <f aca="false">IF(I46&gt;0,I46-L46," ")</f>
        <v> </v>
      </c>
      <c r="N46" s="258"/>
      <c r="O46" s="264"/>
      <c r="P46" s="267"/>
      <c r="Q46" s="258" t="str">
        <f aca="false">IF((O46+P46)&gt;0,IF(P46&lt;M46,(M46-P46)*(1-G46)," ")," ")</f>
        <v> </v>
      </c>
      <c r="R46" s="258" t="str">
        <f aca="false">IF((O46+P46)&gt;0,IF(P46&gt;M46,(P46-M46)*(1-G46)," ")," ")</f>
        <v> </v>
      </c>
      <c r="S46" s="238"/>
    </row>
    <row r="47" customFormat="false" ht="12" hidden="false" customHeight="false" outlineLevel="0" collapsed="false">
      <c r="A47" s="253"/>
      <c r="B47" s="264"/>
      <c r="C47" s="265"/>
      <c r="D47" s="266"/>
      <c r="E47" s="267"/>
      <c r="F47" s="261"/>
      <c r="G47" s="282" t="n">
        <v>0</v>
      </c>
      <c r="H47" s="261"/>
      <c r="I47" s="276"/>
      <c r="J47" s="259"/>
      <c r="K47" s="258"/>
      <c r="L47" s="258" t="str">
        <f aca="false">IF(I47&gt;0,MIN(I47*L$4*(1-G47),Admin!G$8*(1-G47))," ")</f>
        <v> </v>
      </c>
      <c r="M47" s="258" t="str">
        <f aca="false">IF(I47&gt;0,I47-L47," ")</f>
        <v> </v>
      </c>
      <c r="N47" s="258"/>
      <c r="O47" s="264"/>
      <c r="P47" s="267"/>
      <c r="Q47" s="258" t="str">
        <f aca="false">IF((O47+P47)&gt;0,IF(P47&lt;M47,(M47-P47)*(1-G47)," ")," ")</f>
        <v> </v>
      </c>
      <c r="R47" s="258" t="str">
        <f aca="false">IF((O47+P47)&gt;0,IF(P47&gt;M47,(P47-M47)*(1-G47)," ")," ")</f>
        <v> </v>
      </c>
      <c r="S47" s="238"/>
    </row>
    <row r="48" customFormat="false" ht="12" hidden="false" customHeight="false" outlineLevel="0" collapsed="false">
      <c r="A48" s="253"/>
      <c r="B48" s="264"/>
      <c r="C48" s="265"/>
      <c r="D48" s="266"/>
      <c r="E48" s="267"/>
      <c r="F48" s="261"/>
      <c r="G48" s="282" t="n">
        <v>0</v>
      </c>
      <c r="H48" s="261"/>
      <c r="I48" s="276"/>
      <c r="J48" s="259"/>
      <c r="K48" s="258"/>
      <c r="L48" s="258" t="str">
        <f aca="false">IF(I48&gt;0,MIN(I48*L$4*(1-G48),Admin!G$8*(1-G48))," ")</f>
        <v> </v>
      </c>
      <c r="M48" s="258" t="str">
        <f aca="false">IF(I48&gt;0,I48-L48," ")</f>
        <v> </v>
      </c>
      <c r="N48" s="258"/>
      <c r="O48" s="264"/>
      <c r="P48" s="267"/>
      <c r="Q48" s="258" t="str">
        <f aca="false">IF((O48+P48)&gt;0,IF(P48&lt;M48,(M48-P48)*(1-G48)," ")," ")</f>
        <v> </v>
      </c>
      <c r="R48" s="258" t="str">
        <f aca="false">IF((O48+P48)&gt;0,IF(P48&gt;M48,(P48-M48)*(1-G48)," ")," ")</f>
        <v> </v>
      </c>
      <c r="S48" s="238"/>
    </row>
    <row r="49" customFormat="false" ht="12" hidden="false" customHeight="true" outlineLevel="0" collapsed="false">
      <c r="A49" s="253"/>
      <c r="B49" s="262" t="s">
        <v>218</v>
      </c>
      <c r="C49" s="262"/>
      <c r="D49" s="272"/>
      <c r="E49" s="261"/>
      <c r="F49" s="261"/>
      <c r="G49" s="268"/>
      <c r="H49" s="261"/>
      <c r="I49" s="258"/>
      <c r="J49" s="259"/>
      <c r="K49" s="258"/>
      <c r="L49" s="258"/>
      <c r="M49" s="258"/>
      <c r="N49" s="258"/>
      <c r="O49" s="260"/>
      <c r="P49" s="261"/>
      <c r="Q49" s="258"/>
      <c r="R49" s="258"/>
      <c r="S49" s="238"/>
    </row>
    <row r="50" customFormat="false" ht="12" hidden="false" customHeight="false" outlineLevel="0" collapsed="false">
      <c r="A50" s="253"/>
      <c r="B50" s="264"/>
      <c r="C50" s="265"/>
      <c r="D50" s="266"/>
      <c r="E50" s="267"/>
      <c r="F50" s="261"/>
      <c r="G50" s="282" t="n">
        <v>0</v>
      </c>
      <c r="H50" s="261"/>
      <c r="I50" s="276"/>
      <c r="J50" s="259"/>
      <c r="K50" s="258"/>
      <c r="L50" s="258" t="str">
        <f aca="false">IF(I50&gt;0,I50*L$4," ")</f>
        <v> </v>
      </c>
      <c r="M50" s="258" t="str">
        <f aca="false">IF(I50&gt;0,I50-L50," ")</f>
        <v> </v>
      </c>
      <c r="N50" s="258"/>
      <c r="O50" s="264"/>
      <c r="P50" s="267"/>
      <c r="Q50" s="258" t="str">
        <f aca="false">IF((O50+P50)&gt;0,IF(P50&lt;M50,(M50-P50)*(1-G50)," ")," ")</f>
        <v> </v>
      </c>
      <c r="R50" s="258" t="str">
        <f aca="false">IF((O50+P50)&gt;0,IF(P50&gt;M50,(P50-M50)*(1-G50)," ")," ")</f>
        <v> </v>
      </c>
      <c r="S50" s="238"/>
    </row>
    <row r="51" customFormat="false" ht="12" hidden="false" customHeight="false" outlineLevel="0" collapsed="false">
      <c r="A51" s="253"/>
      <c r="B51" s="264"/>
      <c r="C51" s="265"/>
      <c r="D51" s="266"/>
      <c r="E51" s="267"/>
      <c r="F51" s="261"/>
      <c r="G51" s="282" t="n">
        <v>0</v>
      </c>
      <c r="H51" s="261"/>
      <c r="I51" s="276"/>
      <c r="J51" s="259"/>
      <c r="K51" s="258"/>
      <c r="L51" s="258" t="str">
        <f aca="false">IF(I51&gt;0,I51*L$4," ")</f>
        <v> </v>
      </c>
      <c r="M51" s="258" t="str">
        <f aca="false">IF(I51&gt;0,I51-L51," ")</f>
        <v> </v>
      </c>
      <c r="N51" s="258"/>
      <c r="O51" s="264"/>
      <c r="P51" s="267"/>
      <c r="Q51" s="258" t="str">
        <f aca="false">IF((O51+P51)&gt;0,IF(P51&lt;M51,(M51-P51)*(1-G51)," ")," ")</f>
        <v> </v>
      </c>
      <c r="R51" s="258" t="str">
        <f aca="false">IF((O51+P51)&gt;0,IF(P51&gt;M51,(P51-M51)*(1-G51)," ")," ")</f>
        <v> </v>
      </c>
      <c r="S51" s="238"/>
    </row>
    <row r="52" customFormat="false" ht="12" hidden="false" customHeight="false" outlineLevel="0" collapsed="false">
      <c r="A52" s="253"/>
      <c r="B52" s="264"/>
      <c r="C52" s="265"/>
      <c r="D52" s="266"/>
      <c r="E52" s="267"/>
      <c r="F52" s="261"/>
      <c r="G52" s="282" t="n">
        <v>0</v>
      </c>
      <c r="H52" s="261"/>
      <c r="I52" s="276"/>
      <c r="J52" s="259"/>
      <c r="K52" s="258"/>
      <c r="L52" s="258" t="str">
        <f aca="false">IF(I52&gt;0,I52*L$4," ")</f>
        <v> </v>
      </c>
      <c r="M52" s="258" t="str">
        <f aca="false">IF(I52&gt;0,I52-L52," ")</f>
        <v> </v>
      </c>
      <c r="N52" s="258"/>
      <c r="O52" s="264"/>
      <c r="P52" s="267"/>
      <c r="Q52" s="258" t="str">
        <f aca="false">IF((O52+P52)&gt;0,IF(P52&lt;M52,(M52-P52)*(1-G52)," ")," ")</f>
        <v> </v>
      </c>
      <c r="R52" s="258" t="str">
        <f aca="false">IF((O52+P52)&gt;0,IF(P52&gt;M52,(P52-M52)*(1-G52)," ")," ")</f>
        <v> </v>
      </c>
      <c r="S52" s="238"/>
    </row>
    <row r="53" customFormat="false" ht="12" hidden="false" customHeight="false" outlineLevel="0" collapsed="false">
      <c r="A53" s="253"/>
      <c r="B53" s="264"/>
      <c r="C53" s="265"/>
      <c r="D53" s="266"/>
      <c r="E53" s="267"/>
      <c r="F53" s="261"/>
      <c r="G53" s="282" t="n">
        <v>0</v>
      </c>
      <c r="H53" s="261"/>
      <c r="I53" s="276"/>
      <c r="J53" s="259"/>
      <c r="K53" s="258"/>
      <c r="L53" s="258" t="str">
        <f aca="false">IF(I53&gt;0,I53*L$4," ")</f>
        <v> </v>
      </c>
      <c r="M53" s="258" t="str">
        <f aca="false">IF(I53&gt;0,I53-L53," ")</f>
        <v> </v>
      </c>
      <c r="N53" s="258"/>
      <c r="O53" s="264"/>
      <c r="P53" s="267"/>
      <c r="Q53" s="258" t="str">
        <f aca="false">IF((O53+P53)&gt;0,IF(P53&lt;M53,(M53-P53)*(1-G53)," ")," ")</f>
        <v> </v>
      </c>
      <c r="R53" s="258" t="str">
        <f aca="false">IF((O53+P53)&gt;0,IF(P53&gt;M53,(P53-M53)*(1-G53)," ")," ")</f>
        <v> </v>
      </c>
      <c r="S53" s="238"/>
    </row>
    <row r="54" customFormat="false" ht="12" hidden="false" customHeight="false" outlineLevel="0" collapsed="false">
      <c r="A54" s="253"/>
      <c r="B54" s="264"/>
      <c r="C54" s="265"/>
      <c r="D54" s="266"/>
      <c r="E54" s="267"/>
      <c r="F54" s="261"/>
      <c r="G54" s="282" t="n">
        <v>0</v>
      </c>
      <c r="H54" s="261"/>
      <c r="I54" s="276"/>
      <c r="J54" s="259"/>
      <c r="K54" s="258"/>
      <c r="L54" s="258" t="str">
        <f aca="false">IF(I54&gt;0,I54*L$4," ")</f>
        <v> </v>
      </c>
      <c r="M54" s="258" t="str">
        <f aca="false">IF(I54&gt;0,I54-L54," ")</f>
        <v> </v>
      </c>
      <c r="N54" s="258"/>
      <c r="O54" s="264"/>
      <c r="P54" s="267"/>
      <c r="Q54" s="258" t="str">
        <f aca="false">IF((O54+P54)&gt;0,IF(P54&lt;M54,(M54-P54)*(1-G54)," ")," ")</f>
        <v> </v>
      </c>
      <c r="R54" s="258" t="str">
        <f aca="false">IF((O54+P54)&gt;0,IF(P54&gt;M54,(P54-M54)*(1-G54)," ")," ")</f>
        <v> </v>
      </c>
      <c r="S54" s="238"/>
    </row>
    <row r="55" customFormat="false" ht="12" hidden="false" customHeight="true" outlineLevel="0" collapsed="false">
      <c r="A55" s="253"/>
      <c r="B55" s="269" t="s">
        <v>219</v>
      </c>
      <c r="C55" s="269"/>
      <c r="D55" s="269"/>
      <c r="E55" s="271" t="n">
        <f aca="false">SUM(E38:E54)</f>
        <v>0</v>
      </c>
      <c r="F55" s="261"/>
      <c r="G55" s="280"/>
      <c r="H55" s="261"/>
      <c r="I55" s="271" t="n">
        <f aca="false">SUM(I38:I54)</f>
        <v>0</v>
      </c>
      <c r="J55" s="272"/>
      <c r="K55" s="271" t="n">
        <f aca="false">SUM(K38:K54)</f>
        <v>0</v>
      </c>
      <c r="L55" s="271" t="n">
        <f aca="false">SUM(L38:L54)</f>
        <v>0</v>
      </c>
      <c r="M55" s="271" t="n">
        <f aca="false">SUM(M38:M54)</f>
        <v>0</v>
      </c>
      <c r="N55" s="261"/>
      <c r="O55" s="260"/>
      <c r="P55" s="271" t="n">
        <f aca="false">SUM(P38:P54)</f>
        <v>0</v>
      </c>
      <c r="Q55" s="271" t="n">
        <f aca="false">SUM(Q38:Q54)</f>
        <v>0</v>
      </c>
      <c r="R55" s="271" t="n">
        <f aca="false">SUM(R38:R54)</f>
        <v>0</v>
      </c>
      <c r="S55" s="238"/>
    </row>
    <row r="56" customFormat="false" ht="6" hidden="false" customHeight="true" outlineLevel="0" collapsed="false">
      <c r="A56" s="253"/>
      <c r="B56" s="260"/>
      <c r="C56" s="283"/>
      <c r="D56" s="272"/>
      <c r="E56" s="261"/>
      <c r="F56" s="261"/>
      <c r="G56" s="268"/>
      <c r="H56" s="261"/>
      <c r="I56" s="258"/>
      <c r="J56" s="259"/>
      <c r="K56" s="258"/>
      <c r="L56" s="258"/>
      <c r="M56" s="258"/>
      <c r="N56" s="258"/>
      <c r="O56" s="260"/>
      <c r="P56" s="261"/>
      <c r="Q56" s="258"/>
      <c r="R56" s="258"/>
      <c r="S56" s="238"/>
    </row>
    <row r="57" customFormat="false" ht="13.5" hidden="false" customHeight="true" outlineLevel="0" collapsed="false">
      <c r="A57" s="253"/>
      <c r="B57" s="254" t="str">
        <f aca="false">B6</f>
        <v>EXISTING FIXED ASSETS at </v>
      </c>
      <c r="C57" s="254"/>
      <c r="D57" s="255" t="n">
        <f aca="false">D6</f>
        <v>46118</v>
      </c>
      <c r="E57" s="284" t="n">
        <f aca="false">E11+E19+E27+E35+E55</f>
        <v>0</v>
      </c>
      <c r="F57" s="261"/>
      <c r="G57" s="268"/>
      <c r="H57" s="261"/>
      <c r="I57" s="284" t="n">
        <f aca="false">I11+I19+I27+I35+I55</f>
        <v>0</v>
      </c>
      <c r="J57" s="272"/>
      <c r="K57" s="284" t="n">
        <f aca="false">K11+K19+K27+K35+K55</f>
        <v>0</v>
      </c>
      <c r="L57" s="284" t="n">
        <f aca="false">L11+L19+L27+L35+L55</f>
        <v>0</v>
      </c>
      <c r="M57" s="284" t="n">
        <f aca="false">M11+M19+M27+M35+M55</f>
        <v>0</v>
      </c>
      <c r="N57" s="258"/>
      <c r="O57" s="260"/>
      <c r="P57" s="284" t="n">
        <f aca="false">P11+P19+P27+P35+P55</f>
        <v>0</v>
      </c>
      <c r="Q57" s="284" t="n">
        <f aca="false">Q11+Q19+Q27+Q35+Q55</f>
        <v>0</v>
      </c>
      <c r="R57" s="284" t="n">
        <f aca="false">R11+R19+R27+R35+R55</f>
        <v>0</v>
      </c>
      <c r="S57" s="238"/>
    </row>
    <row r="58" customFormat="false" ht="9" hidden="false" customHeight="true" outlineLevel="0" collapsed="false">
      <c r="A58" s="253"/>
      <c r="B58" s="285"/>
      <c r="C58" s="286"/>
      <c r="D58" s="287"/>
      <c r="E58" s="261"/>
      <c r="F58" s="261"/>
      <c r="G58" s="268"/>
      <c r="H58" s="261"/>
      <c r="I58" s="258"/>
      <c r="J58" s="259"/>
      <c r="K58" s="258"/>
      <c r="L58" s="258"/>
      <c r="M58" s="258"/>
      <c r="N58" s="258"/>
      <c r="O58" s="260"/>
      <c r="P58" s="261"/>
      <c r="Q58" s="258"/>
      <c r="R58" s="258"/>
      <c r="S58" s="238"/>
    </row>
    <row r="59" customFormat="false" ht="13.5" hidden="false" customHeight="true" outlineLevel="0" collapsed="false">
      <c r="A59" s="253"/>
      <c r="B59" s="254" t="s">
        <v>220</v>
      </c>
      <c r="C59" s="254"/>
      <c r="D59" s="255" t="n">
        <f aca="false">Admin!B4</f>
        <v>46118</v>
      </c>
      <c r="E59" s="258"/>
      <c r="F59" s="258"/>
      <c r="G59" s="268"/>
      <c r="H59" s="258"/>
      <c r="I59" s="258"/>
      <c r="J59" s="259"/>
      <c r="K59" s="258"/>
      <c r="L59" s="258"/>
      <c r="M59" s="258"/>
      <c r="N59" s="258"/>
      <c r="O59" s="260"/>
      <c r="P59" s="261"/>
      <c r="Q59" s="258"/>
      <c r="R59" s="258"/>
      <c r="S59" s="238"/>
    </row>
    <row r="60" customFormat="false" ht="12.75" hidden="false" customHeight="true" outlineLevel="0" collapsed="false">
      <c r="A60" s="253"/>
      <c r="B60" s="262" t="s">
        <v>208</v>
      </c>
      <c r="C60" s="262"/>
      <c r="D60" s="263"/>
      <c r="E60" s="256"/>
      <c r="F60" s="256"/>
      <c r="G60" s="268"/>
      <c r="H60" s="256"/>
      <c r="I60" s="258"/>
      <c r="J60" s="259"/>
      <c r="K60" s="258"/>
      <c r="L60" s="258"/>
      <c r="M60" s="258"/>
      <c r="N60" s="258"/>
      <c r="O60" s="260"/>
      <c r="P60" s="261"/>
      <c r="Q60" s="258"/>
      <c r="R60" s="258"/>
      <c r="S60" s="238"/>
    </row>
    <row r="61" customFormat="false" ht="12" hidden="false" customHeight="false" outlineLevel="0" collapsed="false">
      <c r="A61" s="253"/>
      <c r="B61" s="264"/>
      <c r="C61" s="265"/>
      <c r="D61" s="288"/>
      <c r="E61" s="267"/>
      <c r="F61" s="261"/>
      <c r="G61" s="268"/>
      <c r="H61" s="261"/>
      <c r="I61" s="258"/>
      <c r="J61" s="259"/>
      <c r="K61" s="258"/>
      <c r="L61" s="258"/>
      <c r="M61" s="258"/>
      <c r="N61" s="258"/>
      <c r="O61" s="264"/>
      <c r="P61" s="267"/>
      <c r="Q61" s="258"/>
      <c r="R61" s="258"/>
      <c r="S61" s="238"/>
    </row>
    <row r="62" customFormat="false" ht="12" hidden="false" customHeight="false" outlineLevel="0" collapsed="false">
      <c r="A62" s="253"/>
      <c r="B62" s="264"/>
      <c r="C62" s="265"/>
      <c r="D62" s="288"/>
      <c r="E62" s="267"/>
      <c r="F62" s="261"/>
      <c r="G62" s="268"/>
      <c r="H62" s="261"/>
      <c r="I62" s="258"/>
      <c r="J62" s="259"/>
      <c r="K62" s="258"/>
      <c r="L62" s="258"/>
      <c r="M62" s="258"/>
      <c r="N62" s="258"/>
      <c r="O62" s="264"/>
      <c r="P62" s="267"/>
      <c r="Q62" s="258"/>
      <c r="R62" s="258"/>
      <c r="S62" s="238"/>
    </row>
    <row r="63" customFormat="false" ht="12" hidden="false" customHeight="false" outlineLevel="0" collapsed="false">
      <c r="A63" s="253"/>
      <c r="B63" s="264"/>
      <c r="C63" s="265"/>
      <c r="D63" s="288"/>
      <c r="E63" s="267"/>
      <c r="F63" s="261"/>
      <c r="G63" s="268"/>
      <c r="H63" s="261"/>
      <c r="I63" s="258"/>
      <c r="J63" s="259"/>
      <c r="K63" s="258"/>
      <c r="L63" s="258"/>
      <c r="M63" s="258"/>
      <c r="N63" s="258"/>
      <c r="O63" s="264"/>
      <c r="P63" s="267"/>
      <c r="Q63" s="258"/>
      <c r="R63" s="258"/>
      <c r="S63" s="238"/>
    </row>
    <row r="64" customFormat="false" ht="12" hidden="false" customHeight="true" outlineLevel="0" collapsed="false">
      <c r="A64" s="253"/>
      <c r="B64" s="269" t="s">
        <v>221</v>
      </c>
      <c r="C64" s="269"/>
      <c r="D64" s="269"/>
      <c r="E64" s="270" t="n">
        <f aca="false">SUM(E61:E63)</f>
        <v>0</v>
      </c>
      <c r="F64" s="261"/>
      <c r="G64" s="268"/>
      <c r="H64" s="261"/>
      <c r="I64" s="271" t="n">
        <f aca="false">SUM(I61:I63)</f>
        <v>0</v>
      </c>
      <c r="J64" s="289"/>
      <c r="K64" s="271" t="n">
        <f aca="false">SUM(K61:K63)</f>
        <v>0</v>
      </c>
      <c r="L64" s="271" t="n">
        <f aca="false">SUM(L61:L63)</f>
        <v>0</v>
      </c>
      <c r="M64" s="271" t="n">
        <f aca="false">SUM(M61:M63)</f>
        <v>0</v>
      </c>
      <c r="N64" s="258"/>
      <c r="O64" s="260"/>
      <c r="P64" s="270" t="n">
        <f aca="false">SUM(P61:P63)</f>
        <v>0</v>
      </c>
      <c r="Q64" s="271" t="n">
        <f aca="false">SUM(Q61:Q63)</f>
        <v>0</v>
      </c>
      <c r="R64" s="271" t="n">
        <f aca="false">SUM(R61:R63)</f>
        <v>0</v>
      </c>
      <c r="S64" s="238"/>
    </row>
    <row r="65" customFormat="false" ht="6" hidden="false" customHeight="true" outlineLevel="0" collapsed="false">
      <c r="A65" s="253"/>
      <c r="B65" s="273"/>
      <c r="C65" s="274"/>
      <c r="D65" s="275"/>
      <c r="E65" s="261"/>
      <c r="F65" s="261"/>
      <c r="G65" s="268"/>
      <c r="H65" s="261"/>
      <c r="I65" s="261"/>
      <c r="J65" s="272"/>
      <c r="K65" s="261"/>
      <c r="L65" s="261"/>
      <c r="M65" s="261"/>
      <c r="N65" s="258"/>
      <c r="O65" s="260"/>
      <c r="P65" s="261"/>
      <c r="Q65" s="261"/>
      <c r="R65" s="261"/>
      <c r="S65" s="238"/>
    </row>
    <row r="66" customFormat="false" ht="12" hidden="false" customHeight="true" outlineLevel="0" collapsed="false">
      <c r="A66" s="253"/>
      <c r="B66" s="262" t="s">
        <v>210</v>
      </c>
      <c r="C66" s="262"/>
      <c r="D66" s="272"/>
      <c r="E66" s="261"/>
      <c r="F66" s="261"/>
      <c r="G66" s="268"/>
      <c r="H66" s="261"/>
      <c r="I66" s="258"/>
      <c r="J66" s="259"/>
      <c r="K66" s="258"/>
      <c r="L66" s="258"/>
      <c r="M66" s="258"/>
      <c r="N66" s="258"/>
      <c r="O66" s="260"/>
      <c r="P66" s="261"/>
      <c r="Q66" s="258"/>
      <c r="R66" s="258"/>
      <c r="S66" s="238"/>
    </row>
    <row r="67" customFormat="false" ht="12" hidden="false" customHeight="false" outlineLevel="0" collapsed="false">
      <c r="A67" s="253"/>
      <c r="B67" s="264"/>
      <c r="C67" s="265"/>
      <c r="D67" s="266"/>
      <c r="E67" s="267"/>
      <c r="F67" s="261"/>
      <c r="G67" s="268"/>
      <c r="H67" s="261"/>
      <c r="I67" s="258"/>
      <c r="J67" s="268" t="n">
        <f aca="false">J$4</f>
        <v>1</v>
      </c>
      <c r="K67" s="258" t="str">
        <f aca="false">IF(E67&gt;0,E67*J67," ")</f>
        <v> </v>
      </c>
      <c r="L67" s="258"/>
      <c r="M67" s="258" t="str">
        <f aca="false">IF(E67&gt;0,E67-K67," ")</f>
        <v> </v>
      </c>
      <c r="N67" s="258"/>
      <c r="O67" s="264"/>
      <c r="P67" s="267"/>
      <c r="Q67" s="258" t="str">
        <f aca="false">IF((O67+P67)&gt;0,IF(P67&lt;M67,M67-P67," ")," ")</f>
        <v> </v>
      </c>
      <c r="R67" s="258" t="str">
        <f aca="false">IF((O67+P67)&gt;0,IF(P67&gt;M67,P67-M67," ")," ")</f>
        <v> </v>
      </c>
      <c r="S67" s="238"/>
    </row>
    <row r="68" customFormat="false" ht="12" hidden="false" customHeight="false" outlineLevel="0" collapsed="false">
      <c r="A68" s="253"/>
      <c r="B68" s="264"/>
      <c r="C68" s="265"/>
      <c r="D68" s="266"/>
      <c r="E68" s="267"/>
      <c r="F68" s="261"/>
      <c r="G68" s="268"/>
      <c r="H68" s="261"/>
      <c r="I68" s="258"/>
      <c r="J68" s="268" t="n">
        <f aca="false">J$4</f>
        <v>1</v>
      </c>
      <c r="K68" s="258" t="str">
        <f aca="false">IF(E68&gt;0,E68*J68," ")</f>
        <v> </v>
      </c>
      <c r="L68" s="258"/>
      <c r="M68" s="258" t="str">
        <f aca="false">IF(E68&gt;0,E68-K68," ")</f>
        <v> </v>
      </c>
      <c r="N68" s="258"/>
      <c r="O68" s="264"/>
      <c r="P68" s="267"/>
      <c r="Q68" s="258" t="str">
        <f aca="false">IF((O68+P68)&gt;0,IF(P68&lt;M68,M68-P68," ")," ")</f>
        <v> </v>
      </c>
      <c r="R68" s="258" t="str">
        <f aca="false">IF((O68+P68)&gt;0,IF(P68&gt;M68,P68-M68," ")," ")</f>
        <v> </v>
      </c>
      <c r="S68" s="238"/>
    </row>
    <row r="69" customFormat="false" ht="12" hidden="false" customHeight="false" outlineLevel="0" collapsed="false">
      <c r="A69" s="253"/>
      <c r="B69" s="264"/>
      <c r="C69" s="265"/>
      <c r="D69" s="266"/>
      <c r="E69" s="267"/>
      <c r="F69" s="261"/>
      <c r="G69" s="268"/>
      <c r="H69" s="261"/>
      <c r="I69" s="258"/>
      <c r="J69" s="268" t="n">
        <f aca="false">J$4</f>
        <v>1</v>
      </c>
      <c r="K69" s="258" t="str">
        <f aca="false">IF(E69&gt;0,E69*J69," ")</f>
        <v> </v>
      </c>
      <c r="L69" s="258"/>
      <c r="M69" s="258" t="str">
        <f aca="false">IF(E69&gt;0,E69-K69," ")</f>
        <v> </v>
      </c>
      <c r="N69" s="258"/>
      <c r="O69" s="264"/>
      <c r="P69" s="267"/>
      <c r="Q69" s="258" t="str">
        <f aca="false">IF((O69+P69)&gt;0,IF(P69&lt;M69,M69-P69," ")," ")</f>
        <v> </v>
      </c>
      <c r="R69" s="258" t="str">
        <f aca="false">IF((O69+P69)&gt;0,IF(P69&gt;M69,P69-M69," ")," ")</f>
        <v> </v>
      </c>
      <c r="S69" s="238"/>
    </row>
    <row r="70" customFormat="false" ht="12" hidden="false" customHeight="false" outlineLevel="0" collapsed="false">
      <c r="A70" s="253"/>
      <c r="B70" s="264"/>
      <c r="C70" s="265"/>
      <c r="D70" s="266"/>
      <c r="E70" s="267"/>
      <c r="F70" s="261"/>
      <c r="G70" s="268"/>
      <c r="H70" s="261"/>
      <c r="I70" s="258"/>
      <c r="J70" s="268" t="n">
        <f aca="false">J$4</f>
        <v>1</v>
      </c>
      <c r="K70" s="258" t="str">
        <f aca="false">IF(E70&gt;0,E70*J70," ")</f>
        <v> </v>
      </c>
      <c r="L70" s="258"/>
      <c r="M70" s="258" t="str">
        <f aca="false">IF(E70&gt;0,E70-K70," ")</f>
        <v> </v>
      </c>
      <c r="N70" s="258"/>
      <c r="O70" s="264"/>
      <c r="P70" s="267"/>
      <c r="Q70" s="258" t="str">
        <f aca="false">IF((O70+P70)&gt;0,IF(P70&lt;M70,M70-P70," ")," ")</f>
        <v> </v>
      </c>
      <c r="R70" s="258" t="str">
        <f aca="false">IF((O70+P70)&gt;0,IF(P70&gt;M70,P70-M70," ")," ")</f>
        <v> </v>
      </c>
      <c r="S70" s="238"/>
    </row>
    <row r="71" customFormat="false" ht="12" hidden="false" customHeight="false" outlineLevel="0" collapsed="false">
      <c r="A71" s="253"/>
      <c r="B71" s="264"/>
      <c r="C71" s="265"/>
      <c r="D71" s="266"/>
      <c r="E71" s="267"/>
      <c r="F71" s="261"/>
      <c r="G71" s="268"/>
      <c r="H71" s="261"/>
      <c r="I71" s="258"/>
      <c r="J71" s="268" t="n">
        <f aca="false">J$4</f>
        <v>1</v>
      </c>
      <c r="K71" s="258" t="str">
        <f aca="false">IF(E71&gt;0,E71*J71," ")</f>
        <v> </v>
      </c>
      <c r="L71" s="258"/>
      <c r="M71" s="258" t="str">
        <f aca="false">IF(E71&gt;0,E71-K71," ")</f>
        <v> </v>
      </c>
      <c r="N71" s="258"/>
      <c r="O71" s="264"/>
      <c r="P71" s="267"/>
      <c r="Q71" s="258" t="str">
        <f aca="false">IF((O71+P71)&gt;0,IF(P71&lt;M71,M71-P71," ")," ")</f>
        <v> </v>
      </c>
      <c r="R71" s="258" t="str">
        <f aca="false">IF((O71+P71)&gt;0,IF(P71&gt;M71,P71-M71," ")," ")</f>
        <v> </v>
      </c>
      <c r="S71" s="238"/>
    </row>
    <row r="72" customFormat="false" ht="12" hidden="false" customHeight="true" outlineLevel="0" collapsed="false">
      <c r="A72" s="253"/>
      <c r="B72" s="269" t="s">
        <v>222</v>
      </c>
      <c r="C72" s="269"/>
      <c r="D72" s="269"/>
      <c r="E72" s="270" t="n">
        <f aca="false">SUM(E67:E71)</f>
        <v>0</v>
      </c>
      <c r="F72" s="261"/>
      <c r="G72" s="268"/>
      <c r="H72" s="261"/>
      <c r="I72" s="271" t="n">
        <f aca="false">SUM(I67:I71)</f>
        <v>0</v>
      </c>
      <c r="J72" s="272"/>
      <c r="K72" s="271" t="n">
        <f aca="false">SUM(K67:K71)</f>
        <v>0</v>
      </c>
      <c r="L72" s="271" t="n">
        <f aca="false">SUM(L67:L71)</f>
        <v>0</v>
      </c>
      <c r="M72" s="271" t="n">
        <f aca="false">SUM(M67:M71)</f>
        <v>0</v>
      </c>
      <c r="N72" s="258"/>
      <c r="O72" s="260"/>
      <c r="P72" s="270" t="n">
        <f aca="false">SUM(P67:P71)</f>
        <v>0</v>
      </c>
      <c r="Q72" s="271" t="n">
        <f aca="false">SUM(Q67:Q71)</f>
        <v>0</v>
      </c>
      <c r="R72" s="271" t="n">
        <f aca="false">SUM(R67:R71)</f>
        <v>0</v>
      </c>
      <c r="S72" s="238"/>
    </row>
    <row r="73" customFormat="false" ht="6" hidden="false" customHeight="true" outlineLevel="0" collapsed="false">
      <c r="A73" s="253"/>
      <c r="B73" s="273"/>
      <c r="C73" s="274"/>
      <c r="D73" s="275"/>
      <c r="E73" s="261"/>
      <c r="F73" s="261"/>
      <c r="G73" s="268"/>
      <c r="H73" s="261"/>
      <c r="I73" s="261"/>
      <c r="J73" s="272"/>
      <c r="K73" s="261"/>
      <c r="L73" s="261"/>
      <c r="M73" s="261"/>
      <c r="N73" s="258"/>
      <c r="O73" s="260"/>
      <c r="P73" s="261"/>
      <c r="Q73" s="261"/>
      <c r="R73" s="261"/>
      <c r="S73" s="238"/>
    </row>
    <row r="74" customFormat="false" ht="12" hidden="false" customHeight="true" outlineLevel="0" collapsed="false">
      <c r="A74" s="253"/>
      <c r="B74" s="262" t="s">
        <v>212</v>
      </c>
      <c r="C74" s="262"/>
      <c r="D74" s="272"/>
      <c r="E74" s="261"/>
      <c r="F74" s="261"/>
      <c r="G74" s="268"/>
      <c r="H74" s="261"/>
      <c r="I74" s="258"/>
      <c r="J74" s="259"/>
      <c r="K74" s="258"/>
      <c r="L74" s="258"/>
      <c r="M74" s="258"/>
      <c r="N74" s="258"/>
      <c r="O74" s="260"/>
      <c r="P74" s="261"/>
      <c r="Q74" s="258"/>
      <c r="R74" s="258"/>
      <c r="S74" s="238"/>
    </row>
    <row r="75" customFormat="false" ht="12" hidden="false" customHeight="true" outlineLevel="0" collapsed="false">
      <c r="A75" s="253"/>
      <c r="B75" s="264"/>
      <c r="C75" s="265"/>
      <c r="D75" s="288"/>
      <c r="E75" s="267"/>
      <c r="F75" s="261"/>
      <c r="G75" s="268"/>
      <c r="H75" s="261"/>
      <c r="I75" s="258"/>
      <c r="J75" s="268" t="n">
        <f aca="false">J$4</f>
        <v>1</v>
      </c>
      <c r="K75" s="258" t="str">
        <f aca="false">IF(E75&gt;0,E75*J75," ")</f>
        <v> </v>
      </c>
      <c r="L75" s="258"/>
      <c r="M75" s="258" t="str">
        <f aca="false">IF(E75&gt;0,E75-K75," ")</f>
        <v> </v>
      </c>
      <c r="N75" s="258"/>
      <c r="O75" s="264"/>
      <c r="P75" s="267"/>
      <c r="Q75" s="258" t="str">
        <f aca="false">IF((O75+P75)&gt;0,IF(P75&lt;M75,M75-P75," ")," ")</f>
        <v> </v>
      </c>
      <c r="R75" s="258" t="str">
        <f aca="false">IF((O75+P75)&gt;0,IF(P75&gt;M75,P75-M75," ")," ")</f>
        <v> </v>
      </c>
      <c r="S75" s="238"/>
    </row>
    <row r="76" customFormat="false" ht="12" hidden="false" customHeight="false" outlineLevel="0" collapsed="false">
      <c r="A76" s="253"/>
      <c r="B76" s="264"/>
      <c r="C76" s="265"/>
      <c r="D76" s="288"/>
      <c r="E76" s="267"/>
      <c r="F76" s="261"/>
      <c r="G76" s="268"/>
      <c r="H76" s="261"/>
      <c r="I76" s="258"/>
      <c r="J76" s="268" t="n">
        <f aca="false">J$4</f>
        <v>1</v>
      </c>
      <c r="K76" s="258" t="str">
        <f aca="false">IF(E76&gt;0,E76*J76," ")</f>
        <v> </v>
      </c>
      <c r="L76" s="258"/>
      <c r="M76" s="258" t="str">
        <f aca="false">IF(E76&gt;0,E76-K76," ")</f>
        <v> </v>
      </c>
      <c r="N76" s="258"/>
      <c r="O76" s="264"/>
      <c r="P76" s="267"/>
      <c r="Q76" s="258" t="str">
        <f aca="false">IF((O76+P76)&gt;0,IF(P76&lt;M76,M76-P76," ")," ")</f>
        <v> </v>
      </c>
      <c r="R76" s="258" t="str">
        <f aca="false">IF((O76+P76)&gt;0,IF(P76&gt;M76,P76-M76," ")," ")</f>
        <v> </v>
      </c>
      <c r="S76" s="238"/>
    </row>
    <row r="77" customFormat="false" ht="12" hidden="false" customHeight="false" outlineLevel="0" collapsed="false">
      <c r="A77" s="253"/>
      <c r="B77" s="264"/>
      <c r="C77" s="265"/>
      <c r="D77" s="288"/>
      <c r="E77" s="267"/>
      <c r="F77" s="261"/>
      <c r="G77" s="268"/>
      <c r="H77" s="261"/>
      <c r="I77" s="258"/>
      <c r="J77" s="268" t="n">
        <f aca="false">J$4</f>
        <v>1</v>
      </c>
      <c r="K77" s="258" t="str">
        <f aca="false">IF(E77&gt;0,E77*J77," ")</f>
        <v> </v>
      </c>
      <c r="L77" s="258"/>
      <c r="M77" s="258" t="str">
        <f aca="false">IF(E77&gt;0,E77-K77," ")</f>
        <v> </v>
      </c>
      <c r="N77" s="258"/>
      <c r="O77" s="264"/>
      <c r="P77" s="267"/>
      <c r="Q77" s="258" t="str">
        <f aca="false">IF((O77+P77)&gt;0,IF(P77&lt;M77,M77-P77," ")," ")</f>
        <v> </v>
      </c>
      <c r="R77" s="258" t="str">
        <f aca="false">IF((O77+P77)&gt;0,IF(P77&gt;M77,P77-M77," ")," ")</f>
        <v> </v>
      </c>
      <c r="S77" s="238"/>
    </row>
    <row r="78" customFormat="false" ht="12" hidden="false" customHeight="false" outlineLevel="0" collapsed="false">
      <c r="A78" s="253"/>
      <c r="B78" s="264"/>
      <c r="C78" s="265"/>
      <c r="D78" s="288"/>
      <c r="E78" s="267"/>
      <c r="F78" s="261"/>
      <c r="G78" s="268"/>
      <c r="H78" s="261"/>
      <c r="I78" s="258"/>
      <c r="J78" s="268" t="n">
        <f aca="false">J$4</f>
        <v>1</v>
      </c>
      <c r="K78" s="258" t="str">
        <f aca="false">IF(E78&gt;0,E78*J78," ")</f>
        <v> </v>
      </c>
      <c r="L78" s="258"/>
      <c r="M78" s="258" t="str">
        <f aca="false">IF(E78&gt;0,E78-K78," ")</f>
        <v> </v>
      </c>
      <c r="N78" s="258"/>
      <c r="O78" s="264"/>
      <c r="P78" s="267"/>
      <c r="Q78" s="258" t="str">
        <f aca="false">IF((O78+P78)&gt;0,IF(P78&lt;M78,M78-P78," ")," ")</f>
        <v> </v>
      </c>
      <c r="R78" s="258" t="str">
        <f aca="false">IF((O78+P78)&gt;0,IF(P78&gt;M78,P78-M78," ")," ")</f>
        <v> </v>
      </c>
      <c r="S78" s="238"/>
    </row>
    <row r="79" customFormat="false" ht="12" hidden="false" customHeight="false" outlineLevel="0" collapsed="false">
      <c r="A79" s="253"/>
      <c r="B79" s="264"/>
      <c r="C79" s="265"/>
      <c r="D79" s="288"/>
      <c r="E79" s="267"/>
      <c r="F79" s="261"/>
      <c r="G79" s="268"/>
      <c r="H79" s="261"/>
      <c r="I79" s="258"/>
      <c r="J79" s="268" t="n">
        <f aca="false">J$4</f>
        <v>1</v>
      </c>
      <c r="K79" s="258" t="str">
        <f aca="false">IF(E79&gt;0,E79*J79," ")</f>
        <v> </v>
      </c>
      <c r="L79" s="258"/>
      <c r="M79" s="258" t="str">
        <f aca="false">IF(E79&gt;0,E79-K79," ")</f>
        <v> </v>
      </c>
      <c r="N79" s="258"/>
      <c r="O79" s="264"/>
      <c r="P79" s="267"/>
      <c r="Q79" s="258" t="str">
        <f aca="false">IF((O79+P79)&gt;0,IF(P79&lt;M79,M79-P79," ")," ")</f>
        <v> </v>
      </c>
      <c r="R79" s="258" t="str">
        <f aca="false">IF((O79+P79)&gt;0,IF(P79&gt;M79,P79-M79," ")," ")</f>
        <v> </v>
      </c>
      <c r="S79" s="238"/>
    </row>
    <row r="80" customFormat="false" ht="12" hidden="false" customHeight="true" outlineLevel="0" collapsed="false">
      <c r="A80" s="253"/>
      <c r="B80" s="269" t="s">
        <v>223</v>
      </c>
      <c r="C80" s="269"/>
      <c r="D80" s="269"/>
      <c r="E80" s="270" t="n">
        <f aca="false">SUM(E75:E79)</f>
        <v>0</v>
      </c>
      <c r="F80" s="261"/>
      <c r="G80" s="268"/>
      <c r="H80" s="261"/>
      <c r="I80" s="271" t="n">
        <f aca="false">SUM(I75:I79)</f>
        <v>0</v>
      </c>
      <c r="J80" s="272"/>
      <c r="K80" s="271" t="n">
        <f aca="false">SUM(K75:K79)</f>
        <v>0</v>
      </c>
      <c r="L80" s="271" t="n">
        <f aca="false">SUM(L75:L79)</f>
        <v>0</v>
      </c>
      <c r="M80" s="271" t="n">
        <f aca="false">SUM(M75:M79)</f>
        <v>0</v>
      </c>
      <c r="N80" s="258"/>
      <c r="O80" s="260"/>
      <c r="P80" s="270" t="n">
        <f aca="false">SUM(P75:P79)</f>
        <v>0</v>
      </c>
      <c r="Q80" s="271" t="n">
        <f aca="false">SUM(Q75:Q79)</f>
        <v>0</v>
      </c>
      <c r="R80" s="271" t="n">
        <f aca="false">SUM(R75:R79)</f>
        <v>0</v>
      </c>
      <c r="S80" s="238"/>
    </row>
    <row r="81" customFormat="false" ht="6" hidden="false" customHeight="true" outlineLevel="0" collapsed="false">
      <c r="A81" s="253"/>
      <c r="B81" s="273"/>
      <c r="C81" s="274"/>
      <c r="D81" s="275"/>
      <c r="E81" s="261"/>
      <c r="F81" s="261"/>
      <c r="G81" s="268"/>
      <c r="H81" s="261"/>
      <c r="I81" s="261"/>
      <c r="J81" s="272"/>
      <c r="K81" s="261"/>
      <c r="L81" s="261"/>
      <c r="M81" s="261"/>
      <c r="N81" s="258"/>
      <c r="O81" s="260"/>
      <c r="P81" s="261"/>
      <c r="Q81" s="261"/>
      <c r="R81" s="261"/>
      <c r="S81" s="238"/>
    </row>
    <row r="82" customFormat="false" ht="12" hidden="false" customHeight="true" outlineLevel="0" collapsed="false">
      <c r="A82" s="253"/>
      <c r="B82" s="262" t="s">
        <v>214</v>
      </c>
      <c r="C82" s="262"/>
      <c r="D82" s="277"/>
      <c r="E82" s="261"/>
      <c r="F82" s="261"/>
      <c r="G82" s="268"/>
      <c r="H82" s="261"/>
      <c r="I82" s="258"/>
      <c r="J82" s="259"/>
      <c r="K82" s="258"/>
      <c r="L82" s="258"/>
      <c r="M82" s="258"/>
      <c r="N82" s="258"/>
      <c r="O82" s="260"/>
      <c r="P82" s="261"/>
      <c r="Q82" s="258"/>
      <c r="R82" s="258"/>
      <c r="S82" s="238"/>
    </row>
    <row r="83" customFormat="false" ht="12" hidden="false" customHeight="false" outlineLevel="0" collapsed="false">
      <c r="A83" s="253"/>
      <c r="B83" s="264"/>
      <c r="C83" s="265"/>
      <c r="D83" s="288"/>
      <c r="E83" s="267"/>
      <c r="F83" s="261"/>
      <c r="G83" s="268"/>
      <c r="H83" s="261"/>
      <c r="I83" s="258"/>
      <c r="J83" s="268" t="n">
        <f aca="false">J$4</f>
        <v>1</v>
      </c>
      <c r="K83" s="258" t="str">
        <f aca="false">IF(E83&gt;0,E83*J83," ")</f>
        <v> </v>
      </c>
      <c r="L83" s="258"/>
      <c r="M83" s="258" t="str">
        <f aca="false">IF(E83&gt;0,E83-K83," ")</f>
        <v> </v>
      </c>
      <c r="N83" s="258"/>
      <c r="O83" s="264"/>
      <c r="P83" s="267"/>
      <c r="Q83" s="258" t="str">
        <f aca="false">IF((O83+P83)&gt;0,IF(P83&lt;M83,M83-P83," ")," ")</f>
        <v> </v>
      </c>
      <c r="R83" s="258" t="str">
        <f aca="false">IF((O83+P83)&gt;0,IF(P83&gt;M83,P83-M83," ")," ")</f>
        <v> </v>
      </c>
      <c r="S83" s="238"/>
    </row>
    <row r="84" customFormat="false" ht="12" hidden="false" customHeight="false" outlineLevel="0" collapsed="false">
      <c r="A84" s="253"/>
      <c r="B84" s="264"/>
      <c r="C84" s="265"/>
      <c r="D84" s="288"/>
      <c r="E84" s="267"/>
      <c r="F84" s="261"/>
      <c r="G84" s="268"/>
      <c r="H84" s="261"/>
      <c r="I84" s="258"/>
      <c r="J84" s="268" t="n">
        <f aca="false">J$4</f>
        <v>1</v>
      </c>
      <c r="K84" s="258" t="str">
        <f aca="false">IF(E84&gt;0,E84*J84," ")</f>
        <v> </v>
      </c>
      <c r="L84" s="258"/>
      <c r="M84" s="258" t="str">
        <f aca="false">IF(E84&gt;0,E84-K84," ")</f>
        <v> </v>
      </c>
      <c r="N84" s="258"/>
      <c r="O84" s="264"/>
      <c r="P84" s="267"/>
      <c r="Q84" s="258" t="str">
        <f aca="false">IF((O84+P84)&gt;0,IF(P84&lt;M84,M84-P84," ")," ")</f>
        <v> </v>
      </c>
      <c r="R84" s="258" t="str">
        <f aca="false">IF((O84+P84)&gt;0,IF(P84&gt;M84,P84-M84," ")," ")</f>
        <v> </v>
      </c>
      <c r="S84" s="238"/>
    </row>
    <row r="85" customFormat="false" ht="12" hidden="false" customHeight="false" outlineLevel="0" collapsed="false">
      <c r="A85" s="253"/>
      <c r="B85" s="264"/>
      <c r="C85" s="265"/>
      <c r="D85" s="288"/>
      <c r="E85" s="267"/>
      <c r="F85" s="261"/>
      <c r="G85" s="268"/>
      <c r="H85" s="261"/>
      <c r="I85" s="258"/>
      <c r="J85" s="268" t="n">
        <f aca="false">J$4</f>
        <v>1</v>
      </c>
      <c r="K85" s="258" t="str">
        <f aca="false">IF(E85&gt;0,E85*J85," ")</f>
        <v> </v>
      </c>
      <c r="L85" s="258"/>
      <c r="M85" s="258" t="str">
        <f aca="false">IF(E85&gt;0,E85-K85," ")</f>
        <v> </v>
      </c>
      <c r="N85" s="258"/>
      <c r="O85" s="264"/>
      <c r="P85" s="267"/>
      <c r="Q85" s="258" t="str">
        <f aca="false">IF((O85+P85)&gt;0,IF(P85&lt;M85,M85-P85," ")," ")</f>
        <v> </v>
      </c>
      <c r="R85" s="258" t="str">
        <f aca="false">IF((O85+P85)&gt;0,IF(P85&gt;M85,P85-M85," ")," ")</f>
        <v> </v>
      </c>
      <c r="S85" s="238"/>
    </row>
    <row r="86" customFormat="false" ht="12" hidden="false" customHeight="false" outlineLevel="0" collapsed="false">
      <c r="A86" s="253"/>
      <c r="B86" s="264"/>
      <c r="C86" s="265"/>
      <c r="D86" s="288"/>
      <c r="E86" s="267"/>
      <c r="F86" s="261"/>
      <c r="G86" s="268"/>
      <c r="H86" s="261"/>
      <c r="I86" s="258"/>
      <c r="J86" s="268" t="n">
        <f aca="false">J$4</f>
        <v>1</v>
      </c>
      <c r="K86" s="258" t="str">
        <f aca="false">IF(E86&gt;0,E86*J86," ")</f>
        <v> </v>
      </c>
      <c r="L86" s="258"/>
      <c r="M86" s="258" t="str">
        <f aca="false">IF(E86&gt;0,E86-K86," ")</f>
        <v> </v>
      </c>
      <c r="N86" s="258"/>
      <c r="O86" s="264"/>
      <c r="P86" s="267"/>
      <c r="Q86" s="258" t="str">
        <f aca="false">IF((O86+P86)&gt;0,IF(P86&lt;M86,M86-P86," ")," ")</f>
        <v> </v>
      </c>
      <c r="R86" s="258" t="str">
        <f aca="false">IF((O86+P86)&gt;0,IF(P86&gt;M86,P86-M86," ")," ")</f>
        <v> </v>
      </c>
      <c r="S86" s="238"/>
    </row>
    <row r="87" customFormat="false" ht="12" hidden="false" customHeight="false" outlineLevel="0" collapsed="false">
      <c r="A87" s="253"/>
      <c r="B87" s="264"/>
      <c r="C87" s="265"/>
      <c r="D87" s="288"/>
      <c r="E87" s="267"/>
      <c r="F87" s="261"/>
      <c r="G87" s="268"/>
      <c r="H87" s="261"/>
      <c r="I87" s="258"/>
      <c r="J87" s="268" t="n">
        <f aca="false">J$4</f>
        <v>1</v>
      </c>
      <c r="K87" s="258" t="str">
        <f aca="false">IF(E87&gt;0,E87*J87," ")</f>
        <v> </v>
      </c>
      <c r="L87" s="258"/>
      <c r="M87" s="258" t="str">
        <f aca="false">IF(E87&gt;0,E87-K87," ")</f>
        <v> </v>
      </c>
      <c r="N87" s="258"/>
      <c r="O87" s="264"/>
      <c r="P87" s="267"/>
      <c r="Q87" s="258" t="str">
        <f aca="false">IF((O87+P87)&gt;0,IF(P87&lt;M87,M87-P87," ")," ")</f>
        <v> </v>
      </c>
      <c r="R87" s="258" t="str">
        <f aca="false">IF((O87+P87)&gt;0,IF(P87&gt;M87,P87-M87," ")," ")</f>
        <v> </v>
      </c>
      <c r="S87" s="238"/>
    </row>
    <row r="88" customFormat="false" ht="12" hidden="false" customHeight="true" outlineLevel="0" collapsed="false">
      <c r="A88" s="253"/>
      <c r="B88" s="269" t="s">
        <v>224</v>
      </c>
      <c r="C88" s="269"/>
      <c r="D88" s="269"/>
      <c r="E88" s="270" t="n">
        <f aca="false">SUM(E83:E87)</f>
        <v>0</v>
      </c>
      <c r="F88" s="261"/>
      <c r="G88" s="268"/>
      <c r="H88" s="261"/>
      <c r="I88" s="271" t="n">
        <f aca="false">SUM(I83:I87)</f>
        <v>0</v>
      </c>
      <c r="J88" s="272"/>
      <c r="K88" s="271" t="n">
        <f aca="false">SUM(K83:K87)</f>
        <v>0</v>
      </c>
      <c r="L88" s="271" t="n">
        <f aca="false">SUM(L83:L87)</f>
        <v>0</v>
      </c>
      <c r="M88" s="271" t="n">
        <f aca="false">SUM(M83:M87)</f>
        <v>0</v>
      </c>
      <c r="N88" s="258"/>
      <c r="O88" s="260"/>
      <c r="P88" s="270" t="n">
        <f aca="false">SUM(P83:P87)</f>
        <v>0</v>
      </c>
      <c r="Q88" s="271" t="n">
        <f aca="false">SUM(Q83:Q87)</f>
        <v>0</v>
      </c>
      <c r="R88" s="271" t="n">
        <f aca="false">SUM(R83:R87)</f>
        <v>0</v>
      </c>
      <c r="S88" s="238"/>
    </row>
    <row r="89" customFormat="false" ht="6" hidden="false" customHeight="true" outlineLevel="0" collapsed="false">
      <c r="A89" s="253"/>
      <c r="B89" s="273"/>
      <c r="C89" s="274"/>
      <c r="D89" s="275"/>
      <c r="E89" s="261"/>
      <c r="F89" s="261"/>
      <c r="G89" s="268"/>
      <c r="H89" s="261"/>
      <c r="I89" s="261"/>
      <c r="J89" s="272"/>
      <c r="K89" s="261"/>
      <c r="L89" s="261"/>
      <c r="M89" s="261"/>
      <c r="N89" s="258"/>
      <c r="O89" s="260"/>
      <c r="P89" s="261"/>
      <c r="Q89" s="261"/>
      <c r="R89" s="261"/>
      <c r="S89" s="238"/>
    </row>
    <row r="90" customFormat="false" ht="12" hidden="false" customHeight="true" outlineLevel="0" collapsed="false">
      <c r="A90" s="253"/>
      <c r="B90" s="278" t="str">
        <f aca="false">B37</f>
        <v>Motor Vehicles - costing over £</v>
      </c>
      <c r="C90" s="278"/>
      <c r="D90" s="279" t="n">
        <f aca="false">D37</f>
        <v>12000</v>
      </c>
      <c r="E90" s="261"/>
      <c r="F90" s="261"/>
      <c r="G90" s="268"/>
      <c r="H90" s="261"/>
      <c r="I90" s="258"/>
      <c r="J90" s="272"/>
      <c r="K90" s="258"/>
      <c r="L90" s="258"/>
      <c r="M90" s="258"/>
      <c r="N90" s="258"/>
      <c r="O90" s="260"/>
      <c r="P90" s="261"/>
      <c r="Q90" s="258"/>
      <c r="R90" s="258"/>
      <c r="S90" s="238"/>
    </row>
    <row r="91" customFormat="false" ht="12" hidden="false" customHeight="false" outlineLevel="0" collapsed="false">
      <c r="A91" s="253"/>
      <c r="B91" s="264"/>
      <c r="C91" s="265"/>
      <c r="D91" s="288"/>
      <c r="E91" s="267"/>
      <c r="F91" s="261"/>
      <c r="G91" s="282" t="n">
        <v>0</v>
      </c>
      <c r="H91" s="261"/>
      <c r="I91" s="258"/>
      <c r="J91" s="259"/>
      <c r="K91" s="258"/>
      <c r="L91" s="258" t="str">
        <f aca="false">IF(E91&gt;0,MIN(E91*L$4*(1-G91),Admin!G$8*(1-G91))," ")</f>
        <v> </v>
      </c>
      <c r="M91" s="258" t="str">
        <f aca="false">IF(E91&gt;0,E91-L91," ")</f>
        <v> </v>
      </c>
      <c r="N91" s="258"/>
      <c r="O91" s="264"/>
      <c r="P91" s="267"/>
      <c r="Q91" s="258" t="str">
        <f aca="false">IF((O91+P91)&gt;0,IF(P91&lt;M91,(M91-P91)*(1-G91)," ")," ")</f>
        <v> </v>
      </c>
      <c r="R91" s="258" t="str">
        <f aca="false">IF((O91+P91)&gt;0,IF(P91&gt;M91,(P91-M91)*(1-G91)," ")," ")</f>
        <v> </v>
      </c>
      <c r="S91" s="238"/>
    </row>
    <row r="92" customFormat="false" ht="12" hidden="false" customHeight="false" outlineLevel="0" collapsed="false">
      <c r="A92" s="253"/>
      <c r="B92" s="264"/>
      <c r="C92" s="265"/>
      <c r="D92" s="288"/>
      <c r="E92" s="267"/>
      <c r="F92" s="261"/>
      <c r="G92" s="282" t="n">
        <v>0</v>
      </c>
      <c r="H92" s="261"/>
      <c r="I92" s="258"/>
      <c r="J92" s="259"/>
      <c r="K92" s="258"/>
      <c r="L92" s="258" t="str">
        <f aca="false">IF(E92&gt;0,MIN(E92*L$4*(1-G92),Admin!G$8*(1-G92))," ")</f>
        <v> </v>
      </c>
      <c r="M92" s="258" t="str">
        <f aca="false">IF(E92&gt;0,E92-L92," ")</f>
        <v> </v>
      </c>
      <c r="N92" s="258"/>
      <c r="O92" s="264"/>
      <c r="P92" s="267"/>
      <c r="Q92" s="258" t="str">
        <f aca="false">IF((O92+P92)&gt;0,IF(P92&lt;M92,(M92-P92)*(1-G92)," ")," ")</f>
        <v> </v>
      </c>
      <c r="R92" s="258" t="str">
        <f aca="false">IF((O92+P92)&gt;0,IF(P92&gt;M92,(P92-M92)*(1-G92)," ")," ")</f>
        <v> </v>
      </c>
      <c r="S92" s="238"/>
    </row>
    <row r="93" customFormat="false" ht="12" hidden="false" customHeight="false" outlineLevel="0" collapsed="false">
      <c r="A93" s="253"/>
      <c r="B93" s="264"/>
      <c r="C93" s="265"/>
      <c r="D93" s="288"/>
      <c r="E93" s="267"/>
      <c r="F93" s="261"/>
      <c r="G93" s="282" t="n">
        <v>0</v>
      </c>
      <c r="H93" s="261"/>
      <c r="I93" s="258"/>
      <c r="J93" s="259"/>
      <c r="K93" s="258"/>
      <c r="L93" s="258" t="str">
        <f aca="false">IF(E93&gt;0,MIN(E93*L$4*(1-G93),Admin!G$8*(1-G93))," ")</f>
        <v> </v>
      </c>
      <c r="M93" s="258" t="str">
        <f aca="false">IF(E93&gt;0,E93-L93," ")</f>
        <v> </v>
      </c>
      <c r="N93" s="258"/>
      <c r="O93" s="264"/>
      <c r="P93" s="267"/>
      <c r="Q93" s="258" t="str">
        <f aca="false">IF((O93+P93)&gt;0,IF(P93&lt;M93,(M93-P93)*(1-G93)," ")," ")</f>
        <v> </v>
      </c>
      <c r="R93" s="258" t="str">
        <f aca="false">IF((O93+P93)&gt;0,IF(P93&gt;M93,(P93-M93)*(1-G93)," ")," ")</f>
        <v> </v>
      </c>
      <c r="S93" s="238"/>
    </row>
    <row r="94" customFormat="false" ht="12" hidden="false" customHeight="false" outlineLevel="0" collapsed="false">
      <c r="A94" s="253"/>
      <c r="B94" s="264"/>
      <c r="C94" s="265"/>
      <c r="D94" s="288"/>
      <c r="E94" s="267"/>
      <c r="F94" s="261"/>
      <c r="G94" s="282" t="n">
        <v>0</v>
      </c>
      <c r="H94" s="261"/>
      <c r="I94" s="258"/>
      <c r="J94" s="259"/>
      <c r="K94" s="258"/>
      <c r="L94" s="258" t="str">
        <f aca="false">IF(E94&gt;0,MIN(E94*L$4*(1-G94),Admin!G$8*(1-G94))," ")</f>
        <v> </v>
      </c>
      <c r="M94" s="258" t="str">
        <f aca="false">IF(E94&gt;0,E94-L94," ")</f>
        <v> </v>
      </c>
      <c r="N94" s="258"/>
      <c r="O94" s="264"/>
      <c r="P94" s="267"/>
      <c r="Q94" s="258" t="str">
        <f aca="false">IF((O94+P94)&gt;0,IF(P94&lt;M94,(M94-P94)*(1-G94)," ")," ")</f>
        <v> </v>
      </c>
      <c r="R94" s="258" t="str">
        <f aca="false">IF((O94+P94)&gt;0,IF(P94&gt;M94,(P94-M94)*(1-G94)," ")," ")</f>
        <v> </v>
      </c>
      <c r="S94" s="238"/>
    </row>
    <row r="95" customFormat="false" ht="12" hidden="false" customHeight="false" outlineLevel="0" collapsed="false">
      <c r="A95" s="253"/>
      <c r="B95" s="264"/>
      <c r="C95" s="265"/>
      <c r="D95" s="288"/>
      <c r="E95" s="267"/>
      <c r="F95" s="261"/>
      <c r="G95" s="282" t="n">
        <v>0</v>
      </c>
      <c r="H95" s="261"/>
      <c r="I95" s="258"/>
      <c r="J95" s="259"/>
      <c r="K95" s="258"/>
      <c r="L95" s="258" t="str">
        <f aca="false">IF(E95&gt;0,MIN(E95*L$4*(1-G95),Admin!G$8*(1-G95))," ")</f>
        <v> </v>
      </c>
      <c r="M95" s="258" t="str">
        <f aca="false">IF(E95&gt;0,E95-L95," ")</f>
        <v> </v>
      </c>
      <c r="N95" s="258"/>
      <c r="O95" s="264"/>
      <c r="P95" s="267"/>
      <c r="Q95" s="258" t="str">
        <f aca="false">IF((O95+P95)&gt;0,IF(P95&lt;M95,(M95-P95)*(1-G95)," ")," ")</f>
        <v> </v>
      </c>
      <c r="R95" s="258" t="str">
        <f aca="false">IF((O95+P95)&gt;0,IF(P95&gt;M95,(P95-M95)*(1-G95)," ")," ")</f>
        <v> </v>
      </c>
      <c r="S95" s="238"/>
    </row>
    <row r="96" customFormat="false" ht="12" hidden="false" customHeight="true" outlineLevel="0" collapsed="false">
      <c r="A96" s="253"/>
      <c r="B96" s="290" t="str">
        <f aca="false">B43</f>
        <v>Motor Vehicles - costing under £</v>
      </c>
      <c r="C96" s="290"/>
      <c r="D96" s="279" t="n">
        <f aca="false">D43</f>
        <v>12000</v>
      </c>
      <c r="E96" s="261"/>
      <c r="F96" s="261"/>
      <c r="G96" s="268"/>
      <c r="H96" s="261"/>
      <c r="I96" s="258"/>
      <c r="J96" s="259"/>
      <c r="K96" s="258"/>
      <c r="L96" s="258"/>
      <c r="M96" s="258"/>
      <c r="N96" s="258"/>
      <c r="O96" s="260"/>
      <c r="P96" s="261"/>
      <c r="Q96" s="258"/>
      <c r="R96" s="258"/>
      <c r="S96" s="238"/>
    </row>
    <row r="97" customFormat="false" ht="12" hidden="false" customHeight="false" outlineLevel="0" collapsed="false">
      <c r="A97" s="253"/>
      <c r="B97" s="264"/>
      <c r="C97" s="265"/>
      <c r="D97" s="288"/>
      <c r="E97" s="267"/>
      <c r="F97" s="261"/>
      <c r="G97" s="282" t="n">
        <v>0</v>
      </c>
      <c r="H97" s="261"/>
      <c r="I97" s="258"/>
      <c r="J97" s="259"/>
      <c r="K97" s="258"/>
      <c r="L97" s="258" t="str">
        <f aca="false">IF(E97&gt;0,MIN(E97*L$4*(1-G97),Admin!G$8*(1-G97))," ")</f>
        <v> </v>
      </c>
      <c r="M97" s="258" t="str">
        <f aca="false">IF(E97&gt;0,E97-L97," ")</f>
        <v> </v>
      </c>
      <c r="N97" s="258"/>
      <c r="O97" s="264"/>
      <c r="P97" s="267"/>
      <c r="Q97" s="258" t="str">
        <f aca="false">IF((O97+P97)&gt;0,IF(P97&lt;M97,(M97-P97)*(1-G97)," ")," ")</f>
        <v> </v>
      </c>
      <c r="R97" s="258" t="str">
        <f aca="false">IF((O97+P97)&gt;0,IF(P97&gt;M97,(P97-M97)*(1-G97)," ")," ")</f>
        <v> </v>
      </c>
      <c r="S97" s="238"/>
    </row>
    <row r="98" customFormat="false" ht="12" hidden="false" customHeight="false" outlineLevel="0" collapsed="false">
      <c r="A98" s="253"/>
      <c r="B98" s="264"/>
      <c r="C98" s="265"/>
      <c r="D98" s="288"/>
      <c r="E98" s="267"/>
      <c r="F98" s="261"/>
      <c r="G98" s="282" t="n">
        <v>0</v>
      </c>
      <c r="H98" s="261"/>
      <c r="I98" s="258"/>
      <c r="J98" s="259"/>
      <c r="K98" s="258"/>
      <c r="L98" s="258" t="str">
        <f aca="false">IF(E98&gt;0,MIN(E98*L$4*(1-G98),Admin!G$8*(1-G98))," ")</f>
        <v> </v>
      </c>
      <c r="M98" s="258" t="str">
        <f aca="false">IF(E98&gt;0,E98-L98," ")</f>
        <v> </v>
      </c>
      <c r="N98" s="258"/>
      <c r="O98" s="264"/>
      <c r="P98" s="267"/>
      <c r="Q98" s="258" t="str">
        <f aca="false">IF((O98+P98)&gt;0,IF(P98&lt;M98,(M98-P98)*(1-G98)," ")," ")</f>
        <v> </v>
      </c>
      <c r="R98" s="258" t="str">
        <f aca="false">IF((O98+P98)&gt;0,IF(P98&gt;M98,(P98-M98)*(1-G98)," ")," ")</f>
        <v> </v>
      </c>
      <c r="S98" s="238"/>
    </row>
    <row r="99" customFormat="false" ht="12" hidden="false" customHeight="false" outlineLevel="0" collapsed="false">
      <c r="A99" s="253"/>
      <c r="B99" s="264"/>
      <c r="C99" s="265"/>
      <c r="D99" s="288"/>
      <c r="E99" s="267"/>
      <c r="F99" s="261"/>
      <c r="G99" s="282" t="n">
        <v>0</v>
      </c>
      <c r="H99" s="261"/>
      <c r="I99" s="258"/>
      <c r="J99" s="259"/>
      <c r="K99" s="258"/>
      <c r="L99" s="258" t="str">
        <f aca="false">IF(E99&gt;0,MIN(E99*L$4*(1-G99),Admin!G$8*(1-G99))," ")</f>
        <v> </v>
      </c>
      <c r="M99" s="258" t="str">
        <f aca="false">IF(E99&gt;0,E99-L99," ")</f>
        <v> </v>
      </c>
      <c r="N99" s="258"/>
      <c r="O99" s="264"/>
      <c r="P99" s="267"/>
      <c r="Q99" s="258" t="str">
        <f aca="false">IF((O99+P99)&gt;0,IF(P99&lt;M99,(M99-P99)*(1-G99)," ")," ")</f>
        <v> </v>
      </c>
      <c r="R99" s="258" t="str">
        <f aca="false">IF((O99+P99)&gt;0,IF(P99&gt;M99,(P99-M99)*(1-G99)," ")," ")</f>
        <v> </v>
      </c>
      <c r="S99" s="238"/>
    </row>
    <row r="100" customFormat="false" ht="12" hidden="false" customHeight="false" outlineLevel="0" collapsed="false">
      <c r="A100" s="253"/>
      <c r="B100" s="264"/>
      <c r="C100" s="265"/>
      <c r="D100" s="288"/>
      <c r="E100" s="267"/>
      <c r="F100" s="261"/>
      <c r="G100" s="282" t="n">
        <v>0</v>
      </c>
      <c r="H100" s="261"/>
      <c r="I100" s="258"/>
      <c r="J100" s="259"/>
      <c r="K100" s="258"/>
      <c r="L100" s="258" t="str">
        <f aca="false">IF(E100&gt;0,MIN(E100*L$4*(1-G100),Admin!G$8*(1-G100))," ")</f>
        <v> </v>
      </c>
      <c r="M100" s="258" t="str">
        <f aca="false">IF(E100&gt;0,E100-L100," ")</f>
        <v> </v>
      </c>
      <c r="N100" s="258"/>
      <c r="O100" s="264"/>
      <c r="P100" s="267"/>
      <c r="Q100" s="258" t="str">
        <f aca="false">IF((O100+P100)&gt;0,IF(P100&lt;M100,(M100-P100)*(1-G100)," ")," ")</f>
        <v> </v>
      </c>
      <c r="R100" s="258" t="str">
        <f aca="false">IF((O100+P100)&gt;0,IF(P100&gt;M100,(P100-M100)*(1-G100)," ")," ")</f>
        <v> </v>
      </c>
      <c r="S100" s="238"/>
    </row>
    <row r="101" customFormat="false" ht="12" hidden="false" customHeight="false" outlineLevel="0" collapsed="false">
      <c r="A101" s="253"/>
      <c r="B101" s="264"/>
      <c r="C101" s="265"/>
      <c r="D101" s="288"/>
      <c r="E101" s="267"/>
      <c r="F101" s="261"/>
      <c r="G101" s="282" t="n">
        <v>0</v>
      </c>
      <c r="H101" s="261"/>
      <c r="I101" s="258"/>
      <c r="J101" s="259"/>
      <c r="K101" s="258"/>
      <c r="L101" s="258" t="str">
        <f aca="false">IF(E101&gt;0,MIN(E101*L$4*(1-G101),Admin!G$8*(1-G101))," ")</f>
        <v> </v>
      </c>
      <c r="M101" s="258" t="str">
        <f aca="false">IF(E101&gt;0,E101-L101," ")</f>
        <v> </v>
      </c>
      <c r="N101" s="258"/>
      <c r="O101" s="264"/>
      <c r="P101" s="267"/>
      <c r="Q101" s="258" t="str">
        <f aca="false">IF((O101+P101)&gt;0,IF(P101&lt;M101,(M101-P101)*(1-G101)," ")," ")</f>
        <v> </v>
      </c>
      <c r="R101" s="258" t="str">
        <f aca="false">IF((O101+P101)&gt;0,IF(P101&gt;M101,(P101-M101)*(1-G101)," ")," ")</f>
        <v> </v>
      </c>
      <c r="S101" s="238"/>
    </row>
    <row r="102" customFormat="false" ht="12" hidden="false" customHeight="true" outlineLevel="0" collapsed="false">
      <c r="A102" s="253"/>
      <c r="B102" s="262" t="s">
        <v>218</v>
      </c>
      <c r="C102" s="262"/>
      <c r="D102" s="277"/>
      <c r="E102" s="261"/>
      <c r="F102" s="261"/>
      <c r="G102" s="268"/>
      <c r="H102" s="261"/>
      <c r="I102" s="258"/>
      <c r="J102" s="259"/>
      <c r="K102" s="258"/>
      <c r="L102" s="258"/>
      <c r="M102" s="258"/>
      <c r="N102" s="258"/>
      <c r="O102" s="260"/>
      <c r="P102" s="261"/>
      <c r="Q102" s="258"/>
      <c r="R102" s="258"/>
      <c r="S102" s="238"/>
    </row>
    <row r="103" customFormat="false" ht="12" hidden="false" customHeight="false" outlineLevel="0" collapsed="false">
      <c r="A103" s="253"/>
      <c r="B103" s="264"/>
      <c r="C103" s="265"/>
      <c r="D103" s="288"/>
      <c r="E103" s="267"/>
      <c r="F103" s="261"/>
      <c r="G103" s="282" t="n">
        <v>0</v>
      </c>
      <c r="H103" s="261"/>
      <c r="I103" s="258"/>
      <c r="J103" s="268" t="n">
        <f aca="false">J$4</f>
        <v>1</v>
      </c>
      <c r="K103" s="258" t="str">
        <f aca="false">IF(E103&gt;0,E103*J103," ")</f>
        <v> </v>
      </c>
      <c r="L103" s="258"/>
      <c r="M103" s="258" t="str">
        <f aca="false">IF(E103&gt;0,E103-K103," ")</f>
        <v> </v>
      </c>
      <c r="N103" s="258"/>
      <c r="O103" s="264"/>
      <c r="P103" s="267"/>
      <c r="Q103" s="258" t="str">
        <f aca="false">IF((O103+P103)&gt;0,IF(P103&lt;M103,(M103-P103)*(1-G103)," ")," ")</f>
        <v> </v>
      </c>
      <c r="R103" s="258" t="str">
        <f aca="false">IF((O103+P103)&gt;0,IF(P103&gt;M103,(P103-M103)*(1-G103)," ")," ")</f>
        <v> </v>
      </c>
      <c r="S103" s="238"/>
    </row>
    <row r="104" customFormat="false" ht="12" hidden="false" customHeight="false" outlineLevel="0" collapsed="false">
      <c r="A104" s="253"/>
      <c r="B104" s="264"/>
      <c r="C104" s="265"/>
      <c r="D104" s="288"/>
      <c r="E104" s="267"/>
      <c r="F104" s="261"/>
      <c r="G104" s="282" t="n">
        <v>0</v>
      </c>
      <c r="H104" s="261"/>
      <c r="I104" s="258"/>
      <c r="J104" s="268" t="n">
        <f aca="false">J$4</f>
        <v>1</v>
      </c>
      <c r="K104" s="258" t="str">
        <f aca="false">IF(E104&gt;0,E104*J104," ")</f>
        <v> </v>
      </c>
      <c r="L104" s="258"/>
      <c r="M104" s="258" t="str">
        <f aca="false">IF(E104&gt;0,E104-K104," ")</f>
        <v> </v>
      </c>
      <c r="N104" s="258"/>
      <c r="O104" s="264"/>
      <c r="P104" s="267"/>
      <c r="Q104" s="258" t="str">
        <f aca="false">IF((O104+P104)&gt;0,IF(P104&lt;M104,(M104-P104)*(1-G104)," ")," ")</f>
        <v> </v>
      </c>
      <c r="R104" s="258" t="str">
        <f aca="false">IF((O104+P104)&gt;0,IF(P104&gt;M104,(P104-M104)*(1-G104)," ")," ")</f>
        <v> </v>
      </c>
      <c r="S104" s="238"/>
    </row>
    <row r="105" customFormat="false" ht="12" hidden="false" customHeight="false" outlineLevel="0" collapsed="false">
      <c r="A105" s="253"/>
      <c r="B105" s="264"/>
      <c r="C105" s="265"/>
      <c r="D105" s="288"/>
      <c r="E105" s="267"/>
      <c r="F105" s="261"/>
      <c r="G105" s="282" t="n">
        <v>0</v>
      </c>
      <c r="H105" s="261"/>
      <c r="I105" s="258"/>
      <c r="J105" s="268" t="n">
        <f aca="false">J$4</f>
        <v>1</v>
      </c>
      <c r="K105" s="258" t="str">
        <f aca="false">IF(E105&gt;0,E105*J105," ")</f>
        <v> </v>
      </c>
      <c r="L105" s="258"/>
      <c r="M105" s="258" t="str">
        <f aca="false">IF(E105&gt;0,E105-K105," ")</f>
        <v> </v>
      </c>
      <c r="N105" s="258"/>
      <c r="O105" s="264"/>
      <c r="P105" s="267"/>
      <c r="Q105" s="258" t="str">
        <f aca="false">IF((O105+P105)&gt;0,IF(P105&lt;M105,(M105-P105)*(1-G105)," ")," ")</f>
        <v> </v>
      </c>
      <c r="R105" s="258" t="str">
        <f aca="false">IF((O105+P105)&gt;0,IF(P105&gt;M105,(P105-M105)*(1-G105)," ")," ")</f>
        <v> </v>
      </c>
      <c r="S105" s="238"/>
    </row>
    <row r="106" customFormat="false" ht="12" hidden="false" customHeight="false" outlineLevel="0" collapsed="false">
      <c r="A106" s="253"/>
      <c r="B106" s="264"/>
      <c r="C106" s="265"/>
      <c r="D106" s="288"/>
      <c r="E106" s="267"/>
      <c r="F106" s="261"/>
      <c r="G106" s="282" t="n">
        <v>0</v>
      </c>
      <c r="H106" s="261"/>
      <c r="I106" s="258"/>
      <c r="J106" s="268" t="n">
        <f aca="false">J$4</f>
        <v>1</v>
      </c>
      <c r="K106" s="258" t="str">
        <f aca="false">IF(E106&gt;0,E106*J106," ")</f>
        <v> </v>
      </c>
      <c r="L106" s="258"/>
      <c r="M106" s="258" t="str">
        <f aca="false">IF(E106&gt;0,E106-K106," ")</f>
        <v> </v>
      </c>
      <c r="N106" s="258"/>
      <c r="O106" s="264"/>
      <c r="P106" s="267"/>
      <c r="Q106" s="258" t="str">
        <f aca="false">IF((O106+P106)&gt;0,IF(P106&lt;M106,(M106-P106)*(1-G106)," ")," ")</f>
        <v> </v>
      </c>
      <c r="R106" s="258" t="str">
        <f aca="false">IF((O106+P106)&gt;0,IF(P106&gt;M106,(P106-M106)*(1-G106)," ")," ")</f>
        <v> </v>
      </c>
      <c r="S106" s="238"/>
    </row>
    <row r="107" customFormat="false" ht="12" hidden="false" customHeight="false" outlineLevel="0" collapsed="false">
      <c r="A107" s="253"/>
      <c r="B107" s="264"/>
      <c r="C107" s="265"/>
      <c r="D107" s="288"/>
      <c r="E107" s="291"/>
      <c r="F107" s="261"/>
      <c r="G107" s="282" t="n">
        <v>0</v>
      </c>
      <c r="H107" s="261"/>
      <c r="I107" s="258"/>
      <c r="J107" s="268" t="n">
        <f aca="false">J$4</f>
        <v>1</v>
      </c>
      <c r="K107" s="258" t="str">
        <f aca="false">IF(E107&gt;0,E107*J107," ")</f>
        <v> </v>
      </c>
      <c r="L107" s="258"/>
      <c r="M107" s="258" t="str">
        <f aca="false">IF(E107&gt;0,E107-K107," ")</f>
        <v> </v>
      </c>
      <c r="N107" s="258"/>
      <c r="O107" s="264"/>
      <c r="P107" s="291"/>
      <c r="Q107" s="258" t="str">
        <f aca="false">IF((O107+P107)&gt;0,IF(P107&lt;M107,(M107-P107)*(1-G107)," ")," ")</f>
        <v> </v>
      </c>
      <c r="R107" s="258" t="str">
        <f aca="false">IF((O107+P107)&gt;0,IF(P107&gt;M107,(P107-M107)*(1-G107)," ")," ")</f>
        <v> </v>
      </c>
      <c r="S107" s="238"/>
    </row>
    <row r="108" customFormat="false" ht="12" hidden="false" customHeight="true" outlineLevel="0" collapsed="false">
      <c r="A108" s="253"/>
      <c r="B108" s="269" t="s">
        <v>225</v>
      </c>
      <c r="C108" s="269"/>
      <c r="D108" s="269"/>
      <c r="E108" s="271" t="n">
        <f aca="false">SUM(E91:E107)</f>
        <v>0</v>
      </c>
      <c r="F108" s="261"/>
      <c r="G108" s="268"/>
      <c r="H108" s="261"/>
      <c r="I108" s="271" t="n">
        <f aca="false">SUM(I91:I107)</f>
        <v>0</v>
      </c>
      <c r="J108" s="272"/>
      <c r="K108" s="271" t="n">
        <f aca="false">SUM(K91:K107)</f>
        <v>0</v>
      </c>
      <c r="L108" s="271" t="n">
        <f aca="false">SUM(L91:L107)</f>
        <v>0</v>
      </c>
      <c r="M108" s="271" t="n">
        <f aca="false">SUM(M91:M107)</f>
        <v>0</v>
      </c>
      <c r="N108" s="258"/>
      <c r="O108" s="260"/>
      <c r="P108" s="271" t="n">
        <f aca="false">SUM(P91:P107)</f>
        <v>0</v>
      </c>
      <c r="Q108" s="271" t="n">
        <f aca="false">SUM(Q91:Q107)</f>
        <v>0</v>
      </c>
      <c r="R108" s="271" t="n">
        <f aca="false">SUM(R91:R107)</f>
        <v>0</v>
      </c>
      <c r="S108" s="238"/>
    </row>
    <row r="109" customFormat="false" ht="9" hidden="false" customHeight="true" outlineLevel="0" collapsed="false">
      <c r="A109" s="253"/>
      <c r="B109" s="260"/>
      <c r="C109" s="283"/>
      <c r="D109" s="277"/>
      <c r="E109" s="261"/>
      <c r="F109" s="261"/>
      <c r="G109" s="268"/>
      <c r="H109" s="261"/>
      <c r="I109" s="258"/>
      <c r="J109" s="259"/>
      <c r="K109" s="258"/>
      <c r="L109" s="258"/>
      <c r="M109" s="258"/>
      <c r="N109" s="258"/>
      <c r="O109" s="260"/>
      <c r="P109" s="261"/>
      <c r="Q109" s="258"/>
      <c r="R109" s="258"/>
      <c r="S109" s="238"/>
    </row>
    <row r="110" customFormat="false" ht="13.5" hidden="false" customHeight="true" outlineLevel="0" collapsed="false">
      <c r="A110" s="253"/>
      <c r="B110" s="254" t="str">
        <f aca="false">B59</f>
        <v>NEW FIXED ASSETS Bought AFTER </v>
      </c>
      <c r="C110" s="254"/>
      <c r="D110" s="255" t="n">
        <f aca="false">D59</f>
        <v>46118</v>
      </c>
      <c r="E110" s="284" t="n">
        <f aca="false">E64+E72+E80+E88+E108</f>
        <v>0</v>
      </c>
      <c r="F110" s="261"/>
      <c r="G110" s="268"/>
      <c r="H110" s="261"/>
      <c r="I110" s="284" t="n">
        <f aca="false">I64+I72+I80+I88+I108</f>
        <v>0</v>
      </c>
      <c r="J110" s="272"/>
      <c r="K110" s="284" t="n">
        <f aca="false">K64+K72+K80+K88+K108</f>
        <v>0</v>
      </c>
      <c r="L110" s="284" t="n">
        <f aca="false">L64+L72+L80+L88+L108</f>
        <v>0</v>
      </c>
      <c r="M110" s="284" t="n">
        <f aca="false">M64+M72+M80+M88+M108</f>
        <v>0</v>
      </c>
      <c r="N110" s="258"/>
      <c r="O110" s="260"/>
      <c r="P110" s="284" t="n">
        <f aca="false">P64+P72+P80+P88+P108</f>
        <v>0</v>
      </c>
      <c r="Q110" s="284" t="n">
        <f aca="false">Q64+Q72+Q80+Q88+Q108</f>
        <v>0</v>
      </c>
      <c r="R110" s="284" t="n">
        <f aca="false">R64+R72+R80+R88+R108</f>
        <v>0</v>
      </c>
      <c r="S110" s="238"/>
    </row>
    <row r="111" customFormat="false" ht="7.5" hidden="false" customHeight="true" outlineLevel="0" collapsed="false">
      <c r="A111" s="292"/>
      <c r="B111" s="293"/>
      <c r="C111" s="294"/>
      <c r="D111" s="295"/>
      <c r="E111" s="296"/>
      <c r="F111" s="296"/>
      <c r="G111" s="297"/>
      <c r="H111" s="296"/>
      <c r="I111" s="298"/>
      <c r="J111" s="299"/>
      <c r="K111" s="298"/>
      <c r="L111" s="298"/>
      <c r="M111" s="298"/>
      <c r="N111" s="298"/>
      <c r="O111" s="293"/>
      <c r="P111" s="296"/>
      <c r="Q111" s="298"/>
      <c r="R111" s="298"/>
      <c r="S111" s="300"/>
    </row>
  </sheetData>
  <mergeCells count="47">
    <mergeCell ref="A1:A4"/>
    <mergeCell ref="B1:B4"/>
    <mergeCell ref="C1:D1"/>
    <mergeCell ref="F1:F4"/>
    <mergeCell ref="G1:G4"/>
    <mergeCell ref="H1:H4"/>
    <mergeCell ref="J1:J3"/>
    <mergeCell ref="N1:N4"/>
    <mergeCell ref="O1:O4"/>
    <mergeCell ref="C2:C4"/>
    <mergeCell ref="D2:D4"/>
    <mergeCell ref="E2:E4"/>
    <mergeCell ref="I2:I3"/>
    <mergeCell ref="K2:K4"/>
    <mergeCell ref="L2:L3"/>
    <mergeCell ref="M2:M3"/>
    <mergeCell ref="P2:P4"/>
    <mergeCell ref="Q2:Q4"/>
    <mergeCell ref="R2:R4"/>
    <mergeCell ref="B6:C6"/>
    <mergeCell ref="B7:C7"/>
    <mergeCell ref="B11:D11"/>
    <mergeCell ref="B13:C13"/>
    <mergeCell ref="B19:D19"/>
    <mergeCell ref="B21:C21"/>
    <mergeCell ref="B27:D27"/>
    <mergeCell ref="B29:C29"/>
    <mergeCell ref="B35:D35"/>
    <mergeCell ref="B37:C37"/>
    <mergeCell ref="B43:C43"/>
    <mergeCell ref="B49:C49"/>
    <mergeCell ref="B55:D55"/>
    <mergeCell ref="B57:C57"/>
    <mergeCell ref="B59:C59"/>
    <mergeCell ref="B60:C60"/>
    <mergeCell ref="B64:D64"/>
    <mergeCell ref="B66:C66"/>
    <mergeCell ref="B72:D72"/>
    <mergeCell ref="B74:C74"/>
    <mergeCell ref="B80:D80"/>
    <mergeCell ref="B82:C82"/>
    <mergeCell ref="B88:D88"/>
    <mergeCell ref="B90:C90"/>
    <mergeCell ref="B96:C96"/>
    <mergeCell ref="B102:C102"/>
    <mergeCell ref="B108:D108"/>
    <mergeCell ref="B110:C110"/>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 zeroHeight="false" outlineLevelRow="0" outlineLevelCol="0"/>
  <cols>
    <col collapsed="false" customWidth="true" hidden="false" outlineLevel="0" max="1" min="1" style="301" width="5.66"/>
    <col collapsed="false" customWidth="true" hidden="false" outlineLevel="0" max="2" min="2" style="302" width="13.33"/>
    <col collapsed="false" customWidth="true" hidden="false" outlineLevel="0" max="3" min="3" style="302" width="1.66"/>
    <col collapsed="false" customWidth="true" hidden="false" outlineLevel="0" max="4" min="4" style="303" width="12.66"/>
    <col collapsed="false" customWidth="true" hidden="false" outlineLevel="0" max="5" min="5" style="301" width="5.66"/>
    <col collapsed="false" customWidth="false" hidden="false" outlineLevel="0" max="257" min="6" style="301" width="9.15"/>
  </cols>
  <sheetData>
    <row r="1" customFormat="false" ht="12" hidden="false" customHeight="false" outlineLevel="0" collapsed="false">
      <c r="A1" s="304"/>
      <c r="B1" s="305"/>
      <c r="C1" s="305"/>
      <c r="D1" s="306"/>
      <c r="E1" s="304"/>
    </row>
    <row r="2" customFormat="false" ht="22.35" hidden="false" customHeight="false" outlineLevel="0" collapsed="false">
      <c r="A2" s="304"/>
      <c r="B2" s="307" t="s">
        <v>226</v>
      </c>
      <c r="C2" s="308"/>
      <c r="D2" s="309" t="s">
        <v>227</v>
      </c>
      <c r="E2" s="304"/>
    </row>
    <row r="3" customFormat="false" ht="12" hidden="false" customHeight="false" outlineLevel="0" collapsed="false">
      <c r="A3" s="304"/>
      <c r="B3" s="308"/>
      <c r="C3" s="308"/>
      <c r="D3" s="310"/>
      <c r="E3" s="304"/>
    </row>
    <row r="4" customFormat="false" ht="12" hidden="false" customHeight="false" outlineLevel="0" collapsed="false">
      <c r="A4" s="304"/>
      <c r="B4" s="311" t="s">
        <v>228</v>
      </c>
      <c r="C4" s="305"/>
      <c r="D4" s="306"/>
      <c r="E4" s="304"/>
    </row>
    <row r="5" customFormat="false" ht="12" hidden="false" customHeight="false" outlineLevel="0" collapsed="false">
      <c r="A5" s="304"/>
      <c r="B5" s="312" t="n">
        <f aca="false">Admin!$B$4</f>
        <v>46118</v>
      </c>
      <c r="C5" s="313"/>
      <c r="D5" s="314" t="n">
        <v>10000</v>
      </c>
      <c r="E5" s="304"/>
    </row>
    <row r="6" customFormat="false" ht="12" hidden="false" customHeight="false" outlineLevel="0" collapsed="false">
      <c r="A6" s="304"/>
      <c r="B6" s="313"/>
      <c r="C6" s="313"/>
      <c r="D6" s="306"/>
      <c r="E6" s="304"/>
    </row>
    <row r="7" customFormat="false" ht="12" hidden="false" customHeight="false" outlineLevel="0" collapsed="false">
      <c r="A7" s="304"/>
      <c r="B7" s="315" t="n">
        <f aca="false">Admin!$B$5</f>
        <v>46142</v>
      </c>
      <c r="C7" s="313"/>
      <c r="D7" s="314" t="n">
        <f aca="false">D5</f>
        <v>10000</v>
      </c>
      <c r="E7" s="304"/>
    </row>
    <row r="8" customFormat="false" ht="12" hidden="false" customHeight="false" outlineLevel="0" collapsed="false">
      <c r="A8" s="304"/>
      <c r="B8" s="313"/>
      <c r="C8" s="313"/>
      <c r="D8" s="306"/>
      <c r="E8" s="304"/>
    </row>
    <row r="9" customFormat="false" ht="12" hidden="false" customHeight="false" outlineLevel="0" collapsed="false">
      <c r="A9" s="304"/>
      <c r="B9" s="315" t="n">
        <f aca="false">Admin!$B$6</f>
        <v>46173</v>
      </c>
      <c r="C9" s="313"/>
      <c r="D9" s="314" t="n">
        <f aca="false">D7</f>
        <v>10000</v>
      </c>
      <c r="E9" s="304"/>
    </row>
    <row r="10" customFormat="false" ht="12" hidden="false" customHeight="false" outlineLevel="0" collapsed="false">
      <c r="A10" s="304"/>
      <c r="B10" s="313"/>
      <c r="C10" s="313"/>
      <c r="D10" s="306"/>
      <c r="E10" s="304"/>
    </row>
    <row r="11" customFormat="false" ht="12" hidden="false" customHeight="false" outlineLevel="0" collapsed="false">
      <c r="A11" s="304"/>
      <c r="B11" s="315" t="n">
        <f aca="false">Admin!$B$7</f>
        <v>46203</v>
      </c>
      <c r="C11" s="313"/>
      <c r="D11" s="314" t="n">
        <f aca="false">D9</f>
        <v>10000</v>
      </c>
      <c r="E11" s="304"/>
    </row>
    <row r="12" customFormat="false" ht="12" hidden="false" customHeight="false" outlineLevel="0" collapsed="false">
      <c r="A12" s="304"/>
      <c r="B12" s="313"/>
      <c r="C12" s="313"/>
      <c r="D12" s="306"/>
      <c r="E12" s="304"/>
    </row>
    <row r="13" customFormat="false" ht="12" hidden="false" customHeight="false" outlineLevel="0" collapsed="false">
      <c r="A13" s="304"/>
      <c r="B13" s="315" t="n">
        <f aca="false">Admin!$B$8</f>
        <v>46234</v>
      </c>
      <c r="C13" s="313"/>
      <c r="D13" s="314" t="n">
        <f aca="false">D11</f>
        <v>10000</v>
      </c>
      <c r="E13" s="304"/>
    </row>
    <row r="14" customFormat="false" ht="12" hidden="false" customHeight="false" outlineLevel="0" collapsed="false">
      <c r="A14" s="304"/>
      <c r="B14" s="313"/>
      <c r="C14" s="313"/>
      <c r="D14" s="306"/>
      <c r="E14" s="304"/>
    </row>
    <row r="15" customFormat="false" ht="12" hidden="false" customHeight="false" outlineLevel="0" collapsed="false">
      <c r="A15" s="304"/>
      <c r="B15" s="315" t="n">
        <f aca="false">Admin!$B$9</f>
        <v>46265</v>
      </c>
      <c r="C15" s="313"/>
      <c r="D15" s="314" t="n">
        <f aca="false">D13</f>
        <v>10000</v>
      </c>
      <c r="E15" s="304"/>
    </row>
    <row r="16" customFormat="false" ht="12" hidden="false" customHeight="false" outlineLevel="0" collapsed="false">
      <c r="A16" s="304"/>
      <c r="B16" s="313"/>
      <c r="C16" s="313"/>
      <c r="D16" s="306"/>
      <c r="E16" s="304"/>
    </row>
    <row r="17" customFormat="false" ht="12" hidden="false" customHeight="false" outlineLevel="0" collapsed="false">
      <c r="A17" s="304"/>
      <c r="B17" s="315" t="n">
        <f aca="false">Admin!$B$10</f>
        <v>46295</v>
      </c>
      <c r="C17" s="313"/>
      <c r="D17" s="314" t="n">
        <f aca="false">D15</f>
        <v>10000</v>
      </c>
      <c r="E17" s="304"/>
    </row>
    <row r="18" customFormat="false" ht="12" hidden="false" customHeight="false" outlineLevel="0" collapsed="false">
      <c r="A18" s="304"/>
      <c r="B18" s="313"/>
      <c r="C18" s="313"/>
      <c r="D18" s="306"/>
      <c r="E18" s="304"/>
    </row>
    <row r="19" customFormat="false" ht="12" hidden="false" customHeight="false" outlineLevel="0" collapsed="false">
      <c r="A19" s="304"/>
      <c r="B19" s="315" t="n">
        <f aca="false">Admin!$B$11</f>
        <v>46326</v>
      </c>
      <c r="C19" s="313"/>
      <c r="D19" s="314" t="n">
        <f aca="false">D17</f>
        <v>10000</v>
      </c>
      <c r="E19" s="304"/>
    </row>
    <row r="20" customFormat="false" ht="12" hidden="false" customHeight="false" outlineLevel="0" collapsed="false">
      <c r="A20" s="304"/>
      <c r="B20" s="313"/>
      <c r="C20" s="313"/>
      <c r="D20" s="306"/>
      <c r="E20" s="304"/>
    </row>
    <row r="21" customFormat="false" ht="12" hidden="false" customHeight="false" outlineLevel="0" collapsed="false">
      <c r="A21" s="304"/>
      <c r="B21" s="315" t="n">
        <f aca="false">Admin!$B$12</f>
        <v>46356</v>
      </c>
      <c r="C21" s="313"/>
      <c r="D21" s="314" t="n">
        <f aca="false">D19</f>
        <v>10000</v>
      </c>
      <c r="E21" s="304"/>
    </row>
    <row r="22" customFormat="false" ht="12" hidden="false" customHeight="false" outlineLevel="0" collapsed="false">
      <c r="A22" s="304"/>
      <c r="B22" s="313"/>
      <c r="C22" s="313"/>
      <c r="D22" s="306"/>
      <c r="E22" s="304"/>
    </row>
    <row r="23" customFormat="false" ht="12" hidden="false" customHeight="false" outlineLevel="0" collapsed="false">
      <c r="A23" s="304"/>
      <c r="B23" s="315" t="n">
        <f aca="false">Admin!$B$13</f>
        <v>46387</v>
      </c>
      <c r="C23" s="313"/>
      <c r="D23" s="314" t="n">
        <f aca="false">D21</f>
        <v>10000</v>
      </c>
      <c r="E23" s="304"/>
    </row>
    <row r="24" customFormat="false" ht="12" hidden="false" customHeight="false" outlineLevel="0" collapsed="false">
      <c r="A24" s="304"/>
      <c r="B24" s="313"/>
      <c r="C24" s="313"/>
      <c r="D24" s="306"/>
      <c r="E24" s="304"/>
    </row>
    <row r="25" customFormat="false" ht="12" hidden="false" customHeight="false" outlineLevel="0" collapsed="false">
      <c r="A25" s="304"/>
      <c r="B25" s="315" t="n">
        <f aca="false">Admin!$B$14</f>
        <v>46418</v>
      </c>
      <c r="C25" s="313"/>
      <c r="D25" s="314" t="n">
        <f aca="false">D23</f>
        <v>10000</v>
      </c>
      <c r="E25" s="304"/>
    </row>
    <row r="26" customFormat="false" ht="12" hidden="false" customHeight="false" outlineLevel="0" collapsed="false">
      <c r="A26" s="304"/>
      <c r="B26" s="313"/>
      <c r="C26" s="313"/>
      <c r="D26" s="306"/>
      <c r="E26" s="304"/>
    </row>
    <row r="27" customFormat="false" ht="12" hidden="false" customHeight="false" outlineLevel="0" collapsed="false">
      <c r="A27" s="304"/>
      <c r="B27" s="315" t="n">
        <f aca="false">Admin!$B$15</f>
        <v>46446</v>
      </c>
      <c r="C27" s="313"/>
      <c r="D27" s="314" t="n">
        <f aca="false">D25</f>
        <v>10000</v>
      </c>
      <c r="E27" s="304"/>
    </row>
    <row r="28" customFormat="false" ht="12" hidden="false" customHeight="false" outlineLevel="0" collapsed="false">
      <c r="A28" s="304"/>
      <c r="B28" s="313"/>
      <c r="C28" s="313"/>
      <c r="D28" s="306"/>
      <c r="E28" s="304"/>
    </row>
    <row r="29" customFormat="false" ht="12" hidden="false" customHeight="false" outlineLevel="0" collapsed="false">
      <c r="A29" s="304"/>
      <c r="B29" s="311" t="s">
        <v>229</v>
      </c>
      <c r="C29" s="313"/>
      <c r="D29" s="306"/>
      <c r="E29" s="304"/>
    </row>
    <row r="30" customFormat="false" ht="12" hidden="false" customHeight="false" outlineLevel="0" collapsed="false">
      <c r="A30" s="304"/>
      <c r="B30" s="312" t="n">
        <f aca="false">Admin!$B$17</f>
        <v>46482</v>
      </c>
      <c r="C30" s="313"/>
      <c r="D30" s="314" t="n">
        <v>6000</v>
      </c>
      <c r="E30" s="304"/>
    </row>
    <row r="31" customFormat="false" ht="12" hidden="false" customHeight="false" outlineLevel="0" collapsed="false">
      <c r="A31" s="304"/>
      <c r="B31" s="313"/>
      <c r="C31" s="313"/>
      <c r="D31" s="306"/>
      <c r="E31" s="304"/>
    </row>
  </sheetData>
  <printOptions headings="false" gridLines="false" gridLinesSet="true" horizontalCentered="false" verticalCentered="false"/>
  <pageMargins left="0.75" right="0.75" top="1" bottom="1" header="0.5" footer="0.5"/>
  <pageSetup paperSize="9" scale="100" fitToWidth="1" fitToHeight="1" pageOrder="downThenOver" orientation="portrait" blackAndWhite="false" draft="false" cellComments="none" horizontalDpi="300" verticalDpi="300" copies="1"/>
  <headerFooter differentFirst="false" differentOddEven="false">
    <oddHeader>&amp;C&amp;"Arial,Bold"&amp;11Stock Value</oddHeader>
    <oddFooter>&amp;L&amp;D  &amp;T&amp;C&amp;P  of  &amp;N&amp;R&amp;F  &amp;A</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16" width="5.66"/>
    <col collapsed="false" customWidth="true" hidden="false" outlineLevel="0" max="2" min="2" style="317" width="12.66"/>
    <col collapsed="false" customWidth="true" hidden="false" outlineLevel="0" max="3" min="3" style="318" width="12.66"/>
    <col collapsed="false" customWidth="true" hidden="false" outlineLevel="0" max="4" min="4" style="316" width="5.66"/>
    <col collapsed="false" customWidth="true" hidden="false" outlineLevel="0" max="5" min="5" style="317" width="12.66"/>
    <col collapsed="false" customWidth="true" hidden="false" outlineLevel="0" max="6" min="6" style="318" width="12.66"/>
    <col collapsed="false" customWidth="true" hidden="false" outlineLevel="0" max="7" min="7" style="316" width="5.66"/>
    <col collapsed="false" customWidth="false" hidden="false" outlineLevel="0" max="257" min="8" style="316" width="9.15"/>
  </cols>
  <sheetData>
    <row r="1" s="323" customFormat="true" ht="24.75" hidden="false" customHeight="true" outlineLevel="0" collapsed="false">
      <c r="A1" s="319"/>
      <c r="B1" s="320" t="s">
        <v>230</v>
      </c>
      <c r="C1" s="321" t="s">
        <v>231</v>
      </c>
      <c r="D1" s="322"/>
      <c r="E1" s="320" t="s">
        <v>232</v>
      </c>
      <c r="F1" s="321" t="s">
        <v>233</v>
      </c>
      <c r="G1" s="319"/>
    </row>
    <row r="2" customFormat="false" ht="12.75" hidden="false" customHeight="false" outlineLevel="0" collapsed="false">
      <c r="A2" s="324"/>
      <c r="B2" s="325"/>
      <c r="C2" s="326"/>
      <c r="D2" s="324"/>
      <c r="E2" s="325"/>
      <c r="F2" s="326"/>
      <c r="G2" s="324"/>
    </row>
    <row r="3" customFormat="false" ht="12.75" hidden="false" customHeight="false" outlineLevel="0" collapsed="false">
      <c r="A3" s="324"/>
      <c r="B3" s="327" t="s">
        <v>234</v>
      </c>
      <c r="C3" s="328"/>
      <c r="D3" s="324"/>
      <c r="E3" s="327" t="s">
        <v>234</v>
      </c>
      <c r="F3" s="328"/>
      <c r="G3" s="324"/>
    </row>
    <row r="4" customFormat="false" ht="12.75" hidden="false" customHeight="false" outlineLevel="0" collapsed="false">
      <c r="A4" s="324"/>
      <c r="B4" s="325"/>
      <c r="C4" s="326"/>
      <c r="D4" s="324"/>
      <c r="E4" s="325"/>
      <c r="F4" s="326"/>
      <c r="G4" s="324"/>
    </row>
    <row r="5" customFormat="false" ht="12.75" hidden="false" customHeight="false" outlineLevel="0" collapsed="false">
      <c r="A5" s="324"/>
      <c r="B5" s="329" t="s">
        <v>235</v>
      </c>
      <c r="C5" s="330" t="n">
        <v>7200</v>
      </c>
      <c r="D5" s="324"/>
      <c r="E5" s="329" t="s">
        <v>235</v>
      </c>
      <c r="F5" s="328" t="n">
        <v>8000</v>
      </c>
      <c r="G5" s="324"/>
    </row>
    <row r="6" customFormat="false" ht="12.75" hidden="false" customHeight="false" outlineLevel="0" collapsed="false">
      <c r="A6" s="324"/>
      <c r="B6" s="325" t="s">
        <v>236</v>
      </c>
      <c r="C6" s="318" t="n">
        <v>1200</v>
      </c>
      <c r="E6" s="317" t="s">
        <v>237</v>
      </c>
      <c r="F6" s="318" t="n">
        <v>2400</v>
      </c>
    </row>
    <row r="7" customFormat="false" ht="12.75" hidden="false" customHeight="false" outlineLevel="0" collapsed="false">
      <c r="B7" s="317" t="s">
        <v>238</v>
      </c>
      <c r="C7" s="328" t="n">
        <v>2400</v>
      </c>
      <c r="D7" s="324"/>
      <c r="E7" s="329" t="str">
        <f aca="false">B7</f>
        <v>Gamma Ltd</v>
      </c>
      <c r="F7" s="328" t="n">
        <f aca="false">IF((PurchasesMay!$H$1&gt;0),PurchasesMay!$H$1," ")</f>
        <v>420</v>
      </c>
      <c r="G7" s="324"/>
    </row>
    <row r="8" customFormat="false" ht="12.75" hidden="false" customHeight="false" outlineLevel="0" collapsed="false">
      <c r="A8" s="324"/>
      <c r="B8" s="325"/>
      <c r="C8" s="326"/>
      <c r="D8" s="324"/>
      <c r="E8" s="325"/>
      <c r="F8" s="326"/>
      <c r="G8" s="324"/>
    </row>
    <row r="9" customFormat="false" ht="12.75" hidden="false" customHeight="false" outlineLevel="0" collapsed="false">
      <c r="A9" s="324"/>
      <c r="B9" s="329" t="n">
        <f aca="false">Admin!B$7</f>
        <v>46203</v>
      </c>
      <c r="C9" s="328" t="str">
        <f aca="false">IF((SalesJun!$H$1&gt;0),SalesJun!$H$1," ")</f>
        <v> </v>
      </c>
      <c r="D9" s="324"/>
      <c r="E9" s="329" t="n">
        <f aca="false">B9</f>
        <v>46203</v>
      </c>
      <c r="F9" s="328" t="n">
        <f aca="false">IF((PurchasesJun!$H$1&gt;0),PurchasesJun!$H$1," ")</f>
        <v>9057</v>
      </c>
      <c r="G9" s="324"/>
    </row>
    <row r="10" customFormat="false" ht="12.75" hidden="false" customHeight="false" outlineLevel="0" collapsed="false">
      <c r="A10" s="324"/>
      <c r="B10" s="325"/>
      <c r="C10" s="326"/>
      <c r="D10" s="324"/>
      <c r="E10" s="325"/>
      <c r="F10" s="326"/>
      <c r="G10" s="324"/>
    </row>
    <row r="11" customFormat="false" ht="12.75" hidden="false" customHeight="false" outlineLevel="0" collapsed="false">
      <c r="A11" s="324"/>
      <c r="B11" s="329" t="n">
        <f aca="false">Admin!B$8</f>
        <v>46234</v>
      </c>
      <c r="C11" s="328" t="str">
        <f aca="false">IF((SalesJul!$H$1&gt;0),SalesJul!$H$1," ")</f>
        <v> </v>
      </c>
      <c r="D11" s="324"/>
      <c r="E11" s="329" t="n">
        <f aca="false">B11</f>
        <v>46234</v>
      </c>
      <c r="F11" s="328" t="n">
        <f aca="false">IF((PurchasesJul!$H$1&gt;0),PurchasesJul!$H$1," ")</f>
        <v>9059.25</v>
      </c>
      <c r="G11" s="324"/>
    </row>
    <row r="12" customFormat="false" ht="12.75" hidden="false" customHeight="false" outlineLevel="0" collapsed="false">
      <c r="A12" s="324"/>
      <c r="B12" s="325" t="s">
        <v>239</v>
      </c>
      <c r="C12" s="318" t="n">
        <v>1200</v>
      </c>
      <c r="E12" s="317" t="s">
        <v>239</v>
      </c>
      <c r="F12" s="318" t="n">
        <v>1200</v>
      </c>
    </row>
    <row r="13" customFormat="false" ht="12.75" hidden="false" customHeight="false" outlineLevel="0" collapsed="false">
      <c r="B13" s="317" t="s">
        <v>240</v>
      </c>
      <c r="C13" s="328" t="n">
        <v>300</v>
      </c>
      <c r="D13" s="324"/>
      <c r="E13" s="329" t="s">
        <v>240</v>
      </c>
      <c r="F13" s="328" t="n">
        <v>300</v>
      </c>
      <c r="G13" s="324"/>
    </row>
    <row r="14" customFormat="false" ht="12.75" hidden="false" customHeight="false" outlineLevel="0" collapsed="false">
      <c r="A14" s="324"/>
      <c r="B14" s="325" t="s">
        <v>241</v>
      </c>
      <c r="C14" s="318" t="n">
        <v>600</v>
      </c>
      <c r="E14" s="317" t="s">
        <v>242</v>
      </c>
      <c r="F14" s="318" t="n">
        <v>60</v>
      </c>
    </row>
    <row r="15" customFormat="false" ht="12.75" hidden="false" customHeight="false" outlineLevel="0" collapsed="false">
      <c r="B15" s="317" t="s">
        <v>243</v>
      </c>
      <c r="C15" s="328" t="n">
        <v>120</v>
      </c>
      <c r="D15" s="324"/>
      <c r="E15" s="329" t="s">
        <v>243</v>
      </c>
      <c r="F15" s="328" t="n">
        <v>150</v>
      </c>
      <c r="G15" s="324"/>
    </row>
    <row r="16" customFormat="false" ht="12.75" hidden="false" customHeight="false" outlineLevel="0" collapsed="false">
      <c r="A16" s="324"/>
      <c r="B16" s="325"/>
      <c r="C16" s="326"/>
      <c r="D16" s="324"/>
      <c r="E16" s="325"/>
      <c r="F16" s="326"/>
      <c r="G16" s="324"/>
    </row>
    <row r="17" customFormat="false" ht="12.75" hidden="false" customHeight="false" outlineLevel="0" collapsed="false">
      <c r="A17" s="324"/>
      <c r="B17" s="329" t="n">
        <f aca="false">Admin!B$11</f>
        <v>46326</v>
      </c>
      <c r="C17" s="328" t="str">
        <f aca="false">IF((SalesOct!$H$1&gt;0),SalesOct!$H$1," ")</f>
        <v> </v>
      </c>
      <c r="D17" s="324"/>
      <c r="E17" s="329" t="n">
        <f aca="false">B17</f>
        <v>46326</v>
      </c>
      <c r="F17" s="328" t="n">
        <f aca="false">IF((PurchasesOct!$H$1&gt;0),PurchasesOct!$H$1," ")</f>
        <v>43005.75</v>
      </c>
      <c r="G17" s="324"/>
    </row>
    <row r="18" customFormat="false" ht="12.75" hidden="false" customHeight="false" outlineLevel="0" collapsed="false">
      <c r="A18" s="324"/>
      <c r="B18" s="325"/>
      <c r="C18" s="326"/>
      <c r="D18" s="324"/>
      <c r="E18" s="325"/>
      <c r="F18" s="326"/>
      <c r="G18" s="324"/>
    </row>
    <row r="19" customFormat="false" ht="12.75" hidden="false" customHeight="false" outlineLevel="0" collapsed="false">
      <c r="A19" s="324"/>
      <c r="B19" s="329" t="n">
        <f aca="false">Admin!B$12</f>
        <v>46356</v>
      </c>
      <c r="C19" s="328" t="str">
        <f aca="false">IF((SalesNov!$H$1&gt;0),SalesNov!$H$1," ")</f>
        <v> </v>
      </c>
      <c r="D19" s="324"/>
      <c r="E19" s="329" t="n">
        <f aca="false">B19</f>
        <v>46356</v>
      </c>
      <c r="F19" s="328" t="n">
        <f aca="false">IF((PurchasesNov!$H$1&gt;0),PurchasesNov!$H$1," ")</f>
        <v>6918</v>
      </c>
      <c r="G19" s="324"/>
    </row>
    <row r="20" customFormat="false" ht="12.75" hidden="false" customHeight="false" outlineLevel="0" collapsed="false">
      <c r="A20" s="324"/>
      <c r="B20" s="325"/>
      <c r="C20" s="326"/>
      <c r="D20" s="324"/>
      <c r="E20" s="325"/>
      <c r="F20" s="326"/>
      <c r="G20" s="324"/>
    </row>
    <row r="21" customFormat="false" ht="12.75" hidden="false" customHeight="false" outlineLevel="0" collapsed="false">
      <c r="A21" s="324"/>
      <c r="B21" s="329" t="n">
        <f aca="false">Admin!B$13</f>
        <v>46387</v>
      </c>
      <c r="C21" s="328" t="str">
        <f aca="false">IF((SalesDec!$H$1&gt;0),SalesDec!$H$1," ")</f>
        <v> </v>
      </c>
      <c r="D21" s="324"/>
      <c r="E21" s="329" t="n">
        <f aca="false">B21</f>
        <v>46387</v>
      </c>
      <c r="F21" s="328" t="n">
        <f aca="false">IF((PurchasesDec!$H$1&gt;0),PurchasesDec!$H$1," ")</f>
        <v>9451.5</v>
      </c>
      <c r="G21" s="324"/>
    </row>
    <row r="22" customFormat="false" ht="12.75" hidden="false" customHeight="false" outlineLevel="0" collapsed="false">
      <c r="A22" s="324"/>
      <c r="B22" s="325"/>
      <c r="C22" s="326"/>
      <c r="D22" s="324"/>
      <c r="E22" s="325"/>
      <c r="F22" s="326"/>
      <c r="G22" s="324"/>
    </row>
    <row r="23" customFormat="false" ht="12.75" hidden="false" customHeight="false" outlineLevel="0" collapsed="false">
      <c r="A23" s="324"/>
      <c r="B23" s="329" t="n">
        <f aca="false">Admin!B$14</f>
        <v>46418</v>
      </c>
      <c r="C23" s="328" t="str">
        <f aca="false">IF((SalesJan!$H$1&gt;0),SalesJan!$H$1," ")</f>
        <v> </v>
      </c>
      <c r="D23" s="324"/>
      <c r="E23" s="329" t="n">
        <f aca="false">B23</f>
        <v>46418</v>
      </c>
      <c r="F23" s="328" t="n">
        <f aca="false">IF((PurchasesJan!$H$1&gt;0),PurchasesJan!$H$1," ")</f>
        <v>4511.25</v>
      </c>
      <c r="G23" s="324"/>
    </row>
    <row r="24" customFormat="false" ht="12.75" hidden="false" customHeight="false" outlineLevel="0" collapsed="false">
      <c r="A24" s="324"/>
      <c r="B24" s="325"/>
      <c r="C24" s="326"/>
      <c r="D24" s="324"/>
      <c r="E24" s="325"/>
      <c r="F24" s="326"/>
      <c r="G24" s="324"/>
    </row>
    <row r="25" customFormat="false" ht="12.75" hidden="false" customHeight="false" outlineLevel="0" collapsed="false">
      <c r="A25" s="324"/>
      <c r="B25" s="329" t="n">
        <f aca="false">Admin!B$15</f>
        <v>46446</v>
      </c>
      <c r="C25" s="328" t="str">
        <f aca="false">IF((SalesFeb!$H$1&gt;0),SalesFeb!$H$1," ")</f>
        <v> </v>
      </c>
      <c r="D25" s="324"/>
      <c r="E25" s="329" t="n">
        <f aca="false">B25</f>
        <v>46446</v>
      </c>
      <c r="F25" s="328" t="n">
        <f aca="false">IF((PurchasesFeb!$H$1&gt;0),PurchasesFeb!$H$1," ")</f>
        <v>4396.5</v>
      </c>
      <c r="G25" s="324"/>
    </row>
    <row r="26" customFormat="false" ht="12.75" hidden="false" customHeight="false" outlineLevel="0" collapsed="false">
      <c r="A26" s="324"/>
      <c r="B26" s="325"/>
      <c r="C26" s="326"/>
      <c r="D26" s="324"/>
      <c r="E26" s="325"/>
      <c r="F26" s="326"/>
      <c r="G26" s="324"/>
    </row>
    <row r="27" customFormat="false" ht="12.75" hidden="false" customHeight="false" outlineLevel="0" collapsed="false">
      <c r="A27" s="324"/>
      <c r="B27" s="329" t="n">
        <f aca="false">Admin!B$16</f>
        <v>46477</v>
      </c>
      <c r="C27" s="328" t="str">
        <f aca="false">IF((SalesMar!$H$1&gt;0),SalesMar!$H$1," ")</f>
        <v> </v>
      </c>
      <c r="D27" s="324"/>
      <c r="E27" s="329" t="n">
        <f aca="false">B27</f>
        <v>46477</v>
      </c>
      <c r="F27" s="328" t="n">
        <f aca="false">IF((PurchasesMar!$H$1&gt;0),PurchasesMar!$H$1," ")</f>
        <v>3726.5</v>
      </c>
      <c r="G27" s="324"/>
    </row>
    <row r="28" customFormat="false" ht="12.75" hidden="false" customHeight="false" outlineLevel="0" collapsed="false">
      <c r="A28" s="324"/>
      <c r="B28" s="325"/>
      <c r="C28" s="326"/>
      <c r="D28" s="324"/>
      <c r="E28" s="325"/>
      <c r="F28" s="326"/>
      <c r="G28" s="324"/>
    </row>
    <row r="29" s="323" customFormat="true" ht="23.85" hidden="false" customHeight="false" outlineLevel="0" collapsed="false">
      <c r="A29" s="319"/>
      <c r="B29" s="331" t="s">
        <v>244</v>
      </c>
      <c r="C29" s="332" t="n">
        <f aca="false">SUM(C3:C28)</f>
        <v>13020</v>
      </c>
      <c r="D29" s="319"/>
      <c r="E29" s="331" t="s">
        <v>245</v>
      </c>
      <c r="F29" s="332" t="n">
        <f aca="false">SUM(F3:F28)</f>
        <v>102655.75</v>
      </c>
      <c r="G29" s="319"/>
    </row>
    <row r="30" customFormat="false" ht="12.75" hidden="false" customHeight="false" outlineLevel="0" collapsed="false">
      <c r="A30" s="324"/>
      <c r="B30" s="325"/>
      <c r="C30" s="326"/>
      <c r="D30" s="324"/>
      <c r="E30" s="325"/>
      <c r="F30" s="326"/>
      <c r="G30" s="324"/>
    </row>
  </sheetData>
  <printOptions headings="false" gridLines="false" gridLinesSet="true" horizontalCentered="false" verticalCentered="false"/>
  <pageMargins left="0.75" right="0.75" top="1" bottom="1" header="0.5" footer="0.5"/>
  <pageSetup paperSize="9" scale="100" fitToWidth="1" fitToHeight="1" pageOrder="downThenOver" orientation="portrait" blackAndWhite="false" draft="false" cellComments="none" horizontalDpi="300" verticalDpi="300" copies="1"/>
  <headerFooter differentFirst="false" differentOddEven="false">
    <oddHeader>&amp;L&amp;"Arial,Bold"&amp;11Debtors&amp;R&amp;"Arial,Bold"&amp;11Creditors</oddHeader>
    <oddFooter>&amp;L&amp;D  &amp;T&amp;C&amp;P  of  &amp;N&amp;R&amp;F  &amp;A</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false" hidden="false" outlineLevel="0" max="1" min="1" style="333" width="9.15"/>
    <col collapsed="false" customWidth="true" hidden="false" outlineLevel="0" max="2" min="2" style="334" width="17.66"/>
    <col collapsed="false" customWidth="true" hidden="false" outlineLevel="0" max="3" min="3" style="335" width="11.32"/>
    <col collapsed="false" customWidth="true" hidden="false" outlineLevel="0" max="4" min="4" style="336" width="14.49"/>
    <col collapsed="false" customWidth="true" hidden="false" outlineLevel="0" max="5" min="5" style="337" width="7.66"/>
    <col collapsed="false" customWidth="true" hidden="false" outlineLevel="0" max="7" min="6" style="334" width="9.66"/>
    <col collapsed="false" customWidth="true" hidden="false" outlineLevel="0" max="8" min="8" style="338" width="9.66"/>
    <col collapsed="false" customWidth="true" hidden="false" outlineLevel="0" max="9" min="9" style="339" width="10.5"/>
    <col collapsed="false" customWidth="false" hidden="false" outlineLevel="0" max="257" min="10" style="334" width="9.15"/>
  </cols>
  <sheetData>
    <row r="1" s="348" customFormat="true" ht="12.75" hidden="false" customHeight="true" outlineLevel="0" collapsed="false">
      <c r="A1" s="340" t="s">
        <v>246</v>
      </c>
      <c r="B1" s="341" t="s">
        <v>247</v>
      </c>
      <c r="C1" s="342"/>
      <c r="D1" s="343" t="s">
        <v>248</v>
      </c>
      <c r="E1" s="344" t="n">
        <f aca="false">SUM(E4:E300)</f>
        <v>0</v>
      </c>
      <c r="F1" s="343" t="n">
        <f aca="false">SUM(F4:F300)</f>
        <v>33400</v>
      </c>
      <c r="G1" s="343" t="n">
        <f aca="false">SUM(G4:G300)</f>
        <v>0</v>
      </c>
      <c r="H1" s="345" t="n">
        <f aca="false">SUM(H4:H300)</f>
        <v>0</v>
      </c>
      <c r="I1" s="346" t="n">
        <f aca="true">TODAY()</f>
        <v>46138</v>
      </c>
      <c r="J1" s="343" t="n">
        <f aca="false">SUM(J4:J300)</f>
        <v>0</v>
      </c>
      <c r="K1" s="347" t="n">
        <f aca="false">J1</f>
        <v>0</v>
      </c>
    </row>
    <row r="2" s="348" customFormat="true" ht="12.75" hidden="false" customHeight="true" outlineLevel="0" collapsed="false">
      <c r="A2" s="340"/>
      <c r="B2" s="341"/>
      <c r="C2" s="349" t="s">
        <v>249</v>
      </c>
      <c r="D2" s="350" t="s">
        <v>250</v>
      </c>
      <c r="E2" s="351" t="s">
        <v>251</v>
      </c>
      <c r="F2" s="341" t="s">
        <v>252</v>
      </c>
      <c r="G2" s="341" t="s">
        <v>253</v>
      </c>
      <c r="H2" s="352" t="s">
        <v>254</v>
      </c>
      <c r="I2" s="353" t="s">
        <v>255</v>
      </c>
      <c r="J2" s="341" t="s">
        <v>256</v>
      </c>
      <c r="K2" s="341"/>
    </row>
    <row r="3" s="354" customFormat="true" ht="38.25" hidden="false" customHeight="true" outlineLevel="0" collapsed="false">
      <c r="A3" s="340"/>
      <c r="B3" s="341"/>
      <c r="C3" s="349"/>
      <c r="D3" s="350"/>
      <c r="E3" s="351"/>
      <c r="F3" s="351"/>
      <c r="G3" s="351"/>
      <c r="H3" s="352"/>
      <c r="I3" s="353"/>
      <c r="J3" s="341" t="s">
        <v>257</v>
      </c>
      <c r="K3" s="341" t="s">
        <v>258</v>
      </c>
    </row>
    <row r="4" customFormat="false" ht="12.75" hidden="false" customHeight="false" outlineLevel="0" collapsed="false">
      <c r="A4" s="355" t="n">
        <v>45748</v>
      </c>
      <c r="B4" s="334" t="s">
        <v>236</v>
      </c>
      <c r="F4" s="334" t="n">
        <v>1200</v>
      </c>
      <c r="I4" s="339" t="n">
        <f aca="false">IF((F4&lt;&gt;0),IF((D4&gt;0)," ",(I$1-A4))," ")</f>
        <v>390</v>
      </c>
    </row>
    <row r="5" customFormat="false" ht="12.75" hidden="false" customHeight="false" outlineLevel="0" collapsed="false">
      <c r="A5" s="355" t="n">
        <v>45750</v>
      </c>
      <c r="B5" s="334" t="s">
        <v>259</v>
      </c>
      <c r="F5" s="334" t="n">
        <v>360</v>
      </c>
      <c r="I5" s="339" t="n">
        <f aca="false">IF((F5&lt;&gt;0),IF((D5&gt;0)," ",(I$1-A5))," ")</f>
        <v>388</v>
      </c>
    </row>
    <row r="6" customFormat="false" ht="12.75" hidden="false" customHeight="false" outlineLevel="0" collapsed="false">
      <c r="A6" s="355" t="n">
        <v>45752</v>
      </c>
      <c r="B6" s="334" t="s">
        <v>260</v>
      </c>
      <c r="F6" s="334" t="n">
        <v>600</v>
      </c>
      <c r="I6" s="339" t="n">
        <f aca="false">IF((F6&lt;&gt;0),IF((D6&gt;0)," ",(I$1-A6))," ")</f>
        <v>386</v>
      </c>
    </row>
    <row r="7" customFormat="false" ht="12.75" hidden="false" customHeight="false" outlineLevel="0" collapsed="false">
      <c r="A7" s="355" t="n">
        <v>45755</v>
      </c>
      <c r="B7" s="334" t="s">
        <v>261</v>
      </c>
      <c r="F7" s="334" t="n">
        <v>480</v>
      </c>
      <c r="I7" s="339" t="n">
        <f aca="false">IF((F7&lt;&gt;0),IF((D7&gt;0)," ",(I$1-A7))," ")</f>
        <v>383</v>
      </c>
    </row>
    <row r="8" customFormat="false" ht="12.75" hidden="false" customHeight="false" outlineLevel="0" collapsed="false">
      <c r="A8" s="355" t="n">
        <v>45757</v>
      </c>
      <c r="B8" s="334" t="s">
        <v>262</v>
      </c>
      <c r="F8" s="334" t="n">
        <v>720</v>
      </c>
      <c r="I8" s="339" t="n">
        <f aca="false">IF((F8&lt;&gt;0),IF((D8&gt;0)," ",(I$1-A8))," ")</f>
        <v>381</v>
      </c>
    </row>
    <row r="9" customFormat="false" ht="12.75" hidden="false" customHeight="false" outlineLevel="0" collapsed="false">
      <c r="A9" s="355" t="n">
        <v>45762</v>
      </c>
      <c r="B9" s="334" t="s">
        <v>235</v>
      </c>
      <c r="F9" s="334" t="n">
        <v>25000</v>
      </c>
      <c r="I9" s="339" t="n">
        <f aca="false">IF((F9&lt;&gt;0),IF((D9&gt;0)," ",(I$1-A9))," ")</f>
        <v>376</v>
      </c>
    </row>
    <row r="10" customFormat="false" ht="12.75" hidden="false" customHeight="false" outlineLevel="0" collapsed="false">
      <c r="A10" s="355" t="n">
        <v>45765</v>
      </c>
      <c r="B10" s="334" t="s">
        <v>237</v>
      </c>
      <c r="F10" s="334" t="n">
        <v>2400</v>
      </c>
      <c r="I10" s="339" t="n">
        <f aca="false">IF((F10&lt;&gt;0),IF((D10&gt;0)," ",(I$1-A10))," ")</f>
        <v>373</v>
      </c>
    </row>
    <row r="11" customFormat="false" ht="12.75" hidden="false" customHeight="false" outlineLevel="0" collapsed="false">
      <c r="A11" s="355" t="n">
        <v>45767</v>
      </c>
      <c r="B11" s="334" t="s">
        <v>263</v>
      </c>
      <c r="F11" s="334" t="n">
        <v>1800</v>
      </c>
      <c r="I11" s="339" t="n">
        <f aca="false">IF((F11&lt;&gt;0),IF((D11&gt;0)," ",(I$1-A11))," ")</f>
        <v>371</v>
      </c>
    </row>
    <row r="12" customFormat="false" ht="12.75" hidden="false" customHeight="false" outlineLevel="0" collapsed="false">
      <c r="A12" s="355" t="n">
        <v>45775</v>
      </c>
      <c r="B12" s="334" t="s">
        <v>264</v>
      </c>
      <c r="F12" s="334" t="n">
        <v>840</v>
      </c>
      <c r="I12" s="339" t="n">
        <f aca="false">IF((F12&lt;&gt;0),IF((D12&gt;0)," ",(I$1-A12))," ")</f>
        <v>363</v>
      </c>
    </row>
    <row r="13" customFormat="false" ht="12.75" hidden="false" customHeight="false" outlineLevel="0" collapsed="false">
      <c r="A13" s="355"/>
      <c r="I13" s="339" t="str">
        <f aca="false">IF((F13&lt;&gt;0),IF((D13&gt;0)," ",(I$1-A13))," ")</f>
        <v> </v>
      </c>
    </row>
    <row r="14" customFormat="false" ht="12.75" hidden="false" customHeight="false" outlineLevel="0" collapsed="false">
      <c r="A14" s="355"/>
      <c r="I14" s="339" t="str">
        <f aca="false">IF((F14&lt;&gt;0),IF((D14&gt;0)," ",(I$1-A14))," ")</f>
        <v> </v>
      </c>
    </row>
    <row r="15" customFormat="false" ht="12.75" hidden="false" customHeight="false" outlineLevel="0" collapsed="false">
      <c r="A15" s="355"/>
      <c r="I15" s="339" t="str">
        <f aca="false">IF((F15&lt;&gt;0),IF((D15&gt;0)," ",(I$1-A15))," ")</f>
        <v> </v>
      </c>
    </row>
    <row r="16" customFormat="false" ht="12.75" hidden="false" customHeight="false" outlineLevel="0" collapsed="false">
      <c r="A16" s="355"/>
      <c r="I16" s="339" t="str">
        <f aca="false">IF((F16&lt;&gt;0),IF((D16&gt;0)," ",(I$1-A16))," ")</f>
        <v> </v>
      </c>
    </row>
    <row r="17" customFormat="false" ht="12.75" hidden="false" customHeight="false" outlineLevel="0" collapsed="false">
      <c r="A17" s="355"/>
      <c r="I17" s="339" t="str">
        <f aca="false">IF((F17&lt;&gt;0),IF((D17&gt;0)," ",(I$1-A17))," ")</f>
        <v> </v>
      </c>
    </row>
    <row r="18" customFormat="false" ht="12.75" hidden="false" customHeight="false" outlineLevel="0" collapsed="false">
      <c r="A18" s="355"/>
      <c r="I18" s="339" t="str">
        <f aca="false">IF((F18&lt;&gt;0),IF((D18&gt;0)," ",(I$1-A18))," ")</f>
        <v> </v>
      </c>
    </row>
    <row r="19" customFormat="false" ht="12.75" hidden="false" customHeight="false" outlineLevel="0" collapsed="false">
      <c r="A19" s="355"/>
      <c r="I19" s="339" t="str">
        <f aca="false">IF((F19&lt;&gt;0),IF((D19&gt;0)," ",(I$1-A19))," ")</f>
        <v> </v>
      </c>
    </row>
    <row r="20" customFormat="false" ht="12.75" hidden="false" customHeight="false" outlineLevel="0" collapsed="false">
      <c r="A20" s="355"/>
      <c r="I20" s="339" t="str">
        <f aca="false">IF((F20&lt;&gt;0),IF((D20&gt;0)," ",(I$1-A20))," ")</f>
        <v> </v>
      </c>
    </row>
    <row r="21" customFormat="false" ht="12.75" hidden="false" customHeight="false" outlineLevel="0" collapsed="false">
      <c r="A21" s="355"/>
      <c r="I21" s="339" t="str">
        <f aca="false">IF((F21&lt;&gt;0),IF((D21&gt;0)," ",(I$1-A21))," ")</f>
        <v> </v>
      </c>
    </row>
    <row r="22" customFormat="false" ht="12.75" hidden="false" customHeight="false" outlineLevel="0" collapsed="false">
      <c r="A22" s="355"/>
      <c r="I22" s="339" t="str">
        <f aca="false">IF((F22&lt;&gt;0),IF((D22&gt;0)," ",(I$1-A22))," ")</f>
        <v> </v>
      </c>
    </row>
    <row r="23" customFormat="false" ht="12.75" hidden="false" customHeight="false" outlineLevel="0" collapsed="false">
      <c r="A23" s="355"/>
      <c r="I23" s="339" t="str">
        <f aca="false">IF((F23&lt;&gt;0),IF((D23&gt;0)," ",(I$1-A23))," ")</f>
        <v> </v>
      </c>
    </row>
    <row r="24" customFormat="false" ht="12.75" hidden="false" customHeight="false" outlineLevel="0" collapsed="false">
      <c r="A24" s="355"/>
      <c r="I24" s="339" t="str">
        <f aca="false">IF((F24&lt;&gt;0),IF((D24&gt;0)," ",(I$1-A24))," ")</f>
        <v> </v>
      </c>
    </row>
    <row r="25" customFormat="false" ht="12.75" hidden="false" customHeight="false" outlineLevel="0" collapsed="false">
      <c r="A25" s="355"/>
      <c r="I25" s="339" t="str">
        <f aca="false">IF((F25&lt;&gt;0),IF((D25&gt;0)," ",(I$1-A25))," ")</f>
        <v> </v>
      </c>
    </row>
    <row r="26" customFormat="false" ht="12.75" hidden="false" customHeight="false" outlineLevel="0" collapsed="false">
      <c r="A26" s="355"/>
      <c r="I26" s="339" t="str">
        <f aca="false">IF((F26&lt;&gt;0),IF((D26&gt;0)," ",(I$1-A26))," ")</f>
        <v> </v>
      </c>
    </row>
    <row r="27" customFormat="false" ht="12.75" hidden="false" customHeight="false" outlineLevel="0" collapsed="false">
      <c r="A27" s="355"/>
      <c r="I27" s="339" t="str">
        <f aca="false">IF((F27&lt;&gt;0),IF((D27&gt;0)," ",(I$1-A27))," ")</f>
        <v> </v>
      </c>
    </row>
    <row r="28" customFormat="false" ht="12.75" hidden="false" customHeight="false" outlineLevel="0" collapsed="false">
      <c r="A28" s="355"/>
      <c r="I28" s="339" t="str">
        <f aca="false">IF((F28&lt;&gt;0),IF((D28&gt;0)," ",(I$1-A28))," ")</f>
        <v> </v>
      </c>
    </row>
    <row r="29" customFormat="false" ht="12.75" hidden="false" customHeight="false" outlineLevel="0" collapsed="false">
      <c r="A29" s="355"/>
      <c r="I29" s="339" t="str">
        <f aca="false">IF((F29&lt;&gt;0),IF((D29&gt;0)," ",(I$1-A29))," ")</f>
        <v> </v>
      </c>
    </row>
    <row r="30" customFormat="false" ht="12.75" hidden="false" customHeight="false" outlineLevel="0" collapsed="false">
      <c r="A30" s="355"/>
      <c r="I30" s="339" t="str">
        <f aca="false">IF((F30&lt;&gt;0),IF((D30&gt;0)," ",(I$1-A30))," ")</f>
        <v> </v>
      </c>
    </row>
    <row r="31" customFormat="false" ht="12.75" hidden="false" customHeight="false" outlineLevel="0" collapsed="false">
      <c r="A31" s="355"/>
      <c r="I31" s="339" t="str">
        <f aca="false">IF((F31&lt;&gt;0),IF((D31&gt;0)," ",(I$1-A31))," ")</f>
        <v> </v>
      </c>
    </row>
    <row r="32" customFormat="false" ht="12.75" hidden="false" customHeight="false" outlineLevel="0" collapsed="false">
      <c r="A32" s="355"/>
      <c r="I32" s="339" t="str">
        <f aca="false">IF((F32&lt;&gt;0),IF((D32&gt;0)," ",(I$1-A32))," ")</f>
        <v> </v>
      </c>
    </row>
    <row r="33" customFormat="false" ht="12.75" hidden="false" customHeight="false" outlineLevel="0" collapsed="false">
      <c r="A33" s="355"/>
      <c r="I33" s="339" t="str">
        <f aca="false">IF((F33&lt;&gt;0),IF((D33&gt;0)," ",(I$1-A33))," ")</f>
        <v> </v>
      </c>
    </row>
    <row r="34" customFormat="false" ht="12.75" hidden="false" customHeight="false" outlineLevel="0" collapsed="false">
      <c r="A34" s="355"/>
      <c r="I34" s="339" t="str">
        <f aca="false">IF((F34&lt;&gt;0),IF((D34&gt;0)," ",(I$1-A34))," ")</f>
        <v> </v>
      </c>
    </row>
    <row r="35" customFormat="false" ht="12.75" hidden="false" customHeight="false" outlineLevel="0" collapsed="false">
      <c r="A35" s="355"/>
      <c r="I35" s="339" t="str">
        <f aca="false">IF((F35&lt;&gt;0),IF((D35&gt;0)," ",(I$1-A35))," ")</f>
        <v> </v>
      </c>
    </row>
    <row r="36" customFormat="false" ht="12.75" hidden="false" customHeight="false" outlineLevel="0" collapsed="false">
      <c r="A36" s="355"/>
      <c r="I36" s="339" t="str">
        <f aca="false">IF((F36&lt;&gt;0),IF((D36&gt;0)," ",(I$1-A36))," ")</f>
        <v> </v>
      </c>
    </row>
    <row r="37" customFormat="false" ht="12.75" hidden="false" customHeight="false" outlineLevel="0" collapsed="false">
      <c r="A37" s="355"/>
      <c r="I37" s="339" t="str">
        <f aca="false">IF((F37&lt;&gt;0),IF((D37&gt;0)," ",(I$1-A37))," ")</f>
        <v> </v>
      </c>
    </row>
    <row r="38" customFormat="false" ht="12.75" hidden="false" customHeight="false" outlineLevel="0" collapsed="false">
      <c r="A38" s="355"/>
      <c r="I38" s="339" t="str">
        <f aca="false">IF((F38&lt;&gt;0),IF((D38&gt;0)," ",(I$1-A38))," ")</f>
        <v> </v>
      </c>
    </row>
    <row r="39" customFormat="false" ht="12.75" hidden="false" customHeight="false" outlineLevel="0" collapsed="false">
      <c r="A39" s="355"/>
      <c r="I39" s="339" t="str">
        <f aca="false">IF((F39&lt;&gt;0),IF((D39&gt;0)," ",(I$1-A39))," ")</f>
        <v> </v>
      </c>
    </row>
    <row r="40" customFormat="false" ht="12.75" hidden="false" customHeight="false" outlineLevel="0" collapsed="false">
      <c r="A40" s="355"/>
      <c r="I40" s="339" t="str">
        <f aca="false">IF((F40&lt;&gt;0),IF((D40&gt;0)," ",(I$1-A40))," ")</f>
        <v> </v>
      </c>
    </row>
    <row r="41" customFormat="false" ht="12.75" hidden="false" customHeight="false" outlineLevel="0" collapsed="false">
      <c r="A41" s="355"/>
      <c r="I41" s="339" t="str">
        <f aca="false">IF((F41&lt;&gt;0),IF((D41&gt;0)," ",(I$1-A41))," ")</f>
        <v> </v>
      </c>
    </row>
    <row r="42" customFormat="false" ht="12.75" hidden="false" customHeight="false" outlineLevel="0" collapsed="false">
      <c r="A42" s="355"/>
      <c r="I42" s="339" t="str">
        <f aca="false">IF((F42&lt;&gt;0),IF((D42&gt;0)," ",(I$1-A42))," ")</f>
        <v> </v>
      </c>
    </row>
    <row r="43" customFormat="false" ht="12.75" hidden="false" customHeight="false" outlineLevel="0" collapsed="false">
      <c r="A43" s="355"/>
      <c r="I43" s="339" t="str">
        <f aca="false">IF((F43&lt;&gt;0),IF((D43&gt;0)," ",(I$1-A43))," ")</f>
        <v> </v>
      </c>
    </row>
    <row r="44" customFormat="false" ht="12.75" hidden="false" customHeight="false" outlineLevel="0" collapsed="false">
      <c r="A44" s="355"/>
      <c r="I44" s="339" t="str">
        <f aca="false">IF((F44&lt;&gt;0),IF((D44&gt;0)," ",(I$1-A44))," ")</f>
        <v> </v>
      </c>
    </row>
    <row r="45" customFormat="false" ht="12.75" hidden="false" customHeight="false" outlineLevel="0" collapsed="false">
      <c r="A45" s="355"/>
      <c r="I45" s="339" t="str">
        <f aca="false">IF((F45&lt;&gt;0),IF((D45&gt;0)," ",(I$1-A45))," ")</f>
        <v> </v>
      </c>
    </row>
    <row r="46" customFormat="false" ht="12.75" hidden="false" customHeight="false" outlineLevel="0" collapsed="false">
      <c r="A46" s="355"/>
      <c r="I46" s="339" t="str">
        <f aca="false">IF((F46&lt;&gt;0),IF((D46&gt;0)," ",(I$1-A46))," ")</f>
        <v> </v>
      </c>
    </row>
    <row r="47" customFormat="false" ht="12.75" hidden="false" customHeight="false" outlineLevel="0" collapsed="false">
      <c r="A47" s="355"/>
      <c r="I47" s="339" t="str">
        <f aca="false">IF((F47&lt;&gt;0),IF((D47&gt;0)," ",(I$1-A47))," ")</f>
        <v> </v>
      </c>
    </row>
    <row r="48" customFormat="false" ht="12.75" hidden="false" customHeight="false" outlineLevel="0" collapsed="false">
      <c r="A48" s="355"/>
      <c r="I48" s="339" t="str">
        <f aca="false">IF((F48&lt;&gt;0),IF((D48&gt;0)," ",(I$1-A48))," ")</f>
        <v> </v>
      </c>
    </row>
    <row r="49" customFormat="false" ht="12.75" hidden="false" customHeight="false" outlineLevel="0" collapsed="false">
      <c r="A49" s="355"/>
      <c r="I49" s="339" t="str">
        <f aca="false">IF((F49&lt;&gt;0),IF((D49&gt;0)," ",(I$1-A49))," ")</f>
        <v> </v>
      </c>
    </row>
    <row r="50" customFormat="false" ht="12.75" hidden="false" customHeight="false" outlineLevel="0" collapsed="false">
      <c r="A50" s="355"/>
      <c r="I50" s="339" t="str">
        <f aca="false">IF((F50&lt;&gt;0),IF((D50&gt;0)," ",(I$1-A50))," ")</f>
        <v> </v>
      </c>
    </row>
    <row r="51" customFormat="false" ht="12.75" hidden="false" customHeight="false" outlineLevel="0" collapsed="false">
      <c r="A51" s="355"/>
      <c r="I51" s="339" t="str">
        <f aca="false">IF((F51&lt;&gt;0),IF((D51&gt;0)," ",(I$1-A51))," ")</f>
        <v> </v>
      </c>
    </row>
    <row r="52" customFormat="false" ht="12.75" hidden="false" customHeight="false" outlineLevel="0" collapsed="false">
      <c r="A52" s="355"/>
      <c r="I52" s="339" t="str">
        <f aca="false">IF((F52&lt;&gt;0),IF((D52&gt;0)," ",(I$1-A52))," ")</f>
        <v> </v>
      </c>
    </row>
    <row r="53" customFormat="false" ht="12.75" hidden="false" customHeight="false" outlineLevel="0" collapsed="false">
      <c r="A53" s="355"/>
      <c r="I53" s="339" t="str">
        <f aca="false">IF((F53&lt;&gt;0),IF((D53&gt;0)," ",(I$1-A53))," ")</f>
        <v> </v>
      </c>
    </row>
    <row r="54" customFormat="false" ht="12.75" hidden="false" customHeight="false" outlineLevel="0" collapsed="false">
      <c r="A54" s="355"/>
      <c r="I54" s="339" t="str">
        <f aca="false">IF((F54&lt;&gt;0),IF((D54&gt;0)," ",(I$1-A54))," ")</f>
        <v> </v>
      </c>
    </row>
    <row r="55" customFormat="false" ht="12.75" hidden="false" customHeight="false" outlineLevel="0" collapsed="false">
      <c r="A55" s="355"/>
      <c r="I55" s="339" t="str">
        <f aca="false">IF((F55&lt;&gt;0),IF((D55&gt;0)," ",(I$1-A55))," ")</f>
        <v> </v>
      </c>
    </row>
    <row r="56" customFormat="false" ht="12.75" hidden="false" customHeight="false" outlineLevel="0" collapsed="false">
      <c r="A56" s="355"/>
      <c r="I56" s="339" t="str">
        <f aca="false">IF((F56&lt;&gt;0),IF((D56&gt;0)," ",(I$1-A56))," ")</f>
        <v> </v>
      </c>
    </row>
    <row r="57" customFormat="false" ht="12.75" hidden="false" customHeight="false" outlineLevel="0" collapsed="false">
      <c r="A57" s="355"/>
      <c r="I57" s="339" t="str">
        <f aca="false">IF((F57&lt;&gt;0),IF((D57&gt;0)," ",(I$1-A57))," ")</f>
        <v> </v>
      </c>
    </row>
    <row r="58" customFormat="false" ht="12.75" hidden="false" customHeight="false" outlineLevel="0" collapsed="false">
      <c r="A58" s="355"/>
      <c r="I58" s="339" t="str">
        <f aca="false">IF((F58&lt;&gt;0),IF((D58&gt;0)," ",(I$1-A58))," ")</f>
        <v> </v>
      </c>
    </row>
    <row r="59" customFormat="false" ht="12.75" hidden="false" customHeight="false" outlineLevel="0" collapsed="false">
      <c r="A59" s="355"/>
      <c r="I59" s="339" t="str">
        <f aca="false">IF((F59&lt;&gt;0),IF((D59&gt;0)," ",(I$1-A59))," ")</f>
        <v> </v>
      </c>
    </row>
    <row r="60" customFormat="false" ht="12.75" hidden="false" customHeight="false" outlineLevel="0" collapsed="false">
      <c r="A60" s="355"/>
      <c r="I60" s="339" t="str">
        <f aca="false">IF((F60&lt;&gt;0),IF((D60&gt;0)," ",(I$1-A60))," ")</f>
        <v> </v>
      </c>
    </row>
    <row r="61" customFormat="false" ht="12.75" hidden="false" customHeight="false" outlineLevel="0" collapsed="false">
      <c r="A61" s="355"/>
      <c r="I61" s="339" t="str">
        <f aca="false">IF((F61&lt;&gt;0),IF((D61&gt;0)," ",(I$1-A61))," ")</f>
        <v> </v>
      </c>
    </row>
    <row r="62" customFormat="false" ht="12.75" hidden="false" customHeight="false" outlineLevel="0" collapsed="false">
      <c r="A62" s="355"/>
      <c r="I62" s="339" t="str">
        <f aca="false">IF((F62&lt;&gt;0),IF((D62&gt;0)," ",(I$1-A62))," ")</f>
        <v> </v>
      </c>
    </row>
    <row r="63" customFormat="false" ht="12.75" hidden="false" customHeight="false" outlineLevel="0" collapsed="false">
      <c r="A63" s="355"/>
      <c r="I63" s="339" t="str">
        <f aca="false">IF((F63&lt;&gt;0),IF((D63&gt;0)," ",(I$1-A63))," ")</f>
        <v> </v>
      </c>
    </row>
    <row r="64" customFormat="false" ht="12.75" hidden="false" customHeight="false" outlineLevel="0" collapsed="false">
      <c r="A64" s="355"/>
      <c r="I64" s="339" t="str">
        <f aca="false">IF((F64&lt;&gt;0),IF((D64&gt;0)," ",(I$1-A64))," ")</f>
        <v> </v>
      </c>
    </row>
    <row r="65" customFormat="false" ht="12.75" hidden="false" customHeight="false" outlineLevel="0" collapsed="false">
      <c r="A65" s="355"/>
      <c r="I65" s="339" t="str">
        <f aca="false">IF((F65&lt;&gt;0),IF((D65&gt;0)," ",(I$1-A65))," ")</f>
        <v> </v>
      </c>
    </row>
    <row r="66" customFormat="false" ht="12.75" hidden="false" customHeight="false" outlineLevel="0" collapsed="false">
      <c r="A66" s="355"/>
      <c r="I66" s="339" t="str">
        <f aca="false">IF((F66&lt;&gt;0),IF((D66&gt;0)," ",(I$1-A66))," ")</f>
        <v> </v>
      </c>
    </row>
    <row r="67" customFormat="false" ht="12.75" hidden="false" customHeight="false" outlineLevel="0" collapsed="false">
      <c r="A67" s="355"/>
      <c r="I67" s="339" t="str">
        <f aca="false">IF((F67&lt;&gt;0),IF((D67&gt;0)," ",(I$1-A67))," ")</f>
        <v> </v>
      </c>
    </row>
    <row r="68" customFormat="false" ht="12.75" hidden="false" customHeight="false" outlineLevel="0" collapsed="false">
      <c r="A68" s="355"/>
      <c r="H68" s="338" t="str">
        <f aca="false">IF((F68&lt;&gt;0),IF((D68&gt;0)," ",F68)," ")</f>
        <v> </v>
      </c>
      <c r="I68" s="339" t="str">
        <f aca="false">IF((F68&lt;&gt;0),IF((D68&gt;0)," ",(I$1-A68))," ")</f>
        <v> </v>
      </c>
    </row>
    <row r="69" customFormat="false" ht="12.75" hidden="false" customHeight="false" outlineLevel="0" collapsed="false">
      <c r="A69" s="355"/>
      <c r="H69" s="338" t="str">
        <f aca="false">IF((F69&lt;&gt;0),IF((D69&gt;0)," ",F69)," ")</f>
        <v> </v>
      </c>
      <c r="I69" s="339" t="str">
        <f aca="false">IF((F69&lt;&gt;0),IF((D69&gt;0)," ",(I$1-A69))," ")</f>
        <v> </v>
      </c>
    </row>
    <row r="70" customFormat="false" ht="12.75" hidden="false" customHeight="false" outlineLevel="0" collapsed="false">
      <c r="A70" s="355"/>
      <c r="H70" s="338" t="str">
        <f aca="false">IF((F70&lt;&gt;0),IF((D70&gt;0)," ",F70)," ")</f>
        <v> </v>
      </c>
      <c r="I70" s="339" t="str">
        <f aca="false">IF((F70&lt;&gt;0),IF((D70&gt;0)," ",(I$1-A70))," ")</f>
        <v> </v>
      </c>
    </row>
    <row r="71" customFormat="false" ht="12.75" hidden="false" customHeight="false" outlineLevel="0" collapsed="false">
      <c r="A71" s="355"/>
      <c r="H71" s="338" t="str">
        <f aca="false">IF((F71&lt;&gt;0),IF((D71&gt;0)," ",F71)," ")</f>
        <v> </v>
      </c>
      <c r="I71" s="339" t="str">
        <f aca="false">IF((F71&lt;&gt;0),IF((D71&gt;0)," ",(I$1-A71))," ")</f>
        <v> </v>
      </c>
    </row>
    <row r="72" customFormat="false" ht="12.75" hidden="false" customHeight="false" outlineLevel="0" collapsed="false">
      <c r="A72" s="355"/>
      <c r="H72" s="338" t="str">
        <f aca="false">IF((F72&lt;&gt;0),IF((D72&gt;0)," ",F72)," ")</f>
        <v> </v>
      </c>
      <c r="I72" s="339" t="str">
        <f aca="false">IF((F72&lt;&gt;0),IF((D72&gt;0)," ",(I$1-A72))," ")</f>
        <v> </v>
      </c>
    </row>
    <row r="73" customFormat="false" ht="12.75" hidden="false" customHeight="false" outlineLevel="0" collapsed="false">
      <c r="A73" s="355"/>
      <c r="H73" s="338" t="str">
        <f aca="false">IF((F73&lt;&gt;0),IF((D73&gt;0)," ",F73)," ")</f>
        <v> </v>
      </c>
      <c r="I73" s="339" t="str">
        <f aca="false">IF((F73&lt;&gt;0),IF((D73&gt;0)," ",(I$1-A73))," ")</f>
        <v> </v>
      </c>
    </row>
    <row r="74" customFormat="false" ht="12.75" hidden="false" customHeight="false" outlineLevel="0" collapsed="false">
      <c r="A74" s="355"/>
      <c r="H74" s="338" t="str">
        <f aca="false">IF((F74&lt;&gt;0),IF((D74&gt;0)," ",F74)," ")</f>
        <v> </v>
      </c>
      <c r="I74" s="339" t="str">
        <f aca="false">IF((F74&lt;&gt;0),IF((D74&gt;0)," ",(I$1-A74))," ")</f>
        <v> </v>
      </c>
    </row>
    <row r="75" customFormat="false" ht="12.75" hidden="false" customHeight="false" outlineLevel="0" collapsed="false">
      <c r="A75" s="355"/>
      <c r="H75" s="338" t="str">
        <f aca="false">IF((F75&lt;&gt;0),IF((D75&gt;0)," ",F75)," ")</f>
        <v> </v>
      </c>
      <c r="I75" s="339" t="str">
        <f aca="false">IF((F75&lt;&gt;0),IF((D75&gt;0)," ",(I$1-A75))," ")</f>
        <v> </v>
      </c>
    </row>
    <row r="76" customFormat="false" ht="12.75" hidden="false" customHeight="false" outlineLevel="0" collapsed="false">
      <c r="A76" s="355"/>
      <c r="H76" s="338" t="str">
        <f aca="false">IF((F76&lt;&gt;0),IF((D76&gt;0)," ",F76)," ")</f>
        <v> </v>
      </c>
      <c r="I76" s="339" t="str">
        <f aca="false">IF((F76&lt;&gt;0),IF((D76&gt;0)," ",(I$1-A76))," ")</f>
        <v> </v>
      </c>
    </row>
    <row r="77" customFormat="false" ht="12.75" hidden="false" customHeight="false" outlineLevel="0" collapsed="false">
      <c r="A77" s="355"/>
      <c r="H77" s="338" t="str">
        <f aca="false">IF((F77&lt;&gt;0),IF((D77&gt;0)," ",F77)," ")</f>
        <v> </v>
      </c>
      <c r="I77" s="339" t="str">
        <f aca="false">IF((F77&lt;&gt;0),IF((D77&gt;0)," ",(I$1-A77))," ")</f>
        <v> </v>
      </c>
    </row>
    <row r="78" customFormat="false" ht="12.75" hidden="false" customHeight="false" outlineLevel="0" collapsed="false">
      <c r="A78" s="355"/>
      <c r="H78" s="338" t="str">
        <f aca="false">IF((F78&lt;&gt;0),IF((D78&gt;0)," ",F78)," ")</f>
        <v> </v>
      </c>
      <c r="I78" s="339" t="str">
        <f aca="false">IF((F78&lt;&gt;0),IF((D78&gt;0)," ",(I$1-A78))," ")</f>
        <v> </v>
      </c>
    </row>
    <row r="79" customFormat="false" ht="12.75" hidden="false" customHeight="false" outlineLevel="0" collapsed="false">
      <c r="A79" s="355"/>
      <c r="H79" s="338" t="str">
        <f aca="false">IF((F79&lt;&gt;0),IF((D79&gt;0)," ",F79)," ")</f>
        <v> </v>
      </c>
      <c r="I79" s="339" t="str">
        <f aca="false">IF((F79&lt;&gt;0),IF((D79&gt;0)," ",(I$1-A79))," ")</f>
        <v> </v>
      </c>
    </row>
    <row r="80" customFormat="false" ht="12.75" hidden="false" customHeight="false" outlineLevel="0" collapsed="false">
      <c r="A80" s="355"/>
      <c r="H80" s="338" t="str">
        <f aca="false">IF((F80&lt;&gt;0),IF((D80&gt;0)," ",F80)," ")</f>
        <v> </v>
      </c>
      <c r="I80" s="339" t="str">
        <f aca="false">IF((F80&lt;&gt;0),IF((D80&gt;0)," ",(I$1-A80))," ")</f>
        <v> </v>
      </c>
    </row>
    <row r="81" customFormat="false" ht="12.75" hidden="false" customHeight="false" outlineLevel="0" collapsed="false">
      <c r="A81" s="355"/>
      <c r="H81" s="338" t="str">
        <f aca="false">IF((F81&lt;&gt;0),IF((D81&gt;0)," ",F81)," ")</f>
        <v> </v>
      </c>
      <c r="I81" s="339" t="str">
        <f aca="false">IF((F81&lt;&gt;0),IF((D81&gt;0)," ",(I$1-A81))," ")</f>
        <v> </v>
      </c>
    </row>
    <row r="82" customFormat="false" ht="12.75" hidden="false" customHeight="false" outlineLevel="0" collapsed="false">
      <c r="A82" s="355"/>
      <c r="H82" s="338" t="str">
        <f aca="false">IF((F82&lt;&gt;0),IF((D82&gt;0)," ",F82)," ")</f>
        <v> </v>
      </c>
      <c r="I82" s="339" t="str">
        <f aca="false">IF((F82&lt;&gt;0),IF((D82&gt;0)," ",(I$1-A82))," ")</f>
        <v> </v>
      </c>
    </row>
    <row r="83" customFormat="false" ht="12.75" hidden="false" customHeight="false" outlineLevel="0" collapsed="false">
      <c r="A83" s="355"/>
      <c r="H83" s="338" t="str">
        <f aca="false">IF((F83&lt;&gt;0),IF((D83&gt;0)," ",F83)," ")</f>
        <v> </v>
      </c>
      <c r="I83" s="339" t="str">
        <f aca="false">IF((F83&lt;&gt;0),IF((D83&gt;0)," ",(I$1-A83))," ")</f>
        <v> </v>
      </c>
    </row>
    <row r="84" customFormat="false" ht="12.75" hidden="false" customHeight="false" outlineLevel="0" collapsed="false">
      <c r="A84" s="355"/>
      <c r="H84" s="338" t="str">
        <f aca="false">IF((F84&lt;&gt;0),IF((D84&gt;0)," ",F84)," ")</f>
        <v> </v>
      </c>
      <c r="I84" s="339" t="str">
        <f aca="false">IF((F84&lt;&gt;0),IF((D84&gt;0)," ",(I$1-A84))," ")</f>
        <v> </v>
      </c>
    </row>
    <row r="85" customFormat="false" ht="12.75" hidden="false" customHeight="false" outlineLevel="0" collapsed="false">
      <c r="A85" s="355"/>
      <c r="H85" s="338" t="str">
        <f aca="false">IF((F85&lt;&gt;0),IF((D85&gt;0)," ",F85)," ")</f>
        <v> </v>
      </c>
      <c r="I85" s="339" t="str">
        <f aca="false">IF((F85&lt;&gt;0),IF((D85&gt;0)," ",(I$1-A85))," ")</f>
        <v> </v>
      </c>
    </row>
    <row r="86" customFormat="false" ht="12.75" hidden="false" customHeight="false" outlineLevel="0" collapsed="false">
      <c r="A86" s="355"/>
      <c r="H86" s="338" t="str">
        <f aca="false">IF((F86&lt;&gt;0),IF((D86&gt;0)," ",F86)," ")</f>
        <v> </v>
      </c>
      <c r="I86" s="339" t="str">
        <f aca="false">IF((F86&lt;&gt;0),IF((D86&gt;0)," ",(I$1-A86))," ")</f>
        <v> </v>
      </c>
    </row>
    <row r="87" customFormat="false" ht="12.75" hidden="false" customHeight="false" outlineLevel="0" collapsed="false">
      <c r="A87" s="355"/>
      <c r="H87" s="338" t="str">
        <f aca="false">IF((F87&lt;&gt;0),IF((D87&gt;0)," ",F87)," ")</f>
        <v> </v>
      </c>
      <c r="I87" s="339" t="str">
        <f aca="false">IF((F87&lt;&gt;0),IF((D87&gt;0)," ",(I$1-A87))," ")</f>
        <v> </v>
      </c>
    </row>
    <row r="88" customFormat="false" ht="12.75" hidden="false" customHeight="false" outlineLevel="0" collapsed="false">
      <c r="A88" s="355"/>
      <c r="H88" s="338" t="str">
        <f aca="false">IF((F88&lt;&gt;0),IF((D88&gt;0)," ",F88)," ")</f>
        <v> </v>
      </c>
      <c r="I88" s="339" t="str">
        <f aca="false">IF((F88&lt;&gt;0),IF((D88&gt;0)," ",(I$1-A88))," ")</f>
        <v> </v>
      </c>
    </row>
    <row r="89" customFormat="false" ht="12.75" hidden="false" customHeight="false" outlineLevel="0" collapsed="false">
      <c r="A89" s="355"/>
      <c r="H89" s="338" t="str">
        <f aca="false">IF((F89&lt;&gt;0),IF((D89&gt;0)," ",F89)," ")</f>
        <v> </v>
      </c>
      <c r="I89" s="339" t="str">
        <f aca="false">IF((F89&lt;&gt;0),IF((D89&gt;0)," ",(I$1-A89))," ")</f>
        <v> </v>
      </c>
    </row>
    <row r="90" customFormat="false" ht="12.75" hidden="false" customHeight="false" outlineLevel="0" collapsed="false">
      <c r="A90" s="355"/>
      <c r="H90" s="338" t="str">
        <f aca="false">IF((F90&lt;&gt;0),IF((D90&gt;0)," ",F90)," ")</f>
        <v> </v>
      </c>
      <c r="I90" s="339" t="str">
        <f aca="false">IF((F90&lt;&gt;0),IF((D90&gt;0)," ",(I$1-A90))," ")</f>
        <v> </v>
      </c>
    </row>
    <row r="91" customFormat="false" ht="12.75" hidden="false" customHeight="false" outlineLevel="0" collapsed="false">
      <c r="A91" s="355"/>
      <c r="H91" s="338" t="str">
        <f aca="false">IF((F91&lt;&gt;0),IF((D91&gt;0)," ",F91)," ")</f>
        <v> </v>
      </c>
      <c r="I91" s="339" t="str">
        <f aca="false">IF((F91&lt;&gt;0),IF((D91&gt;0)," ",(I$1-A91))," ")</f>
        <v> </v>
      </c>
    </row>
    <row r="92" customFormat="false" ht="12.75" hidden="false" customHeight="false" outlineLevel="0" collapsed="false">
      <c r="A92" s="355"/>
      <c r="H92" s="338" t="str">
        <f aca="false">IF((F92&lt;&gt;0),IF((D92&gt;0)," ",F92)," ")</f>
        <v> </v>
      </c>
      <c r="I92" s="339" t="str">
        <f aca="false">IF((F92&lt;&gt;0),IF((D92&gt;0)," ",(I$1-A92))," ")</f>
        <v> </v>
      </c>
    </row>
    <row r="93" customFormat="false" ht="12.75" hidden="false" customHeight="false" outlineLevel="0" collapsed="false">
      <c r="A93" s="355"/>
      <c r="H93" s="338" t="str">
        <f aca="false">IF((F93&lt;&gt;0),IF((D93&gt;0)," ",F93)," ")</f>
        <v> </v>
      </c>
      <c r="I93" s="339" t="str">
        <f aca="false">IF((F93&lt;&gt;0),IF((D93&gt;0)," ",(I$1-A93))," ")</f>
        <v> </v>
      </c>
    </row>
    <row r="94" customFormat="false" ht="12.75" hidden="false" customHeight="false" outlineLevel="0" collapsed="false">
      <c r="A94" s="355"/>
      <c r="H94" s="338" t="str">
        <f aca="false">IF((F94&lt;&gt;0),IF((D94&gt;0)," ",F94)," ")</f>
        <v> </v>
      </c>
      <c r="I94" s="339" t="str">
        <f aca="false">IF((F94&lt;&gt;0),IF((D94&gt;0)," ",(I$1-A94))," ")</f>
        <v> </v>
      </c>
    </row>
    <row r="95" customFormat="false" ht="12.75" hidden="false" customHeight="false" outlineLevel="0" collapsed="false">
      <c r="A95" s="355"/>
      <c r="H95" s="338" t="str">
        <f aca="false">IF((F95&lt;&gt;0),IF((D95&gt;0)," ",F95)," ")</f>
        <v> </v>
      </c>
      <c r="I95" s="339" t="str">
        <f aca="false">IF((F95&lt;&gt;0),IF((D95&gt;0)," ",(I$1-A95))," ")</f>
        <v> </v>
      </c>
    </row>
    <row r="96" customFormat="false" ht="12.75" hidden="false" customHeight="false" outlineLevel="0" collapsed="false">
      <c r="A96" s="355"/>
      <c r="H96" s="338" t="str">
        <f aca="false">IF((F96&lt;&gt;0),IF((D96&gt;0)," ",F96)," ")</f>
        <v> </v>
      </c>
      <c r="I96" s="339" t="str">
        <f aca="false">IF((F96&lt;&gt;0),IF((D96&gt;0)," ",(I$1-A96))," ")</f>
        <v> </v>
      </c>
    </row>
    <row r="97" customFormat="false" ht="12.75" hidden="false" customHeight="false" outlineLevel="0" collapsed="false">
      <c r="A97" s="355"/>
      <c r="H97" s="338" t="str">
        <f aca="false">IF((F97&lt;&gt;0),IF((D97&gt;0)," ",F97)," ")</f>
        <v> </v>
      </c>
      <c r="I97" s="339" t="str">
        <f aca="false">IF((F97&lt;&gt;0),IF((D97&gt;0)," ",(I$1-A97))," ")</f>
        <v> </v>
      </c>
    </row>
    <row r="98" customFormat="false" ht="12.75" hidden="false" customHeight="false" outlineLevel="0" collapsed="false">
      <c r="A98" s="355"/>
      <c r="H98" s="338" t="str">
        <f aca="false">IF((F98&lt;&gt;0),IF((D98&gt;0)," ",F98)," ")</f>
        <v> </v>
      </c>
      <c r="I98" s="339" t="str">
        <f aca="false">IF((F98&lt;&gt;0),IF((D98&gt;0)," ",(I$1-A98))," ")</f>
        <v> </v>
      </c>
    </row>
    <row r="99" customFormat="false" ht="12.75" hidden="false" customHeight="false" outlineLevel="0" collapsed="false">
      <c r="A99" s="355"/>
      <c r="H99" s="338" t="str">
        <f aca="false">IF((F99&lt;&gt;0),IF((D99&gt;0)," ",F99)," ")</f>
        <v> </v>
      </c>
      <c r="I99" s="339" t="str">
        <f aca="false">IF((F99&lt;&gt;0),IF((D99&gt;0)," ",(I$1-A99))," ")</f>
        <v> </v>
      </c>
    </row>
    <row r="100" customFormat="false" ht="12.75" hidden="false" customHeight="false" outlineLevel="0" collapsed="false">
      <c r="A100" s="355"/>
      <c r="H100" s="338" t="str">
        <f aca="false">IF((F100&lt;&gt;0),IF((D100&gt;0)," ",F100)," ")</f>
        <v> </v>
      </c>
      <c r="I100" s="339" t="str">
        <f aca="false">IF((F100&lt;&gt;0),IF((D100&gt;0)," ",(I$1-A100))," ")</f>
        <v> </v>
      </c>
    </row>
    <row r="101" customFormat="false" ht="12.75" hidden="false" customHeight="false" outlineLevel="0" collapsed="false">
      <c r="A101" s="355"/>
      <c r="H101" s="338" t="str">
        <f aca="false">IF((F101&lt;&gt;0),IF((D101&gt;0)," ",F101)," ")</f>
        <v> </v>
      </c>
      <c r="I101" s="339" t="str">
        <f aca="false">IF((F101&lt;&gt;0),IF((D101&gt;0)," ",(I$1-A101))," ")</f>
        <v> </v>
      </c>
    </row>
    <row r="102" customFormat="false" ht="12.75" hidden="false" customHeight="false" outlineLevel="0" collapsed="false">
      <c r="A102" s="355"/>
      <c r="H102" s="338" t="str">
        <f aca="false">IF((F102&lt;&gt;0),IF((D102&gt;0)," ",F102)," ")</f>
        <v> </v>
      </c>
      <c r="I102" s="339" t="str">
        <f aca="false">IF((F102&lt;&gt;0),IF((D102&gt;0)," ",(I$1-A102))," ")</f>
        <v> </v>
      </c>
    </row>
    <row r="103" customFormat="false" ht="12.75" hidden="false" customHeight="false" outlineLevel="0" collapsed="false">
      <c r="A103" s="355"/>
      <c r="H103" s="338" t="str">
        <f aca="false">IF((F103&lt;&gt;0),IF((D103&gt;0)," ",F103)," ")</f>
        <v> </v>
      </c>
      <c r="I103" s="339" t="str">
        <f aca="false">IF((F103&lt;&gt;0),IF((D103&gt;0)," ",(I$1-A103))," ")</f>
        <v> </v>
      </c>
    </row>
    <row r="104" customFormat="false" ht="12.75" hidden="false" customHeight="false" outlineLevel="0" collapsed="false">
      <c r="A104" s="355"/>
      <c r="H104" s="338" t="str">
        <f aca="false">IF((F104&lt;&gt;0),IF((D104&gt;0)," ",F104)," ")</f>
        <v> </v>
      </c>
      <c r="I104" s="339" t="str">
        <f aca="false">IF((F104&lt;&gt;0),IF((D104&gt;0)," ",(I$1-A104))," ")</f>
        <v> </v>
      </c>
    </row>
    <row r="105" customFormat="false" ht="12.75" hidden="false" customHeight="false" outlineLevel="0" collapsed="false">
      <c r="A105" s="355"/>
      <c r="H105" s="338" t="str">
        <f aca="false">IF((F105&lt;&gt;0),IF((D105&gt;0)," ",F105)," ")</f>
        <v> </v>
      </c>
      <c r="I105" s="339" t="str">
        <f aca="false">IF((F105&lt;&gt;0),IF((D105&gt;0)," ",(I$1-A105))," ")</f>
        <v> </v>
      </c>
    </row>
    <row r="106" customFormat="false" ht="12.75" hidden="false" customHeight="false" outlineLevel="0" collapsed="false">
      <c r="A106" s="355"/>
      <c r="H106" s="338" t="str">
        <f aca="false">IF((F106&lt;&gt;0),IF((D106&gt;0)," ",F106)," ")</f>
        <v> </v>
      </c>
      <c r="I106" s="339" t="str">
        <f aca="false">IF((F106&lt;&gt;0),IF((D106&gt;0)," ",(I$1-A106))," ")</f>
        <v> </v>
      </c>
    </row>
    <row r="107" customFormat="false" ht="12.75" hidden="false" customHeight="false" outlineLevel="0" collapsed="false">
      <c r="A107" s="355"/>
      <c r="H107" s="338" t="str">
        <f aca="false">IF((F107&lt;&gt;0),IF((D107&gt;0)," ",F107)," ")</f>
        <v> </v>
      </c>
      <c r="I107" s="339" t="str">
        <f aca="false">IF((F107&lt;&gt;0),IF((D107&gt;0)," ",(I$1-A107))," ")</f>
        <v> </v>
      </c>
    </row>
    <row r="108" customFormat="false" ht="12.75" hidden="false" customHeight="false" outlineLevel="0" collapsed="false">
      <c r="A108" s="355"/>
      <c r="H108" s="338" t="str">
        <f aca="false">IF((F108&lt;&gt;0),IF((D108&gt;0)," ",F108)," ")</f>
        <v> </v>
      </c>
      <c r="I108" s="339" t="str">
        <f aca="false">IF((F108&lt;&gt;0),IF((D108&gt;0)," ",(I$1-A108))," ")</f>
        <v> </v>
      </c>
    </row>
    <row r="109" customFormat="false" ht="12.75" hidden="false" customHeight="false" outlineLevel="0" collapsed="false">
      <c r="A109" s="355"/>
      <c r="H109" s="338" t="str">
        <f aca="false">IF((F109&lt;&gt;0),IF((D109&gt;0)," ",F109)," ")</f>
        <v> </v>
      </c>
      <c r="I109" s="339" t="str">
        <f aca="false">IF((F109&lt;&gt;0),IF((D109&gt;0)," ",(I$1-A109))," ")</f>
        <v> </v>
      </c>
    </row>
    <row r="110" customFormat="false" ht="12.75" hidden="false" customHeight="false" outlineLevel="0" collapsed="false">
      <c r="A110" s="355"/>
      <c r="H110" s="338" t="str">
        <f aca="false">IF((F110&lt;&gt;0),IF((D110&gt;0)," ",F110)," ")</f>
        <v> </v>
      </c>
      <c r="I110" s="339" t="str">
        <f aca="false">IF((F110&lt;&gt;0),IF((D110&gt;0)," ",(I$1-A110))," ")</f>
        <v> </v>
      </c>
    </row>
    <row r="111" customFormat="false" ht="12.75" hidden="false" customHeight="false" outlineLevel="0" collapsed="false">
      <c r="A111" s="355"/>
      <c r="H111" s="338" t="str">
        <f aca="false">IF((F111&lt;&gt;0),IF((D111&gt;0)," ",F111)," ")</f>
        <v> </v>
      </c>
      <c r="I111" s="339" t="str">
        <f aca="false">IF((F111&lt;&gt;0),IF((D111&gt;0)," ",(I$1-A111))," ")</f>
        <v> </v>
      </c>
    </row>
    <row r="112" customFormat="false" ht="12.75" hidden="false" customHeight="false" outlineLevel="0" collapsed="false">
      <c r="A112" s="355"/>
      <c r="H112" s="338" t="str">
        <f aca="false">IF((F112&lt;&gt;0),IF((D112&gt;0)," ",F112)," ")</f>
        <v> </v>
      </c>
      <c r="I112" s="339" t="str">
        <f aca="false">IF((F112&lt;&gt;0),IF((D112&gt;0)," ",(I$1-A112))," ")</f>
        <v> </v>
      </c>
    </row>
    <row r="113" customFormat="false" ht="12.75" hidden="false" customHeight="false" outlineLevel="0" collapsed="false">
      <c r="A113" s="355"/>
      <c r="H113" s="338" t="str">
        <f aca="false">IF((F113&lt;&gt;0),IF((D113&gt;0)," ",F113)," ")</f>
        <v> </v>
      </c>
      <c r="I113" s="339" t="str">
        <f aca="false">IF((F113&lt;&gt;0),IF((D113&gt;0)," ",(I$1-A113))," ")</f>
        <v> </v>
      </c>
    </row>
    <row r="114" customFormat="false" ht="12.75" hidden="false" customHeight="false" outlineLevel="0" collapsed="false">
      <c r="A114" s="355"/>
      <c r="H114" s="338" t="str">
        <f aca="false">IF((F114&lt;&gt;0),IF((D114&gt;0)," ",F114)," ")</f>
        <v> </v>
      </c>
      <c r="I114" s="339" t="str">
        <f aca="false">IF((F114&lt;&gt;0),IF((D114&gt;0)," ",(I$1-A114))," ")</f>
        <v> </v>
      </c>
    </row>
    <row r="115" customFormat="false" ht="12.75" hidden="false" customHeight="false" outlineLevel="0" collapsed="false">
      <c r="A115" s="355"/>
      <c r="H115" s="338" t="str">
        <f aca="false">IF((F115&lt;&gt;0),IF((D115&gt;0)," ",F115)," ")</f>
        <v> </v>
      </c>
      <c r="I115" s="339" t="str">
        <f aca="false">IF((F115&lt;&gt;0),IF((D115&gt;0)," ",(I$1-A115))," ")</f>
        <v> </v>
      </c>
    </row>
    <row r="116" customFormat="false" ht="12.75" hidden="false" customHeight="false" outlineLevel="0" collapsed="false">
      <c r="A116" s="355"/>
      <c r="H116" s="338" t="str">
        <f aca="false">IF((F116&lt;&gt;0),IF((D116&gt;0)," ",F116)," ")</f>
        <v> </v>
      </c>
      <c r="I116" s="339" t="str">
        <f aca="false">IF((F116&lt;&gt;0),IF((D116&gt;0)," ",(I$1-A116))," ")</f>
        <v> </v>
      </c>
    </row>
    <row r="117" customFormat="false" ht="12.75" hidden="false" customHeight="false" outlineLevel="0" collapsed="false">
      <c r="A117" s="355"/>
      <c r="H117" s="338" t="str">
        <f aca="false">IF((F117&lt;&gt;0),IF((D117&gt;0)," ",F117)," ")</f>
        <v> </v>
      </c>
      <c r="I117" s="339" t="str">
        <f aca="false">IF((F117&lt;&gt;0),IF((D117&gt;0)," ",(I$1-A117))," ")</f>
        <v> </v>
      </c>
    </row>
    <row r="118" customFormat="false" ht="12.75" hidden="false" customHeight="false" outlineLevel="0" collapsed="false">
      <c r="A118" s="355"/>
      <c r="H118" s="338" t="str">
        <f aca="false">IF((F118&lt;&gt;0),IF((D118&gt;0)," ",F118)," ")</f>
        <v> </v>
      </c>
      <c r="I118" s="339" t="str">
        <f aca="false">IF((F118&lt;&gt;0),IF((D118&gt;0)," ",(I$1-A118))," ")</f>
        <v> </v>
      </c>
    </row>
    <row r="119" customFormat="false" ht="12.75" hidden="false" customHeight="false" outlineLevel="0" collapsed="false">
      <c r="A119" s="355"/>
      <c r="H119" s="338" t="str">
        <f aca="false">IF((F119&lt;&gt;0),IF((D119&gt;0)," ",F119)," ")</f>
        <v> </v>
      </c>
      <c r="I119" s="339" t="str">
        <f aca="false">IF((F119&lt;&gt;0),IF((D119&gt;0)," ",(I$1-A119))," ")</f>
        <v> </v>
      </c>
    </row>
    <row r="120" customFormat="false" ht="12.75" hidden="false" customHeight="false" outlineLevel="0" collapsed="false">
      <c r="A120" s="355"/>
      <c r="H120" s="338" t="str">
        <f aca="false">IF((F120&lt;&gt;0),IF((D120&gt;0)," ",F120)," ")</f>
        <v> </v>
      </c>
      <c r="I120" s="339" t="str">
        <f aca="false">IF((F120&lt;&gt;0),IF((D120&gt;0)," ",(I$1-A120))," ")</f>
        <v> </v>
      </c>
    </row>
    <row r="121" customFormat="false" ht="12.75" hidden="false" customHeight="false" outlineLevel="0" collapsed="false">
      <c r="A121" s="355"/>
      <c r="H121" s="338" t="str">
        <f aca="false">IF((F121&lt;&gt;0),IF((D121&gt;0)," ",F121)," ")</f>
        <v> </v>
      </c>
      <c r="I121" s="339" t="str">
        <f aca="false">IF((F121&lt;&gt;0),IF((D121&gt;0)," ",(I$1-A121))," ")</f>
        <v> </v>
      </c>
    </row>
    <row r="122" customFormat="false" ht="12.75" hidden="false" customHeight="false" outlineLevel="0" collapsed="false">
      <c r="A122" s="355"/>
      <c r="H122" s="338" t="str">
        <f aca="false">IF((F122&lt;&gt;0),IF((D122&gt;0)," ",F122)," ")</f>
        <v> </v>
      </c>
      <c r="I122" s="339" t="str">
        <f aca="false">IF((F122&lt;&gt;0),IF((D122&gt;0)," ",(I$1-A122))," ")</f>
        <v> </v>
      </c>
    </row>
    <row r="123" customFormat="false" ht="12.75" hidden="false" customHeight="false" outlineLevel="0" collapsed="false">
      <c r="A123" s="355"/>
      <c r="H123" s="338" t="str">
        <f aca="false">IF((F123&lt;&gt;0),IF((D123&gt;0)," ",F123)," ")</f>
        <v> </v>
      </c>
      <c r="I123" s="339" t="str">
        <f aca="false">IF((F123&lt;&gt;0),IF((D123&gt;0)," ",(I$1-A123))," ")</f>
        <v> </v>
      </c>
    </row>
    <row r="124" customFormat="false" ht="12.75" hidden="false" customHeight="false" outlineLevel="0" collapsed="false">
      <c r="A124" s="355"/>
      <c r="H124" s="338" t="str">
        <f aca="false">IF((F124&lt;&gt;0),IF((D124&gt;0)," ",F124)," ")</f>
        <v> </v>
      </c>
      <c r="I124" s="339" t="str">
        <f aca="false">IF((F124&lt;&gt;0),IF((D124&gt;0)," ",(I$1-A124))," ")</f>
        <v> </v>
      </c>
    </row>
    <row r="125" customFormat="false" ht="12.75" hidden="false" customHeight="false" outlineLevel="0" collapsed="false">
      <c r="A125" s="355"/>
      <c r="H125" s="338" t="str">
        <f aca="false">IF((F125&lt;&gt;0),IF((D125&gt;0)," ",F125)," ")</f>
        <v> </v>
      </c>
      <c r="I125" s="339" t="str">
        <f aca="false">IF((F125&lt;&gt;0),IF((D125&gt;0)," ",(I$1-A125))," ")</f>
        <v> </v>
      </c>
    </row>
    <row r="126" customFormat="false" ht="12.75" hidden="false" customHeight="false" outlineLevel="0" collapsed="false">
      <c r="A126" s="355"/>
      <c r="H126" s="338" t="str">
        <f aca="false">IF((F126&lt;&gt;0),IF((D126&gt;0)," ",F126)," ")</f>
        <v> </v>
      </c>
      <c r="I126" s="339" t="str">
        <f aca="false">IF((F126&lt;&gt;0),IF((D126&gt;0)," ",(I$1-A126))," ")</f>
        <v> </v>
      </c>
    </row>
    <row r="127" customFormat="false" ht="12.75" hidden="false" customHeight="false" outlineLevel="0" collapsed="false">
      <c r="A127" s="355"/>
      <c r="H127" s="338" t="str">
        <f aca="false">IF((F127&lt;&gt;0),IF((D127&gt;0)," ",F127)," ")</f>
        <v> </v>
      </c>
      <c r="I127" s="339" t="str">
        <f aca="false">IF((F127&lt;&gt;0),IF((D127&gt;0)," ",(I$1-A127))," ")</f>
        <v> </v>
      </c>
    </row>
    <row r="128" customFormat="false" ht="12.75" hidden="false" customHeight="false" outlineLevel="0" collapsed="false">
      <c r="A128" s="355"/>
      <c r="H128" s="338" t="str">
        <f aca="false">IF((F128&lt;&gt;0),IF((D128&gt;0)," ",F128)," ")</f>
        <v> </v>
      </c>
      <c r="I128" s="339" t="str">
        <f aca="false">IF((F128&lt;&gt;0),IF((D128&gt;0)," ",(I$1-A128))," ")</f>
        <v> </v>
      </c>
    </row>
    <row r="129" customFormat="false" ht="12.75" hidden="false" customHeight="false" outlineLevel="0" collapsed="false">
      <c r="A129" s="355"/>
      <c r="H129" s="338" t="str">
        <f aca="false">IF((F129&lt;&gt;0),IF((D129&gt;0)," ",F129)," ")</f>
        <v> </v>
      </c>
      <c r="I129" s="339" t="str">
        <f aca="false">IF((F129&lt;&gt;0),IF((D129&gt;0)," ",(I$1-A129))," ")</f>
        <v> </v>
      </c>
    </row>
    <row r="130" customFormat="false" ht="12.75" hidden="false" customHeight="false" outlineLevel="0" collapsed="false">
      <c r="A130" s="355"/>
      <c r="H130" s="338" t="str">
        <f aca="false">IF((F130&lt;&gt;0),IF((D130&gt;0)," ",F130)," ")</f>
        <v> </v>
      </c>
      <c r="I130" s="339" t="str">
        <f aca="false">IF((F130&lt;&gt;0),IF((D130&gt;0)," ",(I$1-A130))," ")</f>
        <v> </v>
      </c>
    </row>
    <row r="131" customFormat="false" ht="12.75" hidden="false" customHeight="false" outlineLevel="0" collapsed="false">
      <c r="A131" s="355"/>
      <c r="H131" s="338" t="str">
        <f aca="false">IF((F131&lt;&gt;0),IF((D131&gt;0)," ",F131)," ")</f>
        <v> </v>
      </c>
      <c r="I131" s="339" t="str">
        <f aca="false">IF((F131&lt;&gt;0),IF((D131&gt;0)," ",(I$1-A131))," ")</f>
        <v> </v>
      </c>
    </row>
    <row r="132" customFormat="false" ht="12.75" hidden="false" customHeight="false" outlineLevel="0" collapsed="false">
      <c r="A132" s="355"/>
      <c r="H132" s="338" t="str">
        <f aca="false">IF((F132&lt;&gt;0),IF((D132&gt;0)," ",F132)," ")</f>
        <v> </v>
      </c>
      <c r="I132" s="339" t="str">
        <f aca="false">IF((F132&lt;&gt;0),IF((D132&gt;0)," ",(I$1-A132))," ")</f>
        <v> </v>
      </c>
    </row>
    <row r="133" customFormat="false" ht="12.75" hidden="false" customHeight="false" outlineLevel="0" collapsed="false">
      <c r="A133" s="355"/>
      <c r="H133" s="338" t="str">
        <f aca="false">IF((F133&lt;&gt;0),IF((D133&gt;0)," ",F133)," ")</f>
        <v> </v>
      </c>
      <c r="I133" s="339" t="str">
        <f aca="false">IF((F133&lt;&gt;0),IF((D133&gt;0)," ",(I$1-A133))," ")</f>
        <v> </v>
      </c>
    </row>
    <row r="134" customFormat="false" ht="12.75" hidden="false" customHeight="false" outlineLevel="0" collapsed="false">
      <c r="A134" s="355"/>
      <c r="H134" s="338" t="str">
        <f aca="false">IF((F134&lt;&gt;0),IF((D134&gt;0)," ",F134)," ")</f>
        <v> </v>
      </c>
      <c r="I134" s="339" t="str">
        <f aca="false">IF((F134&lt;&gt;0),IF((D134&gt;0)," ",(I$1-A134))," ")</f>
        <v> </v>
      </c>
    </row>
    <row r="135" customFormat="false" ht="12.75" hidden="false" customHeight="false" outlineLevel="0" collapsed="false">
      <c r="A135" s="355"/>
      <c r="H135" s="338" t="str">
        <f aca="false">IF((F135&lt;&gt;0),IF((D135&gt;0)," ",F135)," ")</f>
        <v> </v>
      </c>
      <c r="I135" s="339" t="str">
        <f aca="false">IF((F135&lt;&gt;0),IF((D135&gt;0)," ",(I$1-A135))," ")</f>
        <v> </v>
      </c>
    </row>
    <row r="136" customFormat="false" ht="12.75" hidden="false" customHeight="false" outlineLevel="0" collapsed="false">
      <c r="A136" s="355"/>
      <c r="H136" s="338" t="str">
        <f aca="false">IF((F136&lt;&gt;0),IF((D136&gt;0)," ",F136)," ")</f>
        <v> </v>
      </c>
      <c r="I136" s="339" t="str">
        <f aca="false">IF((F136&lt;&gt;0),IF((D136&gt;0)," ",(I$1-A136))," ")</f>
        <v> </v>
      </c>
    </row>
    <row r="137" customFormat="false" ht="12.75" hidden="false" customHeight="false" outlineLevel="0" collapsed="false">
      <c r="A137" s="355"/>
      <c r="H137" s="338" t="str">
        <f aca="false">IF((F137&lt;&gt;0),IF((D137&gt;0)," ",F137)," ")</f>
        <v> </v>
      </c>
      <c r="I137" s="339" t="str">
        <f aca="false">IF((F137&lt;&gt;0),IF((D137&gt;0)," ",(I$1-A137))," ")</f>
        <v> </v>
      </c>
    </row>
    <row r="138" customFormat="false" ht="12.75" hidden="false" customHeight="false" outlineLevel="0" collapsed="false">
      <c r="A138" s="355"/>
      <c r="H138" s="338" t="str">
        <f aca="false">IF((F138&lt;&gt;0),IF((D138&gt;0)," ",F138)," ")</f>
        <v> </v>
      </c>
      <c r="I138" s="339" t="str">
        <f aca="false">IF((F138&lt;&gt;0),IF((D138&gt;0)," ",(I$1-A138))," ")</f>
        <v> </v>
      </c>
    </row>
    <row r="139" customFormat="false" ht="12.75" hidden="false" customHeight="false" outlineLevel="0" collapsed="false">
      <c r="A139" s="355"/>
      <c r="H139" s="338" t="str">
        <f aca="false">IF((F139&lt;&gt;0),IF((D139&gt;0)," ",F139)," ")</f>
        <v> </v>
      </c>
      <c r="I139" s="339" t="str">
        <f aca="false">IF((F139&lt;&gt;0),IF((D139&gt;0)," ",(I$1-A139))," ")</f>
        <v> </v>
      </c>
    </row>
    <row r="140" customFormat="false" ht="12.75" hidden="false" customHeight="false" outlineLevel="0" collapsed="false">
      <c r="A140" s="355"/>
      <c r="H140" s="338" t="str">
        <f aca="false">IF((F140&lt;&gt;0),IF((D140&gt;0)," ",F140)," ")</f>
        <v> </v>
      </c>
      <c r="I140" s="339" t="str">
        <f aca="false">IF((F140&lt;&gt;0),IF((D140&gt;0)," ",(I$1-A140))," ")</f>
        <v> </v>
      </c>
    </row>
    <row r="141" customFormat="false" ht="12.75" hidden="false" customHeight="false" outlineLevel="0" collapsed="false">
      <c r="A141" s="355"/>
      <c r="H141" s="338" t="str">
        <f aca="false">IF((F141&lt;&gt;0),IF((D141&gt;0)," ",F141)," ")</f>
        <v> </v>
      </c>
      <c r="I141" s="339" t="str">
        <f aca="false">IF((F141&lt;&gt;0),IF((D141&gt;0)," ",(I$1-A141))," ")</f>
        <v> </v>
      </c>
    </row>
    <row r="142" customFormat="false" ht="12.75" hidden="false" customHeight="false" outlineLevel="0" collapsed="false">
      <c r="A142" s="355"/>
      <c r="H142" s="338" t="str">
        <f aca="false">IF((F142&lt;&gt;0),IF((D142&gt;0)," ",F142)," ")</f>
        <v> </v>
      </c>
      <c r="I142" s="339" t="str">
        <f aca="false">IF((F142&lt;&gt;0),IF((D142&gt;0)," ",(I$1-A142))," ")</f>
        <v> </v>
      </c>
    </row>
    <row r="143" customFormat="false" ht="12.75" hidden="false" customHeight="false" outlineLevel="0" collapsed="false">
      <c r="A143" s="355"/>
      <c r="H143" s="338" t="str">
        <f aca="false">IF((F143&lt;&gt;0),IF((D143&gt;0)," ",F143)," ")</f>
        <v> </v>
      </c>
      <c r="I143" s="339" t="str">
        <f aca="false">IF((F143&lt;&gt;0),IF((D143&gt;0)," ",(I$1-A143))," ")</f>
        <v> </v>
      </c>
    </row>
    <row r="144" customFormat="false" ht="12.75" hidden="false" customHeight="false" outlineLevel="0" collapsed="false">
      <c r="A144" s="355"/>
      <c r="H144" s="338" t="str">
        <f aca="false">IF((F144&lt;&gt;0),IF((D144&gt;0)," ",F144)," ")</f>
        <v> </v>
      </c>
      <c r="I144" s="339" t="str">
        <f aca="false">IF((F144&lt;&gt;0),IF((D144&gt;0)," ",(I$1-A144))," ")</f>
        <v> </v>
      </c>
    </row>
    <row r="145" customFormat="false" ht="12.75" hidden="false" customHeight="false" outlineLevel="0" collapsed="false">
      <c r="A145" s="355"/>
      <c r="H145" s="338" t="str">
        <f aca="false">IF((F145&lt;&gt;0),IF((D145&gt;0)," ",F145)," ")</f>
        <v> </v>
      </c>
      <c r="I145" s="339" t="str">
        <f aca="false">IF((F145&lt;&gt;0),IF((D145&gt;0)," ",(I$1-A145))," ")</f>
        <v> </v>
      </c>
    </row>
    <row r="146" customFormat="false" ht="12.75" hidden="false" customHeight="false" outlineLevel="0" collapsed="false">
      <c r="A146" s="355"/>
      <c r="H146" s="338" t="str">
        <f aca="false">IF((F146&lt;&gt;0),IF((D146&gt;0)," ",F146)," ")</f>
        <v> </v>
      </c>
      <c r="I146" s="339" t="str">
        <f aca="false">IF((F146&lt;&gt;0),IF((D146&gt;0)," ",(I$1-A146))," ")</f>
        <v> </v>
      </c>
    </row>
    <row r="147" customFormat="false" ht="12.75" hidden="false" customHeight="false" outlineLevel="0" collapsed="false">
      <c r="A147" s="355"/>
      <c r="H147" s="338" t="str">
        <f aca="false">IF((F147&lt;&gt;0),IF((D147&gt;0)," ",F147)," ")</f>
        <v> </v>
      </c>
      <c r="I147" s="339" t="str">
        <f aca="false">IF((F147&lt;&gt;0),IF((D147&gt;0)," ",(I$1-A147))," ")</f>
        <v> </v>
      </c>
    </row>
    <row r="148" customFormat="false" ht="12.75" hidden="false" customHeight="false" outlineLevel="0" collapsed="false">
      <c r="A148" s="355"/>
      <c r="H148" s="338" t="str">
        <f aca="false">IF((F148&lt;&gt;0),IF((D148&gt;0)," ",F148)," ")</f>
        <v> </v>
      </c>
      <c r="I148" s="339" t="str">
        <f aca="false">IF((F148&lt;&gt;0),IF((D148&gt;0)," ",(I$1-A148))," ")</f>
        <v> </v>
      </c>
    </row>
    <row r="149" customFormat="false" ht="12.75" hidden="false" customHeight="false" outlineLevel="0" collapsed="false">
      <c r="A149" s="355"/>
      <c r="H149" s="338" t="str">
        <f aca="false">IF((F149&lt;&gt;0),IF((D149&gt;0)," ",F149)," ")</f>
        <v> </v>
      </c>
      <c r="I149" s="339" t="str">
        <f aca="false">IF((F149&lt;&gt;0),IF((D149&gt;0)," ",(I$1-A149))," ")</f>
        <v> </v>
      </c>
    </row>
    <row r="150" customFormat="false" ht="12.75" hidden="false" customHeight="false" outlineLevel="0" collapsed="false">
      <c r="A150" s="355"/>
      <c r="H150" s="338" t="str">
        <f aca="false">IF((F150&lt;&gt;0),IF((D150&gt;0)," ",F150)," ")</f>
        <v> </v>
      </c>
      <c r="I150" s="339" t="str">
        <f aca="false">IF((F150&lt;&gt;0),IF((D150&gt;0)," ",(I$1-A150))," ")</f>
        <v> </v>
      </c>
    </row>
    <row r="151" customFormat="false" ht="12.75" hidden="false" customHeight="false" outlineLevel="0" collapsed="false">
      <c r="A151" s="355"/>
      <c r="H151" s="338" t="str">
        <f aca="false">IF((F151&lt;&gt;0),IF((D151&gt;0)," ",F151)," ")</f>
        <v> </v>
      </c>
      <c r="I151" s="339" t="str">
        <f aca="false">IF((F151&lt;&gt;0),IF((D151&gt;0)," ",(I$1-A151))," ")</f>
        <v> </v>
      </c>
    </row>
    <row r="152" customFormat="false" ht="12.75" hidden="false" customHeight="false" outlineLevel="0" collapsed="false">
      <c r="A152" s="355"/>
      <c r="H152" s="338" t="str">
        <f aca="false">IF((F152&lt;&gt;0),IF((D152&gt;0)," ",F152)," ")</f>
        <v> </v>
      </c>
      <c r="I152" s="339" t="str">
        <f aca="false">IF((F152&lt;&gt;0),IF((D152&gt;0)," ",(I$1-A152))," ")</f>
        <v> </v>
      </c>
    </row>
    <row r="153" customFormat="false" ht="12.75" hidden="false" customHeight="false" outlineLevel="0" collapsed="false">
      <c r="A153" s="355"/>
      <c r="H153" s="338" t="str">
        <f aca="false">IF((F153&lt;&gt;0),IF((D153&gt;0)," ",F153)," ")</f>
        <v> </v>
      </c>
      <c r="I153" s="339" t="str">
        <f aca="false">IF((F153&lt;&gt;0),IF((D153&gt;0)," ",(I$1-A153))," ")</f>
        <v> </v>
      </c>
    </row>
    <row r="154" customFormat="false" ht="12.75" hidden="false" customHeight="false" outlineLevel="0" collapsed="false">
      <c r="A154" s="355"/>
      <c r="H154" s="338" t="str">
        <f aca="false">IF((F154&lt;&gt;0),IF((D154&gt;0)," ",F154)," ")</f>
        <v> </v>
      </c>
      <c r="I154" s="339" t="str">
        <f aca="false">IF((F154&lt;&gt;0),IF((D154&gt;0)," ",(I$1-A154))," ")</f>
        <v> </v>
      </c>
    </row>
    <row r="155" customFormat="false" ht="12.75" hidden="false" customHeight="false" outlineLevel="0" collapsed="false">
      <c r="A155" s="355"/>
      <c r="H155" s="338" t="str">
        <f aca="false">IF((F155&lt;&gt;0),IF((D155&gt;0)," ",F155)," ")</f>
        <v> </v>
      </c>
      <c r="I155" s="339" t="str">
        <f aca="false">IF((F155&lt;&gt;0),IF((D155&gt;0)," ",(I$1-A155))," ")</f>
        <v> </v>
      </c>
    </row>
    <row r="156" customFormat="false" ht="12.75" hidden="false" customHeight="false" outlineLevel="0" collapsed="false">
      <c r="A156" s="355"/>
      <c r="H156" s="338" t="str">
        <f aca="false">IF((F156&lt;&gt;0),IF((D156&gt;0)," ",F156)," ")</f>
        <v> </v>
      </c>
      <c r="I156" s="339" t="str">
        <f aca="false">IF((F156&lt;&gt;0),IF((D156&gt;0)," ",(I$1-A156))," ")</f>
        <v> </v>
      </c>
    </row>
    <row r="157" customFormat="false" ht="12.75" hidden="false" customHeight="false" outlineLevel="0" collapsed="false">
      <c r="A157" s="355"/>
      <c r="H157" s="338" t="str">
        <f aca="false">IF((F157&lt;&gt;0),IF((D157&gt;0)," ",F157)," ")</f>
        <v> </v>
      </c>
      <c r="I157" s="339" t="str">
        <f aca="false">IF((F157&lt;&gt;0),IF((D157&gt;0)," ",(I$1-A157))," ")</f>
        <v> </v>
      </c>
    </row>
    <row r="158" customFormat="false" ht="12.75" hidden="false" customHeight="false" outlineLevel="0" collapsed="false">
      <c r="A158" s="355"/>
      <c r="H158" s="338" t="str">
        <f aca="false">IF((F158&lt;&gt;0),IF((D158&gt;0)," ",F158)," ")</f>
        <v> </v>
      </c>
      <c r="I158" s="339" t="str">
        <f aca="false">IF((F158&lt;&gt;0),IF((D158&gt;0)," ",(I$1-A158))," ")</f>
        <v> </v>
      </c>
    </row>
    <row r="159" customFormat="false" ht="12.75" hidden="false" customHeight="false" outlineLevel="0" collapsed="false">
      <c r="A159" s="355"/>
      <c r="H159" s="338" t="str">
        <f aca="false">IF((F159&lt;&gt;0),IF((D159&gt;0)," ",F159)," ")</f>
        <v> </v>
      </c>
      <c r="I159" s="339" t="str">
        <f aca="false">IF((F159&lt;&gt;0),IF((D159&gt;0)," ",(I$1-A159))," ")</f>
        <v> </v>
      </c>
    </row>
    <row r="160" customFormat="false" ht="12.75" hidden="false" customHeight="false" outlineLevel="0" collapsed="false">
      <c r="A160" s="355"/>
      <c r="H160" s="338" t="str">
        <f aca="false">IF((F160&lt;&gt;0),IF((D160&gt;0)," ",F160)," ")</f>
        <v> </v>
      </c>
      <c r="I160" s="339" t="str">
        <f aca="false">IF((F160&lt;&gt;0),IF((D160&gt;0)," ",(I$1-A160))," ")</f>
        <v> </v>
      </c>
    </row>
    <row r="161" customFormat="false" ht="12.75" hidden="false" customHeight="false" outlineLevel="0" collapsed="false">
      <c r="A161" s="355"/>
      <c r="H161" s="338" t="str">
        <f aca="false">IF((F161&lt;&gt;0),IF((D161&gt;0)," ",F161)," ")</f>
        <v> </v>
      </c>
      <c r="I161" s="339" t="str">
        <f aca="false">IF((F161&lt;&gt;0),IF((D161&gt;0)," ",(I$1-A161))," ")</f>
        <v> </v>
      </c>
    </row>
    <row r="162" customFormat="false" ht="12.75" hidden="false" customHeight="false" outlineLevel="0" collapsed="false">
      <c r="A162" s="355"/>
      <c r="H162" s="338" t="str">
        <f aca="false">IF((F162&lt;&gt;0),IF((D162&gt;0)," ",F162)," ")</f>
        <v> </v>
      </c>
      <c r="I162" s="339" t="str">
        <f aca="false">IF((F162&lt;&gt;0),IF((D162&gt;0)," ",(I$1-A162))," ")</f>
        <v> </v>
      </c>
    </row>
    <row r="163" customFormat="false" ht="12.75" hidden="false" customHeight="false" outlineLevel="0" collapsed="false">
      <c r="A163" s="355"/>
      <c r="H163" s="338" t="str">
        <f aca="false">IF((F163&lt;&gt;0),IF((D163&gt;0)," ",F163)," ")</f>
        <v> </v>
      </c>
      <c r="I163" s="339" t="str">
        <f aca="false">IF((F163&lt;&gt;0),IF((D163&gt;0)," ",(I$1-A163))," ")</f>
        <v> </v>
      </c>
    </row>
    <row r="164" customFormat="false" ht="12.75" hidden="false" customHeight="false" outlineLevel="0" collapsed="false">
      <c r="A164" s="355"/>
      <c r="H164" s="338" t="str">
        <f aca="false">IF((F164&lt;&gt;0),IF((D164&gt;0)," ",F164)," ")</f>
        <v> </v>
      </c>
      <c r="I164" s="339" t="str">
        <f aca="false">IF((F164&lt;&gt;0),IF((D164&gt;0)," ",(I$1-A164))," ")</f>
        <v> </v>
      </c>
    </row>
    <row r="165" customFormat="false" ht="12.75" hidden="false" customHeight="false" outlineLevel="0" collapsed="false">
      <c r="A165" s="355"/>
      <c r="H165" s="338" t="str">
        <f aca="false">IF((F165&lt;&gt;0),IF((D165&gt;0)," ",F165)," ")</f>
        <v> </v>
      </c>
      <c r="I165" s="339" t="str">
        <f aca="false">IF((F165&lt;&gt;0),IF((D165&gt;0)," ",(I$1-A165))," ")</f>
        <v> </v>
      </c>
    </row>
    <row r="166" customFormat="false" ht="12.75" hidden="false" customHeight="false" outlineLevel="0" collapsed="false">
      <c r="A166" s="355"/>
      <c r="H166" s="338" t="str">
        <f aca="false">IF((F166&lt;&gt;0),IF((D166&gt;0)," ",F166)," ")</f>
        <v> </v>
      </c>
      <c r="I166" s="339" t="str">
        <f aca="false">IF((F166&lt;&gt;0),IF((D166&gt;0)," ",(I$1-A166))," ")</f>
        <v> </v>
      </c>
    </row>
    <row r="167" customFormat="false" ht="12.75" hidden="false" customHeight="false" outlineLevel="0" collapsed="false">
      <c r="A167" s="355"/>
      <c r="H167" s="338" t="str">
        <f aca="false">IF((F167&lt;&gt;0),IF((D167&gt;0)," ",F167)," ")</f>
        <v> </v>
      </c>
      <c r="I167" s="339" t="str">
        <f aca="false">IF((F167&lt;&gt;0),IF((D167&gt;0)," ",(I$1-A167))," ")</f>
        <v> </v>
      </c>
    </row>
    <row r="168" customFormat="false" ht="12.75" hidden="false" customHeight="false" outlineLevel="0" collapsed="false">
      <c r="A168" s="355"/>
      <c r="H168" s="338" t="str">
        <f aca="false">IF((F168&lt;&gt;0),IF((D168&gt;0)," ",F168)," ")</f>
        <v> </v>
      </c>
      <c r="I168" s="339" t="str">
        <f aca="false">IF((F168&lt;&gt;0),IF((D168&gt;0)," ",(I$1-A168))," ")</f>
        <v> </v>
      </c>
    </row>
    <row r="169" customFormat="false" ht="12.75" hidden="false" customHeight="false" outlineLevel="0" collapsed="false">
      <c r="A169" s="355"/>
      <c r="H169" s="338" t="str">
        <f aca="false">IF((F169&lt;&gt;0),IF((D169&gt;0)," ",F169)," ")</f>
        <v> </v>
      </c>
      <c r="I169" s="339" t="str">
        <f aca="false">IF((F169&lt;&gt;0),IF((D169&gt;0)," ",(I$1-A169))," ")</f>
        <v> </v>
      </c>
    </row>
    <row r="170" customFormat="false" ht="12.75" hidden="false" customHeight="false" outlineLevel="0" collapsed="false">
      <c r="A170" s="355"/>
      <c r="H170" s="338" t="str">
        <f aca="false">IF((F170&lt;&gt;0),IF((D170&gt;0)," ",F170)," ")</f>
        <v> </v>
      </c>
      <c r="I170" s="339" t="str">
        <f aca="false">IF((F170&lt;&gt;0),IF((D170&gt;0)," ",(I$1-A170))," ")</f>
        <v> </v>
      </c>
    </row>
    <row r="171" customFormat="false" ht="12.75" hidden="false" customHeight="false" outlineLevel="0" collapsed="false">
      <c r="A171" s="355"/>
      <c r="H171" s="338" t="str">
        <f aca="false">IF((F171&lt;&gt;0),IF((D171&gt;0)," ",F171)," ")</f>
        <v> </v>
      </c>
      <c r="I171" s="339" t="str">
        <f aca="false">IF((F171&lt;&gt;0),IF((D171&gt;0)," ",(I$1-A171))," ")</f>
        <v> </v>
      </c>
    </row>
    <row r="172" customFormat="false" ht="12.75" hidden="false" customHeight="false" outlineLevel="0" collapsed="false">
      <c r="A172" s="355"/>
      <c r="H172" s="338" t="str">
        <f aca="false">IF((F172&lt;&gt;0),IF((D172&gt;0)," ",F172)," ")</f>
        <v> </v>
      </c>
      <c r="I172" s="339" t="str">
        <f aca="false">IF((F172&lt;&gt;0),IF((D172&gt;0)," ",(I$1-A172))," ")</f>
        <v> </v>
      </c>
    </row>
    <row r="173" customFormat="false" ht="12.75" hidden="false" customHeight="false" outlineLevel="0" collapsed="false">
      <c r="A173" s="355"/>
      <c r="H173" s="338" t="str">
        <f aca="false">IF((F173&lt;&gt;0),IF((D173&gt;0)," ",F173)," ")</f>
        <v> </v>
      </c>
      <c r="I173" s="339" t="str">
        <f aca="false">IF((F173&lt;&gt;0),IF((D173&gt;0)," ",(I$1-A173))," ")</f>
        <v> </v>
      </c>
    </row>
    <row r="174" customFormat="false" ht="12.75" hidden="false" customHeight="false" outlineLevel="0" collapsed="false">
      <c r="A174" s="355"/>
      <c r="H174" s="338" t="str">
        <f aca="false">IF((F174&lt;&gt;0),IF((D174&gt;0)," ",F174)," ")</f>
        <v> </v>
      </c>
      <c r="I174" s="339" t="str">
        <f aca="false">IF((F174&lt;&gt;0),IF((D174&gt;0)," ",(I$1-A174))," ")</f>
        <v> </v>
      </c>
    </row>
    <row r="175" customFormat="false" ht="12.75" hidden="false" customHeight="false" outlineLevel="0" collapsed="false">
      <c r="A175" s="355"/>
      <c r="H175" s="338" t="str">
        <f aca="false">IF((F175&lt;&gt;0),IF((D175&gt;0)," ",F175)," ")</f>
        <v> </v>
      </c>
      <c r="I175" s="339" t="str">
        <f aca="false">IF((F175&lt;&gt;0),IF((D175&gt;0)," ",(I$1-A175))," ")</f>
        <v> </v>
      </c>
    </row>
    <row r="176" customFormat="false" ht="12.75" hidden="false" customHeight="false" outlineLevel="0" collapsed="false">
      <c r="A176" s="355"/>
      <c r="H176" s="338" t="str">
        <f aca="false">IF((F176&lt;&gt;0),IF((D176&gt;0)," ",F176)," ")</f>
        <v> </v>
      </c>
      <c r="I176" s="339" t="str">
        <f aca="false">IF((F176&lt;&gt;0),IF((D176&gt;0)," ",(I$1-A176))," ")</f>
        <v> </v>
      </c>
    </row>
    <row r="177" customFormat="false" ht="12.75" hidden="false" customHeight="false" outlineLevel="0" collapsed="false">
      <c r="A177" s="355"/>
      <c r="H177" s="338" t="str">
        <f aca="false">IF((F177&lt;&gt;0),IF((D177&gt;0)," ",F177)," ")</f>
        <v> </v>
      </c>
      <c r="I177" s="339" t="str">
        <f aca="false">IF((F177&lt;&gt;0),IF((D177&gt;0)," ",(I$1-A177))," ")</f>
        <v> </v>
      </c>
    </row>
    <row r="178" customFormat="false" ht="12.75" hidden="false" customHeight="false" outlineLevel="0" collapsed="false">
      <c r="A178" s="355"/>
      <c r="H178" s="338" t="str">
        <f aca="false">IF((F178&lt;&gt;0),IF((D178&gt;0)," ",F178)," ")</f>
        <v> </v>
      </c>
      <c r="I178" s="339" t="str">
        <f aca="false">IF((F178&lt;&gt;0),IF((D178&gt;0)," ",(I$1-A178))," ")</f>
        <v> </v>
      </c>
    </row>
    <row r="179" customFormat="false" ht="12.75" hidden="false" customHeight="false" outlineLevel="0" collapsed="false">
      <c r="A179" s="355"/>
      <c r="H179" s="338" t="str">
        <f aca="false">IF((F179&lt;&gt;0),IF((D179&gt;0)," ",F179)," ")</f>
        <v> </v>
      </c>
      <c r="I179" s="339" t="str">
        <f aca="false">IF((F179&lt;&gt;0),IF((D179&gt;0)," ",(I$1-A179))," ")</f>
        <v> </v>
      </c>
    </row>
    <row r="180" customFormat="false" ht="12.75" hidden="false" customHeight="false" outlineLevel="0" collapsed="false">
      <c r="A180" s="355"/>
      <c r="H180" s="338" t="str">
        <f aca="false">IF((F180&lt;&gt;0),IF((D180&gt;0)," ",F180)," ")</f>
        <v> </v>
      </c>
      <c r="I180" s="339" t="str">
        <f aca="false">IF((F180&lt;&gt;0),IF((D180&gt;0)," ",(I$1-A180))," ")</f>
        <v> </v>
      </c>
    </row>
    <row r="181" customFormat="false" ht="12.75" hidden="false" customHeight="false" outlineLevel="0" collapsed="false">
      <c r="A181" s="355"/>
      <c r="H181" s="338" t="str">
        <f aca="false">IF((F181&lt;&gt;0),IF((D181&gt;0)," ",F181)," ")</f>
        <v> </v>
      </c>
      <c r="I181" s="339" t="str">
        <f aca="false">IF((F181&lt;&gt;0),IF((D181&gt;0)," ",(I$1-A181))," ")</f>
        <v> </v>
      </c>
    </row>
    <row r="182" customFormat="false" ht="12.75" hidden="false" customHeight="false" outlineLevel="0" collapsed="false">
      <c r="A182" s="355"/>
      <c r="H182" s="338" t="str">
        <f aca="false">IF((F182&lt;&gt;0),IF((D182&gt;0)," ",F182)," ")</f>
        <v> </v>
      </c>
      <c r="I182" s="339" t="str">
        <f aca="false">IF((F182&lt;&gt;0),IF((D182&gt;0)," ",(I$1-A182))," ")</f>
        <v> </v>
      </c>
    </row>
    <row r="183" customFormat="false" ht="12.75" hidden="false" customHeight="false" outlineLevel="0" collapsed="false">
      <c r="A183" s="355"/>
      <c r="H183" s="338" t="str">
        <f aca="false">IF((F183&lt;&gt;0),IF((D183&gt;0)," ",F183)," ")</f>
        <v> </v>
      </c>
      <c r="I183" s="339" t="str">
        <f aca="false">IF((F183&lt;&gt;0),IF((D183&gt;0)," ",(I$1-A183))," ")</f>
        <v> </v>
      </c>
    </row>
    <row r="184" customFormat="false" ht="12.75" hidden="false" customHeight="false" outlineLevel="0" collapsed="false">
      <c r="A184" s="355"/>
      <c r="H184" s="338" t="str">
        <f aca="false">IF((F184&lt;&gt;0),IF((D184&gt;0)," ",F184)," ")</f>
        <v> </v>
      </c>
      <c r="I184" s="339" t="str">
        <f aca="false">IF((F184&lt;&gt;0),IF((D184&gt;0)," ",(I$1-A184))," ")</f>
        <v> </v>
      </c>
    </row>
    <row r="185" customFormat="false" ht="12.75" hidden="false" customHeight="false" outlineLevel="0" collapsed="false">
      <c r="A185" s="355"/>
      <c r="H185" s="338" t="str">
        <f aca="false">IF((F185&lt;&gt;0),IF((D185&gt;0)," ",F185)," ")</f>
        <v> </v>
      </c>
      <c r="I185" s="339" t="str">
        <f aca="false">IF((F185&lt;&gt;0),IF((D185&gt;0)," ",(I$1-A185))," ")</f>
        <v> </v>
      </c>
    </row>
    <row r="186" customFormat="false" ht="12.75" hidden="false" customHeight="false" outlineLevel="0" collapsed="false">
      <c r="A186" s="355"/>
      <c r="H186" s="338" t="str">
        <f aca="false">IF((F186&lt;&gt;0),IF((D186&gt;0)," ",F186)," ")</f>
        <v> </v>
      </c>
      <c r="I186" s="339" t="str">
        <f aca="false">IF((F186&lt;&gt;0),IF((D186&gt;0)," ",(I$1-A186))," ")</f>
        <v> </v>
      </c>
    </row>
    <row r="187" customFormat="false" ht="12.75" hidden="false" customHeight="false" outlineLevel="0" collapsed="false">
      <c r="A187" s="355"/>
      <c r="H187" s="338" t="str">
        <f aca="false">IF((F187&lt;&gt;0),IF((D187&gt;0)," ",F187)," ")</f>
        <v> </v>
      </c>
      <c r="I187" s="339" t="str">
        <f aca="false">IF((F187&lt;&gt;0),IF((D187&gt;0)," ",(I$1-A187))," ")</f>
        <v> </v>
      </c>
    </row>
    <row r="188" customFormat="false" ht="12.75" hidden="false" customHeight="false" outlineLevel="0" collapsed="false">
      <c r="A188" s="355"/>
      <c r="H188" s="338" t="str">
        <f aca="false">IF((F188&lt;&gt;0),IF((D188&gt;0)," ",F188)," ")</f>
        <v> </v>
      </c>
      <c r="I188" s="339" t="str">
        <f aca="false">IF((F188&lt;&gt;0),IF((D188&gt;0)," ",(I$1-A188))," ")</f>
        <v> </v>
      </c>
    </row>
    <row r="189" customFormat="false" ht="12.75" hidden="false" customHeight="false" outlineLevel="0" collapsed="false">
      <c r="A189" s="355"/>
      <c r="H189" s="338" t="str">
        <f aca="false">IF((F189&lt;&gt;0),IF((D189&gt;0)," ",F189)," ")</f>
        <v> </v>
      </c>
      <c r="I189" s="339" t="str">
        <f aca="false">IF((F189&lt;&gt;0),IF((D189&gt;0)," ",(I$1-A189))," ")</f>
        <v> </v>
      </c>
    </row>
    <row r="190" customFormat="false" ht="12.75" hidden="false" customHeight="false" outlineLevel="0" collapsed="false">
      <c r="A190" s="355"/>
      <c r="H190" s="338" t="str">
        <f aca="false">IF((F190&lt;&gt;0),IF((D190&gt;0)," ",F190)," ")</f>
        <v> </v>
      </c>
      <c r="I190" s="339" t="str">
        <f aca="false">IF((F190&lt;&gt;0),IF((D190&gt;0)," ",(I$1-A190))," ")</f>
        <v> </v>
      </c>
    </row>
    <row r="191" customFormat="false" ht="12.75" hidden="false" customHeight="false" outlineLevel="0" collapsed="false">
      <c r="A191" s="355"/>
      <c r="H191" s="338" t="str">
        <f aca="false">IF((F191&lt;&gt;0),IF((D191&gt;0)," ",F191)," ")</f>
        <v> </v>
      </c>
      <c r="I191" s="339" t="str">
        <f aca="false">IF((F191&lt;&gt;0),IF((D191&gt;0)," ",(I$1-A191))," ")</f>
        <v> </v>
      </c>
    </row>
    <row r="192" customFormat="false" ht="12.75" hidden="false" customHeight="false" outlineLevel="0" collapsed="false">
      <c r="A192" s="355"/>
      <c r="H192" s="338" t="str">
        <f aca="false">IF((F192&lt;&gt;0),IF((D192&gt;0)," ",F192)," ")</f>
        <v> </v>
      </c>
      <c r="I192" s="339" t="str">
        <f aca="false">IF((F192&lt;&gt;0),IF((D192&gt;0)," ",(I$1-A192))," ")</f>
        <v> </v>
      </c>
    </row>
    <row r="193" customFormat="false" ht="12.75" hidden="false" customHeight="false" outlineLevel="0" collapsed="false">
      <c r="A193" s="355"/>
      <c r="H193" s="338" t="str">
        <f aca="false">IF((F193&lt;&gt;0),IF((D193&gt;0)," ",F193)," ")</f>
        <v> </v>
      </c>
      <c r="I193" s="339" t="str">
        <f aca="false">IF((F193&lt;&gt;0),IF((D193&gt;0)," ",(I$1-A193))," ")</f>
        <v> </v>
      </c>
    </row>
    <row r="194" customFormat="false" ht="12.75" hidden="false" customHeight="false" outlineLevel="0" collapsed="false">
      <c r="A194" s="355"/>
      <c r="H194" s="338" t="str">
        <f aca="false">IF((F194&lt;&gt;0),IF((D194&gt;0)," ",F194)," ")</f>
        <v> </v>
      </c>
      <c r="I194" s="339" t="str">
        <f aca="false">IF((F194&lt;&gt;0),IF((D194&gt;0)," ",(I$1-A194))," ")</f>
        <v> </v>
      </c>
    </row>
    <row r="195" customFormat="false" ht="12.75" hidden="false" customHeight="false" outlineLevel="0" collapsed="false">
      <c r="A195" s="355"/>
      <c r="H195" s="338" t="str">
        <f aca="false">IF((F195&lt;&gt;0),IF((D195&gt;0)," ",F195)," ")</f>
        <v> </v>
      </c>
      <c r="I195" s="339" t="str">
        <f aca="false">IF((F195&lt;&gt;0),IF((D195&gt;0)," ",(I$1-A195))," ")</f>
        <v> </v>
      </c>
    </row>
    <row r="196" customFormat="false" ht="12.75" hidden="false" customHeight="false" outlineLevel="0" collapsed="false">
      <c r="A196" s="355"/>
      <c r="H196" s="338" t="str">
        <f aca="false">IF((F196&lt;&gt;0),IF((D196&gt;0)," ",F196)," ")</f>
        <v> </v>
      </c>
      <c r="I196" s="339" t="str">
        <f aca="false">IF((F196&lt;&gt;0),IF((D196&gt;0)," ",(I$1-A196))," ")</f>
        <v> </v>
      </c>
    </row>
    <row r="197" customFormat="false" ht="12.75" hidden="false" customHeight="false" outlineLevel="0" collapsed="false">
      <c r="A197" s="355"/>
      <c r="H197" s="338" t="str">
        <f aca="false">IF((F197&lt;&gt;0),IF((D197&gt;0)," ",F197)," ")</f>
        <v> </v>
      </c>
      <c r="I197" s="339" t="str">
        <f aca="false">IF((F197&lt;&gt;0),IF((D197&gt;0)," ",(I$1-A197))," ")</f>
        <v> </v>
      </c>
    </row>
    <row r="198" customFormat="false" ht="12.75" hidden="false" customHeight="false" outlineLevel="0" collapsed="false">
      <c r="A198" s="355"/>
      <c r="H198" s="338" t="str">
        <f aca="false">IF((F198&lt;&gt;0),IF((D198&gt;0)," ",F198)," ")</f>
        <v> </v>
      </c>
      <c r="I198" s="339" t="str">
        <f aca="false">IF((F198&lt;&gt;0),IF((D198&gt;0)," ",(I$1-A198))," ")</f>
        <v> </v>
      </c>
    </row>
    <row r="199" customFormat="false" ht="12.75" hidden="false" customHeight="false" outlineLevel="0" collapsed="false">
      <c r="A199" s="355"/>
      <c r="H199" s="338" t="str">
        <f aca="false">IF((F199&lt;&gt;0),IF((D199&gt;0)," ",F199)," ")</f>
        <v> </v>
      </c>
      <c r="I199" s="339" t="str">
        <f aca="false">IF((F199&lt;&gt;0),IF((D199&gt;0)," ",(I$1-A199))," ")</f>
        <v> </v>
      </c>
    </row>
    <row r="200" customFormat="false" ht="12.75" hidden="false" customHeight="false" outlineLevel="0" collapsed="false">
      <c r="A200" s="355"/>
      <c r="H200" s="338" t="str">
        <f aca="false">IF((F200&lt;&gt;0),IF((D200&gt;0)," ",F200)," ")</f>
        <v> </v>
      </c>
      <c r="I200" s="339" t="str">
        <f aca="false">IF((F200&lt;&gt;0),IF((D200&gt;0)," ",(I$1-A200))," ")</f>
        <v> </v>
      </c>
    </row>
    <row r="201" customFormat="false" ht="12.75" hidden="false" customHeight="false" outlineLevel="0" collapsed="false">
      <c r="A201" s="355"/>
      <c r="H201" s="338" t="str">
        <f aca="false">IF((F201&lt;&gt;0),IF((D201&gt;0)," ",F201)," ")</f>
        <v> </v>
      </c>
      <c r="I201" s="339" t="str">
        <f aca="false">IF((F201&lt;&gt;0),IF((D201&gt;0)," ",(I$1-A201))," ")</f>
        <v> </v>
      </c>
    </row>
    <row r="202" customFormat="false" ht="12.75" hidden="false" customHeight="false" outlineLevel="0" collapsed="false">
      <c r="A202" s="355"/>
      <c r="H202" s="338" t="str">
        <f aca="false">IF((F202&lt;&gt;0),IF((D202&gt;0)," ",F202)," ")</f>
        <v> </v>
      </c>
      <c r="I202" s="339" t="str">
        <f aca="false">IF((F202&lt;&gt;0),IF((D202&gt;0)," ",(I$1-A202))," ")</f>
        <v> </v>
      </c>
    </row>
    <row r="203" customFormat="false" ht="12.75" hidden="false" customHeight="false" outlineLevel="0" collapsed="false">
      <c r="A203" s="355"/>
      <c r="H203" s="338" t="str">
        <f aca="false">IF((F203&lt;&gt;0),IF((D203&gt;0)," ",F203)," ")</f>
        <v> </v>
      </c>
      <c r="I203" s="339" t="str">
        <f aca="false">IF((F203&lt;&gt;0),IF((D203&gt;0)," ",(I$1-A203))," ")</f>
        <v> </v>
      </c>
    </row>
    <row r="204" customFormat="false" ht="12.75" hidden="false" customHeight="false" outlineLevel="0" collapsed="false">
      <c r="A204" s="355"/>
      <c r="H204" s="338" t="str">
        <f aca="false">IF((F204&lt;&gt;0),IF((D204&gt;0)," ",F204)," ")</f>
        <v> </v>
      </c>
      <c r="I204" s="339" t="str">
        <f aca="false">IF((F204&lt;&gt;0),IF((D204&gt;0)," ",(I$1-A204))," ")</f>
        <v> </v>
      </c>
    </row>
    <row r="205" customFormat="false" ht="12.75" hidden="false" customHeight="false" outlineLevel="0" collapsed="false">
      <c r="A205" s="355"/>
    </row>
    <row r="206" customFormat="false" ht="12.75" hidden="false" customHeight="false" outlineLevel="0" collapsed="false">
      <c r="A206" s="355"/>
    </row>
    <row r="207" customFormat="false" ht="12.75" hidden="false" customHeight="false" outlineLevel="0" collapsed="false">
      <c r="A207" s="355"/>
    </row>
    <row r="208" customFormat="false" ht="12.75" hidden="false" customHeight="false" outlineLevel="0" collapsed="false">
      <c r="A208" s="355"/>
    </row>
    <row r="209" customFormat="false" ht="12.75" hidden="false" customHeight="false" outlineLevel="0" collapsed="false">
      <c r="A209" s="355"/>
    </row>
    <row r="210" customFormat="false" ht="12.75" hidden="false" customHeight="false" outlineLevel="0" collapsed="false">
      <c r="A210" s="355"/>
    </row>
    <row r="211" customFormat="false" ht="12.75" hidden="false" customHeight="false" outlineLevel="0" collapsed="false">
      <c r="A211" s="355"/>
    </row>
    <row r="212" customFormat="false" ht="12.75" hidden="false" customHeight="false" outlineLevel="0" collapsed="false">
      <c r="A212" s="355"/>
    </row>
    <row r="213" customFormat="false" ht="12.75" hidden="false" customHeight="false" outlineLevel="0" collapsed="false">
      <c r="A213" s="355"/>
    </row>
    <row r="214" customFormat="false" ht="12.75" hidden="false" customHeight="false" outlineLevel="0" collapsed="false">
      <c r="A214" s="355"/>
    </row>
    <row r="215" customFormat="false" ht="12.75" hidden="false" customHeight="false" outlineLevel="0" collapsed="false">
      <c r="A215" s="355"/>
    </row>
    <row r="216" customFormat="false" ht="12.75" hidden="false" customHeight="false" outlineLevel="0" collapsed="false">
      <c r="A216" s="355"/>
    </row>
    <row r="217" customFormat="false" ht="12.75" hidden="false" customHeight="false" outlineLevel="0" collapsed="false">
      <c r="A217" s="355"/>
    </row>
    <row r="218" customFormat="false" ht="12.75" hidden="false" customHeight="false" outlineLevel="0" collapsed="false">
      <c r="A218" s="355"/>
    </row>
    <row r="219" customFormat="false" ht="12.75" hidden="false" customHeight="false" outlineLevel="0" collapsed="false">
      <c r="A219" s="355"/>
    </row>
    <row r="220" customFormat="false" ht="12.75" hidden="false" customHeight="false" outlineLevel="0" collapsed="false">
      <c r="A220" s="355"/>
    </row>
    <row r="221" customFormat="false" ht="12.75" hidden="false" customHeight="false" outlineLevel="0" collapsed="false">
      <c r="A221" s="355"/>
    </row>
    <row r="222" customFormat="false" ht="12.75" hidden="false" customHeight="false" outlineLevel="0" collapsed="false">
      <c r="A222" s="355"/>
    </row>
    <row r="223" customFormat="false" ht="12.75" hidden="false" customHeight="false" outlineLevel="0" collapsed="false">
      <c r="A223" s="355"/>
    </row>
    <row r="224" customFormat="false" ht="12.75" hidden="false" customHeight="false" outlineLevel="0" collapsed="false">
      <c r="A224" s="355"/>
    </row>
    <row r="225" customFormat="false" ht="12.75" hidden="false" customHeight="false" outlineLevel="0" collapsed="false">
      <c r="A225" s="355"/>
    </row>
    <row r="226" customFormat="false" ht="12.75" hidden="false" customHeight="false" outlineLevel="0" collapsed="false">
      <c r="A226" s="355"/>
    </row>
    <row r="227" customFormat="false" ht="12.75" hidden="false" customHeight="false" outlineLevel="0" collapsed="false">
      <c r="A227" s="355"/>
    </row>
    <row r="228" customFormat="false" ht="12.75" hidden="false" customHeight="false" outlineLevel="0" collapsed="false">
      <c r="A228" s="355"/>
    </row>
    <row r="229" customFormat="false" ht="12.75" hidden="false" customHeight="false" outlineLevel="0" collapsed="false">
      <c r="A229" s="355"/>
    </row>
    <row r="230" customFormat="false" ht="12.75" hidden="false" customHeight="false" outlineLevel="0" collapsed="false">
      <c r="A230" s="355"/>
    </row>
    <row r="231" customFormat="false" ht="12.75" hidden="false" customHeight="false" outlineLevel="0" collapsed="false">
      <c r="A231" s="355"/>
    </row>
    <row r="232" customFormat="false" ht="12.75" hidden="false" customHeight="false" outlineLevel="0" collapsed="false">
      <c r="A232" s="355"/>
    </row>
    <row r="233" customFormat="false" ht="12.75" hidden="false" customHeight="false" outlineLevel="0" collapsed="false">
      <c r="A233" s="355"/>
    </row>
    <row r="234" customFormat="false" ht="12.75" hidden="false" customHeight="false" outlineLevel="0" collapsed="false">
      <c r="A234" s="355"/>
    </row>
    <row r="235" customFormat="false" ht="12.75" hidden="false" customHeight="false" outlineLevel="0" collapsed="false">
      <c r="A235" s="355"/>
    </row>
    <row r="236" customFormat="false" ht="12.75" hidden="false" customHeight="false" outlineLevel="0" collapsed="false">
      <c r="A236" s="355"/>
    </row>
    <row r="237" customFormat="false" ht="12.75" hidden="false" customHeight="false" outlineLevel="0" collapsed="false">
      <c r="A237" s="355"/>
    </row>
    <row r="238" customFormat="false" ht="12.75" hidden="false" customHeight="false" outlineLevel="0" collapsed="false">
      <c r="A238" s="355"/>
    </row>
    <row r="239" customFormat="false" ht="12.75" hidden="false" customHeight="false" outlineLevel="0" collapsed="false">
      <c r="A239" s="355"/>
    </row>
    <row r="240" customFormat="false" ht="12.75" hidden="false" customHeight="false" outlineLevel="0" collapsed="false">
      <c r="A240" s="355"/>
    </row>
    <row r="241" customFormat="false" ht="12.75" hidden="false" customHeight="false" outlineLevel="0" collapsed="false">
      <c r="A241" s="355"/>
    </row>
    <row r="242" customFormat="false" ht="12.75" hidden="false" customHeight="false" outlineLevel="0" collapsed="false">
      <c r="A242" s="355"/>
    </row>
    <row r="243" customFormat="false" ht="12.75" hidden="false" customHeight="false" outlineLevel="0" collapsed="false">
      <c r="A243" s="355"/>
    </row>
    <row r="244" customFormat="false" ht="12.75" hidden="false" customHeight="false" outlineLevel="0" collapsed="false">
      <c r="A244" s="355"/>
    </row>
    <row r="245" customFormat="false" ht="12.75" hidden="false" customHeight="false" outlineLevel="0" collapsed="false">
      <c r="A245" s="355"/>
    </row>
    <row r="246" customFormat="false" ht="12.75" hidden="false" customHeight="false" outlineLevel="0" collapsed="false">
      <c r="A246" s="355"/>
    </row>
    <row r="247" customFormat="false" ht="12.75" hidden="false" customHeight="false" outlineLevel="0" collapsed="false">
      <c r="A247" s="355"/>
    </row>
    <row r="248" customFormat="false" ht="12.75" hidden="false" customHeight="false" outlineLevel="0" collapsed="false">
      <c r="A248" s="355"/>
    </row>
    <row r="249" customFormat="false" ht="12.75" hidden="false" customHeight="false" outlineLevel="0" collapsed="false">
      <c r="A249" s="355"/>
    </row>
    <row r="250" customFormat="false" ht="12.75" hidden="false" customHeight="false" outlineLevel="0" collapsed="false">
      <c r="A250" s="355"/>
    </row>
    <row r="251" customFormat="false" ht="12.75" hidden="false" customHeight="false" outlineLevel="0" collapsed="false">
      <c r="A251" s="355"/>
    </row>
    <row r="252" customFormat="false" ht="12.75" hidden="false" customHeight="false" outlineLevel="0" collapsed="false">
      <c r="A252" s="355"/>
    </row>
    <row r="253" customFormat="false" ht="12.75" hidden="false" customHeight="false" outlineLevel="0" collapsed="false">
      <c r="A253" s="355"/>
    </row>
    <row r="254" customFormat="false" ht="12.75" hidden="false" customHeight="false" outlineLevel="0" collapsed="false">
      <c r="A254" s="355"/>
    </row>
    <row r="255" customFormat="false" ht="12.75" hidden="false" customHeight="false" outlineLevel="0" collapsed="false">
      <c r="A255" s="355"/>
    </row>
    <row r="256" customFormat="false" ht="12.75" hidden="false" customHeight="false" outlineLevel="0" collapsed="false">
      <c r="A256" s="355"/>
    </row>
    <row r="257" customFormat="false" ht="12.75" hidden="false" customHeight="false" outlineLevel="0" collapsed="false">
      <c r="A257" s="355"/>
    </row>
    <row r="258" customFormat="false" ht="12.75" hidden="false" customHeight="false" outlineLevel="0" collapsed="false">
      <c r="A258" s="355"/>
    </row>
    <row r="259" customFormat="false" ht="12.75" hidden="false" customHeight="false" outlineLevel="0" collapsed="false">
      <c r="A259" s="355"/>
    </row>
    <row r="260" customFormat="false" ht="12.75" hidden="false" customHeight="false" outlineLevel="0" collapsed="false">
      <c r="A260" s="355"/>
    </row>
    <row r="261" customFormat="false" ht="12.75" hidden="false" customHeight="false" outlineLevel="0" collapsed="false">
      <c r="A261" s="355"/>
    </row>
    <row r="262" customFormat="false" ht="12.75" hidden="false" customHeight="false" outlineLevel="0" collapsed="false">
      <c r="A262" s="355"/>
    </row>
    <row r="263" customFormat="false" ht="12.75" hidden="false" customHeight="false" outlineLevel="0" collapsed="false">
      <c r="A263" s="355"/>
    </row>
    <row r="264" customFormat="false" ht="12.75" hidden="false" customHeight="false" outlineLevel="0" collapsed="false">
      <c r="A264" s="355"/>
    </row>
    <row r="265" customFormat="false" ht="12.75" hidden="false" customHeight="false" outlineLevel="0" collapsed="false">
      <c r="A265" s="355"/>
    </row>
    <row r="266" customFormat="false" ht="12.75" hidden="false" customHeight="false" outlineLevel="0" collapsed="false">
      <c r="A266" s="355"/>
    </row>
    <row r="267" customFormat="false" ht="12.75" hidden="false" customHeight="false" outlineLevel="0" collapsed="false">
      <c r="A267" s="355"/>
    </row>
    <row r="268" customFormat="false" ht="12.75" hidden="false" customHeight="false" outlineLevel="0" collapsed="false">
      <c r="A268" s="355"/>
    </row>
    <row r="269" customFormat="false" ht="12.75" hidden="false" customHeight="false" outlineLevel="0" collapsed="false">
      <c r="A269" s="355"/>
    </row>
    <row r="270" customFormat="false" ht="12.75" hidden="false" customHeight="false" outlineLevel="0" collapsed="false">
      <c r="A270" s="355"/>
    </row>
    <row r="271" customFormat="false" ht="12.75" hidden="false" customHeight="false" outlineLevel="0" collapsed="false">
      <c r="A271" s="355"/>
    </row>
    <row r="272" customFormat="false" ht="12.75" hidden="false" customHeight="false" outlineLevel="0" collapsed="false">
      <c r="A272" s="355"/>
    </row>
    <row r="273" customFormat="false" ht="12.75" hidden="false" customHeight="false" outlineLevel="0" collapsed="false">
      <c r="A273" s="355"/>
    </row>
    <row r="274" customFormat="false" ht="12.75" hidden="false" customHeight="false" outlineLevel="0" collapsed="false">
      <c r="A274" s="355"/>
    </row>
    <row r="275" customFormat="false" ht="12.75" hidden="false" customHeight="false" outlineLevel="0" collapsed="false">
      <c r="A275" s="355"/>
    </row>
    <row r="276" customFormat="false" ht="12.75" hidden="false" customHeight="false" outlineLevel="0" collapsed="false">
      <c r="A276" s="355"/>
    </row>
    <row r="277" customFormat="false" ht="12.75" hidden="false" customHeight="false" outlineLevel="0" collapsed="false">
      <c r="A277" s="355"/>
    </row>
    <row r="278" customFormat="false" ht="12.75" hidden="false" customHeight="false" outlineLevel="0" collapsed="false">
      <c r="A278" s="355"/>
    </row>
    <row r="279" customFormat="false" ht="12.75" hidden="false" customHeight="false" outlineLevel="0" collapsed="false">
      <c r="A279" s="355"/>
    </row>
    <row r="280" customFormat="false" ht="12.75" hidden="false" customHeight="false" outlineLevel="0" collapsed="false">
      <c r="A280" s="355"/>
    </row>
    <row r="281" customFormat="false" ht="12.75" hidden="false" customHeight="false" outlineLevel="0" collapsed="false">
      <c r="A281" s="355"/>
    </row>
    <row r="282" customFormat="false" ht="12.75" hidden="false" customHeight="false" outlineLevel="0" collapsed="false">
      <c r="A282" s="355"/>
    </row>
    <row r="283" customFormat="false" ht="12.75" hidden="false" customHeight="false" outlineLevel="0" collapsed="false">
      <c r="A283" s="355"/>
    </row>
    <row r="284" customFormat="false" ht="12.75" hidden="false" customHeight="false" outlineLevel="0" collapsed="false">
      <c r="A284" s="355"/>
    </row>
    <row r="285" customFormat="false" ht="12.75" hidden="false" customHeight="false" outlineLevel="0" collapsed="false">
      <c r="A285" s="355"/>
    </row>
    <row r="286" customFormat="false" ht="12.75" hidden="false" customHeight="false" outlineLevel="0" collapsed="false">
      <c r="A286" s="355"/>
    </row>
    <row r="287" customFormat="false" ht="12.75" hidden="false" customHeight="false" outlineLevel="0" collapsed="false">
      <c r="A287" s="355"/>
    </row>
    <row r="288" customFormat="false" ht="12.75" hidden="false" customHeight="false" outlineLevel="0" collapsed="false">
      <c r="A288" s="355"/>
    </row>
    <row r="289" customFormat="false" ht="12.75" hidden="false" customHeight="false" outlineLevel="0" collapsed="false">
      <c r="A289" s="355"/>
    </row>
    <row r="290" customFormat="false" ht="12.75" hidden="false" customHeight="false" outlineLevel="0" collapsed="false">
      <c r="A290" s="355"/>
    </row>
    <row r="291" customFormat="false" ht="12.75" hidden="false" customHeight="false" outlineLevel="0" collapsed="false">
      <c r="A291" s="355"/>
    </row>
    <row r="292" customFormat="false" ht="12.75" hidden="false" customHeight="false" outlineLevel="0" collapsed="false">
      <c r="A292" s="355"/>
    </row>
    <row r="293" customFormat="false" ht="12.75" hidden="false" customHeight="false" outlineLevel="0" collapsed="false">
      <c r="A293" s="355"/>
    </row>
    <row r="294" customFormat="false" ht="12.75" hidden="false" customHeight="false" outlineLevel="0" collapsed="false">
      <c r="A294" s="355"/>
    </row>
    <row r="295" customFormat="false" ht="12.75" hidden="false" customHeight="false" outlineLevel="0" collapsed="false">
      <c r="A295" s="355"/>
    </row>
    <row r="296" customFormat="false" ht="12.75" hidden="false" customHeight="false" outlineLevel="0" collapsed="false">
      <c r="A296" s="355"/>
    </row>
    <row r="297" customFormat="false" ht="12.75" hidden="false" customHeight="false" outlineLevel="0" collapsed="false">
      <c r="A297" s="355"/>
    </row>
    <row r="298" customFormat="false" ht="12.75" hidden="false" customHeight="false" outlineLevel="0" collapsed="false">
      <c r="A298" s="355"/>
    </row>
    <row r="299" customFormat="false" ht="12.75" hidden="false" customHeight="false" outlineLevel="0" collapsed="false">
      <c r="A299" s="355"/>
    </row>
    <row r="300" customFormat="false" ht="12.75" hidden="false" customHeight="false" outlineLevel="0" collapsed="false">
      <c r="A300" s="355"/>
      <c r="B300" s="356"/>
      <c r="C300" s="357"/>
      <c r="D300" s="358"/>
      <c r="E300" s="359"/>
      <c r="F300" s="356"/>
      <c r="G300" s="356"/>
      <c r="H300" s="360"/>
      <c r="I300" s="361"/>
      <c r="J300" s="356"/>
      <c r="K300" s="356"/>
    </row>
    <row r="301" customFormat="false" ht="12.75" hidden="false" customHeight="false" outlineLevel="0" collapsed="false">
      <c r="A301" s="333" t="s">
        <v>265</v>
      </c>
    </row>
  </sheetData>
  <mergeCells count="10">
    <mergeCell ref="A1:A3"/>
    <mergeCell ref="B1:B3"/>
    <mergeCell ref="C2:C3"/>
    <mergeCell ref="D2:D3"/>
    <mergeCell ref="E2:E3"/>
    <mergeCell ref="F2:F3"/>
    <mergeCell ref="G2:G3"/>
    <mergeCell ref="H2:H3"/>
    <mergeCell ref="I2:I3"/>
    <mergeCell ref="J2:K2"/>
  </mergeCells>
  <dataValidations count="1">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4:A300" type="date">
      <formula1>38353</formula1>
      <formula2>53327</formula2>
    </dataValidation>
  </dataValidations>
  <printOptions headings="false" gridLines="true" gridLinesSet="true" horizontalCentered="false" verticalCentered="false"/>
  <pageMargins left="0.196527777777778" right="0.39375" top="0.590972222222222" bottom="0.590972222222222"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&amp;C&amp;"Arial,Bold"&amp;11Sales Turnover</oddHeader>
    <oddFooter>&amp;L&amp;D  &amp;T&amp;C&amp;P  of  &amp;N&amp;R&amp;F  &amp;A</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62" width="9.66"/>
    <col collapsed="false" customWidth="true" hidden="false" outlineLevel="0" max="2" min="2" style="363" width="23.99"/>
    <col collapsed="false" customWidth="true" hidden="false" outlineLevel="0" max="3" min="3" style="363" width="15.99"/>
    <col collapsed="false" customWidth="true" hidden="false" outlineLevel="0" max="4" min="4" style="364" width="16.15"/>
    <col collapsed="false" customWidth="true" hidden="false" outlineLevel="0" max="5" min="5" style="365" width="9.49"/>
    <col collapsed="false" customWidth="true" hidden="false" outlineLevel="0" max="6" min="6" style="365" width="8.66"/>
    <col collapsed="false" customWidth="true" hidden="false" outlineLevel="0" max="7" min="7" style="366" width="12.66"/>
    <col collapsed="false" customWidth="true" hidden="false" outlineLevel="0" max="8" min="8" style="338" width="11.5"/>
    <col collapsed="false" customWidth="true" hidden="false" outlineLevel="0" max="9" min="9" style="367" width="10.5"/>
    <col collapsed="false" customWidth="true" hidden="false" outlineLevel="0" max="19" min="10" style="334" width="9.66"/>
    <col collapsed="false" customWidth="true" hidden="false" outlineLevel="0" max="22" min="20" style="334" width="7.66"/>
    <col collapsed="false" customWidth="true" hidden="false" outlineLevel="0" max="23" min="23" style="334" width="9.66"/>
    <col collapsed="false" customWidth="true" hidden="false" outlineLevel="0" max="24" min="24" style="363" width="24.66"/>
    <col collapsed="false" customWidth="false" hidden="false" outlineLevel="0" max="25" min="25" style="368" width="9.15"/>
    <col collapsed="false" customWidth="true" hidden="false" outlineLevel="0" max="26" min="26" style="368" width="12.66"/>
    <col collapsed="false" customWidth="false" hidden="false" outlineLevel="0" max="257" min="27" style="363" width="9.15"/>
  </cols>
  <sheetData>
    <row r="1" s="334" customFormat="true" ht="13.5" hidden="false" customHeight="true" outlineLevel="0" collapsed="false">
      <c r="A1" s="369" t="n">
        <f aca="false">G4</f>
        <v>0</v>
      </c>
      <c r="B1" s="370" t="s">
        <v>266</v>
      </c>
      <c r="C1" s="344" t="n">
        <f aca="false">F1+SalesApr!$E$1</f>
        <v>0</v>
      </c>
      <c r="D1" s="369" t="s">
        <v>248</v>
      </c>
      <c r="E1" s="371" t="str">
        <f aca="false">IF((G1-SUM(J1:W1)&lt;&gt;0),(G1-SUM(J1:W1))," ")</f>
        <v> </v>
      </c>
      <c r="F1" s="344" t="n">
        <f aca="false">SUM(F5:F300)</f>
        <v>0</v>
      </c>
      <c r="G1" s="343" t="n">
        <f aca="false">SUM(G4:G300)</f>
        <v>5111.25</v>
      </c>
      <c r="H1" s="372" t="n">
        <f aca="false">SUM(H5:H300)</f>
        <v>0</v>
      </c>
      <c r="I1" s="373" t="n">
        <f aca="true">TODAY()</f>
        <v>46138</v>
      </c>
      <c r="J1" s="343" t="n">
        <f aca="false">SUM(J5:J300)</f>
        <v>600</v>
      </c>
      <c r="K1" s="343" t="n">
        <f aca="false">SUM(K5:K300)</f>
        <v>0</v>
      </c>
      <c r="L1" s="343" t="n">
        <f aca="false">SUM(L5:L300)</f>
        <v>0</v>
      </c>
      <c r="M1" s="343" t="n">
        <f aca="false">SUM(M5:M300)</f>
        <v>1200</v>
      </c>
      <c r="N1" s="343" t="n">
        <f aca="false">SUM(N5:N300)</f>
        <v>120</v>
      </c>
      <c r="O1" s="343" t="n">
        <f aca="false">SUM(O5:O300)</f>
        <v>135</v>
      </c>
      <c r="P1" s="343" t="n">
        <f aca="false">SUM(P3:P300)</f>
        <v>602.25</v>
      </c>
      <c r="Q1" s="343" t="n">
        <f aca="false">SUM(Q5:Q300)</f>
        <v>92</v>
      </c>
      <c r="R1" s="343" t="n">
        <f aca="false">SUM(R5:R300)</f>
        <v>0</v>
      </c>
      <c r="S1" s="343" t="n">
        <f aca="false">SUM(S5:S300)</f>
        <v>300</v>
      </c>
      <c r="T1" s="343" t="n">
        <f aca="false">SUM(T5:T300)</f>
        <v>0</v>
      </c>
      <c r="U1" s="343" t="n">
        <f aca="false">SUM(U5:U300)</f>
        <v>0</v>
      </c>
      <c r="V1" s="343" t="n">
        <f aca="false">SUM(V5:V300)</f>
        <v>2062</v>
      </c>
      <c r="W1" s="345" t="n">
        <f aca="false">SUM(W5:W300)</f>
        <v>0</v>
      </c>
      <c r="X1" s="374" t="n">
        <f aca="false">W1</f>
        <v>0</v>
      </c>
      <c r="Y1" s="375" t="n">
        <f aca="false">SUM(Y5:Y300)</f>
        <v>0</v>
      </c>
      <c r="Z1" s="376" t="n">
        <f aca="false">Y1</f>
        <v>0</v>
      </c>
    </row>
    <row r="2" s="384" customFormat="true" ht="24" hidden="false" customHeight="true" outlineLevel="0" collapsed="false">
      <c r="A2" s="377" t="s">
        <v>267</v>
      </c>
      <c r="B2" s="378" t="str">
        <f aca="false">IF((G1-SUM(J1:W1)&lt;&gt;0),"COMPLETE EXPENSE ANALYSIS by inserting expense letter in col E","Supplier")</f>
        <v>Supplier</v>
      </c>
      <c r="C2" s="379" t="s">
        <v>268</v>
      </c>
      <c r="D2" s="379" t="s">
        <v>269</v>
      </c>
      <c r="E2" s="379" t="s">
        <v>270</v>
      </c>
      <c r="F2" s="379" t="s">
        <v>271</v>
      </c>
      <c r="G2" s="380" t="s">
        <v>272</v>
      </c>
      <c r="H2" s="381" t="s">
        <v>273</v>
      </c>
      <c r="I2" s="382" t="s">
        <v>274</v>
      </c>
      <c r="J2" s="380" t="s">
        <v>275</v>
      </c>
      <c r="K2" s="380" t="s">
        <v>276</v>
      </c>
      <c r="L2" s="380" t="s">
        <v>277</v>
      </c>
      <c r="M2" s="380" t="s">
        <v>278</v>
      </c>
      <c r="N2" s="380" t="s">
        <v>279</v>
      </c>
      <c r="O2" s="380" t="s">
        <v>280</v>
      </c>
      <c r="P2" s="380" t="s">
        <v>281</v>
      </c>
      <c r="Q2" s="380" t="s">
        <v>282</v>
      </c>
      <c r="R2" s="380" t="s">
        <v>283</v>
      </c>
      <c r="S2" s="380" t="s">
        <v>284</v>
      </c>
      <c r="T2" s="380" t="s">
        <v>285</v>
      </c>
      <c r="U2" s="380" t="s">
        <v>286</v>
      </c>
      <c r="V2" s="380" t="s">
        <v>287</v>
      </c>
      <c r="W2" s="381" t="s">
        <v>288</v>
      </c>
      <c r="X2" s="383" t="str">
        <f aca="false">IF(X1&gt;('Fixed Assets'!$E$110),"FIXED ASSETS requires updating with new additions","Fixed Assets Description  (Vehicles: make, model, date reg. and reg. mark)")</f>
        <v>Fixed Assets Description  (Vehicles: make, model, date reg. and reg. mark)</v>
      </c>
      <c r="Y2" s="380" t="s">
        <v>289</v>
      </c>
      <c r="Z2" s="380"/>
    </row>
    <row r="3" s="386" customFormat="true" ht="12.75" hidden="false" customHeight="true" outlineLevel="0" collapsed="false">
      <c r="A3" s="377"/>
      <c r="B3" s="377"/>
      <c r="C3" s="377"/>
      <c r="D3" s="377"/>
      <c r="E3" s="379"/>
      <c r="F3" s="379"/>
      <c r="G3" s="380"/>
      <c r="H3" s="381"/>
      <c r="I3" s="381"/>
      <c r="J3" s="380"/>
      <c r="K3" s="380"/>
      <c r="L3" s="380"/>
      <c r="M3" s="380"/>
      <c r="N3" s="380"/>
      <c r="O3" s="380"/>
      <c r="P3" s="385" t="n">
        <f aca="false">IF((E$4="m"),G$4," ")</f>
        <v>0</v>
      </c>
      <c r="Q3" s="380"/>
      <c r="R3" s="380"/>
      <c r="S3" s="380"/>
      <c r="T3" s="380"/>
      <c r="U3" s="380"/>
      <c r="V3" s="380"/>
      <c r="W3" s="381"/>
      <c r="X3" s="383"/>
      <c r="Y3" s="380" t="s">
        <v>290</v>
      </c>
      <c r="Z3" s="380"/>
    </row>
    <row r="4" s="365" customFormat="true" ht="12.75" hidden="false" customHeight="false" outlineLevel="0" collapsed="false">
      <c r="A4" s="377"/>
      <c r="B4" s="377"/>
      <c r="C4" s="377"/>
      <c r="D4" s="377"/>
      <c r="E4" s="387" t="s">
        <v>291</v>
      </c>
      <c r="F4" s="379"/>
      <c r="G4" s="388" t="n">
        <f aca="false">IF((C1&lt;Admin!$F$22),(C1*Admin!$G$21),(C1*Admin!$G$21-(C1-Admin!$F$21)*(Admin!$G$21-Admin!$G$22)))</f>
        <v>0</v>
      </c>
      <c r="H4" s="381"/>
      <c r="I4" s="381"/>
      <c r="J4" s="389" t="s">
        <v>292</v>
      </c>
      <c r="K4" s="390" t="s">
        <v>293</v>
      </c>
      <c r="L4" s="390" t="s">
        <v>294</v>
      </c>
      <c r="M4" s="390" t="s">
        <v>295</v>
      </c>
      <c r="N4" s="390" t="s">
        <v>296</v>
      </c>
      <c r="O4" s="390" t="s">
        <v>297</v>
      </c>
      <c r="P4" s="391" t="s">
        <v>298</v>
      </c>
      <c r="Q4" s="390" t="s">
        <v>299</v>
      </c>
      <c r="R4" s="390" t="s">
        <v>300</v>
      </c>
      <c r="S4" s="390" t="s">
        <v>301</v>
      </c>
      <c r="T4" s="390" t="s">
        <v>302</v>
      </c>
      <c r="U4" s="390" t="s">
        <v>303</v>
      </c>
      <c r="V4" s="390" t="s">
        <v>304</v>
      </c>
      <c r="W4" s="392" t="s">
        <v>305</v>
      </c>
      <c r="X4" s="383"/>
      <c r="Y4" s="380" t="s">
        <v>306</v>
      </c>
      <c r="Z4" s="380" t="s">
        <v>307</v>
      </c>
    </row>
    <row r="5" customFormat="false" ht="12.75" hidden="false" customHeight="false" outlineLevel="0" collapsed="false">
      <c r="A5" s="355" t="n">
        <v>45748</v>
      </c>
      <c r="B5" s="363" t="s">
        <v>239</v>
      </c>
      <c r="E5" s="365" t="s">
        <v>308</v>
      </c>
      <c r="G5" s="366" t="n">
        <v>1200</v>
      </c>
      <c r="I5" s="367" t="n">
        <f aca="false">IF((G5&lt;&gt;0),IF((D5&gt;0)," ",(I$1-A5))," ")</f>
        <v>390</v>
      </c>
      <c r="J5" s="334" t="str">
        <f aca="false">IF((E5="s"),G5," ")</f>
        <v> </v>
      </c>
      <c r="K5" s="334" t="str">
        <f aca="false">IF((E5="d"),G5," ")</f>
        <v> </v>
      </c>
      <c r="L5" s="334" t="str">
        <f aca="false">IF((E5="e"),G5," ")</f>
        <v> </v>
      </c>
      <c r="M5" s="334" t="n">
        <f aca="false">IF((E5="p"),G5," ")</f>
        <v>1200</v>
      </c>
      <c r="N5" s="334" t="str">
        <f aca="false">IF((E5="r"),G5," ")</f>
        <v> </v>
      </c>
      <c r="O5" s="334" t="str">
        <f aca="false">IF((E5="g"),G5," ")</f>
        <v> </v>
      </c>
      <c r="P5" s="334" t="str">
        <f aca="false">IF((E5="m"),G5," ")</f>
        <v> </v>
      </c>
      <c r="Q5" s="334" t="str">
        <f aca="false">IF((E5="t"),G5," ")</f>
        <v> </v>
      </c>
      <c r="R5" s="334" t="str">
        <f aca="false">IF((E5="a"),G5," ")</f>
        <v> </v>
      </c>
      <c r="S5" s="334" t="str">
        <f aca="false">IF((E5="l"),G5," ")</f>
        <v> </v>
      </c>
      <c r="T5" s="334" t="str">
        <f aca="false">IF((E5="b"),G5," ")</f>
        <v> </v>
      </c>
      <c r="U5" s="334" t="str">
        <f aca="false">IF((E5="i"),G5," ")</f>
        <v> </v>
      </c>
      <c r="V5" s="334" t="str">
        <f aca="false">IF((E5="o"),G5," ")</f>
        <v> </v>
      </c>
      <c r="W5" s="334" t="str">
        <f aca="false">IF((E5="f"),G5," ")</f>
        <v> </v>
      </c>
    </row>
    <row r="6" customFormat="false" ht="12.75" hidden="false" customHeight="false" outlineLevel="0" collapsed="false">
      <c r="A6" s="355" t="n">
        <v>45748</v>
      </c>
      <c r="B6" s="363" t="s">
        <v>309</v>
      </c>
      <c r="E6" s="365" t="s">
        <v>310</v>
      </c>
      <c r="G6" s="366" t="n">
        <v>30</v>
      </c>
      <c r="I6" s="367" t="n">
        <f aca="false">IF((G6&lt;&gt;0),IF((D6&gt;0)," ",(I$1-A6))," ")</f>
        <v>390</v>
      </c>
      <c r="J6" s="334" t="str">
        <f aca="false">IF((E6="s"),G6," ")</f>
        <v> </v>
      </c>
      <c r="K6" s="334" t="str">
        <f aca="false">IF((E6="d"),G6," ")</f>
        <v> </v>
      </c>
      <c r="L6" s="334" t="str">
        <f aca="false">IF((E6="e"),G6," ")</f>
        <v> </v>
      </c>
      <c r="M6" s="334" t="str">
        <f aca="false">IF((E6="p"),G6," ")</f>
        <v> </v>
      </c>
      <c r="N6" s="334" t="str">
        <f aca="false">IF((E6="r"),G6," ")</f>
        <v> </v>
      </c>
      <c r="O6" s="334" t="n">
        <f aca="false">IF((E6="g"),G6," ")</f>
        <v>30</v>
      </c>
      <c r="P6" s="334" t="str">
        <f aca="false">IF((E6="m"),G6," ")</f>
        <v> </v>
      </c>
      <c r="Q6" s="334" t="str">
        <f aca="false">IF((E6="t"),G6," ")</f>
        <v> </v>
      </c>
      <c r="R6" s="334" t="str">
        <f aca="false">IF((E6="a"),G6," ")</f>
        <v> </v>
      </c>
      <c r="S6" s="334" t="str">
        <f aca="false">IF((E6="l"),G6," ")</f>
        <v> </v>
      </c>
      <c r="T6" s="334" t="str">
        <f aca="false">IF((E6="b"),G6," ")</f>
        <v> </v>
      </c>
      <c r="U6" s="334" t="str">
        <f aca="false">IF((E6="i"),G6," ")</f>
        <v> </v>
      </c>
      <c r="V6" s="334" t="str">
        <f aca="false">IF((E6="o"),G6," ")</f>
        <v> </v>
      </c>
      <c r="W6" s="334" t="str">
        <f aca="false">IF((E6="f"),G6," ")</f>
        <v> </v>
      </c>
    </row>
    <row r="7" customFormat="false" ht="12.75" hidden="false" customHeight="false" outlineLevel="0" collapsed="false">
      <c r="A7" s="355" t="n">
        <v>45748</v>
      </c>
      <c r="B7" s="363" t="s">
        <v>311</v>
      </c>
      <c r="E7" s="365" t="s">
        <v>310</v>
      </c>
      <c r="G7" s="366" t="n">
        <v>15</v>
      </c>
      <c r="I7" s="367" t="n">
        <f aca="false">IF((G7&lt;&gt;0),IF((D7&gt;0)," ",(I$1-A7))," ")</f>
        <v>390</v>
      </c>
      <c r="J7" s="334" t="str">
        <f aca="false">IF((E7="s"),G7," ")</f>
        <v> </v>
      </c>
      <c r="K7" s="334" t="str">
        <f aca="false">IF((E7="d"),G7," ")</f>
        <v> </v>
      </c>
      <c r="L7" s="334" t="str">
        <f aca="false">IF((E7="e"),G7," ")</f>
        <v> </v>
      </c>
      <c r="M7" s="334" t="str">
        <f aca="false">IF((E7="p"),G7," ")</f>
        <v> </v>
      </c>
      <c r="N7" s="334" t="str">
        <f aca="false">IF((E7="r"),G7," ")</f>
        <v> </v>
      </c>
      <c r="O7" s="334" t="n">
        <f aca="false">IF((E7="g"),G7," ")</f>
        <v>15</v>
      </c>
      <c r="P7" s="334" t="str">
        <f aca="false">IF((E7="m"),G7," ")</f>
        <v> </v>
      </c>
      <c r="Q7" s="334" t="str">
        <f aca="false">IF((E7="t"),G7," ")</f>
        <v> </v>
      </c>
      <c r="R7" s="334" t="str">
        <f aca="false">IF((E7="a"),G7," ")</f>
        <v> </v>
      </c>
      <c r="S7" s="334" t="str">
        <f aca="false">IF((E7="l"),G7," ")</f>
        <v> </v>
      </c>
      <c r="T7" s="334" t="str">
        <f aca="false">IF((E7="b"),G7," ")</f>
        <v> </v>
      </c>
      <c r="U7" s="334" t="str">
        <f aca="false">IF((E7="i"),G7," ")</f>
        <v> </v>
      </c>
      <c r="V7" s="334" t="str">
        <f aca="false">IF((E7="o"),G7," ")</f>
        <v> </v>
      </c>
      <c r="W7" s="334" t="str">
        <f aca="false">IF((E7="f"),G7," ")</f>
        <v> </v>
      </c>
    </row>
    <row r="8" customFormat="false" ht="12.75" hidden="false" customHeight="false" outlineLevel="0" collapsed="false">
      <c r="A8" s="355" t="n">
        <v>45748</v>
      </c>
      <c r="B8" s="363" t="s">
        <v>312</v>
      </c>
      <c r="E8" s="365" t="s">
        <v>313</v>
      </c>
      <c r="G8" s="366" t="n">
        <v>45</v>
      </c>
      <c r="I8" s="367" t="n">
        <f aca="false">IF((G8&lt;&gt;0),IF((D8&gt;0)," ",(I$1-A8))," ")</f>
        <v>390</v>
      </c>
      <c r="J8" s="334" t="str">
        <f aca="false">IF((E8="s"),G8," ")</f>
        <v> </v>
      </c>
      <c r="K8" s="334" t="str">
        <f aca="false">IF((E8="d"),G8," ")</f>
        <v> </v>
      </c>
      <c r="L8" s="334" t="str">
        <f aca="false">IF((E8="e"),G8," ")</f>
        <v> </v>
      </c>
      <c r="M8" s="334" t="str">
        <f aca="false">IF((E8="p"),G8," ")</f>
        <v> </v>
      </c>
      <c r="N8" s="334" t="str">
        <f aca="false">IF((E8="r"),G8," ")</f>
        <v> </v>
      </c>
      <c r="O8" s="334" t="str">
        <f aca="false">IF((E8="g"),G8," ")</f>
        <v> </v>
      </c>
      <c r="P8" s="334" t="str">
        <f aca="false">IF((E8="m"),G8," ")</f>
        <v> </v>
      </c>
      <c r="Q8" s="334" t="str">
        <f aca="false">IF((E8="t"),G8," ")</f>
        <v> </v>
      </c>
      <c r="R8" s="334" t="str">
        <f aca="false">IF((E8="a"),G8," ")</f>
        <v> </v>
      </c>
      <c r="S8" s="334" t="str">
        <f aca="false">IF((E8="l"),G8," ")</f>
        <v> </v>
      </c>
      <c r="T8" s="334" t="str">
        <f aca="false">IF((E8="b"),G8," ")</f>
        <v> </v>
      </c>
      <c r="U8" s="334" t="str">
        <f aca="false">IF((E8="i"),G8," ")</f>
        <v> </v>
      </c>
      <c r="V8" s="334" t="n">
        <f aca="false">IF((E8="o"),G8," ")</f>
        <v>45</v>
      </c>
      <c r="W8" s="334" t="str">
        <f aca="false">IF((E8="f"),G8," ")</f>
        <v> </v>
      </c>
    </row>
    <row r="9" customFormat="false" ht="12.75" hidden="false" customHeight="false" outlineLevel="0" collapsed="false">
      <c r="A9" s="355" t="n">
        <v>45748</v>
      </c>
      <c r="B9" s="363" t="s">
        <v>314</v>
      </c>
      <c r="E9" s="365" t="s">
        <v>313</v>
      </c>
      <c r="G9" s="366" t="n">
        <v>1440</v>
      </c>
      <c r="I9" s="367" t="n">
        <f aca="false">IF((G9&lt;&gt;0),IF((D9&gt;0)," ",(I$1-A9))," ")</f>
        <v>390</v>
      </c>
      <c r="J9" s="334" t="str">
        <f aca="false">IF((E9="s"),G9," ")</f>
        <v> </v>
      </c>
      <c r="K9" s="334" t="str">
        <f aca="false">IF((E9="d"),G9," ")</f>
        <v> </v>
      </c>
      <c r="L9" s="334" t="str">
        <f aca="false">IF((E9="e"),G9," ")</f>
        <v> </v>
      </c>
      <c r="M9" s="334" t="str">
        <f aca="false">IF((E9="p"),G9," ")</f>
        <v> </v>
      </c>
      <c r="N9" s="334" t="str">
        <f aca="false">IF((E9="r"),G9," ")</f>
        <v> </v>
      </c>
      <c r="O9" s="334" t="str">
        <f aca="false">IF((E9="g"),G9," ")</f>
        <v> </v>
      </c>
      <c r="P9" s="334" t="str">
        <f aca="false">IF((E9="m"),G9," ")</f>
        <v> </v>
      </c>
      <c r="Q9" s="334" t="str">
        <f aca="false">IF((E9="t"),G9," ")</f>
        <v> </v>
      </c>
      <c r="R9" s="334" t="str">
        <f aca="false">IF((E9="a"),G9," ")</f>
        <v> </v>
      </c>
      <c r="S9" s="334" t="str">
        <f aca="false">IF((E9="l"),G9," ")</f>
        <v> </v>
      </c>
      <c r="T9" s="334" t="str">
        <f aca="false">IF((E9="b"),G9," ")</f>
        <v> </v>
      </c>
      <c r="U9" s="334" t="str">
        <f aca="false">IF((E9="i"),G9," ")</f>
        <v> </v>
      </c>
      <c r="V9" s="334" t="n">
        <f aca="false">IF((E9="o"),G9," ")</f>
        <v>1440</v>
      </c>
      <c r="W9" s="334" t="str">
        <f aca="false">IF((E9="f"),G9," ")</f>
        <v> </v>
      </c>
    </row>
    <row r="10" customFormat="false" ht="12.75" hidden="false" customHeight="false" outlineLevel="0" collapsed="false">
      <c r="A10" s="355" t="n">
        <v>45748</v>
      </c>
      <c r="B10" s="363" t="s">
        <v>315</v>
      </c>
      <c r="E10" s="365" t="s">
        <v>313</v>
      </c>
      <c r="G10" s="366" t="n">
        <v>24</v>
      </c>
      <c r="I10" s="367" t="n">
        <f aca="false">IF((G10&lt;&gt;0),IF((D10&gt;0)," ",(I$1-A10))," ")</f>
        <v>390</v>
      </c>
      <c r="J10" s="334" t="str">
        <f aca="false">IF((E10="s"),G10," ")</f>
        <v> </v>
      </c>
      <c r="K10" s="334" t="str">
        <f aca="false">IF((E10="d"),G10," ")</f>
        <v> </v>
      </c>
      <c r="L10" s="334" t="str">
        <f aca="false">IF((E10="e"),G10," ")</f>
        <v> </v>
      </c>
      <c r="M10" s="334" t="str">
        <f aca="false">IF((E10="p"),G10," ")</f>
        <v> </v>
      </c>
      <c r="N10" s="334" t="str">
        <f aca="false">IF((E10="r"),G10," ")</f>
        <v> </v>
      </c>
      <c r="O10" s="334" t="str">
        <f aca="false">IF((E10="g"),G10," ")</f>
        <v> </v>
      </c>
      <c r="P10" s="334" t="str">
        <f aca="false">IF((E10="m"),G10," ")</f>
        <v> </v>
      </c>
      <c r="Q10" s="334" t="str">
        <f aca="false">IF((E10="t"),G10," ")</f>
        <v> </v>
      </c>
      <c r="R10" s="334" t="str">
        <f aca="false">IF((E10="a"),G10," ")</f>
        <v> </v>
      </c>
      <c r="S10" s="334" t="str">
        <f aca="false">IF((E10="l"),G10," ")</f>
        <v> </v>
      </c>
      <c r="T10" s="334" t="str">
        <f aca="false">IF((E10="b"),G10," ")</f>
        <v> </v>
      </c>
      <c r="U10" s="334" t="str">
        <f aca="false">IF((E10="i"),G10," ")</f>
        <v> </v>
      </c>
      <c r="V10" s="334" t="n">
        <f aca="false">IF((E10="o"),G10," ")</f>
        <v>24</v>
      </c>
      <c r="W10" s="334" t="str">
        <f aca="false">IF((E10="f"),G10," ")</f>
        <v> </v>
      </c>
    </row>
    <row r="11" customFormat="false" ht="12.75" hidden="false" customHeight="false" outlineLevel="0" collapsed="false">
      <c r="A11" s="355" t="n">
        <v>45748</v>
      </c>
      <c r="B11" s="363" t="s">
        <v>316</v>
      </c>
      <c r="E11" s="365" t="s">
        <v>310</v>
      </c>
      <c r="G11" s="366" t="n">
        <v>18</v>
      </c>
      <c r="I11" s="367" t="n">
        <f aca="false">IF((G11&lt;&gt;0),IF((D11&gt;0)," ",(I$1-A11))," ")</f>
        <v>390</v>
      </c>
      <c r="J11" s="334" t="str">
        <f aca="false">IF((E11="s"),G11," ")</f>
        <v> </v>
      </c>
      <c r="K11" s="334" t="str">
        <f aca="false">IF((E11="d"),G11," ")</f>
        <v> </v>
      </c>
      <c r="L11" s="334" t="str">
        <f aca="false">IF((E11="e"),G11," ")</f>
        <v> </v>
      </c>
      <c r="M11" s="334" t="str">
        <f aca="false">IF((E11="p"),G11," ")</f>
        <v> </v>
      </c>
      <c r="N11" s="334" t="str">
        <f aca="false">IF((E11="r"),G11," ")</f>
        <v> </v>
      </c>
      <c r="O11" s="334" t="n">
        <f aca="false">IF((E11="g"),G11," ")</f>
        <v>18</v>
      </c>
      <c r="P11" s="334" t="str">
        <f aca="false">IF((E11="m"),G11," ")</f>
        <v> </v>
      </c>
      <c r="Q11" s="334" t="str">
        <f aca="false">IF((E11="t"),G11," ")</f>
        <v> </v>
      </c>
      <c r="R11" s="334" t="str">
        <f aca="false">IF((E11="a"),G11," ")</f>
        <v> </v>
      </c>
      <c r="S11" s="334" t="str">
        <f aca="false">IF((E11="l"),G11," ")</f>
        <v> </v>
      </c>
      <c r="T11" s="334" t="str">
        <f aca="false">IF((E11="b"),G11," ")</f>
        <v> </v>
      </c>
      <c r="U11" s="334" t="str">
        <f aca="false">IF((E11="i"),G11," ")</f>
        <v> </v>
      </c>
      <c r="V11" s="334" t="str">
        <f aca="false">IF((E11="o"),G11," ")</f>
        <v> </v>
      </c>
      <c r="W11" s="334" t="str">
        <f aca="false">IF((E11="f"),G11," ")</f>
        <v> </v>
      </c>
    </row>
    <row r="12" customFormat="false" ht="12.75" hidden="false" customHeight="false" outlineLevel="0" collapsed="false">
      <c r="A12" s="355" t="n">
        <v>45750</v>
      </c>
      <c r="B12" s="363" t="s">
        <v>317</v>
      </c>
      <c r="E12" s="365" t="s">
        <v>313</v>
      </c>
      <c r="G12" s="366" t="n">
        <v>180</v>
      </c>
      <c r="I12" s="367" t="n">
        <f aca="false">IF((G12&lt;&gt;0),IF((D12&gt;0)," ",(I$1-A12))," ")</f>
        <v>388</v>
      </c>
      <c r="J12" s="334" t="str">
        <f aca="false">IF((E12="s"),G12," ")</f>
        <v> </v>
      </c>
      <c r="K12" s="334" t="str">
        <f aca="false">IF((E12="d"),G12," ")</f>
        <v> </v>
      </c>
      <c r="L12" s="334" t="str">
        <f aca="false">IF((E12="e"),G12," ")</f>
        <v> </v>
      </c>
      <c r="M12" s="334" t="str">
        <f aca="false">IF((E12="p"),G12," ")</f>
        <v> </v>
      </c>
      <c r="N12" s="334" t="str">
        <f aca="false">IF((E12="r"),G12," ")</f>
        <v> </v>
      </c>
      <c r="O12" s="334" t="str">
        <f aca="false">IF((E12="g"),G12," ")</f>
        <v> </v>
      </c>
      <c r="P12" s="334" t="str">
        <f aca="false">IF((E12="m"),G12," ")</f>
        <v> </v>
      </c>
      <c r="Q12" s="334" t="str">
        <f aca="false">IF((E12="t"),G12," ")</f>
        <v> </v>
      </c>
      <c r="R12" s="334" t="str">
        <f aca="false">IF((E12="a"),G12," ")</f>
        <v> </v>
      </c>
      <c r="S12" s="334" t="str">
        <f aca="false">IF((E12="l"),G12," ")</f>
        <v> </v>
      </c>
      <c r="T12" s="334" t="str">
        <f aca="false">IF((E12="b"),G12," ")</f>
        <v> </v>
      </c>
      <c r="U12" s="334" t="str">
        <f aca="false">IF((E12="i"),G12," ")</f>
        <v> </v>
      </c>
      <c r="V12" s="334" t="n">
        <f aca="false">IF((E12="o"),G12," ")</f>
        <v>180</v>
      </c>
      <c r="W12" s="334" t="str">
        <f aca="false">IF((E12="f"),G12," ")</f>
        <v> </v>
      </c>
    </row>
    <row r="13" customFormat="false" ht="12.75" hidden="false" customHeight="false" outlineLevel="0" collapsed="false">
      <c r="A13" s="355" t="n">
        <v>45750</v>
      </c>
      <c r="B13" s="363" t="s">
        <v>318</v>
      </c>
      <c r="E13" s="365" t="s">
        <v>313</v>
      </c>
      <c r="G13" s="366" t="n">
        <v>22</v>
      </c>
      <c r="I13" s="367" t="n">
        <f aca="false">IF((G13&lt;&gt;0),IF((D13&gt;0)," ",(I$1-A13))," ")</f>
        <v>388</v>
      </c>
      <c r="J13" s="334" t="str">
        <f aca="false">IF((E13="s"),G13," ")</f>
        <v> </v>
      </c>
      <c r="K13" s="334" t="str">
        <f aca="false">IF((E13="d"),G13," ")</f>
        <v> </v>
      </c>
      <c r="L13" s="334" t="str">
        <f aca="false">IF((E13="e"),G13," ")</f>
        <v> </v>
      </c>
      <c r="M13" s="334" t="str">
        <f aca="false">IF((E13="p"),G13," ")</f>
        <v> </v>
      </c>
      <c r="N13" s="334" t="str">
        <f aca="false">IF((E13="r"),G13," ")</f>
        <v> </v>
      </c>
      <c r="O13" s="334" t="str">
        <f aca="false">IF((E13="g"),G13," ")</f>
        <v> </v>
      </c>
      <c r="P13" s="334" t="str">
        <f aca="false">IF((E13="m"),G13," ")</f>
        <v> </v>
      </c>
      <c r="Q13" s="334" t="str">
        <f aca="false">IF((E13="t"),G13," ")</f>
        <v> </v>
      </c>
      <c r="R13" s="334" t="str">
        <f aca="false">IF((E13="a"),G13," ")</f>
        <v> </v>
      </c>
      <c r="S13" s="334" t="str">
        <f aca="false">IF((E13="l"),G13," ")</f>
        <v> </v>
      </c>
      <c r="T13" s="334" t="str">
        <f aca="false">IF((E13="b"),G13," ")</f>
        <v> </v>
      </c>
      <c r="U13" s="334" t="str">
        <f aca="false">IF((E13="i"),G13," ")</f>
        <v> </v>
      </c>
      <c r="V13" s="334" t="n">
        <f aca="false">IF((E13="o"),G13," ")</f>
        <v>22</v>
      </c>
      <c r="W13" s="334" t="str">
        <f aca="false">IF((E13="f"),G13," ")</f>
        <v> </v>
      </c>
    </row>
    <row r="14" customFormat="false" ht="12.75" hidden="false" customHeight="false" outlineLevel="0" collapsed="false">
      <c r="A14" s="355" t="n">
        <v>45752</v>
      </c>
      <c r="B14" s="363" t="s">
        <v>319</v>
      </c>
      <c r="E14" s="365" t="s">
        <v>313</v>
      </c>
      <c r="G14" s="366" t="n">
        <v>24</v>
      </c>
      <c r="I14" s="367" t="n">
        <f aca="false">IF((G14&lt;&gt;0),IF((D14&gt;0)," ",(I$1-A14))," ")</f>
        <v>386</v>
      </c>
      <c r="J14" s="334" t="str">
        <f aca="false">IF((E14="s"),G14," ")</f>
        <v> </v>
      </c>
      <c r="K14" s="334" t="str">
        <f aca="false">IF((E14="d"),G14," ")</f>
        <v> </v>
      </c>
      <c r="L14" s="334" t="str">
        <f aca="false">IF((E14="e"),G14," ")</f>
        <v> </v>
      </c>
      <c r="M14" s="334" t="str">
        <f aca="false">IF((E14="p"),G14," ")</f>
        <v> </v>
      </c>
      <c r="N14" s="334" t="str">
        <f aca="false">IF((E14="r"),G14," ")</f>
        <v> </v>
      </c>
      <c r="O14" s="334" t="str">
        <f aca="false">IF((E14="g"),G14," ")</f>
        <v> </v>
      </c>
      <c r="P14" s="334" t="str">
        <f aca="false">IF((E14="m"),G14," ")</f>
        <v> </v>
      </c>
      <c r="Q14" s="334" t="str">
        <f aca="false">IF((E14="t"),G14," ")</f>
        <v> </v>
      </c>
      <c r="R14" s="334" t="str">
        <f aca="false">IF((E14="a"),G14," ")</f>
        <v> </v>
      </c>
      <c r="S14" s="334" t="str">
        <f aca="false">IF((E14="l"),G14," ")</f>
        <v> </v>
      </c>
      <c r="T14" s="334" t="str">
        <f aca="false">IF((E14="b"),G14," ")</f>
        <v> </v>
      </c>
      <c r="U14" s="334" t="str">
        <f aca="false">IF((E14="i"),G14," ")</f>
        <v> </v>
      </c>
      <c r="V14" s="334" t="n">
        <f aca="false">IF((E14="o"),G14," ")</f>
        <v>24</v>
      </c>
      <c r="W14" s="334" t="str">
        <f aca="false">IF((E14="f"),G14," ")</f>
        <v> </v>
      </c>
    </row>
    <row r="15" customFormat="false" ht="12.75" hidden="false" customHeight="false" outlineLevel="0" collapsed="false">
      <c r="A15" s="355" t="n">
        <v>45752</v>
      </c>
      <c r="B15" s="363" t="s">
        <v>320</v>
      </c>
      <c r="E15" s="365" t="s">
        <v>291</v>
      </c>
      <c r="G15" s="366" t="n">
        <v>180</v>
      </c>
      <c r="I15" s="367" t="n">
        <f aca="false">IF((G15&lt;&gt;0),IF((D15&gt;0)," ",(I$1-A15))," ")</f>
        <v>386</v>
      </c>
      <c r="J15" s="334" t="str">
        <f aca="false">IF((E15="s"),G15," ")</f>
        <v> </v>
      </c>
      <c r="K15" s="334" t="str">
        <f aca="false">IF((E15="d"),G15," ")</f>
        <v> </v>
      </c>
      <c r="L15" s="334" t="str">
        <f aca="false">IF((E15="e"),G15," ")</f>
        <v> </v>
      </c>
      <c r="M15" s="334" t="str">
        <f aca="false">IF((E15="p"),G15," ")</f>
        <v> </v>
      </c>
      <c r="N15" s="334" t="str">
        <f aca="false">IF((E15="r"),G15," ")</f>
        <v> </v>
      </c>
      <c r="O15" s="334" t="str">
        <f aca="false">IF((E15="g"),G15," ")</f>
        <v> </v>
      </c>
      <c r="P15" s="334" t="n">
        <f aca="false">IF((E15="m"),G15," ")</f>
        <v>180</v>
      </c>
      <c r="Q15" s="334" t="str">
        <f aca="false">IF((E15="t"),G15," ")</f>
        <v> </v>
      </c>
      <c r="R15" s="334" t="str">
        <f aca="false">IF((E15="a"),G15," ")</f>
        <v> </v>
      </c>
      <c r="S15" s="334" t="str">
        <f aca="false">IF((E15="l"),G15," ")</f>
        <v> </v>
      </c>
      <c r="T15" s="334" t="str">
        <f aca="false">IF((E15="b"),G15," ")</f>
        <v> </v>
      </c>
      <c r="U15" s="334" t="str">
        <f aca="false">IF((E15="i"),G15," ")</f>
        <v> </v>
      </c>
      <c r="V15" s="334" t="str">
        <f aca="false">IF((E15="o"),G15," ")</f>
        <v> </v>
      </c>
      <c r="W15" s="334" t="str">
        <f aca="false">IF((E15="f"),G15," ")</f>
        <v> </v>
      </c>
    </row>
    <row r="16" customFormat="false" ht="12.75" hidden="false" customHeight="false" outlineLevel="0" collapsed="false">
      <c r="A16" s="355" t="n">
        <v>45752</v>
      </c>
      <c r="B16" s="363" t="s">
        <v>321</v>
      </c>
      <c r="E16" s="365" t="s">
        <v>313</v>
      </c>
      <c r="G16" s="366" t="n">
        <v>36</v>
      </c>
      <c r="I16" s="367" t="n">
        <f aca="false">IF((G16&lt;&gt;0),IF((D16&gt;0)," ",(I$1-A16))," ")</f>
        <v>386</v>
      </c>
      <c r="J16" s="334" t="str">
        <f aca="false">IF((E16="s"),G16," ")</f>
        <v> </v>
      </c>
      <c r="K16" s="334" t="str">
        <f aca="false">IF((E16="d"),G16," ")</f>
        <v> </v>
      </c>
      <c r="L16" s="334" t="str">
        <f aca="false">IF((E16="e"),G16," ")</f>
        <v> </v>
      </c>
      <c r="M16" s="334" t="str">
        <f aca="false">IF((E16="p"),G16," ")</f>
        <v> </v>
      </c>
      <c r="N16" s="334" t="str">
        <f aca="false">IF((E16="r"),G16," ")</f>
        <v> </v>
      </c>
      <c r="O16" s="334" t="str">
        <f aca="false">IF((E16="g"),G16," ")</f>
        <v> </v>
      </c>
      <c r="P16" s="334" t="str">
        <f aca="false">IF((E16="m"),G16," ")</f>
        <v> </v>
      </c>
      <c r="Q16" s="334" t="str">
        <f aca="false">IF((E16="t"),G16," ")</f>
        <v> </v>
      </c>
      <c r="R16" s="334" t="str">
        <f aca="false">IF((E16="a"),G16," ")</f>
        <v> </v>
      </c>
      <c r="S16" s="334" t="str">
        <f aca="false">IF((E16="l"),G16," ")</f>
        <v> </v>
      </c>
      <c r="T16" s="334" t="str">
        <f aca="false">IF((E16="b"),G16," ")</f>
        <v> </v>
      </c>
      <c r="U16" s="334" t="str">
        <f aca="false">IF((E16="i"),G16," ")</f>
        <v> </v>
      </c>
      <c r="V16" s="334" t="n">
        <f aca="false">IF((E16="o"),G16," ")</f>
        <v>36</v>
      </c>
      <c r="W16" s="334" t="str">
        <f aca="false">IF((E16="f"),G16," ")</f>
        <v> </v>
      </c>
    </row>
    <row r="17" customFormat="false" ht="12.75" hidden="false" customHeight="false" outlineLevel="0" collapsed="false">
      <c r="A17" s="355" t="n">
        <v>45755</v>
      </c>
      <c r="B17" s="363" t="s">
        <v>322</v>
      </c>
      <c r="E17" s="365" t="s">
        <v>323</v>
      </c>
      <c r="G17" s="366" t="n">
        <v>48</v>
      </c>
      <c r="I17" s="367" t="n">
        <f aca="false">IF((G17&lt;&gt;0),IF((D17&gt;0)," ",(I$1-A17))," ")</f>
        <v>383</v>
      </c>
      <c r="J17" s="334" t="str">
        <f aca="false">IF((E17="s"),G17," ")</f>
        <v> </v>
      </c>
      <c r="K17" s="334" t="str">
        <f aca="false">IF((E17="d"),G17," ")</f>
        <v> </v>
      </c>
      <c r="L17" s="334" t="str">
        <f aca="false">IF((E17="e"),G17," ")</f>
        <v> </v>
      </c>
      <c r="M17" s="334" t="str">
        <f aca="false">IF((E17="p"),G17," ")</f>
        <v> </v>
      </c>
      <c r="N17" s="334" t="str">
        <f aca="false">IF((E17="r"),G17," ")</f>
        <v> </v>
      </c>
      <c r="O17" s="334" t="str">
        <f aca="false">IF((E17="g"),G17," ")</f>
        <v> </v>
      </c>
      <c r="P17" s="334" t="str">
        <f aca="false">IF((E17="m"),G17," ")</f>
        <v> </v>
      </c>
      <c r="Q17" s="334" t="n">
        <f aca="false">IF((E17="t"),G17," ")</f>
        <v>48</v>
      </c>
      <c r="R17" s="334" t="str">
        <f aca="false">IF((E17="a"),G17," ")</f>
        <v> </v>
      </c>
      <c r="S17" s="334" t="str">
        <f aca="false">IF((E17="l"),G17," ")</f>
        <v> </v>
      </c>
      <c r="T17" s="334" t="str">
        <f aca="false">IF((E17="b"),G17," ")</f>
        <v> </v>
      </c>
      <c r="U17" s="334" t="str">
        <f aca="false">IF((E17="i"),G17," ")</f>
        <v> </v>
      </c>
      <c r="V17" s="334" t="str">
        <f aca="false">IF((E17="o"),G17," ")</f>
        <v> </v>
      </c>
      <c r="W17" s="334" t="str">
        <f aca="false">IF((E17="f"),G17," ")</f>
        <v> </v>
      </c>
    </row>
    <row r="18" customFormat="false" ht="12.75" hidden="false" customHeight="false" outlineLevel="0" collapsed="false">
      <c r="A18" s="355" t="n">
        <v>45757</v>
      </c>
      <c r="B18" s="363" t="s">
        <v>324</v>
      </c>
      <c r="E18" s="365" t="s">
        <v>313</v>
      </c>
      <c r="G18" s="366" t="n">
        <v>36</v>
      </c>
      <c r="I18" s="367" t="n">
        <f aca="false">IF((G18&lt;&gt;0),IF((D18&gt;0)," ",(I$1-A18))," ")</f>
        <v>381</v>
      </c>
      <c r="J18" s="334" t="str">
        <f aca="false">IF((E18="s"),G18," ")</f>
        <v> </v>
      </c>
      <c r="K18" s="334" t="str">
        <f aca="false">IF((E18="d"),G18," ")</f>
        <v> </v>
      </c>
      <c r="L18" s="334" t="str">
        <f aca="false">IF((E18="e"),G18," ")</f>
        <v> </v>
      </c>
      <c r="M18" s="334" t="str">
        <f aca="false">IF((E18="p"),G18," ")</f>
        <v> </v>
      </c>
      <c r="N18" s="334" t="str">
        <f aca="false">IF((E18="r"),G18," ")</f>
        <v> </v>
      </c>
      <c r="O18" s="334" t="str">
        <f aca="false">IF((E18="g"),G18," ")</f>
        <v> </v>
      </c>
      <c r="P18" s="334" t="str">
        <f aca="false">IF((E18="m"),G18," ")</f>
        <v> </v>
      </c>
      <c r="Q18" s="334" t="str">
        <f aca="false">IF((E18="t"),G18," ")</f>
        <v> </v>
      </c>
      <c r="R18" s="334" t="str">
        <f aca="false">IF((E18="a"),G18," ")</f>
        <v> </v>
      </c>
      <c r="S18" s="334" t="str">
        <f aca="false">IF((E18="l"),G18," ")</f>
        <v> </v>
      </c>
      <c r="T18" s="334" t="str">
        <f aca="false">IF((E18="b"),G18," ")</f>
        <v> </v>
      </c>
      <c r="U18" s="334" t="str">
        <f aca="false">IF((E18="i"),G18," ")</f>
        <v> </v>
      </c>
      <c r="V18" s="334" t="n">
        <f aca="false">IF((E18="o"),G18," ")</f>
        <v>36</v>
      </c>
      <c r="W18" s="334" t="str">
        <f aca="false">IF((E18="f"),G18," ")</f>
        <v> </v>
      </c>
    </row>
    <row r="19" customFormat="false" ht="12.75" hidden="false" customHeight="false" outlineLevel="0" collapsed="false">
      <c r="A19" s="355" t="n">
        <v>45757</v>
      </c>
      <c r="B19" s="363" t="s">
        <v>325</v>
      </c>
      <c r="E19" s="365" t="s">
        <v>313</v>
      </c>
      <c r="G19" s="366" t="n">
        <v>180</v>
      </c>
      <c r="I19" s="367" t="n">
        <f aca="false">IF((G19&lt;&gt;0),IF((D19&gt;0)," ",(I$1-A19))," ")</f>
        <v>381</v>
      </c>
      <c r="J19" s="334" t="str">
        <f aca="false">IF((E19="s"),G19," ")</f>
        <v> </v>
      </c>
      <c r="K19" s="334" t="str">
        <f aca="false">IF((E19="d"),G19," ")</f>
        <v> </v>
      </c>
      <c r="L19" s="334" t="str">
        <f aca="false">IF((E19="e"),G19," ")</f>
        <v> </v>
      </c>
      <c r="M19" s="334" t="str">
        <f aca="false">IF((E19="p"),G19," ")</f>
        <v> </v>
      </c>
      <c r="N19" s="334" t="str">
        <f aca="false">IF((E19="r"),G19," ")</f>
        <v> </v>
      </c>
      <c r="O19" s="334" t="str">
        <f aca="false">IF((E19="g"),G19," ")</f>
        <v> </v>
      </c>
      <c r="P19" s="334" t="str">
        <f aca="false">IF((E19="m"),G19," ")</f>
        <v> </v>
      </c>
      <c r="Q19" s="334" t="str">
        <f aca="false">IF((E19="t"),G19," ")</f>
        <v> </v>
      </c>
      <c r="R19" s="334" t="str">
        <f aca="false">IF((E19="a"),G19," ")</f>
        <v> </v>
      </c>
      <c r="S19" s="334" t="str">
        <f aca="false">IF((E19="l"),G19," ")</f>
        <v> </v>
      </c>
      <c r="T19" s="334" t="str">
        <f aca="false">IF((E19="b"),G19," ")</f>
        <v> </v>
      </c>
      <c r="U19" s="334" t="str">
        <f aca="false">IF((E19="i"),G19," ")</f>
        <v> </v>
      </c>
      <c r="V19" s="334" t="n">
        <f aca="false">IF((E19="o"),G19," ")</f>
        <v>180</v>
      </c>
      <c r="W19" s="334" t="str">
        <f aca="false">IF((E19="f"),G19," ")</f>
        <v> </v>
      </c>
    </row>
    <row r="20" customFormat="false" ht="12.75" hidden="false" customHeight="false" outlineLevel="0" collapsed="false">
      <c r="A20" s="355" t="n">
        <v>45757</v>
      </c>
      <c r="B20" s="363" t="s">
        <v>326</v>
      </c>
      <c r="E20" s="365" t="s">
        <v>327</v>
      </c>
      <c r="G20" s="366" t="n">
        <v>600</v>
      </c>
      <c r="I20" s="367" t="n">
        <f aca="false">IF((G20&lt;&gt;0),IF((D20&gt;0)," ",(I$1-A20))," ")</f>
        <v>381</v>
      </c>
      <c r="J20" s="334" t="n">
        <f aca="false">IF((E20="s"),G20," ")</f>
        <v>600</v>
      </c>
      <c r="K20" s="334" t="str">
        <f aca="false">IF((E20="d"),G20," ")</f>
        <v> </v>
      </c>
      <c r="L20" s="334" t="str">
        <f aca="false">IF((E20="e"),G20," ")</f>
        <v> </v>
      </c>
      <c r="M20" s="334" t="str">
        <f aca="false">IF((E20="p"),G20," ")</f>
        <v> </v>
      </c>
      <c r="N20" s="334" t="str">
        <f aca="false">IF((E20="r"),G20," ")</f>
        <v> </v>
      </c>
      <c r="O20" s="334" t="str">
        <f aca="false">IF((E20="g"),G20," ")</f>
        <v> </v>
      </c>
      <c r="P20" s="334" t="str">
        <f aca="false">IF((E20="m"),G20," ")</f>
        <v> </v>
      </c>
      <c r="Q20" s="334" t="str">
        <f aca="false">IF((E20="t"),G20," ")</f>
        <v> </v>
      </c>
      <c r="R20" s="334" t="str">
        <f aca="false">IF((E20="a"),G20," ")</f>
        <v> </v>
      </c>
      <c r="S20" s="334" t="str">
        <f aca="false">IF((E20="l"),G20," ")</f>
        <v> </v>
      </c>
      <c r="T20" s="334" t="str">
        <f aca="false">IF((E20="b"),G20," ")</f>
        <v> </v>
      </c>
      <c r="U20" s="334" t="str">
        <f aca="false">IF((E20="i"),G20," ")</f>
        <v> </v>
      </c>
      <c r="V20" s="334" t="str">
        <f aca="false">IF((E20="o"),G20," ")</f>
        <v> </v>
      </c>
      <c r="W20" s="334" t="str">
        <f aca="false">IF((E20="f"),G20," ")</f>
        <v> </v>
      </c>
    </row>
    <row r="21" customFormat="false" ht="12.75" hidden="false" customHeight="false" outlineLevel="0" collapsed="false">
      <c r="A21" s="355" t="n">
        <v>45759</v>
      </c>
      <c r="B21" s="363" t="s">
        <v>328</v>
      </c>
      <c r="E21" s="365" t="s">
        <v>291</v>
      </c>
      <c r="G21" s="366" t="n">
        <v>18</v>
      </c>
      <c r="I21" s="367" t="n">
        <f aca="false">IF((G21&lt;&gt;0),IF((D21&gt;0)," ",(I$1-A21))," ")</f>
        <v>379</v>
      </c>
      <c r="J21" s="334" t="str">
        <f aca="false">IF((E21="s"),G21," ")</f>
        <v> </v>
      </c>
      <c r="K21" s="334" t="str">
        <f aca="false">IF((E21="d"),G21," ")</f>
        <v> </v>
      </c>
      <c r="L21" s="334" t="str">
        <f aca="false">IF((E21="e"),G21," ")</f>
        <v> </v>
      </c>
      <c r="M21" s="334" t="str">
        <f aca="false">IF((E21="p"),G21," ")</f>
        <v> </v>
      </c>
      <c r="N21" s="334" t="str">
        <f aca="false">IF((E21="r"),G21," ")</f>
        <v> </v>
      </c>
      <c r="O21" s="334" t="str">
        <f aca="false">IF((E21="g"),G21," ")</f>
        <v> </v>
      </c>
      <c r="P21" s="334" t="n">
        <f aca="false">IF((E21="m"),G21," ")</f>
        <v>18</v>
      </c>
      <c r="Q21" s="334" t="str">
        <f aca="false">IF((E21="t"),G21," ")</f>
        <v> </v>
      </c>
      <c r="R21" s="334" t="str">
        <f aca="false">IF((E21="a"),G21," ")</f>
        <v> </v>
      </c>
      <c r="S21" s="334" t="str">
        <f aca="false">IF((E21="l"),G21," ")</f>
        <v> </v>
      </c>
      <c r="T21" s="334" t="str">
        <f aca="false">IF((E21="b"),G21," ")</f>
        <v> </v>
      </c>
      <c r="U21" s="334" t="str">
        <f aca="false">IF((E21="i"),G21," ")</f>
        <v> </v>
      </c>
      <c r="V21" s="334" t="str">
        <f aca="false">IF((E21="o"),G21," ")</f>
        <v> </v>
      </c>
      <c r="W21" s="334" t="str">
        <f aca="false">IF((E21="f"),G21," ")</f>
        <v> </v>
      </c>
    </row>
    <row r="22" customFormat="false" ht="12.75" hidden="false" customHeight="false" outlineLevel="0" collapsed="false">
      <c r="A22" s="355" t="n">
        <v>45761</v>
      </c>
      <c r="B22" s="363" t="s">
        <v>329</v>
      </c>
      <c r="E22" s="365" t="s">
        <v>313</v>
      </c>
      <c r="G22" s="366" t="n">
        <v>42</v>
      </c>
      <c r="I22" s="367" t="n">
        <f aca="false">IF((G22&lt;&gt;0),IF((D22&gt;0)," ",(I$1-A22))," ")</f>
        <v>377</v>
      </c>
      <c r="J22" s="334" t="str">
        <f aca="false">IF((E22="s"),G22," ")</f>
        <v> </v>
      </c>
      <c r="K22" s="334" t="str">
        <f aca="false">IF((E22="d"),G22," ")</f>
        <v> </v>
      </c>
      <c r="L22" s="334" t="str">
        <f aca="false">IF((E22="e"),G22," ")</f>
        <v> </v>
      </c>
      <c r="M22" s="334" t="str">
        <f aca="false">IF((E22="p"),G22," ")</f>
        <v> </v>
      </c>
      <c r="N22" s="334" t="str">
        <f aca="false">IF((E22="r"),G22," ")</f>
        <v> </v>
      </c>
      <c r="O22" s="334" t="str">
        <f aca="false">IF((E22="g"),G22," ")</f>
        <v> </v>
      </c>
      <c r="P22" s="334" t="str">
        <f aca="false">IF((E22="m"),G22," ")</f>
        <v> </v>
      </c>
      <c r="Q22" s="334" t="str">
        <f aca="false">IF((E22="t"),G22," ")</f>
        <v> </v>
      </c>
      <c r="R22" s="334" t="str">
        <f aca="false">IF((E22="a"),G22," ")</f>
        <v> </v>
      </c>
      <c r="S22" s="334" t="str">
        <f aca="false">IF((E22="l"),G22," ")</f>
        <v> </v>
      </c>
      <c r="T22" s="334" t="str">
        <f aca="false">IF((E22="b"),G22," ")</f>
        <v> </v>
      </c>
      <c r="U22" s="334" t="str">
        <f aca="false">IF((E22="i"),G22," ")</f>
        <v> </v>
      </c>
      <c r="V22" s="334" t="n">
        <f aca="false">IF((E22="o"),G22," ")</f>
        <v>42</v>
      </c>
      <c r="W22" s="334" t="str">
        <f aca="false">IF((E22="f"),G22," ")</f>
        <v> </v>
      </c>
    </row>
    <row r="23" customFormat="false" ht="12.75" hidden="false" customHeight="false" outlineLevel="0" collapsed="false">
      <c r="A23" s="355" t="n">
        <v>45761</v>
      </c>
      <c r="B23" s="363" t="s">
        <v>330</v>
      </c>
      <c r="E23" s="365" t="s">
        <v>323</v>
      </c>
      <c r="G23" s="366" t="n">
        <v>24</v>
      </c>
      <c r="I23" s="367" t="n">
        <f aca="false">IF((G23&lt;&gt;0),IF((D23&gt;0)," ",(I$1-A23))," ")</f>
        <v>377</v>
      </c>
      <c r="J23" s="334" t="str">
        <f aca="false">IF((E23="s"),G23," ")</f>
        <v> </v>
      </c>
      <c r="K23" s="334" t="str">
        <f aca="false">IF((E23="d"),G23," ")</f>
        <v> </v>
      </c>
      <c r="L23" s="334" t="str">
        <f aca="false">IF((E23="e"),G23," ")</f>
        <v> </v>
      </c>
      <c r="M23" s="334" t="str">
        <f aca="false">IF((E23="p"),G23," ")</f>
        <v> </v>
      </c>
      <c r="N23" s="334" t="str">
        <f aca="false">IF((E23="r"),G23," ")</f>
        <v> </v>
      </c>
      <c r="O23" s="334" t="str">
        <f aca="false">IF((E23="g"),G23," ")</f>
        <v> </v>
      </c>
      <c r="P23" s="334" t="str">
        <f aca="false">IF((E23="m"),G23," ")</f>
        <v> </v>
      </c>
      <c r="Q23" s="334" t="n">
        <f aca="false">IF((E23="t"),G23," ")</f>
        <v>24</v>
      </c>
      <c r="R23" s="334" t="str">
        <f aca="false">IF((E23="a"),G23," ")</f>
        <v> </v>
      </c>
      <c r="S23" s="334" t="str">
        <f aca="false">IF((E23="l"),G23," ")</f>
        <v> </v>
      </c>
      <c r="T23" s="334" t="str">
        <f aca="false">IF((E23="b"),G23," ")</f>
        <v> </v>
      </c>
      <c r="U23" s="334" t="str">
        <f aca="false">IF((E23="i"),G23," ")</f>
        <v> </v>
      </c>
      <c r="V23" s="334" t="str">
        <f aca="false">IF((E23="o"),G23," ")</f>
        <v> </v>
      </c>
      <c r="W23" s="334" t="str">
        <f aca="false">IF((E23="f"),G23," ")</f>
        <v> </v>
      </c>
    </row>
    <row r="24" customFormat="false" ht="12.75" hidden="false" customHeight="false" outlineLevel="0" collapsed="false">
      <c r="A24" s="355" t="n">
        <v>45761</v>
      </c>
      <c r="B24" s="363" t="s">
        <v>331</v>
      </c>
      <c r="E24" s="365" t="s">
        <v>323</v>
      </c>
      <c r="G24" s="366" t="n">
        <v>12</v>
      </c>
      <c r="I24" s="367" t="n">
        <f aca="false">IF((G24&lt;&gt;0),IF((D24&gt;0)," ",(I$1-A24))," ")</f>
        <v>377</v>
      </c>
      <c r="J24" s="334" t="str">
        <f aca="false">IF((E24="s"),G24," ")</f>
        <v> </v>
      </c>
      <c r="K24" s="334" t="str">
        <f aca="false">IF((E24="d"),G24," ")</f>
        <v> </v>
      </c>
      <c r="L24" s="334" t="str">
        <f aca="false">IF((E24="e"),G24," ")</f>
        <v> </v>
      </c>
      <c r="M24" s="334" t="str">
        <f aca="false">IF((E24="p"),G24," ")</f>
        <v> </v>
      </c>
      <c r="N24" s="334" t="str">
        <f aca="false">IF((E24="r"),G24," ")</f>
        <v> </v>
      </c>
      <c r="O24" s="334" t="str">
        <f aca="false">IF((E24="g"),G24," ")</f>
        <v> </v>
      </c>
      <c r="P24" s="334" t="str">
        <f aca="false">IF((E24="m"),G24," ")</f>
        <v> </v>
      </c>
      <c r="Q24" s="334" t="n">
        <f aca="false">IF((E24="t"),G24," ")</f>
        <v>12</v>
      </c>
      <c r="R24" s="334" t="str">
        <f aca="false">IF((E24="a"),G24," ")</f>
        <v> </v>
      </c>
      <c r="S24" s="334" t="str">
        <f aca="false">IF((E24="l"),G24," ")</f>
        <v> </v>
      </c>
      <c r="T24" s="334" t="str">
        <f aca="false">IF((E24="b"),G24," ")</f>
        <v> </v>
      </c>
      <c r="U24" s="334" t="str">
        <f aca="false">IF((E24="i"),G24," ")</f>
        <v> </v>
      </c>
      <c r="V24" s="334" t="str">
        <f aca="false">IF((E24="o"),G24," ")</f>
        <v> </v>
      </c>
      <c r="W24" s="334" t="str">
        <f aca="false">IF((E24="f"),G24," ")</f>
        <v> </v>
      </c>
    </row>
    <row r="25" customFormat="false" ht="12.75" hidden="false" customHeight="false" outlineLevel="0" collapsed="false">
      <c r="A25" s="355" t="n">
        <v>45762</v>
      </c>
      <c r="B25" s="363" t="s">
        <v>243</v>
      </c>
      <c r="E25" s="365" t="s">
        <v>291</v>
      </c>
      <c r="G25" s="366" t="n">
        <v>150</v>
      </c>
      <c r="I25" s="367" t="n">
        <f aca="false">IF((G25&lt;&gt;0),IF((D25&gt;0)," ",(I$1-A25))," ")</f>
        <v>376</v>
      </c>
      <c r="J25" s="334" t="str">
        <f aca="false">IF((E25="s"),G25," ")</f>
        <v> </v>
      </c>
      <c r="K25" s="334" t="str">
        <f aca="false">IF((E25="d"),G25," ")</f>
        <v> </v>
      </c>
      <c r="L25" s="334" t="str">
        <f aca="false">IF((E25="e"),G25," ")</f>
        <v> </v>
      </c>
      <c r="M25" s="334" t="str">
        <f aca="false">IF((E25="p"),G25," ")</f>
        <v> </v>
      </c>
      <c r="N25" s="334" t="str">
        <f aca="false">IF((E25="r"),G25," ")</f>
        <v> </v>
      </c>
      <c r="O25" s="334" t="str">
        <f aca="false">IF((E25="g"),G25," ")</f>
        <v> </v>
      </c>
      <c r="P25" s="334" t="n">
        <f aca="false">IF((E25="m"),G25," ")</f>
        <v>150</v>
      </c>
      <c r="Q25" s="334" t="str">
        <f aca="false">IF((E25="t"),G25," ")</f>
        <v> </v>
      </c>
      <c r="R25" s="334" t="str">
        <f aca="false">IF((E25="a"),G25," ")</f>
        <v> </v>
      </c>
      <c r="S25" s="334" t="str">
        <f aca="false">IF((E25="l"),G25," ")</f>
        <v> </v>
      </c>
      <c r="T25" s="334" t="str">
        <f aca="false">IF((E25="b"),G25," ")</f>
        <v> </v>
      </c>
      <c r="U25" s="334" t="str">
        <f aca="false">IF((E25="i"),G25," ")</f>
        <v> </v>
      </c>
      <c r="V25" s="334" t="str">
        <f aca="false">IF((E25="o"),G25," ")</f>
        <v> </v>
      </c>
      <c r="W25" s="334" t="str">
        <f aca="false">IF((E25="f"),G25," ")</f>
        <v> </v>
      </c>
    </row>
    <row r="26" customFormat="false" ht="12.75" hidden="false" customHeight="false" outlineLevel="0" collapsed="false">
      <c r="A26" s="355" t="n">
        <v>45762</v>
      </c>
      <c r="B26" s="363" t="s">
        <v>332</v>
      </c>
      <c r="E26" s="365" t="s">
        <v>310</v>
      </c>
      <c r="G26" s="366" t="n">
        <v>12</v>
      </c>
      <c r="I26" s="367" t="n">
        <f aca="false">IF((G26&lt;&gt;0),IF((D26&gt;0)," ",(I$1-A26))," ")</f>
        <v>376</v>
      </c>
      <c r="J26" s="334" t="str">
        <f aca="false">IF((E26="s"),G26," ")</f>
        <v> </v>
      </c>
      <c r="K26" s="334" t="str">
        <f aca="false">IF((E26="d"),G26," ")</f>
        <v> </v>
      </c>
      <c r="L26" s="334" t="str">
        <f aca="false">IF((E26="e"),G26," ")</f>
        <v> </v>
      </c>
      <c r="M26" s="334" t="str">
        <f aca="false">IF((E26="p"),G26," ")</f>
        <v> </v>
      </c>
      <c r="N26" s="334" t="str">
        <f aca="false">IF((E26="r"),G26," ")</f>
        <v> </v>
      </c>
      <c r="O26" s="334" t="n">
        <f aca="false">IF((E26="g"),G26," ")</f>
        <v>12</v>
      </c>
      <c r="P26" s="334" t="str">
        <f aca="false">IF((E26="m"),G26," ")</f>
        <v> </v>
      </c>
      <c r="Q26" s="334" t="str">
        <f aca="false">IF((E26="t"),G26," ")</f>
        <v> </v>
      </c>
      <c r="R26" s="334" t="str">
        <f aca="false">IF((E26="a"),G26," ")</f>
        <v> </v>
      </c>
      <c r="S26" s="334" t="str">
        <f aca="false">IF((E26="l"),G26," ")</f>
        <v> </v>
      </c>
      <c r="T26" s="334" t="str">
        <f aca="false">IF((E26="b"),G26," ")</f>
        <v> </v>
      </c>
      <c r="U26" s="334" t="str">
        <f aca="false">IF((E26="i"),G26," ")</f>
        <v> </v>
      </c>
      <c r="V26" s="334" t="str">
        <f aca="false">IF((E26="o"),G26," ")</f>
        <v> </v>
      </c>
      <c r="W26" s="334" t="str">
        <f aca="false">IF((E26="f"),G26," ")</f>
        <v> </v>
      </c>
    </row>
    <row r="27" customFormat="false" ht="12.75" hidden="false" customHeight="false" outlineLevel="0" collapsed="false">
      <c r="A27" s="355" t="n">
        <v>45765</v>
      </c>
      <c r="B27" s="363" t="s">
        <v>333</v>
      </c>
      <c r="E27" s="365" t="s">
        <v>291</v>
      </c>
      <c r="G27" s="366" t="n">
        <v>96</v>
      </c>
      <c r="I27" s="367" t="n">
        <f aca="false">IF((G27&lt;&gt;0),IF((D27&gt;0)," ",(I$1-A27))," ")</f>
        <v>373</v>
      </c>
      <c r="J27" s="334" t="str">
        <f aca="false">IF((E27="s"),G27," ")</f>
        <v> </v>
      </c>
      <c r="K27" s="334" t="str">
        <f aca="false">IF((E27="d"),G27," ")</f>
        <v> </v>
      </c>
      <c r="L27" s="334" t="str">
        <f aca="false">IF((E27="e"),G27," ")</f>
        <v> </v>
      </c>
      <c r="M27" s="334" t="str">
        <f aca="false">IF((E27="p"),G27," ")</f>
        <v> </v>
      </c>
      <c r="N27" s="334" t="str">
        <f aca="false">IF((E27="r"),G27," ")</f>
        <v> </v>
      </c>
      <c r="O27" s="334" t="str">
        <f aca="false">IF((E27="g"),G27," ")</f>
        <v> </v>
      </c>
      <c r="P27" s="334" t="n">
        <f aca="false">IF((E27="m"),G27," ")</f>
        <v>96</v>
      </c>
      <c r="Q27" s="334" t="str">
        <f aca="false">IF((E27="t"),G27," ")</f>
        <v> </v>
      </c>
      <c r="R27" s="334" t="str">
        <f aca="false">IF((E27="a"),G27," ")</f>
        <v> </v>
      </c>
      <c r="S27" s="334" t="str">
        <f aca="false">IF((E27="l"),G27," ")</f>
        <v> </v>
      </c>
      <c r="T27" s="334" t="str">
        <f aca="false">IF((E27="b"),G27," ")</f>
        <v> </v>
      </c>
      <c r="U27" s="334" t="str">
        <f aca="false">IF((E27="i"),G27," ")</f>
        <v> </v>
      </c>
      <c r="V27" s="334" t="str">
        <f aca="false">IF((E27="o"),G27," ")</f>
        <v> </v>
      </c>
      <c r="W27" s="334" t="str">
        <f aca="false">IF((E27="f"),G27," ")</f>
        <v> </v>
      </c>
    </row>
    <row r="28" customFormat="false" ht="12.75" hidden="false" customHeight="false" outlineLevel="0" collapsed="false">
      <c r="A28" s="355" t="n">
        <v>45767</v>
      </c>
      <c r="B28" s="363" t="s">
        <v>242</v>
      </c>
      <c r="E28" s="365" t="s">
        <v>310</v>
      </c>
      <c r="G28" s="366" t="n">
        <v>60</v>
      </c>
      <c r="I28" s="367" t="n">
        <f aca="false">IF((G28&lt;&gt;0),IF((D28&gt;0)," ",(I$1-A28))," ")</f>
        <v>371</v>
      </c>
      <c r="J28" s="334" t="str">
        <f aca="false">IF((E28="s"),G28," ")</f>
        <v> </v>
      </c>
      <c r="K28" s="334" t="str">
        <f aca="false">IF((E28="d"),G28," ")</f>
        <v> </v>
      </c>
      <c r="L28" s="334" t="str">
        <f aca="false">IF((E28="e"),G28," ")</f>
        <v> </v>
      </c>
      <c r="M28" s="334" t="str">
        <f aca="false">IF((E28="p"),G28," ")</f>
        <v> </v>
      </c>
      <c r="N28" s="334" t="str">
        <f aca="false">IF((E28="r"),G28," ")</f>
        <v> </v>
      </c>
      <c r="O28" s="334" t="n">
        <f aca="false">IF((E28="g"),G28," ")</f>
        <v>60</v>
      </c>
      <c r="P28" s="334" t="str">
        <f aca="false">IF((E28="m"),G28," ")</f>
        <v> </v>
      </c>
      <c r="Q28" s="334" t="str">
        <f aca="false">IF((E28="t"),G28," ")</f>
        <v> </v>
      </c>
      <c r="R28" s="334" t="str">
        <f aca="false">IF((E28="a"),G28," ")</f>
        <v> </v>
      </c>
      <c r="S28" s="334" t="str">
        <f aca="false">IF((E28="l"),G28," ")</f>
        <v> </v>
      </c>
      <c r="T28" s="334" t="str">
        <f aca="false">IF((E28="b"),G28," ")</f>
        <v> </v>
      </c>
      <c r="U28" s="334" t="str">
        <f aca="false">IF((E28="i"),G28," ")</f>
        <v> </v>
      </c>
      <c r="V28" s="334" t="str">
        <f aca="false">IF((E28="o"),G28," ")</f>
        <v> </v>
      </c>
      <c r="W28" s="334" t="str">
        <f aca="false">IF((E28="f"),G28," ")</f>
        <v> </v>
      </c>
    </row>
    <row r="29" customFormat="false" ht="12.75" hidden="false" customHeight="false" outlineLevel="0" collapsed="false">
      <c r="A29" s="355" t="n">
        <v>45767</v>
      </c>
      <c r="B29" s="363" t="s">
        <v>334</v>
      </c>
      <c r="E29" s="365" t="s">
        <v>335</v>
      </c>
      <c r="G29" s="366" t="n">
        <v>120</v>
      </c>
      <c r="I29" s="367" t="n">
        <f aca="false">IF((G29&lt;&gt;0),IF((D29&gt;0)," ",(I$1-A29))," ")</f>
        <v>371</v>
      </c>
      <c r="J29" s="334" t="str">
        <f aca="false">IF((E29="s"),G29," ")</f>
        <v> </v>
      </c>
      <c r="K29" s="334" t="str">
        <f aca="false">IF((E29="d"),G29," ")</f>
        <v> </v>
      </c>
      <c r="L29" s="334" t="str">
        <f aca="false">IF((E29="e"),G29," ")</f>
        <v> </v>
      </c>
      <c r="M29" s="334" t="str">
        <f aca="false">IF((E29="p"),G29," ")</f>
        <v> </v>
      </c>
      <c r="N29" s="334" t="n">
        <f aca="false">IF((E29="r"),G29," ")</f>
        <v>120</v>
      </c>
      <c r="O29" s="334" t="str">
        <f aca="false">IF((E29="g"),G29," ")</f>
        <v> </v>
      </c>
      <c r="P29" s="334" t="str">
        <f aca="false">IF((E29="m"),G29," ")</f>
        <v> </v>
      </c>
      <c r="Q29" s="334" t="str">
        <f aca="false">IF((E29="t"),G29," ")</f>
        <v> </v>
      </c>
      <c r="R29" s="334" t="str">
        <f aca="false">IF((E29="a"),G29," ")</f>
        <v> </v>
      </c>
      <c r="S29" s="334" t="str">
        <f aca="false">IF((E29="l"),G29," ")</f>
        <v> </v>
      </c>
      <c r="T29" s="334" t="str">
        <f aca="false">IF((E29="b"),G29," ")</f>
        <v> </v>
      </c>
      <c r="U29" s="334" t="str">
        <f aca="false">IF((E29="i"),G29," ")</f>
        <v> </v>
      </c>
      <c r="V29" s="334" t="str">
        <f aca="false">IF((E29="o"),G29," ")</f>
        <v> </v>
      </c>
      <c r="W29" s="334" t="str">
        <f aca="false">IF((E29="f"),G29," ")</f>
        <v> </v>
      </c>
    </row>
    <row r="30" customFormat="false" ht="12.75" hidden="false" customHeight="false" outlineLevel="0" collapsed="false">
      <c r="A30" s="355" t="n">
        <v>45768</v>
      </c>
      <c r="B30" s="363" t="s">
        <v>336</v>
      </c>
      <c r="E30" s="365" t="s">
        <v>323</v>
      </c>
      <c r="G30" s="366" t="n">
        <v>8</v>
      </c>
      <c r="I30" s="367" t="n">
        <f aca="false">IF((G30&lt;&gt;0),IF((D30&gt;0)," ",(I$1-A30))," ")</f>
        <v>370</v>
      </c>
      <c r="J30" s="334" t="str">
        <f aca="false">IF((E30="s"),G30," ")</f>
        <v> </v>
      </c>
      <c r="K30" s="334" t="str">
        <f aca="false">IF((E30="d"),G30," ")</f>
        <v> </v>
      </c>
      <c r="L30" s="334" t="str">
        <f aca="false">IF((E30="e"),G30," ")</f>
        <v> </v>
      </c>
      <c r="M30" s="334" t="str">
        <f aca="false">IF((E30="p"),G30," ")</f>
        <v> </v>
      </c>
      <c r="N30" s="334" t="str">
        <f aca="false">IF((E30="r"),G30," ")</f>
        <v> </v>
      </c>
      <c r="O30" s="334" t="str">
        <f aca="false">IF((E30="g"),G30," ")</f>
        <v> </v>
      </c>
      <c r="P30" s="334" t="str">
        <f aca="false">IF((E30="m"),G30," ")</f>
        <v> </v>
      </c>
      <c r="Q30" s="334" t="n">
        <f aca="false">IF((E30="t"),G30," ")</f>
        <v>8</v>
      </c>
      <c r="R30" s="334" t="str">
        <f aca="false">IF((E30="a"),G30," ")</f>
        <v> </v>
      </c>
      <c r="S30" s="334" t="str">
        <f aca="false">IF((E30="l"),G30," ")</f>
        <v> </v>
      </c>
      <c r="T30" s="334" t="str">
        <f aca="false">IF((E30="b"),G30," ")</f>
        <v> </v>
      </c>
      <c r="U30" s="334" t="str">
        <f aca="false">IF((E30="i"),G30," ")</f>
        <v> </v>
      </c>
      <c r="V30" s="334" t="str">
        <f aca="false">IF((E30="o"),G30," ")</f>
        <v> </v>
      </c>
      <c r="W30" s="334" t="str">
        <f aca="false">IF((E30="f"),G30," ")</f>
        <v> </v>
      </c>
    </row>
    <row r="31" customFormat="false" ht="12.75" hidden="false" customHeight="false" outlineLevel="0" collapsed="false">
      <c r="A31" s="355" t="n">
        <v>45769</v>
      </c>
      <c r="B31" s="363" t="s">
        <v>337</v>
      </c>
      <c r="E31" s="365" t="s">
        <v>313</v>
      </c>
      <c r="G31" s="366" t="n">
        <v>18</v>
      </c>
      <c r="I31" s="367" t="n">
        <f aca="false">IF((G31&lt;&gt;0),IF((D31&gt;0)," ",(I$1-A31))," ")</f>
        <v>369</v>
      </c>
      <c r="J31" s="334" t="str">
        <f aca="false">IF((E31="s"),G31," ")</f>
        <v> </v>
      </c>
      <c r="K31" s="334" t="str">
        <f aca="false">IF((E31="d"),G31," ")</f>
        <v> </v>
      </c>
      <c r="L31" s="334" t="str">
        <f aca="false">IF((E31="e"),G31," ")</f>
        <v> </v>
      </c>
      <c r="M31" s="334" t="str">
        <f aca="false">IF((E31="p"),G31," ")</f>
        <v> </v>
      </c>
      <c r="N31" s="334" t="str">
        <f aca="false">IF((E31="r"),G31," ")</f>
        <v> </v>
      </c>
      <c r="O31" s="334" t="str">
        <f aca="false">IF((E31="g"),G31," ")</f>
        <v> </v>
      </c>
      <c r="P31" s="334" t="str">
        <f aca="false">IF((E31="m"),G31," ")</f>
        <v> </v>
      </c>
      <c r="Q31" s="334" t="str">
        <f aca="false">IF((E31="t"),G31," ")</f>
        <v> </v>
      </c>
      <c r="R31" s="334" t="str">
        <f aca="false">IF((E31="a"),G31," ")</f>
        <v> </v>
      </c>
      <c r="S31" s="334" t="str">
        <f aca="false">IF((E31="l"),G31," ")</f>
        <v> </v>
      </c>
      <c r="T31" s="334" t="str">
        <f aca="false">IF((E31="b"),G31," ")</f>
        <v> </v>
      </c>
      <c r="U31" s="334" t="str">
        <f aca="false">IF((E31="i"),G31," ")</f>
        <v> </v>
      </c>
      <c r="V31" s="334" t="n">
        <f aca="false">IF((E31="o"),G31," ")</f>
        <v>18</v>
      </c>
      <c r="W31" s="334" t="str">
        <f aca="false">IF((E31="f"),G31," ")</f>
        <v> </v>
      </c>
    </row>
    <row r="32" customFormat="false" ht="12.75" hidden="false" customHeight="false" outlineLevel="0" collapsed="false">
      <c r="A32" s="355" t="n">
        <v>45772</v>
      </c>
      <c r="B32" s="363" t="s">
        <v>338</v>
      </c>
      <c r="E32" s="365" t="s">
        <v>313</v>
      </c>
      <c r="G32" s="366" t="n">
        <v>15</v>
      </c>
      <c r="I32" s="367" t="n">
        <f aca="false">IF((G32&lt;&gt;0),IF((D32&gt;0)," ",(I$1-A32))," ")</f>
        <v>366</v>
      </c>
      <c r="J32" s="334" t="str">
        <f aca="false">IF((E32="s"),G32," ")</f>
        <v> </v>
      </c>
      <c r="K32" s="334" t="str">
        <f aca="false">IF((E32="d"),G32," ")</f>
        <v> </v>
      </c>
      <c r="L32" s="334" t="str">
        <f aca="false">IF((E32="e"),G32," ")</f>
        <v> </v>
      </c>
      <c r="M32" s="334" t="str">
        <f aca="false">IF((E32="p"),G32," ")</f>
        <v> </v>
      </c>
      <c r="N32" s="334" t="str">
        <f aca="false">IF((E32="r"),G32," ")</f>
        <v> </v>
      </c>
      <c r="O32" s="334" t="str">
        <f aca="false">IF((E32="g"),G32," ")</f>
        <v> </v>
      </c>
      <c r="P32" s="334" t="str">
        <f aca="false">IF((E32="m"),G32," ")</f>
        <v> </v>
      </c>
      <c r="Q32" s="334" t="str">
        <f aca="false">IF((E32="t"),G32," ")</f>
        <v> </v>
      </c>
      <c r="R32" s="334" t="str">
        <f aca="false">IF((E32="a"),G32," ")</f>
        <v> </v>
      </c>
      <c r="S32" s="334" t="str">
        <f aca="false">IF((E32="l"),G32," ")</f>
        <v> </v>
      </c>
      <c r="T32" s="334" t="str">
        <f aca="false">IF((E32="b"),G32," ")</f>
        <v> </v>
      </c>
      <c r="U32" s="334" t="str">
        <f aca="false">IF((E32="i"),G32," ")</f>
        <v> </v>
      </c>
      <c r="V32" s="334" t="n">
        <f aca="false">IF((E32="o"),G32," ")</f>
        <v>15</v>
      </c>
      <c r="W32" s="334" t="str">
        <f aca="false">IF((E32="f"),G32," ")</f>
        <v> </v>
      </c>
    </row>
    <row r="33" customFormat="false" ht="12.75" hidden="false" customHeight="false" outlineLevel="0" collapsed="false">
      <c r="A33" s="355" t="n">
        <v>45772</v>
      </c>
      <c r="B33" s="363" t="s">
        <v>339</v>
      </c>
      <c r="E33" s="365" t="s">
        <v>291</v>
      </c>
      <c r="G33" s="366" t="n">
        <v>38.25</v>
      </c>
      <c r="I33" s="367" t="n">
        <f aca="false">IF((G33&lt;&gt;0),IF((D33&gt;0)," ",(I$1-A33))," ")</f>
        <v>366</v>
      </c>
      <c r="J33" s="334" t="str">
        <f aca="false">IF((E33="s"),G33," ")</f>
        <v> </v>
      </c>
      <c r="K33" s="334" t="str">
        <f aca="false">IF((E33="d"),G33," ")</f>
        <v> </v>
      </c>
      <c r="L33" s="334" t="str">
        <f aca="false">IF((E33="e"),G33," ")</f>
        <v> </v>
      </c>
      <c r="M33" s="334" t="str">
        <f aca="false">IF((E33="p"),G33," ")</f>
        <v> </v>
      </c>
      <c r="N33" s="334" t="str">
        <f aca="false">IF((E33="r"),G33," ")</f>
        <v> </v>
      </c>
      <c r="O33" s="334" t="str">
        <f aca="false">IF((E33="g"),G33," ")</f>
        <v> </v>
      </c>
      <c r="P33" s="334" t="n">
        <f aca="false">IF((E33="m"),G33," ")</f>
        <v>38.25</v>
      </c>
      <c r="Q33" s="334" t="str">
        <f aca="false">IF((E33="t"),G33," ")</f>
        <v> </v>
      </c>
      <c r="R33" s="334" t="str">
        <f aca="false">IF((E33="a"),G33," ")</f>
        <v> </v>
      </c>
      <c r="S33" s="334" t="str">
        <f aca="false">IF((E33="l"),G33," ")</f>
        <v> </v>
      </c>
      <c r="T33" s="334" t="str">
        <f aca="false">IF((E33="b"),G33," ")</f>
        <v> </v>
      </c>
      <c r="U33" s="334" t="str">
        <f aca="false">IF((E33="i"),G33," ")</f>
        <v> </v>
      </c>
      <c r="V33" s="334" t="str">
        <f aca="false">IF((E33="o"),G33," ")</f>
        <v> </v>
      </c>
      <c r="W33" s="334" t="str">
        <f aca="false">IF((E33="f"),G33," ")</f>
        <v> </v>
      </c>
    </row>
    <row r="34" customFormat="false" ht="12.75" hidden="false" customHeight="false" outlineLevel="0" collapsed="false">
      <c r="A34" s="355" t="n">
        <v>45775</v>
      </c>
      <c r="B34" s="363" t="s">
        <v>243</v>
      </c>
      <c r="E34" s="365" t="s">
        <v>291</v>
      </c>
      <c r="G34" s="366" t="n">
        <v>120</v>
      </c>
      <c r="I34" s="367" t="n">
        <f aca="false">IF((G34&lt;&gt;0),IF((D34&gt;0)," ",(I$1-A34))," ")</f>
        <v>363</v>
      </c>
      <c r="J34" s="334" t="str">
        <f aca="false">IF((E34="s"),G34," ")</f>
        <v> </v>
      </c>
      <c r="K34" s="334" t="str">
        <f aca="false">IF((E34="d"),G34," ")</f>
        <v> </v>
      </c>
      <c r="L34" s="334" t="str">
        <f aca="false">IF((E34="e"),G34," ")</f>
        <v> </v>
      </c>
      <c r="M34" s="334" t="str">
        <f aca="false">IF((E34="p"),G34," ")</f>
        <v> </v>
      </c>
      <c r="N34" s="334" t="str">
        <f aca="false">IF((E34="r"),G34," ")</f>
        <v> </v>
      </c>
      <c r="O34" s="334" t="str">
        <f aca="false">IF((E34="g"),G34," ")</f>
        <v> </v>
      </c>
      <c r="P34" s="334" t="n">
        <f aca="false">IF((E34="m"),G34," ")</f>
        <v>120</v>
      </c>
      <c r="Q34" s="334" t="str">
        <f aca="false">IF((E34="t"),G34," ")</f>
        <v> </v>
      </c>
      <c r="R34" s="334" t="str">
        <f aca="false">IF((E34="a"),G34," ")</f>
        <v> </v>
      </c>
      <c r="S34" s="334" t="str">
        <f aca="false">IF((E34="l"),G34," ")</f>
        <v> </v>
      </c>
      <c r="T34" s="334" t="str">
        <f aca="false">IF((E34="b"),G34," ")</f>
        <v> </v>
      </c>
      <c r="U34" s="334" t="str">
        <f aca="false">IF((E34="i"),G34," ")</f>
        <v> </v>
      </c>
      <c r="V34" s="334" t="str">
        <f aca="false">IF((E34="o"),G34," ")</f>
        <v> </v>
      </c>
      <c r="W34" s="334" t="str">
        <f aca="false">IF((E34="f"),G34," ")</f>
        <v> </v>
      </c>
    </row>
    <row r="35" customFormat="false" ht="12.75" hidden="false" customHeight="false" outlineLevel="0" collapsed="false">
      <c r="A35" s="355" t="n">
        <v>45777</v>
      </c>
      <c r="B35" s="363" t="s">
        <v>240</v>
      </c>
      <c r="E35" s="365" t="s">
        <v>340</v>
      </c>
      <c r="G35" s="366" t="n">
        <v>300</v>
      </c>
      <c r="I35" s="367" t="n">
        <f aca="false">IF((G35&lt;&gt;0),IF((D35&gt;0)," ",(I$1-A35))," ")</f>
        <v>361</v>
      </c>
      <c r="J35" s="334" t="str">
        <f aca="false">IF((E35="s"),G35," ")</f>
        <v> </v>
      </c>
      <c r="K35" s="334" t="str">
        <f aca="false">IF((E35="d"),G35," ")</f>
        <v> </v>
      </c>
      <c r="L35" s="334" t="str">
        <f aca="false">IF((E35="e"),G35," ")</f>
        <v> </v>
      </c>
      <c r="M35" s="334" t="str">
        <f aca="false">IF((E35="p"),G35," ")</f>
        <v> </v>
      </c>
      <c r="N35" s="334" t="str">
        <f aca="false">IF((E35="r"),G35," ")</f>
        <v> </v>
      </c>
      <c r="O35" s="334" t="str">
        <f aca="false">IF((E35="g"),G35," ")</f>
        <v> </v>
      </c>
      <c r="P35" s="334" t="str">
        <f aca="false">IF((E35="m"),G35," ")</f>
        <v> </v>
      </c>
      <c r="Q35" s="334" t="str">
        <f aca="false">IF((E35="t"),G35," ")</f>
        <v> </v>
      </c>
      <c r="R35" s="334" t="str">
        <f aca="false">IF((E35="a"),G35," ")</f>
        <v> </v>
      </c>
      <c r="S35" s="334" t="n">
        <f aca="false">IF((E35="l"),G35," ")</f>
        <v>300</v>
      </c>
      <c r="T35" s="334" t="str">
        <f aca="false">IF((E35="b"),G35," ")</f>
        <v> </v>
      </c>
      <c r="U35" s="334" t="str">
        <f aca="false">IF((E35="i"),G35," ")</f>
        <v> </v>
      </c>
      <c r="V35" s="334" t="str">
        <f aca="false">IF((E35="o"),G35," ")</f>
        <v> </v>
      </c>
      <c r="W35" s="334" t="str">
        <f aca="false">IF((E35="f"),G35," ")</f>
        <v> </v>
      </c>
    </row>
    <row r="36" customFormat="false" ht="12.75" hidden="false" customHeight="false" outlineLevel="0" collapsed="false">
      <c r="A36" s="355"/>
      <c r="I36" s="367" t="str">
        <f aca="false">IF((G36&lt;&gt;0),IF((D36&gt;0)," ",(I$1-A36))," ")</f>
        <v> </v>
      </c>
      <c r="J36" s="334" t="str">
        <f aca="false">IF((E36="s"),G36," ")</f>
        <v> </v>
      </c>
      <c r="K36" s="334" t="str">
        <f aca="false">IF((E36="d"),G36," ")</f>
        <v> </v>
      </c>
      <c r="L36" s="334" t="str">
        <f aca="false">IF((E36="e"),G36," ")</f>
        <v> </v>
      </c>
      <c r="M36" s="334" t="str">
        <f aca="false">IF((E36="p"),G36," ")</f>
        <v> </v>
      </c>
      <c r="N36" s="334" t="str">
        <f aca="false">IF((E36="r"),G36," ")</f>
        <v> </v>
      </c>
      <c r="O36" s="334" t="str">
        <f aca="false">IF((E36="g"),G36," ")</f>
        <v> </v>
      </c>
      <c r="P36" s="334" t="str">
        <f aca="false">IF((E36="m"),G36," ")</f>
        <v> </v>
      </c>
      <c r="Q36" s="334" t="str">
        <f aca="false">IF((E36="t"),G36," ")</f>
        <v> </v>
      </c>
      <c r="R36" s="334" t="str">
        <f aca="false">IF((E36="a"),G36," ")</f>
        <v> </v>
      </c>
      <c r="S36" s="334" t="str">
        <f aca="false">IF((E36="l"),G36," ")</f>
        <v> </v>
      </c>
      <c r="T36" s="334" t="str">
        <f aca="false">IF((E36="b"),G36," ")</f>
        <v> </v>
      </c>
      <c r="U36" s="334" t="str">
        <f aca="false">IF((E36="i"),G36," ")</f>
        <v> </v>
      </c>
      <c r="V36" s="334" t="str">
        <f aca="false">IF((E36="o"),G36," ")</f>
        <v> </v>
      </c>
      <c r="W36" s="334" t="str">
        <f aca="false">IF((E36="f"),G36," ")</f>
        <v> </v>
      </c>
    </row>
    <row r="37" customFormat="false" ht="12.75" hidden="false" customHeight="false" outlineLevel="0" collapsed="false">
      <c r="A37" s="355"/>
      <c r="H37" s="338" t="str">
        <f aca="false">IF((G37&lt;&gt;0),IF((D37&gt;0)," ",G37)," ")</f>
        <v> </v>
      </c>
      <c r="I37" s="367" t="str">
        <f aca="false">IF((G37&lt;&gt;0),IF((D37&gt;0)," ",(I$1-A37))," ")</f>
        <v> </v>
      </c>
      <c r="J37" s="334" t="str">
        <f aca="false">IF((E37="s"),G37," ")</f>
        <v> </v>
      </c>
      <c r="K37" s="334" t="str">
        <f aca="false">IF((E37="d"),G37," ")</f>
        <v> </v>
      </c>
      <c r="L37" s="334" t="str">
        <f aca="false">IF((E37="e"),G37," ")</f>
        <v> </v>
      </c>
      <c r="M37" s="334" t="str">
        <f aca="false">IF((E37="p"),G37," ")</f>
        <v> </v>
      </c>
      <c r="N37" s="334" t="str">
        <f aca="false">IF((E37="r"),G37," ")</f>
        <v> </v>
      </c>
      <c r="O37" s="334" t="str">
        <f aca="false">IF((E37="g"),G37," ")</f>
        <v> </v>
      </c>
      <c r="P37" s="334" t="str">
        <f aca="false">IF((E37="m"),G37," ")</f>
        <v> </v>
      </c>
      <c r="Q37" s="334" t="str">
        <f aca="false">IF((E37="t"),G37," ")</f>
        <v> </v>
      </c>
      <c r="R37" s="334" t="str">
        <f aca="false">IF((E37="a"),G37," ")</f>
        <v> </v>
      </c>
      <c r="S37" s="334" t="str">
        <f aca="false">IF((E37="l"),G37," ")</f>
        <v> </v>
      </c>
      <c r="T37" s="334" t="str">
        <f aca="false">IF((E37="b"),G37," ")</f>
        <v> </v>
      </c>
      <c r="U37" s="334" t="str">
        <f aca="false">IF((E37="i"),G37," ")</f>
        <v> </v>
      </c>
      <c r="V37" s="334" t="str">
        <f aca="false">IF((E37="o"),G37," ")</f>
        <v> </v>
      </c>
      <c r="W37" s="334" t="str">
        <f aca="false">IF((E37="f"),G37," ")</f>
        <v> </v>
      </c>
    </row>
    <row r="38" customFormat="false" ht="12.75" hidden="false" customHeight="false" outlineLevel="0" collapsed="false">
      <c r="A38" s="355"/>
      <c r="H38" s="338" t="str">
        <f aca="false">IF((G38&lt;&gt;0),IF((D38&gt;0)," ",G38)," ")</f>
        <v> </v>
      </c>
      <c r="I38" s="367" t="str">
        <f aca="false">IF((G38&lt;&gt;0),IF((D38&gt;0)," ",(I$1-A38))," ")</f>
        <v> </v>
      </c>
      <c r="J38" s="334" t="str">
        <f aca="false">IF((E38="s"),G38," ")</f>
        <v> </v>
      </c>
      <c r="K38" s="334" t="str">
        <f aca="false">IF((E38="d"),G38," ")</f>
        <v> </v>
      </c>
      <c r="L38" s="334" t="str">
        <f aca="false">IF((E38="e"),G38," ")</f>
        <v> </v>
      </c>
      <c r="M38" s="334" t="str">
        <f aca="false">IF((E38="p"),G38," ")</f>
        <v> </v>
      </c>
      <c r="N38" s="334" t="str">
        <f aca="false">IF((E38="r"),G38," ")</f>
        <v> </v>
      </c>
      <c r="O38" s="334" t="str">
        <f aca="false">IF((E38="g"),G38," ")</f>
        <v> </v>
      </c>
      <c r="P38" s="334" t="str">
        <f aca="false">IF((E38="m"),G38," ")</f>
        <v> </v>
      </c>
      <c r="Q38" s="334" t="str">
        <f aca="false">IF((E38="t"),G38," ")</f>
        <v> </v>
      </c>
      <c r="R38" s="334" t="str">
        <f aca="false">IF((E38="a"),G38," ")</f>
        <v> </v>
      </c>
      <c r="S38" s="334" t="str">
        <f aca="false">IF((E38="l"),G38," ")</f>
        <v> </v>
      </c>
      <c r="T38" s="334" t="str">
        <f aca="false">IF((E38="b"),G38," ")</f>
        <v> </v>
      </c>
      <c r="U38" s="334" t="str">
        <f aca="false">IF((E38="i"),G38," ")</f>
        <v> </v>
      </c>
      <c r="V38" s="334" t="str">
        <f aca="false">IF((E38="o"),G38," ")</f>
        <v> </v>
      </c>
      <c r="W38" s="334" t="str">
        <f aca="false">IF((E38="f"),G38," ")</f>
        <v> </v>
      </c>
    </row>
    <row r="39" customFormat="false" ht="12.75" hidden="false" customHeight="false" outlineLevel="0" collapsed="false">
      <c r="A39" s="355"/>
      <c r="H39" s="338" t="str">
        <f aca="false">IF((G39&lt;&gt;0),IF((D39&gt;0)," ",G39)," ")</f>
        <v> </v>
      </c>
      <c r="I39" s="367" t="str">
        <f aca="false">IF((G39&lt;&gt;0),IF((D39&gt;0)," ",(I$1-A39))," ")</f>
        <v> </v>
      </c>
      <c r="J39" s="334" t="str">
        <f aca="false">IF((E39="s"),G39," ")</f>
        <v> </v>
      </c>
      <c r="K39" s="334" t="str">
        <f aca="false">IF((E39="d"),G39," ")</f>
        <v> </v>
      </c>
      <c r="L39" s="334" t="str">
        <f aca="false">IF((E39="e"),G39," ")</f>
        <v> </v>
      </c>
      <c r="M39" s="334" t="str">
        <f aca="false">IF((E39="p"),G39," ")</f>
        <v> </v>
      </c>
      <c r="N39" s="334" t="str">
        <f aca="false">IF((E39="r"),G39," ")</f>
        <v> </v>
      </c>
      <c r="O39" s="334" t="str">
        <f aca="false">IF((E39="g"),G39," ")</f>
        <v> </v>
      </c>
      <c r="P39" s="334" t="str">
        <f aca="false">IF((E39="m"),G39," ")</f>
        <v> </v>
      </c>
      <c r="Q39" s="334" t="str">
        <f aca="false">IF((E39="t"),G39," ")</f>
        <v> </v>
      </c>
      <c r="R39" s="334" t="str">
        <f aca="false">IF((E39="a"),G39," ")</f>
        <v> </v>
      </c>
      <c r="S39" s="334" t="str">
        <f aca="false">IF((E39="l"),G39," ")</f>
        <v> </v>
      </c>
      <c r="T39" s="334" t="str">
        <f aca="false">IF((E39="b"),G39," ")</f>
        <v> </v>
      </c>
      <c r="U39" s="334" t="str">
        <f aca="false">IF((E39="i"),G39," ")</f>
        <v> </v>
      </c>
      <c r="V39" s="334" t="str">
        <f aca="false">IF((E39="o"),G39," ")</f>
        <v> </v>
      </c>
      <c r="W39" s="334" t="str">
        <f aca="false">IF((E39="f"),G39," ")</f>
        <v> </v>
      </c>
    </row>
    <row r="40" customFormat="false" ht="12.75" hidden="false" customHeight="false" outlineLevel="0" collapsed="false">
      <c r="A40" s="355"/>
      <c r="H40" s="338" t="str">
        <f aca="false">IF((G40&lt;&gt;0),IF((D40&gt;0)," ",G40)," ")</f>
        <v> </v>
      </c>
      <c r="I40" s="367" t="str">
        <f aca="false">IF((G40&lt;&gt;0),IF((D40&gt;0)," ",(I$1-A40))," ")</f>
        <v> </v>
      </c>
      <c r="J40" s="334" t="str">
        <f aca="false">IF((E40="s"),G40," ")</f>
        <v> </v>
      </c>
      <c r="K40" s="334" t="str">
        <f aca="false">IF((E40="d"),G40," ")</f>
        <v> </v>
      </c>
      <c r="L40" s="334" t="str">
        <f aca="false">IF((E40="e"),G40," ")</f>
        <v> </v>
      </c>
      <c r="M40" s="334" t="str">
        <f aca="false">IF((E40="p"),G40," ")</f>
        <v> </v>
      </c>
      <c r="N40" s="334" t="str">
        <f aca="false">IF((E40="r"),G40," ")</f>
        <v> </v>
      </c>
      <c r="O40" s="334" t="str">
        <f aca="false">IF((E40="g"),G40," ")</f>
        <v> </v>
      </c>
      <c r="P40" s="334" t="str">
        <f aca="false">IF((E40="m"),G40," ")</f>
        <v> </v>
      </c>
      <c r="Q40" s="334" t="str">
        <f aca="false">IF((E40="t"),G40," ")</f>
        <v> </v>
      </c>
      <c r="R40" s="334" t="str">
        <f aca="false">IF((E40="a"),G40," ")</f>
        <v> </v>
      </c>
      <c r="S40" s="334" t="str">
        <f aca="false">IF((E40="l"),G40," ")</f>
        <v> </v>
      </c>
      <c r="T40" s="334" t="str">
        <f aca="false">IF((E40="b"),G40," ")</f>
        <v> </v>
      </c>
      <c r="U40" s="334" t="str">
        <f aca="false">IF((E40="i"),G40," ")</f>
        <v> </v>
      </c>
      <c r="V40" s="334" t="str">
        <f aca="false">IF((E40="o"),G40," ")</f>
        <v> </v>
      </c>
      <c r="W40" s="334" t="str">
        <f aca="false">IF((E40="f"),G40," ")</f>
        <v> </v>
      </c>
    </row>
    <row r="41" customFormat="false" ht="12.75" hidden="false" customHeight="false" outlineLevel="0" collapsed="false">
      <c r="A41" s="355"/>
      <c r="H41" s="338" t="str">
        <f aca="false">IF((G41&lt;&gt;0),IF((D41&gt;0)," ",G41)," ")</f>
        <v> </v>
      </c>
      <c r="I41" s="367" t="str">
        <f aca="false">IF((G41&lt;&gt;0),IF((D41&gt;0)," ",(I$1-A41))," ")</f>
        <v> </v>
      </c>
      <c r="J41" s="334" t="str">
        <f aca="false">IF((E41="s"),G41," ")</f>
        <v> </v>
      </c>
      <c r="K41" s="334" t="str">
        <f aca="false">IF((E41="d"),G41," ")</f>
        <v> </v>
      </c>
      <c r="L41" s="334" t="str">
        <f aca="false">IF((E41="e"),G41," ")</f>
        <v> </v>
      </c>
      <c r="M41" s="334" t="str">
        <f aca="false">IF((E41="p"),G41," ")</f>
        <v> </v>
      </c>
      <c r="N41" s="334" t="str">
        <f aca="false">IF((E41="r"),G41," ")</f>
        <v> </v>
      </c>
      <c r="O41" s="334" t="str">
        <f aca="false">IF((E41="g"),G41," ")</f>
        <v> </v>
      </c>
      <c r="P41" s="334" t="str">
        <f aca="false">IF((E41="m"),G41," ")</f>
        <v> </v>
      </c>
      <c r="Q41" s="334" t="str">
        <f aca="false">IF((E41="t"),G41," ")</f>
        <v> </v>
      </c>
      <c r="R41" s="334" t="str">
        <f aca="false">IF((E41="a"),G41," ")</f>
        <v> </v>
      </c>
      <c r="S41" s="334" t="str">
        <f aca="false">IF((E41="l"),G41," ")</f>
        <v> </v>
      </c>
      <c r="T41" s="334" t="str">
        <f aca="false">IF((E41="b"),G41," ")</f>
        <v> </v>
      </c>
      <c r="U41" s="334" t="str">
        <f aca="false">IF((E41="i"),G41," ")</f>
        <v> </v>
      </c>
      <c r="V41" s="334" t="str">
        <f aca="false">IF((E41="o"),G41," ")</f>
        <v> </v>
      </c>
      <c r="W41" s="334" t="str">
        <f aca="false">IF((E41="f"),G41," ")</f>
        <v> </v>
      </c>
    </row>
    <row r="42" customFormat="false" ht="12.75" hidden="false" customHeight="false" outlineLevel="0" collapsed="false">
      <c r="A42" s="355"/>
      <c r="H42" s="338" t="str">
        <f aca="false">IF((G42&lt;&gt;0),IF((D42&gt;0)," ",G42)," ")</f>
        <v> </v>
      </c>
      <c r="I42" s="367" t="str">
        <f aca="false">IF((G42&lt;&gt;0),IF((D42&gt;0)," ",(I$1-A42))," ")</f>
        <v> </v>
      </c>
      <c r="J42" s="334" t="str">
        <f aca="false">IF((E42="s"),G42," ")</f>
        <v> </v>
      </c>
      <c r="K42" s="334" t="str">
        <f aca="false">IF((E42="d"),G42," ")</f>
        <v> </v>
      </c>
      <c r="L42" s="334" t="str">
        <f aca="false">IF((E42="e"),G42," ")</f>
        <v> </v>
      </c>
      <c r="M42" s="334" t="str">
        <f aca="false">IF((E42="p"),G42," ")</f>
        <v> </v>
      </c>
      <c r="N42" s="334" t="str">
        <f aca="false">IF((E42="r"),G42," ")</f>
        <v> </v>
      </c>
      <c r="O42" s="334" t="str">
        <f aca="false">IF((E42="g"),G42," ")</f>
        <v> </v>
      </c>
      <c r="P42" s="334" t="str">
        <f aca="false">IF((E42="m"),G42," ")</f>
        <v> </v>
      </c>
      <c r="Q42" s="334" t="str">
        <f aca="false">IF((E42="t"),G42," ")</f>
        <v> </v>
      </c>
      <c r="R42" s="334" t="str">
        <f aca="false">IF((E42="a"),G42," ")</f>
        <v> </v>
      </c>
      <c r="S42" s="334" t="str">
        <f aca="false">IF((E42="l"),G42," ")</f>
        <v> </v>
      </c>
      <c r="T42" s="334" t="str">
        <f aca="false">IF((E42="b"),G42," ")</f>
        <v> </v>
      </c>
      <c r="U42" s="334" t="str">
        <f aca="false">IF((E42="i"),G42," ")</f>
        <v> </v>
      </c>
      <c r="V42" s="334" t="str">
        <f aca="false">IF((E42="o"),G42," ")</f>
        <v> </v>
      </c>
      <c r="W42" s="334" t="str">
        <f aca="false">IF((E42="f"),G42," ")</f>
        <v> </v>
      </c>
    </row>
    <row r="43" customFormat="false" ht="12.75" hidden="false" customHeight="false" outlineLevel="0" collapsed="false">
      <c r="A43" s="355"/>
      <c r="H43" s="338" t="str">
        <f aca="false">IF((G43&lt;&gt;0),IF((D43&gt;0)," ",G43)," ")</f>
        <v> </v>
      </c>
      <c r="I43" s="367" t="str">
        <f aca="false">IF((G43&lt;&gt;0),IF((D43&gt;0)," ",(I$1-A43))," ")</f>
        <v> </v>
      </c>
      <c r="J43" s="334" t="str">
        <f aca="false">IF((E43="s"),G43," ")</f>
        <v> </v>
      </c>
      <c r="K43" s="334" t="str">
        <f aca="false">IF((E43="d"),G43," ")</f>
        <v> </v>
      </c>
      <c r="L43" s="334" t="str">
        <f aca="false">IF((E43="e"),G43," ")</f>
        <v> </v>
      </c>
      <c r="M43" s="334" t="str">
        <f aca="false">IF((E43="p"),G43," ")</f>
        <v> </v>
      </c>
      <c r="N43" s="334" t="str">
        <f aca="false">IF((E43="r"),G43," ")</f>
        <v> </v>
      </c>
      <c r="O43" s="334" t="str">
        <f aca="false">IF((E43="g"),G43," ")</f>
        <v> </v>
      </c>
      <c r="P43" s="334" t="str">
        <f aca="false">IF((E43="m"),G43," ")</f>
        <v> </v>
      </c>
      <c r="Q43" s="334" t="str">
        <f aca="false">IF((E43="t"),G43," ")</f>
        <v> </v>
      </c>
      <c r="R43" s="334" t="str">
        <f aca="false">IF((E43="a"),G43," ")</f>
        <v> </v>
      </c>
      <c r="S43" s="334" t="str">
        <f aca="false">IF((E43="l"),G43," ")</f>
        <v> </v>
      </c>
      <c r="T43" s="334" t="str">
        <f aca="false">IF((E43="b"),G43," ")</f>
        <v> </v>
      </c>
      <c r="U43" s="334" t="str">
        <f aca="false">IF((E43="i"),G43," ")</f>
        <v> </v>
      </c>
      <c r="V43" s="334" t="str">
        <f aca="false">IF((E43="o"),G43," ")</f>
        <v> </v>
      </c>
      <c r="W43" s="334" t="str">
        <f aca="false">IF((E43="f"),G43," ")</f>
        <v> </v>
      </c>
    </row>
    <row r="44" customFormat="false" ht="12.75" hidden="false" customHeight="false" outlineLevel="0" collapsed="false">
      <c r="A44" s="355"/>
      <c r="H44" s="338" t="str">
        <f aca="false">IF((G44&lt;&gt;0),IF((D44&gt;0)," ",G44)," ")</f>
        <v> </v>
      </c>
      <c r="I44" s="367" t="str">
        <f aca="false">IF((G44&lt;&gt;0),IF((D44&gt;0)," ",(I$1-A44))," ")</f>
        <v> </v>
      </c>
      <c r="J44" s="334" t="str">
        <f aca="false">IF((E44="s"),G44," ")</f>
        <v> </v>
      </c>
      <c r="K44" s="334" t="str">
        <f aca="false">IF((E44="d"),G44," ")</f>
        <v> </v>
      </c>
      <c r="L44" s="334" t="str">
        <f aca="false">IF((E44="e"),G44," ")</f>
        <v> </v>
      </c>
      <c r="M44" s="334" t="str">
        <f aca="false">IF((E44="p"),G44," ")</f>
        <v> </v>
      </c>
      <c r="N44" s="334" t="str">
        <f aca="false">IF((E44="r"),G44," ")</f>
        <v> </v>
      </c>
      <c r="O44" s="334" t="str">
        <f aca="false">IF((E44="g"),G44," ")</f>
        <v> </v>
      </c>
      <c r="P44" s="334" t="str">
        <f aca="false">IF((E44="m"),G44," ")</f>
        <v> </v>
      </c>
      <c r="Q44" s="334" t="str">
        <f aca="false">IF((E44="t"),G44," ")</f>
        <v> </v>
      </c>
      <c r="R44" s="334" t="str">
        <f aca="false">IF((E44="a"),G44," ")</f>
        <v> </v>
      </c>
      <c r="S44" s="334" t="str">
        <f aca="false">IF((E44="l"),G44," ")</f>
        <v> </v>
      </c>
      <c r="T44" s="334" t="str">
        <f aca="false">IF((E44="b"),G44," ")</f>
        <v> </v>
      </c>
      <c r="U44" s="334" t="str">
        <f aca="false">IF((E44="i"),G44," ")</f>
        <v> </v>
      </c>
      <c r="V44" s="334" t="str">
        <f aca="false">IF((E44="o"),G44," ")</f>
        <v> </v>
      </c>
      <c r="W44" s="334" t="str">
        <f aca="false">IF((E44="f"),G44," ")</f>
        <v> </v>
      </c>
    </row>
    <row r="45" customFormat="false" ht="12.75" hidden="false" customHeight="false" outlineLevel="0" collapsed="false">
      <c r="A45" s="355"/>
      <c r="H45" s="338" t="str">
        <f aca="false">IF((G45&lt;&gt;0),IF((D45&gt;0)," ",G45)," ")</f>
        <v> </v>
      </c>
      <c r="I45" s="367" t="str">
        <f aca="false">IF((G45&lt;&gt;0),IF((D45&gt;0)," ",(I$1-A45))," ")</f>
        <v> </v>
      </c>
      <c r="J45" s="334" t="str">
        <f aca="false">IF((E45="s"),G45," ")</f>
        <v> </v>
      </c>
      <c r="K45" s="334" t="str">
        <f aca="false">IF((E45="d"),G45," ")</f>
        <v> </v>
      </c>
      <c r="L45" s="334" t="str">
        <f aca="false">IF((E45="e"),G45," ")</f>
        <v> </v>
      </c>
      <c r="M45" s="334" t="str">
        <f aca="false">IF((E45="p"),G45," ")</f>
        <v> </v>
      </c>
      <c r="N45" s="334" t="str">
        <f aca="false">IF((E45="r"),G45," ")</f>
        <v> </v>
      </c>
      <c r="O45" s="334" t="str">
        <f aca="false">IF((E45="g"),G45," ")</f>
        <v> </v>
      </c>
      <c r="P45" s="334" t="str">
        <f aca="false">IF((E45="m"),G45," ")</f>
        <v> </v>
      </c>
      <c r="Q45" s="334" t="str">
        <f aca="false">IF((E45="t"),G45," ")</f>
        <v> </v>
      </c>
      <c r="R45" s="334" t="str">
        <f aca="false">IF((E45="a"),G45," ")</f>
        <v> </v>
      </c>
      <c r="S45" s="334" t="str">
        <f aca="false">IF((E45="l"),G45," ")</f>
        <v> </v>
      </c>
      <c r="T45" s="334" t="str">
        <f aca="false">IF((E45="b"),G45," ")</f>
        <v> </v>
      </c>
      <c r="U45" s="334" t="str">
        <f aca="false">IF((E45="i"),G45," ")</f>
        <v> </v>
      </c>
      <c r="V45" s="334" t="str">
        <f aca="false">IF((E45="o"),G45," ")</f>
        <v> </v>
      </c>
      <c r="W45" s="334" t="str">
        <f aca="false">IF((E45="f"),G45," ")</f>
        <v> </v>
      </c>
    </row>
    <row r="46" customFormat="false" ht="12.75" hidden="false" customHeight="false" outlineLevel="0" collapsed="false">
      <c r="A46" s="355"/>
      <c r="H46" s="338" t="str">
        <f aca="false">IF((G46&lt;&gt;0),IF((D46&gt;0)," ",G46)," ")</f>
        <v> </v>
      </c>
      <c r="I46" s="367" t="str">
        <f aca="false">IF((G46&lt;&gt;0),IF((D46&gt;0)," ",(I$1-A46))," ")</f>
        <v> </v>
      </c>
      <c r="J46" s="334" t="str">
        <f aca="false">IF((E46="s"),G46," ")</f>
        <v> </v>
      </c>
      <c r="K46" s="334" t="str">
        <f aca="false">IF((E46="d"),G46," ")</f>
        <v> </v>
      </c>
      <c r="L46" s="334" t="str">
        <f aca="false">IF((E46="e"),G46," ")</f>
        <v> </v>
      </c>
      <c r="M46" s="334" t="str">
        <f aca="false">IF((E46="p"),G46," ")</f>
        <v> </v>
      </c>
      <c r="N46" s="334" t="str">
        <f aca="false">IF((E46="r"),G46," ")</f>
        <v> </v>
      </c>
      <c r="O46" s="334" t="str">
        <f aca="false">IF((E46="g"),G46," ")</f>
        <v> </v>
      </c>
      <c r="P46" s="334" t="str">
        <f aca="false">IF((E46="m"),G46," ")</f>
        <v> </v>
      </c>
      <c r="Q46" s="334" t="str">
        <f aca="false">IF((E46="t"),G46," ")</f>
        <v> </v>
      </c>
      <c r="R46" s="334" t="str">
        <f aca="false">IF((E46="a"),G46," ")</f>
        <v> </v>
      </c>
      <c r="S46" s="334" t="str">
        <f aca="false">IF((E46="l"),G46," ")</f>
        <v> </v>
      </c>
      <c r="T46" s="334" t="str">
        <f aca="false">IF((E46="b"),G46," ")</f>
        <v> </v>
      </c>
      <c r="U46" s="334" t="str">
        <f aca="false">IF((E46="i"),G46," ")</f>
        <v> </v>
      </c>
      <c r="V46" s="334" t="str">
        <f aca="false">IF((E46="o"),G46," ")</f>
        <v> </v>
      </c>
      <c r="W46" s="334" t="str">
        <f aca="false">IF((E46="f"),G46," ")</f>
        <v> </v>
      </c>
    </row>
    <row r="47" customFormat="false" ht="12.75" hidden="false" customHeight="false" outlineLevel="0" collapsed="false">
      <c r="A47" s="355"/>
      <c r="H47" s="338" t="str">
        <f aca="false">IF((G47&lt;&gt;0),IF((D47&gt;0)," ",G47)," ")</f>
        <v> </v>
      </c>
      <c r="I47" s="367" t="str">
        <f aca="false">IF((G47&lt;&gt;0),IF((D47&gt;0)," ",(I$1-A47))," ")</f>
        <v> </v>
      </c>
      <c r="J47" s="334" t="str">
        <f aca="false">IF((E47="s"),G47," ")</f>
        <v> </v>
      </c>
      <c r="K47" s="334" t="str">
        <f aca="false">IF((E47="d"),G47," ")</f>
        <v> </v>
      </c>
      <c r="L47" s="334" t="str">
        <f aca="false">IF((E47="e"),G47," ")</f>
        <v> </v>
      </c>
      <c r="M47" s="334" t="str">
        <f aca="false">IF((E47="p"),G47," ")</f>
        <v> </v>
      </c>
      <c r="N47" s="334" t="str">
        <f aca="false">IF((E47="r"),G47," ")</f>
        <v> </v>
      </c>
      <c r="O47" s="334" t="str">
        <f aca="false">IF((E47="g"),G47," ")</f>
        <v> </v>
      </c>
      <c r="P47" s="334" t="str">
        <f aca="false">IF((E47="m"),G47," ")</f>
        <v> </v>
      </c>
      <c r="Q47" s="334" t="str">
        <f aca="false">IF((E47="t"),G47," ")</f>
        <v> </v>
      </c>
      <c r="R47" s="334" t="str">
        <f aca="false">IF((E47="a"),G47," ")</f>
        <v> </v>
      </c>
      <c r="S47" s="334" t="str">
        <f aca="false">IF((E47="l"),G47," ")</f>
        <v> </v>
      </c>
      <c r="T47" s="334" t="str">
        <f aca="false">IF((E47="b"),G47," ")</f>
        <v> </v>
      </c>
      <c r="U47" s="334" t="str">
        <f aca="false">IF((E47="i"),G47," ")</f>
        <v> </v>
      </c>
      <c r="V47" s="334" t="str">
        <f aca="false">IF((E47="o"),G47," ")</f>
        <v> </v>
      </c>
      <c r="W47" s="334" t="str">
        <f aca="false">IF((E47="f"),G47," ")</f>
        <v> </v>
      </c>
    </row>
    <row r="48" customFormat="false" ht="12.75" hidden="false" customHeight="false" outlineLevel="0" collapsed="false">
      <c r="A48" s="355"/>
      <c r="H48" s="338" t="str">
        <f aca="false">IF((G48&lt;&gt;0),IF((D48&gt;0)," ",G48)," ")</f>
        <v> </v>
      </c>
      <c r="I48" s="367" t="str">
        <f aca="false">IF((G48&lt;&gt;0),IF((D48&gt;0)," ",(I$1-A48))," ")</f>
        <v> </v>
      </c>
      <c r="J48" s="334" t="str">
        <f aca="false">IF((E48="s"),G48," ")</f>
        <v> </v>
      </c>
      <c r="K48" s="334" t="str">
        <f aca="false">IF((E48="d"),G48," ")</f>
        <v> </v>
      </c>
      <c r="L48" s="334" t="str">
        <f aca="false">IF((E48="e"),G48," ")</f>
        <v> </v>
      </c>
      <c r="M48" s="334" t="str">
        <f aca="false">IF((E48="p"),G48," ")</f>
        <v> </v>
      </c>
      <c r="N48" s="334" t="str">
        <f aca="false">IF((E48="r"),G48," ")</f>
        <v> </v>
      </c>
      <c r="O48" s="334" t="str">
        <f aca="false">IF((E48="g"),G48," ")</f>
        <v> </v>
      </c>
      <c r="P48" s="334" t="str">
        <f aca="false">IF((E48="m"),G48," ")</f>
        <v> </v>
      </c>
      <c r="Q48" s="334" t="str">
        <f aca="false">IF((E48="t"),G48," ")</f>
        <v> </v>
      </c>
      <c r="R48" s="334" t="str">
        <f aca="false">IF((E48="a"),G48," ")</f>
        <v> </v>
      </c>
      <c r="S48" s="334" t="str">
        <f aca="false">IF((E48="l"),G48," ")</f>
        <v> </v>
      </c>
      <c r="T48" s="334" t="str">
        <f aca="false">IF((E48="b"),G48," ")</f>
        <v> </v>
      </c>
      <c r="U48" s="334" t="str">
        <f aca="false">IF((E48="i"),G48," ")</f>
        <v> </v>
      </c>
      <c r="V48" s="334" t="str">
        <f aca="false">IF((E48="o"),G48," ")</f>
        <v> </v>
      </c>
      <c r="W48" s="334" t="str">
        <f aca="false">IF((E48="f"),G48," ")</f>
        <v> </v>
      </c>
    </row>
    <row r="49" customFormat="false" ht="12.75" hidden="false" customHeight="false" outlineLevel="0" collapsed="false">
      <c r="A49" s="355"/>
      <c r="H49" s="338" t="str">
        <f aca="false">IF((G49&lt;&gt;0),IF((D49&gt;0)," ",G49)," ")</f>
        <v> </v>
      </c>
      <c r="I49" s="367" t="str">
        <f aca="false">IF((G49&lt;&gt;0),IF((D49&gt;0)," ",(I$1-A49))," ")</f>
        <v> </v>
      </c>
      <c r="J49" s="334" t="str">
        <f aca="false">IF((E49="s"),G49," ")</f>
        <v> </v>
      </c>
      <c r="K49" s="334" t="str">
        <f aca="false">IF((E49="d"),G49," ")</f>
        <v> </v>
      </c>
      <c r="L49" s="334" t="str">
        <f aca="false">IF((E49="e"),G49," ")</f>
        <v> </v>
      </c>
      <c r="M49" s="334" t="str">
        <f aca="false">IF((E49="p"),G49," ")</f>
        <v> </v>
      </c>
      <c r="N49" s="334" t="str">
        <f aca="false">IF((E49="r"),G49," ")</f>
        <v> </v>
      </c>
      <c r="O49" s="334" t="str">
        <f aca="false">IF((E49="g"),G49," ")</f>
        <v> </v>
      </c>
      <c r="P49" s="334" t="str">
        <f aca="false">IF((E49="m"),G49," ")</f>
        <v> </v>
      </c>
      <c r="Q49" s="334" t="str">
        <f aca="false">IF((E49="t"),G49," ")</f>
        <v> </v>
      </c>
      <c r="R49" s="334" t="str">
        <f aca="false">IF((E49="a"),G49," ")</f>
        <v> </v>
      </c>
      <c r="S49" s="334" t="str">
        <f aca="false">IF((E49="l"),G49," ")</f>
        <v> </v>
      </c>
      <c r="T49" s="334" t="str">
        <f aca="false">IF((E49="b"),G49," ")</f>
        <v> </v>
      </c>
      <c r="U49" s="334" t="str">
        <f aca="false">IF((E49="i"),G49," ")</f>
        <v> </v>
      </c>
      <c r="V49" s="334" t="str">
        <f aca="false">IF((E49="o"),G49," ")</f>
        <v> </v>
      </c>
      <c r="W49" s="334" t="str">
        <f aca="false">IF((E49="f"),G49," ")</f>
        <v> </v>
      </c>
    </row>
    <row r="50" customFormat="false" ht="12.75" hidden="false" customHeight="false" outlineLevel="0" collapsed="false">
      <c r="A50" s="355"/>
      <c r="H50" s="338" t="str">
        <f aca="false">IF((G50&lt;&gt;0),IF((D50&gt;0)," ",G50)," ")</f>
        <v> </v>
      </c>
      <c r="I50" s="367" t="str">
        <f aca="false">IF((G50&lt;&gt;0),IF((D50&gt;0)," ",(I$1-A50))," ")</f>
        <v> </v>
      </c>
      <c r="J50" s="334" t="str">
        <f aca="false">IF((E50="s"),G50," ")</f>
        <v> </v>
      </c>
      <c r="K50" s="334" t="str">
        <f aca="false">IF((E50="d"),G50," ")</f>
        <v> </v>
      </c>
      <c r="L50" s="334" t="str">
        <f aca="false">IF((E50="e"),G50," ")</f>
        <v> </v>
      </c>
      <c r="M50" s="334" t="str">
        <f aca="false">IF((E50="p"),G50," ")</f>
        <v> </v>
      </c>
      <c r="N50" s="334" t="str">
        <f aca="false">IF((E50="r"),G50," ")</f>
        <v> </v>
      </c>
      <c r="O50" s="334" t="str">
        <f aca="false">IF((E50="g"),G50," ")</f>
        <v> </v>
      </c>
      <c r="P50" s="334" t="str">
        <f aca="false">IF((E50="m"),G50," ")</f>
        <v> </v>
      </c>
      <c r="Q50" s="334" t="str">
        <f aca="false">IF((E50="t"),G50," ")</f>
        <v> </v>
      </c>
      <c r="R50" s="334" t="str">
        <f aca="false">IF((E50="a"),G50," ")</f>
        <v> </v>
      </c>
      <c r="S50" s="334" t="str">
        <f aca="false">IF((E50="l"),G50," ")</f>
        <v> </v>
      </c>
      <c r="T50" s="334" t="str">
        <f aca="false">IF((E50="b"),G50," ")</f>
        <v> </v>
      </c>
      <c r="U50" s="334" t="str">
        <f aca="false">IF((E50="i"),G50," ")</f>
        <v> </v>
      </c>
      <c r="V50" s="334" t="str">
        <f aca="false">IF((E50="o"),G50," ")</f>
        <v> </v>
      </c>
      <c r="W50" s="334" t="str">
        <f aca="false">IF((E50="f"),G50," ")</f>
        <v> </v>
      </c>
    </row>
    <row r="51" customFormat="false" ht="12.75" hidden="false" customHeight="false" outlineLevel="0" collapsed="false">
      <c r="A51" s="355"/>
      <c r="H51" s="338" t="str">
        <f aca="false">IF((G51&lt;&gt;0),IF((D51&gt;0)," ",G51)," ")</f>
        <v> </v>
      </c>
      <c r="I51" s="367" t="str">
        <f aca="false">IF((G51&lt;&gt;0),IF((D51&gt;0)," ",(I$1-A51))," ")</f>
        <v> </v>
      </c>
      <c r="J51" s="334" t="str">
        <f aca="false">IF((E51="s"),G51," ")</f>
        <v> </v>
      </c>
      <c r="K51" s="334" t="str">
        <f aca="false">IF((E51="d"),G51," ")</f>
        <v> </v>
      </c>
      <c r="L51" s="334" t="str">
        <f aca="false">IF((E51="e"),G51," ")</f>
        <v> </v>
      </c>
      <c r="M51" s="334" t="str">
        <f aca="false">IF((E51="p"),G51," ")</f>
        <v> </v>
      </c>
      <c r="N51" s="334" t="str">
        <f aca="false">IF((E51="r"),G51," ")</f>
        <v> </v>
      </c>
      <c r="O51" s="334" t="str">
        <f aca="false">IF((E51="g"),G51," ")</f>
        <v> </v>
      </c>
      <c r="P51" s="334" t="str">
        <f aca="false">IF((E51="m"),G51," ")</f>
        <v> </v>
      </c>
      <c r="Q51" s="334" t="str">
        <f aca="false">IF((E51="t"),G51," ")</f>
        <v> </v>
      </c>
      <c r="R51" s="334" t="str">
        <f aca="false">IF((E51="a"),G51," ")</f>
        <v> </v>
      </c>
      <c r="S51" s="334" t="str">
        <f aca="false">IF((E51="l"),G51," ")</f>
        <v> </v>
      </c>
      <c r="T51" s="334" t="str">
        <f aca="false">IF((E51="b"),G51," ")</f>
        <v> </v>
      </c>
      <c r="U51" s="334" t="str">
        <f aca="false">IF((E51="i"),G51," ")</f>
        <v> </v>
      </c>
      <c r="V51" s="334" t="str">
        <f aca="false">IF((E51="o"),G51," ")</f>
        <v> </v>
      </c>
      <c r="W51" s="334" t="str">
        <f aca="false">IF((E51="f"),G51," ")</f>
        <v> </v>
      </c>
    </row>
    <row r="52" customFormat="false" ht="12.75" hidden="false" customHeight="false" outlineLevel="0" collapsed="false">
      <c r="A52" s="355"/>
      <c r="H52" s="338" t="str">
        <f aca="false">IF((G52&lt;&gt;0),IF((D52&gt;0)," ",G52)," ")</f>
        <v> </v>
      </c>
      <c r="I52" s="367" t="str">
        <f aca="false">IF((G52&lt;&gt;0),IF((D52&gt;0)," ",(I$1-A52))," ")</f>
        <v> </v>
      </c>
      <c r="J52" s="334" t="str">
        <f aca="false">IF((E52="s"),G52," ")</f>
        <v> </v>
      </c>
      <c r="K52" s="334" t="str">
        <f aca="false">IF((E52="d"),G52," ")</f>
        <v> </v>
      </c>
      <c r="L52" s="334" t="str">
        <f aca="false">IF((E52="e"),G52," ")</f>
        <v> </v>
      </c>
      <c r="M52" s="334" t="str">
        <f aca="false">IF((E52="p"),G52," ")</f>
        <v> </v>
      </c>
      <c r="N52" s="334" t="str">
        <f aca="false">IF((E52="r"),G52," ")</f>
        <v> </v>
      </c>
      <c r="O52" s="334" t="str">
        <f aca="false">IF((E52="g"),G52," ")</f>
        <v> </v>
      </c>
      <c r="P52" s="334" t="str">
        <f aca="false">IF((E52="m"),G52," ")</f>
        <v> </v>
      </c>
      <c r="Q52" s="334" t="str">
        <f aca="false">IF((E52="t"),G52," ")</f>
        <v> </v>
      </c>
      <c r="R52" s="334" t="str">
        <f aca="false">IF((E52="a"),G52," ")</f>
        <v> </v>
      </c>
      <c r="S52" s="334" t="str">
        <f aca="false">IF((E52="l"),G52," ")</f>
        <v> </v>
      </c>
      <c r="T52" s="334" t="str">
        <f aca="false">IF((E52="b"),G52," ")</f>
        <v> </v>
      </c>
      <c r="U52" s="334" t="str">
        <f aca="false">IF((E52="i"),G52," ")</f>
        <v> </v>
      </c>
      <c r="V52" s="334" t="str">
        <f aca="false">IF((E52="o"),G52," ")</f>
        <v> </v>
      </c>
      <c r="W52" s="334" t="str">
        <f aca="false">IF((E52="f"),G52," ")</f>
        <v> </v>
      </c>
    </row>
    <row r="53" customFormat="false" ht="12.75" hidden="false" customHeight="false" outlineLevel="0" collapsed="false">
      <c r="A53" s="355"/>
      <c r="H53" s="338" t="str">
        <f aca="false">IF((G53&lt;&gt;0),IF((D53&gt;0)," ",G53)," ")</f>
        <v> </v>
      </c>
      <c r="I53" s="367" t="str">
        <f aca="false">IF((G53&lt;&gt;0),IF((D53&gt;0)," ",(I$1-A53))," ")</f>
        <v> </v>
      </c>
      <c r="J53" s="334" t="str">
        <f aca="false">IF((E53="s"),G53," ")</f>
        <v> </v>
      </c>
      <c r="K53" s="334" t="str">
        <f aca="false">IF((E53="d"),G53," ")</f>
        <v> </v>
      </c>
      <c r="L53" s="334" t="str">
        <f aca="false">IF((E53="e"),G53," ")</f>
        <v> </v>
      </c>
      <c r="M53" s="334" t="str">
        <f aca="false">IF((E53="p"),G53," ")</f>
        <v> </v>
      </c>
      <c r="N53" s="334" t="str">
        <f aca="false">IF((E53="r"),G53," ")</f>
        <v> </v>
      </c>
      <c r="O53" s="334" t="str">
        <f aca="false">IF((E53="g"),G53," ")</f>
        <v> </v>
      </c>
      <c r="P53" s="334" t="str">
        <f aca="false">IF((E53="m"),G53," ")</f>
        <v> </v>
      </c>
      <c r="Q53" s="334" t="str">
        <f aca="false">IF((E53="t"),G53," ")</f>
        <v> </v>
      </c>
      <c r="R53" s="334" t="str">
        <f aca="false">IF((E53="a"),G53," ")</f>
        <v> </v>
      </c>
      <c r="S53" s="334" t="str">
        <f aca="false">IF((E53="l"),G53," ")</f>
        <v> </v>
      </c>
      <c r="T53" s="334" t="str">
        <f aca="false">IF((E53="b"),G53," ")</f>
        <v> </v>
      </c>
      <c r="U53" s="334" t="str">
        <f aca="false">IF((E53="i"),G53," ")</f>
        <v> </v>
      </c>
      <c r="V53" s="334" t="str">
        <f aca="false">IF((E53="o"),G53," ")</f>
        <v> </v>
      </c>
      <c r="W53" s="334" t="str">
        <f aca="false">IF((E53="f"),G53," ")</f>
        <v> </v>
      </c>
    </row>
    <row r="54" customFormat="false" ht="12.75" hidden="false" customHeight="false" outlineLevel="0" collapsed="false">
      <c r="A54" s="355"/>
      <c r="H54" s="338" t="str">
        <f aca="false">IF((G54&lt;&gt;0),IF((D54&gt;0)," ",G54)," ")</f>
        <v> </v>
      </c>
      <c r="I54" s="367" t="str">
        <f aca="false">IF((G54&lt;&gt;0),IF((D54&gt;0)," ",(I$1-A54))," ")</f>
        <v> </v>
      </c>
      <c r="J54" s="334" t="str">
        <f aca="false">IF((E54="s"),G54," ")</f>
        <v> </v>
      </c>
      <c r="K54" s="334" t="str">
        <f aca="false">IF((E54="d"),G54," ")</f>
        <v> </v>
      </c>
      <c r="L54" s="334" t="str">
        <f aca="false">IF((E54="e"),G54," ")</f>
        <v> </v>
      </c>
      <c r="M54" s="334" t="str">
        <f aca="false">IF((E54="p"),G54," ")</f>
        <v> </v>
      </c>
      <c r="N54" s="334" t="str">
        <f aca="false">IF((E54="r"),G54," ")</f>
        <v> </v>
      </c>
      <c r="O54" s="334" t="str">
        <f aca="false">IF((E54="g"),G54," ")</f>
        <v> </v>
      </c>
      <c r="P54" s="334" t="str">
        <f aca="false">IF((E54="m"),G54," ")</f>
        <v> </v>
      </c>
      <c r="Q54" s="334" t="str">
        <f aca="false">IF((E54="t"),G54," ")</f>
        <v> </v>
      </c>
      <c r="R54" s="334" t="str">
        <f aca="false">IF((E54="a"),G54," ")</f>
        <v> </v>
      </c>
      <c r="S54" s="334" t="str">
        <f aca="false">IF((E54="l"),G54," ")</f>
        <v> </v>
      </c>
      <c r="T54" s="334" t="str">
        <f aca="false">IF((E54="b"),G54," ")</f>
        <v> </v>
      </c>
      <c r="U54" s="334" t="str">
        <f aca="false">IF((E54="i"),G54," ")</f>
        <v> </v>
      </c>
      <c r="V54" s="334" t="str">
        <f aca="false">IF((E54="o"),G54," ")</f>
        <v> </v>
      </c>
      <c r="W54" s="334" t="str">
        <f aca="false">IF((E54="f"),G54," ")</f>
        <v> </v>
      </c>
    </row>
    <row r="55" customFormat="false" ht="12.75" hidden="false" customHeight="false" outlineLevel="0" collapsed="false">
      <c r="A55" s="355"/>
      <c r="H55" s="338" t="str">
        <f aca="false">IF((G55&lt;&gt;0),IF((D55&gt;0)," ",G55)," ")</f>
        <v> </v>
      </c>
      <c r="I55" s="367" t="str">
        <f aca="false">IF((G55&lt;&gt;0),IF((D55&gt;0)," ",(I$1-A55))," ")</f>
        <v> </v>
      </c>
      <c r="J55" s="334" t="str">
        <f aca="false">IF((E55="s"),G55," ")</f>
        <v> </v>
      </c>
      <c r="K55" s="334" t="str">
        <f aca="false">IF((E55="d"),G55," ")</f>
        <v> </v>
      </c>
      <c r="L55" s="334" t="str">
        <f aca="false">IF((E55="e"),G55," ")</f>
        <v> </v>
      </c>
      <c r="M55" s="334" t="str">
        <f aca="false">IF((E55="p"),G55," ")</f>
        <v> </v>
      </c>
      <c r="N55" s="334" t="str">
        <f aca="false">IF((E55="r"),G55," ")</f>
        <v> </v>
      </c>
      <c r="O55" s="334" t="str">
        <f aca="false">IF((E55="g"),G55," ")</f>
        <v> </v>
      </c>
      <c r="P55" s="334" t="str">
        <f aca="false">IF((E55="m"),G55," ")</f>
        <v> </v>
      </c>
      <c r="Q55" s="334" t="str">
        <f aca="false">IF((E55="t"),G55," ")</f>
        <v> </v>
      </c>
      <c r="R55" s="334" t="str">
        <f aca="false">IF((E55="a"),G55," ")</f>
        <v> </v>
      </c>
      <c r="S55" s="334" t="str">
        <f aca="false">IF((E55="l"),G55," ")</f>
        <v> </v>
      </c>
      <c r="T55" s="334" t="str">
        <f aca="false">IF((E55="b"),G55," ")</f>
        <v> </v>
      </c>
      <c r="U55" s="334" t="str">
        <f aca="false">IF((E55="i"),G55," ")</f>
        <v> </v>
      </c>
      <c r="V55" s="334" t="str">
        <f aca="false">IF((E55="o"),G55," ")</f>
        <v> </v>
      </c>
      <c r="W55" s="334" t="str">
        <f aca="false">IF((E55="f"),G55," ")</f>
        <v> </v>
      </c>
    </row>
    <row r="56" customFormat="false" ht="12.75" hidden="false" customHeight="false" outlineLevel="0" collapsed="false">
      <c r="A56" s="355"/>
      <c r="H56" s="338" t="str">
        <f aca="false">IF((G56&lt;&gt;0),IF((D56&gt;0)," ",G56)," ")</f>
        <v> </v>
      </c>
      <c r="I56" s="367" t="str">
        <f aca="false">IF((G56&lt;&gt;0),IF((D56&gt;0)," ",(I$1-A56))," ")</f>
        <v> </v>
      </c>
      <c r="J56" s="334" t="str">
        <f aca="false">IF((E56="s"),G56," ")</f>
        <v> </v>
      </c>
      <c r="K56" s="334" t="str">
        <f aca="false">IF((E56="d"),G56," ")</f>
        <v> </v>
      </c>
      <c r="L56" s="334" t="str">
        <f aca="false">IF((E56="e"),G56," ")</f>
        <v> </v>
      </c>
      <c r="M56" s="334" t="str">
        <f aca="false">IF((E56="p"),G56," ")</f>
        <v> </v>
      </c>
      <c r="N56" s="334" t="str">
        <f aca="false">IF((E56="r"),G56," ")</f>
        <v> </v>
      </c>
      <c r="O56" s="334" t="str">
        <f aca="false">IF((E56="g"),G56," ")</f>
        <v> </v>
      </c>
      <c r="P56" s="334" t="str">
        <f aca="false">IF((E56="m"),G56," ")</f>
        <v> </v>
      </c>
      <c r="Q56" s="334" t="str">
        <f aca="false">IF((E56="t"),G56," ")</f>
        <v> </v>
      </c>
      <c r="R56" s="334" t="str">
        <f aca="false">IF((E56="a"),G56," ")</f>
        <v> </v>
      </c>
      <c r="S56" s="334" t="str">
        <f aca="false">IF((E56="l"),G56," ")</f>
        <v> </v>
      </c>
      <c r="T56" s="334" t="str">
        <f aca="false">IF((E56="b"),G56," ")</f>
        <v> </v>
      </c>
      <c r="U56" s="334" t="str">
        <f aca="false">IF((E56="i"),G56," ")</f>
        <v> </v>
      </c>
      <c r="V56" s="334" t="str">
        <f aca="false">IF((E56="o"),G56," ")</f>
        <v> </v>
      </c>
      <c r="W56" s="334" t="str">
        <f aca="false">IF((E56="f"),G56," ")</f>
        <v> </v>
      </c>
    </row>
    <row r="57" customFormat="false" ht="12.75" hidden="false" customHeight="false" outlineLevel="0" collapsed="false">
      <c r="A57" s="355"/>
      <c r="H57" s="338" t="str">
        <f aca="false">IF((G57&lt;&gt;0),IF((D57&gt;0)," ",G57)," ")</f>
        <v> </v>
      </c>
      <c r="I57" s="367" t="str">
        <f aca="false">IF((G57&lt;&gt;0),IF((D57&gt;0)," ",(I$1-A57))," ")</f>
        <v> </v>
      </c>
      <c r="J57" s="334" t="str">
        <f aca="false">IF((E57="s"),G57," ")</f>
        <v> </v>
      </c>
      <c r="K57" s="334" t="str">
        <f aca="false">IF((E57="d"),G57," ")</f>
        <v> </v>
      </c>
      <c r="L57" s="334" t="str">
        <f aca="false">IF((E57="e"),G57," ")</f>
        <v> </v>
      </c>
      <c r="M57" s="334" t="str">
        <f aca="false">IF((E57="p"),G57," ")</f>
        <v> </v>
      </c>
      <c r="N57" s="334" t="str">
        <f aca="false">IF((E57="r"),G57," ")</f>
        <v> </v>
      </c>
      <c r="O57" s="334" t="str">
        <f aca="false">IF((E57="g"),G57," ")</f>
        <v> </v>
      </c>
      <c r="P57" s="334" t="str">
        <f aca="false">IF((E57="m"),G57," ")</f>
        <v> </v>
      </c>
      <c r="Q57" s="334" t="str">
        <f aca="false">IF((E57="t"),G57," ")</f>
        <v> </v>
      </c>
      <c r="R57" s="334" t="str">
        <f aca="false">IF((E57="a"),G57," ")</f>
        <v> </v>
      </c>
      <c r="S57" s="334" t="str">
        <f aca="false">IF((E57="l"),G57," ")</f>
        <v> </v>
      </c>
      <c r="T57" s="334" t="str">
        <f aca="false">IF((E57="b"),G57," ")</f>
        <v> </v>
      </c>
      <c r="U57" s="334" t="str">
        <f aca="false">IF((E57="i"),G57," ")</f>
        <v> </v>
      </c>
      <c r="V57" s="334" t="str">
        <f aca="false">IF((E57="o"),G57," ")</f>
        <v> </v>
      </c>
      <c r="W57" s="334" t="str">
        <f aca="false">IF((E57="f"),G57," ")</f>
        <v> </v>
      </c>
    </row>
    <row r="58" customFormat="false" ht="12.75" hidden="false" customHeight="false" outlineLevel="0" collapsed="false">
      <c r="A58" s="355"/>
      <c r="H58" s="338" t="str">
        <f aca="false">IF((G58&lt;&gt;0),IF((D58&gt;0)," ",G58)," ")</f>
        <v> </v>
      </c>
      <c r="I58" s="367" t="str">
        <f aca="false">IF((G58&lt;&gt;0),IF((D58&gt;0)," ",(I$1-A58))," ")</f>
        <v> </v>
      </c>
      <c r="J58" s="334" t="str">
        <f aca="false">IF((E58="s"),G58," ")</f>
        <v> </v>
      </c>
      <c r="K58" s="334" t="str">
        <f aca="false">IF((E58="d"),G58," ")</f>
        <v> </v>
      </c>
      <c r="L58" s="334" t="str">
        <f aca="false">IF((E58="e"),G58," ")</f>
        <v> </v>
      </c>
      <c r="M58" s="334" t="str">
        <f aca="false">IF((E58="p"),G58," ")</f>
        <v> </v>
      </c>
      <c r="N58" s="334" t="str">
        <f aca="false">IF((E58="r"),G58," ")</f>
        <v> </v>
      </c>
      <c r="O58" s="334" t="str">
        <f aca="false">IF((E58="g"),G58," ")</f>
        <v> </v>
      </c>
      <c r="P58" s="334" t="str">
        <f aca="false">IF((E58="m"),G58," ")</f>
        <v> </v>
      </c>
      <c r="Q58" s="334" t="str">
        <f aca="false">IF((E58="t"),G58," ")</f>
        <v> </v>
      </c>
      <c r="R58" s="334" t="str">
        <f aca="false">IF((E58="a"),G58," ")</f>
        <v> </v>
      </c>
      <c r="S58" s="334" t="str">
        <f aca="false">IF((E58="l"),G58," ")</f>
        <v> </v>
      </c>
      <c r="T58" s="334" t="str">
        <f aca="false">IF((E58="b"),G58," ")</f>
        <v> </v>
      </c>
      <c r="U58" s="334" t="str">
        <f aca="false">IF((E58="i"),G58," ")</f>
        <v> </v>
      </c>
      <c r="V58" s="334" t="str">
        <f aca="false">IF((E58="o"),G58," ")</f>
        <v> </v>
      </c>
      <c r="W58" s="334" t="str">
        <f aca="false">IF((E58="f"),G58," ")</f>
        <v> </v>
      </c>
    </row>
    <row r="59" customFormat="false" ht="12.75" hidden="false" customHeight="false" outlineLevel="0" collapsed="false">
      <c r="A59" s="355"/>
      <c r="H59" s="338" t="str">
        <f aca="false">IF((G59&lt;&gt;0),IF((D59&gt;0)," ",G59)," ")</f>
        <v> </v>
      </c>
      <c r="I59" s="367" t="str">
        <f aca="false">IF((G59&lt;&gt;0),IF((D59&gt;0)," ",(I$1-A59))," ")</f>
        <v> </v>
      </c>
      <c r="J59" s="334" t="str">
        <f aca="false">IF((E59="s"),G59," ")</f>
        <v> </v>
      </c>
      <c r="K59" s="334" t="str">
        <f aca="false">IF((E59="d"),G59," ")</f>
        <v> </v>
      </c>
      <c r="L59" s="334" t="str">
        <f aca="false">IF((E59="e"),G59," ")</f>
        <v> </v>
      </c>
      <c r="M59" s="334" t="str">
        <f aca="false">IF((E59="p"),G59," ")</f>
        <v> </v>
      </c>
      <c r="N59" s="334" t="str">
        <f aca="false">IF((E59="r"),G59," ")</f>
        <v> </v>
      </c>
      <c r="O59" s="334" t="str">
        <f aca="false">IF((E59="g"),G59," ")</f>
        <v> </v>
      </c>
      <c r="P59" s="334" t="str">
        <f aca="false">IF((E59="m"),G59," ")</f>
        <v> </v>
      </c>
      <c r="Q59" s="334" t="str">
        <f aca="false">IF((E59="t"),G59," ")</f>
        <v> </v>
      </c>
      <c r="R59" s="334" t="str">
        <f aca="false">IF((E59="a"),G59," ")</f>
        <v> </v>
      </c>
      <c r="S59" s="334" t="str">
        <f aca="false">IF((E59="l"),G59," ")</f>
        <v> </v>
      </c>
      <c r="T59" s="334" t="str">
        <f aca="false">IF((E59="b"),G59," ")</f>
        <v> </v>
      </c>
      <c r="U59" s="334" t="str">
        <f aca="false">IF((E59="i"),G59," ")</f>
        <v> </v>
      </c>
      <c r="V59" s="334" t="str">
        <f aca="false">IF((E59="o"),G59," ")</f>
        <v> </v>
      </c>
      <c r="W59" s="334" t="str">
        <f aca="false">IF((E59="f"),G59," ")</f>
        <v> </v>
      </c>
    </row>
    <row r="60" customFormat="false" ht="12.75" hidden="false" customHeight="false" outlineLevel="0" collapsed="false">
      <c r="A60" s="355"/>
      <c r="H60" s="338" t="str">
        <f aca="false">IF((G60&lt;&gt;0),IF((D60&gt;0)," ",G60)," ")</f>
        <v> </v>
      </c>
      <c r="I60" s="367" t="str">
        <f aca="false">IF((G60&lt;&gt;0),IF((D60&gt;0)," ",(I$1-A60))," ")</f>
        <v> </v>
      </c>
      <c r="J60" s="334" t="str">
        <f aca="false">IF((E60="s"),G60," ")</f>
        <v> </v>
      </c>
      <c r="K60" s="334" t="str">
        <f aca="false">IF((E60="d"),G60," ")</f>
        <v> </v>
      </c>
      <c r="L60" s="334" t="str">
        <f aca="false">IF((E60="e"),G60," ")</f>
        <v> </v>
      </c>
      <c r="M60" s="334" t="str">
        <f aca="false">IF((E60="p"),G60," ")</f>
        <v> </v>
      </c>
      <c r="N60" s="334" t="str">
        <f aca="false">IF((E60="r"),G60," ")</f>
        <v> </v>
      </c>
      <c r="O60" s="334" t="str">
        <f aca="false">IF((E60="g"),G60," ")</f>
        <v> </v>
      </c>
      <c r="P60" s="334" t="str">
        <f aca="false">IF((E60="m"),G60," ")</f>
        <v> </v>
      </c>
      <c r="Q60" s="334" t="str">
        <f aca="false">IF((E60="t"),G60," ")</f>
        <v> </v>
      </c>
      <c r="R60" s="334" t="str">
        <f aca="false">IF((E60="a"),G60," ")</f>
        <v> </v>
      </c>
      <c r="S60" s="334" t="str">
        <f aca="false">IF((E60="l"),G60," ")</f>
        <v> </v>
      </c>
      <c r="T60" s="334" t="str">
        <f aca="false">IF((E60="b"),G60," ")</f>
        <v> </v>
      </c>
      <c r="U60" s="334" t="str">
        <f aca="false">IF((E60="i"),G60," ")</f>
        <v> </v>
      </c>
      <c r="V60" s="334" t="str">
        <f aca="false">IF((E60="o"),G60," ")</f>
        <v> </v>
      </c>
      <c r="W60" s="334" t="str">
        <f aca="false">IF((E60="f"),G60," ")</f>
        <v> </v>
      </c>
    </row>
    <row r="61" customFormat="false" ht="12.75" hidden="false" customHeight="false" outlineLevel="0" collapsed="false">
      <c r="A61" s="355"/>
      <c r="H61" s="338" t="str">
        <f aca="false">IF((G61&lt;&gt;0),IF((D61&gt;0)," ",G61)," ")</f>
        <v> </v>
      </c>
      <c r="I61" s="367" t="str">
        <f aca="false">IF((G61&lt;&gt;0),IF((D61&gt;0)," ",(I$1-A61))," ")</f>
        <v> </v>
      </c>
      <c r="J61" s="334" t="str">
        <f aca="false">IF((E61="s"),G61," ")</f>
        <v> </v>
      </c>
      <c r="K61" s="334" t="str">
        <f aca="false">IF((E61="d"),G61," ")</f>
        <v> </v>
      </c>
      <c r="L61" s="334" t="str">
        <f aca="false">IF((E61="e"),G61," ")</f>
        <v> </v>
      </c>
      <c r="M61" s="334" t="str">
        <f aca="false">IF((E61="p"),G61," ")</f>
        <v> </v>
      </c>
      <c r="N61" s="334" t="str">
        <f aca="false">IF((E61="r"),G61," ")</f>
        <v> </v>
      </c>
      <c r="O61" s="334" t="str">
        <f aca="false">IF((E61="g"),G61," ")</f>
        <v> </v>
      </c>
      <c r="P61" s="334" t="str">
        <f aca="false">IF((E61="m"),G61," ")</f>
        <v> </v>
      </c>
      <c r="Q61" s="334" t="str">
        <f aca="false">IF((E61="t"),G61," ")</f>
        <v> </v>
      </c>
      <c r="R61" s="334" t="str">
        <f aca="false">IF((E61="a"),G61," ")</f>
        <v> </v>
      </c>
      <c r="S61" s="334" t="str">
        <f aca="false">IF((E61="l"),G61," ")</f>
        <v> </v>
      </c>
      <c r="T61" s="334" t="str">
        <f aca="false">IF((E61="b"),G61," ")</f>
        <v> </v>
      </c>
      <c r="U61" s="334" t="str">
        <f aca="false">IF((E61="i"),G61," ")</f>
        <v> </v>
      </c>
      <c r="V61" s="334" t="str">
        <f aca="false">IF((E61="o"),G61," ")</f>
        <v> </v>
      </c>
      <c r="W61" s="334" t="str">
        <f aca="false">IF((E61="f"),G61," ")</f>
        <v> </v>
      </c>
    </row>
    <row r="62" customFormat="false" ht="12.75" hidden="false" customHeight="false" outlineLevel="0" collapsed="false">
      <c r="A62" s="355"/>
      <c r="H62" s="338" t="str">
        <f aca="false">IF((G62&lt;&gt;0),IF((D62&gt;0)," ",G62)," ")</f>
        <v> </v>
      </c>
      <c r="I62" s="367" t="str">
        <f aca="false">IF((G62&lt;&gt;0),IF((D62&gt;0)," ",(I$1-A62))," ")</f>
        <v> </v>
      </c>
      <c r="J62" s="334" t="str">
        <f aca="false">IF((E62="s"),G62," ")</f>
        <v> </v>
      </c>
      <c r="K62" s="334" t="str">
        <f aca="false">IF((E62="d"),G62," ")</f>
        <v> </v>
      </c>
      <c r="L62" s="334" t="str">
        <f aca="false">IF((E62="e"),G62," ")</f>
        <v> </v>
      </c>
      <c r="M62" s="334" t="str">
        <f aca="false">IF((E62="p"),G62," ")</f>
        <v> </v>
      </c>
      <c r="N62" s="334" t="str">
        <f aca="false">IF((E62="r"),G62," ")</f>
        <v> </v>
      </c>
      <c r="O62" s="334" t="str">
        <f aca="false">IF((E62="g"),G62," ")</f>
        <v> </v>
      </c>
      <c r="P62" s="334" t="str">
        <f aca="false">IF((E62="m"),G62," ")</f>
        <v> </v>
      </c>
      <c r="Q62" s="334" t="str">
        <f aca="false">IF((E62="t"),G62," ")</f>
        <v> </v>
      </c>
      <c r="R62" s="334" t="str">
        <f aca="false">IF((E62="a"),G62," ")</f>
        <v> </v>
      </c>
      <c r="S62" s="334" t="str">
        <f aca="false">IF((E62="l"),G62," ")</f>
        <v> </v>
      </c>
      <c r="T62" s="334" t="str">
        <f aca="false">IF((E62="b"),G62," ")</f>
        <v> </v>
      </c>
      <c r="U62" s="334" t="str">
        <f aca="false">IF((E62="i"),G62," ")</f>
        <v> </v>
      </c>
      <c r="V62" s="334" t="str">
        <f aca="false">IF((E62="o"),G62," ")</f>
        <v> </v>
      </c>
      <c r="W62" s="334" t="str">
        <f aca="false">IF((E62="f"),G62," ")</f>
        <v> </v>
      </c>
    </row>
    <row r="63" customFormat="false" ht="12.75" hidden="false" customHeight="false" outlineLevel="0" collapsed="false">
      <c r="A63" s="355"/>
      <c r="H63" s="338" t="str">
        <f aca="false">IF((G63&lt;&gt;0),IF((D63&gt;0)," ",G63)," ")</f>
        <v> </v>
      </c>
      <c r="I63" s="367" t="str">
        <f aca="false">IF((G63&lt;&gt;0),IF((D63&gt;0)," ",(I$1-A63))," ")</f>
        <v> </v>
      </c>
      <c r="J63" s="334" t="str">
        <f aca="false">IF((E63="s"),G63," ")</f>
        <v> </v>
      </c>
      <c r="K63" s="334" t="str">
        <f aca="false">IF((E63="d"),G63," ")</f>
        <v> </v>
      </c>
      <c r="L63" s="334" t="str">
        <f aca="false">IF((E63="e"),G63," ")</f>
        <v> </v>
      </c>
      <c r="M63" s="334" t="str">
        <f aca="false">IF((E63="p"),G63," ")</f>
        <v> </v>
      </c>
      <c r="N63" s="334" t="str">
        <f aca="false">IF((E63="r"),G63," ")</f>
        <v> </v>
      </c>
      <c r="O63" s="334" t="str">
        <f aca="false">IF((E63="g"),G63," ")</f>
        <v> </v>
      </c>
      <c r="P63" s="334" t="str">
        <f aca="false">IF((E63="m"),G63," ")</f>
        <v> </v>
      </c>
      <c r="Q63" s="334" t="str">
        <f aca="false">IF((E63="t"),G63," ")</f>
        <v> </v>
      </c>
      <c r="R63" s="334" t="str">
        <f aca="false">IF((E63="a"),G63," ")</f>
        <v> </v>
      </c>
      <c r="S63" s="334" t="str">
        <f aca="false">IF((E63="l"),G63," ")</f>
        <v> </v>
      </c>
      <c r="T63" s="334" t="str">
        <f aca="false">IF((E63="b"),G63," ")</f>
        <v> </v>
      </c>
      <c r="U63" s="334" t="str">
        <f aca="false">IF((E63="i"),G63," ")</f>
        <v> </v>
      </c>
      <c r="V63" s="334" t="str">
        <f aca="false">IF((E63="o"),G63," ")</f>
        <v> </v>
      </c>
      <c r="W63" s="334" t="str">
        <f aca="false">IF((E63="f"),G63," ")</f>
        <v> </v>
      </c>
    </row>
    <row r="64" customFormat="false" ht="12.75" hidden="false" customHeight="false" outlineLevel="0" collapsed="false">
      <c r="A64" s="355"/>
      <c r="H64" s="338" t="str">
        <f aca="false">IF((G64&lt;&gt;0),IF((D64&gt;0)," ",G64)," ")</f>
        <v> </v>
      </c>
      <c r="I64" s="367" t="str">
        <f aca="false">IF((G64&lt;&gt;0),IF((D64&gt;0)," ",(I$1-A64))," ")</f>
        <v> </v>
      </c>
      <c r="J64" s="334" t="str">
        <f aca="false">IF((E64="s"),G64," ")</f>
        <v> </v>
      </c>
      <c r="K64" s="334" t="str">
        <f aca="false">IF((E64="d"),G64," ")</f>
        <v> </v>
      </c>
      <c r="L64" s="334" t="str">
        <f aca="false">IF((E64="e"),G64," ")</f>
        <v> </v>
      </c>
      <c r="M64" s="334" t="str">
        <f aca="false">IF((E64="p"),G64," ")</f>
        <v> </v>
      </c>
      <c r="N64" s="334" t="str">
        <f aca="false">IF((E64="r"),G64," ")</f>
        <v> </v>
      </c>
      <c r="O64" s="334" t="str">
        <f aca="false">IF((E64="g"),G64," ")</f>
        <v> </v>
      </c>
      <c r="P64" s="334" t="str">
        <f aca="false">IF((E64="m"),G64," ")</f>
        <v> </v>
      </c>
      <c r="Q64" s="334" t="str">
        <f aca="false">IF((E64="t"),G64," ")</f>
        <v> </v>
      </c>
      <c r="R64" s="334" t="str">
        <f aca="false">IF((E64="a"),G64," ")</f>
        <v> </v>
      </c>
      <c r="S64" s="334" t="str">
        <f aca="false">IF((E64="l"),G64," ")</f>
        <v> </v>
      </c>
      <c r="T64" s="334" t="str">
        <f aca="false">IF((E64="b"),G64," ")</f>
        <v> </v>
      </c>
      <c r="U64" s="334" t="str">
        <f aca="false">IF((E64="i"),G64," ")</f>
        <v> </v>
      </c>
      <c r="V64" s="334" t="str">
        <f aca="false">IF((E64="o"),G64," ")</f>
        <v> </v>
      </c>
      <c r="W64" s="334" t="str">
        <f aca="false">IF((E64="f"),G64," ")</f>
        <v> </v>
      </c>
    </row>
    <row r="65" customFormat="false" ht="12.75" hidden="false" customHeight="false" outlineLevel="0" collapsed="false">
      <c r="A65" s="355"/>
      <c r="H65" s="338" t="str">
        <f aca="false">IF((G65&lt;&gt;0),IF((D65&gt;0)," ",G65)," ")</f>
        <v> </v>
      </c>
      <c r="I65" s="367" t="str">
        <f aca="false">IF((G65&lt;&gt;0),IF((D65&gt;0)," ",(I$1-A65))," ")</f>
        <v> </v>
      </c>
      <c r="J65" s="334" t="str">
        <f aca="false">IF((E65="s"),G65," ")</f>
        <v> </v>
      </c>
      <c r="K65" s="334" t="str">
        <f aca="false">IF((E65="d"),G65," ")</f>
        <v> </v>
      </c>
      <c r="L65" s="334" t="str">
        <f aca="false">IF((E65="e"),G65," ")</f>
        <v> </v>
      </c>
      <c r="M65" s="334" t="str">
        <f aca="false">IF((E65="p"),G65," ")</f>
        <v> </v>
      </c>
      <c r="N65" s="334" t="str">
        <f aca="false">IF((E65="r"),G65," ")</f>
        <v> </v>
      </c>
      <c r="O65" s="334" t="str">
        <f aca="false">IF((E65="g"),G65," ")</f>
        <v> </v>
      </c>
      <c r="P65" s="334" t="str">
        <f aca="false">IF((E65="m"),G65," ")</f>
        <v> </v>
      </c>
      <c r="Q65" s="334" t="str">
        <f aca="false">IF((E65="t"),G65," ")</f>
        <v> </v>
      </c>
      <c r="R65" s="334" t="str">
        <f aca="false">IF((E65="a"),G65," ")</f>
        <v> </v>
      </c>
      <c r="S65" s="334" t="str">
        <f aca="false">IF((E65="l"),G65," ")</f>
        <v> </v>
      </c>
      <c r="T65" s="334" t="str">
        <f aca="false">IF((E65="b"),G65," ")</f>
        <v> </v>
      </c>
      <c r="U65" s="334" t="str">
        <f aca="false">IF((E65="i"),G65," ")</f>
        <v> </v>
      </c>
      <c r="V65" s="334" t="str">
        <f aca="false">IF((E65="o"),G65," ")</f>
        <v> </v>
      </c>
      <c r="W65" s="334" t="str">
        <f aca="false">IF((E65="f"),G65," ")</f>
        <v> </v>
      </c>
    </row>
    <row r="66" customFormat="false" ht="12.75" hidden="false" customHeight="false" outlineLevel="0" collapsed="false">
      <c r="A66" s="355"/>
      <c r="H66" s="338" t="str">
        <f aca="false">IF((G66&lt;&gt;0),IF((D66&gt;0)," ",G66)," ")</f>
        <v> </v>
      </c>
      <c r="I66" s="367" t="str">
        <f aca="false">IF((G66&lt;&gt;0),IF((D66&gt;0)," ",(I$1-A66))," ")</f>
        <v> </v>
      </c>
      <c r="J66" s="334" t="str">
        <f aca="false">IF((E66="s"),G66," ")</f>
        <v> </v>
      </c>
      <c r="K66" s="334" t="str">
        <f aca="false">IF((E66="d"),G66," ")</f>
        <v> </v>
      </c>
      <c r="L66" s="334" t="str">
        <f aca="false">IF((E66="e"),G66," ")</f>
        <v> </v>
      </c>
      <c r="M66" s="334" t="str">
        <f aca="false">IF((E66="p"),G66," ")</f>
        <v> </v>
      </c>
      <c r="N66" s="334" t="str">
        <f aca="false">IF((E66="r"),G66," ")</f>
        <v> </v>
      </c>
      <c r="O66" s="334" t="str">
        <f aca="false">IF((E66="g"),G66," ")</f>
        <v> </v>
      </c>
      <c r="P66" s="334" t="str">
        <f aca="false">IF((E66="m"),G66," ")</f>
        <v> </v>
      </c>
      <c r="Q66" s="334" t="str">
        <f aca="false">IF((E66="t"),G66," ")</f>
        <v> </v>
      </c>
      <c r="R66" s="334" t="str">
        <f aca="false">IF((E66="a"),G66," ")</f>
        <v> </v>
      </c>
      <c r="S66" s="334" t="str">
        <f aca="false">IF((E66="l"),G66," ")</f>
        <v> </v>
      </c>
      <c r="T66" s="334" t="str">
        <f aca="false">IF((E66="b"),G66," ")</f>
        <v> </v>
      </c>
      <c r="U66" s="334" t="str">
        <f aca="false">IF((E66="i"),G66," ")</f>
        <v> </v>
      </c>
      <c r="V66" s="334" t="str">
        <f aca="false">IF((E66="o"),G66," ")</f>
        <v> </v>
      </c>
      <c r="W66" s="334" t="str">
        <f aca="false">IF((E66="f"),G66," ")</f>
        <v> </v>
      </c>
    </row>
    <row r="67" customFormat="false" ht="12.75" hidden="false" customHeight="false" outlineLevel="0" collapsed="false">
      <c r="A67" s="355"/>
      <c r="H67" s="338" t="str">
        <f aca="false">IF((G67&lt;&gt;0),IF((D67&gt;0)," ",G67)," ")</f>
        <v> </v>
      </c>
      <c r="I67" s="367" t="str">
        <f aca="false">IF((G67&lt;&gt;0),IF((D67&gt;0)," ",(I$1-A67))," ")</f>
        <v> </v>
      </c>
      <c r="J67" s="334" t="str">
        <f aca="false">IF((E67="s"),G67," ")</f>
        <v> </v>
      </c>
      <c r="K67" s="334" t="str">
        <f aca="false">IF((E67="d"),G67," ")</f>
        <v> </v>
      </c>
      <c r="L67" s="334" t="str">
        <f aca="false">IF((E67="e"),G67," ")</f>
        <v> </v>
      </c>
      <c r="M67" s="334" t="str">
        <f aca="false">IF((E67="p"),G67," ")</f>
        <v> </v>
      </c>
      <c r="N67" s="334" t="str">
        <f aca="false">IF((E67="r"),G67," ")</f>
        <v> </v>
      </c>
      <c r="O67" s="334" t="str">
        <f aca="false">IF((E67="g"),G67," ")</f>
        <v> </v>
      </c>
      <c r="P67" s="334" t="str">
        <f aca="false">IF((E67="m"),G67," ")</f>
        <v> </v>
      </c>
      <c r="Q67" s="334" t="str">
        <f aca="false">IF((E67="t"),G67," ")</f>
        <v> </v>
      </c>
      <c r="R67" s="334" t="str">
        <f aca="false">IF((E67="a"),G67," ")</f>
        <v> </v>
      </c>
      <c r="S67" s="334" t="str">
        <f aca="false">IF((E67="l"),G67," ")</f>
        <v> </v>
      </c>
      <c r="T67" s="334" t="str">
        <f aca="false">IF((E67="b"),G67," ")</f>
        <v> </v>
      </c>
      <c r="U67" s="334" t="str">
        <f aca="false">IF((E67="i"),G67," ")</f>
        <v> </v>
      </c>
      <c r="V67" s="334" t="str">
        <f aca="false">IF((E67="o"),G67," ")</f>
        <v> </v>
      </c>
      <c r="W67" s="334" t="str">
        <f aca="false">IF((E67="f"),G67," ")</f>
        <v> </v>
      </c>
    </row>
    <row r="68" customFormat="false" ht="12.75" hidden="false" customHeight="false" outlineLevel="0" collapsed="false">
      <c r="A68" s="355"/>
      <c r="H68" s="338" t="str">
        <f aca="false">IF((G68&lt;&gt;0),IF((D68&gt;0)," ",G68)," ")</f>
        <v> </v>
      </c>
      <c r="I68" s="367" t="str">
        <f aca="false">IF((G68&lt;&gt;0),IF((D68&gt;0)," ",(I$1-A68))," ")</f>
        <v> </v>
      </c>
      <c r="J68" s="334" t="str">
        <f aca="false">IF((E68="s"),G68," ")</f>
        <v> </v>
      </c>
      <c r="K68" s="334" t="str">
        <f aca="false">IF((E68="d"),G68," ")</f>
        <v> </v>
      </c>
      <c r="L68" s="334" t="str">
        <f aca="false">IF((E68="e"),G68," ")</f>
        <v> </v>
      </c>
      <c r="M68" s="334" t="str">
        <f aca="false">IF((E68="p"),G68," ")</f>
        <v> </v>
      </c>
      <c r="N68" s="334" t="str">
        <f aca="false">IF((E68="r"),G68," ")</f>
        <v> </v>
      </c>
      <c r="O68" s="334" t="str">
        <f aca="false">IF((E68="g"),G68," ")</f>
        <v> </v>
      </c>
      <c r="P68" s="334" t="str">
        <f aca="false">IF((E68="m"),G68," ")</f>
        <v> </v>
      </c>
      <c r="Q68" s="334" t="str">
        <f aca="false">IF((E68="t"),G68," ")</f>
        <v> </v>
      </c>
      <c r="R68" s="334" t="str">
        <f aca="false">IF((E68="a"),G68," ")</f>
        <v> </v>
      </c>
      <c r="S68" s="334" t="str">
        <f aca="false">IF((E68="l"),G68," ")</f>
        <v> </v>
      </c>
      <c r="T68" s="334" t="str">
        <f aca="false">IF((E68="b"),G68," ")</f>
        <v> </v>
      </c>
      <c r="U68" s="334" t="str">
        <f aca="false">IF((E68="i"),G68," ")</f>
        <v> </v>
      </c>
      <c r="V68" s="334" t="str">
        <f aca="false">IF((E68="o"),G68," ")</f>
        <v> </v>
      </c>
      <c r="W68" s="334" t="str">
        <f aca="false">IF((E68="f"),G68," ")</f>
        <v> </v>
      </c>
    </row>
    <row r="69" customFormat="false" ht="12.75" hidden="false" customHeight="false" outlineLevel="0" collapsed="false">
      <c r="A69" s="355"/>
      <c r="E69" s="365" t="str">
        <f aca="false">IF((G69&lt;&gt;0),"Enter Letter"," ")</f>
        <v> </v>
      </c>
      <c r="H69" s="338" t="str">
        <f aca="false">IF((G69&lt;&gt;0),IF((D69&gt;0)," ",G69)," ")</f>
        <v> </v>
      </c>
      <c r="I69" s="367" t="str">
        <f aca="false">IF((G69&lt;&gt;0),IF((D69&gt;0)," ",(I$1-A69))," ")</f>
        <v> </v>
      </c>
      <c r="J69" s="334" t="str">
        <f aca="false">IF((E69="s"),G69," ")</f>
        <v> </v>
      </c>
      <c r="K69" s="334" t="str">
        <f aca="false">IF((E69="d"),G69," ")</f>
        <v> </v>
      </c>
      <c r="L69" s="334" t="str">
        <f aca="false">IF((E69="e"),G69," ")</f>
        <v> </v>
      </c>
      <c r="M69" s="334" t="str">
        <f aca="false">IF((E69="p"),G69," ")</f>
        <v> </v>
      </c>
      <c r="N69" s="334" t="str">
        <f aca="false">IF((E69="r"),G69," ")</f>
        <v> </v>
      </c>
      <c r="O69" s="334" t="str">
        <f aca="false">IF((E69="g"),G69," ")</f>
        <v> </v>
      </c>
      <c r="P69" s="334" t="str">
        <f aca="false">IF((E69="m"),G69," ")</f>
        <v> </v>
      </c>
      <c r="Q69" s="334" t="str">
        <f aca="false">IF((E69="t"),G69," ")</f>
        <v> </v>
      </c>
      <c r="R69" s="334" t="str">
        <f aca="false">IF((E69="a"),G69," ")</f>
        <v> </v>
      </c>
      <c r="S69" s="334" t="str">
        <f aca="false">IF((E69="l"),G69," ")</f>
        <v> </v>
      </c>
      <c r="T69" s="334" t="str">
        <f aca="false">IF((E69="b"),G69," ")</f>
        <v> </v>
      </c>
      <c r="U69" s="334" t="str">
        <f aca="false">IF((E69="i"),G69," ")</f>
        <v> </v>
      </c>
      <c r="V69" s="334" t="str">
        <f aca="false">IF((E69="o"),G69," ")</f>
        <v> </v>
      </c>
      <c r="W69" s="334" t="str">
        <f aca="false">IF((E69="f"),G69," ")</f>
        <v> </v>
      </c>
    </row>
    <row r="70" customFormat="false" ht="12.75" hidden="false" customHeight="false" outlineLevel="0" collapsed="false">
      <c r="A70" s="355"/>
      <c r="E70" s="365" t="str">
        <f aca="false">IF((G70&lt;&gt;0),"Enter Letter"," ")</f>
        <v> </v>
      </c>
      <c r="H70" s="338" t="str">
        <f aca="false">IF((G70&lt;&gt;0),IF((D70&gt;0)," ",G70)," ")</f>
        <v> </v>
      </c>
      <c r="I70" s="367" t="str">
        <f aca="false">IF((G70&lt;&gt;0),IF((D70&gt;0)," ",(I$1-A70))," ")</f>
        <v> </v>
      </c>
      <c r="J70" s="334" t="str">
        <f aca="false">IF((E70="s"),G70," ")</f>
        <v> </v>
      </c>
      <c r="K70" s="334" t="str">
        <f aca="false">IF((E70="d"),G70," ")</f>
        <v> </v>
      </c>
      <c r="L70" s="334" t="str">
        <f aca="false">IF((E70="e"),G70," ")</f>
        <v> </v>
      </c>
      <c r="M70" s="334" t="str">
        <f aca="false">IF((E70="p"),G70," ")</f>
        <v> </v>
      </c>
      <c r="N70" s="334" t="str">
        <f aca="false">IF((E70="r"),G70," ")</f>
        <v> </v>
      </c>
      <c r="O70" s="334" t="str">
        <f aca="false">IF((E70="g"),G70," ")</f>
        <v> </v>
      </c>
      <c r="P70" s="334" t="str">
        <f aca="false">IF((E70="m"),G70," ")</f>
        <v> </v>
      </c>
      <c r="Q70" s="334" t="str">
        <f aca="false">IF((E70="t"),G70," ")</f>
        <v> </v>
      </c>
      <c r="R70" s="334" t="str">
        <f aca="false">IF((E70="a"),G70," ")</f>
        <v> </v>
      </c>
      <c r="S70" s="334" t="str">
        <f aca="false">IF((E70="l"),G70," ")</f>
        <v> </v>
      </c>
      <c r="T70" s="334" t="str">
        <f aca="false">IF((E70="b"),G70," ")</f>
        <v> </v>
      </c>
      <c r="U70" s="334" t="str">
        <f aca="false">IF((E70="i"),G70," ")</f>
        <v> </v>
      </c>
      <c r="V70" s="334" t="str">
        <f aca="false">IF((E70="o"),G70," ")</f>
        <v> </v>
      </c>
      <c r="W70" s="334" t="str">
        <f aca="false">IF((E70="f"),G70," ")</f>
        <v> </v>
      </c>
    </row>
    <row r="71" customFormat="false" ht="12.75" hidden="false" customHeight="false" outlineLevel="0" collapsed="false">
      <c r="A71" s="355"/>
      <c r="E71" s="365" t="str">
        <f aca="false">IF((G71&lt;&gt;0),"Enter Letter"," ")</f>
        <v> </v>
      </c>
      <c r="H71" s="338" t="str">
        <f aca="false">IF((G71&lt;&gt;0),IF((D71&gt;0)," ",G71)," ")</f>
        <v> </v>
      </c>
      <c r="I71" s="367" t="str">
        <f aca="false">IF((G71&lt;&gt;0),IF((D71&gt;0)," ",(I$1-A71))," ")</f>
        <v> </v>
      </c>
      <c r="J71" s="334" t="str">
        <f aca="false">IF((E71="s"),G71," ")</f>
        <v> </v>
      </c>
      <c r="K71" s="334" t="str">
        <f aca="false">IF((E71="d"),G71," ")</f>
        <v> </v>
      </c>
      <c r="L71" s="334" t="str">
        <f aca="false">IF((E71="e"),G71," ")</f>
        <v> </v>
      </c>
      <c r="M71" s="334" t="str">
        <f aca="false">IF((E71="p"),G71," ")</f>
        <v> </v>
      </c>
      <c r="N71" s="334" t="str">
        <f aca="false">IF((E71="r"),G71," ")</f>
        <v> </v>
      </c>
      <c r="O71" s="334" t="str">
        <f aca="false">IF((E71="g"),G71," ")</f>
        <v> </v>
      </c>
      <c r="P71" s="334" t="str">
        <f aca="false">IF((E71="m"),G71," ")</f>
        <v> </v>
      </c>
      <c r="Q71" s="334" t="str">
        <f aca="false">IF((E71="t"),G71," ")</f>
        <v> </v>
      </c>
      <c r="R71" s="334" t="str">
        <f aca="false">IF((E71="a"),G71," ")</f>
        <v> </v>
      </c>
      <c r="S71" s="334" t="str">
        <f aca="false">IF((E71="l"),G71," ")</f>
        <v> </v>
      </c>
      <c r="T71" s="334" t="str">
        <f aca="false">IF((E71="b"),G71," ")</f>
        <v> </v>
      </c>
      <c r="U71" s="334" t="str">
        <f aca="false">IF((E71="i"),G71," ")</f>
        <v> </v>
      </c>
      <c r="V71" s="334" t="str">
        <f aca="false">IF((E71="o"),G71," ")</f>
        <v> </v>
      </c>
      <c r="W71" s="334" t="str">
        <f aca="false">IF((E71="f"),G71," ")</f>
        <v> </v>
      </c>
    </row>
    <row r="72" customFormat="false" ht="12.75" hidden="false" customHeight="false" outlineLevel="0" collapsed="false">
      <c r="A72" s="355"/>
      <c r="E72" s="365" t="str">
        <f aca="false">IF((G72&lt;&gt;0),"Enter Letter"," ")</f>
        <v> </v>
      </c>
      <c r="H72" s="338" t="str">
        <f aca="false">IF((G72&lt;&gt;0),IF((D72&gt;0)," ",G72)," ")</f>
        <v> </v>
      </c>
      <c r="I72" s="367" t="str">
        <f aca="false">IF((G72&lt;&gt;0),IF((D72&gt;0)," ",(I$1-A72))," ")</f>
        <v> </v>
      </c>
      <c r="J72" s="334" t="str">
        <f aca="false">IF((E72="s"),G72," ")</f>
        <v> </v>
      </c>
      <c r="K72" s="334" t="str">
        <f aca="false">IF((E72="d"),G72," ")</f>
        <v> </v>
      </c>
      <c r="L72" s="334" t="str">
        <f aca="false">IF((E72="e"),G72," ")</f>
        <v> </v>
      </c>
      <c r="M72" s="334" t="str">
        <f aca="false">IF((E72="p"),G72," ")</f>
        <v> </v>
      </c>
      <c r="N72" s="334" t="str">
        <f aca="false">IF((E72="r"),G72," ")</f>
        <v> </v>
      </c>
      <c r="O72" s="334" t="str">
        <f aca="false">IF((E72="g"),G72," ")</f>
        <v> </v>
      </c>
      <c r="P72" s="334" t="str">
        <f aca="false">IF((E72="m"),G72," ")</f>
        <v> </v>
      </c>
      <c r="Q72" s="334" t="str">
        <f aca="false">IF((E72="t"),G72," ")</f>
        <v> </v>
      </c>
      <c r="R72" s="334" t="str">
        <f aca="false">IF((E72="a"),G72," ")</f>
        <v> </v>
      </c>
      <c r="S72" s="334" t="str">
        <f aca="false">IF((E72="l"),G72," ")</f>
        <v> </v>
      </c>
      <c r="T72" s="334" t="str">
        <f aca="false">IF((E72="b"),G72," ")</f>
        <v> </v>
      </c>
      <c r="U72" s="334" t="str">
        <f aca="false">IF((E72="i"),G72," ")</f>
        <v> </v>
      </c>
      <c r="V72" s="334" t="str">
        <f aca="false">IF((E72="o"),G72," ")</f>
        <v> </v>
      </c>
      <c r="W72" s="334" t="str">
        <f aca="false">IF((E72="f"),G72," ")</f>
        <v> </v>
      </c>
    </row>
    <row r="73" customFormat="false" ht="12.75" hidden="false" customHeight="false" outlineLevel="0" collapsed="false">
      <c r="A73" s="355"/>
      <c r="E73" s="365" t="str">
        <f aca="false">IF((G73&lt;&gt;0),"Enter Letter"," ")</f>
        <v> </v>
      </c>
      <c r="H73" s="338" t="str">
        <f aca="false">IF((G73&lt;&gt;0),IF((D73&gt;0)," ",G73)," ")</f>
        <v> </v>
      </c>
      <c r="I73" s="367" t="str">
        <f aca="false">IF((G73&lt;&gt;0),IF((D73&gt;0)," ",(I$1-A73))," ")</f>
        <v> </v>
      </c>
      <c r="J73" s="334" t="str">
        <f aca="false">IF((E73="s"),G73," ")</f>
        <v> </v>
      </c>
      <c r="K73" s="334" t="str">
        <f aca="false">IF((E73="d"),G73," ")</f>
        <v> </v>
      </c>
      <c r="L73" s="334" t="str">
        <f aca="false">IF((E73="e"),G73," ")</f>
        <v> </v>
      </c>
      <c r="M73" s="334" t="str">
        <f aca="false">IF((E73="p"),G73," ")</f>
        <v> </v>
      </c>
      <c r="N73" s="334" t="str">
        <f aca="false">IF((E73="r"),G73," ")</f>
        <v> </v>
      </c>
      <c r="O73" s="334" t="str">
        <f aca="false">IF((E73="g"),G73," ")</f>
        <v> </v>
      </c>
      <c r="P73" s="334" t="str">
        <f aca="false">IF((E73="m"),G73," ")</f>
        <v> </v>
      </c>
      <c r="Q73" s="334" t="str">
        <f aca="false">IF((E73="t"),G73," ")</f>
        <v> </v>
      </c>
      <c r="R73" s="334" t="str">
        <f aca="false">IF((E73="a"),G73," ")</f>
        <v> </v>
      </c>
      <c r="S73" s="334" t="str">
        <f aca="false">IF((E73="l"),G73," ")</f>
        <v> </v>
      </c>
      <c r="T73" s="334" t="str">
        <f aca="false">IF((E73="b"),G73," ")</f>
        <v> </v>
      </c>
      <c r="U73" s="334" t="str">
        <f aca="false">IF((E73="i"),G73," ")</f>
        <v> </v>
      </c>
      <c r="V73" s="334" t="str">
        <f aca="false">IF((E73="o"),G73," ")</f>
        <v> </v>
      </c>
      <c r="W73" s="334" t="str">
        <f aca="false">IF((E73="f"),G73," ")</f>
        <v> </v>
      </c>
    </row>
    <row r="74" customFormat="false" ht="12.75" hidden="false" customHeight="false" outlineLevel="0" collapsed="false">
      <c r="A74" s="355"/>
      <c r="E74" s="365" t="str">
        <f aca="false">IF((G74&lt;&gt;0),"Enter Letter"," ")</f>
        <v> </v>
      </c>
      <c r="H74" s="338" t="str">
        <f aca="false">IF((G74&lt;&gt;0),IF((D74&gt;0)," ",G74)," ")</f>
        <v> </v>
      </c>
      <c r="I74" s="367" t="str">
        <f aca="false">IF((G74&lt;&gt;0),IF((D74&gt;0)," ",(I$1-A74))," ")</f>
        <v> </v>
      </c>
      <c r="J74" s="334" t="str">
        <f aca="false">IF((E74="s"),G74," ")</f>
        <v> </v>
      </c>
      <c r="K74" s="334" t="str">
        <f aca="false">IF((E74="d"),G74," ")</f>
        <v> </v>
      </c>
      <c r="L74" s="334" t="str">
        <f aca="false">IF((E74="e"),G74," ")</f>
        <v> </v>
      </c>
      <c r="M74" s="334" t="str">
        <f aca="false">IF((E74="p"),G74," ")</f>
        <v> </v>
      </c>
      <c r="N74" s="334" t="str">
        <f aca="false">IF((E74="r"),G74," ")</f>
        <v> </v>
      </c>
      <c r="O74" s="334" t="str">
        <f aca="false">IF((E74="g"),G74," ")</f>
        <v> </v>
      </c>
      <c r="P74" s="334" t="str">
        <f aca="false">IF((E74="m"),G74," ")</f>
        <v> </v>
      </c>
      <c r="Q74" s="334" t="str">
        <f aca="false">IF((E74="t"),G74," ")</f>
        <v> </v>
      </c>
      <c r="R74" s="334" t="str">
        <f aca="false">IF((E74="a"),G74," ")</f>
        <v> </v>
      </c>
      <c r="S74" s="334" t="str">
        <f aca="false">IF((E74="l"),G74," ")</f>
        <v> </v>
      </c>
      <c r="T74" s="334" t="str">
        <f aca="false">IF((E74="b"),G74," ")</f>
        <v> </v>
      </c>
      <c r="U74" s="334" t="str">
        <f aca="false">IF((E74="i"),G74," ")</f>
        <v> </v>
      </c>
      <c r="V74" s="334" t="str">
        <f aca="false">IF((E74="o"),G74," ")</f>
        <v> </v>
      </c>
      <c r="W74" s="334" t="str">
        <f aca="false">IF((E74="f"),G74," ")</f>
        <v> </v>
      </c>
    </row>
    <row r="75" customFormat="false" ht="12.75" hidden="false" customHeight="false" outlineLevel="0" collapsed="false">
      <c r="A75" s="355"/>
      <c r="E75" s="365" t="str">
        <f aca="false">IF((G75&lt;&gt;0),"Enter Letter"," ")</f>
        <v> </v>
      </c>
      <c r="H75" s="338" t="str">
        <f aca="false">IF((G75&lt;&gt;0),IF((D75&gt;0)," ",G75)," ")</f>
        <v> </v>
      </c>
      <c r="I75" s="367" t="str">
        <f aca="false">IF((G75&lt;&gt;0),IF((D75&gt;0)," ",(I$1-A75))," ")</f>
        <v> </v>
      </c>
      <c r="J75" s="334" t="str">
        <f aca="false">IF((E75="s"),G75," ")</f>
        <v> </v>
      </c>
      <c r="K75" s="334" t="str">
        <f aca="false">IF((E75="d"),G75," ")</f>
        <v> </v>
      </c>
      <c r="L75" s="334" t="str">
        <f aca="false">IF((E75="e"),G75," ")</f>
        <v> </v>
      </c>
      <c r="M75" s="334" t="str">
        <f aca="false">IF((E75="p"),G75," ")</f>
        <v> </v>
      </c>
      <c r="N75" s="334" t="str">
        <f aca="false">IF((E75="r"),G75," ")</f>
        <v> </v>
      </c>
      <c r="O75" s="334" t="str">
        <f aca="false">IF((E75="g"),G75," ")</f>
        <v> </v>
      </c>
      <c r="P75" s="334" t="str">
        <f aca="false">IF((E75="m"),G75," ")</f>
        <v> </v>
      </c>
      <c r="Q75" s="334" t="str">
        <f aca="false">IF((E75="t"),G75," ")</f>
        <v> </v>
      </c>
      <c r="R75" s="334" t="str">
        <f aca="false">IF((E75="a"),G75," ")</f>
        <v> </v>
      </c>
      <c r="S75" s="334" t="str">
        <f aca="false">IF((E75="l"),G75," ")</f>
        <v> </v>
      </c>
      <c r="T75" s="334" t="str">
        <f aca="false">IF((E75="b"),G75," ")</f>
        <v> </v>
      </c>
      <c r="U75" s="334" t="str">
        <f aca="false">IF((E75="i"),G75," ")</f>
        <v> </v>
      </c>
      <c r="V75" s="334" t="str">
        <f aca="false">IF((E75="o"),G75," ")</f>
        <v> </v>
      </c>
      <c r="W75" s="334" t="str">
        <f aca="false">IF((E75="f"),G75," ")</f>
        <v> </v>
      </c>
    </row>
    <row r="76" customFormat="false" ht="12.75" hidden="false" customHeight="false" outlineLevel="0" collapsed="false">
      <c r="A76" s="355"/>
      <c r="E76" s="365" t="str">
        <f aca="false">IF((G76&lt;&gt;0),"Enter Letter"," ")</f>
        <v> </v>
      </c>
      <c r="H76" s="338" t="str">
        <f aca="false">IF((G76&lt;&gt;0),IF((D76&gt;0)," ",G76)," ")</f>
        <v> </v>
      </c>
      <c r="I76" s="367" t="str">
        <f aca="false">IF((G76&lt;&gt;0),IF((D76&gt;0)," ",(I$1-A76))," ")</f>
        <v> </v>
      </c>
      <c r="J76" s="334" t="str">
        <f aca="false">IF((E76="s"),G76," ")</f>
        <v> </v>
      </c>
      <c r="K76" s="334" t="str">
        <f aca="false">IF((E76="d"),G76," ")</f>
        <v> </v>
      </c>
      <c r="L76" s="334" t="str">
        <f aca="false">IF((E76="e"),G76," ")</f>
        <v> </v>
      </c>
      <c r="M76" s="334" t="str">
        <f aca="false">IF((E76="p"),G76," ")</f>
        <v> </v>
      </c>
      <c r="N76" s="334" t="str">
        <f aca="false">IF((E76="r"),G76," ")</f>
        <v> </v>
      </c>
      <c r="O76" s="334" t="str">
        <f aca="false">IF((E76="g"),G76," ")</f>
        <v> </v>
      </c>
      <c r="P76" s="334" t="str">
        <f aca="false">IF((E76="m"),G76," ")</f>
        <v> </v>
      </c>
      <c r="Q76" s="334" t="str">
        <f aca="false">IF((E76="t"),G76," ")</f>
        <v> </v>
      </c>
      <c r="R76" s="334" t="str">
        <f aca="false">IF((E76="a"),G76," ")</f>
        <v> </v>
      </c>
      <c r="S76" s="334" t="str">
        <f aca="false">IF((E76="l"),G76," ")</f>
        <v> </v>
      </c>
      <c r="T76" s="334" t="str">
        <f aca="false">IF((E76="b"),G76," ")</f>
        <v> </v>
      </c>
      <c r="U76" s="334" t="str">
        <f aca="false">IF((E76="i"),G76," ")</f>
        <v> </v>
      </c>
      <c r="V76" s="334" t="str">
        <f aca="false">IF((E76="o"),G76," ")</f>
        <v> </v>
      </c>
      <c r="W76" s="334" t="str">
        <f aca="false">IF((E76="f"),G76," ")</f>
        <v> </v>
      </c>
    </row>
    <row r="77" customFormat="false" ht="12.75" hidden="false" customHeight="false" outlineLevel="0" collapsed="false">
      <c r="A77" s="355"/>
      <c r="E77" s="365" t="str">
        <f aca="false">IF((G77&lt;&gt;0),"Enter Letter"," ")</f>
        <v> </v>
      </c>
      <c r="H77" s="338" t="str">
        <f aca="false">IF((G77&lt;&gt;0),IF((D77&gt;0)," ",G77)," ")</f>
        <v> </v>
      </c>
      <c r="I77" s="367" t="str">
        <f aca="false">IF((G77&lt;&gt;0),IF((D77&gt;0)," ",(I$1-A77))," ")</f>
        <v> </v>
      </c>
      <c r="J77" s="334" t="str">
        <f aca="false">IF((E77="s"),G77," ")</f>
        <v> </v>
      </c>
      <c r="K77" s="334" t="str">
        <f aca="false">IF((E77="d"),G77," ")</f>
        <v> </v>
      </c>
      <c r="L77" s="334" t="str">
        <f aca="false">IF((E77="e"),G77," ")</f>
        <v> </v>
      </c>
      <c r="M77" s="334" t="str">
        <f aca="false">IF((E77="p"),G77," ")</f>
        <v> </v>
      </c>
      <c r="N77" s="334" t="str">
        <f aca="false">IF((E77="r"),G77," ")</f>
        <v> </v>
      </c>
      <c r="O77" s="334" t="str">
        <f aca="false">IF((E77="g"),G77," ")</f>
        <v> </v>
      </c>
      <c r="P77" s="334" t="str">
        <f aca="false">IF((E77="m"),G77," ")</f>
        <v> </v>
      </c>
      <c r="Q77" s="334" t="str">
        <f aca="false">IF((E77="t"),G77," ")</f>
        <v> </v>
      </c>
      <c r="R77" s="334" t="str">
        <f aca="false">IF((E77="a"),G77," ")</f>
        <v> </v>
      </c>
      <c r="S77" s="334" t="str">
        <f aca="false">IF((E77="l"),G77," ")</f>
        <v> </v>
      </c>
      <c r="T77" s="334" t="str">
        <f aca="false">IF((E77="b"),G77," ")</f>
        <v> </v>
      </c>
      <c r="U77" s="334" t="str">
        <f aca="false">IF((E77="i"),G77," ")</f>
        <v> </v>
      </c>
      <c r="V77" s="334" t="str">
        <f aca="false">IF((E77="o"),G77," ")</f>
        <v> </v>
      </c>
      <c r="W77" s="334" t="str">
        <f aca="false">IF((E77="f"),G77," ")</f>
        <v> </v>
      </c>
    </row>
    <row r="78" customFormat="false" ht="12.75" hidden="false" customHeight="false" outlineLevel="0" collapsed="false">
      <c r="A78" s="355"/>
      <c r="E78" s="365" t="str">
        <f aca="false">IF((G78&lt;&gt;0),"Enter Letter"," ")</f>
        <v> </v>
      </c>
      <c r="H78" s="338" t="str">
        <f aca="false">IF((G78&lt;&gt;0),IF((D78&gt;0)," ",G78)," ")</f>
        <v> </v>
      </c>
      <c r="I78" s="367" t="str">
        <f aca="false">IF((G78&lt;&gt;0),IF((D78&gt;0)," ",(I$1-A78))," ")</f>
        <v> </v>
      </c>
      <c r="J78" s="334" t="str">
        <f aca="false">IF((E78="s"),G78," ")</f>
        <v> </v>
      </c>
      <c r="K78" s="334" t="str">
        <f aca="false">IF((E78="d"),G78," ")</f>
        <v> </v>
      </c>
      <c r="L78" s="334" t="str">
        <f aca="false">IF((E78="e"),G78," ")</f>
        <v> </v>
      </c>
      <c r="M78" s="334" t="str">
        <f aca="false">IF((E78="p"),G78," ")</f>
        <v> </v>
      </c>
      <c r="N78" s="334" t="str">
        <f aca="false">IF((E78="r"),G78," ")</f>
        <v> </v>
      </c>
      <c r="O78" s="334" t="str">
        <f aca="false">IF((E78="g"),G78," ")</f>
        <v> </v>
      </c>
      <c r="P78" s="334" t="str">
        <f aca="false">IF((E78="m"),G78," ")</f>
        <v> </v>
      </c>
      <c r="Q78" s="334" t="str">
        <f aca="false">IF((E78="t"),G78," ")</f>
        <v> </v>
      </c>
      <c r="R78" s="334" t="str">
        <f aca="false">IF((E78="a"),G78," ")</f>
        <v> </v>
      </c>
      <c r="S78" s="334" t="str">
        <f aca="false">IF((E78="l"),G78," ")</f>
        <v> </v>
      </c>
      <c r="T78" s="334" t="str">
        <f aca="false">IF((E78="b"),G78," ")</f>
        <v> </v>
      </c>
      <c r="U78" s="334" t="str">
        <f aca="false">IF((E78="i"),G78," ")</f>
        <v> </v>
      </c>
      <c r="V78" s="334" t="str">
        <f aca="false">IF((E78="o"),G78," ")</f>
        <v> </v>
      </c>
      <c r="W78" s="334" t="str">
        <f aca="false">IF((E78="f"),G78," ")</f>
        <v> </v>
      </c>
    </row>
    <row r="79" customFormat="false" ht="12.75" hidden="false" customHeight="false" outlineLevel="0" collapsed="false">
      <c r="A79" s="355"/>
      <c r="E79" s="365" t="str">
        <f aca="false">IF((G79&lt;&gt;0),"Enter Letter"," ")</f>
        <v> </v>
      </c>
      <c r="H79" s="338" t="str">
        <f aca="false">IF((G79&lt;&gt;0),IF((D79&gt;0)," ",G79)," ")</f>
        <v> </v>
      </c>
      <c r="I79" s="367" t="str">
        <f aca="false">IF((G79&lt;&gt;0),IF((D79&gt;0)," ",(I$1-A79))," ")</f>
        <v> </v>
      </c>
      <c r="J79" s="334" t="str">
        <f aca="false">IF((E79="s"),G79," ")</f>
        <v> </v>
      </c>
      <c r="K79" s="334" t="str">
        <f aca="false">IF((E79="d"),G79," ")</f>
        <v> </v>
      </c>
      <c r="L79" s="334" t="str">
        <f aca="false">IF((E79="e"),G79," ")</f>
        <v> </v>
      </c>
      <c r="M79" s="334" t="str">
        <f aca="false">IF((E79="p"),G79," ")</f>
        <v> </v>
      </c>
      <c r="N79" s="334" t="str">
        <f aca="false">IF((E79="r"),G79," ")</f>
        <v> </v>
      </c>
      <c r="O79" s="334" t="str">
        <f aca="false">IF((E79="g"),G79," ")</f>
        <v> </v>
      </c>
      <c r="P79" s="334" t="str">
        <f aca="false">IF((E79="m"),G79," ")</f>
        <v> </v>
      </c>
      <c r="Q79" s="334" t="str">
        <f aca="false">IF((E79="t"),G79," ")</f>
        <v> </v>
      </c>
      <c r="R79" s="334" t="str">
        <f aca="false">IF((E79="a"),G79," ")</f>
        <v> </v>
      </c>
      <c r="S79" s="334" t="str">
        <f aca="false">IF((E79="l"),G79," ")</f>
        <v> </v>
      </c>
      <c r="T79" s="334" t="str">
        <f aca="false">IF((E79="b"),G79," ")</f>
        <v> </v>
      </c>
      <c r="U79" s="334" t="str">
        <f aca="false">IF((E79="i"),G79," ")</f>
        <v> </v>
      </c>
      <c r="V79" s="334" t="str">
        <f aca="false">IF((E79="o"),G79," ")</f>
        <v> </v>
      </c>
      <c r="W79" s="334" t="str">
        <f aca="false">IF((E79="f"),G79," ")</f>
        <v> </v>
      </c>
    </row>
    <row r="80" customFormat="false" ht="12.75" hidden="false" customHeight="false" outlineLevel="0" collapsed="false">
      <c r="A80" s="355"/>
      <c r="E80" s="365" t="str">
        <f aca="false">IF((G80&lt;&gt;0),"Enter Letter"," ")</f>
        <v> </v>
      </c>
      <c r="H80" s="338" t="str">
        <f aca="false">IF((G80&lt;&gt;0),IF((D80&gt;0)," ",G80)," ")</f>
        <v> </v>
      </c>
      <c r="I80" s="367" t="str">
        <f aca="false">IF((G80&lt;&gt;0),IF((D80&gt;0)," ",(I$1-A80))," ")</f>
        <v> </v>
      </c>
      <c r="J80" s="334" t="str">
        <f aca="false">IF((E80="s"),G80," ")</f>
        <v> </v>
      </c>
      <c r="K80" s="334" t="str">
        <f aca="false">IF((E80="d"),G80," ")</f>
        <v> </v>
      </c>
      <c r="L80" s="334" t="str">
        <f aca="false">IF((E80="e"),G80," ")</f>
        <v> </v>
      </c>
      <c r="M80" s="334" t="str">
        <f aca="false">IF((E80="p"),G80," ")</f>
        <v> </v>
      </c>
      <c r="N80" s="334" t="str">
        <f aca="false">IF((E80="r"),G80," ")</f>
        <v> </v>
      </c>
      <c r="O80" s="334" t="str">
        <f aca="false">IF((E80="g"),G80," ")</f>
        <v> </v>
      </c>
      <c r="P80" s="334" t="str">
        <f aca="false">IF((E80="m"),G80," ")</f>
        <v> </v>
      </c>
      <c r="Q80" s="334" t="str">
        <f aca="false">IF((E80="t"),G80," ")</f>
        <v> </v>
      </c>
      <c r="R80" s="334" t="str">
        <f aca="false">IF((E80="a"),G80," ")</f>
        <v> </v>
      </c>
      <c r="S80" s="334" t="str">
        <f aca="false">IF((E80="l"),G80," ")</f>
        <v> </v>
      </c>
      <c r="T80" s="334" t="str">
        <f aca="false">IF((E80="b"),G80," ")</f>
        <v> </v>
      </c>
      <c r="U80" s="334" t="str">
        <f aca="false">IF((E80="i"),G80," ")</f>
        <v> </v>
      </c>
      <c r="V80" s="334" t="str">
        <f aca="false">IF((E80="o"),G80," ")</f>
        <v> </v>
      </c>
      <c r="W80" s="334" t="str">
        <f aca="false">IF((E80="f"),G80," ")</f>
        <v> </v>
      </c>
    </row>
    <row r="81" customFormat="false" ht="12.75" hidden="false" customHeight="false" outlineLevel="0" collapsed="false">
      <c r="A81" s="355"/>
      <c r="E81" s="365" t="str">
        <f aca="false">IF((G81&lt;&gt;0),"Enter Letter"," ")</f>
        <v> </v>
      </c>
      <c r="H81" s="338" t="str">
        <f aca="false">IF((G81&lt;&gt;0),IF((D81&gt;0)," ",G81)," ")</f>
        <v> </v>
      </c>
      <c r="I81" s="367" t="str">
        <f aca="false">IF((G81&lt;&gt;0),IF((D81&gt;0)," ",(I$1-A81))," ")</f>
        <v> </v>
      </c>
      <c r="J81" s="334" t="str">
        <f aca="false">IF((E81="s"),G81," ")</f>
        <v> </v>
      </c>
      <c r="K81" s="334" t="str">
        <f aca="false">IF((E81="d"),G81," ")</f>
        <v> </v>
      </c>
      <c r="L81" s="334" t="str">
        <f aca="false">IF((E81="e"),G81," ")</f>
        <v> </v>
      </c>
      <c r="M81" s="334" t="str">
        <f aca="false">IF((E81="p"),G81," ")</f>
        <v> </v>
      </c>
      <c r="N81" s="334" t="str">
        <f aca="false">IF((E81="r"),G81," ")</f>
        <v> </v>
      </c>
      <c r="O81" s="334" t="str">
        <f aca="false">IF((E81="g"),G81," ")</f>
        <v> </v>
      </c>
      <c r="P81" s="334" t="str">
        <f aca="false">IF((E81="m"),G81," ")</f>
        <v> </v>
      </c>
      <c r="Q81" s="334" t="str">
        <f aca="false">IF((E81="t"),G81," ")</f>
        <v> </v>
      </c>
      <c r="R81" s="334" t="str">
        <f aca="false">IF((E81="a"),G81," ")</f>
        <v> </v>
      </c>
      <c r="S81" s="334" t="str">
        <f aca="false">IF((E81="l"),G81," ")</f>
        <v> </v>
      </c>
      <c r="T81" s="334" t="str">
        <f aca="false">IF((E81="b"),G81," ")</f>
        <v> </v>
      </c>
      <c r="U81" s="334" t="str">
        <f aca="false">IF((E81="i"),G81," ")</f>
        <v> </v>
      </c>
      <c r="V81" s="334" t="str">
        <f aca="false">IF((E81="o"),G81," ")</f>
        <v> </v>
      </c>
      <c r="W81" s="334" t="str">
        <f aca="false">IF((E81="f"),G81," ")</f>
        <v> </v>
      </c>
    </row>
    <row r="82" customFormat="false" ht="12.75" hidden="false" customHeight="false" outlineLevel="0" collapsed="false">
      <c r="A82" s="355"/>
      <c r="E82" s="365" t="str">
        <f aca="false">IF((G82&lt;&gt;0),"Enter Letter"," ")</f>
        <v> </v>
      </c>
      <c r="H82" s="338" t="str">
        <f aca="false">IF((G82&lt;&gt;0),IF((D82&gt;0)," ",G82)," ")</f>
        <v> </v>
      </c>
      <c r="I82" s="367" t="str">
        <f aca="false">IF((G82&lt;&gt;0),IF((D82&gt;0)," ",(I$1-A82))," ")</f>
        <v> </v>
      </c>
      <c r="J82" s="334" t="str">
        <f aca="false">IF((E82="s"),G82," ")</f>
        <v> </v>
      </c>
      <c r="K82" s="334" t="str">
        <f aca="false">IF((E82="d"),G82," ")</f>
        <v> </v>
      </c>
      <c r="L82" s="334" t="str">
        <f aca="false">IF((E82="e"),G82," ")</f>
        <v> </v>
      </c>
      <c r="M82" s="334" t="str">
        <f aca="false">IF((E82="p"),G82," ")</f>
        <v> </v>
      </c>
      <c r="N82" s="334" t="str">
        <f aca="false">IF((E82="r"),G82," ")</f>
        <v> </v>
      </c>
      <c r="O82" s="334" t="str">
        <f aca="false">IF((E82="g"),G82," ")</f>
        <v> </v>
      </c>
      <c r="P82" s="334" t="str">
        <f aca="false">IF((E82="m"),G82," ")</f>
        <v> </v>
      </c>
      <c r="Q82" s="334" t="str">
        <f aca="false">IF((E82="t"),G82," ")</f>
        <v> </v>
      </c>
      <c r="R82" s="334" t="str">
        <f aca="false">IF((E82="a"),G82," ")</f>
        <v> </v>
      </c>
      <c r="S82" s="334" t="str">
        <f aca="false">IF((E82="l"),G82," ")</f>
        <v> </v>
      </c>
      <c r="T82" s="334" t="str">
        <f aca="false">IF((E82="b"),G82," ")</f>
        <v> </v>
      </c>
      <c r="U82" s="334" t="str">
        <f aca="false">IF((E82="i"),G82," ")</f>
        <v> </v>
      </c>
      <c r="V82" s="334" t="str">
        <f aca="false">IF((E82="o"),G82," ")</f>
        <v> </v>
      </c>
      <c r="W82" s="334" t="str">
        <f aca="false">IF((E82="f"),G82," ")</f>
        <v> </v>
      </c>
    </row>
    <row r="83" customFormat="false" ht="12.75" hidden="false" customHeight="false" outlineLevel="0" collapsed="false">
      <c r="A83" s="355"/>
      <c r="E83" s="365" t="str">
        <f aca="false">IF((G83&lt;&gt;0),"Enter Letter"," ")</f>
        <v> </v>
      </c>
      <c r="H83" s="338" t="str">
        <f aca="false">IF((G83&lt;&gt;0),IF((D83&gt;0)," ",G83)," ")</f>
        <v> </v>
      </c>
      <c r="I83" s="367" t="str">
        <f aca="false">IF((G83&lt;&gt;0),IF((D83&gt;0)," ",(I$1-A83))," ")</f>
        <v> </v>
      </c>
      <c r="J83" s="334" t="str">
        <f aca="false">IF((E83="s"),G83," ")</f>
        <v> </v>
      </c>
      <c r="K83" s="334" t="str">
        <f aca="false">IF((E83="d"),G83," ")</f>
        <v> </v>
      </c>
      <c r="L83" s="334" t="str">
        <f aca="false">IF((E83="e"),G83," ")</f>
        <v> </v>
      </c>
      <c r="M83" s="334" t="str">
        <f aca="false">IF((E83="p"),G83," ")</f>
        <v> </v>
      </c>
      <c r="N83" s="334" t="str">
        <f aca="false">IF((E83="r"),G83," ")</f>
        <v> </v>
      </c>
      <c r="O83" s="334" t="str">
        <f aca="false">IF((E83="g"),G83," ")</f>
        <v> </v>
      </c>
      <c r="P83" s="334" t="str">
        <f aca="false">IF((E83="m"),G83," ")</f>
        <v> </v>
      </c>
      <c r="Q83" s="334" t="str">
        <f aca="false">IF((E83="t"),G83," ")</f>
        <v> </v>
      </c>
      <c r="R83" s="334" t="str">
        <f aca="false">IF((E83="a"),G83," ")</f>
        <v> </v>
      </c>
      <c r="S83" s="334" t="str">
        <f aca="false">IF((E83="l"),G83," ")</f>
        <v> </v>
      </c>
      <c r="T83" s="334" t="str">
        <f aca="false">IF((E83="b"),G83," ")</f>
        <v> </v>
      </c>
      <c r="U83" s="334" t="str">
        <f aca="false">IF((E83="i"),G83," ")</f>
        <v> </v>
      </c>
      <c r="V83" s="334" t="str">
        <f aca="false">IF((E83="o"),G83," ")</f>
        <v> </v>
      </c>
      <c r="W83" s="334" t="str">
        <f aca="false">IF((E83="f"),G83," ")</f>
        <v> </v>
      </c>
    </row>
    <row r="84" customFormat="false" ht="12.75" hidden="false" customHeight="false" outlineLevel="0" collapsed="false">
      <c r="A84" s="355"/>
      <c r="E84" s="365" t="str">
        <f aca="false">IF((G84&lt;&gt;0),"Enter Letter"," ")</f>
        <v> </v>
      </c>
      <c r="H84" s="338" t="str">
        <f aca="false">IF((G84&lt;&gt;0),IF((D84&gt;0)," ",G84)," ")</f>
        <v> </v>
      </c>
      <c r="I84" s="367" t="str">
        <f aca="false">IF((G84&lt;&gt;0),IF((D84&gt;0)," ",(I$1-A84))," ")</f>
        <v> </v>
      </c>
      <c r="J84" s="334" t="str">
        <f aca="false">IF((E84="s"),G84," ")</f>
        <v> </v>
      </c>
      <c r="K84" s="334" t="str">
        <f aca="false">IF((E84="d"),G84," ")</f>
        <v> </v>
      </c>
      <c r="L84" s="334" t="str">
        <f aca="false">IF((E84="e"),G84," ")</f>
        <v> </v>
      </c>
      <c r="M84" s="334" t="str">
        <f aca="false">IF((E84="p"),G84," ")</f>
        <v> </v>
      </c>
      <c r="N84" s="334" t="str">
        <f aca="false">IF((E84="r"),G84," ")</f>
        <v> </v>
      </c>
      <c r="O84" s="334" t="str">
        <f aca="false">IF((E84="g"),G84," ")</f>
        <v> </v>
      </c>
      <c r="P84" s="334" t="str">
        <f aca="false">IF((E84="m"),G84," ")</f>
        <v> </v>
      </c>
      <c r="Q84" s="334" t="str">
        <f aca="false">IF((E84="t"),G84," ")</f>
        <v> </v>
      </c>
      <c r="R84" s="334" t="str">
        <f aca="false">IF((E84="a"),G84," ")</f>
        <v> </v>
      </c>
      <c r="S84" s="334" t="str">
        <f aca="false">IF((E84="l"),G84," ")</f>
        <v> </v>
      </c>
      <c r="T84" s="334" t="str">
        <f aca="false">IF((E84="b"),G84," ")</f>
        <v> </v>
      </c>
      <c r="U84" s="334" t="str">
        <f aca="false">IF((E84="i"),G84," ")</f>
        <v> </v>
      </c>
      <c r="V84" s="334" t="str">
        <f aca="false">IF((E84="o"),G84," ")</f>
        <v> </v>
      </c>
      <c r="W84" s="334" t="str">
        <f aca="false">IF((E84="f"),G84," ")</f>
        <v> </v>
      </c>
    </row>
    <row r="85" customFormat="false" ht="12.75" hidden="false" customHeight="false" outlineLevel="0" collapsed="false">
      <c r="A85" s="355"/>
      <c r="E85" s="365" t="str">
        <f aca="false">IF((G85&lt;&gt;0),"Enter Letter"," ")</f>
        <v> </v>
      </c>
      <c r="H85" s="338" t="str">
        <f aca="false">IF((G85&lt;&gt;0),IF((D85&gt;0)," ",G85)," ")</f>
        <v> </v>
      </c>
      <c r="I85" s="367" t="str">
        <f aca="false">IF((G85&lt;&gt;0),IF((D85&gt;0)," ",(I$1-A85))," ")</f>
        <v> </v>
      </c>
      <c r="J85" s="334" t="str">
        <f aca="false">IF((E85="s"),G85," ")</f>
        <v> </v>
      </c>
      <c r="K85" s="334" t="str">
        <f aca="false">IF((E85="d"),G85," ")</f>
        <v> </v>
      </c>
      <c r="L85" s="334" t="str">
        <f aca="false">IF((E85="e"),G85," ")</f>
        <v> </v>
      </c>
      <c r="M85" s="334" t="str">
        <f aca="false">IF((E85="p"),G85," ")</f>
        <v> </v>
      </c>
      <c r="N85" s="334" t="str">
        <f aca="false">IF((E85="r"),G85," ")</f>
        <v> </v>
      </c>
      <c r="O85" s="334" t="str">
        <f aca="false">IF((E85="g"),G85," ")</f>
        <v> </v>
      </c>
      <c r="P85" s="334" t="str">
        <f aca="false">IF((E85="m"),G85," ")</f>
        <v> </v>
      </c>
      <c r="Q85" s="334" t="str">
        <f aca="false">IF((E85="t"),G85," ")</f>
        <v> </v>
      </c>
      <c r="R85" s="334" t="str">
        <f aca="false">IF((E85="a"),G85," ")</f>
        <v> </v>
      </c>
      <c r="S85" s="334" t="str">
        <f aca="false">IF((E85="l"),G85," ")</f>
        <v> </v>
      </c>
      <c r="T85" s="334" t="str">
        <f aca="false">IF((E85="b"),G85," ")</f>
        <v> </v>
      </c>
      <c r="U85" s="334" t="str">
        <f aca="false">IF((E85="i"),G85," ")</f>
        <v> </v>
      </c>
      <c r="V85" s="334" t="str">
        <f aca="false">IF((E85="o"),G85," ")</f>
        <v> </v>
      </c>
      <c r="W85" s="334" t="str">
        <f aca="false">IF((E85="f"),G85," ")</f>
        <v> </v>
      </c>
    </row>
    <row r="86" customFormat="false" ht="12.75" hidden="false" customHeight="false" outlineLevel="0" collapsed="false">
      <c r="A86" s="355"/>
      <c r="E86" s="365" t="str">
        <f aca="false">IF((G86&lt;&gt;0),"Enter Letter"," ")</f>
        <v> </v>
      </c>
      <c r="H86" s="338" t="str">
        <f aca="false">IF((G86&lt;&gt;0),IF((D86&gt;0)," ",G86)," ")</f>
        <v> </v>
      </c>
      <c r="I86" s="367" t="str">
        <f aca="false">IF((G86&lt;&gt;0),IF((D86&gt;0)," ",(I$1-A86))," ")</f>
        <v> </v>
      </c>
      <c r="J86" s="334" t="str">
        <f aca="false">IF((E86="s"),G86," ")</f>
        <v> </v>
      </c>
      <c r="K86" s="334" t="str">
        <f aca="false">IF((E86="d"),G86," ")</f>
        <v> </v>
      </c>
      <c r="L86" s="334" t="str">
        <f aca="false">IF((E86="e"),G86," ")</f>
        <v> </v>
      </c>
      <c r="M86" s="334" t="str">
        <f aca="false">IF((E86="p"),G86," ")</f>
        <v> </v>
      </c>
      <c r="N86" s="334" t="str">
        <f aca="false">IF((E86="r"),G86," ")</f>
        <v> </v>
      </c>
      <c r="O86" s="334" t="str">
        <f aca="false">IF((E86="g"),G86," ")</f>
        <v> </v>
      </c>
      <c r="P86" s="334" t="str">
        <f aca="false">IF((E86="m"),G86," ")</f>
        <v> </v>
      </c>
      <c r="Q86" s="334" t="str">
        <f aca="false">IF((E86="t"),G86," ")</f>
        <v> </v>
      </c>
      <c r="R86" s="334" t="str">
        <f aca="false">IF((E86="a"),G86," ")</f>
        <v> </v>
      </c>
      <c r="S86" s="334" t="str">
        <f aca="false">IF((E86="l"),G86," ")</f>
        <v> </v>
      </c>
      <c r="T86" s="334" t="str">
        <f aca="false">IF((E86="b"),G86," ")</f>
        <v> </v>
      </c>
      <c r="U86" s="334" t="str">
        <f aca="false">IF((E86="i"),G86," ")</f>
        <v> </v>
      </c>
      <c r="V86" s="334" t="str">
        <f aca="false">IF((E86="o"),G86," ")</f>
        <v> </v>
      </c>
      <c r="W86" s="334" t="str">
        <f aca="false">IF((E86="f"),G86," ")</f>
        <v> </v>
      </c>
    </row>
    <row r="87" customFormat="false" ht="12.75" hidden="false" customHeight="false" outlineLevel="0" collapsed="false">
      <c r="A87" s="355"/>
      <c r="E87" s="365" t="str">
        <f aca="false">IF((G87&lt;&gt;0),"Enter Letter"," ")</f>
        <v> </v>
      </c>
      <c r="H87" s="338" t="str">
        <f aca="false">IF((G87&lt;&gt;0),IF((D87&gt;0)," ",G87)," ")</f>
        <v> </v>
      </c>
      <c r="I87" s="367" t="str">
        <f aca="false">IF((G87&lt;&gt;0),IF((D87&gt;0)," ",(I$1-A87))," ")</f>
        <v> </v>
      </c>
      <c r="J87" s="334" t="str">
        <f aca="false">IF((E87="s"),G87," ")</f>
        <v> </v>
      </c>
      <c r="K87" s="334" t="str">
        <f aca="false">IF((E87="d"),G87," ")</f>
        <v> </v>
      </c>
      <c r="L87" s="334" t="str">
        <f aca="false">IF((E87="e"),G87," ")</f>
        <v> </v>
      </c>
      <c r="M87" s="334" t="str">
        <f aca="false">IF((E87="p"),G87," ")</f>
        <v> </v>
      </c>
      <c r="N87" s="334" t="str">
        <f aca="false">IF((E87="r"),G87," ")</f>
        <v> </v>
      </c>
      <c r="O87" s="334" t="str">
        <f aca="false">IF((E87="g"),G87," ")</f>
        <v> </v>
      </c>
      <c r="P87" s="334" t="str">
        <f aca="false">IF((E87="m"),G87," ")</f>
        <v> </v>
      </c>
      <c r="Q87" s="334" t="str">
        <f aca="false">IF((E87="t"),G87," ")</f>
        <v> </v>
      </c>
      <c r="R87" s="334" t="str">
        <f aca="false">IF((E87="a"),G87," ")</f>
        <v> </v>
      </c>
      <c r="S87" s="334" t="str">
        <f aca="false">IF((E87="l"),G87," ")</f>
        <v> </v>
      </c>
      <c r="T87" s="334" t="str">
        <f aca="false">IF((E87="b"),G87," ")</f>
        <v> </v>
      </c>
      <c r="U87" s="334" t="str">
        <f aca="false">IF((E87="i"),G87," ")</f>
        <v> </v>
      </c>
      <c r="V87" s="334" t="str">
        <f aca="false">IF((E87="o"),G87," ")</f>
        <v> </v>
      </c>
      <c r="W87" s="334" t="str">
        <f aca="false">IF((E87="f"),G87," ")</f>
        <v> </v>
      </c>
    </row>
    <row r="88" customFormat="false" ht="12.75" hidden="false" customHeight="false" outlineLevel="0" collapsed="false">
      <c r="A88" s="355"/>
      <c r="E88" s="365" t="str">
        <f aca="false">IF((G88&lt;&gt;0),"Enter Letter"," ")</f>
        <v> </v>
      </c>
      <c r="H88" s="338" t="str">
        <f aca="false">IF((G88&lt;&gt;0),IF((D88&gt;0)," ",G88)," ")</f>
        <v> </v>
      </c>
      <c r="I88" s="367" t="str">
        <f aca="false">IF((G88&lt;&gt;0),IF((D88&gt;0)," ",(I$1-A88))," ")</f>
        <v> </v>
      </c>
      <c r="J88" s="334" t="str">
        <f aca="false">IF((E88="s"),G88," ")</f>
        <v> </v>
      </c>
      <c r="K88" s="334" t="str">
        <f aca="false">IF((E88="d"),G88," ")</f>
        <v> </v>
      </c>
      <c r="L88" s="334" t="str">
        <f aca="false">IF((E88="e"),G88," ")</f>
        <v> </v>
      </c>
      <c r="M88" s="334" t="str">
        <f aca="false">IF((E88="p"),G88," ")</f>
        <v> </v>
      </c>
      <c r="N88" s="334" t="str">
        <f aca="false">IF((E88="r"),G88," ")</f>
        <v> </v>
      </c>
      <c r="O88" s="334" t="str">
        <f aca="false">IF((E88="g"),G88," ")</f>
        <v> </v>
      </c>
      <c r="P88" s="334" t="str">
        <f aca="false">IF((E88="m"),G88," ")</f>
        <v> </v>
      </c>
      <c r="Q88" s="334" t="str">
        <f aca="false">IF((E88="t"),G88," ")</f>
        <v> </v>
      </c>
      <c r="R88" s="334" t="str">
        <f aca="false">IF((E88="a"),G88," ")</f>
        <v> </v>
      </c>
      <c r="S88" s="334" t="str">
        <f aca="false">IF((E88="l"),G88," ")</f>
        <v> </v>
      </c>
      <c r="T88" s="334" t="str">
        <f aca="false">IF((E88="b"),G88," ")</f>
        <v> </v>
      </c>
      <c r="U88" s="334" t="str">
        <f aca="false">IF((E88="i"),G88," ")</f>
        <v> </v>
      </c>
      <c r="V88" s="334" t="str">
        <f aca="false">IF((E88="o"),G88," ")</f>
        <v> </v>
      </c>
      <c r="W88" s="334" t="str">
        <f aca="false">IF((E88="f"),G88," ")</f>
        <v> </v>
      </c>
    </row>
    <row r="89" customFormat="false" ht="12.75" hidden="false" customHeight="false" outlineLevel="0" collapsed="false">
      <c r="A89" s="355"/>
      <c r="E89" s="365" t="str">
        <f aca="false">IF((G89&lt;&gt;0),"Enter Letter"," ")</f>
        <v> </v>
      </c>
      <c r="H89" s="338" t="str">
        <f aca="false">IF((G89&lt;&gt;0),IF((D89&gt;0)," ",G89)," ")</f>
        <v> </v>
      </c>
      <c r="I89" s="367" t="str">
        <f aca="false">IF((G89&lt;&gt;0),IF((D89&gt;0)," ",(I$1-A89))," ")</f>
        <v> </v>
      </c>
      <c r="J89" s="334" t="str">
        <f aca="false">IF((E89="s"),G89," ")</f>
        <v> </v>
      </c>
      <c r="K89" s="334" t="str">
        <f aca="false">IF((E89="d"),G89," ")</f>
        <v> </v>
      </c>
      <c r="L89" s="334" t="str">
        <f aca="false">IF((E89="e"),G89," ")</f>
        <v> </v>
      </c>
      <c r="M89" s="334" t="str">
        <f aca="false">IF((E89="p"),G89," ")</f>
        <v> </v>
      </c>
      <c r="N89" s="334" t="str">
        <f aca="false">IF((E89="r"),G89," ")</f>
        <v> </v>
      </c>
      <c r="O89" s="334" t="str">
        <f aca="false">IF((E89="g"),G89," ")</f>
        <v> </v>
      </c>
      <c r="P89" s="334" t="str">
        <f aca="false">IF((E89="m"),G89," ")</f>
        <v> </v>
      </c>
      <c r="Q89" s="334" t="str">
        <f aca="false">IF((E89="t"),G89," ")</f>
        <v> </v>
      </c>
      <c r="R89" s="334" t="str">
        <f aca="false">IF((E89="a"),G89," ")</f>
        <v> </v>
      </c>
      <c r="S89" s="334" t="str">
        <f aca="false">IF((E89="l"),G89," ")</f>
        <v> </v>
      </c>
      <c r="T89" s="334" t="str">
        <f aca="false">IF((E89="b"),G89," ")</f>
        <v> </v>
      </c>
      <c r="U89" s="334" t="str">
        <f aca="false">IF((E89="i"),G89," ")</f>
        <v> </v>
      </c>
      <c r="V89" s="334" t="str">
        <f aca="false">IF((E89="o"),G89," ")</f>
        <v> </v>
      </c>
      <c r="W89" s="334" t="str">
        <f aca="false">IF((E89="f"),G89," ")</f>
        <v> </v>
      </c>
    </row>
    <row r="90" customFormat="false" ht="12.75" hidden="false" customHeight="false" outlineLevel="0" collapsed="false">
      <c r="A90" s="355"/>
      <c r="E90" s="365" t="str">
        <f aca="false">IF((G90&lt;&gt;0),"Enter Letter"," ")</f>
        <v> </v>
      </c>
      <c r="H90" s="338" t="str">
        <f aca="false">IF((G90&lt;&gt;0),IF((D90&gt;0)," ",G90)," ")</f>
        <v> </v>
      </c>
      <c r="I90" s="367" t="str">
        <f aca="false">IF((G90&lt;&gt;0),IF((D90&gt;0)," ",(I$1-A90))," ")</f>
        <v> </v>
      </c>
      <c r="J90" s="334" t="str">
        <f aca="false">IF((E90="s"),G90," ")</f>
        <v> </v>
      </c>
      <c r="K90" s="334" t="str">
        <f aca="false">IF((E90="d"),G90," ")</f>
        <v> </v>
      </c>
      <c r="L90" s="334" t="str">
        <f aca="false">IF((E90="e"),G90," ")</f>
        <v> </v>
      </c>
      <c r="M90" s="334" t="str">
        <f aca="false">IF((E90="p"),G90," ")</f>
        <v> </v>
      </c>
      <c r="N90" s="334" t="str">
        <f aca="false">IF((E90="r"),G90," ")</f>
        <v> </v>
      </c>
      <c r="O90" s="334" t="str">
        <f aca="false">IF((E90="g"),G90," ")</f>
        <v> </v>
      </c>
      <c r="P90" s="334" t="str">
        <f aca="false">IF((E90="m"),G90," ")</f>
        <v> </v>
      </c>
      <c r="Q90" s="334" t="str">
        <f aca="false">IF((E90="t"),G90," ")</f>
        <v> </v>
      </c>
      <c r="R90" s="334" t="str">
        <f aca="false">IF((E90="a"),G90," ")</f>
        <v> </v>
      </c>
      <c r="S90" s="334" t="str">
        <f aca="false">IF((E90="l"),G90," ")</f>
        <v> </v>
      </c>
      <c r="T90" s="334" t="str">
        <f aca="false">IF((E90="b"),G90," ")</f>
        <v> </v>
      </c>
      <c r="U90" s="334" t="str">
        <f aca="false">IF((E90="i"),G90," ")</f>
        <v> </v>
      </c>
      <c r="V90" s="334" t="str">
        <f aca="false">IF((E90="o"),G90," ")</f>
        <v> </v>
      </c>
      <c r="W90" s="334" t="str">
        <f aca="false">IF((E90="f"),G90," ")</f>
        <v> </v>
      </c>
    </row>
    <row r="91" customFormat="false" ht="12.75" hidden="false" customHeight="false" outlineLevel="0" collapsed="false">
      <c r="A91" s="355"/>
      <c r="E91" s="365" t="str">
        <f aca="false">IF((G91&lt;&gt;0),"Enter Letter"," ")</f>
        <v> </v>
      </c>
      <c r="H91" s="338" t="str">
        <f aca="false">IF((G91&lt;&gt;0),IF((D91&gt;0)," ",G91)," ")</f>
        <v> </v>
      </c>
      <c r="I91" s="367" t="str">
        <f aca="false">IF((G91&lt;&gt;0),IF((D91&gt;0)," ",(I$1-A91))," ")</f>
        <v> </v>
      </c>
      <c r="J91" s="334" t="str">
        <f aca="false">IF((E91="s"),G91," ")</f>
        <v> </v>
      </c>
      <c r="K91" s="334" t="str">
        <f aca="false">IF((E91="d"),G91," ")</f>
        <v> </v>
      </c>
      <c r="L91" s="334" t="str">
        <f aca="false">IF((E91="e"),G91," ")</f>
        <v> </v>
      </c>
      <c r="M91" s="334" t="str">
        <f aca="false">IF((E91="p"),G91," ")</f>
        <v> </v>
      </c>
      <c r="N91" s="334" t="str">
        <f aca="false">IF((E91="r"),G91," ")</f>
        <v> </v>
      </c>
      <c r="O91" s="334" t="str">
        <f aca="false">IF((E91="g"),G91," ")</f>
        <v> </v>
      </c>
      <c r="P91" s="334" t="str">
        <f aca="false">IF((E91="m"),G91," ")</f>
        <v> </v>
      </c>
      <c r="Q91" s="334" t="str">
        <f aca="false">IF((E91="t"),G91," ")</f>
        <v> </v>
      </c>
      <c r="R91" s="334" t="str">
        <f aca="false">IF((E91="a"),G91," ")</f>
        <v> </v>
      </c>
      <c r="S91" s="334" t="str">
        <f aca="false">IF((E91="l"),G91," ")</f>
        <v> </v>
      </c>
      <c r="T91" s="334" t="str">
        <f aca="false">IF((E91="b"),G91," ")</f>
        <v> </v>
      </c>
      <c r="U91" s="334" t="str">
        <f aca="false">IF((E91="i"),G91," ")</f>
        <v> </v>
      </c>
      <c r="V91" s="334" t="str">
        <f aca="false">IF((E91="o"),G91," ")</f>
        <v> </v>
      </c>
      <c r="W91" s="334" t="str">
        <f aca="false">IF((E91="f"),G91," ")</f>
        <v> </v>
      </c>
    </row>
    <row r="92" customFormat="false" ht="12.75" hidden="false" customHeight="false" outlineLevel="0" collapsed="false">
      <c r="A92" s="355"/>
      <c r="E92" s="365" t="str">
        <f aca="false">IF((G92&lt;&gt;0),"Enter Letter"," ")</f>
        <v> </v>
      </c>
      <c r="H92" s="338" t="str">
        <f aca="false">IF((G92&lt;&gt;0),IF((D92&gt;0)," ",G92)," ")</f>
        <v> </v>
      </c>
      <c r="I92" s="367" t="str">
        <f aca="false">IF((G92&lt;&gt;0),IF((D92&gt;0)," ",(I$1-A92))," ")</f>
        <v> </v>
      </c>
      <c r="J92" s="334" t="str">
        <f aca="false">IF((E92="s"),G92," ")</f>
        <v> </v>
      </c>
      <c r="K92" s="334" t="str">
        <f aca="false">IF((E92="d"),G92," ")</f>
        <v> </v>
      </c>
      <c r="L92" s="334" t="str">
        <f aca="false">IF((E92="e"),G92," ")</f>
        <v> </v>
      </c>
      <c r="M92" s="334" t="str">
        <f aca="false">IF((E92="p"),G92," ")</f>
        <v> </v>
      </c>
      <c r="N92" s="334" t="str">
        <f aca="false">IF((E92="r"),G92," ")</f>
        <v> </v>
      </c>
      <c r="O92" s="334" t="str">
        <f aca="false">IF((E92="g"),G92," ")</f>
        <v> </v>
      </c>
      <c r="P92" s="334" t="str">
        <f aca="false">IF((E92="m"),G92," ")</f>
        <v> </v>
      </c>
      <c r="Q92" s="334" t="str">
        <f aca="false">IF((E92="t"),G92," ")</f>
        <v> </v>
      </c>
      <c r="R92" s="334" t="str">
        <f aca="false">IF((E92="a"),G92," ")</f>
        <v> </v>
      </c>
      <c r="S92" s="334" t="str">
        <f aca="false">IF((E92="l"),G92," ")</f>
        <v> </v>
      </c>
      <c r="T92" s="334" t="str">
        <f aca="false">IF((E92="b"),G92," ")</f>
        <v> </v>
      </c>
      <c r="U92" s="334" t="str">
        <f aca="false">IF((E92="i"),G92," ")</f>
        <v> </v>
      </c>
      <c r="V92" s="334" t="str">
        <f aca="false">IF((E92="o"),G92," ")</f>
        <v> </v>
      </c>
      <c r="W92" s="334" t="str">
        <f aca="false">IF((E92="f"),G92," ")</f>
        <v> </v>
      </c>
    </row>
    <row r="93" customFormat="false" ht="12.75" hidden="false" customHeight="false" outlineLevel="0" collapsed="false">
      <c r="A93" s="355"/>
      <c r="E93" s="365" t="str">
        <f aca="false">IF((G93&lt;&gt;0),"Enter Letter"," ")</f>
        <v> </v>
      </c>
      <c r="H93" s="338" t="str">
        <f aca="false">IF((G93&lt;&gt;0),IF((D93&gt;0)," ",G93)," ")</f>
        <v> </v>
      </c>
      <c r="I93" s="367" t="str">
        <f aca="false">IF((G93&lt;&gt;0),IF((D93&gt;0)," ",(I$1-A93))," ")</f>
        <v> </v>
      </c>
      <c r="J93" s="334" t="str">
        <f aca="false">IF((E93="s"),G93," ")</f>
        <v> </v>
      </c>
      <c r="K93" s="334" t="str">
        <f aca="false">IF((E93="d"),G93," ")</f>
        <v> </v>
      </c>
      <c r="L93" s="334" t="str">
        <f aca="false">IF((E93="e"),G93," ")</f>
        <v> </v>
      </c>
      <c r="M93" s="334" t="str">
        <f aca="false">IF((E93="p"),G93," ")</f>
        <v> </v>
      </c>
      <c r="N93" s="334" t="str">
        <f aca="false">IF((E93="r"),G93," ")</f>
        <v> </v>
      </c>
      <c r="O93" s="334" t="str">
        <f aca="false">IF((E93="g"),G93," ")</f>
        <v> </v>
      </c>
      <c r="P93" s="334" t="str">
        <f aca="false">IF((E93="m"),G93," ")</f>
        <v> </v>
      </c>
      <c r="Q93" s="334" t="str">
        <f aca="false">IF((E93="t"),G93," ")</f>
        <v> </v>
      </c>
      <c r="R93" s="334" t="str">
        <f aca="false">IF((E93="a"),G93," ")</f>
        <v> </v>
      </c>
      <c r="S93" s="334" t="str">
        <f aca="false">IF((E93="l"),G93," ")</f>
        <v> </v>
      </c>
      <c r="T93" s="334" t="str">
        <f aca="false">IF((E93="b"),G93," ")</f>
        <v> </v>
      </c>
      <c r="U93" s="334" t="str">
        <f aca="false">IF((E93="i"),G93," ")</f>
        <v> </v>
      </c>
      <c r="V93" s="334" t="str">
        <f aca="false">IF((E93="o"),G93," ")</f>
        <v> </v>
      </c>
      <c r="W93" s="334" t="str">
        <f aca="false">IF((E93="f"),G93," ")</f>
        <v> </v>
      </c>
    </row>
    <row r="94" customFormat="false" ht="12.75" hidden="false" customHeight="false" outlineLevel="0" collapsed="false">
      <c r="A94" s="355"/>
      <c r="E94" s="365" t="str">
        <f aca="false">IF((G94&lt;&gt;0),"Enter Letter"," ")</f>
        <v> </v>
      </c>
      <c r="H94" s="338" t="str">
        <f aca="false">IF((G94&lt;&gt;0),IF((D94&gt;0)," ",G94)," ")</f>
        <v> </v>
      </c>
      <c r="I94" s="367" t="str">
        <f aca="false">IF((G94&lt;&gt;0),IF((D94&gt;0)," ",(I$1-A94))," ")</f>
        <v> </v>
      </c>
      <c r="J94" s="334" t="str">
        <f aca="false">IF((E94="s"),G94," ")</f>
        <v> </v>
      </c>
      <c r="K94" s="334" t="str">
        <f aca="false">IF((E94="d"),G94," ")</f>
        <v> </v>
      </c>
      <c r="L94" s="334" t="str">
        <f aca="false">IF((E94="e"),G94," ")</f>
        <v> </v>
      </c>
      <c r="M94" s="334" t="str">
        <f aca="false">IF((E94="p"),G94," ")</f>
        <v> </v>
      </c>
      <c r="N94" s="334" t="str">
        <f aca="false">IF((E94="r"),G94," ")</f>
        <v> </v>
      </c>
      <c r="O94" s="334" t="str">
        <f aca="false">IF((E94="g"),G94," ")</f>
        <v> </v>
      </c>
      <c r="P94" s="334" t="str">
        <f aca="false">IF((E94="m"),G94," ")</f>
        <v> </v>
      </c>
      <c r="Q94" s="334" t="str">
        <f aca="false">IF((E94="t"),G94," ")</f>
        <v> </v>
      </c>
      <c r="R94" s="334" t="str">
        <f aca="false">IF((E94="a"),G94," ")</f>
        <v> </v>
      </c>
      <c r="S94" s="334" t="str">
        <f aca="false">IF((E94="l"),G94," ")</f>
        <v> </v>
      </c>
      <c r="T94" s="334" t="str">
        <f aca="false">IF((E94="b"),G94," ")</f>
        <v> </v>
      </c>
      <c r="U94" s="334" t="str">
        <f aca="false">IF((E94="i"),G94," ")</f>
        <v> </v>
      </c>
      <c r="V94" s="334" t="str">
        <f aca="false">IF((E94="o"),G94," ")</f>
        <v> </v>
      </c>
      <c r="W94" s="334" t="str">
        <f aca="false">IF((E94="f"),G94," ")</f>
        <v> </v>
      </c>
    </row>
    <row r="95" customFormat="false" ht="12.75" hidden="false" customHeight="false" outlineLevel="0" collapsed="false">
      <c r="A95" s="355"/>
      <c r="E95" s="365" t="str">
        <f aca="false">IF((G95&lt;&gt;0),"Enter Letter"," ")</f>
        <v> </v>
      </c>
      <c r="H95" s="338" t="str">
        <f aca="false">IF((G95&lt;&gt;0),IF((D95&gt;0)," ",G95)," ")</f>
        <v> </v>
      </c>
      <c r="I95" s="367" t="str">
        <f aca="false">IF((G95&lt;&gt;0),IF((D95&gt;0)," ",(I$1-A95))," ")</f>
        <v> </v>
      </c>
      <c r="J95" s="334" t="str">
        <f aca="false">IF((E95="s"),G95," ")</f>
        <v> </v>
      </c>
      <c r="K95" s="334" t="str">
        <f aca="false">IF((E95="d"),G95," ")</f>
        <v> </v>
      </c>
      <c r="L95" s="334" t="str">
        <f aca="false">IF((E95="e"),G95," ")</f>
        <v> </v>
      </c>
      <c r="M95" s="334" t="str">
        <f aca="false">IF((E95="p"),G95," ")</f>
        <v> </v>
      </c>
      <c r="N95" s="334" t="str">
        <f aca="false">IF((E95="r"),G95," ")</f>
        <v> </v>
      </c>
      <c r="O95" s="334" t="str">
        <f aca="false">IF((E95="g"),G95," ")</f>
        <v> </v>
      </c>
      <c r="P95" s="334" t="str">
        <f aca="false">IF((E95="m"),G95," ")</f>
        <v> </v>
      </c>
      <c r="Q95" s="334" t="str">
        <f aca="false">IF((E95="t"),G95," ")</f>
        <v> </v>
      </c>
      <c r="R95" s="334" t="str">
        <f aca="false">IF((E95="a"),G95," ")</f>
        <v> </v>
      </c>
      <c r="S95" s="334" t="str">
        <f aca="false">IF((E95="l"),G95," ")</f>
        <v> </v>
      </c>
      <c r="T95" s="334" t="str">
        <f aca="false">IF((E95="b"),G95," ")</f>
        <v> </v>
      </c>
      <c r="U95" s="334" t="str">
        <f aca="false">IF((E95="i"),G95," ")</f>
        <v> </v>
      </c>
      <c r="V95" s="334" t="str">
        <f aca="false">IF((E95="o"),G95," ")</f>
        <v> </v>
      </c>
      <c r="W95" s="334" t="str">
        <f aca="false">IF((E95="f"),G95," ")</f>
        <v> </v>
      </c>
    </row>
    <row r="96" customFormat="false" ht="12.75" hidden="false" customHeight="false" outlineLevel="0" collapsed="false">
      <c r="A96" s="355"/>
      <c r="E96" s="365" t="str">
        <f aca="false">IF((G96&lt;&gt;0),"Enter Letter"," ")</f>
        <v> </v>
      </c>
      <c r="H96" s="338" t="str">
        <f aca="false">IF((G96&lt;&gt;0),IF((D96&gt;0)," ",G96)," ")</f>
        <v> </v>
      </c>
      <c r="I96" s="367" t="str">
        <f aca="false">IF((G96&lt;&gt;0),IF((D96&gt;0)," ",(I$1-A96))," ")</f>
        <v> </v>
      </c>
      <c r="J96" s="334" t="str">
        <f aca="false">IF((E96="s"),G96," ")</f>
        <v> </v>
      </c>
      <c r="K96" s="334" t="str">
        <f aca="false">IF((E96="d"),G96," ")</f>
        <v> </v>
      </c>
      <c r="L96" s="334" t="str">
        <f aca="false">IF((E96="e"),G96," ")</f>
        <v> </v>
      </c>
      <c r="M96" s="334" t="str">
        <f aca="false">IF((E96="p"),G96," ")</f>
        <v> </v>
      </c>
      <c r="N96" s="334" t="str">
        <f aca="false">IF((E96="r"),G96," ")</f>
        <v> </v>
      </c>
      <c r="O96" s="334" t="str">
        <f aca="false">IF((E96="g"),G96," ")</f>
        <v> </v>
      </c>
      <c r="P96" s="334" t="str">
        <f aca="false">IF((E96="m"),G96," ")</f>
        <v> </v>
      </c>
      <c r="Q96" s="334" t="str">
        <f aca="false">IF((E96="t"),G96," ")</f>
        <v> </v>
      </c>
      <c r="R96" s="334" t="str">
        <f aca="false">IF((E96="a"),G96," ")</f>
        <v> </v>
      </c>
      <c r="S96" s="334" t="str">
        <f aca="false">IF((E96="l"),G96," ")</f>
        <v> </v>
      </c>
      <c r="T96" s="334" t="str">
        <f aca="false">IF((E96="b"),G96," ")</f>
        <v> </v>
      </c>
      <c r="U96" s="334" t="str">
        <f aca="false">IF((E96="i"),G96," ")</f>
        <v> </v>
      </c>
      <c r="V96" s="334" t="str">
        <f aca="false">IF((E96="o"),G96," ")</f>
        <v> </v>
      </c>
      <c r="W96" s="334" t="str">
        <f aca="false">IF((E96="f"),G96," ")</f>
        <v> </v>
      </c>
    </row>
    <row r="97" customFormat="false" ht="12.75" hidden="false" customHeight="false" outlineLevel="0" collapsed="false">
      <c r="A97" s="355"/>
      <c r="E97" s="365" t="str">
        <f aca="false">IF((G97&lt;&gt;0),"Enter Letter"," ")</f>
        <v> </v>
      </c>
      <c r="H97" s="338" t="str">
        <f aca="false">IF((G97&lt;&gt;0),IF((D97&gt;0)," ",G97)," ")</f>
        <v> </v>
      </c>
      <c r="I97" s="367" t="str">
        <f aca="false">IF((G97&lt;&gt;0),IF((D97&gt;0)," ",(I$1-A97))," ")</f>
        <v> </v>
      </c>
      <c r="J97" s="334" t="str">
        <f aca="false">IF((E97="s"),G97," ")</f>
        <v> </v>
      </c>
      <c r="K97" s="334" t="str">
        <f aca="false">IF((E97="d"),G97," ")</f>
        <v> </v>
      </c>
      <c r="L97" s="334" t="str">
        <f aca="false">IF((E97="e"),G97," ")</f>
        <v> </v>
      </c>
      <c r="M97" s="334" t="str">
        <f aca="false">IF((E97="p"),G97," ")</f>
        <v> </v>
      </c>
      <c r="N97" s="334" t="str">
        <f aca="false">IF((E97="r"),G97," ")</f>
        <v> </v>
      </c>
      <c r="O97" s="334" t="str">
        <f aca="false">IF((E97="g"),G97," ")</f>
        <v> </v>
      </c>
      <c r="P97" s="334" t="str">
        <f aca="false">IF((E97="m"),G97," ")</f>
        <v> </v>
      </c>
      <c r="Q97" s="334" t="str">
        <f aca="false">IF((E97="t"),G97," ")</f>
        <v> </v>
      </c>
      <c r="R97" s="334" t="str">
        <f aca="false">IF((E97="a"),G97," ")</f>
        <v> </v>
      </c>
      <c r="S97" s="334" t="str">
        <f aca="false">IF((E97="l"),G97," ")</f>
        <v> </v>
      </c>
      <c r="T97" s="334" t="str">
        <f aca="false">IF((E97="b"),G97," ")</f>
        <v> </v>
      </c>
      <c r="U97" s="334" t="str">
        <f aca="false">IF((E97="i"),G97," ")</f>
        <v> </v>
      </c>
      <c r="V97" s="334" t="str">
        <f aca="false">IF((E97="o"),G97," ")</f>
        <v> </v>
      </c>
      <c r="W97" s="334" t="str">
        <f aca="false">IF((E97="f"),G97," ")</f>
        <v> </v>
      </c>
    </row>
    <row r="98" customFormat="false" ht="12.75" hidden="false" customHeight="false" outlineLevel="0" collapsed="false">
      <c r="A98" s="355"/>
      <c r="E98" s="365" t="str">
        <f aca="false">IF((G98&lt;&gt;0),"Enter Letter"," ")</f>
        <v> </v>
      </c>
      <c r="H98" s="338" t="str">
        <f aca="false">IF((G98&lt;&gt;0),IF((D98&gt;0)," ",G98)," ")</f>
        <v> </v>
      </c>
      <c r="I98" s="367" t="str">
        <f aca="false">IF((G98&lt;&gt;0),IF((D98&gt;0)," ",(I$1-A98))," ")</f>
        <v> </v>
      </c>
      <c r="J98" s="334" t="str">
        <f aca="false">IF((E98="s"),G98," ")</f>
        <v> </v>
      </c>
      <c r="K98" s="334" t="str">
        <f aca="false">IF((E98="d"),G98," ")</f>
        <v> </v>
      </c>
      <c r="L98" s="334" t="str">
        <f aca="false">IF((E98="e"),G98," ")</f>
        <v> </v>
      </c>
      <c r="M98" s="334" t="str">
        <f aca="false">IF((E98="p"),G98," ")</f>
        <v> </v>
      </c>
      <c r="N98" s="334" t="str">
        <f aca="false">IF((E98="r"),G98," ")</f>
        <v> </v>
      </c>
      <c r="O98" s="334" t="str">
        <f aca="false">IF((E98="g"),G98," ")</f>
        <v> </v>
      </c>
      <c r="P98" s="334" t="str">
        <f aca="false">IF((E98="m"),G98," ")</f>
        <v> </v>
      </c>
      <c r="Q98" s="334" t="str">
        <f aca="false">IF((E98="t"),G98," ")</f>
        <v> </v>
      </c>
      <c r="R98" s="334" t="str">
        <f aca="false">IF((E98="a"),G98," ")</f>
        <v> </v>
      </c>
      <c r="S98" s="334" t="str">
        <f aca="false">IF((E98="l"),G98," ")</f>
        <v> </v>
      </c>
      <c r="T98" s="334" t="str">
        <f aca="false">IF((E98="b"),G98," ")</f>
        <v> </v>
      </c>
      <c r="U98" s="334" t="str">
        <f aca="false">IF((E98="i"),G98," ")</f>
        <v> </v>
      </c>
      <c r="V98" s="334" t="str">
        <f aca="false">IF((E98="o"),G98," ")</f>
        <v> </v>
      </c>
      <c r="W98" s="334" t="str">
        <f aca="false">IF((E98="f"),G98," ")</f>
        <v> </v>
      </c>
    </row>
    <row r="99" customFormat="false" ht="12.75" hidden="false" customHeight="false" outlineLevel="0" collapsed="false">
      <c r="A99" s="355"/>
      <c r="E99" s="365" t="str">
        <f aca="false">IF((G99&lt;&gt;0),"Enter Letter"," ")</f>
        <v> </v>
      </c>
      <c r="H99" s="338" t="str">
        <f aca="false">IF((G99&lt;&gt;0),IF((D99&gt;0)," ",G99)," ")</f>
        <v> </v>
      </c>
      <c r="I99" s="367" t="str">
        <f aca="false">IF((G99&lt;&gt;0),IF((D99&gt;0)," ",(I$1-A99))," ")</f>
        <v> </v>
      </c>
      <c r="J99" s="334" t="str">
        <f aca="false">IF((E99="s"),G99," ")</f>
        <v> </v>
      </c>
      <c r="K99" s="334" t="str">
        <f aca="false">IF((E99="d"),G99," ")</f>
        <v> </v>
      </c>
      <c r="L99" s="334" t="str">
        <f aca="false">IF((E99="e"),G99," ")</f>
        <v> </v>
      </c>
      <c r="M99" s="334" t="str">
        <f aca="false">IF((E99="p"),G99," ")</f>
        <v> </v>
      </c>
      <c r="N99" s="334" t="str">
        <f aca="false">IF((E99="r"),G99," ")</f>
        <v> </v>
      </c>
      <c r="O99" s="334" t="str">
        <f aca="false">IF((E99="g"),G99," ")</f>
        <v> </v>
      </c>
      <c r="P99" s="334" t="str">
        <f aca="false">IF((E99="m"),G99," ")</f>
        <v> </v>
      </c>
      <c r="Q99" s="334" t="str">
        <f aca="false">IF((E99="t"),G99," ")</f>
        <v> </v>
      </c>
      <c r="R99" s="334" t="str">
        <f aca="false">IF((E99="a"),G99," ")</f>
        <v> </v>
      </c>
      <c r="S99" s="334" t="str">
        <f aca="false">IF((E99="l"),G99," ")</f>
        <v> </v>
      </c>
      <c r="T99" s="334" t="str">
        <f aca="false">IF((E99="b"),G99," ")</f>
        <v> </v>
      </c>
      <c r="U99" s="334" t="str">
        <f aca="false">IF((E99="i"),G99," ")</f>
        <v> </v>
      </c>
      <c r="V99" s="334" t="str">
        <f aca="false">IF((E99="o"),G99," ")</f>
        <v> </v>
      </c>
      <c r="W99" s="334" t="str">
        <f aca="false">IF((E99="f"),G99," ")</f>
        <v> </v>
      </c>
    </row>
    <row r="100" customFormat="false" ht="12.75" hidden="false" customHeight="false" outlineLevel="0" collapsed="false">
      <c r="A100" s="355"/>
      <c r="E100" s="365" t="str">
        <f aca="false">IF((G100&lt;&gt;0),"Enter Letter"," ")</f>
        <v> </v>
      </c>
      <c r="H100" s="338" t="str">
        <f aca="false">IF((G100&lt;&gt;0),IF((D100&gt;0)," ",G100)," ")</f>
        <v> </v>
      </c>
      <c r="I100" s="367" t="str">
        <f aca="false">IF((G100&lt;&gt;0),IF((D100&gt;0)," ",(I$1-A100))," ")</f>
        <v> </v>
      </c>
      <c r="J100" s="334" t="str">
        <f aca="false">IF((E100="s"),G100," ")</f>
        <v> </v>
      </c>
      <c r="K100" s="334" t="str">
        <f aca="false">IF((E100="d"),G100," ")</f>
        <v> </v>
      </c>
      <c r="L100" s="334" t="str">
        <f aca="false">IF((E100="e"),G100," ")</f>
        <v> </v>
      </c>
      <c r="M100" s="334" t="str">
        <f aca="false">IF((E100="p"),G100," ")</f>
        <v> </v>
      </c>
      <c r="N100" s="334" t="str">
        <f aca="false">IF((E100="r"),G100," ")</f>
        <v> </v>
      </c>
      <c r="O100" s="334" t="str">
        <f aca="false">IF((E100="g"),G100," ")</f>
        <v> </v>
      </c>
      <c r="P100" s="334" t="str">
        <f aca="false">IF((E100="m"),G100," ")</f>
        <v> </v>
      </c>
      <c r="Q100" s="334" t="str">
        <f aca="false">IF((E100="t"),G100," ")</f>
        <v> </v>
      </c>
      <c r="R100" s="334" t="str">
        <f aca="false">IF((E100="a"),G100," ")</f>
        <v> </v>
      </c>
      <c r="S100" s="334" t="str">
        <f aca="false">IF((E100="l"),G100," ")</f>
        <v> </v>
      </c>
      <c r="T100" s="334" t="str">
        <f aca="false">IF((E100="b"),G100," ")</f>
        <v> </v>
      </c>
      <c r="U100" s="334" t="str">
        <f aca="false">IF((E100="i"),G100," ")</f>
        <v> </v>
      </c>
      <c r="V100" s="334" t="str">
        <f aca="false">IF((E100="o"),G100," ")</f>
        <v> </v>
      </c>
      <c r="W100" s="334" t="str">
        <f aca="false">IF((E100="f"),G100," ")</f>
        <v> </v>
      </c>
    </row>
    <row r="101" customFormat="false" ht="12.75" hidden="false" customHeight="false" outlineLevel="0" collapsed="false">
      <c r="A101" s="355"/>
      <c r="E101" s="365" t="str">
        <f aca="false">IF((G101&lt;&gt;0),"Enter Letter"," ")</f>
        <v> </v>
      </c>
      <c r="H101" s="338" t="str">
        <f aca="false">IF((G101&lt;&gt;0),IF((D101&gt;0)," ",G101)," ")</f>
        <v> </v>
      </c>
      <c r="I101" s="367" t="str">
        <f aca="false">IF((G101&lt;&gt;0),IF((D101&gt;0)," ",(I$1-A101))," ")</f>
        <v> </v>
      </c>
      <c r="J101" s="334" t="str">
        <f aca="false">IF((E101="s"),G101," ")</f>
        <v> </v>
      </c>
      <c r="K101" s="334" t="str">
        <f aca="false">IF((E101="d"),G101," ")</f>
        <v> </v>
      </c>
      <c r="L101" s="334" t="str">
        <f aca="false">IF((E101="e"),G101," ")</f>
        <v> </v>
      </c>
      <c r="M101" s="334" t="str">
        <f aca="false">IF((E101="p"),G101," ")</f>
        <v> </v>
      </c>
      <c r="N101" s="334" t="str">
        <f aca="false">IF((E101="r"),G101," ")</f>
        <v> </v>
      </c>
      <c r="O101" s="334" t="str">
        <f aca="false">IF((E101="g"),G101," ")</f>
        <v> </v>
      </c>
      <c r="P101" s="334" t="str">
        <f aca="false">IF((E101="m"),G101," ")</f>
        <v> </v>
      </c>
      <c r="Q101" s="334" t="str">
        <f aca="false">IF((E101="t"),G101," ")</f>
        <v> </v>
      </c>
      <c r="R101" s="334" t="str">
        <f aca="false">IF((E101="a"),G101," ")</f>
        <v> </v>
      </c>
      <c r="S101" s="334" t="str">
        <f aca="false">IF((E101="l"),G101," ")</f>
        <v> </v>
      </c>
      <c r="T101" s="334" t="str">
        <f aca="false">IF((E101="b"),G101," ")</f>
        <v> </v>
      </c>
      <c r="U101" s="334" t="str">
        <f aca="false">IF((E101="i"),G101," ")</f>
        <v> </v>
      </c>
      <c r="V101" s="334" t="str">
        <f aca="false">IF((E101="o"),G101," ")</f>
        <v> </v>
      </c>
      <c r="W101" s="334" t="str">
        <f aca="false">IF((E101="f"),G101," ")</f>
        <v> </v>
      </c>
    </row>
    <row r="102" customFormat="false" ht="12.75" hidden="false" customHeight="false" outlineLevel="0" collapsed="false">
      <c r="A102" s="355"/>
      <c r="E102" s="365" t="str">
        <f aca="false">IF((G102&lt;&gt;0),"Enter Letter"," ")</f>
        <v> </v>
      </c>
      <c r="H102" s="338" t="str">
        <f aca="false">IF((G102&lt;&gt;0),IF((D102&gt;0)," ",G102)," ")</f>
        <v> </v>
      </c>
      <c r="I102" s="367" t="str">
        <f aca="false">IF((G102&lt;&gt;0),IF((D102&gt;0)," ",(I$1-A102))," ")</f>
        <v> </v>
      </c>
      <c r="J102" s="334" t="str">
        <f aca="false">IF((E102="s"),G102," ")</f>
        <v> </v>
      </c>
      <c r="K102" s="334" t="str">
        <f aca="false">IF((E102="d"),G102," ")</f>
        <v> </v>
      </c>
      <c r="L102" s="334" t="str">
        <f aca="false">IF((E102="e"),G102," ")</f>
        <v> </v>
      </c>
      <c r="M102" s="334" t="str">
        <f aca="false">IF((E102="p"),G102," ")</f>
        <v> </v>
      </c>
      <c r="N102" s="334" t="str">
        <f aca="false">IF((E102="r"),G102," ")</f>
        <v> </v>
      </c>
      <c r="O102" s="334" t="str">
        <f aca="false">IF((E102="g"),G102," ")</f>
        <v> </v>
      </c>
      <c r="P102" s="334" t="str">
        <f aca="false">IF((E102="m"),G102," ")</f>
        <v> </v>
      </c>
      <c r="Q102" s="334" t="str">
        <f aca="false">IF((E102="t"),G102," ")</f>
        <v> </v>
      </c>
      <c r="R102" s="334" t="str">
        <f aca="false">IF((E102="a"),G102," ")</f>
        <v> </v>
      </c>
      <c r="S102" s="334" t="str">
        <f aca="false">IF((E102="l"),G102," ")</f>
        <v> </v>
      </c>
      <c r="T102" s="334" t="str">
        <f aca="false">IF((E102="b"),G102," ")</f>
        <v> </v>
      </c>
      <c r="U102" s="334" t="str">
        <f aca="false">IF((E102="i"),G102," ")</f>
        <v> </v>
      </c>
      <c r="V102" s="334" t="str">
        <f aca="false">IF((E102="o"),G102," ")</f>
        <v> </v>
      </c>
      <c r="W102" s="334" t="str">
        <f aca="false">IF((E102="f"),G102," ")</f>
        <v> </v>
      </c>
    </row>
    <row r="103" customFormat="false" ht="12.75" hidden="false" customHeight="false" outlineLevel="0" collapsed="false">
      <c r="A103" s="355"/>
      <c r="E103" s="365" t="str">
        <f aca="false">IF((G103&lt;&gt;0),"Enter Letter"," ")</f>
        <v> </v>
      </c>
      <c r="H103" s="338" t="str">
        <f aca="false">IF((G103&lt;&gt;0),IF((D103&gt;0)," ",G103)," ")</f>
        <v> </v>
      </c>
      <c r="I103" s="367" t="str">
        <f aca="false">IF((G103&lt;&gt;0),IF((D103&gt;0)," ",(I$1-A103))," ")</f>
        <v> </v>
      </c>
      <c r="J103" s="334" t="str">
        <f aca="false">IF((E103="s"),G103," ")</f>
        <v> </v>
      </c>
      <c r="K103" s="334" t="str">
        <f aca="false">IF((E103="d"),G103," ")</f>
        <v> </v>
      </c>
      <c r="L103" s="334" t="str">
        <f aca="false">IF((E103="e"),G103," ")</f>
        <v> </v>
      </c>
      <c r="M103" s="334" t="str">
        <f aca="false">IF((E103="p"),G103," ")</f>
        <v> </v>
      </c>
      <c r="N103" s="334" t="str">
        <f aca="false">IF((E103="r"),G103," ")</f>
        <v> </v>
      </c>
      <c r="O103" s="334" t="str">
        <f aca="false">IF((E103="g"),G103," ")</f>
        <v> </v>
      </c>
      <c r="P103" s="334" t="str">
        <f aca="false">IF((E103="m"),G103," ")</f>
        <v> </v>
      </c>
      <c r="Q103" s="334" t="str">
        <f aca="false">IF((E103="t"),G103," ")</f>
        <v> </v>
      </c>
      <c r="R103" s="334" t="str">
        <f aca="false">IF((E103="a"),G103," ")</f>
        <v> </v>
      </c>
      <c r="S103" s="334" t="str">
        <f aca="false">IF((E103="l"),G103," ")</f>
        <v> </v>
      </c>
      <c r="T103" s="334" t="str">
        <f aca="false">IF((E103="b"),G103," ")</f>
        <v> </v>
      </c>
      <c r="U103" s="334" t="str">
        <f aca="false">IF((E103="i"),G103," ")</f>
        <v> </v>
      </c>
      <c r="V103" s="334" t="str">
        <f aca="false">IF((E103="o"),G103," ")</f>
        <v> </v>
      </c>
      <c r="W103" s="334" t="str">
        <f aca="false">IF((E103="f"),G103," ")</f>
        <v> </v>
      </c>
    </row>
    <row r="104" customFormat="false" ht="12.75" hidden="false" customHeight="false" outlineLevel="0" collapsed="false">
      <c r="A104" s="355"/>
      <c r="E104" s="365" t="str">
        <f aca="false">IF((G104&lt;&gt;0),"Enter Letter"," ")</f>
        <v> </v>
      </c>
      <c r="H104" s="338" t="str">
        <f aca="false">IF((G104&lt;&gt;0),IF((D104&gt;0)," ",G104)," ")</f>
        <v> </v>
      </c>
      <c r="I104" s="367" t="str">
        <f aca="false">IF((G104&lt;&gt;0),IF((D104&gt;0)," ",(I$1-A104))," ")</f>
        <v> </v>
      </c>
      <c r="J104" s="334" t="str">
        <f aca="false">IF((E104="s"),G104," ")</f>
        <v> </v>
      </c>
      <c r="K104" s="334" t="str">
        <f aca="false">IF((E104="d"),G104," ")</f>
        <v> </v>
      </c>
      <c r="L104" s="334" t="str">
        <f aca="false">IF((E104="e"),G104," ")</f>
        <v> </v>
      </c>
      <c r="M104" s="334" t="str">
        <f aca="false">IF((E104="p"),G104," ")</f>
        <v> </v>
      </c>
      <c r="N104" s="334" t="str">
        <f aca="false">IF((E104="r"),G104," ")</f>
        <v> </v>
      </c>
      <c r="O104" s="334" t="str">
        <f aca="false">IF((E104="g"),G104," ")</f>
        <v> </v>
      </c>
      <c r="P104" s="334" t="str">
        <f aca="false">IF((E104="m"),G104," ")</f>
        <v> </v>
      </c>
      <c r="Q104" s="334" t="str">
        <f aca="false">IF((E104="t"),G104," ")</f>
        <v> </v>
      </c>
      <c r="R104" s="334" t="str">
        <f aca="false">IF((E104="a"),G104," ")</f>
        <v> </v>
      </c>
      <c r="S104" s="334" t="str">
        <f aca="false">IF((E104="l"),G104," ")</f>
        <v> </v>
      </c>
      <c r="T104" s="334" t="str">
        <f aca="false">IF((E104="b"),G104," ")</f>
        <v> </v>
      </c>
      <c r="U104" s="334" t="str">
        <f aca="false">IF((E104="i"),G104," ")</f>
        <v> </v>
      </c>
      <c r="V104" s="334" t="str">
        <f aca="false">IF((E104="o"),G104," ")</f>
        <v> </v>
      </c>
      <c r="W104" s="334" t="str">
        <f aca="false">IF((E104="f"),G104," ")</f>
        <v> </v>
      </c>
    </row>
    <row r="105" customFormat="false" ht="12.75" hidden="false" customHeight="false" outlineLevel="0" collapsed="false">
      <c r="A105" s="355"/>
      <c r="E105" s="365" t="str">
        <f aca="false">IF((G105&lt;&gt;0),"Enter Letter"," ")</f>
        <v> </v>
      </c>
      <c r="H105" s="338" t="str">
        <f aca="false">IF((G105&lt;&gt;0),IF((D105&gt;0)," ",G105)," ")</f>
        <v> </v>
      </c>
      <c r="I105" s="367" t="str">
        <f aca="false">IF((G105&lt;&gt;0),IF((D105&gt;0)," ",(I$1-A105))," ")</f>
        <v> </v>
      </c>
      <c r="J105" s="334" t="str">
        <f aca="false">IF((E105="s"),G105," ")</f>
        <v> </v>
      </c>
      <c r="K105" s="334" t="str">
        <f aca="false">IF((E105="d"),G105," ")</f>
        <v> </v>
      </c>
      <c r="L105" s="334" t="str">
        <f aca="false">IF((E105="e"),G105," ")</f>
        <v> </v>
      </c>
      <c r="M105" s="334" t="str">
        <f aca="false">IF((E105="p"),G105," ")</f>
        <v> </v>
      </c>
      <c r="N105" s="334" t="str">
        <f aca="false">IF((E105="r"),G105," ")</f>
        <v> </v>
      </c>
      <c r="O105" s="334" t="str">
        <f aca="false">IF((E105="g"),G105," ")</f>
        <v> </v>
      </c>
      <c r="P105" s="334" t="str">
        <f aca="false">IF((E105="m"),G105," ")</f>
        <v> </v>
      </c>
      <c r="Q105" s="334" t="str">
        <f aca="false">IF((E105="t"),G105," ")</f>
        <v> </v>
      </c>
      <c r="R105" s="334" t="str">
        <f aca="false">IF((E105="a"),G105," ")</f>
        <v> </v>
      </c>
      <c r="S105" s="334" t="str">
        <f aca="false">IF((E105="l"),G105," ")</f>
        <v> </v>
      </c>
      <c r="T105" s="334" t="str">
        <f aca="false">IF((E105="b"),G105," ")</f>
        <v> </v>
      </c>
      <c r="U105" s="334" t="str">
        <f aca="false">IF((E105="i"),G105," ")</f>
        <v> </v>
      </c>
      <c r="V105" s="334" t="str">
        <f aca="false">IF((E105="o"),G105," ")</f>
        <v> </v>
      </c>
      <c r="W105" s="334" t="str">
        <f aca="false">IF((E105="f"),G105," ")</f>
        <v> </v>
      </c>
    </row>
    <row r="106" customFormat="false" ht="12.75" hidden="false" customHeight="false" outlineLevel="0" collapsed="false">
      <c r="A106" s="355"/>
      <c r="E106" s="365" t="str">
        <f aca="false">IF((G106&lt;&gt;0),"Enter Letter"," ")</f>
        <v> </v>
      </c>
      <c r="H106" s="338" t="str">
        <f aca="false">IF((G106&lt;&gt;0),IF((D106&gt;0)," ",G106)," ")</f>
        <v> </v>
      </c>
      <c r="I106" s="367" t="str">
        <f aca="false">IF((G106&lt;&gt;0),IF((D106&gt;0)," ",(I$1-A106))," ")</f>
        <v> </v>
      </c>
      <c r="J106" s="334" t="str">
        <f aca="false">IF((E106="s"),G106," ")</f>
        <v> </v>
      </c>
      <c r="K106" s="334" t="str">
        <f aca="false">IF((E106="d"),G106," ")</f>
        <v> </v>
      </c>
      <c r="L106" s="334" t="str">
        <f aca="false">IF((E106="e"),G106," ")</f>
        <v> </v>
      </c>
      <c r="M106" s="334" t="str">
        <f aca="false">IF((E106="p"),G106," ")</f>
        <v> </v>
      </c>
      <c r="N106" s="334" t="str">
        <f aca="false">IF((E106="r"),G106," ")</f>
        <v> </v>
      </c>
      <c r="O106" s="334" t="str">
        <f aca="false">IF((E106="g"),G106," ")</f>
        <v> </v>
      </c>
      <c r="P106" s="334" t="str">
        <f aca="false">IF((E106="m"),G106," ")</f>
        <v> </v>
      </c>
      <c r="Q106" s="334" t="str">
        <f aca="false">IF((E106="t"),G106," ")</f>
        <v> </v>
      </c>
      <c r="R106" s="334" t="str">
        <f aca="false">IF((E106="a"),G106," ")</f>
        <v> </v>
      </c>
      <c r="S106" s="334" t="str">
        <f aca="false">IF((E106="l"),G106," ")</f>
        <v> </v>
      </c>
      <c r="T106" s="334" t="str">
        <f aca="false">IF((E106="b"),G106," ")</f>
        <v> </v>
      </c>
      <c r="U106" s="334" t="str">
        <f aca="false">IF((E106="i"),G106," ")</f>
        <v> </v>
      </c>
      <c r="V106" s="334" t="str">
        <f aca="false">IF((E106="o"),G106," ")</f>
        <v> </v>
      </c>
      <c r="W106" s="334" t="str">
        <f aca="false">IF((E106="f"),G106," ")</f>
        <v> </v>
      </c>
    </row>
    <row r="107" customFormat="false" ht="12.75" hidden="false" customHeight="false" outlineLevel="0" collapsed="false">
      <c r="A107" s="355"/>
      <c r="E107" s="365" t="str">
        <f aca="false">IF((G107&lt;&gt;0),"Enter Letter"," ")</f>
        <v> </v>
      </c>
      <c r="H107" s="338" t="str">
        <f aca="false">IF((G107&lt;&gt;0),IF((D107&gt;0)," ",G107)," ")</f>
        <v> </v>
      </c>
      <c r="I107" s="367" t="str">
        <f aca="false">IF((G107&lt;&gt;0),IF((D107&gt;0)," ",(I$1-A107))," ")</f>
        <v> </v>
      </c>
      <c r="J107" s="334" t="str">
        <f aca="false">IF((E107="s"),G107," ")</f>
        <v> </v>
      </c>
      <c r="K107" s="334" t="str">
        <f aca="false">IF((E107="d"),G107," ")</f>
        <v> </v>
      </c>
      <c r="L107" s="334" t="str">
        <f aca="false">IF((E107="e"),G107," ")</f>
        <v> </v>
      </c>
      <c r="M107" s="334" t="str">
        <f aca="false">IF((E107="p"),G107," ")</f>
        <v> </v>
      </c>
      <c r="N107" s="334" t="str">
        <f aca="false">IF((E107="r"),G107," ")</f>
        <v> </v>
      </c>
      <c r="O107" s="334" t="str">
        <f aca="false">IF((E107="g"),G107," ")</f>
        <v> </v>
      </c>
      <c r="P107" s="334" t="str">
        <f aca="false">IF((E107="m"),G107," ")</f>
        <v> </v>
      </c>
      <c r="Q107" s="334" t="str">
        <f aca="false">IF((E107="t"),G107," ")</f>
        <v> </v>
      </c>
      <c r="R107" s="334" t="str">
        <f aca="false">IF((E107="a"),G107," ")</f>
        <v> </v>
      </c>
      <c r="S107" s="334" t="str">
        <f aca="false">IF((E107="l"),G107," ")</f>
        <v> </v>
      </c>
      <c r="T107" s="334" t="str">
        <f aca="false">IF((E107="b"),G107," ")</f>
        <v> </v>
      </c>
      <c r="U107" s="334" t="str">
        <f aca="false">IF((E107="i"),G107," ")</f>
        <v> </v>
      </c>
      <c r="V107" s="334" t="str">
        <f aca="false">IF((E107="o"),G107," ")</f>
        <v> </v>
      </c>
      <c r="W107" s="334" t="str">
        <f aca="false">IF((E107="f"),G107," ")</f>
        <v> </v>
      </c>
    </row>
    <row r="108" customFormat="false" ht="12.75" hidden="false" customHeight="false" outlineLevel="0" collapsed="false">
      <c r="A108" s="355"/>
      <c r="E108" s="365" t="str">
        <f aca="false">IF((G108&lt;&gt;0),"Enter Letter"," ")</f>
        <v> </v>
      </c>
      <c r="H108" s="338" t="str">
        <f aca="false">IF((G108&lt;&gt;0),IF((D108&gt;0)," ",G108)," ")</f>
        <v> </v>
      </c>
      <c r="I108" s="367" t="str">
        <f aca="false">IF((G108&lt;&gt;0),IF((D108&gt;0)," ",(I$1-A108))," ")</f>
        <v> </v>
      </c>
      <c r="J108" s="334" t="str">
        <f aca="false">IF((E108="s"),G108," ")</f>
        <v> </v>
      </c>
      <c r="K108" s="334" t="str">
        <f aca="false">IF((E108="d"),G108," ")</f>
        <v> </v>
      </c>
      <c r="L108" s="334" t="str">
        <f aca="false">IF((E108="e"),G108," ")</f>
        <v> </v>
      </c>
      <c r="M108" s="334" t="str">
        <f aca="false">IF((E108="p"),G108," ")</f>
        <v> </v>
      </c>
      <c r="N108" s="334" t="str">
        <f aca="false">IF((E108="r"),G108," ")</f>
        <v> </v>
      </c>
      <c r="O108" s="334" t="str">
        <f aca="false">IF((E108="g"),G108," ")</f>
        <v> </v>
      </c>
      <c r="P108" s="334" t="str">
        <f aca="false">IF((E108="m"),G108," ")</f>
        <v> </v>
      </c>
      <c r="Q108" s="334" t="str">
        <f aca="false">IF((E108="t"),G108," ")</f>
        <v> </v>
      </c>
      <c r="R108" s="334" t="str">
        <f aca="false">IF((E108="a"),G108," ")</f>
        <v> </v>
      </c>
      <c r="S108" s="334" t="str">
        <f aca="false">IF((E108="l"),G108," ")</f>
        <v> </v>
      </c>
      <c r="T108" s="334" t="str">
        <f aca="false">IF((E108="b"),G108," ")</f>
        <v> </v>
      </c>
      <c r="U108" s="334" t="str">
        <f aca="false">IF((E108="i"),G108," ")</f>
        <v> </v>
      </c>
      <c r="V108" s="334" t="str">
        <f aca="false">IF((E108="o"),G108," ")</f>
        <v> </v>
      </c>
      <c r="W108" s="334" t="str">
        <f aca="false">IF((E108="f"),G108," ")</f>
        <v> </v>
      </c>
    </row>
    <row r="109" customFormat="false" ht="12.75" hidden="false" customHeight="false" outlineLevel="0" collapsed="false">
      <c r="A109" s="355"/>
      <c r="E109" s="365" t="str">
        <f aca="false">IF((G109&lt;&gt;0),"Enter Letter"," ")</f>
        <v> </v>
      </c>
      <c r="H109" s="338" t="str">
        <f aca="false">IF((G109&lt;&gt;0),IF((D109&gt;0)," ",G109)," ")</f>
        <v> </v>
      </c>
      <c r="I109" s="367" t="str">
        <f aca="false">IF((G109&lt;&gt;0),IF((D109&gt;0)," ",(I$1-A109))," ")</f>
        <v> </v>
      </c>
      <c r="J109" s="334" t="str">
        <f aca="false">IF((E109="s"),G109," ")</f>
        <v> </v>
      </c>
      <c r="K109" s="334" t="str">
        <f aca="false">IF((E109="d"),G109," ")</f>
        <v> </v>
      </c>
      <c r="L109" s="334" t="str">
        <f aca="false">IF((E109="e"),G109," ")</f>
        <v> </v>
      </c>
      <c r="M109" s="334" t="str">
        <f aca="false">IF((E109="p"),G109," ")</f>
        <v> </v>
      </c>
      <c r="N109" s="334" t="str">
        <f aca="false">IF((E109="r"),G109," ")</f>
        <v> </v>
      </c>
      <c r="O109" s="334" t="str">
        <f aca="false">IF((E109="g"),G109," ")</f>
        <v> </v>
      </c>
      <c r="P109" s="334" t="str">
        <f aca="false">IF((E109="m"),G109," ")</f>
        <v> </v>
      </c>
      <c r="Q109" s="334" t="str">
        <f aca="false">IF((E109="t"),G109," ")</f>
        <v> </v>
      </c>
      <c r="R109" s="334" t="str">
        <f aca="false">IF((E109="a"),G109," ")</f>
        <v> </v>
      </c>
      <c r="S109" s="334" t="str">
        <f aca="false">IF((E109="l"),G109," ")</f>
        <v> </v>
      </c>
      <c r="T109" s="334" t="str">
        <f aca="false">IF((E109="b"),G109," ")</f>
        <v> </v>
      </c>
      <c r="U109" s="334" t="str">
        <f aca="false">IF((E109="i"),G109," ")</f>
        <v> </v>
      </c>
      <c r="V109" s="334" t="str">
        <f aca="false">IF((E109="o"),G109," ")</f>
        <v> </v>
      </c>
      <c r="W109" s="334" t="str">
        <f aca="false">IF((E109="f"),G109," ")</f>
        <v> </v>
      </c>
    </row>
    <row r="110" customFormat="false" ht="12.75" hidden="false" customHeight="false" outlineLevel="0" collapsed="false">
      <c r="A110" s="355"/>
      <c r="E110" s="365" t="str">
        <f aca="false">IF((G110&lt;&gt;0),"Enter Letter"," ")</f>
        <v> </v>
      </c>
      <c r="H110" s="338" t="str">
        <f aca="false">IF((G110&lt;&gt;0),IF((D110&gt;0)," ",G110)," ")</f>
        <v> </v>
      </c>
      <c r="I110" s="367" t="str">
        <f aca="false">IF((G110&lt;&gt;0),IF((D110&gt;0)," ",(I$1-A110))," ")</f>
        <v> </v>
      </c>
      <c r="J110" s="334" t="str">
        <f aca="false">IF((E110="s"),G110," ")</f>
        <v> </v>
      </c>
      <c r="K110" s="334" t="str">
        <f aca="false">IF((E110="d"),G110," ")</f>
        <v> </v>
      </c>
      <c r="L110" s="334" t="str">
        <f aca="false">IF((E110="e"),G110," ")</f>
        <v> </v>
      </c>
      <c r="M110" s="334" t="str">
        <f aca="false">IF((E110="p"),G110," ")</f>
        <v> </v>
      </c>
      <c r="N110" s="334" t="str">
        <f aca="false">IF((E110="r"),G110," ")</f>
        <v> </v>
      </c>
      <c r="O110" s="334" t="str">
        <f aca="false">IF((E110="g"),G110," ")</f>
        <v> </v>
      </c>
      <c r="P110" s="334" t="str">
        <f aca="false">IF((E110="m"),G110," ")</f>
        <v> </v>
      </c>
      <c r="Q110" s="334" t="str">
        <f aca="false">IF((E110="t"),G110," ")</f>
        <v> </v>
      </c>
      <c r="R110" s="334" t="str">
        <f aca="false">IF((E110="a"),G110," ")</f>
        <v> </v>
      </c>
      <c r="S110" s="334" t="str">
        <f aca="false">IF((E110="l"),G110," ")</f>
        <v> </v>
      </c>
      <c r="T110" s="334" t="str">
        <f aca="false">IF((E110="b"),G110," ")</f>
        <v> </v>
      </c>
      <c r="U110" s="334" t="str">
        <f aca="false">IF((E110="i"),G110," ")</f>
        <v> </v>
      </c>
      <c r="V110" s="334" t="str">
        <f aca="false">IF((E110="o"),G110," ")</f>
        <v> </v>
      </c>
      <c r="W110" s="334" t="str">
        <f aca="false">IF((E110="f"),G110," ")</f>
        <v> </v>
      </c>
    </row>
    <row r="111" customFormat="false" ht="12.75" hidden="false" customHeight="false" outlineLevel="0" collapsed="false">
      <c r="A111" s="355"/>
      <c r="E111" s="365" t="str">
        <f aca="false">IF((G111&lt;&gt;0),"Enter Letter"," ")</f>
        <v> </v>
      </c>
      <c r="H111" s="338" t="str">
        <f aca="false">IF((G111&lt;&gt;0),IF((D111&gt;0)," ",G111)," ")</f>
        <v> </v>
      </c>
      <c r="I111" s="367" t="str">
        <f aca="false">IF((G111&lt;&gt;0),IF((D111&gt;0)," ",(I$1-A111))," ")</f>
        <v> </v>
      </c>
      <c r="J111" s="334" t="str">
        <f aca="false">IF((E111="s"),G111," ")</f>
        <v> </v>
      </c>
      <c r="K111" s="334" t="str">
        <f aca="false">IF((E111="d"),G111," ")</f>
        <v> </v>
      </c>
      <c r="L111" s="334" t="str">
        <f aca="false">IF((E111="e"),G111," ")</f>
        <v> </v>
      </c>
      <c r="M111" s="334" t="str">
        <f aca="false">IF((E111="p"),G111," ")</f>
        <v> </v>
      </c>
      <c r="N111" s="334" t="str">
        <f aca="false">IF((E111="r"),G111," ")</f>
        <v> </v>
      </c>
      <c r="O111" s="334" t="str">
        <f aca="false">IF((E111="g"),G111," ")</f>
        <v> </v>
      </c>
      <c r="P111" s="334" t="str">
        <f aca="false">IF((E111="m"),G111," ")</f>
        <v> </v>
      </c>
      <c r="Q111" s="334" t="str">
        <f aca="false">IF((E111="t"),G111," ")</f>
        <v> </v>
      </c>
      <c r="R111" s="334" t="str">
        <f aca="false">IF((E111="a"),G111," ")</f>
        <v> </v>
      </c>
      <c r="S111" s="334" t="str">
        <f aca="false">IF((E111="l"),G111," ")</f>
        <v> </v>
      </c>
      <c r="T111" s="334" t="str">
        <f aca="false">IF((E111="b"),G111," ")</f>
        <v> </v>
      </c>
      <c r="U111" s="334" t="str">
        <f aca="false">IF((E111="i"),G111," ")</f>
        <v> </v>
      </c>
      <c r="V111" s="334" t="str">
        <f aca="false">IF((E111="o"),G111," ")</f>
        <v> </v>
      </c>
      <c r="W111" s="334" t="str">
        <f aca="false">IF((E111="f"),G111," ")</f>
        <v> </v>
      </c>
    </row>
    <row r="112" customFormat="false" ht="12.75" hidden="false" customHeight="false" outlineLevel="0" collapsed="false">
      <c r="A112" s="355"/>
      <c r="E112" s="365" t="str">
        <f aca="false">IF((G112&lt;&gt;0),"Enter Letter"," ")</f>
        <v> </v>
      </c>
      <c r="H112" s="338" t="str">
        <f aca="false">IF((G112&lt;&gt;0),IF((D112&gt;0)," ",G112)," ")</f>
        <v> </v>
      </c>
      <c r="I112" s="367" t="str">
        <f aca="false">IF((G112&lt;&gt;0),IF((D112&gt;0)," ",(I$1-A112))," ")</f>
        <v> </v>
      </c>
      <c r="J112" s="334" t="str">
        <f aca="false">IF((E112="s"),G112," ")</f>
        <v> </v>
      </c>
      <c r="K112" s="334" t="str">
        <f aca="false">IF((E112="d"),G112," ")</f>
        <v> </v>
      </c>
      <c r="L112" s="334" t="str">
        <f aca="false">IF((E112="e"),G112," ")</f>
        <v> </v>
      </c>
      <c r="M112" s="334" t="str">
        <f aca="false">IF((E112="p"),G112," ")</f>
        <v> </v>
      </c>
      <c r="N112" s="334" t="str">
        <f aca="false">IF((E112="r"),G112," ")</f>
        <v> </v>
      </c>
      <c r="O112" s="334" t="str">
        <f aca="false">IF((E112="g"),G112," ")</f>
        <v> </v>
      </c>
      <c r="P112" s="334" t="str">
        <f aca="false">IF((E112="m"),G112," ")</f>
        <v> </v>
      </c>
      <c r="Q112" s="334" t="str">
        <f aca="false">IF((E112="t"),G112," ")</f>
        <v> </v>
      </c>
      <c r="R112" s="334" t="str">
        <f aca="false">IF((E112="a"),G112," ")</f>
        <v> </v>
      </c>
      <c r="S112" s="334" t="str">
        <f aca="false">IF((E112="l"),G112," ")</f>
        <v> </v>
      </c>
      <c r="T112" s="334" t="str">
        <f aca="false">IF((E112="b"),G112," ")</f>
        <v> </v>
      </c>
      <c r="U112" s="334" t="str">
        <f aca="false">IF((E112="i"),G112," ")</f>
        <v> </v>
      </c>
      <c r="V112" s="334" t="str">
        <f aca="false">IF((E112="o"),G112," ")</f>
        <v> </v>
      </c>
      <c r="W112" s="334" t="str">
        <f aca="false">IF((E112="f"),G112," ")</f>
        <v> </v>
      </c>
    </row>
    <row r="113" customFormat="false" ht="12.75" hidden="false" customHeight="false" outlineLevel="0" collapsed="false">
      <c r="A113" s="355"/>
      <c r="E113" s="365" t="str">
        <f aca="false">IF((G113&lt;&gt;0),"Enter Letter"," ")</f>
        <v> </v>
      </c>
      <c r="H113" s="338" t="str">
        <f aca="false">IF((G113&lt;&gt;0),IF((D113&gt;0)," ",G113)," ")</f>
        <v> </v>
      </c>
      <c r="I113" s="367" t="str">
        <f aca="false">IF((G113&lt;&gt;0),IF((D113&gt;0)," ",(I$1-A113))," ")</f>
        <v> </v>
      </c>
      <c r="J113" s="334" t="str">
        <f aca="false">IF((E113="s"),G113," ")</f>
        <v> </v>
      </c>
      <c r="K113" s="334" t="str">
        <f aca="false">IF((E113="d"),G113," ")</f>
        <v> </v>
      </c>
      <c r="L113" s="334" t="str">
        <f aca="false">IF((E113="e"),G113," ")</f>
        <v> </v>
      </c>
      <c r="M113" s="334" t="str">
        <f aca="false">IF((E113="p"),G113," ")</f>
        <v> </v>
      </c>
      <c r="N113" s="334" t="str">
        <f aca="false">IF((E113="r"),G113," ")</f>
        <v> </v>
      </c>
      <c r="O113" s="334" t="str">
        <f aca="false">IF((E113="g"),G113," ")</f>
        <v> </v>
      </c>
      <c r="P113" s="334" t="str">
        <f aca="false">IF((E113="m"),G113," ")</f>
        <v> </v>
      </c>
      <c r="Q113" s="334" t="str">
        <f aca="false">IF((E113="t"),G113," ")</f>
        <v> </v>
      </c>
      <c r="R113" s="334" t="str">
        <f aca="false">IF((E113="a"),G113," ")</f>
        <v> </v>
      </c>
      <c r="S113" s="334" t="str">
        <f aca="false">IF((E113="l"),G113," ")</f>
        <v> </v>
      </c>
      <c r="T113" s="334" t="str">
        <f aca="false">IF((E113="b"),G113," ")</f>
        <v> </v>
      </c>
      <c r="U113" s="334" t="str">
        <f aca="false">IF((E113="i"),G113," ")</f>
        <v> </v>
      </c>
      <c r="V113" s="334" t="str">
        <f aca="false">IF((E113="o"),G113," ")</f>
        <v> </v>
      </c>
      <c r="W113" s="334" t="str">
        <f aca="false">IF((E113="f"),G113," ")</f>
        <v> </v>
      </c>
    </row>
    <row r="114" customFormat="false" ht="12.75" hidden="false" customHeight="false" outlineLevel="0" collapsed="false">
      <c r="A114" s="355"/>
      <c r="E114" s="365" t="str">
        <f aca="false">IF((G114&lt;&gt;0),"Enter Letter"," ")</f>
        <v> </v>
      </c>
      <c r="H114" s="338" t="str">
        <f aca="false">IF((G114&lt;&gt;0),IF((D114&gt;0)," ",G114)," ")</f>
        <v> </v>
      </c>
      <c r="I114" s="367" t="str">
        <f aca="false">IF((G114&lt;&gt;0),IF((D114&gt;0)," ",(I$1-A114))," ")</f>
        <v> </v>
      </c>
      <c r="J114" s="334" t="str">
        <f aca="false">IF((E114="s"),G114," ")</f>
        <v> </v>
      </c>
      <c r="K114" s="334" t="str">
        <f aca="false">IF((E114="d"),G114," ")</f>
        <v> </v>
      </c>
      <c r="L114" s="334" t="str">
        <f aca="false">IF((E114="e"),G114," ")</f>
        <v> </v>
      </c>
      <c r="M114" s="334" t="str">
        <f aca="false">IF((E114="p"),G114," ")</f>
        <v> </v>
      </c>
      <c r="N114" s="334" t="str">
        <f aca="false">IF((E114="r"),G114," ")</f>
        <v> </v>
      </c>
      <c r="O114" s="334" t="str">
        <f aca="false">IF((E114="g"),G114," ")</f>
        <v> </v>
      </c>
      <c r="P114" s="334" t="str">
        <f aca="false">IF((E114="m"),G114," ")</f>
        <v> </v>
      </c>
      <c r="Q114" s="334" t="str">
        <f aca="false">IF((E114="t"),G114," ")</f>
        <v> </v>
      </c>
      <c r="R114" s="334" t="str">
        <f aca="false">IF((E114="a"),G114," ")</f>
        <v> </v>
      </c>
      <c r="S114" s="334" t="str">
        <f aca="false">IF((E114="l"),G114," ")</f>
        <v> </v>
      </c>
      <c r="T114" s="334" t="str">
        <f aca="false">IF((E114="b"),G114," ")</f>
        <v> </v>
      </c>
      <c r="U114" s="334" t="str">
        <f aca="false">IF((E114="i"),G114," ")</f>
        <v> </v>
      </c>
      <c r="V114" s="334" t="str">
        <f aca="false">IF((E114="o"),G114," ")</f>
        <v> </v>
      </c>
      <c r="W114" s="334" t="str">
        <f aca="false">IF((E114="f"),G114," ")</f>
        <v> </v>
      </c>
    </row>
    <row r="115" customFormat="false" ht="12.75" hidden="false" customHeight="false" outlineLevel="0" collapsed="false">
      <c r="A115" s="355"/>
      <c r="E115" s="365" t="str">
        <f aca="false">IF((G115&lt;&gt;0),"Enter Letter"," ")</f>
        <v> </v>
      </c>
      <c r="H115" s="338" t="str">
        <f aca="false">IF((G115&lt;&gt;0),IF((D115&gt;0)," ",G115)," ")</f>
        <v> </v>
      </c>
      <c r="I115" s="367" t="str">
        <f aca="false">IF((G115&lt;&gt;0),IF((D115&gt;0)," ",(I$1-A115))," ")</f>
        <v> </v>
      </c>
      <c r="J115" s="334" t="str">
        <f aca="false">IF((E115="s"),G115," ")</f>
        <v> </v>
      </c>
      <c r="K115" s="334" t="str">
        <f aca="false">IF((E115="d"),G115," ")</f>
        <v> </v>
      </c>
      <c r="L115" s="334" t="str">
        <f aca="false">IF((E115="e"),G115," ")</f>
        <v> </v>
      </c>
      <c r="M115" s="334" t="str">
        <f aca="false">IF((E115="p"),G115," ")</f>
        <v> </v>
      </c>
      <c r="N115" s="334" t="str">
        <f aca="false">IF((E115="r"),G115," ")</f>
        <v> </v>
      </c>
      <c r="O115" s="334" t="str">
        <f aca="false">IF((E115="g"),G115," ")</f>
        <v> </v>
      </c>
      <c r="P115" s="334" t="str">
        <f aca="false">IF((E115="m"),G115," ")</f>
        <v> </v>
      </c>
      <c r="Q115" s="334" t="str">
        <f aca="false">IF((E115="t"),G115," ")</f>
        <v> </v>
      </c>
      <c r="R115" s="334" t="str">
        <f aca="false">IF((E115="a"),G115," ")</f>
        <v> </v>
      </c>
      <c r="S115" s="334" t="str">
        <f aca="false">IF((E115="l"),G115," ")</f>
        <v> </v>
      </c>
      <c r="T115" s="334" t="str">
        <f aca="false">IF((E115="b"),G115," ")</f>
        <v> </v>
      </c>
      <c r="U115" s="334" t="str">
        <f aca="false">IF((E115="i"),G115," ")</f>
        <v> </v>
      </c>
      <c r="V115" s="334" t="str">
        <f aca="false">IF((E115="o"),G115," ")</f>
        <v> </v>
      </c>
      <c r="W115" s="334" t="str">
        <f aca="false">IF((E115="f"),G115," ")</f>
        <v> </v>
      </c>
    </row>
    <row r="116" customFormat="false" ht="12.75" hidden="false" customHeight="false" outlineLevel="0" collapsed="false">
      <c r="A116" s="355"/>
      <c r="E116" s="365" t="str">
        <f aca="false">IF((G116&lt;&gt;0),"Enter Letter"," ")</f>
        <v> </v>
      </c>
      <c r="H116" s="338" t="str">
        <f aca="false">IF((G116&lt;&gt;0),IF((D116&gt;0)," ",G116)," ")</f>
        <v> </v>
      </c>
      <c r="I116" s="367" t="str">
        <f aca="false">IF((G116&lt;&gt;0),IF((D116&gt;0)," ",(I$1-A116))," ")</f>
        <v> </v>
      </c>
      <c r="J116" s="334" t="str">
        <f aca="false">IF((E116="s"),G116," ")</f>
        <v> </v>
      </c>
      <c r="K116" s="334" t="str">
        <f aca="false">IF((E116="d"),G116," ")</f>
        <v> </v>
      </c>
      <c r="L116" s="334" t="str">
        <f aca="false">IF((E116="e"),G116," ")</f>
        <v> </v>
      </c>
      <c r="M116" s="334" t="str">
        <f aca="false">IF((E116="p"),G116," ")</f>
        <v> </v>
      </c>
      <c r="N116" s="334" t="str">
        <f aca="false">IF((E116="r"),G116," ")</f>
        <v> </v>
      </c>
      <c r="O116" s="334" t="str">
        <f aca="false">IF((E116="g"),G116," ")</f>
        <v> </v>
      </c>
      <c r="P116" s="334" t="str">
        <f aca="false">IF((E116="m"),G116," ")</f>
        <v> </v>
      </c>
      <c r="Q116" s="334" t="str">
        <f aca="false">IF((E116="t"),G116," ")</f>
        <v> </v>
      </c>
      <c r="R116" s="334" t="str">
        <f aca="false">IF((E116="a"),G116," ")</f>
        <v> </v>
      </c>
      <c r="S116" s="334" t="str">
        <f aca="false">IF((E116="l"),G116," ")</f>
        <v> </v>
      </c>
      <c r="T116" s="334" t="str">
        <f aca="false">IF((E116="b"),G116," ")</f>
        <v> </v>
      </c>
      <c r="U116" s="334" t="str">
        <f aca="false">IF((E116="i"),G116," ")</f>
        <v> </v>
      </c>
      <c r="V116" s="334" t="str">
        <f aca="false">IF((E116="o"),G116," ")</f>
        <v> </v>
      </c>
      <c r="W116" s="334" t="str">
        <f aca="false">IF((E116="f"),G116," ")</f>
        <v> </v>
      </c>
    </row>
    <row r="117" customFormat="false" ht="12.75" hidden="false" customHeight="false" outlineLevel="0" collapsed="false">
      <c r="A117" s="355"/>
      <c r="E117" s="365" t="str">
        <f aca="false">IF((G117&lt;&gt;0),"Enter Letter"," ")</f>
        <v> </v>
      </c>
      <c r="H117" s="338" t="str">
        <f aca="false">IF((G117&lt;&gt;0),IF((D117&gt;0)," ",G117)," ")</f>
        <v> </v>
      </c>
      <c r="I117" s="367" t="str">
        <f aca="false">IF((G117&lt;&gt;0),IF((D117&gt;0)," ",(I$1-A117))," ")</f>
        <v> </v>
      </c>
      <c r="J117" s="334" t="str">
        <f aca="false">IF((E117="s"),G117," ")</f>
        <v> </v>
      </c>
      <c r="K117" s="334" t="str">
        <f aca="false">IF((E117="d"),G117," ")</f>
        <v> </v>
      </c>
      <c r="L117" s="334" t="str">
        <f aca="false">IF((E117="e"),G117," ")</f>
        <v> </v>
      </c>
      <c r="M117" s="334" t="str">
        <f aca="false">IF((E117="p"),G117," ")</f>
        <v> </v>
      </c>
      <c r="N117" s="334" t="str">
        <f aca="false">IF((E117="r"),G117," ")</f>
        <v> </v>
      </c>
      <c r="O117" s="334" t="str">
        <f aca="false">IF((E117="g"),G117," ")</f>
        <v> </v>
      </c>
      <c r="P117" s="334" t="str">
        <f aca="false">IF((E117="m"),G117," ")</f>
        <v> </v>
      </c>
      <c r="Q117" s="334" t="str">
        <f aca="false">IF((E117="t"),G117," ")</f>
        <v> </v>
      </c>
      <c r="R117" s="334" t="str">
        <f aca="false">IF((E117="a"),G117," ")</f>
        <v> </v>
      </c>
      <c r="S117" s="334" t="str">
        <f aca="false">IF((E117="l"),G117," ")</f>
        <v> </v>
      </c>
      <c r="T117" s="334" t="str">
        <f aca="false">IF((E117="b"),G117," ")</f>
        <v> </v>
      </c>
      <c r="U117" s="334" t="str">
        <f aca="false">IF((E117="i"),G117," ")</f>
        <v> </v>
      </c>
      <c r="V117" s="334" t="str">
        <f aca="false">IF((E117="o"),G117," ")</f>
        <v> </v>
      </c>
      <c r="W117" s="334" t="str">
        <f aca="false">IF((E117="f"),G117," ")</f>
        <v> </v>
      </c>
    </row>
    <row r="118" customFormat="false" ht="12.75" hidden="false" customHeight="false" outlineLevel="0" collapsed="false">
      <c r="A118" s="355"/>
      <c r="E118" s="365" t="str">
        <f aca="false">IF((G118&lt;&gt;0),"Enter Letter"," ")</f>
        <v> </v>
      </c>
      <c r="H118" s="338" t="str">
        <f aca="false">IF((G118&lt;&gt;0),IF((D118&gt;0)," ",G118)," ")</f>
        <v> </v>
      </c>
      <c r="I118" s="367" t="str">
        <f aca="false">IF((G118&lt;&gt;0),IF((D118&gt;0)," ",(I$1-A118))," ")</f>
        <v> </v>
      </c>
      <c r="J118" s="334" t="str">
        <f aca="false">IF((E118="s"),G118," ")</f>
        <v> </v>
      </c>
      <c r="K118" s="334" t="str">
        <f aca="false">IF((E118="d"),G118," ")</f>
        <v> </v>
      </c>
      <c r="L118" s="334" t="str">
        <f aca="false">IF((E118="e"),G118," ")</f>
        <v> </v>
      </c>
      <c r="M118" s="334" t="str">
        <f aca="false">IF((E118="p"),G118," ")</f>
        <v> </v>
      </c>
      <c r="N118" s="334" t="str">
        <f aca="false">IF((E118="r"),G118," ")</f>
        <v> </v>
      </c>
      <c r="O118" s="334" t="str">
        <f aca="false">IF((E118="g"),G118," ")</f>
        <v> </v>
      </c>
      <c r="P118" s="334" t="str">
        <f aca="false">IF((E118="m"),G118," ")</f>
        <v> </v>
      </c>
      <c r="Q118" s="334" t="str">
        <f aca="false">IF((E118="t"),G118," ")</f>
        <v> </v>
      </c>
      <c r="R118" s="334" t="str">
        <f aca="false">IF((E118="a"),G118," ")</f>
        <v> </v>
      </c>
      <c r="S118" s="334" t="str">
        <f aca="false">IF((E118="l"),G118," ")</f>
        <v> </v>
      </c>
      <c r="T118" s="334" t="str">
        <f aca="false">IF((E118="b"),G118," ")</f>
        <v> </v>
      </c>
      <c r="U118" s="334" t="str">
        <f aca="false">IF((E118="i"),G118," ")</f>
        <v> </v>
      </c>
      <c r="V118" s="334" t="str">
        <f aca="false">IF((E118="o"),G118," ")</f>
        <v> </v>
      </c>
      <c r="W118" s="334" t="str">
        <f aca="false">IF((E118="f"),G118," ")</f>
        <v> </v>
      </c>
    </row>
    <row r="119" customFormat="false" ht="12.75" hidden="false" customHeight="false" outlineLevel="0" collapsed="false">
      <c r="A119" s="355"/>
      <c r="E119" s="365" t="str">
        <f aca="false">IF((G119&lt;&gt;0),"Enter Letter"," ")</f>
        <v> </v>
      </c>
      <c r="H119" s="338" t="str">
        <f aca="false">IF((G119&lt;&gt;0),IF((D119&gt;0)," ",G119)," ")</f>
        <v> </v>
      </c>
      <c r="I119" s="367" t="str">
        <f aca="false">IF((G119&lt;&gt;0),IF((D119&gt;0)," ",(I$1-A119))," ")</f>
        <v> </v>
      </c>
      <c r="J119" s="334" t="str">
        <f aca="false">IF((E119="s"),G119," ")</f>
        <v> </v>
      </c>
      <c r="K119" s="334" t="str">
        <f aca="false">IF((E119="d"),G119," ")</f>
        <v> </v>
      </c>
      <c r="L119" s="334" t="str">
        <f aca="false">IF((E119="e"),G119," ")</f>
        <v> </v>
      </c>
      <c r="M119" s="334" t="str">
        <f aca="false">IF((E119="p"),G119," ")</f>
        <v> </v>
      </c>
      <c r="N119" s="334" t="str">
        <f aca="false">IF((E119="r"),G119," ")</f>
        <v> </v>
      </c>
      <c r="O119" s="334" t="str">
        <f aca="false">IF((E119="g"),G119," ")</f>
        <v> </v>
      </c>
      <c r="P119" s="334" t="str">
        <f aca="false">IF((E119="m"),G119," ")</f>
        <v> </v>
      </c>
      <c r="Q119" s="334" t="str">
        <f aca="false">IF((E119="t"),G119," ")</f>
        <v> </v>
      </c>
      <c r="R119" s="334" t="str">
        <f aca="false">IF((E119="a"),G119," ")</f>
        <v> </v>
      </c>
      <c r="S119" s="334" t="str">
        <f aca="false">IF((E119="l"),G119," ")</f>
        <v> </v>
      </c>
      <c r="T119" s="334" t="str">
        <f aca="false">IF((E119="b"),G119," ")</f>
        <v> </v>
      </c>
      <c r="U119" s="334" t="str">
        <f aca="false">IF((E119="i"),G119," ")</f>
        <v> </v>
      </c>
      <c r="V119" s="334" t="str">
        <f aca="false">IF((E119="o"),G119," ")</f>
        <v> </v>
      </c>
      <c r="W119" s="334" t="str">
        <f aca="false">IF((E119="f"),G119," ")</f>
        <v> </v>
      </c>
    </row>
    <row r="120" customFormat="false" ht="12.75" hidden="false" customHeight="false" outlineLevel="0" collapsed="false">
      <c r="A120" s="355"/>
      <c r="E120" s="365" t="str">
        <f aca="false">IF((G120&lt;&gt;0),"Enter Letter"," ")</f>
        <v> </v>
      </c>
      <c r="H120" s="338" t="str">
        <f aca="false">IF((G120&lt;&gt;0),IF((D120&gt;0)," ",G120)," ")</f>
        <v> </v>
      </c>
      <c r="I120" s="367" t="str">
        <f aca="false">IF((G120&lt;&gt;0),IF((D120&gt;0)," ",(I$1-A120))," ")</f>
        <v> </v>
      </c>
      <c r="J120" s="334" t="str">
        <f aca="false">IF((E120="s"),G120," ")</f>
        <v> </v>
      </c>
      <c r="K120" s="334" t="str">
        <f aca="false">IF((E120="d"),G120," ")</f>
        <v> </v>
      </c>
      <c r="L120" s="334" t="str">
        <f aca="false">IF((E120="e"),G120," ")</f>
        <v> </v>
      </c>
      <c r="M120" s="334" t="str">
        <f aca="false">IF((E120="p"),G120," ")</f>
        <v> </v>
      </c>
      <c r="N120" s="334" t="str">
        <f aca="false">IF((E120="r"),G120," ")</f>
        <v> </v>
      </c>
      <c r="O120" s="334" t="str">
        <f aca="false">IF((E120="g"),G120," ")</f>
        <v> </v>
      </c>
      <c r="P120" s="334" t="str">
        <f aca="false">IF((E120="m"),G120," ")</f>
        <v> </v>
      </c>
      <c r="Q120" s="334" t="str">
        <f aca="false">IF((E120="t"),G120," ")</f>
        <v> </v>
      </c>
      <c r="R120" s="334" t="str">
        <f aca="false">IF((E120="a"),G120," ")</f>
        <v> </v>
      </c>
      <c r="S120" s="334" t="str">
        <f aca="false">IF((E120="l"),G120," ")</f>
        <v> </v>
      </c>
      <c r="T120" s="334" t="str">
        <f aca="false">IF((E120="b"),G120," ")</f>
        <v> </v>
      </c>
      <c r="U120" s="334" t="str">
        <f aca="false">IF((E120="i"),G120," ")</f>
        <v> </v>
      </c>
      <c r="V120" s="334" t="str">
        <f aca="false">IF((E120="o"),G120," ")</f>
        <v> </v>
      </c>
      <c r="W120" s="334" t="str">
        <f aca="false">IF((E120="f"),G120," ")</f>
        <v> </v>
      </c>
    </row>
    <row r="121" customFormat="false" ht="12.75" hidden="false" customHeight="false" outlineLevel="0" collapsed="false">
      <c r="A121" s="355"/>
      <c r="E121" s="365" t="str">
        <f aca="false">IF((G121&lt;&gt;0),"Enter Letter"," ")</f>
        <v> </v>
      </c>
      <c r="H121" s="338" t="str">
        <f aca="false">IF((G121&lt;&gt;0),IF((D121&gt;0)," ",G121)," ")</f>
        <v> </v>
      </c>
      <c r="I121" s="367" t="str">
        <f aca="false">IF((G121&lt;&gt;0),IF((D121&gt;0)," ",(I$1-A121))," ")</f>
        <v> </v>
      </c>
      <c r="J121" s="334" t="str">
        <f aca="false">IF((E121="s"),G121," ")</f>
        <v> </v>
      </c>
      <c r="K121" s="334" t="str">
        <f aca="false">IF((E121="d"),G121," ")</f>
        <v> </v>
      </c>
      <c r="L121" s="334" t="str">
        <f aca="false">IF((E121="e"),G121," ")</f>
        <v> </v>
      </c>
      <c r="M121" s="334" t="str">
        <f aca="false">IF((E121="p"),G121," ")</f>
        <v> </v>
      </c>
      <c r="N121" s="334" t="str">
        <f aca="false">IF((E121="r"),G121," ")</f>
        <v> </v>
      </c>
      <c r="O121" s="334" t="str">
        <f aca="false">IF((E121="g"),G121," ")</f>
        <v> </v>
      </c>
      <c r="P121" s="334" t="str">
        <f aca="false">IF((E121="m"),G121," ")</f>
        <v> </v>
      </c>
      <c r="Q121" s="334" t="str">
        <f aca="false">IF((E121="t"),G121," ")</f>
        <v> </v>
      </c>
      <c r="R121" s="334" t="str">
        <f aca="false">IF((E121="a"),G121," ")</f>
        <v> </v>
      </c>
      <c r="S121" s="334" t="str">
        <f aca="false">IF((E121="l"),G121," ")</f>
        <v> </v>
      </c>
      <c r="T121" s="334" t="str">
        <f aca="false">IF((E121="b"),G121," ")</f>
        <v> </v>
      </c>
      <c r="U121" s="334" t="str">
        <f aca="false">IF((E121="i"),G121," ")</f>
        <v> </v>
      </c>
      <c r="V121" s="334" t="str">
        <f aca="false">IF((E121="o"),G121," ")</f>
        <v> </v>
      </c>
      <c r="W121" s="334" t="str">
        <f aca="false">IF((E121="f"),G121," ")</f>
        <v> </v>
      </c>
    </row>
    <row r="122" customFormat="false" ht="12.75" hidden="false" customHeight="false" outlineLevel="0" collapsed="false">
      <c r="A122" s="355"/>
      <c r="E122" s="365" t="str">
        <f aca="false">IF((G122&lt;&gt;0),"Enter Letter"," ")</f>
        <v> </v>
      </c>
      <c r="H122" s="338" t="str">
        <f aca="false">IF((G122&lt;&gt;0),IF((D122&gt;0)," ",G122)," ")</f>
        <v> </v>
      </c>
      <c r="I122" s="367" t="str">
        <f aca="false">IF((G122&lt;&gt;0),IF((D122&gt;0)," ",(I$1-A122))," ")</f>
        <v> </v>
      </c>
      <c r="J122" s="334" t="str">
        <f aca="false">IF((E122="s"),G122," ")</f>
        <v> </v>
      </c>
      <c r="K122" s="334" t="str">
        <f aca="false">IF((E122="d"),G122," ")</f>
        <v> </v>
      </c>
      <c r="L122" s="334" t="str">
        <f aca="false">IF((E122="e"),G122," ")</f>
        <v> </v>
      </c>
      <c r="M122" s="334" t="str">
        <f aca="false">IF((E122="p"),G122," ")</f>
        <v> </v>
      </c>
      <c r="N122" s="334" t="str">
        <f aca="false">IF((E122="r"),G122," ")</f>
        <v> </v>
      </c>
      <c r="O122" s="334" t="str">
        <f aca="false">IF((E122="g"),G122," ")</f>
        <v> </v>
      </c>
      <c r="P122" s="334" t="str">
        <f aca="false">IF((E122="m"),G122," ")</f>
        <v> </v>
      </c>
      <c r="Q122" s="334" t="str">
        <f aca="false">IF((E122="t"),G122," ")</f>
        <v> </v>
      </c>
      <c r="R122" s="334" t="str">
        <f aca="false">IF((E122="a"),G122," ")</f>
        <v> </v>
      </c>
      <c r="S122" s="334" t="str">
        <f aca="false">IF((E122="l"),G122," ")</f>
        <v> </v>
      </c>
      <c r="T122" s="334" t="str">
        <f aca="false">IF((E122="b"),G122," ")</f>
        <v> </v>
      </c>
      <c r="U122" s="334" t="str">
        <f aca="false">IF((E122="i"),G122," ")</f>
        <v> </v>
      </c>
      <c r="V122" s="334" t="str">
        <f aca="false">IF((E122="o"),G122," ")</f>
        <v> </v>
      </c>
      <c r="W122" s="334" t="str">
        <f aca="false">IF((E122="f"),G122," ")</f>
        <v> </v>
      </c>
    </row>
    <row r="123" customFormat="false" ht="12.75" hidden="false" customHeight="false" outlineLevel="0" collapsed="false">
      <c r="A123" s="355"/>
      <c r="E123" s="365" t="str">
        <f aca="false">IF((G123&lt;&gt;0),"Enter Letter"," ")</f>
        <v> </v>
      </c>
      <c r="H123" s="338" t="str">
        <f aca="false">IF((G123&lt;&gt;0),IF((D123&gt;0)," ",G123)," ")</f>
        <v> </v>
      </c>
      <c r="I123" s="367" t="str">
        <f aca="false">IF((G123&lt;&gt;0),IF((D123&gt;0)," ",(I$1-A123))," ")</f>
        <v> </v>
      </c>
      <c r="J123" s="334" t="str">
        <f aca="false">IF((E123="s"),G123," ")</f>
        <v> </v>
      </c>
      <c r="K123" s="334" t="str">
        <f aca="false">IF((E123="d"),G123," ")</f>
        <v> </v>
      </c>
      <c r="L123" s="334" t="str">
        <f aca="false">IF((E123="e"),G123," ")</f>
        <v> </v>
      </c>
      <c r="M123" s="334" t="str">
        <f aca="false">IF((E123="p"),G123," ")</f>
        <v> </v>
      </c>
      <c r="N123" s="334" t="str">
        <f aca="false">IF((E123="r"),G123," ")</f>
        <v> </v>
      </c>
      <c r="O123" s="334" t="str">
        <f aca="false">IF((E123="g"),G123," ")</f>
        <v> </v>
      </c>
      <c r="P123" s="334" t="str">
        <f aca="false">IF((E123="m"),G123," ")</f>
        <v> </v>
      </c>
      <c r="Q123" s="334" t="str">
        <f aca="false">IF((E123="t"),G123," ")</f>
        <v> </v>
      </c>
      <c r="R123" s="334" t="str">
        <f aca="false">IF((E123="a"),G123," ")</f>
        <v> </v>
      </c>
      <c r="S123" s="334" t="str">
        <f aca="false">IF((E123="l"),G123," ")</f>
        <v> </v>
      </c>
      <c r="T123" s="334" t="str">
        <f aca="false">IF((E123="b"),G123," ")</f>
        <v> </v>
      </c>
      <c r="U123" s="334" t="str">
        <f aca="false">IF((E123="i"),G123," ")</f>
        <v> </v>
      </c>
      <c r="V123" s="334" t="str">
        <f aca="false">IF((E123="o"),G123," ")</f>
        <v> </v>
      </c>
      <c r="W123" s="334" t="str">
        <f aca="false">IF((E123="f"),G123," ")</f>
        <v> </v>
      </c>
    </row>
    <row r="124" customFormat="false" ht="12.75" hidden="false" customHeight="false" outlineLevel="0" collapsed="false">
      <c r="A124" s="355"/>
      <c r="E124" s="365" t="str">
        <f aca="false">IF((G124&lt;&gt;0),"Enter Letter"," ")</f>
        <v> </v>
      </c>
      <c r="H124" s="338" t="str">
        <f aca="false">IF((G124&lt;&gt;0),IF((D124&gt;0)," ",G124)," ")</f>
        <v> </v>
      </c>
      <c r="I124" s="367" t="str">
        <f aca="false">IF((G124&lt;&gt;0),IF((D124&gt;0)," ",(I$1-A124))," ")</f>
        <v> </v>
      </c>
      <c r="J124" s="334" t="str">
        <f aca="false">IF((E124="s"),G124," ")</f>
        <v> </v>
      </c>
      <c r="K124" s="334" t="str">
        <f aca="false">IF((E124="d"),G124," ")</f>
        <v> </v>
      </c>
      <c r="L124" s="334" t="str">
        <f aca="false">IF((E124="e"),G124," ")</f>
        <v> </v>
      </c>
      <c r="M124" s="334" t="str">
        <f aca="false">IF((E124="p"),G124," ")</f>
        <v> </v>
      </c>
      <c r="N124" s="334" t="str">
        <f aca="false">IF((E124="r"),G124," ")</f>
        <v> </v>
      </c>
      <c r="O124" s="334" t="str">
        <f aca="false">IF((E124="g"),G124," ")</f>
        <v> </v>
      </c>
      <c r="P124" s="334" t="str">
        <f aca="false">IF((E124="m"),G124," ")</f>
        <v> </v>
      </c>
      <c r="Q124" s="334" t="str">
        <f aca="false">IF((E124="t"),G124," ")</f>
        <v> </v>
      </c>
      <c r="R124" s="334" t="str">
        <f aca="false">IF((E124="a"),G124," ")</f>
        <v> </v>
      </c>
      <c r="S124" s="334" t="str">
        <f aca="false">IF((E124="l"),G124," ")</f>
        <v> </v>
      </c>
      <c r="T124" s="334" t="str">
        <f aca="false">IF((E124="b"),G124," ")</f>
        <v> </v>
      </c>
      <c r="U124" s="334" t="str">
        <f aca="false">IF((E124="i"),G124," ")</f>
        <v> </v>
      </c>
      <c r="V124" s="334" t="str">
        <f aca="false">IF((E124="o"),G124," ")</f>
        <v> </v>
      </c>
      <c r="W124" s="334" t="str">
        <f aca="false">IF((E124="f"),G124," ")</f>
        <v> </v>
      </c>
    </row>
    <row r="125" customFormat="false" ht="12.75" hidden="false" customHeight="false" outlineLevel="0" collapsed="false">
      <c r="A125" s="355"/>
      <c r="E125" s="365" t="str">
        <f aca="false">IF((G125&lt;&gt;0),"Enter Letter"," ")</f>
        <v> </v>
      </c>
      <c r="H125" s="338" t="str">
        <f aca="false">IF((G125&lt;&gt;0),IF((D125&gt;0)," ",G125)," ")</f>
        <v> </v>
      </c>
      <c r="I125" s="367" t="str">
        <f aca="false">IF((G125&lt;&gt;0),IF((D125&gt;0)," ",(I$1-A125))," ")</f>
        <v> </v>
      </c>
      <c r="J125" s="334" t="str">
        <f aca="false">IF((E125="s"),G125," ")</f>
        <v> </v>
      </c>
      <c r="K125" s="334" t="str">
        <f aca="false">IF((E125="d"),G125," ")</f>
        <v> </v>
      </c>
      <c r="L125" s="334" t="str">
        <f aca="false">IF((E125="e"),G125," ")</f>
        <v> </v>
      </c>
      <c r="M125" s="334" t="str">
        <f aca="false">IF((E125="p"),G125," ")</f>
        <v> </v>
      </c>
      <c r="N125" s="334" t="str">
        <f aca="false">IF((E125="r"),G125," ")</f>
        <v> </v>
      </c>
      <c r="O125" s="334" t="str">
        <f aca="false">IF((E125="g"),G125," ")</f>
        <v> </v>
      </c>
      <c r="P125" s="334" t="str">
        <f aca="false">IF((E125="m"),G125," ")</f>
        <v> </v>
      </c>
      <c r="Q125" s="334" t="str">
        <f aca="false">IF((E125="t"),G125," ")</f>
        <v> </v>
      </c>
      <c r="R125" s="334" t="str">
        <f aca="false">IF((E125="a"),G125," ")</f>
        <v> </v>
      </c>
      <c r="S125" s="334" t="str">
        <f aca="false">IF((E125="l"),G125," ")</f>
        <v> </v>
      </c>
      <c r="T125" s="334" t="str">
        <f aca="false">IF((E125="b"),G125," ")</f>
        <v> </v>
      </c>
      <c r="U125" s="334" t="str">
        <f aca="false">IF((E125="i"),G125," ")</f>
        <v> </v>
      </c>
      <c r="V125" s="334" t="str">
        <f aca="false">IF((E125="o"),G125," ")</f>
        <v> </v>
      </c>
      <c r="W125" s="334" t="str">
        <f aca="false">IF((E125="f"),G125," ")</f>
        <v> </v>
      </c>
    </row>
    <row r="126" customFormat="false" ht="12.75" hidden="false" customHeight="false" outlineLevel="0" collapsed="false">
      <c r="A126" s="355"/>
      <c r="E126" s="365" t="str">
        <f aca="false">IF((G126&lt;&gt;0),"Enter Letter"," ")</f>
        <v> </v>
      </c>
      <c r="H126" s="338" t="str">
        <f aca="false">IF((G126&lt;&gt;0),IF((D126&gt;0)," ",G126)," ")</f>
        <v> </v>
      </c>
      <c r="I126" s="367" t="str">
        <f aca="false">IF((G126&lt;&gt;0),IF((D126&gt;0)," ",(I$1-A126))," ")</f>
        <v> </v>
      </c>
      <c r="J126" s="334" t="str">
        <f aca="false">IF((E126="s"),G126," ")</f>
        <v> </v>
      </c>
      <c r="K126" s="334" t="str">
        <f aca="false">IF((E126="d"),G126," ")</f>
        <v> </v>
      </c>
      <c r="L126" s="334" t="str">
        <f aca="false">IF((E126="e"),G126," ")</f>
        <v> </v>
      </c>
      <c r="M126" s="334" t="str">
        <f aca="false">IF((E126="p"),G126," ")</f>
        <v> </v>
      </c>
      <c r="N126" s="334" t="str">
        <f aca="false">IF((E126="r"),G126," ")</f>
        <v> </v>
      </c>
      <c r="O126" s="334" t="str">
        <f aca="false">IF((E126="g"),G126," ")</f>
        <v> </v>
      </c>
      <c r="P126" s="334" t="str">
        <f aca="false">IF((E126="m"),G126," ")</f>
        <v> </v>
      </c>
      <c r="Q126" s="334" t="str">
        <f aca="false">IF((E126="t"),G126," ")</f>
        <v> </v>
      </c>
      <c r="R126" s="334" t="str">
        <f aca="false">IF((E126="a"),G126," ")</f>
        <v> </v>
      </c>
      <c r="S126" s="334" t="str">
        <f aca="false">IF((E126="l"),G126," ")</f>
        <v> </v>
      </c>
      <c r="T126" s="334" t="str">
        <f aca="false">IF((E126="b"),G126," ")</f>
        <v> </v>
      </c>
      <c r="U126" s="334" t="str">
        <f aca="false">IF((E126="i"),G126," ")</f>
        <v> </v>
      </c>
      <c r="V126" s="334" t="str">
        <f aca="false">IF((E126="o"),G126," ")</f>
        <v> </v>
      </c>
      <c r="W126" s="334" t="str">
        <f aca="false">IF((E126="f"),G126," ")</f>
        <v> </v>
      </c>
    </row>
    <row r="127" customFormat="false" ht="12.75" hidden="false" customHeight="false" outlineLevel="0" collapsed="false">
      <c r="A127" s="355"/>
      <c r="E127" s="365" t="str">
        <f aca="false">IF((G127&lt;&gt;0),"Enter Letter"," ")</f>
        <v> </v>
      </c>
      <c r="H127" s="338" t="str">
        <f aca="false">IF((G127&lt;&gt;0),IF((D127&gt;0)," ",G127)," ")</f>
        <v> </v>
      </c>
      <c r="I127" s="367" t="str">
        <f aca="false">IF((G127&lt;&gt;0),IF((D127&gt;0)," ",(I$1-A127))," ")</f>
        <v> </v>
      </c>
      <c r="J127" s="334" t="str">
        <f aca="false">IF((E127="s"),G127," ")</f>
        <v> </v>
      </c>
      <c r="K127" s="334" t="str">
        <f aca="false">IF((E127="d"),G127," ")</f>
        <v> </v>
      </c>
      <c r="L127" s="334" t="str">
        <f aca="false">IF((E127="e"),G127," ")</f>
        <v> </v>
      </c>
      <c r="M127" s="334" t="str">
        <f aca="false">IF((E127="p"),G127," ")</f>
        <v> </v>
      </c>
      <c r="N127" s="334" t="str">
        <f aca="false">IF((E127="r"),G127," ")</f>
        <v> </v>
      </c>
      <c r="O127" s="334" t="str">
        <f aca="false">IF((E127="g"),G127," ")</f>
        <v> </v>
      </c>
      <c r="P127" s="334" t="str">
        <f aca="false">IF((E127="m"),G127," ")</f>
        <v> </v>
      </c>
      <c r="Q127" s="334" t="str">
        <f aca="false">IF((E127="t"),G127," ")</f>
        <v> </v>
      </c>
      <c r="R127" s="334" t="str">
        <f aca="false">IF((E127="a"),G127," ")</f>
        <v> </v>
      </c>
      <c r="S127" s="334" t="str">
        <f aca="false">IF((E127="l"),G127," ")</f>
        <v> </v>
      </c>
      <c r="T127" s="334" t="str">
        <f aca="false">IF((E127="b"),G127," ")</f>
        <v> </v>
      </c>
      <c r="U127" s="334" t="str">
        <f aca="false">IF((E127="i"),G127," ")</f>
        <v> </v>
      </c>
      <c r="V127" s="334" t="str">
        <f aca="false">IF((E127="o"),G127," ")</f>
        <v> </v>
      </c>
      <c r="W127" s="334" t="str">
        <f aca="false">IF((E127="f"),G127," ")</f>
        <v> </v>
      </c>
    </row>
    <row r="128" customFormat="false" ht="12.75" hidden="false" customHeight="false" outlineLevel="0" collapsed="false">
      <c r="A128" s="355"/>
      <c r="E128" s="365" t="str">
        <f aca="false">IF((G128&lt;&gt;0),"Enter Letter"," ")</f>
        <v> </v>
      </c>
      <c r="H128" s="338" t="str">
        <f aca="false">IF((G128&lt;&gt;0),IF((D128&gt;0)," ",G128)," ")</f>
        <v> </v>
      </c>
      <c r="I128" s="367" t="str">
        <f aca="false">IF((G128&lt;&gt;0),IF((D128&gt;0)," ",(I$1-A128))," ")</f>
        <v> </v>
      </c>
      <c r="J128" s="334" t="str">
        <f aca="false">IF((E128="s"),G128," ")</f>
        <v> </v>
      </c>
      <c r="K128" s="334" t="str">
        <f aca="false">IF((E128="d"),G128," ")</f>
        <v> </v>
      </c>
      <c r="L128" s="334" t="str">
        <f aca="false">IF((E128="e"),G128," ")</f>
        <v> </v>
      </c>
      <c r="M128" s="334" t="str">
        <f aca="false">IF((E128="p"),G128," ")</f>
        <v> </v>
      </c>
      <c r="N128" s="334" t="str">
        <f aca="false">IF((E128="r"),G128," ")</f>
        <v> </v>
      </c>
      <c r="O128" s="334" t="str">
        <f aca="false">IF((E128="g"),G128," ")</f>
        <v> </v>
      </c>
      <c r="P128" s="334" t="str">
        <f aca="false">IF((E128="m"),G128," ")</f>
        <v> </v>
      </c>
      <c r="Q128" s="334" t="str">
        <f aca="false">IF((E128="t"),G128," ")</f>
        <v> </v>
      </c>
      <c r="R128" s="334" t="str">
        <f aca="false">IF((E128="a"),G128," ")</f>
        <v> </v>
      </c>
      <c r="S128" s="334" t="str">
        <f aca="false">IF((E128="l"),G128," ")</f>
        <v> </v>
      </c>
      <c r="T128" s="334" t="str">
        <f aca="false">IF((E128="b"),G128," ")</f>
        <v> </v>
      </c>
      <c r="U128" s="334" t="str">
        <f aca="false">IF((E128="i"),G128," ")</f>
        <v> </v>
      </c>
      <c r="V128" s="334" t="str">
        <f aca="false">IF((E128="o"),G128," ")</f>
        <v> </v>
      </c>
      <c r="W128" s="334" t="str">
        <f aca="false">IF((E128="f"),G128," ")</f>
        <v> </v>
      </c>
    </row>
    <row r="129" customFormat="false" ht="12.75" hidden="false" customHeight="false" outlineLevel="0" collapsed="false">
      <c r="A129" s="355"/>
      <c r="E129" s="365" t="str">
        <f aca="false">IF((G129&lt;&gt;0),"Enter Letter"," ")</f>
        <v> </v>
      </c>
      <c r="H129" s="338" t="str">
        <f aca="false">IF((G129&lt;&gt;0),IF((D129&gt;0)," ",G129)," ")</f>
        <v> </v>
      </c>
      <c r="I129" s="367" t="str">
        <f aca="false">IF((G129&lt;&gt;0),IF((D129&gt;0)," ",(I$1-A129))," ")</f>
        <v> </v>
      </c>
      <c r="J129" s="334" t="str">
        <f aca="false">IF((E129="s"),G129," ")</f>
        <v> </v>
      </c>
      <c r="K129" s="334" t="str">
        <f aca="false">IF((E129="d"),G129," ")</f>
        <v> </v>
      </c>
      <c r="L129" s="334" t="str">
        <f aca="false">IF((E129="e"),G129," ")</f>
        <v> </v>
      </c>
      <c r="M129" s="334" t="str">
        <f aca="false">IF((E129="p"),G129," ")</f>
        <v> </v>
      </c>
      <c r="N129" s="334" t="str">
        <f aca="false">IF((E129="r"),G129," ")</f>
        <v> </v>
      </c>
      <c r="O129" s="334" t="str">
        <f aca="false">IF((E129="g"),G129," ")</f>
        <v> </v>
      </c>
      <c r="P129" s="334" t="str">
        <f aca="false">IF((E129="m"),G129," ")</f>
        <v> </v>
      </c>
      <c r="Q129" s="334" t="str">
        <f aca="false">IF((E129="t"),G129," ")</f>
        <v> </v>
      </c>
      <c r="R129" s="334" t="str">
        <f aca="false">IF((E129="a"),G129," ")</f>
        <v> </v>
      </c>
      <c r="S129" s="334" t="str">
        <f aca="false">IF((E129="l"),G129," ")</f>
        <v> </v>
      </c>
      <c r="T129" s="334" t="str">
        <f aca="false">IF((E129="b"),G129," ")</f>
        <v> </v>
      </c>
      <c r="U129" s="334" t="str">
        <f aca="false">IF((E129="i"),G129," ")</f>
        <v> </v>
      </c>
      <c r="V129" s="334" t="str">
        <f aca="false">IF((E129="o"),G129," ")</f>
        <v> </v>
      </c>
      <c r="W129" s="334" t="str">
        <f aca="false">IF((E129="f"),G129," ")</f>
        <v> </v>
      </c>
    </row>
    <row r="130" customFormat="false" ht="12.75" hidden="false" customHeight="false" outlineLevel="0" collapsed="false">
      <c r="A130" s="355"/>
      <c r="E130" s="365" t="str">
        <f aca="false">IF((G130&lt;&gt;0),"Enter Letter"," ")</f>
        <v> </v>
      </c>
      <c r="H130" s="338" t="str">
        <f aca="false">IF((G130&lt;&gt;0),IF((D130&gt;0)," ",G130)," ")</f>
        <v> </v>
      </c>
      <c r="I130" s="367" t="str">
        <f aca="false">IF((G130&lt;&gt;0),IF((D130&gt;0)," ",(I$1-A130))," ")</f>
        <v> </v>
      </c>
      <c r="J130" s="334" t="str">
        <f aca="false">IF((E130="s"),G130," ")</f>
        <v> </v>
      </c>
      <c r="K130" s="334" t="str">
        <f aca="false">IF((E130="d"),G130," ")</f>
        <v> </v>
      </c>
      <c r="L130" s="334" t="str">
        <f aca="false">IF((E130="e"),G130," ")</f>
        <v> </v>
      </c>
      <c r="M130" s="334" t="str">
        <f aca="false">IF((E130="p"),G130," ")</f>
        <v> </v>
      </c>
      <c r="N130" s="334" t="str">
        <f aca="false">IF((E130="r"),G130," ")</f>
        <v> </v>
      </c>
      <c r="O130" s="334" t="str">
        <f aca="false">IF((E130="g"),G130," ")</f>
        <v> </v>
      </c>
      <c r="P130" s="334" t="str">
        <f aca="false">IF((E130="m"),G130," ")</f>
        <v> </v>
      </c>
      <c r="Q130" s="334" t="str">
        <f aca="false">IF((E130="t"),G130," ")</f>
        <v> </v>
      </c>
      <c r="R130" s="334" t="str">
        <f aca="false">IF((E130="a"),G130," ")</f>
        <v> </v>
      </c>
      <c r="S130" s="334" t="str">
        <f aca="false">IF((E130="l"),G130," ")</f>
        <v> </v>
      </c>
      <c r="T130" s="334" t="str">
        <f aca="false">IF((E130="b"),G130," ")</f>
        <v> </v>
      </c>
      <c r="U130" s="334" t="str">
        <f aca="false">IF((E130="i"),G130," ")</f>
        <v> </v>
      </c>
      <c r="V130" s="334" t="str">
        <f aca="false">IF((E130="o"),G130," ")</f>
        <v> </v>
      </c>
      <c r="W130" s="334" t="str">
        <f aca="false">IF((E130="f"),G130," ")</f>
        <v> </v>
      </c>
    </row>
    <row r="131" customFormat="false" ht="12.75" hidden="false" customHeight="false" outlineLevel="0" collapsed="false">
      <c r="A131" s="355"/>
      <c r="E131" s="365" t="str">
        <f aca="false">IF((G131&lt;&gt;0),"Enter Letter"," ")</f>
        <v> </v>
      </c>
      <c r="H131" s="338" t="str">
        <f aca="false">IF((G131&lt;&gt;0),IF((D131&gt;0)," ",G131)," ")</f>
        <v> </v>
      </c>
      <c r="I131" s="367" t="str">
        <f aca="false">IF((G131&lt;&gt;0),IF((D131&gt;0)," ",(I$1-A131))," ")</f>
        <v> </v>
      </c>
      <c r="J131" s="334" t="str">
        <f aca="false">IF((E131="s"),G131," ")</f>
        <v> </v>
      </c>
      <c r="K131" s="334" t="str">
        <f aca="false">IF((E131="d"),G131," ")</f>
        <v> </v>
      </c>
      <c r="L131" s="334" t="str">
        <f aca="false">IF((E131="e"),G131," ")</f>
        <v> </v>
      </c>
      <c r="M131" s="334" t="str">
        <f aca="false">IF((E131="p"),G131," ")</f>
        <v> </v>
      </c>
      <c r="N131" s="334" t="str">
        <f aca="false">IF((E131="r"),G131," ")</f>
        <v> </v>
      </c>
      <c r="O131" s="334" t="str">
        <f aca="false">IF((E131="g"),G131," ")</f>
        <v> </v>
      </c>
      <c r="P131" s="334" t="str">
        <f aca="false">IF((E131="m"),G131," ")</f>
        <v> </v>
      </c>
      <c r="Q131" s="334" t="str">
        <f aca="false">IF((E131="t"),G131," ")</f>
        <v> </v>
      </c>
      <c r="R131" s="334" t="str">
        <f aca="false">IF((E131="a"),G131," ")</f>
        <v> </v>
      </c>
      <c r="S131" s="334" t="str">
        <f aca="false">IF((E131="l"),G131," ")</f>
        <v> </v>
      </c>
      <c r="T131" s="334" t="str">
        <f aca="false">IF((E131="b"),G131," ")</f>
        <v> </v>
      </c>
      <c r="U131" s="334" t="str">
        <f aca="false">IF((E131="i"),G131," ")</f>
        <v> </v>
      </c>
      <c r="V131" s="334" t="str">
        <f aca="false">IF((E131="o"),G131," ")</f>
        <v> </v>
      </c>
      <c r="W131" s="334" t="str">
        <f aca="false">IF((E131="f"),G131," ")</f>
        <v> </v>
      </c>
    </row>
    <row r="132" customFormat="false" ht="12.75" hidden="false" customHeight="false" outlineLevel="0" collapsed="false">
      <c r="A132" s="355"/>
      <c r="E132" s="365" t="str">
        <f aca="false">IF((G132&lt;&gt;0),"Enter Letter"," ")</f>
        <v> </v>
      </c>
      <c r="H132" s="338" t="str">
        <f aca="false">IF((G132&lt;&gt;0),IF((D132&gt;0)," ",G132)," ")</f>
        <v> </v>
      </c>
      <c r="I132" s="367" t="str">
        <f aca="false">IF((G132&lt;&gt;0),IF((D132&gt;0)," ",(I$1-A132))," ")</f>
        <v> </v>
      </c>
      <c r="J132" s="334" t="str">
        <f aca="false">IF((E132="s"),G132," ")</f>
        <v> </v>
      </c>
      <c r="K132" s="334" t="str">
        <f aca="false">IF((E132="d"),G132," ")</f>
        <v> </v>
      </c>
      <c r="L132" s="334" t="str">
        <f aca="false">IF((E132="e"),G132," ")</f>
        <v> </v>
      </c>
      <c r="M132" s="334" t="str">
        <f aca="false">IF((E132="p"),G132," ")</f>
        <v> </v>
      </c>
      <c r="N132" s="334" t="str">
        <f aca="false">IF((E132="r"),G132," ")</f>
        <v> </v>
      </c>
      <c r="O132" s="334" t="str">
        <f aca="false">IF((E132="g"),G132," ")</f>
        <v> </v>
      </c>
      <c r="P132" s="334" t="str">
        <f aca="false">IF((E132="m"),G132," ")</f>
        <v> </v>
      </c>
      <c r="Q132" s="334" t="str">
        <f aca="false">IF((E132="t"),G132," ")</f>
        <v> </v>
      </c>
      <c r="R132" s="334" t="str">
        <f aca="false">IF((E132="a"),G132," ")</f>
        <v> </v>
      </c>
      <c r="S132" s="334" t="str">
        <f aca="false">IF((E132="l"),G132," ")</f>
        <v> </v>
      </c>
      <c r="T132" s="334" t="str">
        <f aca="false">IF((E132="b"),G132," ")</f>
        <v> </v>
      </c>
      <c r="U132" s="334" t="str">
        <f aca="false">IF((E132="i"),G132," ")</f>
        <v> </v>
      </c>
      <c r="V132" s="334" t="str">
        <f aca="false">IF((E132="o"),G132," ")</f>
        <v> </v>
      </c>
      <c r="W132" s="334" t="str">
        <f aca="false">IF((E132="f"),G132," ")</f>
        <v> </v>
      </c>
    </row>
    <row r="133" customFormat="false" ht="12.75" hidden="false" customHeight="false" outlineLevel="0" collapsed="false">
      <c r="A133" s="355"/>
      <c r="E133" s="365" t="str">
        <f aca="false">IF((G133&lt;&gt;0),"Enter Letter"," ")</f>
        <v> </v>
      </c>
      <c r="H133" s="338" t="str">
        <f aca="false">IF((G133&lt;&gt;0),IF((D133&gt;0)," ",G133)," ")</f>
        <v> </v>
      </c>
      <c r="I133" s="367" t="str">
        <f aca="false">IF((G133&lt;&gt;0),IF((D133&gt;0)," ",(I$1-A133))," ")</f>
        <v> </v>
      </c>
      <c r="J133" s="334" t="str">
        <f aca="false">IF((E133="s"),G133," ")</f>
        <v> </v>
      </c>
      <c r="K133" s="334" t="str">
        <f aca="false">IF((E133="d"),G133," ")</f>
        <v> </v>
      </c>
      <c r="L133" s="334" t="str">
        <f aca="false">IF((E133="e"),G133," ")</f>
        <v> </v>
      </c>
      <c r="M133" s="334" t="str">
        <f aca="false">IF((E133="p"),G133," ")</f>
        <v> </v>
      </c>
      <c r="N133" s="334" t="str">
        <f aca="false">IF((E133="r"),G133," ")</f>
        <v> </v>
      </c>
      <c r="O133" s="334" t="str">
        <f aca="false">IF((E133="g"),G133," ")</f>
        <v> </v>
      </c>
      <c r="P133" s="334" t="str">
        <f aca="false">IF((E133="m"),G133," ")</f>
        <v> </v>
      </c>
      <c r="Q133" s="334" t="str">
        <f aca="false">IF((E133="t"),G133," ")</f>
        <v> </v>
      </c>
      <c r="R133" s="334" t="str">
        <f aca="false">IF((E133="a"),G133," ")</f>
        <v> </v>
      </c>
      <c r="S133" s="334" t="str">
        <f aca="false">IF((E133="l"),G133," ")</f>
        <v> </v>
      </c>
      <c r="T133" s="334" t="str">
        <f aca="false">IF((E133="b"),G133," ")</f>
        <v> </v>
      </c>
      <c r="U133" s="334" t="str">
        <f aca="false">IF((E133="i"),G133," ")</f>
        <v> </v>
      </c>
      <c r="V133" s="334" t="str">
        <f aca="false">IF((E133="o"),G133," ")</f>
        <v> </v>
      </c>
      <c r="W133" s="334" t="str">
        <f aca="false">IF((E133="f"),G133," ")</f>
        <v> </v>
      </c>
    </row>
    <row r="134" customFormat="false" ht="12.75" hidden="false" customHeight="false" outlineLevel="0" collapsed="false">
      <c r="A134" s="355"/>
      <c r="E134" s="365" t="str">
        <f aca="false">IF((G134&lt;&gt;0),"Enter Letter"," ")</f>
        <v> </v>
      </c>
      <c r="H134" s="338" t="str">
        <f aca="false">IF((G134&lt;&gt;0),IF((D134&gt;0)," ",G134)," ")</f>
        <v> </v>
      </c>
      <c r="I134" s="367" t="str">
        <f aca="false">IF((G134&lt;&gt;0),IF((D134&gt;0)," ",(I$1-A134))," ")</f>
        <v> </v>
      </c>
      <c r="J134" s="334" t="str">
        <f aca="false">IF((E134="s"),G134," ")</f>
        <v> </v>
      </c>
      <c r="K134" s="334" t="str">
        <f aca="false">IF((E134="d"),G134," ")</f>
        <v> </v>
      </c>
      <c r="L134" s="334" t="str">
        <f aca="false">IF((E134="e"),G134," ")</f>
        <v> </v>
      </c>
      <c r="M134" s="334" t="str">
        <f aca="false">IF((E134="p"),G134," ")</f>
        <v> </v>
      </c>
      <c r="N134" s="334" t="str">
        <f aca="false">IF((E134="r"),G134," ")</f>
        <v> </v>
      </c>
      <c r="O134" s="334" t="str">
        <f aca="false">IF((E134="g"),G134," ")</f>
        <v> </v>
      </c>
      <c r="P134" s="334" t="str">
        <f aca="false">IF((E134="m"),G134," ")</f>
        <v> </v>
      </c>
      <c r="Q134" s="334" t="str">
        <f aca="false">IF((E134="t"),G134," ")</f>
        <v> </v>
      </c>
      <c r="R134" s="334" t="str">
        <f aca="false">IF((E134="a"),G134," ")</f>
        <v> </v>
      </c>
      <c r="S134" s="334" t="str">
        <f aca="false">IF((E134="l"),G134," ")</f>
        <v> </v>
      </c>
      <c r="T134" s="334" t="str">
        <f aca="false">IF((E134="b"),G134," ")</f>
        <v> </v>
      </c>
      <c r="U134" s="334" t="str">
        <f aca="false">IF((E134="i"),G134," ")</f>
        <v> </v>
      </c>
      <c r="V134" s="334" t="str">
        <f aca="false">IF((E134="o"),G134," ")</f>
        <v> </v>
      </c>
      <c r="W134" s="334" t="str">
        <f aca="false">IF((E134="f"),G134," ")</f>
        <v> </v>
      </c>
    </row>
    <row r="135" customFormat="false" ht="12.75" hidden="false" customHeight="false" outlineLevel="0" collapsed="false">
      <c r="A135" s="355"/>
      <c r="E135" s="365" t="str">
        <f aca="false">IF((G135&lt;&gt;0),"Enter Letter"," ")</f>
        <v> </v>
      </c>
      <c r="H135" s="338" t="str">
        <f aca="false">IF((G135&lt;&gt;0),IF((D135&gt;0)," ",G135)," ")</f>
        <v> </v>
      </c>
      <c r="I135" s="367" t="str">
        <f aca="false">IF((G135&lt;&gt;0),IF((D135&gt;0)," ",(I$1-A135))," ")</f>
        <v> </v>
      </c>
      <c r="J135" s="334" t="str">
        <f aca="false">IF((E135="s"),G135," ")</f>
        <v> </v>
      </c>
      <c r="K135" s="334" t="str">
        <f aca="false">IF((E135="d"),G135," ")</f>
        <v> </v>
      </c>
      <c r="L135" s="334" t="str">
        <f aca="false">IF((E135="e"),G135," ")</f>
        <v> </v>
      </c>
      <c r="M135" s="334" t="str">
        <f aca="false">IF((E135="p"),G135," ")</f>
        <v> </v>
      </c>
      <c r="N135" s="334" t="str">
        <f aca="false">IF((E135="r"),G135," ")</f>
        <v> </v>
      </c>
      <c r="O135" s="334" t="str">
        <f aca="false">IF((E135="g"),G135," ")</f>
        <v> </v>
      </c>
      <c r="P135" s="334" t="str">
        <f aca="false">IF((E135="m"),G135," ")</f>
        <v> </v>
      </c>
      <c r="Q135" s="334" t="str">
        <f aca="false">IF((E135="t"),G135," ")</f>
        <v> </v>
      </c>
      <c r="R135" s="334" t="str">
        <f aca="false">IF((E135="a"),G135," ")</f>
        <v> </v>
      </c>
      <c r="S135" s="334" t="str">
        <f aca="false">IF((E135="l"),G135," ")</f>
        <v> </v>
      </c>
      <c r="T135" s="334" t="str">
        <f aca="false">IF((E135="b"),G135," ")</f>
        <v> </v>
      </c>
      <c r="U135" s="334" t="str">
        <f aca="false">IF((E135="i"),G135," ")</f>
        <v> </v>
      </c>
      <c r="V135" s="334" t="str">
        <f aca="false">IF((E135="o"),G135," ")</f>
        <v> </v>
      </c>
      <c r="W135" s="334" t="str">
        <f aca="false">IF((E135="f"),G135," ")</f>
        <v> </v>
      </c>
    </row>
    <row r="136" customFormat="false" ht="12.75" hidden="false" customHeight="false" outlineLevel="0" collapsed="false">
      <c r="A136" s="355"/>
      <c r="E136" s="365" t="str">
        <f aca="false">IF((G136&lt;&gt;0),"Enter Letter"," ")</f>
        <v> </v>
      </c>
      <c r="H136" s="338" t="str">
        <f aca="false">IF((G136&lt;&gt;0),IF((D136&gt;0)," ",G136)," ")</f>
        <v> </v>
      </c>
      <c r="I136" s="367" t="str">
        <f aca="false">IF((G136&lt;&gt;0),IF((D136&gt;0)," ",(I$1-A136))," ")</f>
        <v> </v>
      </c>
      <c r="J136" s="334" t="str">
        <f aca="false">IF((E136="s"),G136," ")</f>
        <v> </v>
      </c>
      <c r="K136" s="334" t="str">
        <f aca="false">IF((E136="d"),G136," ")</f>
        <v> </v>
      </c>
      <c r="L136" s="334" t="str">
        <f aca="false">IF((E136="e"),G136," ")</f>
        <v> </v>
      </c>
      <c r="M136" s="334" t="str">
        <f aca="false">IF((E136="p"),G136," ")</f>
        <v> </v>
      </c>
      <c r="N136" s="334" t="str">
        <f aca="false">IF((E136="r"),G136," ")</f>
        <v> </v>
      </c>
      <c r="O136" s="334" t="str">
        <f aca="false">IF((E136="g"),G136," ")</f>
        <v> </v>
      </c>
      <c r="P136" s="334" t="str">
        <f aca="false">IF((E136="m"),G136," ")</f>
        <v> </v>
      </c>
      <c r="Q136" s="334" t="str">
        <f aca="false">IF((E136="t"),G136," ")</f>
        <v> </v>
      </c>
      <c r="R136" s="334" t="str">
        <f aca="false">IF((E136="a"),G136," ")</f>
        <v> </v>
      </c>
      <c r="S136" s="334" t="str">
        <f aca="false">IF((E136="l"),G136," ")</f>
        <v> </v>
      </c>
      <c r="T136" s="334" t="str">
        <f aca="false">IF((E136="b"),G136," ")</f>
        <v> </v>
      </c>
      <c r="U136" s="334" t="str">
        <f aca="false">IF((E136="i"),G136," ")</f>
        <v> </v>
      </c>
      <c r="V136" s="334" t="str">
        <f aca="false">IF((E136="o"),G136," ")</f>
        <v> </v>
      </c>
      <c r="W136" s="334" t="str">
        <f aca="false">IF((E136="f"),G136," ")</f>
        <v> </v>
      </c>
    </row>
    <row r="137" customFormat="false" ht="12.75" hidden="false" customHeight="false" outlineLevel="0" collapsed="false">
      <c r="A137" s="355"/>
      <c r="E137" s="365" t="str">
        <f aca="false">IF((G137&lt;&gt;0),"Enter Letter"," ")</f>
        <v> </v>
      </c>
      <c r="H137" s="338" t="str">
        <f aca="false">IF((G137&lt;&gt;0),IF((D137&gt;0)," ",G137)," ")</f>
        <v> </v>
      </c>
      <c r="I137" s="367" t="str">
        <f aca="false">IF((G137&lt;&gt;0),IF((D137&gt;0)," ",(I$1-A137))," ")</f>
        <v> </v>
      </c>
      <c r="J137" s="334" t="str">
        <f aca="false">IF((E137="s"),G137," ")</f>
        <v> </v>
      </c>
      <c r="K137" s="334" t="str">
        <f aca="false">IF((E137="d"),G137," ")</f>
        <v> </v>
      </c>
      <c r="L137" s="334" t="str">
        <f aca="false">IF((E137="e"),G137," ")</f>
        <v> </v>
      </c>
      <c r="M137" s="334" t="str">
        <f aca="false">IF((E137="p"),G137," ")</f>
        <v> </v>
      </c>
      <c r="N137" s="334" t="str">
        <f aca="false">IF((E137="r"),G137," ")</f>
        <v> </v>
      </c>
      <c r="O137" s="334" t="str">
        <f aca="false">IF((E137="g"),G137," ")</f>
        <v> </v>
      </c>
      <c r="P137" s="334" t="str">
        <f aca="false">IF((E137="m"),G137," ")</f>
        <v> </v>
      </c>
      <c r="Q137" s="334" t="str">
        <f aca="false">IF((E137="t"),G137," ")</f>
        <v> </v>
      </c>
      <c r="R137" s="334" t="str">
        <f aca="false">IF((E137="a"),G137," ")</f>
        <v> </v>
      </c>
      <c r="S137" s="334" t="str">
        <f aca="false">IF((E137="l"),G137," ")</f>
        <v> </v>
      </c>
      <c r="T137" s="334" t="str">
        <f aca="false">IF((E137="b"),G137," ")</f>
        <v> </v>
      </c>
      <c r="U137" s="334" t="str">
        <f aca="false">IF((E137="i"),G137," ")</f>
        <v> </v>
      </c>
      <c r="V137" s="334" t="str">
        <f aca="false">IF((E137="o"),G137," ")</f>
        <v> </v>
      </c>
      <c r="W137" s="334" t="str">
        <f aca="false">IF((E137="f"),G137," ")</f>
        <v> </v>
      </c>
    </row>
    <row r="138" customFormat="false" ht="12.75" hidden="false" customHeight="false" outlineLevel="0" collapsed="false">
      <c r="A138" s="355"/>
      <c r="E138" s="365" t="str">
        <f aca="false">IF((G138&lt;&gt;0),"Enter Letter"," ")</f>
        <v> </v>
      </c>
      <c r="H138" s="338" t="str">
        <f aca="false">IF((G138&lt;&gt;0),IF((D138&gt;0)," ",G138)," ")</f>
        <v> </v>
      </c>
      <c r="I138" s="367" t="str">
        <f aca="false">IF((G138&lt;&gt;0),IF((D138&gt;0)," ",(I$1-A138))," ")</f>
        <v> </v>
      </c>
      <c r="J138" s="334" t="str">
        <f aca="false">IF((E138="s"),G138," ")</f>
        <v> </v>
      </c>
      <c r="K138" s="334" t="str">
        <f aca="false">IF((E138="d"),G138," ")</f>
        <v> </v>
      </c>
      <c r="L138" s="334" t="str">
        <f aca="false">IF((E138="e"),G138," ")</f>
        <v> </v>
      </c>
      <c r="M138" s="334" t="str">
        <f aca="false">IF((E138="p"),G138," ")</f>
        <v> </v>
      </c>
      <c r="N138" s="334" t="str">
        <f aca="false">IF((E138="r"),G138," ")</f>
        <v> </v>
      </c>
      <c r="O138" s="334" t="str">
        <f aca="false">IF((E138="g"),G138," ")</f>
        <v> </v>
      </c>
      <c r="P138" s="334" t="str">
        <f aca="false">IF((E138="m"),G138," ")</f>
        <v> </v>
      </c>
      <c r="Q138" s="334" t="str">
        <f aca="false">IF((E138="t"),G138," ")</f>
        <v> </v>
      </c>
      <c r="R138" s="334" t="str">
        <f aca="false">IF((E138="a"),G138," ")</f>
        <v> </v>
      </c>
      <c r="S138" s="334" t="str">
        <f aca="false">IF((E138="l"),G138," ")</f>
        <v> </v>
      </c>
      <c r="T138" s="334" t="str">
        <f aca="false">IF((E138="b"),G138," ")</f>
        <v> </v>
      </c>
      <c r="U138" s="334" t="str">
        <f aca="false">IF((E138="i"),G138," ")</f>
        <v> </v>
      </c>
      <c r="V138" s="334" t="str">
        <f aca="false">IF((E138="o"),G138," ")</f>
        <v> </v>
      </c>
      <c r="W138" s="334" t="str">
        <f aca="false">IF((E138="f"),G138," ")</f>
        <v> </v>
      </c>
    </row>
    <row r="139" customFormat="false" ht="12.75" hidden="false" customHeight="false" outlineLevel="0" collapsed="false">
      <c r="A139" s="355"/>
      <c r="E139" s="365" t="str">
        <f aca="false">IF((G139&lt;&gt;0),"Enter Letter"," ")</f>
        <v> </v>
      </c>
      <c r="H139" s="338" t="str">
        <f aca="false">IF((G139&lt;&gt;0),IF((D139&gt;0)," ",G139)," ")</f>
        <v> </v>
      </c>
      <c r="I139" s="367" t="str">
        <f aca="false">IF((G139&lt;&gt;0),IF((D139&gt;0)," ",(I$1-A139))," ")</f>
        <v> </v>
      </c>
      <c r="J139" s="334" t="str">
        <f aca="false">IF((E139="s"),G139," ")</f>
        <v> </v>
      </c>
      <c r="K139" s="334" t="str">
        <f aca="false">IF((E139="d"),G139," ")</f>
        <v> </v>
      </c>
      <c r="L139" s="334" t="str">
        <f aca="false">IF((E139="e"),G139," ")</f>
        <v> </v>
      </c>
      <c r="M139" s="334" t="str">
        <f aca="false">IF((E139="p"),G139," ")</f>
        <v> </v>
      </c>
      <c r="N139" s="334" t="str">
        <f aca="false">IF((E139="r"),G139," ")</f>
        <v> </v>
      </c>
      <c r="O139" s="334" t="str">
        <f aca="false">IF((E139="g"),G139," ")</f>
        <v> </v>
      </c>
      <c r="P139" s="334" t="str">
        <f aca="false">IF((E139="m"),G139," ")</f>
        <v> </v>
      </c>
      <c r="Q139" s="334" t="str">
        <f aca="false">IF((E139="t"),G139," ")</f>
        <v> </v>
      </c>
      <c r="R139" s="334" t="str">
        <f aca="false">IF((E139="a"),G139," ")</f>
        <v> </v>
      </c>
      <c r="S139" s="334" t="str">
        <f aca="false">IF((E139="l"),G139," ")</f>
        <v> </v>
      </c>
      <c r="T139" s="334" t="str">
        <f aca="false">IF((E139="b"),G139," ")</f>
        <v> </v>
      </c>
      <c r="U139" s="334" t="str">
        <f aca="false">IF((E139="i"),G139," ")</f>
        <v> </v>
      </c>
      <c r="V139" s="334" t="str">
        <f aca="false">IF((E139="o"),G139," ")</f>
        <v> </v>
      </c>
      <c r="W139" s="334" t="str">
        <f aca="false">IF((E139="f"),G139," ")</f>
        <v> </v>
      </c>
    </row>
    <row r="140" customFormat="false" ht="12.75" hidden="false" customHeight="false" outlineLevel="0" collapsed="false">
      <c r="A140" s="355"/>
      <c r="E140" s="365" t="str">
        <f aca="false">IF((G140&lt;&gt;0),"Enter Letter"," ")</f>
        <v> </v>
      </c>
      <c r="H140" s="338" t="str">
        <f aca="false">IF((G140&lt;&gt;0),IF((D140&gt;0)," ",G140)," ")</f>
        <v> </v>
      </c>
      <c r="I140" s="367" t="str">
        <f aca="false">IF((G140&lt;&gt;0),IF((D140&gt;0)," ",(I$1-A140))," ")</f>
        <v> </v>
      </c>
      <c r="J140" s="334" t="str">
        <f aca="false">IF((E140="s"),G140," ")</f>
        <v> </v>
      </c>
      <c r="K140" s="334" t="str">
        <f aca="false">IF((E140="d"),G140," ")</f>
        <v> </v>
      </c>
      <c r="L140" s="334" t="str">
        <f aca="false">IF((E140="e"),G140," ")</f>
        <v> </v>
      </c>
      <c r="M140" s="334" t="str">
        <f aca="false">IF((E140="p"),G140," ")</f>
        <v> </v>
      </c>
      <c r="N140" s="334" t="str">
        <f aca="false">IF((E140="r"),G140," ")</f>
        <v> </v>
      </c>
      <c r="O140" s="334" t="str">
        <f aca="false">IF((E140="g"),G140," ")</f>
        <v> </v>
      </c>
      <c r="P140" s="334" t="str">
        <f aca="false">IF((E140="m"),G140," ")</f>
        <v> </v>
      </c>
      <c r="Q140" s="334" t="str">
        <f aca="false">IF((E140="t"),G140," ")</f>
        <v> </v>
      </c>
      <c r="R140" s="334" t="str">
        <f aca="false">IF((E140="a"),G140," ")</f>
        <v> </v>
      </c>
      <c r="S140" s="334" t="str">
        <f aca="false">IF((E140="l"),G140," ")</f>
        <v> </v>
      </c>
      <c r="T140" s="334" t="str">
        <f aca="false">IF((E140="b"),G140," ")</f>
        <v> </v>
      </c>
      <c r="U140" s="334" t="str">
        <f aca="false">IF((E140="i"),G140," ")</f>
        <v> </v>
      </c>
      <c r="V140" s="334" t="str">
        <f aca="false">IF((E140="o"),G140," ")</f>
        <v> </v>
      </c>
      <c r="W140" s="334" t="str">
        <f aca="false">IF((E140="f"),G140," ")</f>
        <v> </v>
      </c>
    </row>
    <row r="141" customFormat="false" ht="12.75" hidden="false" customHeight="false" outlineLevel="0" collapsed="false">
      <c r="A141" s="355"/>
      <c r="E141" s="365" t="str">
        <f aca="false">IF((G141&lt;&gt;0),"Enter Letter"," ")</f>
        <v> </v>
      </c>
      <c r="H141" s="338" t="str">
        <f aca="false">IF((G141&lt;&gt;0),IF((D141&gt;0)," ",G141)," ")</f>
        <v> </v>
      </c>
      <c r="I141" s="367" t="str">
        <f aca="false">IF((G141&lt;&gt;0),IF((D141&gt;0)," ",(I$1-A141))," ")</f>
        <v> </v>
      </c>
      <c r="J141" s="334" t="str">
        <f aca="false">IF((E141="s"),G141," ")</f>
        <v> </v>
      </c>
      <c r="K141" s="334" t="str">
        <f aca="false">IF((E141="d"),G141," ")</f>
        <v> </v>
      </c>
      <c r="L141" s="334" t="str">
        <f aca="false">IF((E141="e"),G141," ")</f>
        <v> </v>
      </c>
      <c r="M141" s="334" t="str">
        <f aca="false">IF((E141="p"),G141," ")</f>
        <v> </v>
      </c>
      <c r="N141" s="334" t="str">
        <f aca="false">IF((E141="r"),G141," ")</f>
        <v> </v>
      </c>
      <c r="O141" s="334" t="str">
        <f aca="false">IF((E141="g"),G141," ")</f>
        <v> </v>
      </c>
      <c r="P141" s="334" t="str">
        <f aca="false">IF((E141="m"),G141," ")</f>
        <v> </v>
      </c>
      <c r="Q141" s="334" t="str">
        <f aca="false">IF((E141="t"),G141," ")</f>
        <v> </v>
      </c>
      <c r="R141" s="334" t="str">
        <f aca="false">IF((E141="a"),G141," ")</f>
        <v> </v>
      </c>
      <c r="S141" s="334" t="str">
        <f aca="false">IF((E141="l"),G141," ")</f>
        <v> </v>
      </c>
      <c r="T141" s="334" t="str">
        <f aca="false">IF((E141="b"),G141," ")</f>
        <v> </v>
      </c>
      <c r="U141" s="334" t="str">
        <f aca="false">IF((E141="i"),G141," ")</f>
        <v> </v>
      </c>
      <c r="V141" s="334" t="str">
        <f aca="false">IF((E141="o"),G141," ")</f>
        <v> </v>
      </c>
      <c r="W141" s="334" t="str">
        <f aca="false">IF((E141="f"),G141," ")</f>
        <v> </v>
      </c>
    </row>
    <row r="142" customFormat="false" ht="12.75" hidden="false" customHeight="false" outlineLevel="0" collapsed="false">
      <c r="A142" s="355"/>
      <c r="E142" s="365" t="str">
        <f aca="false">IF((G142&lt;&gt;0),"Enter Letter"," ")</f>
        <v> </v>
      </c>
      <c r="H142" s="338" t="str">
        <f aca="false">IF((G142&lt;&gt;0),IF((D142&gt;0)," ",G142)," ")</f>
        <v> </v>
      </c>
      <c r="I142" s="367" t="str">
        <f aca="false">IF((G142&lt;&gt;0),IF((D142&gt;0)," ",(I$1-A142))," ")</f>
        <v> </v>
      </c>
      <c r="J142" s="334" t="str">
        <f aca="false">IF((E142="s"),G142," ")</f>
        <v> </v>
      </c>
      <c r="K142" s="334" t="str">
        <f aca="false">IF((E142="d"),G142," ")</f>
        <v> </v>
      </c>
      <c r="L142" s="334" t="str">
        <f aca="false">IF((E142="e"),G142," ")</f>
        <v> </v>
      </c>
      <c r="M142" s="334" t="str">
        <f aca="false">IF((E142="p"),G142," ")</f>
        <v> </v>
      </c>
      <c r="N142" s="334" t="str">
        <f aca="false">IF((E142="r"),G142," ")</f>
        <v> </v>
      </c>
      <c r="O142" s="334" t="str">
        <f aca="false">IF((E142="g"),G142," ")</f>
        <v> </v>
      </c>
      <c r="P142" s="334" t="str">
        <f aca="false">IF((E142="m"),G142," ")</f>
        <v> </v>
      </c>
      <c r="Q142" s="334" t="str">
        <f aca="false">IF((E142="t"),G142," ")</f>
        <v> </v>
      </c>
      <c r="R142" s="334" t="str">
        <f aca="false">IF((E142="a"),G142," ")</f>
        <v> </v>
      </c>
      <c r="S142" s="334" t="str">
        <f aca="false">IF((E142="l"),G142," ")</f>
        <v> </v>
      </c>
      <c r="T142" s="334" t="str">
        <f aca="false">IF((E142="b"),G142," ")</f>
        <v> </v>
      </c>
      <c r="U142" s="334" t="str">
        <f aca="false">IF((E142="i"),G142," ")</f>
        <v> </v>
      </c>
      <c r="V142" s="334" t="str">
        <f aca="false">IF((E142="o"),G142," ")</f>
        <v> </v>
      </c>
      <c r="W142" s="334" t="str">
        <f aca="false">IF((E142="f"),G142," ")</f>
        <v> </v>
      </c>
    </row>
    <row r="143" customFormat="false" ht="12.75" hidden="false" customHeight="false" outlineLevel="0" collapsed="false">
      <c r="A143" s="355"/>
      <c r="E143" s="365" t="str">
        <f aca="false">IF((G143&lt;&gt;0),"Enter Letter"," ")</f>
        <v> </v>
      </c>
      <c r="H143" s="338" t="str">
        <f aca="false">IF((G143&lt;&gt;0),IF((D143&gt;0)," ",G143)," ")</f>
        <v> </v>
      </c>
      <c r="I143" s="367" t="str">
        <f aca="false">IF((G143&lt;&gt;0),IF((D143&gt;0)," ",(I$1-A143))," ")</f>
        <v> </v>
      </c>
      <c r="J143" s="334" t="str">
        <f aca="false">IF((E143="s"),G143," ")</f>
        <v> </v>
      </c>
      <c r="K143" s="334" t="str">
        <f aca="false">IF((E143="d"),G143," ")</f>
        <v> </v>
      </c>
      <c r="L143" s="334" t="str">
        <f aca="false">IF((E143="e"),G143," ")</f>
        <v> </v>
      </c>
      <c r="M143" s="334" t="str">
        <f aca="false">IF((E143="p"),G143," ")</f>
        <v> </v>
      </c>
      <c r="N143" s="334" t="str">
        <f aca="false">IF((E143="r"),G143," ")</f>
        <v> </v>
      </c>
      <c r="O143" s="334" t="str">
        <f aca="false">IF((E143="g"),G143," ")</f>
        <v> </v>
      </c>
      <c r="P143" s="334" t="str">
        <f aca="false">IF((E143="m"),G143," ")</f>
        <v> </v>
      </c>
      <c r="Q143" s="334" t="str">
        <f aca="false">IF((E143="t"),G143," ")</f>
        <v> </v>
      </c>
      <c r="R143" s="334" t="str">
        <f aca="false">IF((E143="a"),G143," ")</f>
        <v> </v>
      </c>
      <c r="S143" s="334" t="str">
        <f aca="false">IF((E143="l"),G143," ")</f>
        <v> </v>
      </c>
      <c r="T143" s="334" t="str">
        <f aca="false">IF((E143="b"),G143," ")</f>
        <v> </v>
      </c>
      <c r="U143" s="334" t="str">
        <f aca="false">IF((E143="i"),G143," ")</f>
        <v> </v>
      </c>
      <c r="V143" s="334" t="str">
        <f aca="false">IF((E143="o"),G143," ")</f>
        <v> </v>
      </c>
      <c r="W143" s="334" t="str">
        <f aca="false">IF((E143="f"),G143," ")</f>
        <v> </v>
      </c>
    </row>
    <row r="144" customFormat="false" ht="12.75" hidden="false" customHeight="false" outlineLevel="0" collapsed="false">
      <c r="A144" s="355"/>
      <c r="E144" s="365" t="str">
        <f aca="false">IF((G144&lt;&gt;0),"Enter Letter"," ")</f>
        <v> </v>
      </c>
      <c r="H144" s="338" t="str">
        <f aca="false">IF((G144&lt;&gt;0),IF((D144&gt;0)," ",G144)," ")</f>
        <v> </v>
      </c>
      <c r="I144" s="367" t="str">
        <f aca="false">IF((G144&lt;&gt;0),IF((D144&gt;0)," ",(I$1-A144))," ")</f>
        <v> </v>
      </c>
      <c r="J144" s="334" t="str">
        <f aca="false">IF((E144="s"),G144," ")</f>
        <v> </v>
      </c>
      <c r="K144" s="334" t="str">
        <f aca="false">IF((E144="d"),G144," ")</f>
        <v> </v>
      </c>
      <c r="L144" s="334" t="str">
        <f aca="false">IF((E144="e"),G144," ")</f>
        <v> </v>
      </c>
      <c r="M144" s="334" t="str">
        <f aca="false">IF((E144="p"),G144," ")</f>
        <v> </v>
      </c>
      <c r="N144" s="334" t="str">
        <f aca="false">IF((E144="r"),G144," ")</f>
        <v> </v>
      </c>
      <c r="O144" s="334" t="str">
        <f aca="false">IF((E144="g"),G144," ")</f>
        <v> </v>
      </c>
      <c r="P144" s="334" t="str">
        <f aca="false">IF((E144="m"),G144," ")</f>
        <v> </v>
      </c>
      <c r="Q144" s="334" t="str">
        <f aca="false">IF((E144="t"),G144," ")</f>
        <v> </v>
      </c>
      <c r="R144" s="334" t="str">
        <f aca="false">IF((E144="a"),G144," ")</f>
        <v> </v>
      </c>
      <c r="S144" s="334" t="str">
        <f aca="false">IF((E144="l"),G144," ")</f>
        <v> </v>
      </c>
      <c r="T144" s="334" t="str">
        <f aca="false">IF((E144="b"),G144," ")</f>
        <v> </v>
      </c>
      <c r="U144" s="334" t="str">
        <f aca="false">IF((E144="i"),G144," ")</f>
        <v> </v>
      </c>
      <c r="V144" s="334" t="str">
        <f aca="false">IF((E144="o"),G144," ")</f>
        <v> </v>
      </c>
      <c r="W144" s="334" t="str">
        <f aca="false">IF((E144="f"),G144," ")</f>
        <v> </v>
      </c>
    </row>
    <row r="145" customFormat="false" ht="12.75" hidden="false" customHeight="false" outlineLevel="0" collapsed="false">
      <c r="A145" s="355"/>
      <c r="E145" s="365" t="str">
        <f aca="false">IF((G145&lt;&gt;0),"Enter Letter"," ")</f>
        <v> </v>
      </c>
      <c r="H145" s="338" t="str">
        <f aca="false">IF((G145&lt;&gt;0),IF((D145&gt;0)," ",G145)," ")</f>
        <v> </v>
      </c>
      <c r="I145" s="367" t="str">
        <f aca="false">IF((G145&lt;&gt;0),IF((D145&gt;0)," ",(I$1-A145))," ")</f>
        <v> </v>
      </c>
      <c r="J145" s="334" t="str">
        <f aca="false">IF((E145="s"),G145," ")</f>
        <v> </v>
      </c>
      <c r="K145" s="334" t="str">
        <f aca="false">IF((E145="d"),G145," ")</f>
        <v> </v>
      </c>
      <c r="L145" s="334" t="str">
        <f aca="false">IF((E145="e"),G145," ")</f>
        <v> </v>
      </c>
      <c r="M145" s="334" t="str">
        <f aca="false">IF((E145="p"),G145," ")</f>
        <v> </v>
      </c>
      <c r="N145" s="334" t="str">
        <f aca="false">IF((E145="r"),G145," ")</f>
        <v> </v>
      </c>
      <c r="O145" s="334" t="str">
        <f aca="false">IF((E145="g"),G145," ")</f>
        <v> </v>
      </c>
      <c r="P145" s="334" t="str">
        <f aca="false">IF((E145="m"),G145," ")</f>
        <v> </v>
      </c>
      <c r="Q145" s="334" t="str">
        <f aca="false">IF((E145="t"),G145," ")</f>
        <v> </v>
      </c>
      <c r="R145" s="334" t="str">
        <f aca="false">IF((E145="a"),G145," ")</f>
        <v> </v>
      </c>
      <c r="S145" s="334" t="str">
        <f aca="false">IF((E145="l"),G145," ")</f>
        <v> </v>
      </c>
      <c r="T145" s="334" t="str">
        <f aca="false">IF((E145="b"),G145," ")</f>
        <v> </v>
      </c>
      <c r="U145" s="334" t="str">
        <f aca="false">IF((E145="i"),G145," ")</f>
        <v> </v>
      </c>
      <c r="V145" s="334" t="str">
        <f aca="false">IF((E145="o"),G145," ")</f>
        <v> </v>
      </c>
      <c r="W145" s="334" t="str">
        <f aca="false">IF((E145="f"),G145," ")</f>
        <v> </v>
      </c>
    </row>
    <row r="146" customFormat="false" ht="12.75" hidden="false" customHeight="false" outlineLevel="0" collapsed="false">
      <c r="A146" s="355"/>
      <c r="E146" s="365" t="str">
        <f aca="false">IF((G146&lt;&gt;0),"Enter Letter"," ")</f>
        <v> </v>
      </c>
      <c r="H146" s="338" t="str">
        <f aca="false">IF((G146&lt;&gt;0),IF((D146&gt;0)," ",G146)," ")</f>
        <v> </v>
      </c>
      <c r="I146" s="367" t="str">
        <f aca="false">IF((G146&lt;&gt;0),IF((D146&gt;0)," ",(I$1-A146))," ")</f>
        <v> </v>
      </c>
      <c r="J146" s="334" t="str">
        <f aca="false">IF((E146="s"),G146," ")</f>
        <v> </v>
      </c>
      <c r="K146" s="334" t="str">
        <f aca="false">IF((E146="d"),G146," ")</f>
        <v> </v>
      </c>
      <c r="L146" s="334" t="str">
        <f aca="false">IF((E146="e"),G146," ")</f>
        <v> </v>
      </c>
      <c r="M146" s="334" t="str">
        <f aca="false">IF((E146="p"),G146," ")</f>
        <v> </v>
      </c>
      <c r="N146" s="334" t="str">
        <f aca="false">IF((E146="r"),G146," ")</f>
        <v> </v>
      </c>
      <c r="O146" s="334" t="str">
        <f aca="false">IF((E146="g"),G146," ")</f>
        <v> </v>
      </c>
      <c r="P146" s="334" t="str">
        <f aca="false">IF((E146="m"),G146," ")</f>
        <v> </v>
      </c>
      <c r="Q146" s="334" t="str">
        <f aca="false">IF((E146="t"),G146," ")</f>
        <v> </v>
      </c>
      <c r="R146" s="334" t="str">
        <f aca="false">IF((E146="a"),G146," ")</f>
        <v> </v>
      </c>
      <c r="S146" s="334" t="str">
        <f aca="false">IF((E146="l"),G146," ")</f>
        <v> </v>
      </c>
      <c r="T146" s="334" t="str">
        <f aca="false">IF((E146="b"),G146," ")</f>
        <v> </v>
      </c>
      <c r="U146" s="334" t="str">
        <f aca="false">IF((E146="i"),G146," ")</f>
        <v> </v>
      </c>
      <c r="V146" s="334" t="str">
        <f aca="false">IF((E146="o"),G146," ")</f>
        <v> </v>
      </c>
      <c r="W146" s="334" t="str">
        <f aca="false">IF((E146="f"),G146," ")</f>
        <v> </v>
      </c>
    </row>
    <row r="147" customFormat="false" ht="12.75" hidden="false" customHeight="false" outlineLevel="0" collapsed="false">
      <c r="A147" s="355"/>
      <c r="E147" s="365" t="str">
        <f aca="false">IF((G147&lt;&gt;0),"Enter Letter"," ")</f>
        <v> </v>
      </c>
      <c r="H147" s="338" t="str">
        <f aca="false">IF((G147&lt;&gt;0),IF((D147&gt;0)," ",G147)," ")</f>
        <v> </v>
      </c>
      <c r="I147" s="367" t="str">
        <f aca="false">IF((G147&lt;&gt;0),IF((D147&gt;0)," ",(I$1-A147))," ")</f>
        <v> </v>
      </c>
      <c r="J147" s="334" t="str">
        <f aca="false">IF((E147="s"),G147," ")</f>
        <v> </v>
      </c>
      <c r="K147" s="334" t="str">
        <f aca="false">IF((E147="d"),G147," ")</f>
        <v> </v>
      </c>
      <c r="L147" s="334" t="str">
        <f aca="false">IF((E147="e"),G147," ")</f>
        <v> </v>
      </c>
      <c r="M147" s="334" t="str">
        <f aca="false">IF((E147="p"),G147," ")</f>
        <v> </v>
      </c>
      <c r="N147" s="334" t="str">
        <f aca="false">IF((E147="r"),G147," ")</f>
        <v> </v>
      </c>
      <c r="O147" s="334" t="str">
        <f aca="false">IF((E147="g"),G147," ")</f>
        <v> </v>
      </c>
      <c r="P147" s="334" t="str">
        <f aca="false">IF((E147="m"),G147," ")</f>
        <v> </v>
      </c>
      <c r="Q147" s="334" t="str">
        <f aca="false">IF((E147="t"),G147," ")</f>
        <v> </v>
      </c>
      <c r="R147" s="334" t="str">
        <f aca="false">IF((E147="a"),G147," ")</f>
        <v> </v>
      </c>
      <c r="S147" s="334" t="str">
        <f aca="false">IF((E147="l"),G147," ")</f>
        <v> </v>
      </c>
      <c r="T147" s="334" t="str">
        <f aca="false">IF((E147="b"),G147," ")</f>
        <v> </v>
      </c>
      <c r="U147" s="334" t="str">
        <f aca="false">IF((E147="i"),G147," ")</f>
        <v> </v>
      </c>
      <c r="V147" s="334" t="str">
        <f aca="false">IF((E147="o"),G147," ")</f>
        <v> </v>
      </c>
      <c r="W147" s="334" t="str">
        <f aca="false">IF((E147="f"),G147," ")</f>
        <v> </v>
      </c>
    </row>
    <row r="148" customFormat="false" ht="12.75" hidden="false" customHeight="false" outlineLevel="0" collapsed="false">
      <c r="A148" s="355"/>
      <c r="E148" s="365" t="str">
        <f aca="false">IF((G148&lt;&gt;0),"Enter Letter"," ")</f>
        <v> </v>
      </c>
      <c r="H148" s="338" t="str">
        <f aca="false">IF((G148&lt;&gt;0),IF((D148&gt;0)," ",G148)," ")</f>
        <v> </v>
      </c>
      <c r="I148" s="367" t="str">
        <f aca="false">IF((G148&lt;&gt;0),IF((D148&gt;0)," ",(I$1-A148))," ")</f>
        <v> </v>
      </c>
      <c r="J148" s="334" t="str">
        <f aca="false">IF((E148="s"),G148," ")</f>
        <v> </v>
      </c>
      <c r="K148" s="334" t="str">
        <f aca="false">IF((E148="d"),G148," ")</f>
        <v> </v>
      </c>
      <c r="L148" s="334" t="str">
        <f aca="false">IF((E148="e"),G148," ")</f>
        <v> </v>
      </c>
      <c r="M148" s="334" t="str">
        <f aca="false">IF((E148="p"),G148," ")</f>
        <v> </v>
      </c>
      <c r="N148" s="334" t="str">
        <f aca="false">IF((E148="r"),G148," ")</f>
        <v> </v>
      </c>
      <c r="O148" s="334" t="str">
        <f aca="false">IF((E148="g"),G148," ")</f>
        <v> </v>
      </c>
      <c r="P148" s="334" t="str">
        <f aca="false">IF((E148="m"),G148," ")</f>
        <v> </v>
      </c>
      <c r="Q148" s="334" t="str">
        <f aca="false">IF((E148="t"),G148," ")</f>
        <v> </v>
      </c>
      <c r="R148" s="334" t="str">
        <f aca="false">IF((E148="a"),G148," ")</f>
        <v> </v>
      </c>
      <c r="S148" s="334" t="str">
        <f aca="false">IF((E148="l"),G148," ")</f>
        <v> </v>
      </c>
      <c r="T148" s="334" t="str">
        <f aca="false">IF((E148="b"),G148," ")</f>
        <v> </v>
      </c>
      <c r="U148" s="334" t="str">
        <f aca="false">IF((E148="i"),G148," ")</f>
        <v> </v>
      </c>
      <c r="V148" s="334" t="str">
        <f aca="false">IF((E148="o"),G148," ")</f>
        <v> </v>
      </c>
      <c r="W148" s="334" t="str">
        <f aca="false">IF((E148="f"),G148," ")</f>
        <v> </v>
      </c>
    </row>
    <row r="149" customFormat="false" ht="12.75" hidden="false" customHeight="false" outlineLevel="0" collapsed="false">
      <c r="A149" s="355"/>
      <c r="E149" s="365" t="str">
        <f aca="false">IF((G149&lt;&gt;0),"Enter Letter"," ")</f>
        <v> </v>
      </c>
      <c r="H149" s="338" t="str">
        <f aca="false">IF((G149&lt;&gt;0),IF((D149&gt;0)," ",G149)," ")</f>
        <v> </v>
      </c>
      <c r="I149" s="367" t="str">
        <f aca="false">IF((G149&lt;&gt;0),IF((D149&gt;0)," ",(I$1-A149))," ")</f>
        <v> </v>
      </c>
      <c r="J149" s="334" t="str">
        <f aca="false">IF((E149="s"),G149," ")</f>
        <v> </v>
      </c>
      <c r="K149" s="334" t="str">
        <f aca="false">IF((E149="d"),G149," ")</f>
        <v> </v>
      </c>
      <c r="L149" s="334" t="str">
        <f aca="false">IF((E149="e"),G149," ")</f>
        <v> </v>
      </c>
      <c r="M149" s="334" t="str">
        <f aca="false">IF((E149="p"),G149," ")</f>
        <v> </v>
      </c>
      <c r="N149" s="334" t="str">
        <f aca="false">IF((E149="r"),G149," ")</f>
        <v> </v>
      </c>
      <c r="O149" s="334" t="str">
        <f aca="false">IF((E149="g"),G149," ")</f>
        <v> </v>
      </c>
      <c r="P149" s="334" t="str">
        <f aca="false">IF((E149="m"),G149," ")</f>
        <v> </v>
      </c>
      <c r="Q149" s="334" t="str">
        <f aca="false">IF((E149="t"),G149," ")</f>
        <v> </v>
      </c>
      <c r="R149" s="334" t="str">
        <f aca="false">IF((E149="a"),G149," ")</f>
        <v> </v>
      </c>
      <c r="S149" s="334" t="str">
        <f aca="false">IF((E149="l"),G149," ")</f>
        <v> </v>
      </c>
      <c r="T149" s="334" t="str">
        <f aca="false">IF((E149="b"),G149," ")</f>
        <v> </v>
      </c>
      <c r="U149" s="334" t="str">
        <f aca="false">IF((E149="i"),G149," ")</f>
        <v> </v>
      </c>
      <c r="V149" s="334" t="str">
        <f aca="false">IF((E149="o"),G149," ")</f>
        <v> </v>
      </c>
      <c r="W149" s="334" t="str">
        <f aca="false">IF((E149="f"),G149," ")</f>
        <v> </v>
      </c>
    </row>
    <row r="150" customFormat="false" ht="12.75" hidden="false" customHeight="false" outlineLevel="0" collapsed="false">
      <c r="A150" s="355"/>
      <c r="E150" s="365" t="str">
        <f aca="false">IF((G150&lt;&gt;0),"Enter Letter"," ")</f>
        <v> </v>
      </c>
      <c r="H150" s="338" t="str">
        <f aca="false">IF((G150&lt;&gt;0),IF((D150&gt;0)," ",G150)," ")</f>
        <v> </v>
      </c>
      <c r="I150" s="367" t="str">
        <f aca="false">IF((G150&lt;&gt;0),IF((D150&gt;0)," ",(I$1-A150))," ")</f>
        <v> </v>
      </c>
      <c r="J150" s="334" t="str">
        <f aca="false">IF((E150="s"),G150," ")</f>
        <v> </v>
      </c>
      <c r="K150" s="334" t="str">
        <f aca="false">IF((E150="d"),G150," ")</f>
        <v> </v>
      </c>
      <c r="L150" s="334" t="str">
        <f aca="false">IF((E150="e"),G150," ")</f>
        <v> </v>
      </c>
      <c r="M150" s="334" t="str">
        <f aca="false">IF((E150="p"),G150," ")</f>
        <v> </v>
      </c>
      <c r="N150" s="334" t="str">
        <f aca="false">IF((E150="r"),G150," ")</f>
        <v> </v>
      </c>
      <c r="O150" s="334" t="str">
        <f aca="false">IF((E150="g"),G150," ")</f>
        <v> </v>
      </c>
      <c r="P150" s="334" t="str">
        <f aca="false">IF((E150="m"),G150," ")</f>
        <v> </v>
      </c>
      <c r="Q150" s="334" t="str">
        <f aca="false">IF((E150="t"),G150," ")</f>
        <v> </v>
      </c>
      <c r="R150" s="334" t="str">
        <f aca="false">IF((E150="a"),G150," ")</f>
        <v> </v>
      </c>
      <c r="S150" s="334" t="str">
        <f aca="false">IF((E150="l"),G150," ")</f>
        <v> </v>
      </c>
      <c r="T150" s="334" t="str">
        <f aca="false">IF((E150="b"),G150," ")</f>
        <v> </v>
      </c>
      <c r="U150" s="334" t="str">
        <f aca="false">IF((E150="i"),G150," ")</f>
        <v> </v>
      </c>
      <c r="V150" s="334" t="str">
        <f aca="false">IF((E150="o"),G150," ")</f>
        <v> </v>
      </c>
      <c r="W150" s="334" t="str">
        <f aca="false">IF((E150="f"),G150," ")</f>
        <v> </v>
      </c>
    </row>
    <row r="151" customFormat="false" ht="12.75" hidden="false" customHeight="false" outlineLevel="0" collapsed="false">
      <c r="A151" s="355"/>
      <c r="E151" s="365" t="str">
        <f aca="false">IF((G151&lt;&gt;0),"Enter Letter"," ")</f>
        <v> </v>
      </c>
      <c r="H151" s="338" t="str">
        <f aca="false">IF((G151&lt;&gt;0),IF((D151&gt;0)," ",G151)," ")</f>
        <v> </v>
      </c>
      <c r="I151" s="367" t="str">
        <f aca="false">IF((G151&lt;&gt;0),IF((D151&gt;0)," ",(I$1-A151))," ")</f>
        <v> </v>
      </c>
      <c r="J151" s="334" t="str">
        <f aca="false">IF((E151="s"),G151," ")</f>
        <v> </v>
      </c>
      <c r="K151" s="334" t="str">
        <f aca="false">IF((E151="d"),G151," ")</f>
        <v> </v>
      </c>
      <c r="L151" s="334" t="str">
        <f aca="false">IF((E151="e"),G151," ")</f>
        <v> </v>
      </c>
      <c r="M151" s="334" t="str">
        <f aca="false">IF((E151="p"),G151," ")</f>
        <v> </v>
      </c>
      <c r="N151" s="334" t="str">
        <f aca="false">IF((E151="r"),G151," ")</f>
        <v> </v>
      </c>
      <c r="O151" s="334" t="str">
        <f aca="false">IF((E151="g"),G151," ")</f>
        <v> </v>
      </c>
      <c r="P151" s="334" t="str">
        <f aca="false">IF((E151="m"),G151," ")</f>
        <v> </v>
      </c>
      <c r="Q151" s="334" t="str">
        <f aca="false">IF((E151="t"),G151," ")</f>
        <v> </v>
      </c>
      <c r="R151" s="334" t="str">
        <f aca="false">IF((E151="a"),G151," ")</f>
        <v> </v>
      </c>
      <c r="S151" s="334" t="str">
        <f aca="false">IF((E151="l"),G151," ")</f>
        <v> </v>
      </c>
      <c r="T151" s="334" t="str">
        <f aca="false">IF((E151="b"),G151," ")</f>
        <v> </v>
      </c>
      <c r="U151" s="334" t="str">
        <f aca="false">IF((E151="i"),G151," ")</f>
        <v> </v>
      </c>
      <c r="V151" s="334" t="str">
        <f aca="false">IF((E151="o"),G151," ")</f>
        <v> </v>
      </c>
      <c r="W151" s="334" t="str">
        <f aca="false">IF((E151="f"),G151," ")</f>
        <v> </v>
      </c>
    </row>
    <row r="152" customFormat="false" ht="12.75" hidden="false" customHeight="false" outlineLevel="0" collapsed="false">
      <c r="A152" s="355"/>
      <c r="E152" s="365" t="str">
        <f aca="false">IF((G152&lt;&gt;0),"Enter Letter"," ")</f>
        <v> </v>
      </c>
      <c r="H152" s="338" t="str">
        <f aca="false">IF((G152&lt;&gt;0),IF((D152&gt;0)," ",G152)," ")</f>
        <v> </v>
      </c>
      <c r="I152" s="367" t="str">
        <f aca="false">IF((G152&lt;&gt;0),IF((D152&gt;0)," ",(I$1-A152))," ")</f>
        <v> </v>
      </c>
      <c r="J152" s="334" t="str">
        <f aca="false">IF((E152="s"),G152," ")</f>
        <v> </v>
      </c>
      <c r="K152" s="334" t="str">
        <f aca="false">IF((E152="d"),G152," ")</f>
        <v> </v>
      </c>
      <c r="L152" s="334" t="str">
        <f aca="false">IF((E152="e"),G152," ")</f>
        <v> </v>
      </c>
      <c r="M152" s="334" t="str">
        <f aca="false">IF((E152="p"),G152," ")</f>
        <v> </v>
      </c>
      <c r="N152" s="334" t="str">
        <f aca="false">IF((E152="r"),G152," ")</f>
        <v> </v>
      </c>
      <c r="O152" s="334" t="str">
        <f aca="false">IF((E152="g"),G152," ")</f>
        <v> </v>
      </c>
      <c r="P152" s="334" t="str">
        <f aca="false">IF((E152="m"),G152," ")</f>
        <v> </v>
      </c>
      <c r="Q152" s="334" t="str">
        <f aca="false">IF((E152="t"),G152," ")</f>
        <v> </v>
      </c>
      <c r="R152" s="334" t="str">
        <f aca="false">IF((E152="a"),G152," ")</f>
        <v> </v>
      </c>
      <c r="S152" s="334" t="str">
        <f aca="false">IF((E152="l"),G152," ")</f>
        <v> </v>
      </c>
      <c r="T152" s="334" t="str">
        <f aca="false">IF((E152="b"),G152," ")</f>
        <v> </v>
      </c>
      <c r="U152" s="334" t="str">
        <f aca="false">IF((E152="i"),G152," ")</f>
        <v> </v>
      </c>
      <c r="V152" s="334" t="str">
        <f aca="false">IF((E152="o"),G152," ")</f>
        <v> </v>
      </c>
      <c r="W152" s="334" t="str">
        <f aca="false">IF((E152="f"),G152," ")</f>
        <v> </v>
      </c>
    </row>
    <row r="153" customFormat="false" ht="12.75" hidden="false" customHeight="false" outlineLevel="0" collapsed="false">
      <c r="A153" s="355"/>
      <c r="E153" s="365" t="str">
        <f aca="false">IF((G153&lt;&gt;0),"Enter Letter"," ")</f>
        <v> </v>
      </c>
      <c r="H153" s="338" t="str">
        <f aca="false">IF((G153&lt;&gt;0),IF((D153&gt;0)," ",G153)," ")</f>
        <v> </v>
      </c>
      <c r="I153" s="367" t="str">
        <f aca="false">IF((G153&lt;&gt;0),IF((D153&gt;0)," ",(I$1-A153))," ")</f>
        <v> </v>
      </c>
      <c r="J153" s="334" t="str">
        <f aca="false">IF((E153="s"),G153," ")</f>
        <v> </v>
      </c>
      <c r="K153" s="334" t="str">
        <f aca="false">IF((E153="d"),G153," ")</f>
        <v> </v>
      </c>
      <c r="L153" s="334" t="str">
        <f aca="false">IF((E153="e"),G153," ")</f>
        <v> </v>
      </c>
      <c r="M153" s="334" t="str">
        <f aca="false">IF((E153="p"),G153," ")</f>
        <v> </v>
      </c>
      <c r="N153" s="334" t="str">
        <f aca="false">IF((E153="r"),G153," ")</f>
        <v> </v>
      </c>
      <c r="O153" s="334" t="str">
        <f aca="false">IF((E153="g"),G153," ")</f>
        <v> </v>
      </c>
      <c r="P153" s="334" t="str">
        <f aca="false">IF((E153="m"),G153," ")</f>
        <v> </v>
      </c>
      <c r="Q153" s="334" t="str">
        <f aca="false">IF((E153="t"),G153," ")</f>
        <v> </v>
      </c>
      <c r="R153" s="334" t="str">
        <f aca="false">IF((E153="a"),G153," ")</f>
        <v> </v>
      </c>
      <c r="S153" s="334" t="str">
        <f aca="false">IF((E153="l"),G153," ")</f>
        <v> </v>
      </c>
      <c r="T153" s="334" t="str">
        <f aca="false">IF((E153="b"),G153," ")</f>
        <v> </v>
      </c>
      <c r="U153" s="334" t="str">
        <f aca="false">IF((E153="i"),G153," ")</f>
        <v> </v>
      </c>
      <c r="V153" s="334" t="str">
        <f aca="false">IF((E153="o"),G153," ")</f>
        <v> </v>
      </c>
      <c r="W153" s="334" t="str">
        <f aca="false">IF((E153="f"),G153," ")</f>
        <v> </v>
      </c>
    </row>
    <row r="154" customFormat="false" ht="12.75" hidden="false" customHeight="false" outlineLevel="0" collapsed="false">
      <c r="A154" s="355"/>
      <c r="E154" s="365" t="str">
        <f aca="false">IF((G154&lt;&gt;0),"Enter Letter"," ")</f>
        <v> </v>
      </c>
      <c r="H154" s="338" t="str">
        <f aca="false">IF((G154&lt;&gt;0),IF((D154&gt;0)," ",G154)," ")</f>
        <v> </v>
      </c>
      <c r="I154" s="367" t="str">
        <f aca="false">IF((G154&lt;&gt;0),IF((D154&gt;0)," ",(I$1-A154))," ")</f>
        <v> </v>
      </c>
      <c r="J154" s="334" t="str">
        <f aca="false">IF((E154="s"),G154," ")</f>
        <v> </v>
      </c>
      <c r="K154" s="334" t="str">
        <f aca="false">IF((E154="d"),G154," ")</f>
        <v> </v>
      </c>
      <c r="L154" s="334" t="str">
        <f aca="false">IF((E154="e"),G154," ")</f>
        <v> </v>
      </c>
      <c r="M154" s="334" t="str">
        <f aca="false">IF((E154="p"),G154," ")</f>
        <v> </v>
      </c>
      <c r="N154" s="334" t="str">
        <f aca="false">IF((E154="r"),G154," ")</f>
        <v> </v>
      </c>
      <c r="O154" s="334" t="str">
        <f aca="false">IF((E154="g"),G154," ")</f>
        <v> </v>
      </c>
      <c r="P154" s="334" t="str">
        <f aca="false">IF((E154="m"),G154," ")</f>
        <v> </v>
      </c>
      <c r="Q154" s="334" t="str">
        <f aca="false">IF((E154="t"),G154," ")</f>
        <v> </v>
      </c>
      <c r="R154" s="334" t="str">
        <f aca="false">IF((E154="a"),G154," ")</f>
        <v> </v>
      </c>
      <c r="S154" s="334" t="str">
        <f aca="false">IF((E154="l"),G154," ")</f>
        <v> </v>
      </c>
      <c r="T154" s="334" t="str">
        <f aca="false">IF((E154="b"),G154," ")</f>
        <v> </v>
      </c>
      <c r="U154" s="334" t="str">
        <f aca="false">IF((E154="i"),G154," ")</f>
        <v> </v>
      </c>
      <c r="V154" s="334" t="str">
        <f aca="false">IF((E154="o"),G154," ")</f>
        <v> </v>
      </c>
      <c r="W154" s="334" t="str">
        <f aca="false">IF((E154="f"),G154," ")</f>
        <v> </v>
      </c>
    </row>
    <row r="155" customFormat="false" ht="12.75" hidden="false" customHeight="false" outlineLevel="0" collapsed="false">
      <c r="A155" s="355"/>
      <c r="E155" s="365" t="str">
        <f aca="false">IF((G155&lt;&gt;0),"Enter Letter"," ")</f>
        <v> </v>
      </c>
      <c r="H155" s="338" t="str">
        <f aca="false">IF((G155&lt;&gt;0),IF((D155&gt;0)," ",G155)," ")</f>
        <v> </v>
      </c>
      <c r="I155" s="367" t="str">
        <f aca="false">IF((G155&lt;&gt;0),IF((D155&gt;0)," ",(I$1-A155))," ")</f>
        <v> </v>
      </c>
      <c r="J155" s="334" t="str">
        <f aca="false">IF((E155="s"),G155," ")</f>
        <v> </v>
      </c>
      <c r="K155" s="334" t="str">
        <f aca="false">IF((E155="d"),G155," ")</f>
        <v> </v>
      </c>
      <c r="L155" s="334" t="str">
        <f aca="false">IF((E155="e"),G155," ")</f>
        <v> </v>
      </c>
      <c r="M155" s="334" t="str">
        <f aca="false">IF((E155="p"),G155," ")</f>
        <v> </v>
      </c>
      <c r="N155" s="334" t="str">
        <f aca="false">IF((E155="r"),G155," ")</f>
        <v> </v>
      </c>
      <c r="O155" s="334" t="str">
        <f aca="false">IF((E155="g"),G155," ")</f>
        <v> </v>
      </c>
      <c r="P155" s="334" t="str">
        <f aca="false">IF((E155="m"),G155," ")</f>
        <v> </v>
      </c>
      <c r="Q155" s="334" t="str">
        <f aca="false">IF((E155="t"),G155," ")</f>
        <v> </v>
      </c>
      <c r="R155" s="334" t="str">
        <f aca="false">IF((E155="a"),G155," ")</f>
        <v> </v>
      </c>
      <c r="S155" s="334" t="str">
        <f aca="false">IF((E155="l"),G155," ")</f>
        <v> </v>
      </c>
      <c r="T155" s="334" t="str">
        <f aca="false">IF((E155="b"),G155," ")</f>
        <v> </v>
      </c>
      <c r="U155" s="334" t="str">
        <f aca="false">IF((E155="i"),G155," ")</f>
        <v> </v>
      </c>
      <c r="V155" s="334" t="str">
        <f aca="false">IF((E155="o"),G155," ")</f>
        <v> </v>
      </c>
      <c r="W155" s="334" t="str">
        <f aca="false">IF((E155="f"),G155," ")</f>
        <v> </v>
      </c>
    </row>
    <row r="156" customFormat="false" ht="12.75" hidden="false" customHeight="false" outlineLevel="0" collapsed="false">
      <c r="A156" s="355"/>
      <c r="E156" s="365" t="str">
        <f aca="false">IF((G156&lt;&gt;0),"Enter Letter"," ")</f>
        <v> </v>
      </c>
      <c r="H156" s="338" t="str">
        <f aca="false">IF((G156&lt;&gt;0),IF((D156&gt;0)," ",G156)," ")</f>
        <v> </v>
      </c>
      <c r="I156" s="367" t="str">
        <f aca="false">IF((G156&lt;&gt;0),IF((D156&gt;0)," ",(I$1-A156))," ")</f>
        <v> </v>
      </c>
      <c r="J156" s="334" t="str">
        <f aca="false">IF((E156="s"),G156," ")</f>
        <v> </v>
      </c>
      <c r="K156" s="334" t="str">
        <f aca="false">IF((E156="d"),G156," ")</f>
        <v> </v>
      </c>
      <c r="L156" s="334" t="str">
        <f aca="false">IF((E156="e"),G156," ")</f>
        <v> </v>
      </c>
      <c r="M156" s="334" t="str">
        <f aca="false">IF((E156="p"),G156," ")</f>
        <v> </v>
      </c>
      <c r="N156" s="334" t="str">
        <f aca="false">IF((E156="r"),G156," ")</f>
        <v> </v>
      </c>
      <c r="O156" s="334" t="str">
        <f aca="false">IF((E156="g"),G156," ")</f>
        <v> </v>
      </c>
      <c r="P156" s="334" t="str">
        <f aca="false">IF((E156="m"),G156," ")</f>
        <v> </v>
      </c>
      <c r="Q156" s="334" t="str">
        <f aca="false">IF((E156="t"),G156," ")</f>
        <v> </v>
      </c>
      <c r="R156" s="334" t="str">
        <f aca="false">IF((E156="a"),G156," ")</f>
        <v> </v>
      </c>
      <c r="S156" s="334" t="str">
        <f aca="false">IF((E156="l"),G156," ")</f>
        <v> </v>
      </c>
      <c r="T156" s="334" t="str">
        <f aca="false">IF((E156="b"),G156," ")</f>
        <v> </v>
      </c>
      <c r="U156" s="334" t="str">
        <f aca="false">IF((E156="i"),G156," ")</f>
        <v> </v>
      </c>
      <c r="V156" s="334" t="str">
        <f aca="false">IF((E156="o"),G156," ")</f>
        <v> </v>
      </c>
      <c r="W156" s="334" t="str">
        <f aca="false">IF((E156="f"),G156," ")</f>
        <v> </v>
      </c>
    </row>
    <row r="157" customFormat="false" ht="12.75" hidden="false" customHeight="false" outlineLevel="0" collapsed="false">
      <c r="A157" s="355"/>
      <c r="E157" s="365" t="str">
        <f aca="false">IF((G157&lt;&gt;0),"Enter Letter"," ")</f>
        <v> </v>
      </c>
      <c r="H157" s="338" t="str">
        <f aca="false">IF((G157&lt;&gt;0),IF((D157&gt;0)," ",G157)," ")</f>
        <v> </v>
      </c>
      <c r="I157" s="367" t="str">
        <f aca="false">IF((G157&lt;&gt;0),IF((D157&gt;0)," ",(I$1-A157))," ")</f>
        <v> </v>
      </c>
      <c r="J157" s="334" t="str">
        <f aca="false">IF((E157="s"),G157," ")</f>
        <v> </v>
      </c>
      <c r="K157" s="334" t="str">
        <f aca="false">IF((E157="d"),G157," ")</f>
        <v> </v>
      </c>
      <c r="L157" s="334" t="str">
        <f aca="false">IF((E157="e"),G157," ")</f>
        <v> </v>
      </c>
      <c r="M157" s="334" t="str">
        <f aca="false">IF((E157="p"),G157," ")</f>
        <v> </v>
      </c>
      <c r="N157" s="334" t="str">
        <f aca="false">IF((E157="r"),G157," ")</f>
        <v> </v>
      </c>
      <c r="O157" s="334" t="str">
        <f aca="false">IF((E157="g"),G157," ")</f>
        <v> </v>
      </c>
      <c r="P157" s="334" t="str">
        <f aca="false">IF((E157="m"),G157," ")</f>
        <v> </v>
      </c>
      <c r="Q157" s="334" t="str">
        <f aca="false">IF((E157="t"),G157," ")</f>
        <v> </v>
      </c>
      <c r="R157" s="334" t="str">
        <f aca="false">IF((E157="a"),G157," ")</f>
        <v> </v>
      </c>
      <c r="S157" s="334" t="str">
        <f aca="false">IF((E157="l"),G157," ")</f>
        <v> </v>
      </c>
      <c r="T157" s="334" t="str">
        <f aca="false">IF((E157="b"),G157," ")</f>
        <v> </v>
      </c>
      <c r="U157" s="334" t="str">
        <f aca="false">IF((E157="i"),G157," ")</f>
        <v> </v>
      </c>
      <c r="V157" s="334" t="str">
        <f aca="false">IF((E157="o"),G157," ")</f>
        <v> </v>
      </c>
      <c r="W157" s="334" t="str">
        <f aca="false">IF((E157="f"),G157," ")</f>
        <v> </v>
      </c>
    </row>
    <row r="158" customFormat="false" ht="12.75" hidden="false" customHeight="false" outlineLevel="0" collapsed="false">
      <c r="A158" s="355"/>
      <c r="E158" s="365" t="str">
        <f aca="false">IF((G158&lt;&gt;0),"Enter Letter"," ")</f>
        <v> </v>
      </c>
      <c r="H158" s="338" t="str">
        <f aca="false">IF((G158&lt;&gt;0),IF((D158&gt;0)," ",G158)," ")</f>
        <v> </v>
      </c>
      <c r="I158" s="367" t="str">
        <f aca="false">IF((G158&lt;&gt;0),IF((D158&gt;0)," ",(I$1-A158))," ")</f>
        <v> </v>
      </c>
      <c r="J158" s="334" t="str">
        <f aca="false">IF((E158="s"),G158," ")</f>
        <v> </v>
      </c>
      <c r="K158" s="334" t="str">
        <f aca="false">IF((E158="d"),G158," ")</f>
        <v> </v>
      </c>
      <c r="L158" s="334" t="str">
        <f aca="false">IF((E158="e"),G158," ")</f>
        <v> </v>
      </c>
      <c r="M158" s="334" t="str">
        <f aca="false">IF((E158="p"),G158," ")</f>
        <v> </v>
      </c>
      <c r="N158" s="334" t="str">
        <f aca="false">IF((E158="r"),G158," ")</f>
        <v> </v>
      </c>
      <c r="O158" s="334" t="str">
        <f aca="false">IF((E158="g"),G158," ")</f>
        <v> </v>
      </c>
      <c r="P158" s="334" t="str">
        <f aca="false">IF((E158="m"),G158," ")</f>
        <v> </v>
      </c>
      <c r="Q158" s="334" t="str">
        <f aca="false">IF((E158="t"),G158," ")</f>
        <v> </v>
      </c>
      <c r="R158" s="334" t="str">
        <f aca="false">IF((E158="a"),G158," ")</f>
        <v> </v>
      </c>
      <c r="S158" s="334" t="str">
        <f aca="false">IF((E158="l"),G158," ")</f>
        <v> </v>
      </c>
      <c r="T158" s="334" t="str">
        <f aca="false">IF((E158="b"),G158," ")</f>
        <v> </v>
      </c>
      <c r="U158" s="334" t="str">
        <f aca="false">IF((E158="i"),G158," ")</f>
        <v> </v>
      </c>
      <c r="V158" s="334" t="str">
        <f aca="false">IF((E158="o"),G158," ")</f>
        <v> </v>
      </c>
      <c r="W158" s="334" t="str">
        <f aca="false">IF((E158="f"),G158," ")</f>
        <v> </v>
      </c>
    </row>
    <row r="159" customFormat="false" ht="12.75" hidden="false" customHeight="false" outlineLevel="0" collapsed="false">
      <c r="A159" s="355"/>
      <c r="E159" s="365" t="str">
        <f aca="false">IF((G159&lt;&gt;0),"Enter Letter"," ")</f>
        <v> </v>
      </c>
      <c r="H159" s="338" t="str">
        <f aca="false">IF((G159&lt;&gt;0),IF((D159&gt;0)," ",G159)," ")</f>
        <v> </v>
      </c>
      <c r="I159" s="367" t="str">
        <f aca="false">IF((G159&lt;&gt;0),IF((D159&gt;0)," ",(I$1-A159))," ")</f>
        <v> </v>
      </c>
      <c r="J159" s="334" t="str">
        <f aca="false">IF((E159="s"),G159," ")</f>
        <v> </v>
      </c>
      <c r="K159" s="334" t="str">
        <f aca="false">IF((E159="d"),G159," ")</f>
        <v> </v>
      </c>
      <c r="L159" s="334" t="str">
        <f aca="false">IF((E159="e"),G159," ")</f>
        <v> </v>
      </c>
      <c r="M159" s="334" t="str">
        <f aca="false">IF((E159="p"),G159," ")</f>
        <v> </v>
      </c>
      <c r="N159" s="334" t="str">
        <f aca="false">IF((E159="r"),G159," ")</f>
        <v> </v>
      </c>
      <c r="O159" s="334" t="str">
        <f aca="false">IF((E159="g"),G159," ")</f>
        <v> </v>
      </c>
      <c r="P159" s="334" t="str">
        <f aca="false">IF((E159="m"),G159," ")</f>
        <v> </v>
      </c>
      <c r="Q159" s="334" t="str">
        <f aca="false">IF((E159="t"),G159," ")</f>
        <v> </v>
      </c>
      <c r="R159" s="334" t="str">
        <f aca="false">IF((E159="a"),G159," ")</f>
        <v> </v>
      </c>
      <c r="S159" s="334" t="str">
        <f aca="false">IF((E159="l"),G159," ")</f>
        <v> </v>
      </c>
      <c r="T159" s="334" t="str">
        <f aca="false">IF((E159="b"),G159," ")</f>
        <v> </v>
      </c>
      <c r="U159" s="334" t="str">
        <f aca="false">IF((E159="i"),G159," ")</f>
        <v> </v>
      </c>
      <c r="V159" s="334" t="str">
        <f aca="false">IF((E159="o"),G159," ")</f>
        <v> </v>
      </c>
      <c r="W159" s="334" t="str">
        <f aca="false">IF((E159="f"),G159," ")</f>
        <v> </v>
      </c>
    </row>
    <row r="160" customFormat="false" ht="12.75" hidden="false" customHeight="false" outlineLevel="0" collapsed="false">
      <c r="A160" s="355"/>
      <c r="E160" s="365" t="str">
        <f aca="false">IF((G160&lt;&gt;0),"Enter Letter"," ")</f>
        <v> </v>
      </c>
      <c r="H160" s="338" t="str">
        <f aca="false">IF((G160&lt;&gt;0),IF((D160&gt;0)," ",G160)," ")</f>
        <v> </v>
      </c>
      <c r="I160" s="367" t="str">
        <f aca="false">IF((G160&lt;&gt;0),IF((D160&gt;0)," ",(I$1-A160))," ")</f>
        <v> </v>
      </c>
      <c r="J160" s="334" t="str">
        <f aca="false">IF((E160="s"),G160," ")</f>
        <v> </v>
      </c>
      <c r="K160" s="334" t="str">
        <f aca="false">IF((E160="d"),G160," ")</f>
        <v> </v>
      </c>
      <c r="L160" s="334" t="str">
        <f aca="false">IF((E160="e"),G160," ")</f>
        <v> </v>
      </c>
      <c r="M160" s="334" t="str">
        <f aca="false">IF((E160="p"),G160," ")</f>
        <v> </v>
      </c>
      <c r="N160" s="334" t="str">
        <f aca="false">IF((E160="r"),G160," ")</f>
        <v> </v>
      </c>
      <c r="O160" s="334" t="str">
        <f aca="false">IF((E160="g"),G160," ")</f>
        <v> </v>
      </c>
      <c r="P160" s="334" t="str">
        <f aca="false">IF((E160="m"),G160," ")</f>
        <v> </v>
      </c>
      <c r="Q160" s="334" t="str">
        <f aca="false">IF((E160="t"),G160," ")</f>
        <v> </v>
      </c>
      <c r="R160" s="334" t="str">
        <f aca="false">IF((E160="a"),G160," ")</f>
        <v> </v>
      </c>
      <c r="S160" s="334" t="str">
        <f aca="false">IF((E160="l"),G160," ")</f>
        <v> </v>
      </c>
      <c r="T160" s="334" t="str">
        <f aca="false">IF((E160="b"),G160," ")</f>
        <v> </v>
      </c>
      <c r="U160" s="334" t="str">
        <f aca="false">IF((E160="i"),G160," ")</f>
        <v> </v>
      </c>
      <c r="V160" s="334" t="str">
        <f aca="false">IF((E160="o"),G160," ")</f>
        <v> </v>
      </c>
      <c r="W160" s="334" t="str">
        <f aca="false">IF((E160="f"),G160," ")</f>
        <v> </v>
      </c>
    </row>
    <row r="161" customFormat="false" ht="12.75" hidden="false" customHeight="false" outlineLevel="0" collapsed="false">
      <c r="A161" s="355"/>
      <c r="E161" s="365" t="str">
        <f aca="false">IF((G161&lt;&gt;0),"Enter Letter"," ")</f>
        <v> </v>
      </c>
      <c r="H161" s="338" t="str">
        <f aca="false">IF((G161&lt;&gt;0),IF((D161&gt;0)," ",G161)," ")</f>
        <v> </v>
      </c>
      <c r="I161" s="367" t="str">
        <f aca="false">IF((G161&lt;&gt;0),IF((D161&gt;0)," ",(I$1-A161))," ")</f>
        <v> </v>
      </c>
      <c r="J161" s="334" t="str">
        <f aca="false">IF((E161="s"),G161," ")</f>
        <v> </v>
      </c>
      <c r="K161" s="334" t="str">
        <f aca="false">IF((E161="d"),G161," ")</f>
        <v> </v>
      </c>
      <c r="L161" s="334" t="str">
        <f aca="false">IF((E161="e"),G161," ")</f>
        <v> </v>
      </c>
      <c r="M161" s="334" t="str">
        <f aca="false">IF((E161="p"),G161," ")</f>
        <v> </v>
      </c>
      <c r="N161" s="334" t="str">
        <f aca="false">IF((E161="r"),G161," ")</f>
        <v> </v>
      </c>
      <c r="O161" s="334" t="str">
        <f aca="false">IF((E161="g"),G161," ")</f>
        <v> </v>
      </c>
      <c r="P161" s="334" t="str">
        <f aca="false">IF((E161="m"),G161," ")</f>
        <v> </v>
      </c>
      <c r="Q161" s="334" t="str">
        <f aca="false">IF((E161="t"),G161," ")</f>
        <v> </v>
      </c>
      <c r="R161" s="334" t="str">
        <f aca="false">IF((E161="a"),G161," ")</f>
        <v> </v>
      </c>
      <c r="S161" s="334" t="str">
        <f aca="false">IF((E161="l"),G161," ")</f>
        <v> </v>
      </c>
      <c r="T161" s="334" t="str">
        <f aca="false">IF((E161="b"),G161," ")</f>
        <v> </v>
      </c>
      <c r="U161" s="334" t="str">
        <f aca="false">IF((E161="i"),G161," ")</f>
        <v> </v>
      </c>
      <c r="V161" s="334" t="str">
        <f aca="false">IF((E161="o"),G161," ")</f>
        <v> </v>
      </c>
      <c r="W161" s="334" t="str">
        <f aca="false">IF((E161="f"),G161," ")</f>
        <v> </v>
      </c>
    </row>
    <row r="162" customFormat="false" ht="12.75" hidden="false" customHeight="false" outlineLevel="0" collapsed="false">
      <c r="A162" s="355"/>
      <c r="E162" s="365" t="str">
        <f aca="false">IF((G162&lt;&gt;0),"Enter Letter"," ")</f>
        <v> </v>
      </c>
      <c r="H162" s="338" t="str">
        <f aca="false">IF((G162&lt;&gt;0),IF((D162&gt;0)," ",G162)," ")</f>
        <v> </v>
      </c>
      <c r="I162" s="367" t="str">
        <f aca="false">IF((G162&lt;&gt;0),IF((D162&gt;0)," ",(I$1-A162))," ")</f>
        <v> </v>
      </c>
      <c r="J162" s="334" t="str">
        <f aca="false">IF((E162="s"),G162," ")</f>
        <v> </v>
      </c>
      <c r="K162" s="334" t="str">
        <f aca="false">IF((E162="d"),G162," ")</f>
        <v> </v>
      </c>
      <c r="L162" s="334" t="str">
        <f aca="false">IF((E162="e"),G162," ")</f>
        <v> </v>
      </c>
      <c r="M162" s="334" t="str">
        <f aca="false">IF((E162="p"),G162," ")</f>
        <v> </v>
      </c>
      <c r="N162" s="334" t="str">
        <f aca="false">IF((E162="r"),G162," ")</f>
        <v> </v>
      </c>
      <c r="O162" s="334" t="str">
        <f aca="false">IF((E162="g"),G162," ")</f>
        <v> </v>
      </c>
      <c r="P162" s="334" t="str">
        <f aca="false">IF((E162="m"),G162," ")</f>
        <v> </v>
      </c>
      <c r="Q162" s="334" t="str">
        <f aca="false">IF((E162="t"),G162," ")</f>
        <v> </v>
      </c>
      <c r="R162" s="334" t="str">
        <f aca="false">IF((E162="a"),G162," ")</f>
        <v> </v>
      </c>
      <c r="S162" s="334" t="str">
        <f aca="false">IF((E162="l"),G162," ")</f>
        <v> </v>
      </c>
      <c r="T162" s="334" t="str">
        <f aca="false">IF((E162="b"),G162," ")</f>
        <v> </v>
      </c>
      <c r="U162" s="334" t="str">
        <f aca="false">IF((E162="i"),G162," ")</f>
        <v> </v>
      </c>
      <c r="V162" s="334" t="str">
        <f aca="false">IF((E162="o"),G162," ")</f>
        <v> </v>
      </c>
      <c r="W162" s="334" t="str">
        <f aca="false">IF((E162="f"),G162," ")</f>
        <v> </v>
      </c>
    </row>
    <row r="163" customFormat="false" ht="12.75" hidden="false" customHeight="false" outlineLevel="0" collapsed="false">
      <c r="A163" s="355"/>
      <c r="E163" s="365" t="str">
        <f aca="false">IF((G163&lt;&gt;0),"Enter Letter"," ")</f>
        <v> </v>
      </c>
      <c r="H163" s="338" t="str">
        <f aca="false">IF((G163&lt;&gt;0),IF((D163&gt;0)," ",G163)," ")</f>
        <v> </v>
      </c>
      <c r="I163" s="367" t="str">
        <f aca="false">IF((G163&lt;&gt;0),IF((D163&gt;0)," ",(I$1-A163))," ")</f>
        <v> </v>
      </c>
      <c r="J163" s="334" t="str">
        <f aca="false">IF((E163="s"),G163," ")</f>
        <v> </v>
      </c>
      <c r="K163" s="334" t="str">
        <f aca="false">IF((E163="d"),G163," ")</f>
        <v> </v>
      </c>
      <c r="L163" s="334" t="str">
        <f aca="false">IF((E163="e"),G163," ")</f>
        <v> </v>
      </c>
      <c r="M163" s="334" t="str">
        <f aca="false">IF((E163="p"),G163," ")</f>
        <v> </v>
      </c>
      <c r="N163" s="334" t="str">
        <f aca="false">IF((E163="r"),G163," ")</f>
        <v> </v>
      </c>
      <c r="O163" s="334" t="str">
        <f aca="false">IF((E163="g"),G163," ")</f>
        <v> </v>
      </c>
      <c r="P163" s="334" t="str">
        <f aca="false">IF((E163="m"),G163," ")</f>
        <v> </v>
      </c>
      <c r="Q163" s="334" t="str">
        <f aca="false">IF((E163="t"),G163," ")</f>
        <v> </v>
      </c>
      <c r="R163" s="334" t="str">
        <f aca="false">IF((E163="a"),G163," ")</f>
        <v> </v>
      </c>
      <c r="S163" s="334" t="str">
        <f aca="false">IF((E163="l"),G163," ")</f>
        <v> </v>
      </c>
      <c r="T163" s="334" t="str">
        <f aca="false">IF((E163="b"),G163," ")</f>
        <v> </v>
      </c>
      <c r="U163" s="334" t="str">
        <f aca="false">IF((E163="i"),G163," ")</f>
        <v> </v>
      </c>
      <c r="V163" s="334" t="str">
        <f aca="false">IF((E163="o"),G163," ")</f>
        <v> </v>
      </c>
      <c r="W163" s="334" t="str">
        <f aca="false">IF((E163="f"),G163," ")</f>
        <v> </v>
      </c>
    </row>
    <row r="164" customFormat="false" ht="12.75" hidden="false" customHeight="false" outlineLevel="0" collapsed="false">
      <c r="A164" s="355"/>
      <c r="E164" s="365" t="str">
        <f aca="false">IF((G164&lt;&gt;0),"Enter Letter"," ")</f>
        <v> </v>
      </c>
      <c r="H164" s="338" t="str">
        <f aca="false">IF((G164&lt;&gt;0),IF((D164&gt;0)," ",G164)," ")</f>
        <v> </v>
      </c>
      <c r="I164" s="367" t="str">
        <f aca="false">IF((G164&lt;&gt;0),IF((D164&gt;0)," ",(I$1-A164))," ")</f>
        <v> </v>
      </c>
      <c r="J164" s="334" t="str">
        <f aca="false">IF((E164="s"),G164," ")</f>
        <v> </v>
      </c>
      <c r="K164" s="334" t="str">
        <f aca="false">IF((E164="d"),G164," ")</f>
        <v> </v>
      </c>
      <c r="L164" s="334" t="str">
        <f aca="false">IF((E164="e"),G164," ")</f>
        <v> </v>
      </c>
      <c r="M164" s="334" t="str">
        <f aca="false">IF((E164="p"),G164," ")</f>
        <v> </v>
      </c>
      <c r="N164" s="334" t="str">
        <f aca="false">IF((E164="r"),G164," ")</f>
        <v> </v>
      </c>
      <c r="O164" s="334" t="str">
        <f aca="false">IF((E164="g"),G164," ")</f>
        <v> </v>
      </c>
      <c r="P164" s="334" t="str">
        <f aca="false">IF((E164="m"),G164," ")</f>
        <v> </v>
      </c>
      <c r="Q164" s="334" t="str">
        <f aca="false">IF((E164="t"),G164," ")</f>
        <v> </v>
      </c>
      <c r="R164" s="334" t="str">
        <f aca="false">IF((E164="a"),G164," ")</f>
        <v> </v>
      </c>
      <c r="S164" s="334" t="str">
        <f aca="false">IF((E164="l"),G164," ")</f>
        <v> </v>
      </c>
      <c r="T164" s="334" t="str">
        <f aca="false">IF((E164="b"),G164," ")</f>
        <v> </v>
      </c>
      <c r="U164" s="334" t="str">
        <f aca="false">IF((E164="i"),G164," ")</f>
        <v> </v>
      </c>
      <c r="V164" s="334" t="str">
        <f aca="false">IF((E164="o"),G164," ")</f>
        <v> </v>
      </c>
      <c r="W164" s="334" t="str">
        <f aca="false">IF((E164="f"),G164," ")</f>
        <v> </v>
      </c>
    </row>
    <row r="165" customFormat="false" ht="12.75" hidden="false" customHeight="false" outlineLevel="0" collapsed="false">
      <c r="A165" s="355"/>
      <c r="E165" s="365" t="str">
        <f aca="false">IF((G165&lt;&gt;0),"Enter Letter"," ")</f>
        <v> </v>
      </c>
      <c r="H165" s="338" t="str">
        <f aca="false">IF((G165&lt;&gt;0),IF((D165&gt;0)," ",G165)," ")</f>
        <v> </v>
      </c>
      <c r="I165" s="367" t="str">
        <f aca="false">IF((G165&lt;&gt;0),IF((D165&gt;0)," ",(I$1-A165))," ")</f>
        <v> </v>
      </c>
      <c r="J165" s="334" t="str">
        <f aca="false">IF((E165="s"),G165," ")</f>
        <v> </v>
      </c>
      <c r="K165" s="334" t="str">
        <f aca="false">IF((E165="d"),G165," ")</f>
        <v> </v>
      </c>
      <c r="L165" s="334" t="str">
        <f aca="false">IF((E165="e"),G165," ")</f>
        <v> </v>
      </c>
      <c r="M165" s="334" t="str">
        <f aca="false">IF((E165="p"),G165," ")</f>
        <v> </v>
      </c>
      <c r="N165" s="334" t="str">
        <f aca="false">IF((E165="r"),G165," ")</f>
        <v> </v>
      </c>
      <c r="O165" s="334" t="str">
        <f aca="false">IF((E165="g"),G165," ")</f>
        <v> </v>
      </c>
      <c r="P165" s="334" t="str">
        <f aca="false">IF((E165="m"),G165," ")</f>
        <v> </v>
      </c>
      <c r="Q165" s="334" t="str">
        <f aca="false">IF((E165="t"),G165," ")</f>
        <v> </v>
      </c>
      <c r="R165" s="334" t="str">
        <f aca="false">IF((E165="a"),G165," ")</f>
        <v> </v>
      </c>
      <c r="S165" s="334" t="str">
        <f aca="false">IF((E165="l"),G165," ")</f>
        <v> </v>
      </c>
      <c r="T165" s="334" t="str">
        <f aca="false">IF((E165="b"),G165," ")</f>
        <v> </v>
      </c>
      <c r="U165" s="334" t="str">
        <f aca="false">IF((E165="i"),G165," ")</f>
        <v> </v>
      </c>
      <c r="V165" s="334" t="str">
        <f aca="false">IF((E165="o"),G165," ")</f>
        <v> </v>
      </c>
      <c r="W165" s="334" t="str">
        <f aca="false">IF((E165="f"),G165," ")</f>
        <v> </v>
      </c>
    </row>
    <row r="166" customFormat="false" ht="12.75" hidden="false" customHeight="false" outlineLevel="0" collapsed="false">
      <c r="A166" s="355"/>
      <c r="E166" s="365" t="str">
        <f aca="false">IF((G166&lt;&gt;0),"Enter Letter"," ")</f>
        <v> </v>
      </c>
      <c r="H166" s="338" t="str">
        <f aca="false">IF((G166&lt;&gt;0),IF((D166&gt;0)," ",G166)," ")</f>
        <v> </v>
      </c>
      <c r="I166" s="367" t="str">
        <f aca="false">IF((G166&lt;&gt;0),IF((D166&gt;0)," ",(I$1-A166))," ")</f>
        <v> </v>
      </c>
      <c r="J166" s="334" t="str">
        <f aca="false">IF((E166="s"),G166," ")</f>
        <v> </v>
      </c>
      <c r="K166" s="334" t="str">
        <f aca="false">IF((E166="d"),G166," ")</f>
        <v> </v>
      </c>
      <c r="L166" s="334" t="str">
        <f aca="false">IF((E166="e"),G166," ")</f>
        <v> </v>
      </c>
      <c r="M166" s="334" t="str">
        <f aca="false">IF((E166="p"),G166," ")</f>
        <v> </v>
      </c>
      <c r="N166" s="334" t="str">
        <f aca="false">IF((E166="r"),G166," ")</f>
        <v> </v>
      </c>
      <c r="O166" s="334" t="str">
        <f aca="false">IF((E166="g"),G166," ")</f>
        <v> </v>
      </c>
      <c r="P166" s="334" t="str">
        <f aca="false">IF((E166="m"),G166," ")</f>
        <v> </v>
      </c>
      <c r="Q166" s="334" t="str">
        <f aca="false">IF((E166="t"),G166," ")</f>
        <v> </v>
      </c>
      <c r="R166" s="334" t="str">
        <f aca="false">IF((E166="a"),G166," ")</f>
        <v> </v>
      </c>
      <c r="S166" s="334" t="str">
        <f aca="false">IF((E166="l"),G166," ")</f>
        <v> </v>
      </c>
      <c r="T166" s="334" t="str">
        <f aca="false">IF((E166="b"),G166," ")</f>
        <v> </v>
      </c>
      <c r="U166" s="334" t="str">
        <f aca="false">IF((E166="i"),G166," ")</f>
        <v> </v>
      </c>
      <c r="V166" s="334" t="str">
        <f aca="false">IF((E166="o"),G166," ")</f>
        <v> </v>
      </c>
      <c r="W166" s="334" t="str">
        <f aca="false">IF((E166="f"),G166," ")</f>
        <v> </v>
      </c>
    </row>
    <row r="167" customFormat="false" ht="12.75" hidden="false" customHeight="false" outlineLevel="0" collapsed="false">
      <c r="A167" s="355"/>
      <c r="E167" s="365" t="str">
        <f aca="false">IF((G167&lt;&gt;0),"Enter Letter"," ")</f>
        <v> </v>
      </c>
      <c r="H167" s="338" t="str">
        <f aca="false">IF((G167&lt;&gt;0),IF((D167&gt;0)," ",G167)," ")</f>
        <v> </v>
      </c>
      <c r="I167" s="367" t="str">
        <f aca="false">IF((G167&lt;&gt;0),IF((D167&gt;0)," ",(I$1-A167))," ")</f>
        <v> </v>
      </c>
      <c r="J167" s="334" t="str">
        <f aca="false">IF((E167="s"),G167," ")</f>
        <v> </v>
      </c>
      <c r="K167" s="334" t="str">
        <f aca="false">IF((E167="d"),G167," ")</f>
        <v> </v>
      </c>
      <c r="L167" s="334" t="str">
        <f aca="false">IF((E167="e"),G167," ")</f>
        <v> </v>
      </c>
      <c r="M167" s="334" t="str">
        <f aca="false">IF((E167="p"),G167," ")</f>
        <v> </v>
      </c>
      <c r="N167" s="334" t="str">
        <f aca="false">IF((E167="r"),G167," ")</f>
        <v> </v>
      </c>
      <c r="O167" s="334" t="str">
        <f aca="false">IF((E167="g"),G167," ")</f>
        <v> </v>
      </c>
      <c r="P167" s="334" t="str">
        <f aca="false">IF((E167="m"),G167," ")</f>
        <v> </v>
      </c>
      <c r="Q167" s="334" t="str">
        <f aca="false">IF((E167="t"),G167," ")</f>
        <v> </v>
      </c>
      <c r="R167" s="334" t="str">
        <f aca="false">IF((E167="a"),G167," ")</f>
        <v> </v>
      </c>
      <c r="S167" s="334" t="str">
        <f aca="false">IF((E167="l"),G167," ")</f>
        <v> </v>
      </c>
      <c r="T167" s="334" t="str">
        <f aca="false">IF((E167="b"),G167," ")</f>
        <v> </v>
      </c>
      <c r="U167" s="334" t="str">
        <f aca="false">IF((E167="i"),G167," ")</f>
        <v> </v>
      </c>
      <c r="V167" s="334" t="str">
        <f aca="false">IF((E167="o"),G167," ")</f>
        <v> </v>
      </c>
      <c r="W167" s="334" t="str">
        <f aca="false">IF((E167="f"),G167," ")</f>
        <v> </v>
      </c>
    </row>
    <row r="168" customFormat="false" ht="12.75" hidden="false" customHeight="false" outlineLevel="0" collapsed="false">
      <c r="A168" s="355"/>
      <c r="E168" s="365" t="str">
        <f aca="false">IF((G168&lt;&gt;0),"Enter Letter"," ")</f>
        <v> </v>
      </c>
      <c r="H168" s="338" t="str">
        <f aca="false">IF((G168&lt;&gt;0),IF((D168&gt;0)," ",G168)," ")</f>
        <v> </v>
      </c>
      <c r="I168" s="367" t="str">
        <f aca="false">IF((G168&lt;&gt;0),IF((D168&gt;0)," ",(I$1-A168))," ")</f>
        <v> </v>
      </c>
      <c r="J168" s="334" t="str">
        <f aca="false">IF((E168="s"),G168," ")</f>
        <v> </v>
      </c>
      <c r="K168" s="334" t="str">
        <f aca="false">IF((E168="d"),G168," ")</f>
        <v> </v>
      </c>
      <c r="L168" s="334" t="str">
        <f aca="false">IF((E168="e"),G168," ")</f>
        <v> </v>
      </c>
      <c r="M168" s="334" t="str">
        <f aca="false">IF((E168="p"),G168," ")</f>
        <v> </v>
      </c>
      <c r="N168" s="334" t="str">
        <f aca="false">IF((E168="r"),G168," ")</f>
        <v> </v>
      </c>
      <c r="O168" s="334" t="str">
        <f aca="false">IF((E168="g"),G168," ")</f>
        <v> </v>
      </c>
      <c r="P168" s="334" t="str">
        <f aca="false">IF((E168="m"),G168," ")</f>
        <v> </v>
      </c>
      <c r="Q168" s="334" t="str">
        <f aca="false">IF((E168="t"),G168," ")</f>
        <v> </v>
      </c>
      <c r="R168" s="334" t="str">
        <f aca="false">IF((E168="a"),G168," ")</f>
        <v> </v>
      </c>
      <c r="S168" s="334" t="str">
        <f aca="false">IF((E168="l"),G168," ")</f>
        <v> </v>
      </c>
      <c r="T168" s="334" t="str">
        <f aca="false">IF((E168="b"),G168," ")</f>
        <v> </v>
      </c>
      <c r="U168" s="334" t="str">
        <f aca="false">IF((E168="i"),G168," ")</f>
        <v> </v>
      </c>
      <c r="V168" s="334" t="str">
        <f aca="false">IF((E168="o"),G168," ")</f>
        <v> </v>
      </c>
      <c r="W168" s="334" t="str">
        <f aca="false">IF((E168="f"),G168," ")</f>
        <v> </v>
      </c>
    </row>
    <row r="169" customFormat="false" ht="12.75" hidden="false" customHeight="false" outlineLevel="0" collapsed="false">
      <c r="A169" s="355"/>
      <c r="E169" s="365" t="str">
        <f aca="false">IF((G169&lt;&gt;0),"Enter Letter"," ")</f>
        <v> </v>
      </c>
      <c r="H169" s="338" t="str">
        <f aca="false">IF((G169&lt;&gt;0),IF((D169&gt;0)," ",G169)," ")</f>
        <v> </v>
      </c>
      <c r="I169" s="367" t="str">
        <f aca="false">IF((G169&lt;&gt;0),IF((D169&gt;0)," ",(I$1-A169))," ")</f>
        <v> </v>
      </c>
      <c r="J169" s="334" t="str">
        <f aca="false">IF((E169="s"),G169," ")</f>
        <v> </v>
      </c>
      <c r="K169" s="334" t="str">
        <f aca="false">IF((E169="d"),G169," ")</f>
        <v> </v>
      </c>
      <c r="L169" s="334" t="str">
        <f aca="false">IF((E169="e"),G169," ")</f>
        <v> </v>
      </c>
      <c r="M169" s="334" t="str">
        <f aca="false">IF((E169="p"),G169," ")</f>
        <v> </v>
      </c>
      <c r="N169" s="334" t="str">
        <f aca="false">IF((E169="r"),G169," ")</f>
        <v> </v>
      </c>
      <c r="O169" s="334" t="str">
        <f aca="false">IF((E169="g"),G169," ")</f>
        <v> </v>
      </c>
      <c r="P169" s="334" t="str">
        <f aca="false">IF((E169="m"),G169," ")</f>
        <v> </v>
      </c>
      <c r="Q169" s="334" t="str">
        <f aca="false">IF((E169="t"),G169," ")</f>
        <v> </v>
      </c>
      <c r="R169" s="334" t="str">
        <f aca="false">IF((E169="a"),G169," ")</f>
        <v> </v>
      </c>
      <c r="S169" s="334" t="str">
        <f aca="false">IF((E169="l"),G169," ")</f>
        <v> </v>
      </c>
      <c r="T169" s="334" t="str">
        <f aca="false">IF((E169="b"),G169," ")</f>
        <v> </v>
      </c>
      <c r="U169" s="334" t="str">
        <f aca="false">IF((E169="i"),G169," ")</f>
        <v> </v>
      </c>
      <c r="V169" s="334" t="str">
        <f aca="false">IF((E169="o"),G169," ")</f>
        <v> </v>
      </c>
      <c r="W169" s="334" t="str">
        <f aca="false">IF((E169="f"),G169," ")</f>
        <v> </v>
      </c>
    </row>
    <row r="170" customFormat="false" ht="12.75" hidden="false" customHeight="false" outlineLevel="0" collapsed="false">
      <c r="A170" s="355"/>
      <c r="E170" s="365" t="str">
        <f aca="false">IF((G170&lt;&gt;0),"Enter Letter"," ")</f>
        <v> </v>
      </c>
      <c r="H170" s="338" t="str">
        <f aca="false">IF((G170&lt;&gt;0),IF((D170&gt;0)," ",G170)," ")</f>
        <v> </v>
      </c>
      <c r="I170" s="367" t="str">
        <f aca="false">IF((G170&lt;&gt;0),IF((D170&gt;0)," ",(I$1-A170))," ")</f>
        <v> </v>
      </c>
      <c r="J170" s="334" t="str">
        <f aca="false">IF((E170="s"),G170," ")</f>
        <v> </v>
      </c>
      <c r="K170" s="334" t="str">
        <f aca="false">IF((E170="d"),G170," ")</f>
        <v> </v>
      </c>
      <c r="L170" s="334" t="str">
        <f aca="false">IF((E170="e"),G170," ")</f>
        <v> </v>
      </c>
      <c r="M170" s="334" t="str">
        <f aca="false">IF((E170="p"),G170," ")</f>
        <v> </v>
      </c>
      <c r="N170" s="334" t="str">
        <f aca="false">IF((E170="r"),G170," ")</f>
        <v> </v>
      </c>
      <c r="O170" s="334" t="str">
        <f aca="false">IF((E170="g"),G170," ")</f>
        <v> </v>
      </c>
      <c r="P170" s="334" t="str">
        <f aca="false">IF((E170="m"),G170," ")</f>
        <v> </v>
      </c>
      <c r="Q170" s="334" t="str">
        <f aca="false">IF((E170="t"),G170," ")</f>
        <v> </v>
      </c>
      <c r="R170" s="334" t="str">
        <f aca="false">IF((E170="a"),G170," ")</f>
        <v> </v>
      </c>
      <c r="S170" s="334" t="str">
        <f aca="false">IF((E170="l"),G170," ")</f>
        <v> </v>
      </c>
      <c r="T170" s="334" t="str">
        <f aca="false">IF((E170="b"),G170," ")</f>
        <v> </v>
      </c>
      <c r="U170" s="334" t="str">
        <f aca="false">IF((E170="i"),G170," ")</f>
        <v> </v>
      </c>
      <c r="V170" s="334" t="str">
        <f aca="false">IF((E170="o"),G170," ")</f>
        <v> </v>
      </c>
      <c r="W170" s="334" t="str">
        <f aca="false">IF((E170="f"),G170," ")</f>
        <v> </v>
      </c>
    </row>
    <row r="171" customFormat="false" ht="12.75" hidden="false" customHeight="false" outlineLevel="0" collapsed="false">
      <c r="A171" s="355"/>
      <c r="E171" s="365" t="str">
        <f aca="false">IF((G171&lt;&gt;0),"Enter Letter"," ")</f>
        <v> </v>
      </c>
      <c r="H171" s="338" t="str">
        <f aca="false">IF((G171&lt;&gt;0),IF((D171&gt;0)," ",G171)," ")</f>
        <v> </v>
      </c>
      <c r="I171" s="367" t="str">
        <f aca="false">IF((G171&lt;&gt;0),IF((D171&gt;0)," ",(I$1-A171))," ")</f>
        <v> </v>
      </c>
      <c r="J171" s="334" t="str">
        <f aca="false">IF((E171="s"),G171," ")</f>
        <v> </v>
      </c>
      <c r="K171" s="334" t="str">
        <f aca="false">IF((E171="d"),G171," ")</f>
        <v> </v>
      </c>
      <c r="L171" s="334" t="str">
        <f aca="false">IF((E171="e"),G171," ")</f>
        <v> </v>
      </c>
      <c r="M171" s="334" t="str">
        <f aca="false">IF((E171="p"),G171," ")</f>
        <v> </v>
      </c>
      <c r="N171" s="334" t="str">
        <f aca="false">IF((E171="r"),G171," ")</f>
        <v> </v>
      </c>
      <c r="O171" s="334" t="str">
        <f aca="false">IF((E171="g"),G171," ")</f>
        <v> </v>
      </c>
      <c r="P171" s="334" t="str">
        <f aca="false">IF((E171="m"),G171," ")</f>
        <v> </v>
      </c>
      <c r="Q171" s="334" t="str">
        <f aca="false">IF((E171="t"),G171," ")</f>
        <v> </v>
      </c>
      <c r="R171" s="334" t="str">
        <f aca="false">IF((E171="a"),G171," ")</f>
        <v> </v>
      </c>
      <c r="S171" s="334" t="str">
        <f aca="false">IF((E171="l"),G171," ")</f>
        <v> </v>
      </c>
      <c r="T171" s="334" t="str">
        <f aca="false">IF((E171="b"),G171," ")</f>
        <v> </v>
      </c>
      <c r="U171" s="334" t="str">
        <f aca="false">IF((E171="i"),G171," ")</f>
        <v> </v>
      </c>
      <c r="V171" s="334" t="str">
        <f aca="false">IF((E171="o"),G171," ")</f>
        <v> </v>
      </c>
      <c r="W171" s="334" t="str">
        <f aca="false">IF((E171="f"),G171," ")</f>
        <v> </v>
      </c>
    </row>
    <row r="172" customFormat="false" ht="12.75" hidden="false" customHeight="false" outlineLevel="0" collapsed="false">
      <c r="A172" s="355"/>
      <c r="E172" s="365" t="str">
        <f aca="false">IF((G172&lt;&gt;0),"Enter Letter"," ")</f>
        <v> </v>
      </c>
      <c r="H172" s="338" t="str">
        <f aca="false">IF((G172&lt;&gt;0),IF((D172&gt;0)," ",G172)," ")</f>
        <v> </v>
      </c>
      <c r="I172" s="367" t="str">
        <f aca="false">IF((G172&lt;&gt;0),IF((D172&gt;0)," ",(I$1-A172))," ")</f>
        <v> </v>
      </c>
      <c r="J172" s="334" t="str">
        <f aca="false">IF((E172="s"),G172," ")</f>
        <v> </v>
      </c>
      <c r="K172" s="334" t="str">
        <f aca="false">IF((E172="d"),G172," ")</f>
        <v> </v>
      </c>
      <c r="L172" s="334" t="str">
        <f aca="false">IF((E172="e"),G172," ")</f>
        <v> </v>
      </c>
      <c r="M172" s="334" t="str">
        <f aca="false">IF((E172="p"),G172," ")</f>
        <v> </v>
      </c>
      <c r="N172" s="334" t="str">
        <f aca="false">IF((E172="r"),G172," ")</f>
        <v> </v>
      </c>
      <c r="O172" s="334" t="str">
        <f aca="false">IF((E172="g"),G172," ")</f>
        <v> </v>
      </c>
      <c r="P172" s="334" t="str">
        <f aca="false">IF((E172="m"),G172," ")</f>
        <v> </v>
      </c>
      <c r="Q172" s="334" t="str">
        <f aca="false">IF((E172="t"),G172," ")</f>
        <v> </v>
      </c>
      <c r="R172" s="334" t="str">
        <f aca="false">IF((E172="a"),G172," ")</f>
        <v> </v>
      </c>
      <c r="S172" s="334" t="str">
        <f aca="false">IF((E172="l"),G172," ")</f>
        <v> </v>
      </c>
      <c r="T172" s="334" t="str">
        <f aca="false">IF((E172="b"),G172," ")</f>
        <v> </v>
      </c>
      <c r="U172" s="334" t="str">
        <f aca="false">IF((E172="i"),G172," ")</f>
        <v> </v>
      </c>
      <c r="V172" s="334" t="str">
        <f aca="false">IF((E172="o"),G172," ")</f>
        <v> </v>
      </c>
      <c r="W172" s="334" t="str">
        <f aca="false">IF((E172="f"),G172," ")</f>
        <v> </v>
      </c>
    </row>
    <row r="173" customFormat="false" ht="12.75" hidden="false" customHeight="false" outlineLevel="0" collapsed="false">
      <c r="A173" s="355"/>
      <c r="E173" s="365" t="str">
        <f aca="false">IF((G173&lt;&gt;0),"Enter Letter"," ")</f>
        <v> </v>
      </c>
      <c r="H173" s="338" t="str">
        <f aca="false">IF((G173&lt;&gt;0),IF((D173&gt;0)," ",G173)," ")</f>
        <v> </v>
      </c>
      <c r="I173" s="367" t="str">
        <f aca="false">IF((G173&lt;&gt;0),IF((D173&gt;0)," ",(I$1-A173))," ")</f>
        <v> </v>
      </c>
      <c r="J173" s="334" t="str">
        <f aca="false">IF((E173="s"),G173," ")</f>
        <v> </v>
      </c>
      <c r="K173" s="334" t="str">
        <f aca="false">IF((E173="d"),G173," ")</f>
        <v> </v>
      </c>
      <c r="L173" s="334" t="str">
        <f aca="false">IF((E173="e"),G173," ")</f>
        <v> </v>
      </c>
      <c r="M173" s="334" t="str">
        <f aca="false">IF((E173="p"),G173," ")</f>
        <v> </v>
      </c>
      <c r="N173" s="334" t="str">
        <f aca="false">IF((E173="r"),G173," ")</f>
        <v> </v>
      </c>
      <c r="O173" s="334" t="str">
        <f aca="false">IF((E173="g"),G173," ")</f>
        <v> </v>
      </c>
      <c r="P173" s="334" t="str">
        <f aca="false">IF((E173="m"),G173," ")</f>
        <v> </v>
      </c>
      <c r="Q173" s="334" t="str">
        <f aca="false">IF((E173="t"),G173," ")</f>
        <v> </v>
      </c>
      <c r="R173" s="334" t="str">
        <f aca="false">IF((E173="a"),G173," ")</f>
        <v> </v>
      </c>
      <c r="S173" s="334" t="str">
        <f aca="false">IF((E173="l"),G173," ")</f>
        <v> </v>
      </c>
      <c r="T173" s="334" t="str">
        <f aca="false">IF((E173="b"),G173," ")</f>
        <v> </v>
      </c>
      <c r="U173" s="334" t="str">
        <f aca="false">IF((E173="i"),G173," ")</f>
        <v> </v>
      </c>
      <c r="V173" s="334" t="str">
        <f aca="false">IF((E173="o"),G173," ")</f>
        <v> </v>
      </c>
      <c r="W173" s="334" t="str">
        <f aca="false">IF((E173="f"),G173," ")</f>
        <v> </v>
      </c>
    </row>
    <row r="174" customFormat="false" ht="12.75" hidden="false" customHeight="false" outlineLevel="0" collapsed="false">
      <c r="A174" s="355"/>
      <c r="E174" s="365" t="str">
        <f aca="false">IF((G174&lt;&gt;0),"Enter Letter"," ")</f>
        <v> </v>
      </c>
      <c r="H174" s="338" t="str">
        <f aca="false">IF((G174&lt;&gt;0),IF((D174&gt;0)," ",G174)," ")</f>
        <v> </v>
      </c>
      <c r="I174" s="367" t="str">
        <f aca="false">IF((G174&lt;&gt;0),IF((D174&gt;0)," ",(I$1-A174))," ")</f>
        <v> </v>
      </c>
      <c r="J174" s="334" t="str">
        <f aca="false">IF((E174="s"),G174," ")</f>
        <v> </v>
      </c>
      <c r="K174" s="334" t="str">
        <f aca="false">IF((E174="d"),G174," ")</f>
        <v> </v>
      </c>
      <c r="L174" s="334" t="str">
        <f aca="false">IF((E174="e"),G174," ")</f>
        <v> </v>
      </c>
      <c r="M174" s="334" t="str">
        <f aca="false">IF((E174="p"),G174," ")</f>
        <v> </v>
      </c>
      <c r="N174" s="334" t="str">
        <f aca="false">IF((E174="r"),G174," ")</f>
        <v> </v>
      </c>
      <c r="O174" s="334" t="str">
        <f aca="false">IF((E174="g"),G174," ")</f>
        <v> </v>
      </c>
      <c r="P174" s="334" t="str">
        <f aca="false">IF((E174="m"),G174," ")</f>
        <v> </v>
      </c>
      <c r="Q174" s="334" t="str">
        <f aca="false">IF((E174="t"),G174," ")</f>
        <v> </v>
      </c>
      <c r="R174" s="334" t="str">
        <f aca="false">IF((E174="a"),G174," ")</f>
        <v> </v>
      </c>
      <c r="S174" s="334" t="str">
        <f aca="false">IF((E174="l"),G174," ")</f>
        <v> </v>
      </c>
      <c r="T174" s="334" t="str">
        <f aca="false">IF((E174="b"),G174," ")</f>
        <v> </v>
      </c>
      <c r="U174" s="334" t="str">
        <f aca="false">IF((E174="i"),G174," ")</f>
        <v> </v>
      </c>
      <c r="V174" s="334" t="str">
        <f aca="false">IF((E174="o"),G174," ")</f>
        <v> </v>
      </c>
      <c r="W174" s="334" t="str">
        <f aca="false">IF((E174="f"),G174," ")</f>
        <v> </v>
      </c>
    </row>
    <row r="175" customFormat="false" ht="12.75" hidden="false" customHeight="false" outlineLevel="0" collapsed="false">
      <c r="A175" s="355"/>
      <c r="E175" s="365" t="str">
        <f aca="false">IF((G175&lt;&gt;0),"Enter Letter"," ")</f>
        <v> </v>
      </c>
      <c r="H175" s="338" t="str">
        <f aca="false">IF((G175&lt;&gt;0),IF((D175&gt;0)," ",G175)," ")</f>
        <v> </v>
      </c>
      <c r="I175" s="367" t="str">
        <f aca="false">IF((G175&lt;&gt;0),IF((D175&gt;0)," ",(I$1-A175))," ")</f>
        <v> </v>
      </c>
      <c r="J175" s="334" t="str">
        <f aca="false">IF((E175="s"),G175," ")</f>
        <v> </v>
      </c>
      <c r="K175" s="334" t="str">
        <f aca="false">IF((E175="d"),G175," ")</f>
        <v> </v>
      </c>
      <c r="L175" s="334" t="str">
        <f aca="false">IF((E175="e"),G175," ")</f>
        <v> </v>
      </c>
      <c r="M175" s="334" t="str">
        <f aca="false">IF((E175="p"),G175," ")</f>
        <v> </v>
      </c>
      <c r="N175" s="334" t="str">
        <f aca="false">IF((E175="r"),G175," ")</f>
        <v> </v>
      </c>
      <c r="O175" s="334" t="str">
        <f aca="false">IF((E175="g"),G175," ")</f>
        <v> </v>
      </c>
      <c r="P175" s="334" t="str">
        <f aca="false">IF((E175="m"),G175," ")</f>
        <v> </v>
      </c>
      <c r="Q175" s="334" t="str">
        <f aca="false">IF((E175="t"),G175," ")</f>
        <v> </v>
      </c>
      <c r="R175" s="334" t="str">
        <f aca="false">IF((E175="a"),G175," ")</f>
        <v> </v>
      </c>
      <c r="S175" s="334" t="str">
        <f aca="false">IF((E175="l"),G175," ")</f>
        <v> </v>
      </c>
      <c r="T175" s="334" t="str">
        <f aca="false">IF((E175="b"),G175," ")</f>
        <v> </v>
      </c>
      <c r="U175" s="334" t="str">
        <f aca="false">IF((E175="i"),G175," ")</f>
        <v> </v>
      </c>
      <c r="V175" s="334" t="str">
        <f aca="false">IF((E175="o"),G175," ")</f>
        <v> </v>
      </c>
      <c r="W175" s="334" t="str">
        <f aca="false">IF((E175="f"),G175," ")</f>
        <v> </v>
      </c>
    </row>
    <row r="176" customFormat="false" ht="12.75" hidden="false" customHeight="false" outlineLevel="0" collapsed="false">
      <c r="A176" s="355"/>
      <c r="E176" s="365" t="str">
        <f aca="false">IF((G176&lt;&gt;0),"Enter Letter"," ")</f>
        <v> </v>
      </c>
      <c r="H176" s="338" t="str">
        <f aca="false">IF((G176&lt;&gt;0),IF((D176&gt;0)," ",G176)," ")</f>
        <v> </v>
      </c>
      <c r="I176" s="367" t="str">
        <f aca="false">IF((G176&lt;&gt;0),IF((D176&gt;0)," ",(I$1-A176))," ")</f>
        <v> </v>
      </c>
      <c r="J176" s="334" t="str">
        <f aca="false">IF((E176="s"),G176," ")</f>
        <v> </v>
      </c>
      <c r="K176" s="334" t="str">
        <f aca="false">IF((E176="d"),G176," ")</f>
        <v> </v>
      </c>
      <c r="L176" s="334" t="str">
        <f aca="false">IF((E176="e"),G176," ")</f>
        <v> </v>
      </c>
      <c r="M176" s="334" t="str">
        <f aca="false">IF((E176="p"),G176," ")</f>
        <v> </v>
      </c>
      <c r="N176" s="334" t="str">
        <f aca="false">IF((E176="r"),G176," ")</f>
        <v> </v>
      </c>
      <c r="O176" s="334" t="str">
        <f aca="false">IF((E176="g"),G176," ")</f>
        <v> </v>
      </c>
      <c r="P176" s="334" t="str">
        <f aca="false">IF((E176="m"),G176," ")</f>
        <v> </v>
      </c>
      <c r="Q176" s="334" t="str">
        <f aca="false">IF((E176="t"),G176," ")</f>
        <v> </v>
      </c>
      <c r="R176" s="334" t="str">
        <f aca="false">IF((E176="a"),G176," ")</f>
        <v> </v>
      </c>
      <c r="S176" s="334" t="str">
        <f aca="false">IF((E176="l"),G176," ")</f>
        <v> </v>
      </c>
      <c r="T176" s="334" t="str">
        <f aca="false">IF((E176="b"),G176," ")</f>
        <v> </v>
      </c>
      <c r="U176" s="334" t="str">
        <f aca="false">IF((E176="i"),G176," ")</f>
        <v> </v>
      </c>
      <c r="V176" s="334" t="str">
        <f aca="false">IF((E176="o"),G176," ")</f>
        <v> </v>
      </c>
      <c r="W176" s="334" t="str">
        <f aca="false">IF((E176="f"),G176," ")</f>
        <v> </v>
      </c>
    </row>
    <row r="177" customFormat="false" ht="12.75" hidden="false" customHeight="false" outlineLevel="0" collapsed="false">
      <c r="A177" s="355"/>
      <c r="E177" s="365" t="str">
        <f aca="false">IF((G177&lt;&gt;0),"Enter Letter"," ")</f>
        <v> </v>
      </c>
      <c r="H177" s="338" t="str">
        <f aca="false">IF((G177&lt;&gt;0),IF((D177&gt;0)," ",G177)," ")</f>
        <v> </v>
      </c>
      <c r="I177" s="367" t="str">
        <f aca="false">IF((G177&lt;&gt;0),IF((D177&gt;0)," ",(I$1-A177))," ")</f>
        <v> </v>
      </c>
      <c r="J177" s="334" t="str">
        <f aca="false">IF((E177="s"),G177," ")</f>
        <v> </v>
      </c>
      <c r="K177" s="334" t="str">
        <f aca="false">IF((E177="d"),G177," ")</f>
        <v> </v>
      </c>
      <c r="L177" s="334" t="str">
        <f aca="false">IF((E177="e"),G177," ")</f>
        <v> </v>
      </c>
      <c r="M177" s="334" t="str">
        <f aca="false">IF((E177="p"),G177," ")</f>
        <v> </v>
      </c>
      <c r="N177" s="334" t="str">
        <f aca="false">IF((E177="r"),G177," ")</f>
        <v> </v>
      </c>
      <c r="O177" s="334" t="str">
        <f aca="false">IF((E177="g"),G177," ")</f>
        <v> </v>
      </c>
      <c r="P177" s="334" t="str">
        <f aca="false">IF((E177="m"),G177," ")</f>
        <v> </v>
      </c>
      <c r="Q177" s="334" t="str">
        <f aca="false">IF((E177="t"),G177," ")</f>
        <v> </v>
      </c>
      <c r="R177" s="334" t="str">
        <f aca="false">IF((E177="a"),G177," ")</f>
        <v> </v>
      </c>
      <c r="S177" s="334" t="str">
        <f aca="false">IF((E177="l"),G177," ")</f>
        <v> </v>
      </c>
      <c r="T177" s="334" t="str">
        <f aca="false">IF((E177="b"),G177," ")</f>
        <v> </v>
      </c>
      <c r="U177" s="334" t="str">
        <f aca="false">IF((E177="i"),G177," ")</f>
        <v> </v>
      </c>
      <c r="V177" s="334" t="str">
        <f aca="false">IF((E177="o"),G177," ")</f>
        <v> </v>
      </c>
      <c r="W177" s="334" t="str">
        <f aca="false">IF((E177="f"),G177," ")</f>
        <v> </v>
      </c>
    </row>
    <row r="178" customFormat="false" ht="12.75" hidden="false" customHeight="false" outlineLevel="0" collapsed="false">
      <c r="A178" s="355"/>
      <c r="E178" s="365" t="str">
        <f aca="false">IF((G178&lt;&gt;0),"Enter Letter"," ")</f>
        <v> </v>
      </c>
      <c r="H178" s="338" t="str">
        <f aca="false">IF((G178&lt;&gt;0),IF((D178&gt;0)," ",G178)," ")</f>
        <v> </v>
      </c>
      <c r="I178" s="367" t="str">
        <f aca="false">IF((G178&lt;&gt;0),IF((D178&gt;0)," ",(I$1-A178))," ")</f>
        <v> </v>
      </c>
      <c r="J178" s="334" t="str">
        <f aca="false">IF((E178="s"),G178," ")</f>
        <v> </v>
      </c>
      <c r="K178" s="334" t="str">
        <f aca="false">IF((E178="d"),G178," ")</f>
        <v> </v>
      </c>
      <c r="L178" s="334" t="str">
        <f aca="false">IF((E178="e"),G178," ")</f>
        <v> </v>
      </c>
      <c r="M178" s="334" t="str">
        <f aca="false">IF((E178="p"),G178," ")</f>
        <v> </v>
      </c>
      <c r="N178" s="334" t="str">
        <f aca="false">IF((E178="r"),G178," ")</f>
        <v> </v>
      </c>
      <c r="O178" s="334" t="str">
        <f aca="false">IF((E178="g"),G178," ")</f>
        <v> </v>
      </c>
      <c r="P178" s="334" t="str">
        <f aca="false">IF((E178="m"),G178," ")</f>
        <v> </v>
      </c>
      <c r="Q178" s="334" t="str">
        <f aca="false">IF((E178="t"),G178," ")</f>
        <v> </v>
      </c>
      <c r="R178" s="334" t="str">
        <f aca="false">IF((E178="a"),G178," ")</f>
        <v> </v>
      </c>
      <c r="S178" s="334" t="str">
        <f aca="false">IF((E178="l"),G178," ")</f>
        <v> </v>
      </c>
      <c r="T178" s="334" t="str">
        <f aca="false">IF((E178="b"),G178," ")</f>
        <v> </v>
      </c>
      <c r="U178" s="334" t="str">
        <f aca="false">IF((E178="i"),G178," ")</f>
        <v> </v>
      </c>
      <c r="V178" s="334" t="str">
        <f aca="false">IF((E178="o"),G178," ")</f>
        <v> </v>
      </c>
      <c r="W178" s="334" t="str">
        <f aca="false">IF((E178="f"),G178," ")</f>
        <v> </v>
      </c>
    </row>
    <row r="179" customFormat="false" ht="12.75" hidden="false" customHeight="false" outlineLevel="0" collapsed="false">
      <c r="A179" s="355"/>
      <c r="E179" s="365" t="str">
        <f aca="false">IF((G179&lt;&gt;0),"Enter Letter"," ")</f>
        <v> </v>
      </c>
      <c r="H179" s="338" t="str">
        <f aca="false">IF((G179&lt;&gt;0),IF((D179&gt;0)," ",G179)," ")</f>
        <v> </v>
      </c>
      <c r="I179" s="367" t="str">
        <f aca="false">IF((G179&lt;&gt;0),IF((D179&gt;0)," ",(I$1-A179))," ")</f>
        <v> </v>
      </c>
      <c r="J179" s="334" t="str">
        <f aca="false">IF((E179="s"),G179," ")</f>
        <v> </v>
      </c>
      <c r="K179" s="334" t="str">
        <f aca="false">IF((E179="d"),G179," ")</f>
        <v> </v>
      </c>
      <c r="L179" s="334" t="str">
        <f aca="false">IF((E179="e"),G179," ")</f>
        <v> </v>
      </c>
      <c r="M179" s="334" t="str">
        <f aca="false">IF((E179="p"),G179," ")</f>
        <v> </v>
      </c>
      <c r="N179" s="334" t="str">
        <f aca="false">IF((E179="r"),G179," ")</f>
        <v> </v>
      </c>
      <c r="O179" s="334" t="str">
        <f aca="false">IF((E179="g"),G179," ")</f>
        <v> </v>
      </c>
      <c r="P179" s="334" t="str">
        <f aca="false">IF((E179="m"),G179," ")</f>
        <v> </v>
      </c>
      <c r="Q179" s="334" t="str">
        <f aca="false">IF((E179="t"),G179," ")</f>
        <v> </v>
      </c>
      <c r="R179" s="334" t="str">
        <f aca="false">IF((E179="a"),G179," ")</f>
        <v> </v>
      </c>
      <c r="S179" s="334" t="str">
        <f aca="false">IF((E179="l"),G179," ")</f>
        <v> </v>
      </c>
      <c r="T179" s="334" t="str">
        <f aca="false">IF((E179="b"),G179," ")</f>
        <v> </v>
      </c>
      <c r="U179" s="334" t="str">
        <f aca="false">IF((E179="i"),G179," ")</f>
        <v> </v>
      </c>
      <c r="V179" s="334" t="str">
        <f aca="false">IF((E179="o"),G179," ")</f>
        <v> </v>
      </c>
      <c r="W179" s="334" t="str">
        <f aca="false">IF((E179="f"),G179," ")</f>
        <v> </v>
      </c>
    </row>
    <row r="180" customFormat="false" ht="12.75" hidden="false" customHeight="false" outlineLevel="0" collapsed="false">
      <c r="A180" s="355"/>
      <c r="E180" s="365" t="str">
        <f aca="false">IF((G180&lt;&gt;0),"Enter Letter"," ")</f>
        <v> </v>
      </c>
      <c r="H180" s="338" t="str">
        <f aca="false">IF((G180&lt;&gt;0),IF((D180&gt;0)," ",G180)," ")</f>
        <v> </v>
      </c>
      <c r="I180" s="367" t="str">
        <f aca="false">IF((G180&lt;&gt;0),IF((D180&gt;0)," ",(I$1-A180))," ")</f>
        <v> </v>
      </c>
      <c r="J180" s="334" t="str">
        <f aca="false">IF((E180="s"),G180," ")</f>
        <v> </v>
      </c>
      <c r="K180" s="334" t="str">
        <f aca="false">IF((E180="d"),G180," ")</f>
        <v> </v>
      </c>
      <c r="L180" s="334" t="str">
        <f aca="false">IF((E180="e"),G180," ")</f>
        <v> </v>
      </c>
      <c r="M180" s="334" t="str">
        <f aca="false">IF((E180="p"),G180," ")</f>
        <v> </v>
      </c>
      <c r="N180" s="334" t="str">
        <f aca="false">IF((E180="r"),G180," ")</f>
        <v> </v>
      </c>
      <c r="O180" s="334" t="str">
        <f aca="false">IF((E180="g"),G180," ")</f>
        <v> </v>
      </c>
      <c r="P180" s="334" t="str">
        <f aca="false">IF((E180="m"),G180," ")</f>
        <v> </v>
      </c>
      <c r="Q180" s="334" t="str">
        <f aca="false">IF((E180="t"),G180," ")</f>
        <v> </v>
      </c>
      <c r="R180" s="334" t="str">
        <f aca="false">IF((E180="a"),G180," ")</f>
        <v> </v>
      </c>
      <c r="S180" s="334" t="str">
        <f aca="false">IF((E180="l"),G180," ")</f>
        <v> </v>
      </c>
      <c r="T180" s="334" t="str">
        <f aca="false">IF((E180="b"),G180," ")</f>
        <v> </v>
      </c>
      <c r="U180" s="334" t="str">
        <f aca="false">IF((E180="i"),G180," ")</f>
        <v> </v>
      </c>
      <c r="V180" s="334" t="str">
        <f aca="false">IF((E180="o"),G180," ")</f>
        <v> </v>
      </c>
      <c r="W180" s="334" t="str">
        <f aca="false">IF((E180="f"),G180," ")</f>
        <v> </v>
      </c>
    </row>
    <row r="181" customFormat="false" ht="12.75" hidden="false" customHeight="false" outlineLevel="0" collapsed="false">
      <c r="A181" s="355"/>
      <c r="E181" s="365" t="str">
        <f aca="false">IF((G181&lt;&gt;0),"Enter Letter"," ")</f>
        <v> </v>
      </c>
      <c r="H181" s="338" t="str">
        <f aca="false">IF((G181&lt;&gt;0),IF((D181&gt;0)," ",G181)," ")</f>
        <v> </v>
      </c>
      <c r="I181" s="367" t="str">
        <f aca="false">IF((G181&lt;&gt;0),IF((D181&gt;0)," ",(I$1-A181))," ")</f>
        <v> </v>
      </c>
      <c r="J181" s="334" t="str">
        <f aca="false">IF((E181="s"),G181," ")</f>
        <v> </v>
      </c>
      <c r="K181" s="334" t="str">
        <f aca="false">IF((E181="d"),G181," ")</f>
        <v> </v>
      </c>
      <c r="L181" s="334" t="str">
        <f aca="false">IF((E181="e"),G181," ")</f>
        <v> </v>
      </c>
      <c r="M181" s="334" t="str">
        <f aca="false">IF((E181="p"),G181," ")</f>
        <v> </v>
      </c>
      <c r="N181" s="334" t="str">
        <f aca="false">IF((E181="r"),G181," ")</f>
        <v> </v>
      </c>
      <c r="O181" s="334" t="str">
        <f aca="false">IF((E181="g"),G181," ")</f>
        <v> </v>
      </c>
      <c r="P181" s="334" t="str">
        <f aca="false">IF((E181="m"),G181," ")</f>
        <v> </v>
      </c>
      <c r="Q181" s="334" t="str">
        <f aca="false">IF((E181="t"),G181," ")</f>
        <v> </v>
      </c>
      <c r="R181" s="334" t="str">
        <f aca="false">IF((E181="a"),G181," ")</f>
        <v> </v>
      </c>
      <c r="S181" s="334" t="str">
        <f aca="false">IF((E181="l"),G181," ")</f>
        <v> </v>
      </c>
      <c r="T181" s="334" t="str">
        <f aca="false">IF((E181="b"),G181," ")</f>
        <v> </v>
      </c>
      <c r="U181" s="334" t="str">
        <f aca="false">IF((E181="i"),G181," ")</f>
        <v> </v>
      </c>
      <c r="V181" s="334" t="str">
        <f aca="false">IF((E181="o"),G181," ")</f>
        <v> </v>
      </c>
      <c r="W181" s="334" t="str">
        <f aca="false">IF((E181="f"),G181," ")</f>
        <v> </v>
      </c>
    </row>
    <row r="182" customFormat="false" ht="12.75" hidden="false" customHeight="false" outlineLevel="0" collapsed="false">
      <c r="A182" s="355"/>
      <c r="E182" s="365" t="str">
        <f aca="false">IF((G182&lt;&gt;0),"Enter Letter"," ")</f>
        <v> </v>
      </c>
      <c r="H182" s="338" t="str">
        <f aca="false">IF((G182&lt;&gt;0),IF((D182&gt;0)," ",G182)," ")</f>
        <v> </v>
      </c>
      <c r="I182" s="367" t="str">
        <f aca="false">IF((G182&lt;&gt;0),IF((D182&gt;0)," ",(I$1-A182))," ")</f>
        <v> </v>
      </c>
      <c r="J182" s="334" t="str">
        <f aca="false">IF((E182="s"),G182," ")</f>
        <v> </v>
      </c>
      <c r="K182" s="334" t="str">
        <f aca="false">IF((E182="d"),G182," ")</f>
        <v> </v>
      </c>
      <c r="L182" s="334" t="str">
        <f aca="false">IF((E182="e"),G182," ")</f>
        <v> </v>
      </c>
      <c r="M182" s="334" t="str">
        <f aca="false">IF((E182="p"),G182," ")</f>
        <v> </v>
      </c>
      <c r="N182" s="334" t="str">
        <f aca="false">IF((E182="r"),G182," ")</f>
        <v> </v>
      </c>
      <c r="O182" s="334" t="str">
        <f aca="false">IF((E182="g"),G182," ")</f>
        <v> </v>
      </c>
      <c r="P182" s="334" t="str">
        <f aca="false">IF((E182="m"),G182," ")</f>
        <v> </v>
      </c>
      <c r="Q182" s="334" t="str">
        <f aca="false">IF((E182="t"),G182," ")</f>
        <v> </v>
      </c>
      <c r="R182" s="334" t="str">
        <f aca="false">IF((E182="a"),G182," ")</f>
        <v> </v>
      </c>
      <c r="S182" s="334" t="str">
        <f aca="false">IF((E182="l"),G182," ")</f>
        <v> </v>
      </c>
      <c r="T182" s="334" t="str">
        <f aca="false">IF((E182="b"),G182," ")</f>
        <v> </v>
      </c>
      <c r="U182" s="334" t="str">
        <f aca="false">IF((E182="i"),G182," ")</f>
        <v> </v>
      </c>
      <c r="V182" s="334" t="str">
        <f aca="false">IF((E182="o"),G182," ")</f>
        <v> </v>
      </c>
      <c r="W182" s="334" t="str">
        <f aca="false">IF((E182="f"),G182," ")</f>
        <v> </v>
      </c>
    </row>
    <row r="183" customFormat="false" ht="12.75" hidden="false" customHeight="false" outlineLevel="0" collapsed="false">
      <c r="A183" s="355"/>
      <c r="E183" s="365" t="str">
        <f aca="false">IF((G183&lt;&gt;0),"Enter Letter"," ")</f>
        <v> </v>
      </c>
      <c r="H183" s="338" t="str">
        <f aca="false">IF((G183&lt;&gt;0),IF((D183&gt;0)," ",G183)," ")</f>
        <v> </v>
      </c>
      <c r="I183" s="367" t="str">
        <f aca="false">IF((G183&lt;&gt;0),IF((D183&gt;0)," ",(I$1-A183))," ")</f>
        <v> </v>
      </c>
      <c r="J183" s="334" t="str">
        <f aca="false">IF((E183="s"),G183," ")</f>
        <v> </v>
      </c>
      <c r="K183" s="334" t="str">
        <f aca="false">IF((E183="d"),G183," ")</f>
        <v> </v>
      </c>
      <c r="L183" s="334" t="str">
        <f aca="false">IF((E183="e"),G183," ")</f>
        <v> </v>
      </c>
      <c r="M183" s="334" t="str">
        <f aca="false">IF((E183="p"),G183," ")</f>
        <v> </v>
      </c>
      <c r="N183" s="334" t="str">
        <f aca="false">IF((E183="r"),G183," ")</f>
        <v> </v>
      </c>
      <c r="O183" s="334" t="str">
        <f aca="false">IF((E183="g"),G183," ")</f>
        <v> </v>
      </c>
      <c r="P183" s="334" t="str">
        <f aca="false">IF((E183="m"),G183," ")</f>
        <v> </v>
      </c>
      <c r="Q183" s="334" t="str">
        <f aca="false">IF((E183="t"),G183," ")</f>
        <v> </v>
      </c>
      <c r="R183" s="334" t="str">
        <f aca="false">IF((E183="a"),G183," ")</f>
        <v> </v>
      </c>
      <c r="S183" s="334" t="str">
        <f aca="false">IF((E183="l"),G183," ")</f>
        <v> </v>
      </c>
      <c r="T183" s="334" t="str">
        <f aca="false">IF((E183="b"),G183," ")</f>
        <v> </v>
      </c>
      <c r="U183" s="334" t="str">
        <f aca="false">IF((E183="i"),G183," ")</f>
        <v> </v>
      </c>
      <c r="V183" s="334" t="str">
        <f aca="false">IF((E183="o"),G183," ")</f>
        <v> </v>
      </c>
      <c r="W183" s="334" t="str">
        <f aca="false">IF((E183="f"),G183," ")</f>
        <v> </v>
      </c>
    </row>
    <row r="184" customFormat="false" ht="12.75" hidden="false" customHeight="false" outlineLevel="0" collapsed="false">
      <c r="A184" s="355"/>
      <c r="E184" s="365" t="str">
        <f aca="false">IF((G184&lt;&gt;0),"Enter Letter"," ")</f>
        <v> </v>
      </c>
      <c r="H184" s="338" t="str">
        <f aca="false">IF((G184&lt;&gt;0),IF((D184&gt;0)," ",G184)," ")</f>
        <v> </v>
      </c>
      <c r="I184" s="367" t="str">
        <f aca="false">IF((G184&lt;&gt;0),IF((D184&gt;0)," ",(I$1-A184))," ")</f>
        <v> </v>
      </c>
      <c r="J184" s="334" t="str">
        <f aca="false">IF((E184="s"),G184," ")</f>
        <v> </v>
      </c>
      <c r="K184" s="334" t="str">
        <f aca="false">IF((E184="d"),G184," ")</f>
        <v> </v>
      </c>
      <c r="L184" s="334" t="str">
        <f aca="false">IF((E184="e"),G184," ")</f>
        <v> </v>
      </c>
      <c r="M184" s="334" t="str">
        <f aca="false">IF((E184="p"),G184," ")</f>
        <v> </v>
      </c>
      <c r="N184" s="334" t="str">
        <f aca="false">IF((E184="r"),G184," ")</f>
        <v> </v>
      </c>
      <c r="O184" s="334" t="str">
        <f aca="false">IF((E184="g"),G184," ")</f>
        <v> </v>
      </c>
      <c r="P184" s="334" t="str">
        <f aca="false">IF((E184="m"),G184," ")</f>
        <v> </v>
      </c>
      <c r="Q184" s="334" t="str">
        <f aca="false">IF((E184="t"),G184," ")</f>
        <v> </v>
      </c>
      <c r="R184" s="334" t="str">
        <f aca="false">IF((E184="a"),G184," ")</f>
        <v> </v>
      </c>
      <c r="S184" s="334" t="str">
        <f aca="false">IF((E184="l"),G184," ")</f>
        <v> </v>
      </c>
      <c r="T184" s="334" t="str">
        <f aca="false">IF((E184="b"),G184," ")</f>
        <v> </v>
      </c>
      <c r="U184" s="334" t="str">
        <f aca="false">IF((E184="i"),G184," ")</f>
        <v> </v>
      </c>
      <c r="V184" s="334" t="str">
        <f aca="false">IF((E184="o"),G184," ")</f>
        <v> </v>
      </c>
      <c r="W184" s="334" t="str">
        <f aca="false">IF((E184="f"),G184," ")</f>
        <v> </v>
      </c>
    </row>
    <row r="185" customFormat="false" ht="12.75" hidden="false" customHeight="false" outlineLevel="0" collapsed="false">
      <c r="A185" s="355"/>
      <c r="E185" s="365" t="str">
        <f aca="false">IF((G185&lt;&gt;0),"Enter Letter"," ")</f>
        <v> </v>
      </c>
      <c r="H185" s="338" t="str">
        <f aca="false">IF((G185&lt;&gt;0),IF((D185&gt;0)," ",G185)," ")</f>
        <v> </v>
      </c>
      <c r="I185" s="367" t="str">
        <f aca="false">IF((G185&lt;&gt;0),IF((D185&gt;0)," ",(I$1-A185))," ")</f>
        <v> </v>
      </c>
      <c r="J185" s="334" t="str">
        <f aca="false">IF((E185="s"),G185," ")</f>
        <v> </v>
      </c>
      <c r="K185" s="334" t="str">
        <f aca="false">IF((E185="d"),G185," ")</f>
        <v> </v>
      </c>
      <c r="L185" s="334" t="str">
        <f aca="false">IF((E185="e"),G185," ")</f>
        <v> </v>
      </c>
      <c r="M185" s="334" t="str">
        <f aca="false">IF((E185="p"),G185," ")</f>
        <v> </v>
      </c>
      <c r="N185" s="334" t="str">
        <f aca="false">IF((E185="r"),G185," ")</f>
        <v> </v>
      </c>
      <c r="O185" s="334" t="str">
        <f aca="false">IF((E185="g"),G185," ")</f>
        <v> </v>
      </c>
      <c r="P185" s="334" t="str">
        <f aca="false">IF((E185="m"),G185," ")</f>
        <v> </v>
      </c>
      <c r="Q185" s="334" t="str">
        <f aca="false">IF((E185="t"),G185," ")</f>
        <v> </v>
      </c>
      <c r="R185" s="334" t="str">
        <f aca="false">IF((E185="a"),G185," ")</f>
        <v> </v>
      </c>
      <c r="S185" s="334" t="str">
        <f aca="false">IF((E185="l"),G185," ")</f>
        <v> </v>
      </c>
      <c r="T185" s="334" t="str">
        <f aca="false">IF((E185="b"),G185," ")</f>
        <v> </v>
      </c>
      <c r="U185" s="334" t="str">
        <f aca="false">IF((E185="i"),G185," ")</f>
        <v> </v>
      </c>
      <c r="V185" s="334" t="str">
        <f aca="false">IF((E185="o"),G185," ")</f>
        <v> </v>
      </c>
      <c r="W185" s="334" t="str">
        <f aca="false">IF((E185="f"),G185," ")</f>
        <v> </v>
      </c>
    </row>
    <row r="186" customFormat="false" ht="12.75" hidden="false" customHeight="false" outlineLevel="0" collapsed="false">
      <c r="A186" s="355"/>
      <c r="E186" s="365" t="str">
        <f aca="false">IF((G186&lt;&gt;0),"Enter Letter"," ")</f>
        <v> </v>
      </c>
      <c r="H186" s="338" t="str">
        <f aca="false">IF((G186&lt;&gt;0),IF((D186&gt;0)," ",G186)," ")</f>
        <v> </v>
      </c>
      <c r="I186" s="367" t="str">
        <f aca="false">IF((G186&lt;&gt;0),IF((D186&gt;0)," ",(I$1-A186))," ")</f>
        <v> </v>
      </c>
      <c r="J186" s="334" t="str">
        <f aca="false">IF((E186="s"),G186," ")</f>
        <v> </v>
      </c>
      <c r="K186" s="334" t="str">
        <f aca="false">IF((E186="d"),G186," ")</f>
        <v> </v>
      </c>
      <c r="L186" s="334" t="str">
        <f aca="false">IF((E186="e"),G186," ")</f>
        <v> </v>
      </c>
      <c r="M186" s="334" t="str">
        <f aca="false">IF((E186="p"),G186," ")</f>
        <v> </v>
      </c>
      <c r="N186" s="334" t="str">
        <f aca="false">IF((E186="r"),G186," ")</f>
        <v> </v>
      </c>
      <c r="O186" s="334" t="str">
        <f aca="false">IF((E186="g"),G186," ")</f>
        <v> </v>
      </c>
      <c r="P186" s="334" t="str">
        <f aca="false">IF((E186="m"),G186," ")</f>
        <v> </v>
      </c>
      <c r="Q186" s="334" t="str">
        <f aca="false">IF((E186="t"),G186," ")</f>
        <v> </v>
      </c>
      <c r="R186" s="334" t="str">
        <f aca="false">IF((E186="a"),G186," ")</f>
        <v> </v>
      </c>
      <c r="S186" s="334" t="str">
        <f aca="false">IF((E186="l"),G186," ")</f>
        <v> </v>
      </c>
      <c r="T186" s="334" t="str">
        <f aca="false">IF((E186="b"),G186," ")</f>
        <v> </v>
      </c>
      <c r="U186" s="334" t="str">
        <f aca="false">IF((E186="i"),G186," ")</f>
        <v> </v>
      </c>
      <c r="V186" s="334" t="str">
        <f aca="false">IF((E186="o"),G186," ")</f>
        <v> </v>
      </c>
      <c r="W186" s="334" t="str">
        <f aca="false">IF((E186="f"),G186," ")</f>
        <v> </v>
      </c>
    </row>
    <row r="187" customFormat="false" ht="12.75" hidden="false" customHeight="false" outlineLevel="0" collapsed="false">
      <c r="A187" s="355"/>
      <c r="E187" s="365" t="str">
        <f aca="false">IF((G187&lt;&gt;0),"Enter Letter"," ")</f>
        <v> </v>
      </c>
      <c r="H187" s="338" t="str">
        <f aca="false">IF((G187&lt;&gt;0),IF((D187&gt;0)," ",G187)," ")</f>
        <v> </v>
      </c>
      <c r="I187" s="367" t="str">
        <f aca="false">IF((G187&lt;&gt;0),IF((D187&gt;0)," ",(I$1-A187))," ")</f>
        <v> </v>
      </c>
      <c r="J187" s="334" t="str">
        <f aca="false">IF((E187="s"),G187," ")</f>
        <v> </v>
      </c>
      <c r="K187" s="334" t="str">
        <f aca="false">IF((E187="d"),G187," ")</f>
        <v> </v>
      </c>
      <c r="L187" s="334" t="str">
        <f aca="false">IF((E187="e"),G187," ")</f>
        <v> </v>
      </c>
      <c r="M187" s="334" t="str">
        <f aca="false">IF((E187="p"),G187," ")</f>
        <v> </v>
      </c>
      <c r="N187" s="334" t="str">
        <f aca="false">IF((E187="r"),G187," ")</f>
        <v> </v>
      </c>
      <c r="O187" s="334" t="str">
        <f aca="false">IF((E187="g"),G187," ")</f>
        <v> </v>
      </c>
      <c r="P187" s="334" t="str">
        <f aca="false">IF((E187="m"),G187," ")</f>
        <v> </v>
      </c>
      <c r="Q187" s="334" t="str">
        <f aca="false">IF((E187="t"),G187," ")</f>
        <v> </v>
      </c>
      <c r="R187" s="334" t="str">
        <f aca="false">IF((E187="a"),G187," ")</f>
        <v> </v>
      </c>
      <c r="S187" s="334" t="str">
        <f aca="false">IF((E187="l"),G187," ")</f>
        <v> </v>
      </c>
      <c r="T187" s="334" t="str">
        <f aca="false">IF((E187="b"),G187," ")</f>
        <v> </v>
      </c>
      <c r="U187" s="334" t="str">
        <f aca="false">IF((E187="i"),G187," ")</f>
        <v> </v>
      </c>
      <c r="V187" s="334" t="str">
        <f aca="false">IF((E187="o"),G187," ")</f>
        <v> </v>
      </c>
      <c r="W187" s="334" t="str">
        <f aca="false">IF((E187="f"),G187," ")</f>
        <v> </v>
      </c>
    </row>
    <row r="188" customFormat="false" ht="12.75" hidden="false" customHeight="false" outlineLevel="0" collapsed="false">
      <c r="A188" s="355"/>
      <c r="E188" s="365" t="str">
        <f aca="false">IF((G188&lt;&gt;0),"Enter Letter"," ")</f>
        <v> </v>
      </c>
      <c r="H188" s="338" t="str">
        <f aca="false">IF((G188&lt;&gt;0),IF((D188&gt;0)," ",G188)," ")</f>
        <v> </v>
      </c>
      <c r="I188" s="367" t="str">
        <f aca="false">IF((G188&lt;&gt;0),IF((D188&gt;0)," ",(I$1-A188))," ")</f>
        <v> </v>
      </c>
      <c r="J188" s="334" t="str">
        <f aca="false">IF((E188="s"),G188," ")</f>
        <v> </v>
      </c>
      <c r="K188" s="334" t="str">
        <f aca="false">IF((E188="d"),G188," ")</f>
        <v> </v>
      </c>
      <c r="L188" s="334" t="str">
        <f aca="false">IF((E188="e"),G188," ")</f>
        <v> </v>
      </c>
      <c r="M188" s="334" t="str">
        <f aca="false">IF((E188="p"),G188," ")</f>
        <v> </v>
      </c>
      <c r="N188" s="334" t="str">
        <f aca="false">IF((E188="r"),G188," ")</f>
        <v> </v>
      </c>
      <c r="O188" s="334" t="str">
        <f aca="false">IF((E188="g"),G188," ")</f>
        <v> </v>
      </c>
      <c r="P188" s="334" t="str">
        <f aca="false">IF((E188="m"),G188," ")</f>
        <v> </v>
      </c>
      <c r="Q188" s="334" t="str">
        <f aca="false">IF((E188="t"),G188," ")</f>
        <v> </v>
      </c>
      <c r="R188" s="334" t="str">
        <f aca="false">IF((E188="a"),G188," ")</f>
        <v> </v>
      </c>
      <c r="S188" s="334" t="str">
        <f aca="false">IF((E188="l"),G188," ")</f>
        <v> </v>
      </c>
      <c r="T188" s="334" t="str">
        <f aca="false">IF((E188="b"),G188," ")</f>
        <v> </v>
      </c>
      <c r="U188" s="334" t="str">
        <f aca="false">IF((E188="i"),G188," ")</f>
        <v> </v>
      </c>
      <c r="V188" s="334" t="str">
        <f aca="false">IF((E188="o"),G188," ")</f>
        <v> </v>
      </c>
      <c r="W188" s="334" t="str">
        <f aca="false">IF((E188="f"),G188," ")</f>
        <v> </v>
      </c>
    </row>
    <row r="189" customFormat="false" ht="12.75" hidden="false" customHeight="false" outlineLevel="0" collapsed="false">
      <c r="A189" s="355"/>
      <c r="E189" s="365" t="str">
        <f aca="false">IF((G189&lt;&gt;0),"Enter Letter"," ")</f>
        <v> </v>
      </c>
      <c r="H189" s="338" t="str">
        <f aca="false">IF((G189&lt;&gt;0),IF((D189&gt;0)," ",G189)," ")</f>
        <v> </v>
      </c>
      <c r="I189" s="367" t="str">
        <f aca="false">IF((G189&lt;&gt;0),IF((D189&gt;0)," ",(I$1-A189))," ")</f>
        <v> </v>
      </c>
      <c r="J189" s="334" t="str">
        <f aca="false">IF((E189="s"),G189," ")</f>
        <v> </v>
      </c>
      <c r="K189" s="334" t="str">
        <f aca="false">IF((E189="d"),G189," ")</f>
        <v> </v>
      </c>
      <c r="L189" s="334" t="str">
        <f aca="false">IF((E189="e"),G189," ")</f>
        <v> </v>
      </c>
      <c r="M189" s="334" t="str">
        <f aca="false">IF((E189="p"),G189," ")</f>
        <v> </v>
      </c>
      <c r="N189" s="334" t="str">
        <f aca="false">IF((E189="r"),G189," ")</f>
        <v> </v>
      </c>
      <c r="O189" s="334" t="str">
        <f aca="false">IF((E189="g"),G189," ")</f>
        <v> </v>
      </c>
      <c r="P189" s="334" t="str">
        <f aca="false">IF((E189="m"),G189," ")</f>
        <v> </v>
      </c>
      <c r="Q189" s="334" t="str">
        <f aca="false">IF((E189="t"),G189," ")</f>
        <v> </v>
      </c>
      <c r="R189" s="334" t="str">
        <f aca="false">IF((E189="a"),G189," ")</f>
        <v> </v>
      </c>
      <c r="S189" s="334" t="str">
        <f aca="false">IF((E189="l"),G189," ")</f>
        <v> </v>
      </c>
      <c r="T189" s="334" t="str">
        <f aca="false">IF((E189="b"),G189," ")</f>
        <v> </v>
      </c>
      <c r="U189" s="334" t="str">
        <f aca="false">IF((E189="i"),G189," ")</f>
        <v> </v>
      </c>
      <c r="V189" s="334" t="str">
        <f aca="false">IF((E189="o"),G189," ")</f>
        <v> </v>
      </c>
      <c r="W189" s="334" t="str">
        <f aca="false">IF((E189="f"),G189," ")</f>
        <v> </v>
      </c>
    </row>
    <row r="190" customFormat="false" ht="12.75" hidden="false" customHeight="false" outlineLevel="0" collapsed="false">
      <c r="A190" s="355"/>
      <c r="E190" s="365" t="str">
        <f aca="false">IF((G190&lt;&gt;0),"Enter Letter"," ")</f>
        <v> </v>
      </c>
      <c r="H190" s="338" t="str">
        <f aca="false">IF((G190&lt;&gt;0),IF((D190&gt;0)," ",G190)," ")</f>
        <v> </v>
      </c>
      <c r="I190" s="367" t="str">
        <f aca="false">IF((G190&lt;&gt;0),IF((D190&gt;0)," ",(I$1-A190))," ")</f>
        <v> </v>
      </c>
      <c r="J190" s="334" t="str">
        <f aca="false">IF((E190="s"),G190," ")</f>
        <v> </v>
      </c>
      <c r="K190" s="334" t="str">
        <f aca="false">IF((E190="d"),G190," ")</f>
        <v> </v>
      </c>
      <c r="L190" s="334" t="str">
        <f aca="false">IF((E190="e"),G190," ")</f>
        <v> </v>
      </c>
      <c r="M190" s="334" t="str">
        <f aca="false">IF((E190="p"),G190," ")</f>
        <v> </v>
      </c>
      <c r="N190" s="334" t="str">
        <f aca="false">IF((E190="r"),G190," ")</f>
        <v> </v>
      </c>
      <c r="O190" s="334" t="str">
        <f aca="false">IF((E190="g"),G190," ")</f>
        <v> </v>
      </c>
      <c r="P190" s="334" t="str">
        <f aca="false">IF((E190="m"),G190," ")</f>
        <v> </v>
      </c>
      <c r="Q190" s="334" t="str">
        <f aca="false">IF((E190="t"),G190," ")</f>
        <v> </v>
      </c>
      <c r="R190" s="334" t="str">
        <f aca="false">IF((E190="a"),G190," ")</f>
        <v> </v>
      </c>
      <c r="S190" s="334" t="str">
        <f aca="false">IF((E190="l"),G190," ")</f>
        <v> </v>
      </c>
      <c r="T190" s="334" t="str">
        <f aca="false">IF((E190="b"),G190," ")</f>
        <v> </v>
      </c>
      <c r="U190" s="334" t="str">
        <f aca="false">IF((E190="i"),G190," ")</f>
        <v> </v>
      </c>
      <c r="V190" s="334" t="str">
        <f aca="false">IF((E190="o"),G190," ")</f>
        <v> </v>
      </c>
      <c r="W190" s="334" t="str">
        <f aca="false">IF((E190="f"),G190," ")</f>
        <v> </v>
      </c>
    </row>
    <row r="191" customFormat="false" ht="12.75" hidden="false" customHeight="false" outlineLevel="0" collapsed="false">
      <c r="A191" s="355"/>
      <c r="E191" s="365" t="str">
        <f aca="false">IF((G191&lt;&gt;0),"Enter Letter"," ")</f>
        <v> </v>
      </c>
      <c r="H191" s="338" t="str">
        <f aca="false">IF((G191&lt;&gt;0),IF((D191&gt;0)," ",G191)," ")</f>
        <v> </v>
      </c>
      <c r="I191" s="367" t="str">
        <f aca="false">IF((G191&lt;&gt;0),IF((D191&gt;0)," ",(I$1-A191))," ")</f>
        <v> </v>
      </c>
      <c r="J191" s="334" t="str">
        <f aca="false">IF((E191="s"),G191," ")</f>
        <v> </v>
      </c>
      <c r="K191" s="334" t="str">
        <f aca="false">IF((E191="d"),G191," ")</f>
        <v> </v>
      </c>
      <c r="L191" s="334" t="str">
        <f aca="false">IF((E191="e"),G191," ")</f>
        <v> </v>
      </c>
      <c r="M191" s="334" t="str">
        <f aca="false">IF((E191="p"),G191," ")</f>
        <v> </v>
      </c>
      <c r="N191" s="334" t="str">
        <f aca="false">IF((E191="r"),G191," ")</f>
        <v> </v>
      </c>
      <c r="O191" s="334" t="str">
        <f aca="false">IF((E191="g"),G191," ")</f>
        <v> </v>
      </c>
      <c r="P191" s="334" t="str">
        <f aca="false">IF((E191="m"),G191," ")</f>
        <v> </v>
      </c>
      <c r="Q191" s="334" t="str">
        <f aca="false">IF((E191="t"),G191," ")</f>
        <v> </v>
      </c>
      <c r="R191" s="334" t="str">
        <f aca="false">IF((E191="a"),G191," ")</f>
        <v> </v>
      </c>
      <c r="S191" s="334" t="str">
        <f aca="false">IF((E191="l"),G191," ")</f>
        <v> </v>
      </c>
      <c r="T191" s="334" t="str">
        <f aca="false">IF((E191="b"),G191," ")</f>
        <v> </v>
      </c>
      <c r="U191" s="334" t="str">
        <f aca="false">IF((E191="i"),G191," ")</f>
        <v> </v>
      </c>
      <c r="V191" s="334" t="str">
        <f aca="false">IF((E191="o"),G191," ")</f>
        <v> </v>
      </c>
      <c r="W191" s="334" t="str">
        <f aca="false">IF((E191="f"),G191," ")</f>
        <v> </v>
      </c>
    </row>
    <row r="192" customFormat="false" ht="12.75" hidden="false" customHeight="false" outlineLevel="0" collapsed="false">
      <c r="A192" s="355"/>
      <c r="E192" s="365" t="str">
        <f aca="false">IF((G192&lt;&gt;0),"Enter Letter"," ")</f>
        <v> </v>
      </c>
      <c r="H192" s="338" t="str">
        <f aca="false">IF((G192&lt;&gt;0),IF((D192&gt;0)," ",G192)," ")</f>
        <v> </v>
      </c>
      <c r="I192" s="367" t="str">
        <f aca="false">IF((G192&lt;&gt;0),IF((D192&gt;0)," ",(I$1-A192))," ")</f>
        <v> </v>
      </c>
      <c r="J192" s="334" t="str">
        <f aca="false">IF((E192="s"),G192," ")</f>
        <v> </v>
      </c>
      <c r="K192" s="334" t="str">
        <f aca="false">IF((E192="d"),G192," ")</f>
        <v> </v>
      </c>
      <c r="L192" s="334" t="str">
        <f aca="false">IF((E192="e"),G192," ")</f>
        <v> </v>
      </c>
      <c r="M192" s="334" t="str">
        <f aca="false">IF((E192="p"),G192," ")</f>
        <v> </v>
      </c>
      <c r="N192" s="334" t="str">
        <f aca="false">IF((E192="r"),G192," ")</f>
        <v> </v>
      </c>
      <c r="O192" s="334" t="str">
        <f aca="false">IF((E192="g"),G192," ")</f>
        <v> </v>
      </c>
      <c r="P192" s="334" t="str">
        <f aca="false">IF((E192="m"),G192," ")</f>
        <v> </v>
      </c>
      <c r="Q192" s="334" t="str">
        <f aca="false">IF((E192="t"),G192," ")</f>
        <v> </v>
      </c>
      <c r="R192" s="334" t="str">
        <f aca="false">IF((E192="a"),G192," ")</f>
        <v> </v>
      </c>
      <c r="S192" s="334" t="str">
        <f aca="false">IF((E192="l"),G192," ")</f>
        <v> </v>
      </c>
      <c r="T192" s="334" t="str">
        <f aca="false">IF((E192="b"),G192," ")</f>
        <v> </v>
      </c>
      <c r="U192" s="334" t="str">
        <f aca="false">IF((E192="i"),G192," ")</f>
        <v> </v>
      </c>
      <c r="V192" s="334" t="str">
        <f aca="false">IF((E192="o"),G192," ")</f>
        <v> </v>
      </c>
      <c r="W192" s="334" t="str">
        <f aca="false">IF((E192="f"),G192," ")</f>
        <v> </v>
      </c>
    </row>
    <row r="193" customFormat="false" ht="12.75" hidden="false" customHeight="false" outlineLevel="0" collapsed="false">
      <c r="A193" s="355"/>
      <c r="E193" s="365" t="str">
        <f aca="false">IF((G193&lt;&gt;0),"Enter Letter"," ")</f>
        <v> </v>
      </c>
      <c r="H193" s="338" t="str">
        <f aca="false">IF((G193&lt;&gt;0),IF((D193&gt;0)," ",G193)," ")</f>
        <v> </v>
      </c>
      <c r="I193" s="367" t="str">
        <f aca="false">IF((G193&lt;&gt;0),IF((D193&gt;0)," ",(I$1-A193))," ")</f>
        <v> </v>
      </c>
      <c r="J193" s="334" t="str">
        <f aca="false">IF((E193="s"),G193," ")</f>
        <v> </v>
      </c>
      <c r="K193" s="334" t="str">
        <f aca="false">IF((E193="d"),G193," ")</f>
        <v> </v>
      </c>
      <c r="L193" s="334" t="str">
        <f aca="false">IF((E193="e"),G193," ")</f>
        <v> </v>
      </c>
      <c r="M193" s="334" t="str">
        <f aca="false">IF((E193="p"),G193," ")</f>
        <v> </v>
      </c>
      <c r="N193" s="334" t="str">
        <f aca="false">IF((E193="r"),G193," ")</f>
        <v> </v>
      </c>
      <c r="O193" s="334" t="str">
        <f aca="false">IF((E193="g"),G193," ")</f>
        <v> </v>
      </c>
      <c r="P193" s="334" t="str">
        <f aca="false">IF((E193="m"),G193," ")</f>
        <v> </v>
      </c>
      <c r="Q193" s="334" t="str">
        <f aca="false">IF((E193="t"),G193," ")</f>
        <v> </v>
      </c>
      <c r="R193" s="334" t="str">
        <f aca="false">IF((E193="a"),G193," ")</f>
        <v> </v>
      </c>
      <c r="S193" s="334" t="str">
        <f aca="false">IF((E193="l"),G193," ")</f>
        <v> </v>
      </c>
      <c r="T193" s="334" t="str">
        <f aca="false">IF((E193="b"),G193," ")</f>
        <v> </v>
      </c>
      <c r="U193" s="334" t="str">
        <f aca="false">IF((E193="i"),G193," ")</f>
        <v> </v>
      </c>
      <c r="V193" s="334" t="str">
        <f aca="false">IF((E193="o"),G193," ")</f>
        <v> </v>
      </c>
      <c r="W193" s="334" t="str">
        <f aca="false">IF((E193="f"),G193," ")</f>
        <v> </v>
      </c>
    </row>
    <row r="194" customFormat="false" ht="12.75" hidden="false" customHeight="false" outlineLevel="0" collapsed="false">
      <c r="A194" s="355"/>
      <c r="E194" s="365" t="str">
        <f aca="false">IF((G194&lt;&gt;0),"Enter Letter"," ")</f>
        <v> </v>
      </c>
      <c r="H194" s="338" t="str">
        <f aca="false">IF((G194&lt;&gt;0),IF((D194&gt;0)," ",G194)," ")</f>
        <v> </v>
      </c>
      <c r="I194" s="367" t="str">
        <f aca="false">IF((G194&lt;&gt;0),IF((D194&gt;0)," ",(I$1-A194))," ")</f>
        <v> </v>
      </c>
      <c r="J194" s="334" t="str">
        <f aca="false">IF((E194="s"),G194," ")</f>
        <v> </v>
      </c>
      <c r="K194" s="334" t="str">
        <f aca="false">IF((E194="d"),G194," ")</f>
        <v> </v>
      </c>
      <c r="L194" s="334" t="str">
        <f aca="false">IF((E194="e"),G194," ")</f>
        <v> </v>
      </c>
      <c r="M194" s="334" t="str">
        <f aca="false">IF((E194="p"),G194," ")</f>
        <v> </v>
      </c>
      <c r="N194" s="334" t="str">
        <f aca="false">IF((E194="r"),G194," ")</f>
        <v> </v>
      </c>
      <c r="O194" s="334" t="str">
        <f aca="false">IF((E194="g"),G194," ")</f>
        <v> </v>
      </c>
      <c r="P194" s="334" t="str">
        <f aca="false">IF((E194="m"),G194," ")</f>
        <v> </v>
      </c>
      <c r="Q194" s="334" t="str">
        <f aca="false">IF((E194="t"),G194," ")</f>
        <v> </v>
      </c>
      <c r="R194" s="334" t="str">
        <f aca="false">IF((E194="a"),G194," ")</f>
        <v> </v>
      </c>
      <c r="S194" s="334" t="str">
        <f aca="false">IF((E194="l"),G194," ")</f>
        <v> </v>
      </c>
      <c r="T194" s="334" t="str">
        <f aca="false">IF((E194="b"),G194," ")</f>
        <v> </v>
      </c>
      <c r="U194" s="334" t="str">
        <f aca="false">IF((E194="i"),G194," ")</f>
        <v> </v>
      </c>
      <c r="V194" s="334" t="str">
        <f aca="false">IF((E194="o"),G194," ")</f>
        <v> </v>
      </c>
      <c r="W194" s="334" t="str">
        <f aca="false">IF((E194="f"),G194," ")</f>
        <v> </v>
      </c>
    </row>
    <row r="195" customFormat="false" ht="12.75" hidden="false" customHeight="false" outlineLevel="0" collapsed="false">
      <c r="A195" s="355"/>
      <c r="E195" s="365" t="str">
        <f aca="false">IF((G195&lt;&gt;0),"Enter Letter"," ")</f>
        <v> </v>
      </c>
      <c r="H195" s="338" t="str">
        <f aca="false">IF((G195&lt;&gt;0),IF((D195&gt;0)," ",G195)," ")</f>
        <v> </v>
      </c>
      <c r="I195" s="367" t="str">
        <f aca="false">IF((G195&lt;&gt;0),IF((D195&gt;0)," ",(I$1-A195))," ")</f>
        <v> </v>
      </c>
      <c r="J195" s="334" t="str">
        <f aca="false">IF((E195="s"),G195," ")</f>
        <v> </v>
      </c>
      <c r="K195" s="334" t="str">
        <f aca="false">IF((E195="d"),G195," ")</f>
        <v> </v>
      </c>
      <c r="L195" s="334" t="str">
        <f aca="false">IF((E195="e"),G195," ")</f>
        <v> </v>
      </c>
      <c r="M195" s="334" t="str">
        <f aca="false">IF((E195="p"),G195," ")</f>
        <v> </v>
      </c>
      <c r="N195" s="334" t="str">
        <f aca="false">IF((E195="r"),G195," ")</f>
        <v> </v>
      </c>
      <c r="O195" s="334" t="str">
        <f aca="false">IF((E195="g"),G195," ")</f>
        <v> </v>
      </c>
      <c r="P195" s="334" t="str">
        <f aca="false">IF((E195="m"),G195," ")</f>
        <v> </v>
      </c>
      <c r="Q195" s="334" t="str">
        <f aca="false">IF((E195="t"),G195," ")</f>
        <v> </v>
      </c>
      <c r="R195" s="334" t="str">
        <f aca="false">IF((E195="a"),G195," ")</f>
        <v> </v>
      </c>
      <c r="S195" s="334" t="str">
        <f aca="false">IF((E195="l"),G195," ")</f>
        <v> </v>
      </c>
      <c r="T195" s="334" t="str">
        <f aca="false">IF((E195="b"),G195," ")</f>
        <v> </v>
      </c>
      <c r="U195" s="334" t="str">
        <f aca="false">IF((E195="i"),G195," ")</f>
        <v> </v>
      </c>
      <c r="V195" s="334" t="str">
        <f aca="false">IF((E195="o"),G195," ")</f>
        <v> </v>
      </c>
      <c r="W195" s="334" t="str">
        <f aca="false">IF((E195="f"),G195," ")</f>
        <v> </v>
      </c>
    </row>
    <row r="196" customFormat="false" ht="12.75" hidden="false" customHeight="false" outlineLevel="0" collapsed="false">
      <c r="A196" s="355"/>
      <c r="E196" s="365" t="str">
        <f aca="false">IF((G196&lt;&gt;0),"Enter Letter"," ")</f>
        <v> </v>
      </c>
      <c r="H196" s="338" t="str">
        <f aca="false">IF((G196&lt;&gt;0),IF((D196&gt;0)," ",G196)," ")</f>
        <v> </v>
      </c>
      <c r="I196" s="367" t="str">
        <f aca="false">IF((G196&lt;&gt;0),IF((D196&gt;0)," ",(I$1-A196))," ")</f>
        <v> </v>
      </c>
      <c r="J196" s="334" t="str">
        <f aca="false">IF((E196="s"),G196," ")</f>
        <v> </v>
      </c>
      <c r="K196" s="334" t="str">
        <f aca="false">IF((E196="d"),G196," ")</f>
        <v> </v>
      </c>
      <c r="L196" s="334" t="str">
        <f aca="false">IF((E196="e"),G196," ")</f>
        <v> </v>
      </c>
      <c r="M196" s="334" t="str">
        <f aca="false">IF((E196="p"),G196," ")</f>
        <v> </v>
      </c>
      <c r="N196" s="334" t="str">
        <f aca="false">IF((E196="r"),G196," ")</f>
        <v> </v>
      </c>
      <c r="O196" s="334" t="str">
        <f aca="false">IF((E196="g"),G196," ")</f>
        <v> </v>
      </c>
      <c r="P196" s="334" t="str">
        <f aca="false">IF((E196="m"),G196," ")</f>
        <v> </v>
      </c>
      <c r="Q196" s="334" t="str">
        <f aca="false">IF((E196="t"),G196," ")</f>
        <v> </v>
      </c>
      <c r="R196" s="334" t="str">
        <f aca="false">IF((E196="a"),G196," ")</f>
        <v> </v>
      </c>
      <c r="S196" s="334" t="str">
        <f aca="false">IF((E196="l"),G196," ")</f>
        <v> </v>
      </c>
      <c r="T196" s="334" t="str">
        <f aca="false">IF((E196="b"),G196," ")</f>
        <v> </v>
      </c>
      <c r="U196" s="334" t="str">
        <f aca="false">IF((E196="i"),G196," ")</f>
        <v> </v>
      </c>
      <c r="V196" s="334" t="str">
        <f aca="false">IF((E196="o"),G196," ")</f>
        <v> </v>
      </c>
      <c r="W196" s="334" t="str">
        <f aca="false">IF((E196="f"),G196," ")</f>
        <v> </v>
      </c>
    </row>
    <row r="197" customFormat="false" ht="12.75" hidden="false" customHeight="false" outlineLevel="0" collapsed="false">
      <c r="A197" s="355"/>
      <c r="E197" s="365" t="str">
        <f aca="false">IF((G197&lt;&gt;0),"Enter Letter"," ")</f>
        <v> </v>
      </c>
      <c r="H197" s="338" t="str">
        <f aca="false">IF((G197&lt;&gt;0),IF((D197&gt;0)," ",G197)," ")</f>
        <v> </v>
      </c>
      <c r="I197" s="367" t="str">
        <f aca="false">IF((G197&lt;&gt;0),IF((D197&gt;0)," ",(I$1-A197))," ")</f>
        <v> </v>
      </c>
      <c r="J197" s="334" t="str">
        <f aca="false">IF((E197="s"),G197," ")</f>
        <v> </v>
      </c>
      <c r="K197" s="334" t="str">
        <f aca="false">IF((E197="d"),G197," ")</f>
        <v> </v>
      </c>
      <c r="L197" s="334" t="str">
        <f aca="false">IF((E197="e"),G197," ")</f>
        <v> </v>
      </c>
      <c r="M197" s="334" t="str">
        <f aca="false">IF((E197="p"),G197," ")</f>
        <v> </v>
      </c>
      <c r="N197" s="334" t="str">
        <f aca="false">IF((E197="r"),G197," ")</f>
        <v> </v>
      </c>
      <c r="O197" s="334" t="str">
        <f aca="false">IF((E197="g"),G197," ")</f>
        <v> </v>
      </c>
      <c r="P197" s="334" t="str">
        <f aca="false">IF((E197="m"),G197," ")</f>
        <v> </v>
      </c>
      <c r="Q197" s="334" t="str">
        <f aca="false">IF((E197="t"),G197," ")</f>
        <v> </v>
      </c>
      <c r="R197" s="334" t="str">
        <f aca="false">IF((E197="a"),G197," ")</f>
        <v> </v>
      </c>
      <c r="S197" s="334" t="str">
        <f aca="false">IF((E197="l"),G197," ")</f>
        <v> </v>
      </c>
      <c r="T197" s="334" t="str">
        <f aca="false">IF((E197="b"),G197," ")</f>
        <v> </v>
      </c>
      <c r="U197" s="334" t="str">
        <f aca="false">IF((E197="i"),G197," ")</f>
        <v> </v>
      </c>
      <c r="V197" s="334" t="str">
        <f aca="false">IF((E197="o"),G197," ")</f>
        <v> </v>
      </c>
      <c r="W197" s="334" t="str">
        <f aca="false">IF((E197="f"),G197," ")</f>
        <v> </v>
      </c>
    </row>
    <row r="198" customFormat="false" ht="12.75" hidden="false" customHeight="false" outlineLevel="0" collapsed="false">
      <c r="A198" s="355"/>
      <c r="E198" s="365" t="str">
        <f aca="false">IF((G198&lt;&gt;0),"Enter Letter"," ")</f>
        <v> </v>
      </c>
      <c r="H198" s="338" t="str">
        <f aca="false">IF((G198&lt;&gt;0),IF((D198&gt;0)," ",G198)," ")</f>
        <v> </v>
      </c>
      <c r="I198" s="367" t="str">
        <f aca="false">IF((G198&lt;&gt;0),IF((D198&gt;0)," ",(I$1-A198))," ")</f>
        <v> </v>
      </c>
      <c r="J198" s="334" t="str">
        <f aca="false">IF((E198="s"),G198," ")</f>
        <v> </v>
      </c>
      <c r="K198" s="334" t="str">
        <f aca="false">IF((E198="d"),G198," ")</f>
        <v> </v>
      </c>
      <c r="L198" s="334" t="str">
        <f aca="false">IF((E198="e"),G198," ")</f>
        <v> </v>
      </c>
      <c r="M198" s="334" t="str">
        <f aca="false">IF((E198="p"),G198," ")</f>
        <v> </v>
      </c>
      <c r="N198" s="334" t="str">
        <f aca="false">IF((E198="r"),G198," ")</f>
        <v> </v>
      </c>
      <c r="O198" s="334" t="str">
        <f aca="false">IF((E198="g"),G198," ")</f>
        <v> </v>
      </c>
      <c r="P198" s="334" t="str">
        <f aca="false">IF((E198="m"),G198," ")</f>
        <v> </v>
      </c>
      <c r="Q198" s="334" t="str">
        <f aca="false">IF((E198="t"),G198," ")</f>
        <v> </v>
      </c>
      <c r="R198" s="334" t="str">
        <f aca="false">IF((E198="a"),G198," ")</f>
        <v> </v>
      </c>
      <c r="S198" s="334" t="str">
        <f aca="false">IF((E198="l"),G198," ")</f>
        <v> </v>
      </c>
      <c r="T198" s="334" t="str">
        <f aca="false">IF((E198="b"),G198," ")</f>
        <v> </v>
      </c>
      <c r="U198" s="334" t="str">
        <f aca="false">IF((E198="i"),G198," ")</f>
        <v> </v>
      </c>
      <c r="V198" s="334" t="str">
        <f aca="false">IF((E198="o"),G198," ")</f>
        <v> </v>
      </c>
      <c r="W198" s="334" t="str">
        <f aca="false">IF((E198="f"),G198," ")</f>
        <v> </v>
      </c>
    </row>
    <row r="199" customFormat="false" ht="12.75" hidden="false" customHeight="false" outlineLevel="0" collapsed="false">
      <c r="A199" s="355"/>
      <c r="E199" s="365" t="str">
        <f aca="false">IF((G199&lt;&gt;0),"Enter Letter"," ")</f>
        <v> </v>
      </c>
      <c r="H199" s="338" t="str">
        <f aca="false">IF((G199&lt;&gt;0),IF((D199&gt;0)," ",G199)," ")</f>
        <v> </v>
      </c>
      <c r="I199" s="367" t="str">
        <f aca="false">IF((G199&lt;&gt;0),IF((D199&gt;0)," ",(I$1-A199))," ")</f>
        <v> </v>
      </c>
      <c r="J199" s="334" t="str">
        <f aca="false">IF((E199="s"),G199," ")</f>
        <v> </v>
      </c>
      <c r="K199" s="334" t="str">
        <f aca="false">IF((E199="d"),G199," ")</f>
        <v> </v>
      </c>
      <c r="L199" s="334" t="str">
        <f aca="false">IF((E199="e"),G199," ")</f>
        <v> </v>
      </c>
      <c r="M199" s="334" t="str">
        <f aca="false">IF((E199="p"),G199," ")</f>
        <v> </v>
      </c>
      <c r="N199" s="334" t="str">
        <f aca="false">IF((E199="r"),G199," ")</f>
        <v> </v>
      </c>
      <c r="O199" s="334" t="str">
        <f aca="false">IF((E199="g"),G199," ")</f>
        <v> </v>
      </c>
      <c r="P199" s="334" t="str">
        <f aca="false">IF((E199="m"),G199," ")</f>
        <v> </v>
      </c>
      <c r="Q199" s="334" t="str">
        <f aca="false">IF((E199="t"),G199," ")</f>
        <v> </v>
      </c>
      <c r="R199" s="334" t="str">
        <f aca="false">IF((E199="a"),G199," ")</f>
        <v> </v>
      </c>
      <c r="S199" s="334" t="str">
        <f aca="false">IF((E199="l"),G199," ")</f>
        <v> </v>
      </c>
      <c r="T199" s="334" t="str">
        <f aca="false">IF((E199="b"),G199," ")</f>
        <v> </v>
      </c>
      <c r="U199" s="334" t="str">
        <f aca="false">IF((E199="i"),G199," ")</f>
        <v> </v>
      </c>
      <c r="V199" s="334" t="str">
        <f aca="false">IF((E199="o"),G199," ")</f>
        <v> </v>
      </c>
      <c r="W199" s="334" t="str">
        <f aca="false">IF((E199="f"),G199," ")</f>
        <v> </v>
      </c>
    </row>
    <row r="200" customFormat="false" ht="12.75" hidden="false" customHeight="false" outlineLevel="0" collapsed="false">
      <c r="A200" s="355"/>
      <c r="E200" s="365" t="str">
        <f aca="false">IF((G200&lt;&gt;0),"Enter Letter"," ")</f>
        <v> </v>
      </c>
      <c r="H200" s="338" t="str">
        <f aca="false">IF((G200&lt;&gt;0),IF((D200&gt;0)," ",G200)," ")</f>
        <v> </v>
      </c>
      <c r="I200" s="367" t="str">
        <f aca="false">IF((G200&lt;&gt;0),IF((D200&gt;0)," ",(I$1-A200))," ")</f>
        <v> </v>
      </c>
      <c r="J200" s="334" t="str">
        <f aca="false">IF((E200="s"),G200," ")</f>
        <v> </v>
      </c>
      <c r="K200" s="334" t="str">
        <f aca="false">IF((E200="d"),G200," ")</f>
        <v> </v>
      </c>
      <c r="L200" s="334" t="str">
        <f aca="false">IF((E200="e"),G200," ")</f>
        <v> </v>
      </c>
      <c r="M200" s="334" t="str">
        <f aca="false">IF((E200="p"),G200," ")</f>
        <v> </v>
      </c>
      <c r="N200" s="334" t="str">
        <f aca="false">IF((E200="r"),G200," ")</f>
        <v> </v>
      </c>
      <c r="O200" s="334" t="str">
        <f aca="false">IF((E200="g"),G200," ")</f>
        <v> </v>
      </c>
      <c r="P200" s="334" t="str">
        <f aca="false">IF((E200="m"),G200," ")</f>
        <v> </v>
      </c>
      <c r="Q200" s="334" t="str">
        <f aca="false">IF((E200="t"),G200," ")</f>
        <v> </v>
      </c>
      <c r="R200" s="334" t="str">
        <f aca="false">IF((E200="a"),G200," ")</f>
        <v> </v>
      </c>
      <c r="S200" s="334" t="str">
        <f aca="false">IF((E200="l"),G200," ")</f>
        <v> </v>
      </c>
      <c r="T200" s="334" t="str">
        <f aca="false">IF((E200="b"),G200," ")</f>
        <v> </v>
      </c>
      <c r="U200" s="334" t="str">
        <f aca="false">IF((E200="i"),G200," ")</f>
        <v> </v>
      </c>
      <c r="V200" s="334" t="str">
        <f aca="false">IF((E200="o"),G200," ")</f>
        <v> </v>
      </c>
      <c r="W200" s="334" t="str">
        <f aca="false">IF((E200="f"),G200," ")</f>
        <v> </v>
      </c>
    </row>
    <row r="201" customFormat="false" ht="12.75" hidden="false" customHeight="false" outlineLevel="0" collapsed="false">
      <c r="A201" s="355"/>
      <c r="E201" s="365" t="str">
        <f aca="false">IF((G201&lt;&gt;0),"Enter Letter"," ")</f>
        <v> </v>
      </c>
      <c r="H201" s="338" t="str">
        <f aca="false">IF((G201&lt;&gt;0),IF((D201&gt;0)," ",G201)," ")</f>
        <v> </v>
      </c>
      <c r="I201" s="367" t="str">
        <f aca="false">IF((G201&lt;&gt;0),IF((D201&gt;0)," ",(I$1-A201))," ")</f>
        <v> </v>
      </c>
      <c r="J201" s="334" t="str">
        <f aca="false">IF((E201="s"),G201," ")</f>
        <v> </v>
      </c>
      <c r="K201" s="334" t="str">
        <f aca="false">IF((E201="d"),G201," ")</f>
        <v> </v>
      </c>
      <c r="L201" s="334" t="str">
        <f aca="false">IF((E201="e"),G201," ")</f>
        <v> </v>
      </c>
      <c r="M201" s="334" t="str">
        <f aca="false">IF((E201="p"),G201," ")</f>
        <v> </v>
      </c>
      <c r="N201" s="334" t="str">
        <f aca="false">IF((E201="r"),G201," ")</f>
        <v> </v>
      </c>
      <c r="O201" s="334" t="str">
        <f aca="false">IF((E201="g"),G201," ")</f>
        <v> </v>
      </c>
      <c r="P201" s="334" t="str">
        <f aca="false">IF((E201="m"),G201," ")</f>
        <v> </v>
      </c>
      <c r="Q201" s="334" t="str">
        <f aca="false">IF((E201="t"),G201," ")</f>
        <v> </v>
      </c>
      <c r="R201" s="334" t="str">
        <f aca="false">IF((E201="a"),G201," ")</f>
        <v> </v>
      </c>
      <c r="S201" s="334" t="str">
        <f aca="false">IF((E201="l"),G201," ")</f>
        <v> </v>
      </c>
      <c r="T201" s="334" t="str">
        <f aca="false">IF((E201="b"),G201," ")</f>
        <v> </v>
      </c>
      <c r="U201" s="334" t="str">
        <f aca="false">IF((E201="i"),G201," ")</f>
        <v> </v>
      </c>
      <c r="V201" s="334" t="str">
        <f aca="false">IF((E201="o"),G201," ")</f>
        <v> </v>
      </c>
      <c r="W201" s="334" t="str">
        <f aca="false">IF((E201="f"),G201," ")</f>
        <v> </v>
      </c>
    </row>
    <row r="202" customFormat="false" ht="12.75" hidden="false" customHeight="false" outlineLevel="0" collapsed="false">
      <c r="A202" s="355"/>
      <c r="E202" s="365" t="str">
        <f aca="false">IF((G202&lt;&gt;0),"Enter Letter"," ")</f>
        <v> </v>
      </c>
      <c r="H202" s="338" t="str">
        <f aca="false">IF((G202&lt;&gt;0),IF((D202&gt;0)," ",G202)," ")</f>
        <v> </v>
      </c>
      <c r="I202" s="367" t="str">
        <f aca="false">IF((G202&lt;&gt;0),IF((D202&gt;0)," ",(I$1-A202))," ")</f>
        <v> </v>
      </c>
      <c r="J202" s="334" t="str">
        <f aca="false">IF((E202="s"),G202," ")</f>
        <v> </v>
      </c>
      <c r="K202" s="334" t="str">
        <f aca="false">IF((E202="d"),G202," ")</f>
        <v> </v>
      </c>
      <c r="L202" s="334" t="str">
        <f aca="false">IF((E202="e"),G202," ")</f>
        <v> </v>
      </c>
      <c r="M202" s="334" t="str">
        <f aca="false">IF((E202="p"),G202," ")</f>
        <v> </v>
      </c>
      <c r="N202" s="334" t="str">
        <f aca="false">IF((E202="r"),G202," ")</f>
        <v> </v>
      </c>
      <c r="O202" s="334" t="str">
        <f aca="false">IF((E202="g"),G202," ")</f>
        <v> </v>
      </c>
      <c r="P202" s="334" t="str">
        <f aca="false">IF((E202="m"),G202," ")</f>
        <v> </v>
      </c>
      <c r="Q202" s="334" t="str">
        <f aca="false">IF((E202="t"),G202," ")</f>
        <v> </v>
      </c>
      <c r="R202" s="334" t="str">
        <f aca="false">IF((E202="a"),G202," ")</f>
        <v> </v>
      </c>
      <c r="S202" s="334" t="str">
        <f aca="false">IF((E202="l"),G202," ")</f>
        <v> </v>
      </c>
      <c r="T202" s="334" t="str">
        <f aca="false">IF((E202="b"),G202," ")</f>
        <v> </v>
      </c>
      <c r="U202" s="334" t="str">
        <f aca="false">IF((E202="i"),G202," ")</f>
        <v> </v>
      </c>
      <c r="V202" s="334" t="str">
        <f aca="false">IF((E202="o"),G202," ")</f>
        <v> </v>
      </c>
      <c r="W202" s="334" t="str">
        <f aca="false">IF((E202="f"),G202," ")</f>
        <v> </v>
      </c>
    </row>
    <row r="203" customFormat="false" ht="12.75" hidden="false" customHeight="false" outlineLevel="0" collapsed="false">
      <c r="A203" s="355"/>
      <c r="E203" s="365" t="str">
        <f aca="false">IF((G203&lt;&gt;0),"Enter Letter"," ")</f>
        <v> </v>
      </c>
      <c r="H203" s="338" t="str">
        <f aca="false">IF((G203&lt;&gt;0),IF((D203&gt;0)," ",G203)," ")</f>
        <v> </v>
      </c>
      <c r="I203" s="367" t="str">
        <f aca="false">IF((G203&lt;&gt;0),IF((D203&gt;0)," ",(I$1-A203))," ")</f>
        <v> </v>
      </c>
      <c r="J203" s="334" t="str">
        <f aca="false">IF((E203="s"),G203," ")</f>
        <v> </v>
      </c>
      <c r="K203" s="334" t="str">
        <f aca="false">IF((E203="d"),G203," ")</f>
        <v> </v>
      </c>
      <c r="L203" s="334" t="str">
        <f aca="false">IF((E203="e"),G203," ")</f>
        <v> </v>
      </c>
      <c r="M203" s="334" t="str">
        <f aca="false">IF((E203="p"),G203," ")</f>
        <v> </v>
      </c>
      <c r="N203" s="334" t="str">
        <f aca="false">IF((E203="r"),G203," ")</f>
        <v> </v>
      </c>
      <c r="O203" s="334" t="str">
        <f aca="false">IF((E203="g"),G203," ")</f>
        <v> </v>
      </c>
      <c r="P203" s="334" t="str">
        <f aca="false">IF((E203="m"),G203," ")</f>
        <v> </v>
      </c>
      <c r="Q203" s="334" t="str">
        <f aca="false">IF((E203="t"),G203," ")</f>
        <v> </v>
      </c>
      <c r="R203" s="334" t="str">
        <f aca="false">IF((E203="a"),G203," ")</f>
        <v> </v>
      </c>
      <c r="S203" s="334" t="str">
        <f aca="false">IF((E203="l"),G203," ")</f>
        <v> </v>
      </c>
      <c r="T203" s="334" t="str">
        <f aca="false">IF((E203="b"),G203," ")</f>
        <v> </v>
      </c>
      <c r="U203" s="334" t="str">
        <f aca="false">IF((E203="i"),G203," ")</f>
        <v> </v>
      </c>
      <c r="V203" s="334" t="str">
        <f aca="false">IF((E203="o"),G203," ")</f>
        <v> </v>
      </c>
      <c r="W203" s="334" t="str">
        <f aca="false">IF((E203="f"),G203," ")</f>
        <v> </v>
      </c>
    </row>
    <row r="204" customFormat="false" ht="12.75" hidden="false" customHeight="false" outlineLevel="0" collapsed="false">
      <c r="A204" s="355"/>
      <c r="E204" s="365" t="str">
        <f aca="false">IF((G204&lt;&gt;0),"Enter Letter"," ")</f>
        <v> </v>
      </c>
      <c r="H204" s="338" t="str">
        <f aca="false">IF((G204&lt;&gt;0),IF((D204&gt;0)," ",G204)," ")</f>
        <v> </v>
      </c>
      <c r="I204" s="367" t="str">
        <f aca="false">IF((G204&lt;&gt;0),IF((D204&gt;0)," ",(I$1-A204))," ")</f>
        <v> </v>
      </c>
      <c r="J204" s="334" t="str">
        <f aca="false">IF((E204="s"),G204," ")</f>
        <v> </v>
      </c>
      <c r="K204" s="334" t="str">
        <f aca="false">IF((E204="d"),G204," ")</f>
        <v> </v>
      </c>
      <c r="L204" s="334" t="str">
        <f aca="false">IF((E204="e"),G204," ")</f>
        <v> </v>
      </c>
      <c r="M204" s="334" t="str">
        <f aca="false">IF((E204="p"),G204," ")</f>
        <v> </v>
      </c>
      <c r="N204" s="334" t="str">
        <f aca="false">IF((E204="r"),G204," ")</f>
        <v> </v>
      </c>
      <c r="O204" s="334" t="str">
        <f aca="false">IF((E204="g"),G204," ")</f>
        <v> </v>
      </c>
      <c r="P204" s="334" t="str">
        <f aca="false">IF((E204="m"),G204," ")</f>
        <v> </v>
      </c>
      <c r="Q204" s="334" t="str">
        <f aca="false">IF((E204="t"),G204," ")</f>
        <v> </v>
      </c>
      <c r="R204" s="334" t="str">
        <f aca="false">IF((E204="a"),G204," ")</f>
        <v> </v>
      </c>
      <c r="S204" s="334" t="str">
        <f aca="false">IF((E204="l"),G204," ")</f>
        <v> </v>
      </c>
      <c r="T204" s="334" t="str">
        <f aca="false">IF((E204="b"),G204," ")</f>
        <v> </v>
      </c>
      <c r="U204" s="334" t="str">
        <f aca="false">IF((E204="i"),G204," ")</f>
        <v> </v>
      </c>
      <c r="V204" s="334" t="str">
        <f aca="false">IF((E204="o"),G204," ")</f>
        <v> </v>
      </c>
      <c r="W204" s="334" t="str">
        <f aca="false">IF((E204="f"),G204," ")</f>
        <v> </v>
      </c>
    </row>
    <row r="205" customFormat="false" ht="12.75" hidden="false" customHeight="false" outlineLevel="0" collapsed="false">
      <c r="A205" s="355"/>
      <c r="E205" s="365" t="str">
        <f aca="false">IF((G205&lt;&gt;0),"Enter Letter"," ")</f>
        <v> </v>
      </c>
      <c r="J205" s="334" t="str">
        <f aca="false">IF((E205="s"),G205," ")</f>
        <v> </v>
      </c>
      <c r="K205" s="334" t="str">
        <f aca="false">IF((E205="d"),G205," ")</f>
        <v> </v>
      </c>
      <c r="L205" s="334" t="str">
        <f aca="false">IF((E205="e"),G205," ")</f>
        <v> </v>
      </c>
      <c r="M205" s="334" t="str">
        <f aca="false">IF((E205="p"),G205," ")</f>
        <v> </v>
      </c>
      <c r="N205" s="334" t="str">
        <f aca="false">IF((E205="r"),G205," ")</f>
        <v> </v>
      </c>
      <c r="O205" s="334" t="str">
        <f aca="false">IF((E205="g"),G205," ")</f>
        <v> </v>
      </c>
      <c r="P205" s="334" t="str">
        <f aca="false">IF((E205="m"),G205," ")</f>
        <v> </v>
      </c>
      <c r="Q205" s="334" t="str">
        <f aca="false">IF((E205="t"),G205," ")</f>
        <v> </v>
      </c>
      <c r="R205" s="334" t="str">
        <f aca="false">IF((E205="a"),G205," ")</f>
        <v> </v>
      </c>
      <c r="S205" s="334" t="str">
        <f aca="false">IF((E205="l"),G205," ")</f>
        <v> </v>
      </c>
      <c r="T205" s="334" t="str">
        <f aca="false">IF((E205="b"),G205," ")</f>
        <v> </v>
      </c>
      <c r="U205" s="334" t="str">
        <f aca="false">IF((E205="i"),G205," ")</f>
        <v> </v>
      </c>
      <c r="V205" s="334" t="str">
        <f aca="false">IF((E205="o"),G205," ")</f>
        <v> </v>
      </c>
      <c r="W205" s="334" t="str">
        <f aca="false">IF((E205="f"),G205," ")</f>
        <v> </v>
      </c>
    </row>
    <row r="206" customFormat="false" ht="12.75" hidden="false" customHeight="false" outlineLevel="0" collapsed="false">
      <c r="A206" s="355"/>
      <c r="E206" s="365" t="str">
        <f aca="false">IF((G206&lt;&gt;0),"Enter Letter"," ")</f>
        <v> </v>
      </c>
      <c r="J206" s="334" t="str">
        <f aca="false">IF((E206="s"),G206," ")</f>
        <v> </v>
      </c>
      <c r="K206" s="334" t="str">
        <f aca="false">IF((E206="d"),G206," ")</f>
        <v> </v>
      </c>
      <c r="L206" s="334" t="str">
        <f aca="false">IF((E206="e"),G206," ")</f>
        <v> </v>
      </c>
      <c r="M206" s="334" t="str">
        <f aca="false">IF((E206="p"),G206," ")</f>
        <v> </v>
      </c>
      <c r="N206" s="334" t="str">
        <f aca="false">IF((E206="r"),G206," ")</f>
        <v> </v>
      </c>
      <c r="O206" s="334" t="str">
        <f aca="false">IF((E206="g"),G206," ")</f>
        <v> </v>
      </c>
      <c r="P206" s="334" t="str">
        <f aca="false">IF((E206="m"),G206," ")</f>
        <v> </v>
      </c>
      <c r="Q206" s="334" t="str">
        <f aca="false">IF((E206="t"),G206," ")</f>
        <v> </v>
      </c>
      <c r="R206" s="334" t="str">
        <f aca="false">IF((E206="a"),G206," ")</f>
        <v> </v>
      </c>
      <c r="S206" s="334" t="str">
        <f aca="false">IF((E206="l"),G206," ")</f>
        <v> </v>
      </c>
      <c r="T206" s="334" t="str">
        <f aca="false">IF((E206="b"),G206," ")</f>
        <v> </v>
      </c>
      <c r="U206" s="334" t="str">
        <f aca="false">IF((E206="i"),G206," ")</f>
        <v> </v>
      </c>
      <c r="V206" s="334" t="str">
        <f aca="false">IF((E206="o"),G206," ")</f>
        <v> </v>
      </c>
      <c r="W206" s="334" t="str">
        <f aca="false">IF((E206="f"),G206," ")</f>
        <v> </v>
      </c>
    </row>
    <row r="207" customFormat="false" ht="12.75" hidden="false" customHeight="false" outlineLevel="0" collapsed="false">
      <c r="A207" s="355"/>
      <c r="E207" s="365" t="str">
        <f aca="false">IF((G207&lt;&gt;0),"Enter Letter"," ")</f>
        <v> </v>
      </c>
      <c r="J207" s="334" t="str">
        <f aca="false">IF((E207="s"),G207," ")</f>
        <v> </v>
      </c>
      <c r="K207" s="334" t="str">
        <f aca="false">IF((E207="d"),G207," ")</f>
        <v> </v>
      </c>
      <c r="L207" s="334" t="str">
        <f aca="false">IF((E207="e"),G207," ")</f>
        <v> </v>
      </c>
      <c r="M207" s="334" t="str">
        <f aca="false">IF((E207="p"),G207," ")</f>
        <v> </v>
      </c>
      <c r="N207" s="334" t="str">
        <f aca="false">IF((E207="r"),G207," ")</f>
        <v> </v>
      </c>
      <c r="O207" s="334" t="str">
        <f aca="false">IF((E207="g"),G207," ")</f>
        <v> </v>
      </c>
      <c r="P207" s="334" t="str">
        <f aca="false">IF((E207="m"),G207," ")</f>
        <v> </v>
      </c>
      <c r="Q207" s="334" t="str">
        <f aca="false">IF((E207="t"),G207," ")</f>
        <v> </v>
      </c>
      <c r="R207" s="334" t="str">
        <f aca="false">IF((E207="a"),G207," ")</f>
        <v> </v>
      </c>
      <c r="S207" s="334" t="str">
        <f aca="false">IF((E207="l"),G207," ")</f>
        <v> </v>
      </c>
      <c r="T207" s="334" t="str">
        <f aca="false">IF((E207="b"),G207," ")</f>
        <v> </v>
      </c>
      <c r="U207" s="334" t="str">
        <f aca="false">IF((E207="i"),G207," ")</f>
        <v> </v>
      </c>
      <c r="V207" s="334" t="str">
        <f aca="false">IF((E207="o"),G207," ")</f>
        <v> </v>
      </c>
      <c r="W207" s="334" t="str">
        <f aca="false">IF((E207="f"),G207," ")</f>
        <v> </v>
      </c>
    </row>
    <row r="208" customFormat="false" ht="12.75" hidden="false" customHeight="false" outlineLevel="0" collapsed="false">
      <c r="A208" s="355"/>
      <c r="E208" s="365" t="str">
        <f aca="false">IF((G208&lt;&gt;0),"Enter Letter"," ")</f>
        <v> </v>
      </c>
      <c r="J208" s="334" t="str">
        <f aca="false">IF((E208="s"),G208," ")</f>
        <v> </v>
      </c>
      <c r="K208" s="334" t="str">
        <f aca="false">IF((E208="d"),G208," ")</f>
        <v> </v>
      </c>
      <c r="L208" s="334" t="str">
        <f aca="false">IF((E208="e"),G208," ")</f>
        <v> </v>
      </c>
      <c r="M208" s="334" t="str">
        <f aca="false">IF((E208="p"),G208," ")</f>
        <v> </v>
      </c>
      <c r="N208" s="334" t="str">
        <f aca="false">IF((E208="r"),G208," ")</f>
        <v> </v>
      </c>
      <c r="O208" s="334" t="str">
        <f aca="false">IF((E208="g"),G208," ")</f>
        <v> </v>
      </c>
      <c r="P208" s="334" t="str">
        <f aca="false">IF((E208="m"),G208," ")</f>
        <v> </v>
      </c>
      <c r="Q208" s="334" t="str">
        <f aca="false">IF((E208="t"),G208," ")</f>
        <v> </v>
      </c>
      <c r="R208" s="334" t="str">
        <f aca="false">IF((E208="a"),G208," ")</f>
        <v> </v>
      </c>
      <c r="S208" s="334" t="str">
        <f aca="false">IF((E208="l"),G208," ")</f>
        <v> </v>
      </c>
      <c r="T208" s="334" t="str">
        <f aca="false">IF((E208="b"),G208," ")</f>
        <v> </v>
      </c>
      <c r="U208" s="334" t="str">
        <f aca="false">IF((E208="i"),G208," ")</f>
        <v> </v>
      </c>
      <c r="V208" s="334" t="str">
        <f aca="false">IF((E208="o"),G208," ")</f>
        <v> </v>
      </c>
      <c r="W208" s="334" t="str">
        <f aca="false">IF((E208="f"),G208," ")</f>
        <v> </v>
      </c>
    </row>
    <row r="209" customFormat="false" ht="12.75" hidden="false" customHeight="false" outlineLevel="0" collapsed="false">
      <c r="A209" s="355"/>
      <c r="E209" s="365" t="str">
        <f aca="false">IF((G209&lt;&gt;0),"Enter Letter"," ")</f>
        <v> </v>
      </c>
      <c r="J209" s="334" t="str">
        <f aca="false">IF((E209="s"),G209," ")</f>
        <v> </v>
      </c>
      <c r="K209" s="334" t="str">
        <f aca="false">IF((E209="d"),G209," ")</f>
        <v> </v>
      </c>
      <c r="L209" s="334" t="str">
        <f aca="false">IF((E209="e"),G209," ")</f>
        <v> </v>
      </c>
      <c r="M209" s="334" t="str">
        <f aca="false">IF((E209="p"),G209," ")</f>
        <v> </v>
      </c>
      <c r="N209" s="334" t="str">
        <f aca="false">IF((E209="r"),G209," ")</f>
        <v> </v>
      </c>
      <c r="O209" s="334" t="str">
        <f aca="false">IF((E209="g"),G209," ")</f>
        <v> </v>
      </c>
      <c r="P209" s="334" t="str">
        <f aca="false">IF((E209="m"),G209," ")</f>
        <v> </v>
      </c>
      <c r="Q209" s="334" t="str">
        <f aca="false">IF((E209="t"),G209," ")</f>
        <v> </v>
      </c>
      <c r="R209" s="334" t="str">
        <f aca="false">IF((E209="a"),G209," ")</f>
        <v> </v>
      </c>
      <c r="S209" s="334" t="str">
        <f aca="false">IF((E209="l"),G209," ")</f>
        <v> </v>
      </c>
      <c r="T209" s="334" t="str">
        <f aca="false">IF((E209="b"),G209," ")</f>
        <v> </v>
      </c>
      <c r="U209" s="334" t="str">
        <f aca="false">IF((E209="i"),G209," ")</f>
        <v> </v>
      </c>
      <c r="V209" s="334" t="str">
        <f aca="false">IF((E209="o"),G209," ")</f>
        <v> </v>
      </c>
      <c r="W209" s="334" t="str">
        <f aca="false">IF((E209="f"),G209," ")</f>
        <v> </v>
      </c>
    </row>
    <row r="210" customFormat="false" ht="12.75" hidden="false" customHeight="false" outlineLevel="0" collapsed="false">
      <c r="A210" s="355"/>
      <c r="E210" s="365" t="str">
        <f aca="false">IF((G210&lt;&gt;0),"Enter Letter"," ")</f>
        <v> </v>
      </c>
      <c r="J210" s="334" t="str">
        <f aca="false">IF((E210="s"),G210," ")</f>
        <v> </v>
      </c>
      <c r="K210" s="334" t="str">
        <f aca="false">IF((E210="d"),G210," ")</f>
        <v> </v>
      </c>
      <c r="L210" s="334" t="str">
        <f aca="false">IF((E210="e"),G210," ")</f>
        <v> </v>
      </c>
      <c r="M210" s="334" t="str">
        <f aca="false">IF((E210="p"),G210," ")</f>
        <v> </v>
      </c>
      <c r="N210" s="334" t="str">
        <f aca="false">IF((E210="r"),G210," ")</f>
        <v> </v>
      </c>
      <c r="O210" s="334" t="str">
        <f aca="false">IF((E210="g"),G210," ")</f>
        <v> </v>
      </c>
      <c r="P210" s="334" t="str">
        <f aca="false">IF((E210="m"),G210," ")</f>
        <v> </v>
      </c>
      <c r="Q210" s="334" t="str">
        <f aca="false">IF((E210="t"),G210," ")</f>
        <v> </v>
      </c>
      <c r="R210" s="334" t="str">
        <f aca="false">IF((E210="a"),G210," ")</f>
        <v> </v>
      </c>
      <c r="S210" s="334" t="str">
        <f aca="false">IF((E210="l"),G210," ")</f>
        <v> </v>
      </c>
      <c r="T210" s="334" t="str">
        <f aca="false">IF((E210="b"),G210," ")</f>
        <v> </v>
      </c>
      <c r="U210" s="334" t="str">
        <f aca="false">IF((E210="i"),G210," ")</f>
        <v> </v>
      </c>
      <c r="V210" s="334" t="str">
        <f aca="false">IF((E210="o"),G210," ")</f>
        <v> </v>
      </c>
      <c r="W210" s="334" t="str">
        <f aca="false">IF((E210="f"),G210," ")</f>
        <v> </v>
      </c>
    </row>
    <row r="211" customFormat="false" ht="12.75" hidden="false" customHeight="false" outlineLevel="0" collapsed="false">
      <c r="A211" s="355"/>
      <c r="E211" s="365" t="str">
        <f aca="false">IF((G211&lt;&gt;0),"Enter Letter"," ")</f>
        <v> </v>
      </c>
      <c r="J211" s="334" t="str">
        <f aca="false">IF((E211="s"),G211," ")</f>
        <v> </v>
      </c>
      <c r="K211" s="334" t="str">
        <f aca="false">IF((E211="d"),G211," ")</f>
        <v> </v>
      </c>
      <c r="L211" s="334" t="str">
        <f aca="false">IF((E211="e"),G211," ")</f>
        <v> </v>
      </c>
      <c r="M211" s="334" t="str">
        <f aca="false">IF((E211="p"),G211," ")</f>
        <v> </v>
      </c>
      <c r="N211" s="334" t="str">
        <f aca="false">IF((E211="r"),G211," ")</f>
        <v> </v>
      </c>
      <c r="O211" s="334" t="str">
        <f aca="false">IF((E211="g"),G211," ")</f>
        <v> </v>
      </c>
      <c r="P211" s="334" t="str">
        <f aca="false">IF((E211="m"),G211," ")</f>
        <v> </v>
      </c>
      <c r="Q211" s="334" t="str">
        <f aca="false">IF((E211="t"),G211," ")</f>
        <v> </v>
      </c>
      <c r="R211" s="334" t="str">
        <f aca="false">IF((E211="a"),G211," ")</f>
        <v> </v>
      </c>
      <c r="S211" s="334" t="str">
        <f aca="false">IF((E211="l"),G211," ")</f>
        <v> </v>
      </c>
      <c r="T211" s="334" t="str">
        <f aca="false">IF((E211="b"),G211," ")</f>
        <v> </v>
      </c>
      <c r="U211" s="334" t="str">
        <f aca="false">IF((E211="i"),G211," ")</f>
        <v> </v>
      </c>
      <c r="V211" s="334" t="str">
        <f aca="false">IF((E211="o"),G211," ")</f>
        <v> </v>
      </c>
      <c r="W211" s="334" t="str">
        <f aca="false">IF((E211="f"),G211," ")</f>
        <v> </v>
      </c>
    </row>
    <row r="212" customFormat="false" ht="12.75" hidden="false" customHeight="false" outlineLevel="0" collapsed="false">
      <c r="A212" s="355"/>
      <c r="E212" s="365" t="str">
        <f aca="false">IF((G212&lt;&gt;0),"Enter Letter"," ")</f>
        <v> </v>
      </c>
      <c r="J212" s="334" t="str">
        <f aca="false">IF((E212="s"),G212," ")</f>
        <v> </v>
      </c>
      <c r="K212" s="334" t="str">
        <f aca="false">IF((E212="d"),G212," ")</f>
        <v> </v>
      </c>
      <c r="L212" s="334" t="str">
        <f aca="false">IF((E212="e"),G212," ")</f>
        <v> </v>
      </c>
      <c r="M212" s="334" t="str">
        <f aca="false">IF((E212="p"),G212," ")</f>
        <v> </v>
      </c>
      <c r="N212" s="334" t="str">
        <f aca="false">IF((E212="r"),G212," ")</f>
        <v> </v>
      </c>
      <c r="O212" s="334" t="str">
        <f aca="false">IF((E212="g"),G212," ")</f>
        <v> </v>
      </c>
      <c r="P212" s="334" t="str">
        <f aca="false">IF((E212="m"),G212," ")</f>
        <v> </v>
      </c>
      <c r="Q212" s="334" t="str">
        <f aca="false">IF((E212="t"),G212," ")</f>
        <v> </v>
      </c>
      <c r="R212" s="334" t="str">
        <f aca="false">IF((E212="a"),G212," ")</f>
        <v> </v>
      </c>
      <c r="S212" s="334" t="str">
        <f aca="false">IF((E212="l"),G212," ")</f>
        <v> </v>
      </c>
      <c r="T212" s="334" t="str">
        <f aca="false">IF((E212="b"),G212," ")</f>
        <v> </v>
      </c>
      <c r="U212" s="334" t="str">
        <f aca="false">IF((E212="i"),G212," ")</f>
        <v> </v>
      </c>
      <c r="V212" s="334" t="str">
        <f aca="false">IF((E212="o"),G212," ")</f>
        <v> </v>
      </c>
      <c r="W212" s="334" t="str">
        <f aca="false">IF((E212="f"),G212," ")</f>
        <v> </v>
      </c>
    </row>
    <row r="213" customFormat="false" ht="12.75" hidden="false" customHeight="false" outlineLevel="0" collapsed="false">
      <c r="A213" s="355"/>
      <c r="E213" s="365" t="str">
        <f aca="false">IF((G213&lt;&gt;0),"Enter Letter"," ")</f>
        <v> </v>
      </c>
      <c r="J213" s="334" t="str">
        <f aca="false">IF((E213="s"),G213," ")</f>
        <v> </v>
      </c>
      <c r="K213" s="334" t="str">
        <f aca="false">IF((E213="d"),G213," ")</f>
        <v> </v>
      </c>
      <c r="L213" s="334" t="str">
        <f aca="false">IF((E213="e"),G213," ")</f>
        <v> </v>
      </c>
      <c r="M213" s="334" t="str">
        <f aca="false">IF((E213="p"),G213," ")</f>
        <v> </v>
      </c>
      <c r="N213" s="334" t="str">
        <f aca="false">IF((E213="r"),G213," ")</f>
        <v> </v>
      </c>
      <c r="O213" s="334" t="str">
        <f aca="false">IF((E213="g"),G213," ")</f>
        <v> </v>
      </c>
      <c r="P213" s="334" t="str">
        <f aca="false">IF((E213="m"),G213," ")</f>
        <v> </v>
      </c>
      <c r="Q213" s="334" t="str">
        <f aca="false">IF((E213="t"),G213," ")</f>
        <v> </v>
      </c>
      <c r="R213" s="334" t="str">
        <f aca="false">IF((E213="a"),G213," ")</f>
        <v> </v>
      </c>
      <c r="S213" s="334" t="str">
        <f aca="false">IF((E213="l"),G213," ")</f>
        <v> </v>
      </c>
      <c r="T213" s="334" t="str">
        <f aca="false">IF((E213="b"),G213," ")</f>
        <v> </v>
      </c>
      <c r="U213" s="334" t="str">
        <f aca="false">IF((E213="i"),G213," ")</f>
        <v> </v>
      </c>
      <c r="V213" s="334" t="str">
        <f aca="false">IF((E213="o"),G213," ")</f>
        <v> </v>
      </c>
      <c r="W213" s="334" t="str">
        <f aca="false">IF((E213="f"),G213," ")</f>
        <v> </v>
      </c>
    </row>
    <row r="214" customFormat="false" ht="12.75" hidden="false" customHeight="false" outlineLevel="0" collapsed="false">
      <c r="A214" s="355"/>
      <c r="E214" s="365" t="str">
        <f aca="false">IF((G214&lt;&gt;0),"Enter Letter"," ")</f>
        <v> </v>
      </c>
      <c r="J214" s="334" t="str">
        <f aca="false">IF((E214="s"),G214," ")</f>
        <v> </v>
      </c>
      <c r="K214" s="334" t="str">
        <f aca="false">IF((E214="d"),G214," ")</f>
        <v> </v>
      </c>
      <c r="L214" s="334" t="str">
        <f aca="false">IF((E214="e"),G214," ")</f>
        <v> </v>
      </c>
      <c r="M214" s="334" t="str">
        <f aca="false">IF((E214="p"),G214," ")</f>
        <v> </v>
      </c>
      <c r="N214" s="334" t="str">
        <f aca="false">IF((E214="r"),G214," ")</f>
        <v> </v>
      </c>
      <c r="O214" s="334" t="str">
        <f aca="false">IF((E214="g"),G214," ")</f>
        <v> </v>
      </c>
      <c r="P214" s="334" t="str">
        <f aca="false">IF((E214="m"),G214," ")</f>
        <v> </v>
      </c>
      <c r="Q214" s="334" t="str">
        <f aca="false">IF((E214="t"),G214," ")</f>
        <v> </v>
      </c>
      <c r="R214" s="334" t="str">
        <f aca="false">IF((E214="a"),G214," ")</f>
        <v> </v>
      </c>
      <c r="S214" s="334" t="str">
        <f aca="false">IF((E214="l"),G214," ")</f>
        <v> </v>
      </c>
      <c r="T214" s="334" t="str">
        <f aca="false">IF((E214="b"),G214," ")</f>
        <v> </v>
      </c>
      <c r="U214" s="334" t="str">
        <f aca="false">IF((E214="i"),G214," ")</f>
        <v> </v>
      </c>
      <c r="V214" s="334" t="str">
        <f aca="false">IF((E214="o"),G214," ")</f>
        <v> </v>
      </c>
      <c r="W214" s="334" t="str">
        <f aca="false">IF((E214="f"),G214," ")</f>
        <v> </v>
      </c>
    </row>
    <row r="215" customFormat="false" ht="12.75" hidden="false" customHeight="false" outlineLevel="0" collapsed="false">
      <c r="A215" s="355"/>
      <c r="E215" s="365" t="str">
        <f aca="false">IF((G215&lt;&gt;0),"Enter Letter"," ")</f>
        <v> </v>
      </c>
      <c r="J215" s="334" t="str">
        <f aca="false">IF((E215="s"),G215," ")</f>
        <v> </v>
      </c>
      <c r="K215" s="334" t="str">
        <f aca="false">IF((E215="d"),G215," ")</f>
        <v> </v>
      </c>
      <c r="L215" s="334" t="str">
        <f aca="false">IF((E215="e"),G215," ")</f>
        <v> </v>
      </c>
      <c r="M215" s="334" t="str">
        <f aca="false">IF((E215="p"),G215," ")</f>
        <v> </v>
      </c>
      <c r="N215" s="334" t="str">
        <f aca="false">IF((E215="r"),G215," ")</f>
        <v> </v>
      </c>
      <c r="O215" s="334" t="str">
        <f aca="false">IF((E215="g"),G215," ")</f>
        <v> </v>
      </c>
      <c r="P215" s="334" t="str">
        <f aca="false">IF((E215="m"),G215," ")</f>
        <v> </v>
      </c>
      <c r="Q215" s="334" t="str">
        <f aca="false">IF((E215="t"),G215," ")</f>
        <v> </v>
      </c>
      <c r="R215" s="334" t="str">
        <f aca="false">IF((E215="a"),G215," ")</f>
        <v> </v>
      </c>
      <c r="S215" s="334" t="str">
        <f aca="false">IF((E215="l"),G215," ")</f>
        <v> </v>
      </c>
      <c r="T215" s="334" t="str">
        <f aca="false">IF((E215="b"),G215," ")</f>
        <v> </v>
      </c>
      <c r="U215" s="334" t="str">
        <f aca="false">IF((E215="i"),G215," ")</f>
        <v> </v>
      </c>
      <c r="V215" s="334" t="str">
        <f aca="false">IF((E215="o"),G215," ")</f>
        <v> </v>
      </c>
      <c r="W215" s="334" t="str">
        <f aca="false">IF((E215="f"),G215," ")</f>
        <v> </v>
      </c>
    </row>
    <row r="216" customFormat="false" ht="12.75" hidden="false" customHeight="false" outlineLevel="0" collapsed="false">
      <c r="A216" s="355"/>
      <c r="E216" s="365" t="str">
        <f aca="false">IF((G216&lt;&gt;0),"Enter Letter"," ")</f>
        <v> </v>
      </c>
      <c r="J216" s="334" t="str">
        <f aca="false">IF((E216="s"),G216," ")</f>
        <v> </v>
      </c>
      <c r="K216" s="334" t="str">
        <f aca="false">IF((E216="d"),G216," ")</f>
        <v> </v>
      </c>
      <c r="L216" s="334" t="str">
        <f aca="false">IF((E216="e"),G216," ")</f>
        <v> </v>
      </c>
      <c r="M216" s="334" t="str">
        <f aca="false">IF((E216="p"),G216," ")</f>
        <v> </v>
      </c>
      <c r="N216" s="334" t="str">
        <f aca="false">IF((E216="r"),G216," ")</f>
        <v> </v>
      </c>
      <c r="O216" s="334" t="str">
        <f aca="false">IF((E216="g"),G216," ")</f>
        <v> </v>
      </c>
      <c r="P216" s="334" t="str">
        <f aca="false">IF((E216="m"),G216," ")</f>
        <v> </v>
      </c>
      <c r="Q216" s="334" t="str">
        <f aca="false">IF((E216="t"),G216," ")</f>
        <v> </v>
      </c>
      <c r="R216" s="334" t="str">
        <f aca="false">IF((E216="a"),G216," ")</f>
        <v> </v>
      </c>
      <c r="S216" s="334" t="str">
        <f aca="false">IF((E216="l"),G216," ")</f>
        <v> </v>
      </c>
      <c r="T216" s="334" t="str">
        <f aca="false">IF((E216="b"),G216," ")</f>
        <v> </v>
      </c>
      <c r="U216" s="334" t="str">
        <f aca="false">IF((E216="i"),G216," ")</f>
        <v> </v>
      </c>
      <c r="V216" s="334" t="str">
        <f aca="false">IF((E216="o"),G216," ")</f>
        <v> </v>
      </c>
      <c r="W216" s="334" t="str">
        <f aca="false">IF((E216="f"),G216," ")</f>
        <v> </v>
      </c>
    </row>
    <row r="217" customFormat="false" ht="12.75" hidden="false" customHeight="false" outlineLevel="0" collapsed="false">
      <c r="A217" s="355"/>
      <c r="E217" s="365" t="str">
        <f aca="false">IF((G217&lt;&gt;0),"Enter Letter"," ")</f>
        <v> </v>
      </c>
      <c r="J217" s="334" t="str">
        <f aca="false">IF((E217="s"),G217," ")</f>
        <v> </v>
      </c>
      <c r="K217" s="334" t="str">
        <f aca="false">IF((E217="d"),G217," ")</f>
        <v> </v>
      </c>
      <c r="L217" s="334" t="str">
        <f aca="false">IF((E217="e"),G217," ")</f>
        <v> </v>
      </c>
      <c r="M217" s="334" t="str">
        <f aca="false">IF((E217="p"),G217," ")</f>
        <v> </v>
      </c>
      <c r="N217" s="334" t="str">
        <f aca="false">IF((E217="r"),G217," ")</f>
        <v> </v>
      </c>
      <c r="O217" s="334" t="str">
        <f aca="false">IF((E217="g"),G217," ")</f>
        <v> </v>
      </c>
      <c r="P217" s="334" t="str">
        <f aca="false">IF((E217="m"),G217," ")</f>
        <v> </v>
      </c>
      <c r="Q217" s="334" t="str">
        <f aca="false">IF((E217="t"),G217," ")</f>
        <v> </v>
      </c>
      <c r="R217" s="334" t="str">
        <f aca="false">IF((E217="a"),G217," ")</f>
        <v> </v>
      </c>
      <c r="S217" s="334" t="str">
        <f aca="false">IF((E217="l"),G217," ")</f>
        <v> </v>
      </c>
      <c r="T217" s="334" t="str">
        <f aca="false">IF((E217="b"),G217," ")</f>
        <v> </v>
      </c>
      <c r="U217" s="334" t="str">
        <f aca="false">IF((E217="i"),G217," ")</f>
        <v> </v>
      </c>
      <c r="V217" s="334" t="str">
        <f aca="false">IF((E217="o"),G217," ")</f>
        <v> </v>
      </c>
      <c r="W217" s="334" t="str">
        <f aca="false">IF((E217="f"),G217," ")</f>
        <v> </v>
      </c>
    </row>
    <row r="218" customFormat="false" ht="12.75" hidden="false" customHeight="false" outlineLevel="0" collapsed="false">
      <c r="A218" s="355"/>
      <c r="E218" s="365" t="str">
        <f aca="false">IF((G218&lt;&gt;0),"Enter Letter"," ")</f>
        <v> </v>
      </c>
      <c r="J218" s="334" t="str">
        <f aca="false">IF((E218="s"),G218," ")</f>
        <v> </v>
      </c>
      <c r="K218" s="334" t="str">
        <f aca="false">IF((E218="d"),G218," ")</f>
        <v> </v>
      </c>
      <c r="L218" s="334" t="str">
        <f aca="false">IF((E218="e"),G218," ")</f>
        <v> </v>
      </c>
      <c r="M218" s="334" t="str">
        <f aca="false">IF((E218="p"),G218," ")</f>
        <v> </v>
      </c>
      <c r="N218" s="334" t="str">
        <f aca="false">IF((E218="r"),G218," ")</f>
        <v> </v>
      </c>
      <c r="O218" s="334" t="str">
        <f aca="false">IF((E218="g"),G218," ")</f>
        <v> </v>
      </c>
      <c r="P218" s="334" t="str">
        <f aca="false">IF((E218="m"),G218," ")</f>
        <v> </v>
      </c>
      <c r="Q218" s="334" t="str">
        <f aca="false">IF((E218="t"),G218," ")</f>
        <v> </v>
      </c>
      <c r="R218" s="334" t="str">
        <f aca="false">IF((E218="a"),G218," ")</f>
        <v> </v>
      </c>
      <c r="S218" s="334" t="str">
        <f aca="false">IF((E218="l"),G218," ")</f>
        <v> </v>
      </c>
      <c r="T218" s="334" t="str">
        <f aca="false">IF((E218="b"),G218," ")</f>
        <v> </v>
      </c>
      <c r="U218" s="334" t="str">
        <f aca="false">IF((E218="i"),G218," ")</f>
        <v> </v>
      </c>
      <c r="V218" s="334" t="str">
        <f aca="false">IF((E218="o"),G218," ")</f>
        <v> </v>
      </c>
      <c r="W218" s="334" t="str">
        <f aca="false">IF((E218="f"),G218," ")</f>
        <v> </v>
      </c>
    </row>
    <row r="219" customFormat="false" ht="12.75" hidden="false" customHeight="false" outlineLevel="0" collapsed="false">
      <c r="A219" s="355"/>
      <c r="E219" s="365" t="str">
        <f aca="false">IF((G219&lt;&gt;0),"Enter Letter"," ")</f>
        <v> </v>
      </c>
      <c r="J219" s="334" t="str">
        <f aca="false">IF((E219="s"),G219," ")</f>
        <v> </v>
      </c>
      <c r="K219" s="334" t="str">
        <f aca="false">IF((E219="d"),G219," ")</f>
        <v> </v>
      </c>
      <c r="L219" s="334" t="str">
        <f aca="false">IF((E219="e"),G219," ")</f>
        <v> </v>
      </c>
      <c r="M219" s="334" t="str">
        <f aca="false">IF((E219="p"),G219," ")</f>
        <v> </v>
      </c>
      <c r="N219" s="334" t="str">
        <f aca="false">IF((E219="r"),G219," ")</f>
        <v> </v>
      </c>
      <c r="O219" s="334" t="str">
        <f aca="false">IF((E219="g"),G219," ")</f>
        <v> </v>
      </c>
      <c r="P219" s="334" t="str">
        <f aca="false">IF((E219="m"),G219," ")</f>
        <v> </v>
      </c>
      <c r="Q219" s="334" t="str">
        <f aca="false">IF((E219="t"),G219," ")</f>
        <v> </v>
      </c>
      <c r="R219" s="334" t="str">
        <f aca="false">IF((E219="a"),G219," ")</f>
        <v> </v>
      </c>
      <c r="S219" s="334" t="str">
        <f aca="false">IF((E219="l"),G219," ")</f>
        <v> </v>
      </c>
      <c r="T219" s="334" t="str">
        <f aca="false">IF((E219="b"),G219," ")</f>
        <v> </v>
      </c>
      <c r="U219" s="334" t="str">
        <f aca="false">IF((E219="i"),G219," ")</f>
        <v> </v>
      </c>
      <c r="V219" s="334" t="str">
        <f aca="false">IF((E219="o"),G219," ")</f>
        <v> </v>
      </c>
      <c r="W219" s="334" t="str">
        <f aca="false">IF((E219="f"),G219," ")</f>
        <v> </v>
      </c>
    </row>
    <row r="220" customFormat="false" ht="12.75" hidden="false" customHeight="false" outlineLevel="0" collapsed="false">
      <c r="A220" s="355"/>
      <c r="E220" s="365" t="str">
        <f aca="false">IF((G220&lt;&gt;0),"Enter Letter"," ")</f>
        <v> </v>
      </c>
      <c r="J220" s="334" t="str">
        <f aca="false">IF((E220="s"),G220," ")</f>
        <v> </v>
      </c>
      <c r="K220" s="334" t="str">
        <f aca="false">IF((E220="d"),G220," ")</f>
        <v> </v>
      </c>
      <c r="L220" s="334" t="str">
        <f aca="false">IF((E220="e"),G220," ")</f>
        <v> </v>
      </c>
      <c r="M220" s="334" t="str">
        <f aca="false">IF((E220="p"),G220," ")</f>
        <v> </v>
      </c>
      <c r="N220" s="334" t="str">
        <f aca="false">IF((E220="r"),G220," ")</f>
        <v> </v>
      </c>
      <c r="O220" s="334" t="str">
        <f aca="false">IF((E220="g"),G220," ")</f>
        <v> </v>
      </c>
      <c r="P220" s="334" t="str">
        <f aca="false">IF((E220="m"),G220," ")</f>
        <v> </v>
      </c>
      <c r="Q220" s="334" t="str">
        <f aca="false">IF((E220="t"),G220," ")</f>
        <v> </v>
      </c>
      <c r="R220" s="334" t="str">
        <f aca="false">IF((E220="a"),G220," ")</f>
        <v> </v>
      </c>
      <c r="S220" s="334" t="str">
        <f aca="false">IF((E220="l"),G220," ")</f>
        <v> </v>
      </c>
      <c r="T220" s="334" t="str">
        <f aca="false">IF((E220="b"),G220," ")</f>
        <v> </v>
      </c>
      <c r="U220" s="334" t="str">
        <f aca="false">IF((E220="i"),G220," ")</f>
        <v> </v>
      </c>
      <c r="V220" s="334" t="str">
        <f aca="false">IF((E220="o"),G220," ")</f>
        <v> </v>
      </c>
      <c r="W220" s="334" t="str">
        <f aca="false">IF((E220="f"),G220," ")</f>
        <v> </v>
      </c>
    </row>
    <row r="221" customFormat="false" ht="12.75" hidden="false" customHeight="false" outlineLevel="0" collapsed="false">
      <c r="A221" s="355"/>
      <c r="E221" s="365" t="str">
        <f aca="false">IF((G221&lt;&gt;0),"Enter Letter"," ")</f>
        <v> </v>
      </c>
      <c r="J221" s="334" t="str">
        <f aca="false">IF((E221="s"),G221," ")</f>
        <v> </v>
      </c>
      <c r="K221" s="334" t="str">
        <f aca="false">IF((E221="d"),G221," ")</f>
        <v> </v>
      </c>
      <c r="L221" s="334" t="str">
        <f aca="false">IF((E221="e"),G221," ")</f>
        <v> </v>
      </c>
      <c r="M221" s="334" t="str">
        <f aca="false">IF((E221="p"),G221," ")</f>
        <v> </v>
      </c>
      <c r="N221" s="334" t="str">
        <f aca="false">IF((E221="r"),G221," ")</f>
        <v> </v>
      </c>
      <c r="O221" s="334" t="str">
        <f aca="false">IF((E221="g"),G221," ")</f>
        <v> </v>
      </c>
      <c r="P221" s="334" t="str">
        <f aca="false">IF((E221="m"),G221," ")</f>
        <v> </v>
      </c>
      <c r="Q221" s="334" t="str">
        <f aca="false">IF((E221="t"),G221," ")</f>
        <v> </v>
      </c>
      <c r="R221" s="334" t="str">
        <f aca="false">IF((E221="a"),G221," ")</f>
        <v> </v>
      </c>
      <c r="S221" s="334" t="str">
        <f aca="false">IF((E221="l"),G221," ")</f>
        <v> </v>
      </c>
      <c r="T221" s="334" t="str">
        <f aca="false">IF((E221="b"),G221," ")</f>
        <v> </v>
      </c>
      <c r="U221" s="334" t="str">
        <f aca="false">IF((E221="i"),G221," ")</f>
        <v> </v>
      </c>
      <c r="V221" s="334" t="str">
        <f aca="false">IF((E221="o"),G221," ")</f>
        <v> </v>
      </c>
      <c r="W221" s="334" t="str">
        <f aca="false">IF((E221="f"),G221," ")</f>
        <v> </v>
      </c>
    </row>
    <row r="222" customFormat="false" ht="12.75" hidden="false" customHeight="false" outlineLevel="0" collapsed="false">
      <c r="A222" s="355"/>
      <c r="E222" s="365" t="str">
        <f aca="false">IF((G222&lt;&gt;0),"Enter Letter"," ")</f>
        <v> </v>
      </c>
      <c r="J222" s="334" t="str">
        <f aca="false">IF((E222="s"),G222," ")</f>
        <v> </v>
      </c>
      <c r="K222" s="334" t="str">
        <f aca="false">IF((E222="d"),G222," ")</f>
        <v> </v>
      </c>
      <c r="L222" s="334" t="str">
        <f aca="false">IF((E222="e"),G222," ")</f>
        <v> </v>
      </c>
      <c r="M222" s="334" t="str">
        <f aca="false">IF((E222="p"),G222," ")</f>
        <v> </v>
      </c>
      <c r="N222" s="334" t="str">
        <f aca="false">IF((E222="r"),G222," ")</f>
        <v> </v>
      </c>
      <c r="O222" s="334" t="str">
        <f aca="false">IF((E222="g"),G222," ")</f>
        <v> </v>
      </c>
      <c r="P222" s="334" t="str">
        <f aca="false">IF((E222="m"),G222," ")</f>
        <v> </v>
      </c>
      <c r="Q222" s="334" t="str">
        <f aca="false">IF((E222="t"),G222," ")</f>
        <v> </v>
      </c>
      <c r="R222" s="334" t="str">
        <f aca="false">IF((E222="a"),G222," ")</f>
        <v> </v>
      </c>
      <c r="S222" s="334" t="str">
        <f aca="false">IF((E222="l"),G222," ")</f>
        <v> </v>
      </c>
      <c r="T222" s="334" t="str">
        <f aca="false">IF((E222="b"),G222," ")</f>
        <v> </v>
      </c>
      <c r="U222" s="334" t="str">
        <f aca="false">IF((E222="i"),G222," ")</f>
        <v> </v>
      </c>
      <c r="V222" s="334" t="str">
        <f aca="false">IF((E222="o"),G222," ")</f>
        <v> </v>
      </c>
      <c r="W222" s="334" t="str">
        <f aca="false">IF((E222="f"),G222," ")</f>
        <v> </v>
      </c>
    </row>
    <row r="223" customFormat="false" ht="12.75" hidden="false" customHeight="false" outlineLevel="0" collapsed="false">
      <c r="A223" s="355"/>
      <c r="E223" s="365" t="str">
        <f aca="false">IF((G223&lt;&gt;0),"Enter Letter"," ")</f>
        <v> </v>
      </c>
      <c r="J223" s="334" t="str">
        <f aca="false">IF((E223="s"),G223," ")</f>
        <v> </v>
      </c>
      <c r="K223" s="334" t="str">
        <f aca="false">IF((E223="d"),G223," ")</f>
        <v> </v>
      </c>
      <c r="L223" s="334" t="str">
        <f aca="false">IF((E223="e"),G223," ")</f>
        <v> </v>
      </c>
      <c r="M223" s="334" t="str">
        <f aca="false">IF((E223="p"),G223," ")</f>
        <v> </v>
      </c>
      <c r="N223" s="334" t="str">
        <f aca="false">IF((E223="r"),G223," ")</f>
        <v> </v>
      </c>
      <c r="O223" s="334" t="str">
        <f aca="false">IF((E223="g"),G223," ")</f>
        <v> </v>
      </c>
      <c r="P223" s="334" t="str">
        <f aca="false">IF((E223="m"),G223," ")</f>
        <v> </v>
      </c>
      <c r="Q223" s="334" t="str">
        <f aca="false">IF((E223="t"),G223," ")</f>
        <v> </v>
      </c>
      <c r="R223" s="334" t="str">
        <f aca="false">IF((E223="a"),G223," ")</f>
        <v> </v>
      </c>
      <c r="S223" s="334" t="str">
        <f aca="false">IF((E223="l"),G223," ")</f>
        <v> </v>
      </c>
      <c r="T223" s="334" t="str">
        <f aca="false">IF((E223="b"),G223," ")</f>
        <v> </v>
      </c>
      <c r="U223" s="334" t="str">
        <f aca="false">IF((E223="i"),G223," ")</f>
        <v> </v>
      </c>
      <c r="V223" s="334" t="str">
        <f aca="false">IF((E223="o"),G223," ")</f>
        <v> </v>
      </c>
      <c r="W223" s="334" t="str">
        <f aca="false">IF((E223="f"),G223," ")</f>
        <v> </v>
      </c>
    </row>
    <row r="224" customFormat="false" ht="12.75" hidden="false" customHeight="false" outlineLevel="0" collapsed="false">
      <c r="A224" s="355"/>
      <c r="E224" s="365" t="str">
        <f aca="false">IF((G224&lt;&gt;0),"Enter Letter"," ")</f>
        <v> </v>
      </c>
      <c r="J224" s="334" t="str">
        <f aca="false">IF((E224="s"),G224," ")</f>
        <v> </v>
      </c>
      <c r="K224" s="334" t="str">
        <f aca="false">IF((E224="d"),G224," ")</f>
        <v> </v>
      </c>
      <c r="L224" s="334" t="str">
        <f aca="false">IF((E224="e"),G224," ")</f>
        <v> </v>
      </c>
      <c r="M224" s="334" t="str">
        <f aca="false">IF((E224="p"),G224," ")</f>
        <v> </v>
      </c>
      <c r="N224" s="334" t="str">
        <f aca="false">IF((E224="r"),G224," ")</f>
        <v> </v>
      </c>
      <c r="O224" s="334" t="str">
        <f aca="false">IF((E224="g"),G224," ")</f>
        <v> </v>
      </c>
      <c r="P224" s="334" t="str">
        <f aca="false">IF((E224="m"),G224," ")</f>
        <v> </v>
      </c>
      <c r="Q224" s="334" t="str">
        <f aca="false">IF((E224="t"),G224," ")</f>
        <v> </v>
      </c>
      <c r="R224" s="334" t="str">
        <f aca="false">IF((E224="a"),G224," ")</f>
        <v> </v>
      </c>
      <c r="S224" s="334" t="str">
        <f aca="false">IF((E224="l"),G224," ")</f>
        <v> </v>
      </c>
      <c r="T224" s="334" t="str">
        <f aca="false">IF((E224="b"),G224," ")</f>
        <v> </v>
      </c>
      <c r="U224" s="334" t="str">
        <f aca="false">IF((E224="i"),G224," ")</f>
        <v> </v>
      </c>
      <c r="V224" s="334" t="str">
        <f aca="false">IF((E224="o"),G224," ")</f>
        <v> </v>
      </c>
      <c r="W224" s="334" t="str">
        <f aca="false">IF((E224="f"),G224," ")</f>
        <v> </v>
      </c>
    </row>
    <row r="225" customFormat="false" ht="12.75" hidden="false" customHeight="false" outlineLevel="0" collapsed="false">
      <c r="A225" s="355"/>
      <c r="E225" s="365" t="str">
        <f aca="false">IF((G225&lt;&gt;0),"Enter Letter"," ")</f>
        <v> </v>
      </c>
      <c r="J225" s="334" t="str">
        <f aca="false">IF((E225="s"),G225," ")</f>
        <v> </v>
      </c>
      <c r="K225" s="334" t="str">
        <f aca="false">IF((E225="d"),G225," ")</f>
        <v> </v>
      </c>
      <c r="L225" s="334" t="str">
        <f aca="false">IF((E225="e"),G225," ")</f>
        <v> </v>
      </c>
      <c r="M225" s="334" t="str">
        <f aca="false">IF((E225="p"),G225," ")</f>
        <v> </v>
      </c>
      <c r="N225" s="334" t="str">
        <f aca="false">IF((E225="r"),G225," ")</f>
        <v> </v>
      </c>
      <c r="O225" s="334" t="str">
        <f aca="false">IF((E225="g"),G225," ")</f>
        <v> </v>
      </c>
      <c r="P225" s="334" t="str">
        <f aca="false">IF((E225="m"),G225," ")</f>
        <v> </v>
      </c>
      <c r="Q225" s="334" t="str">
        <f aca="false">IF((E225="t"),G225," ")</f>
        <v> </v>
      </c>
      <c r="R225" s="334" t="str">
        <f aca="false">IF((E225="a"),G225," ")</f>
        <v> </v>
      </c>
      <c r="S225" s="334" t="str">
        <f aca="false">IF((E225="l"),G225," ")</f>
        <v> </v>
      </c>
      <c r="T225" s="334" t="str">
        <f aca="false">IF((E225="b"),G225," ")</f>
        <v> </v>
      </c>
      <c r="U225" s="334" t="str">
        <f aca="false">IF((E225="i"),G225," ")</f>
        <v> </v>
      </c>
      <c r="V225" s="334" t="str">
        <f aca="false">IF((E225="o"),G225," ")</f>
        <v> </v>
      </c>
      <c r="W225" s="334" t="str">
        <f aca="false">IF((E225="f"),G225," ")</f>
        <v> </v>
      </c>
    </row>
    <row r="226" customFormat="false" ht="12.75" hidden="false" customHeight="false" outlineLevel="0" collapsed="false">
      <c r="A226" s="355"/>
      <c r="E226" s="365" t="str">
        <f aca="false">IF((G226&lt;&gt;0),"Enter Letter"," ")</f>
        <v> </v>
      </c>
      <c r="J226" s="334" t="str">
        <f aca="false">IF((E226="s"),G226," ")</f>
        <v> </v>
      </c>
      <c r="K226" s="334" t="str">
        <f aca="false">IF((E226="d"),G226," ")</f>
        <v> </v>
      </c>
      <c r="L226" s="334" t="str">
        <f aca="false">IF((E226="e"),G226," ")</f>
        <v> </v>
      </c>
      <c r="M226" s="334" t="str">
        <f aca="false">IF((E226="p"),G226," ")</f>
        <v> </v>
      </c>
      <c r="N226" s="334" t="str">
        <f aca="false">IF((E226="r"),G226," ")</f>
        <v> </v>
      </c>
      <c r="O226" s="334" t="str">
        <f aca="false">IF((E226="g"),G226," ")</f>
        <v> </v>
      </c>
      <c r="P226" s="334" t="str">
        <f aca="false">IF((E226="m"),G226," ")</f>
        <v> </v>
      </c>
      <c r="Q226" s="334" t="str">
        <f aca="false">IF((E226="t"),G226," ")</f>
        <v> </v>
      </c>
      <c r="R226" s="334" t="str">
        <f aca="false">IF((E226="a"),G226," ")</f>
        <v> </v>
      </c>
      <c r="S226" s="334" t="str">
        <f aca="false">IF((E226="l"),G226," ")</f>
        <v> </v>
      </c>
      <c r="T226" s="334" t="str">
        <f aca="false">IF((E226="b"),G226," ")</f>
        <v> </v>
      </c>
      <c r="U226" s="334" t="str">
        <f aca="false">IF((E226="i"),G226," ")</f>
        <v> </v>
      </c>
      <c r="V226" s="334" t="str">
        <f aca="false">IF((E226="o"),G226," ")</f>
        <v> </v>
      </c>
      <c r="W226" s="334" t="str">
        <f aca="false">IF((E226="f"),G226," ")</f>
        <v> </v>
      </c>
    </row>
    <row r="227" customFormat="false" ht="12.75" hidden="false" customHeight="false" outlineLevel="0" collapsed="false">
      <c r="A227" s="355"/>
      <c r="E227" s="365" t="str">
        <f aca="false">IF((G227&lt;&gt;0),"Enter Letter"," ")</f>
        <v> </v>
      </c>
      <c r="J227" s="334" t="str">
        <f aca="false">IF((E227="s"),G227," ")</f>
        <v> </v>
      </c>
      <c r="K227" s="334" t="str">
        <f aca="false">IF((E227="d"),G227," ")</f>
        <v> </v>
      </c>
      <c r="L227" s="334" t="str">
        <f aca="false">IF((E227="e"),G227," ")</f>
        <v> </v>
      </c>
      <c r="M227" s="334" t="str">
        <f aca="false">IF((E227="p"),G227," ")</f>
        <v> </v>
      </c>
      <c r="N227" s="334" t="str">
        <f aca="false">IF((E227="r"),G227," ")</f>
        <v> </v>
      </c>
      <c r="O227" s="334" t="str">
        <f aca="false">IF((E227="g"),G227," ")</f>
        <v> </v>
      </c>
      <c r="P227" s="334" t="str">
        <f aca="false">IF((E227="m"),G227," ")</f>
        <v> </v>
      </c>
      <c r="Q227" s="334" t="str">
        <f aca="false">IF((E227="t"),G227," ")</f>
        <v> </v>
      </c>
      <c r="R227" s="334" t="str">
        <f aca="false">IF((E227="a"),G227," ")</f>
        <v> </v>
      </c>
      <c r="S227" s="334" t="str">
        <f aca="false">IF((E227="l"),G227," ")</f>
        <v> </v>
      </c>
      <c r="T227" s="334" t="str">
        <f aca="false">IF((E227="b"),G227," ")</f>
        <v> </v>
      </c>
      <c r="U227" s="334" t="str">
        <f aca="false">IF((E227="i"),G227," ")</f>
        <v> </v>
      </c>
      <c r="V227" s="334" t="str">
        <f aca="false">IF((E227="o"),G227," ")</f>
        <v> </v>
      </c>
      <c r="W227" s="334" t="str">
        <f aca="false">IF((E227="f"),G227," ")</f>
        <v> </v>
      </c>
    </row>
    <row r="228" customFormat="false" ht="12.75" hidden="false" customHeight="false" outlineLevel="0" collapsed="false">
      <c r="A228" s="355"/>
      <c r="E228" s="365" t="str">
        <f aca="false">IF((G228&lt;&gt;0),"Enter Letter"," ")</f>
        <v> </v>
      </c>
      <c r="J228" s="334" t="str">
        <f aca="false">IF((E228="s"),G228," ")</f>
        <v> </v>
      </c>
      <c r="K228" s="334" t="str">
        <f aca="false">IF((E228="d"),G228," ")</f>
        <v> </v>
      </c>
      <c r="L228" s="334" t="str">
        <f aca="false">IF((E228="e"),G228," ")</f>
        <v> </v>
      </c>
      <c r="M228" s="334" t="str">
        <f aca="false">IF((E228="p"),G228," ")</f>
        <v> </v>
      </c>
      <c r="N228" s="334" t="str">
        <f aca="false">IF((E228="r"),G228," ")</f>
        <v> </v>
      </c>
      <c r="O228" s="334" t="str">
        <f aca="false">IF((E228="g"),G228," ")</f>
        <v> </v>
      </c>
      <c r="P228" s="334" t="str">
        <f aca="false">IF((E228="m"),G228," ")</f>
        <v> </v>
      </c>
      <c r="Q228" s="334" t="str">
        <f aca="false">IF((E228="t"),G228," ")</f>
        <v> </v>
      </c>
      <c r="R228" s="334" t="str">
        <f aca="false">IF((E228="a"),G228," ")</f>
        <v> </v>
      </c>
      <c r="S228" s="334" t="str">
        <f aca="false">IF((E228="l"),G228," ")</f>
        <v> </v>
      </c>
      <c r="T228" s="334" t="str">
        <f aca="false">IF((E228="b"),G228," ")</f>
        <v> </v>
      </c>
      <c r="U228" s="334" t="str">
        <f aca="false">IF((E228="i"),G228," ")</f>
        <v> </v>
      </c>
      <c r="V228" s="334" t="str">
        <f aca="false">IF((E228="o"),G228," ")</f>
        <v> </v>
      </c>
      <c r="W228" s="334" t="str">
        <f aca="false">IF((E228="f"),G228," ")</f>
        <v> </v>
      </c>
    </row>
    <row r="229" customFormat="false" ht="12.75" hidden="false" customHeight="false" outlineLevel="0" collapsed="false">
      <c r="A229" s="355"/>
      <c r="E229" s="365" t="str">
        <f aca="false">IF((G229&lt;&gt;0),"Enter Letter"," ")</f>
        <v> </v>
      </c>
      <c r="J229" s="334" t="str">
        <f aca="false">IF((E229="s"),G229," ")</f>
        <v> </v>
      </c>
      <c r="K229" s="334" t="str">
        <f aca="false">IF((E229="d"),G229," ")</f>
        <v> </v>
      </c>
      <c r="L229" s="334" t="str">
        <f aca="false">IF((E229="e"),G229," ")</f>
        <v> </v>
      </c>
      <c r="M229" s="334" t="str">
        <f aca="false">IF((E229="p"),G229," ")</f>
        <v> </v>
      </c>
      <c r="N229" s="334" t="str">
        <f aca="false">IF((E229="r"),G229," ")</f>
        <v> </v>
      </c>
      <c r="O229" s="334" t="str">
        <f aca="false">IF((E229="g"),G229," ")</f>
        <v> </v>
      </c>
      <c r="P229" s="334" t="str">
        <f aca="false">IF((E229="m"),G229," ")</f>
        <v> </v>
      </c>
      <c r="Q229" s="334" t="str">
        <f aca="false">IF((E229="t"),G229," ")</f>
        <v> </v>
      </c>
      <c r="R229" s="334" t="str">
        <f aca="false">IF((E229="a"),G229," ")</f>
        <v> </v>
      </c>
      <c r="S229" s="334" t="str">
        <f aca="false">IF((E229="l"),G229," ")</f>
        <v> </v>
      </c>
      <c r="T229" s="334" t="str">
        <f aca="false">IF((E229="b"),G229," ")</f>
        <v> </v>
      </c>
      <c r="U229" s="334" t="str">
        <f aca="false">IF((E229="i"),G229," ")</f>
        <v> </v>
      </c>
      <c r="V229" s="334" t="str">
        <f aca="false">IF((E229="o"),G229," ")</f>
        <v> </v>
      </c>
      <c r="W229" s="334" t="str">
        <f aca="false">IF((E229="f"),G229," ")</f>
        <v> </v>
      </c>
    </row>
    <row r="230" customFormat="false" ht="12.75" hidden="false" customHeight="false" outlineLevel="0" collapsed="false">
      <c r="A230" s="355"/>
      <c r="E230" s="365" t="str">
        <f aca="false">IF((G230&lt;&gt;0),"Enter Letter"," ")</f>
        <v> </v>
      </c>
      <c r="J230" s="334" t="str">
        <f aca="false">IF((E230="s"),G230," ")</f>
        <v> </v>
      </c>
      <c r="K230" s="334" t="str">
        <f aca="false">IF((E230="d"),G230," ")</f>
        <v> </v>
      </c>
      <c r="L230" s="334" t="str">
        <f aca="false">IF((E230="e"),G230," ")</f>
        <v> </v>
      </c>
      <c r="M230" s="334" t="str">
        <f aca="false">IF((E230="p"),G230," ")</f>
        <v> </v>
      </c>
      <c r="N230" s="334" t="str">
        <f aca="false">IF((E230="r"),G230," ")</f>
        <v> </v>
      </c>
      <c r="O230" s="334" t="str">
        <f aca="false">IF((E230="g"),G230," ")</f>
        <v> </v>
      </c>
      <c r="P230" s="334" t="str">
        <f aca="false">IF((E230="m"),G230," ")</f>
        <v> </v>
      </c>
      <c r="Q230" s="334" t="str">
        <f aca="false">IF((E230="t"),G230," ")</f>
        <v> </v>
      </c>
      <c r="R230" s="334" t="str">
        <f aca="false">IF((E230="a"),G230," ")</f>
        <v> </v>
      </c>
      <c r="S230" s="334" t="str">
        <f aca="false">IF((E230="l"),G230," ")</f>
        <v> </v>
      </c>
      <c r="T230" s="334" t="str">
        <f aca="false">IF((E230="b"),G230," ")</f>
        <v> </v>
      </c>
      <c r="U230" s="334" t="str">
        <f aca="false">IF((E230="i"),G230," ")</f>
        <v> </v>
      </c>
      <c r="V230" s="334" t="str">
        <f aca="false">IF((E230="o"),G230," ")</f>
        <v> </v>
      </c>
      <c r="W230" s="334" t="str">
        <f aca="false">IF((E230="f"),G230," ")</f>
        <v> </v>
      </c>
    </row>
    <row r="231" customFormat="false" ht="12.75" hidden="false" customHeight="false" outlineLevel="0" collapsed="false">
      <c r="A231" s="355"/>
      <c r="E231" s="365" t="str">
        <f aca="false">IF((G231&lt;&gt;0),"Enter Letter"," ")</f>
        <v> </v>
      </c>
      <c r="J231" s="334" t="str">
        <f aca="false">IF((E231="s"),G231," ")</f>
        <v> </v>
      </c>
      <c r="K231" s="334" t="str">
        <f aca="false">IF((E231="d"),G231," ")</f>
        <v> </v>
      </c>
      <c r="L231" s="334" t="str">
        <f aca="false">IF((E231="e"),G231," ")</f>
        <v> </v>
      </c>
      <c r="M231" s="334" t="str">
        <f aca="false">IF((E231="p"),G231," ")</f>
        <v> </v>
      </c>
      <c r="N231" s="334" t="str">
        <f aca="false">IF((E231="r"),G231," ")</f>
        <v> </v>
      </c>
      <c r="O231" s="334" t="str">
        <f aca="false">IF((E231="g"),G231," ")</f>
        <v> </v>
      </c>
      <c r="P231" s="334" t="str">
        <f aca="false">IF((E231="m"),G231," ")</f>
        <v> </v>
      </c>
      <c r="Q231" s="334" t="str">
        <f aca="false">IF((E231="t"),G231," ")</f>
        <v> </v>
      </c>
      <c r="R231" s="334" t="str">
        <f aca="false">IF((E231="a"),G231," ")</f>
        <v> </v>
      </c>
      <c r="S231" s="334" t="str">
        <f aca="false">IF((E231="l"),G231," ")</f>
        <v> </v>
      </c>
      <c r="T231" s="334" t="str">
        <f aca="false">IF((E231="b"),G231," ")</f>
        <v> </v>
      </c>
      <c r="U231" s="334" t="str">
        <f aca="false">IF((E231="i"),G231," ")</f>
        <v> </v>
      </c>
      <c r="V231" s="334" t="str">
        <f aca="false">IF((E231="o"),G231," ")</f>
        <v> </v>
      </c>
      <c r="W231" s="334" t="str">
        <f aca="false">IF((E231="f"),G231," ")</f>
        <v> </v>
      </c>
    </row>
    <row r="232" customFormat="false" ht="12.75" hidden="false" customHeight="false" outlineLevel="0" collapsed="false">
      <c r="A232" s="355"/>
      <c r="E232" s="365" t="str">
        <f aca="false">IF((G232&lt;&gt;0),"Enter Letter"," ")</f>
        <v> </v>
      </c>
      <c r="J232" s="334" t="str">
        <f aca="false">IF((E232="s"),G232," ")</f>
        <v> </v>
      </c>
      <c r="K232" s="334" t="str">
        <f aca="false">IF((E232="d"),G232," ")</f>
        <v> </v>
      </c>
      <c r="L232" s="334" t="str">
        <f aca="false">IF((E232="e"),G232," ")</f>
        <v> </v>
      </c>
      <c r="M232" s="334" t="str">
        <f aca="false">IF((E232="p"),G232," ")</f>
        <v> </v>
      </c>
      <c r="N232" s="334" t="str">
        <f aca="false">IF((E232="r"),G232," ")</f>
        <v> </v>
      </c>
      <c r="O232" s="334" t="str">
        <f aca="false">IF((E232="g"),G232," ")</f>
        <v> </v>
      </c>
      <c r="P232" s="334" t="str">
        <f aca="false">IF((E232="m"),G232," ")</f>
        <v> </v>
      </c>
      <c r="Q232" s="334" t="str">
        <f aca="false">IF((E232="t"),G232," ")</f>
        <v> </v>
      </c>
      <c r="R232" s="334" t="str">
        <f aca="false">IF((E232="a"),G232," ")</f>
        <v> </v>
      </c>
      <c r="S232" s="334" t="str">
        <f aca="false">IF((E232="l"),G232," ")</f>
        <v> </v>
      </c>
      <c r="T232" s="334" t="str">
        <f aca="false">IF((E232="b"),G232," ")</f>
        <v> </v>
      </c>
      <c r="U232" s="334" t="str">
        <f aca="false">IF((E232="i"),G232," ")</f>
        <v> </v>
      </c>
      <c r="V232" s="334" t="str">
        <f aca="false">IF((E232="o"),G232," ")</f>
        <v> </v>
      </c>
      <c r="W232" s="334" t="str">
        <f aca="false">IF((E232="f"),G232," ")</f>
        <v> </v>
      </c>
    </row>
    <row r="233" customFormat="false" ht="12.75" hidden="false" customHeight="false" outlineLevel="0" collapsed="false">
      <c r="A233" s="355"/>
      <c r="E233" s="365" t="str">
        <f aca="false">IF((G233&lt;&gt;0),"Enter Letter"," ")</f>
        <v> </v>
      </c>
      <c r="J233" s="334" t="str">
        <f aca="false">IF((E233="s"),G233," ")</f>
        <v> </v>
      </c>
      <c r="K233" s="334" t="str">
        <f aca="false">IF((E233="d"),G233," ")</f>
        <v> </v>
      </c>
      <c r="L233" s="334" t="str">
        <f aca="false">IF((E233="e"),G233," ")</f>
        <v> </v>
      </c>
      <c r="M233" s="334" t="str">
        <f aca="false">IF((E233="p"),G233," ")</f>
        <v> </v>
      </c>
      <c r="N233" s="334" t="str">
        <f aca="false">IF((E233="r"),G233," ")</f>
        <v> </v>
      </c>
      <c r="O233" s="334" t="str">
        <f aca="false">IF((E233="g"),G233," ")</f>
        <v> </v>
      </c>
      <c r="P233" s="334" t="str">
        <f aca="false">IF((E233="m"),G233," ")</f>
        <v> </v>
      </c>
      <c r="Q233" s="334" t="str">
        <f aca="false">IF((E233="t"),G233," ")</f>
        <v> </v>
      </c>
      <c r="R233" s="334" t="str">
        <f aca="false">IF((E233="a"),G233," ")</f>
        <v> </v>
      </c>
      <c r="S233" s="334" t="str">
        <f aca="false">IF((E233="l"),G233," ")</f>
        <v> </v>
      </c>
      <c r="T233" s="334" t="str">
        <f aca="false">IF((E233="b"),G233," ")</f>
        <v> </v>
      </c>
      <c r="U233" s="334" t="str">
        <f aca="false">IF((E233="i"),G233," ")</f>
        <v> </v>
      </c>
      <c r="V233" s="334" t="str">
        <f aca="false">IF((E233="o"),G233," ")</f>
        <v> </v>
      </c>
      <c r="W233" s="334" t="str">
        <f aca="false">IF((E233="f"),G233," ")</f>
        <v> </v>
      </c>
    </row>
    <row r="234" customFormat="false" ht="12.75" hidden="false" customHeight="false" outlineLevel="0" collapsed="false">
      <c r="A234" s="355"/>
      <c r="E234" s="365" t="str">
        <f aca="false">IF((G234&lt;&gt;0),"Enter Letter"," ")</f>
        <v> </v>
      </c>
      <c r="J234" s="334" t="str">
        <f aca="false">IF((E234="s"),G234," ")</f>
        <v> </v>
      </c>
      <c r="K234" s="334" t="str">
        <f aca="false">IF((E234="d"),G234," ")</f>
        <v> </v>
      </c>
      <c r="L234" s="334" t="str">
        <f aca="false">IF((E234="e"),G234," ")</f>
        <v> </v>
      </c>
      <c r="M234" s="334" t="str">
        <f aca="false">IF((E234="p"),G234," ")</f>
        <v> </v>
      </c>
      <c r="N234" s="334" t="str">
        <f aca="false">IF((E234="r"),G234," ")</f>
        <v> </v>
      </c>
      <c r="O234" s="334" t="str">
        <f aca="false">IF((E234="g"),G234," ")</f>
        <v> </v>
      </c>
      <c r="P234" s="334" t="str">
        <f aca="false">IF((E234="m"),G234," ")</f>
        <v> </v>
      </c>
      <c r="Q234" s="334" t="str">
        <f aca="false">IF((E234="t"),G234," ")</f>
        <v> </v>
      </c>
      <c r="R234" s="334" t="str">
        <f aca="false">IF((E234="a"),G234," ")</f>
        <v> </v>
      </c>
      <c r="S234" s="334" t="str">
        <f aca="false">IF((E234="l"),G234," ")</f>
        <v> </v>
      </c>
      <c r="T234" s="334" t="str">
        <f aca="false">IF((E234="b"),G234," ")</f>
        <v> </v>
      </c>
      <c r="U234" s="334" t="str">
        <f aca="false">IF((E234="i"),G234," ")</f>
        <v> </v>
      </c>
      <c r="V234" s="334" t="str">
        <f aca="false">IF((E234="o"),G234," ")</f>
        <v> </v>
      </c>
      <c r="W234" s="334" t="str">
        <f aca="false">IF((E234="f"),G234," ")</f>
        <v> </v>
      </c>
    </row>
    <row r="235" customFormat="false" ht="12.75" hidden="false" customHeight="false" outlineLevel="0" collapsed="false">
      <c r="A235" s="355"/>
      <c r="E235" s="365" t="str">
        <f aca="false">IF((G235&lt;&gt;0),"Enter Letter"," ")</f>
        <v> </v>
      </c>
      <c r="J235" s="334" t="str">
        <f aca="false">IF((E235="s"),G235," ")</f>
        <v> </v>
      </c>
      <c r="K235" s="334" t="str">
        <f aca="false">IF((E235="d"),G235," ")</f>
        <v> </v>
      </c>
      <c r="L235" s="334" t="str">
        <f aca="false">IF((E235="e"),G235," ")</f>
        <v> </v>
      </c>
      <c r="M235" s="334" t="str">
        <f aca="false">IF((E235="p"),G235," ")</f>
        <v> </v>
      </c>
      <c r="N235" s="334" t="str">
        <f aca="false">IF((E235="r"),G235," ")</f>
        <v> </v>
      </c>
      <c r="O235" s="334" t="str">
        <f aca="false">IF((E235="g"),G235," ")</f>
        <v> </v>
      </c>
      <c r="P235" s="334" t="str">
        <f aca="false">IF((E235="m"),G235," ")</f>
        <v> </v>
      </c>
      <c r="Q235" s="334" t="str">
        <f aca="false">IF((E235="t"),G235," ")</f>
        <v> </v>
      </c>
      <c r="R235" s="334" t="str">
        <f aca="false">IF((E235="a"),G235," ")</f>
        <v> </v>
      </c>
      <c r="S235" s="334" t="str">
        <f aca="false">IF((E235="l"),G235," ")</f>
        <v> </v>
      </c>
      <c r="T235" s="334" t="str">
        <f aca="false">IF((E235="b"),G235," ")</f>
        <v> </v>
      </c>
      <c r="U235" s="334" t="str">
        <f aca="false">IF((E235="i"),G235," ")</f>
        <v> </v>
      </c>
      <c r="V235" s="334" t="str">
        <f aca="false">IF((E235="o"),G235," ")</f>
        <v> </v>
      </c>
      <c r="W235" s="334" t="str">
        <f aca="false">IF((E235="f"),G235," ")</f>
        <v> </v>
      </c>
    </row>
    <row r="236" customFormat="false" ht="12.75" hidden="false" customHeight="false" outlineLevel="0" collapsed="false">
      <c r="A236" s="355"/>
      <c r="E236" s="365" t="str">
        <f aca="false">IF((G236&lt;&gt;0),"Enter Letter"," ")</f>
        <v> </v>
      </c>
      <c r="J236" s="334" t="str">
        <f aca="false">IF((E236="s"),G236," ")</f>
        <v> </v>
      </c>
      <c r="K236" s="334" t="str">
        <f aca="false">IF((E236="d"),G236," ")</f>
        <v> </v>
      </c>
      <c r="L236" s="334" t="str">
        <f aca="false">IF((E236="e"),G236," ")</f>
        <v> </v>
      </c>
      <c r="M236" s="334" t="str">
        <f aca="false">IF((E236="p"),G236," ")</f>
        <v> </v>
      </c>
      <c r="N236" s="334" t="str">
        <f aca="false">IF((E236="r"),G236," ")</f>
        <v> </v>
      </c>
      <c r="O236" s="334" t="str">
        <f aca="false">IF((E236="g"),G236," ")</f>
        <v> </v>
      </c>
      <c r="P236" s="334" t="str">
        <f aca="false">IF((E236="m"),G236," ")</f>
        <v> </v>
      </c>
      <c r="Q236" s="334" t="str">
        <f aca="false">IF((E236="t"),G236," ")</f>
        <v> </v>
      </c>
      <c r="R236" s="334" t="str">
        <f aca="false">IF((E236="a"),G236," ")</f>
        <v> </v>
      </c>
      <c r="S236" s="334" t="str">
        <f aca="false">IF((E236="l"),G236," ")</f>
        <v> </v>
      </c>
      <c r="T236" s="334" t="str">
        <f aca="false">IF((E236="b"),G236," ")</f>
        <v> </v>
      </c>
      <c r="U236" s="334" t="str">
        <f aca="false">IF((E236="i"),G236," ")</f>
        <v> </v>
      </c>
      <c r="V236" s="334" t="str">
        <f aca="false">IF((E236="o"),G236," ")</f>
        <v> </v>
      </c>
      <c r="W236" s="334" t="str">
        <f aca="false">IF((E236="f"),G236," ")</f>
        <v> </v>
      </c>
    </row>
    <row r="237" customFormat="false" ht="12.75" hidden="false" customHeight="false" outlineLevel="0" collapsed="false">
      <c r="A237" s="355"/>
      <c r="E237" s="365" t="str">
        <f aca="false">IF((G237&lt;&gt;0),"Enter Letter"," ")</f>
        <v> </v>
      </c>
      <c r="J237" s="334" t="str">
        <f aca="false">IF((E237="s"),G237," ")</f>
        <v> </v>
      </c>
      <c r="K237" s="334" t="str">
        <f aca="false">IF((E237="d"),G237," ")</f>
        <v> </v>
      </c>
      <c r="L237" s="334" t="str">
        <f aca="false">IF((E237="e"),G237," ")</f>
        <v> </v>
      </c>
      <c r="M237" s="334" t="str">
        <f aca="false">IF((E237="p"),G237," ")</f>
        <v> </v>
      </c>
      <c r="N237" s="334" t="str">
        <f aca="false">IF((E237="r"),G237," ")</f>
        <v> </v>
      </c>
      <c r="O237" s="334" t="str">
        <f aca="false">IF((E237="g"),G237," ")</f>
        <v> </v>
      </c>
      <c r="P237" s="334" t="str">
        <f aca="false">IF((E237="m"),G237," ")</f>
        <v> </v>
      </c>
      <c r="Q237" s="334" t="str">
        <f aca="false">IF((E237="t"),G237," ")</f>
        <v> </v>
      </c>
      <c r="R237" s="334" t="str">
        <f aca="false">IF((E237="a"),G237," ")</f>
        <v> </v>
      </c>
      <c r="S237" s="334" t="str">
        <f aca="false">IF((E237="l"),G237," ")</f>
        <v> </v>
      </c>
      <c r="T237" s="334" t="str">
        <f aca="false">IF((E237="b"),G237," ")</f>
        <v> </v>
      </c>
      <c r="U237" s="334" t="str">
        <f aca="false">IF((E237="i"),G237," ")</f>
        <v> </v>
      </c>
      <c r="V237" s="334" t="str">
        <f aca="false">IF((E237="o"),G237," ")</f>
        <v> </v>
      </c>
      <c r="W237" s="334" t="str">
        <f aca="false">IF((E237="f"),G237," ")</f>
        <v> </v>
      </c>
    </row>
    <row r="238" customFormat="false" ht="12.75" hidden="false" customHeight="false" outlineLevel="0" collapsed="false">
      <c r="A238" s="355"/>
      <c r="E238" s="365" t="str">
        <f aca="false">IF((G238&lt;&gt;0),"Enter Letter"," ")</f>
        <v> </v>
      </c>
      <c r="J238" s="334" t="str">
        <f aca="false">IF((E238="s"),G238," ")</f>
        <v> </v>
      </c>
      <c r="K238" s="334" t="str">
        <f aca="false">IF((E238="d"),G238," ")</f>
        <v> </v>
      </c>
      <c r="L238" s="334" t="str">
        <f aca="false">IF((E238="e"),G238," ")</f>
        <v> </v>
      </c>
      <c r="M238" s="334" t="str">
        <f aca="false">IF((E238="p"),G238," ")</f>
        <v> </v>
      </c>
      <c r="N238" s="334" t="str">
        <f aca="false">IF((E238="r"),G238," ")</f>
        <v> </v>
      </c>
      <c r="O238" s="334" t="str">
        <f aca="false">IF((E238="g"),G238," ")</f>
        <v> </v>
      </c>
      <c r="P238" s="334" t="str">
        <f aca="false">IF((E238="m"),G238," ")</f>
        <v> </v>
      </c>
      <c r="Q238" s="334" t="str">
        <f aca="false">IF((E238="t"),G238," ")</f>
        <v> </v>
      </c>
      <c r="R238" s="334" t="str">
        <f aca="false">IF((E238="a"),G238," ")</f>
        <v> </v>
      </c>
      <c r="S238" s="334" t="str">
        <f aca="false">IF((E238="l"),G238," ")</f>
        <v> </v>
      </c>
      <c r="T238" s="334" t="str">
        <f aca="false">IF((E238="b"),G238," ")</f>
        <v> </v>
      </c>
      <c r="U238" s="334" t="str">
        <f aca="false">IF((E238="i"),G238," ")</f>
        <v> </v>
      </c>
      <c r="V238" s="334" t="str">
        <f aca="false">IF((E238="o"),G238," ")</f>
        <v> </v>
      </c>
      <c r="W238" s="334" t="str">
        <f aca="false">IF((E238="f"),G238," ")</f>
        <v> </v>
      </c>
    </row>
    <row r="239" customFormat="false" ht="12.75" hidden="false" customHeight="false" outlineLevel="0" collapsed="false">
      <c r="A239" s="355"/>
      <c r="E239" s="365" t="str">
        <f aca="false">IF((G239&lt;&gt;0),"Enter Letter"," ")</f>
        <v> </v>
      </c>
      <c r="J239" s="334" t="str">
        <f aca="false">IF((E239="s"),G239," ")</f>
        <v> </v>
      </c>
      <c r="K239" s="334" t="str">
        <f aca="false">IF((E239="d"),G239," ")</f>
        <v> </v>
      </c>
      <c r="L239" s="334" t="str">
        <f aca="false">IF((E239="e"),G239," ")</f>
        <v> </v>
      </c>
      <c r="M239" s="334" t="str">
        <f aca="false">IF((E239="p"),G239," ")</f>
        <v> </v>
      </c>
      <c r="N239" s="334" t="str">
        <f aca="false">IF((E239="r"),G239," ")</f>
        <v> </v>
      </c>
      <c r="O239" s="334" t="str">
        <f aca="false">IF((E239="g"),G239," ")</f>
        <v> </v>
      </c>
      <c r="P239" s="334" t="str">
        <f aca="false">IF((E239="m"),G239," ")</f>
        <v> </v>
      </c>
      <c r="Q239" s="334" t="str">
        <f aca="false">IF((E239="t"),G239," ")</f>
        <v> </v>
      </c>
      <c r="R239" s="334" t="str">
        <f aca="false">IF((E239="a"),G239," ")</f>
        <v> </v>
      </c>
      <c r="S239" s="334" t="str">
        <f aca="false">IF((E239="l"),G239," ")</f>
        <v> </v>
      </c>
      <c r="T239" s="334" t="str">
        <f aca="false">IF((E239="b"),G239," ")</f>
        <v> </v>
      </c>
      <c r="U239" s="334" t="str">
        <f aca="false">IF((E239="i"),G239," ")</f>
        <v> </v>
      </c>
      <c r="V239" s="334" t="str">
        <f aca="false">IF((E239="o"),G239," ")</f>
        <v> </v>
      </c>
      <c r="W239" s="334" t="str">
        <f aca="false">IF((E239="f"),G239," ")</f>
        <v> </v>
      </c>
    </row>
    <row r="240" customFormat="false" ht="12.75" hidden="false" customHeight="false" outlineLevel="0" collapsed="false">
      <c r="A240" s="355"/>
      <c r="E240" s="365" t="str">
        <f aca="false">IF((G240&lt;&gt;0),"Enter Letter"," ")</f>
        <v> </v>
      </c>
      <c r="J240" s="334" t="str">
        <f aca="false">IF((E240="s"),G240," ")</f>
        <v> </v>
      </c>
      <c r="K240" s="334" t="str">
        <f aca="false">IF((E240="d"),G240," ")</f>
        <v> </v>
      </c>
      <c r="L240" s="334" t="str">
        <f aca="false">IF((E240="e"),G240," ")</f>
        <v> </v>
      </c>
      <c r="M240" s="334" t="str">
        <f aca="false">IF((E240="p"),G240," ")</f>
        <v> </v>
      </c>
      <c r="N240" s="334" t="str">
        <f aca="false">IF((E240="r"),G240," ")</f>
        <v> </v>
      </c>
      <c r="O240" s="334" t="str">
        <f aca="false">IF((E240="g"),G240," ")</f>
        <v> </v>
      </c>
      <c r="P240" s="334" t="str">
        <f aca="false">IF((E240="m"),G240," ")</f>
        <v> </v>
      </c>
      <c r="Q240" s="334" t="str">
        <f aca="false">IF((E240="t"),G240," ")</f>
        <v> </v>
      </c>
      <c r="R240" s="334" t="str">
        <f aca="false">IF((E240="a"),G240," ")</f>
        <v> </v>
      </c>
      <c r="S240" s="334" t="str">
        <f aca="false">IF((E240="l"),G240," ")</f>
        <v> </v>
      </c>
      <c r="T240" s="334" t="str">
        <f aca="false">IF((E240="b"),G240," ")</f>
        <v> </v>
      </c>
      <c r="U240" s="334" t="str">
        <f aca="false">IF((E240="i"),G240," ")</f>
        <v> </v>
      </c>
      <c r="V240" s="334" t="str">
        <f aca="false">IF((E240="o"),G240," ")</f>
        <v> </v>
      </c>
      <c r="W240" s="334" t="str">
        <f aca="false">IF((E240="f"),G240," ")</f>
        <v> </v>
      </c>
    </row>
    <row r="241" customFormat="false" ht="12.75" hidden="false" customHeight="false" outlineLevel="0" collapsed="false">
      <c r="A241" s="355"/>
      <c r="E241" s="365" t="str">
        <f aca="false">IF((G241&lt;&gt;0),"Enter Letter"," ")</f>
        <v> </v>
      </c>
      <c r="J241" s="334" t="str">
        <f aca="false">IF((E241="s"),G241," ")</f>
        <v> </v>
      </c>
      <c r="K241" s="334" t="str">
        <f aca="false">IF((E241="d"),G241," ")</f>
        <v> </v>
      </c>
      <c r="L241" s="334" t="str">
        <f aca="false">IF((E241="e"),G241," ")</f>
        <v> </v>
      </c>
      <c r="M241" s="334" t="str">
        <f aca="false">IF((E241="p"),G241," ")</f>
        <v> </v>
      </c>
      <c r="N241" s="334" t="str">
        <f aca="false">IF((E241="r"),G241," ")</f>
        <v> </v>
      </c>
      <c r="O241" s="334" t="str">
        <f aca="false">IF((E241="g"),G241," ")</f>
        <v> </v>
      </c>
      <c r="P241" s="334" t="str">
        <f aca="false">IF((E241="m"),G241," ")</f>
        <v> </v>
      </c>
      <c r="Q241" s="334" t="str">
        <f aca="false">IF((E241="t"),G241," ")</f>
        <v> </v>
      </c>
      <c r="R241" s="334" t="str">
        <f aca="false">IF((E241="a"),G241," ")</f>
        <v> </v>
      </c>
      <c r="S241" s="334" t="str">
        <f aca="false">IF((E241="l"),G241," ")</f>
        <v> </v>
      </c>
      <c r="T241" s="334" t="str">
        <f aca="false">IF((E241="b"),G241," ")</f>
        <v> </v>
      </c>
      <c r="U241" s="334" t="str">
        <f aca="false">IF((E241="i"),G241," ")</f>
        <v> </v>
      </c>
      <c r="V241" s="334" t="str">
        <f aca="false">IF((E241="o"),G241," ")</f>
        <v> </v>
      </c>
      <c r="W241" s="334" t="str">
        <f aca="false">IF((E241="f"),G241," ")</f>
        <v> </v>
      </c>
    </row>
    <row r="242" customFormat="false" ht="12.75" hidden="false" customHeight="false" outlineLevel="0" collapsed="false">
      <c r="A242" s="355"/>
      <c r="E242" s="365" t="str">
        <f aca="false">IF((G242&lt;&gt;0),"Enter Letter"," ")</f>
        <v> </v>
      </c>
      <c r="J242" s="334" t="str">
        <f aca="false">IF((E242="s"),G242," ")</f>
        <v> </v>
      </c>
      <c r="K242" s="334" t="str">
        <f aca="false">IF((E242="d"),G242," ")</f>
        <v> </v>
      </c>
      <c r="L242" s="334" t="str">
        <f aca="false">IF((E242="e"),G242," ")</f>
        <v> </v>
      </c>
      <c r="M242" s="334" t="str">
        <f aca="false">IF((E242="p"),G242," ")</f>
        <v> </v>
      </c>
      <c r="N242" s="334" t="str">
        <f aca="false">IF((E242="r"),G242," ")</f>
        <v> </v>
      </c>
      <c r="O242" s="334" t="str">
        <f aca="false">IF((E242="g"),G242," ")</f>
        <v> </v>
      </c>
      <c r="P242" s="334" t="str">
        <f aca="false">IF((E242="m"),G242," ")</f>
        <v> </v>
      </c>
      <c r="Q242" s="334" t="str">
        <f aca="false">IF((E242="t"),G242," ")</f>
        <v> </v>
      </c>
      <c r="R242" s="334" t="str">
        <f aca="false">IF((E242="a"),G242," ")</f>
        <v> </v>
      </c>
      <c r="S242" s="334" t="str">
        <f aca="false">IF((E242="l"),G242," ")</f>
        <v> </v>
      </c>
      <c r="T242" s="334" t="str">
        <f aca="false">IF((E242="b"),G242," ")</f>
        <v> </v>
      </c>
      <c r="U242" s="334" t="str">
        <f aca="false">IF((E242="i"),G242," ")</f>
        <v> </v>
      </c>
      <c r="V242" s="334" t="str">
        <f aca="false">IF((E242="o"),G242," ")</f>
        <v> </v>
      </c>
      <c r="W242" s="334" t="str">
        <f aca="false">IF((E242="f"),G242," ")</f>
        <v> </v>
      </c>
    </row>
    <row r="243" customFormat="false" ht="12.75" hidden="false" customHeight="false" outlineLevel="0" collapsed="false">
      <c r="A243" s="355"/>
      <c r="E243" s="365" t="str">
        <f aca="false">IF((G243&lt;&gt;0),"Enter Letter"," ")</f>
        <v> </v>
      </c>
      <c r="J243" s="334" t="str">
        <f aca="false">IF((E243="s"),G243," ")</f>
        <v> </v>
      </c>
      <c r="K243" s="334" t="str">
        <f aca="false">IF((E243="d"),G243," ")</f>
        <v> </v>
      </c>
      <c r="L243" s="334" t="str">
        <f aca="false">IF((E243="e"),G243," ")</f>
        <v> </v>
      </c>
      <c r="M243" s="334" t="str">
        <f aca="false">IF((E243="p"),G243," ")</f>
        <v> </v>
      </c>
      <c r="N243" s="334" t="str">
        <f aca="false">IF((E243="r"),G243," ")</f>
        <v> </v>
      </c>
      <c r="O243" s="334" t="str">
        <f aca="false">IF((E243="g"),G243," ")</f>
        <v> </v>
      </c>
      <c r="P243" s="334" t="str">
        <f aca="false">IF((E243="m"),G243," ")</f>
        <v> </v>
      </c>
      <c r="Q243" s="334" t="str">
        <f aca="false">IF((E243="t"),G243," ")</f>
        <v> </v>
      </c>
      <c r="R243" s="334" t="str">
        <f aca="false">IF((E243="a"),G243," ")</f>
        <v> </v>
      </c>
      <c r="S243" s="334" t="str">
        <f aca="false">IF((E243="l"),G243," ")</f>
        <v> </v>
      </c>
      <c r="T243" s="334" t="str">
        <f aca="false">IF((E243="b"),G243," ")</f>
        <v> </v>
      </c>
      <c r="U243" s="334" t="str">
        <f aca="false">IF((E243="i"),G243," ")</f>
        <v> </v>
      </c>
      <c r="V243" s="334" t="str">
        <f aca="false">IF((E243="o"),G243," ")</f>
        <v> </v>
      </c>
      <c r="W243" s="334" t="str">
        <f aca="false">IF((E243="f"),G243," ")</f>
        <v> </v>
      </c>
    </row>
    <row r="244" customFormat="false" ht="12.75" hidden="false" customHeight="false" outlineLevel="0" collapsed="false">
      <c r="A244" s="355"/>
      <c r="E244" s="365" t="str">
        <f aca="false">IF((G244&lt;&gt;0),"Enter Letter"," ")</f>
        <v> </v>
      </c>
      <c r="J244" s="334" t="str">
        <f aca="false">IF((E244="s"),G244," ")</f>
        <v> </v>
      </c>
      <c r="K244" s="334" t="str">
        <f aca="false">IF((E244="d"),G244," ")</f>
        <v> </v>
      </c>
      <c r="L244" s="334" t="str">
        <f aca="false">IF((E244="e"),G244," ")</f>
        <v> </v>
      </c>
      <c r="M244" s="334" t="str">
        <f aca="false">IF((E244="p"),G244," ")</f>
        <v> </v>
      </c>
      <c r="N244" s="334" t="str">
        <f aca="false">IF((E244="r"),G244," ")</f>
        <v> </v>
      </c>
      <c r="O244" s="334" t="str">
        <f aca="false">IF((E244="g"),G244," ")</f>
        <v> </v>
      </c>
      <c r="P244" s="334" t="str">
        <f aca="false">IF((E244="m"),G244," ")</f>
        <v> </v>
      </c>
      <c r="Q244" s="334" t="str">
        <f aca="false">IF((E244="t"),G244," ")</f>
        <v> </v>
      </c>
      <c r="R244" s="334" t="str">
        <f aca="false">IF((E244="a"),G244," ")</f>
        <v> </v>
      </c>
      <c r="S244" s="334" t="str">
        <f aca="false">IF((E244="l"),G244," ")</f>
        <v> </v>
      </c>
      <c r="T244" s="334" t="str">
        <f aca="false">IF((E244="b"),G244," ")</f>
        <v> </v>
      </c>
      <c r="U244" s="334" t="str">
        <f aca="false">IF((E244="i"),G244," ")</f>
        <v> </v>
      </c>
      <c r="V244" s="334" t="str">
        <f aca="false">IF((E244="o"),G244," ")</f>
        <v> </v>
      </c>
      <c r="W244" s="334" t="str">
        <f aca="false">IF((E244="f"),G244," ")</f>
        <v> </v>
      </c>
    </row>
    <row r="245" customFormat="false" ht="12.75" hidden="false" customHeight="false" outlineLevel="0" collapsed="false">
      <c r="A245" s="355"/>
      <c r="E245" s="365" t="str">
        <f aca="false">IF((G245&lt;&gt;0),"Enter Letter"," ")</f>
        <v> </v>
      </c>
      <c r="J245" s="334" t="str">
        <f aca="false">IF((E245="s"),G245," ")</f>
        <v> </v>
      </c>
      <c r="K245" s="334" t="str">
        <f aca="false">IF((E245="d"),G245," ")</f>
        <v> </v>
      </c>
      <c r="L245" s="334" t="str">
        <f aca="false">IF((E245="e"),G245," ")</f>
        <v> </v>
      </c>
      <c r="M245" s="334" t="str">
        <f aca="false">IF((E245="p"),G245," ")</f>
        <v> </v>
      </c>
      <c r="N245" s="334" t="str">
        <f aca="false">IF((E245="r"),G245," ")</f>
        <v> </v>
      </c>
      <c r="O245" s="334" t="str">
        <f aca="false">IF((E245="g"),G245," ")</f>
        <v> </v>
      </c>
      <c r="P245" s="334" t="str">
        <f aca="false">IF((E245="m"),G245," ")</f>
        <v> </v>
      </c>
      <c r="Q245" s="334" t="str">
        <f aca="false">IF((E245="t"),G245," ")</f>
        <v> </v>
      </c>
      <c r="R245" s="334" t="str">
        <f aca="false">IF((E245="a"),G245," ")</f>
        <v> </v>
      </c>
      <c r="S245" s="334" t="str">
        <f aca="false">IF((E245="l"),G245," ")</f>
        <v> </v>
      </c>
      <c r="T245" s="334" t="str">
        <f aca="false">IF((E245="b"),G245," ")</f>
        <v> </v>
      </c>
      <c r="U245" s="334" t="str">
        <f aca="false">IF((E245="i"),G245," ")</f>
        <v> </v>
      </c>
      <c r="V245" s="334" t="str">
        <f aca="false">IF((E245="o"),G245," ")</f>
        <v> </v>
      </c>
      <c r="W245" s="334" t="str">
        <f aca="false">IF((E245="f"),G245," ")</f>
        <v> </v>
      </c>
    </row>
    <row r="246" customFormat="false" ht="12.75" hidden="false" customHeight="false" outlineLevel="0" collapsed="false">
      <c r="A246" s="355"/>
      <c r="E246" s="365" t="str">
        <f aca="false">IF((G246&lt;&gt;0),"Enter Letter"," ")</f>
        <v> </v>
      </c>
      <c r="J246" s="334" t="str">
        <f aca="false">IF((E246="s"),G246," ")</f>
        <v> </v>
      </c>
      <c r="K246" s="334" t="str">
        <f aca="false">IF((E246="d"),G246," ")</f>
        <v> </v>
      </c>
      <c r="L246" s="334" t="str">
        <f aca="false">IF((E246="e"),G246," ")</f>
        <v> </v>
      </c>
      <c r="M246" s="334" t="str">
        <f aca="false">IF((E246="p"),G246," ")</f>
        <v> </v>
      </c>
      <c r="N246" s="334" t="str">
        <f aca="false">IF((E246="r"),G246," ")</f>
        <v> </v>
      </c>
      <c r="O246" s="334" t="str">
        <f aca="false">IF((E246="g"),G246," ")</f>
        <v> </v>
      </c>
      <c r="P246" s="334" t="str">
        <f aca="false">IF((E246="m"),G246," ")</f>
        <v> </v>
      </c>
      <c r="Q246" s="334" t="str">
        <f aca="false">IF((E246="t"),G246," ")</f>
        <v> </v>
      </c>
      <c r="R246" s="334" t="str">
        <f aca="false">IF((E246="a"),G246," ")</f>
        <v> </v>
      </c>
      <c r="S246" s="334" t="str">
        <f aca="false">IF((E246="l"),G246," ")</f>
        <v> </v>
      </c>
      <c r="T246" s="334" t="str">
        <f aca="false">IF((E246="b"),G246," ")</f>
        <v> </v>
      </c>
      <c r="U246" s="334" t="str">
        <f aca="false">IF((E246="i"),G246," ")</f>
        <v> </v>
      </c>
      <c r="V246" s="334" t="str">
        <f aca="false">IF((E246="o"),G246," ")</f>
        <v> </v>
      </c>
      <c r="W246" s="334" t="str">
        <f aca="false">IF((E246="f"),G246," ")</f>
        <v> </v>
      </c>
    </row>
    <row r="247" customFormat="false" ht="12.75" hidden="false" customHeight="false" outlineLevel="0" collapsed="false">
      <c r="A247" s="355"/>
      <c r="E247" s="365" t="str">
        <f aca="false">IF((G247&lt;&gt;0),"Enter Letter"," ")</f>
        <v> </v>
      </c>
      <c r="J247" s="334" t="str">
        <f aca="false">IF((E247="s"),G247," ")</f>
        <v> </v>
      </c>
      <c r="K247" s="334" t="str">
        <f aca="false">IF((E247="d"),G247," ")</f>
        <v> </v>
      </c>
      <c r="L247" s="334" t="str">
        <f aca="false">IF((E247="e"),G247," ")</f>
        <v> </v>
      </c>
      <c r="M247" s="334" t="str">
        <f aca="false">IF((E247="p"),G247," ")</f>
        <v> </v>
      </c>
      <c r="N247" s="334" t="str">
        <f aca="false">IF((E247="r"),G247," ")</f>
        <v> </v>
      </c>
      <c r="O247" s="334" t="str">
        <f aca="false">IF((E247="g"),G247," ")</f>
        <v> </v>
      </c>
      <c r="P247" s="334" t="str">
        <f aca="false">IF((E247="m"),G247," ")</f>
        <v> </v>
      </c>
      <c r="Q247" s="334" t="str">
        <f aca="false">IF((E247="t"),G247," ")</f>
        <v> </v>
      </c>
      <c r="R247" s="334" t="str">
        <f aca="false">IF((E247="a"),G247," ")</f>
        <v> </v>
      </c>
      <c r="S247" s="334" t="str">
        <f aca="false">IF((E247="l"),G247," ")</f>
        <v> </v>
      </c>
      <c r="T247" s="334" t="str">
        <f aca="false">IF((E247="b"),G247," ")</f>
        <v> </v>
      </c>
      <c r="U247" s="334" t="str">
        <f aca="false">IF((E247="i"),G247," ")</f>
        <v> </v>
      </c>
      <c r="V247" s="334" t="str">
        <f aca="false">IF((E247="o"),G247," ")</f>
        <v> </v>
      </c>
      <c r="W247" s="334" t="str">
        <f aca="false">IF((E247="f"),G247," ")</f>
        <v> </v>
      </c>
    </row>
    <row r="248" customFormat="false" ht="12.75" hidden="false" customHeight="false" outlineLevel="0" collapsed="false">
      <c r="A248" s="355"/>
      <c r="E248" s="365" t="str">
        <f aca="false">IF((G248&lt;&gt;0),"Enter Letter"," ")</f>
        <v> </v>
      </c>
      <c r="J248" s="334" t="str">
        <f aca="false">IF((E248="s"),G248," ")</f>
        <v> </v>
      </c>
      <c r="K248" s="334" t="str">
        <f aca="false">IF((E248="d"),G248," ")</f>
        <v> </v>
      </c>
      <c r="L248" s="334" t="str">
        <f aca="false">IF((E248="e"),G248," ")</f>
        <v> </v>
      </c>
      <c r="M248" s="334" t="str">
        <f aca="false">IF((E248="p"),G248," ")</f>
        <v> </v>
      </c>
      <c r="N248" s="334" t="str">
        <f aca="false">IF((E248="r"),G248," ")</f>
        <v> </v>
      </c>
      <c r="O248" s="334" t="str">
        <f aca="false">IF((E248="g"),G248," ")</f>
        <v> </v>
      </c>
      <c r="P248" s="334" t="str">
        <f aca="false">IF((E248="m"),G248," ")</f>
        <v> </v>
      </c>
      <c r="Q248" s="334" t="str">
        <f aca="false">IF((E248="t"),G248," ")</f>
        <v> </v>
      </c>
      <c r="R248" s="334" t="str">
        <f aca="false">IF((E248="a"),G248," ")</f>
        <v> </v>
      </c>
      <c r="S248" s="334" t="str">
        <f aca="false">IF((E248="l"),G248," ")</f>
        <v> </v>
      </c>
      <c r="T248" s="334" t="str">
        <f aca="false">IF((E248="b"),G248," ")</f>
        <v> </v>
      </c>
      <c r="U248" s="334" t="str">
        <f aca="false">IF((E248="i"),G248," ")</f>
        <v> </v>
      </c>
      <c r="V248" s="334" t="str">
        <f aca="false">IF((E248="o"),G248," ")</f>
        <v> </v>
      </c>
      <c r="W248" s="334" t="str">
        <f aca="false">IF((E248="f"),G248," ")</f>
        <v> </v>
      </c>
    </row>
    <row r="249" customFormat="false" ht="12.75" hidden="false" customHeight="false" outlineLevel="0" collapsed="false">
      <c r="A249" s="355"/>
      <c r="E249" s="365" t="str">
        <f aca="false">IF((G249&lt;&gt;0),"Enter Letter"," ")</f>
        <v> </v>
      </c>
      <c r="J249" s="334" t="str">
        <f aca="false">IF((E249="s"),G249," ")</f>
        <v> </v>
      </c>
      <c r="K249" s="334" t="str">
        <f aca="false">IF((E249="d"),G249," ")</f>
        <v> </v>
      </c>
      <c r="L249" s="334" t="str">
        <f aca="false">IF((E249="e"),G249," ")</f>
        <v> </v>
      </c>
      <c r="M249" s="334" t="str">
        <f aca="false">IF((E249="p"),G249," ")</f>
        <v> </v>
      </c>
      <c r="N249" s="334" t="str">
        <f aca="false">IF((E249="r"),G249," ")</f>
        <v> </v>
      </c>
      <c r="O249" s="334" t="str">
        <f aca="false">IF((E249="g"),G249," ")</f>
        <v> </v>
      </c>
      <c r="P249" s="334" t="str">
        <f aca="false">IF((E249="m"),G249," ")</f>
        <v> </v>
      </c>
      <c r="Q249" s="334" t="str">
        <f aca="false">IF((E249="t"),G249," ")</f>
        <v> </v>
      </c>
      <c r="R249" s="334" t="str">
        <f aca="false">IF((E249="a"),G249," ")</f>
        <v> </v>
      </c>
      <c r="S249" s="334" t="str">
        <f aca="false">IF((E249="l"),G249," ")</f>
        <v> </v>
      </c>
      <c r="T249" s="334" t="str">
        <f aca="false">IF((E249="b"),G249," ")</f>
        <v> </v>
      </c>
      <c r="U249" s="334" t="str">
        <f aca="false">IF((E249="i"),G249," ")</f>
        <v> </v>
      </c>
      <c r="V249" s="334" t="str">
        <f aca="false">IF((E249="o"),G249," ")</f>
        <v> </v>
      </c>
      <c r="W249" s="334" t="str">
        <f aca="false">IF((E249="f"),G249," ")</f>
        <v> </v>
      </c>
    </row>
    <row r="250" customFormat="false" ht="12.75" hidden="false" customHeight="false" outlineLevel="0" collapsed="false">
      <c r="A250" s="355"/>
      <c r="E250" s="365" t="str">
        <f aca="false">IF((G250&lt;&gt;0),"Enter Letter"," ")</f>
        <v> </v>
      </c>
      <c r="J250" s="334" t="str">
        <f aca="false">IF((E250="s"),G250," ")</f>
        <v> </v>
      </c>
      <c r="K250" s="334" t="str">
        <f aca="false">IF((E250="d"),G250," ")</f>
        <v> </v>
      </c>
      <c r="L250" s="334" t="str">
        <f aca="false">IF((E250="e"),G250," ")</f>
        <v> </v>
      </c>
      <c r="M250" s="334" t="str">
        <f aca="false">IF((E250="p"),G250," ")</f>
        <v> </v>
      </c>
      <c r="N250" s="334" t="str">
        <f aca="false">IF((E250="r"),G250," ")</f>
        <v> </v>
      </c>
      <c r="O250" s="334" t="str">
        <f aca="false">IF((E250="g"),G250," ")</f>
        <v> </v>
      </c>
      <c r="P250" s="334" t="str">
        <f aca="false">IF((E250="m"),G250," ")</f>
        <v> </v>
      </c>
      <c r="Q250" s="334" t="str">
        <f aca="false">IF((E250="t"),G250," ")</f>
        <v> </v>
      </c>
      <c r="R250" s="334" t="str">
        <f aca="false">IF((E250="a"),G250," ")</f>
        <v> </v>
      </c>
      <c r="S250" s="334" t="str">
        <f aca="false">IF((E250="l"),G250," ")</f>
        <v> </v>
      </c>
      <c r="T250" s="334" t="str">
        <f aca="false">IF((E250="b"),G250," ")</f>
        <v> </v>
      </c>
      <c r="U250" s="334" t="str">
        <f aca="false">IF((E250="i"),G250," ")</f>
        <v> </v>
      </c>
      <c r="V250" s="334" t="str">
        <f aca="false">IF((E250="o"),G250," ")</f>
        <v> </v>
      </c>
      <c r="W250" s="334" t="str">
        <f aca="false">IF((E250="f"),G250," ")</f>
        <v> </v>
      </c>
    </row>
    <row r="251" customFormat="false" ht="12.75" hidden="false" customHeight="false" outlineLevel="0" collapsed="false">
      <c r="A251" s="355"/>
      <c r="E251" s="365" t="str">
        <f aca="false">IF((G251&lt;&gt;0),"Enter Letter"," ")</f>
        <v> </v>
      </c>
      <c r="J251" s="334" t="str">
        <f aca="false">IF((E251="s"),G251," ")</f>
        <v> </v>
      </c>
      <c r="K251" s="334" t="str">
        <f aca="false">IF((E251="d"),G251," ")</f>
        <v> </v>
      </c>
      <c r="L251" s="334" t="str">
        <f aca="false">IF((E251="e"),G251," ")</f>
        <v> </v>
      </c>
      <c r="M251" s="334" t="str">
        <f aca="false">IF((E251="p"),G251," ")</f>
        <v> </v>
      </c>
      <c r="N251" s="334" t="str">
        <f aca="false">IF((E251="r"),G251," ")</f>
        <v> </v>
      </c>
      <c r="O251" s="334" t="str">
        <f aca="false">IF((E251="g"),G251," ")</f>
        <v> </v>
      </c>
      <c r="P251" s="334" t="str">
        <f aca="false">IF((E251="m"),G251," ")</f>
        <v> </v>
      </c>
      <c r="Q251" s="334" t="str">
        <f aca="false">IF((E251="t"),G251," ")</f>
        <v> </v>
      </c>
      <c r="R251" s="334" t="str">
        <f aca="false">IF((E251="a"),G251," ")</f>
        <v> </v>
      </c>
      <c r="S251" s="334" t="str">
        <f aca="false">IF((E251="l"),G251," ")</f>
        <v> </v>
      </c>
      <c r="T251" s="334" t="str">
        <f aca="false">IF((E251="b"),G251," ")</f>
        <v> </v>
      </c>
      <c r="U251" s="334" t="str">
        <f aca="false">IF((E251="i"),G251," ")</f>
        <v> </v>
      </c>
      <c r="V251" s="334" t="str">
        <f aca="false">IF((E251="o"),G251," ")</f>
        <v> </v>
      </c>
      <c r="W251" s="334" t="str">
        <f aca="false">IF((E251="f"),G251," ")</f>
        <v> </v>
      </c>
    </row>
    <row r="252" customFormat="false" ht="12.75" hidden="false" customHeight="false" outlineLevel="0" collapsed="false">
      <c r="A252" s="355"/>
      <c r="E252" s="365" t="str">
        <f aca="false">IF((G252&lt;&gt;0),"Enter Letter"," ")</f>
        <v> </v>
      </c>
      <c r="J252" s="334" t="str">
        <f aca="false">IF((E252="s"),G252," ")</f>
        <v> </v>
      </c>
      <c r="K252" s="334" t="str">
        <f aca="false">IF((E252="d"),G252," ")</f>
        <v> </v>
      </c>
      <c r="L252" s="334" t="str">
        <f aca="false">IF((E252="e"),G252," ")</f>
        <v> </v>
      </c>
      <c r="M252" s="334" t="str">
        <f aca="false">IF((E252="p"),G252," ")</f>
        <v> </v>
      </c>
      <c r="N252" s="334" t="str">
        <f aca="false">IF((E252="r"),G252," ")</f>
        <v> </v>
      </c>
      <c r="O252" s="334" t="str">
        <f aca="false">IF((E252="g"),G252," ")</f>
        <v> </v>
      </c>
      <c r="P252" s="334" t="str">
        <f aca="false">IF((E252="m"),G252," ")</f>
        <v> </v>
      </c>
      <c r="Q252" s="334" t="str">
        <f aca="false">IF((E252="t"),G252," ")</f>
        <v> </v>
      </c>
      <c r="R252" s="334" t="str">
        <f aca="false">IF((E252="a"),G252," ")</f>
        <v> </v>
      </c>
      <c r="S252" s="334" t="str">
        <f aca="false">IF((E252="l"),G252," ")</f>
        <v> </v>
      </c>
      <c r="T252" s="334" t="str">
        <f aca="false">IF((E252="b"),G252," ")</f>
        <v> </v>
      </c>
      <c r="U252" s="334" t="str">
        <f aca="false">IF((E252="i"),G252," ")</f>
        <v> </v>
      </c>
      <c r="V252" s="334" t="str">
        <f aca="false">IF((E252="o"),G252," ")</f>
        <v> </v>
      </c>
      <c r="W252" s="334" t="str">
        <f aca="false">IF((E252="f"),G252," ")</f>
        <v> </v>
      </c>
    </row>
    <row r="253" customFormat="false" ht="12.75" hidden="false" customHeight="false" outlineLevel="0" collapsed="false">
      <c r="A253" s="355"/>
      <c r="E253" s="365" t="str">
        <f aca="false">IF((G253&lt;&gt;0),"Enter Letter"," ")</f>
        <v> </v>
      </c>
      <c r="J253" s="334" t="str">
        <f aca="false">IF((E253="s"),G253," ")</f>
        <v> </v>
      </c>
      <c r="K253" s="334" t="str">
        <f aca="false">IF((E253="d"),G253," ")</f>
        <v> </v>
      </c>
      <c r="L253" s="334" t="str">
        <f aca="false">IF((E253="e"),G253," ")</f>
        <v> </v>
      </c>
      <c r="M253" s="334" t="str">
        <f aca="false">IF((E253="p"),G253," ")</f>
        <v> </v>
      </c>
      <c r="N253" s="334" t="str">
        <f aca="false">IF((E253="r"),G253," ")</f>
        <v> </v>
      </c>
      <c r="O253" s="334" t="str">
        <f aca="false">IF((E253="g"),G253," ")</f>
        <v> </v>
      </c>
      <c r="P253" s="334" t="str">
        <f aca="false">IF((E253="m"),G253," ")</f>
        <v> </v>
      </c>
      <c r="Q253" s="334" t="str">
        <f aca="false">IF((E253="t"),G253," ")</f>
        <v> </v>
      </c>
      <c r="R253" s="334" t="str">
        <f aca="false">IF((E253="a"),G253," ")</f>
        <v> </v>
      </c>
      <c r="S253" s="334" t="str">
        <f aca="false">IF((E253="l"),G253," ")</f>
        <v> </v>
      </c>
      <c r="T253" s="334" t="str">
        <f aca="false">IF((E253="b"),G253," ")</f>
        <v> </v>
      </c>
      <c r="U253" s="334" t="str">
        <f aca="false">IF((E253="i"),G253," ")</f>
        <v> </v>
      </c>
      <c r="V253" s="334" t="str">
        <f aca="false">IF((E253="o"),G253," ")</f>
        <v> </v>
      </c>
      <c r="W253" s="334" t="str">
        <f aca="false">IF((E253="f"),G253," ")</f>
        <v> </v>
      </c>
    </row>
    <row r="254" customFormat="false" ht="12.75" hidden="false" customHeight="false" outlineLevel="0" collapsed="false">
      <c r="A254" s="355"/>
      <c r="E254" s="365" t="str">
        <f aca="false">IF((G254&lt;&gt;0),"Enter Letter"," ")</f>
        <v> </v>
      </c>
      <c r="J254" s="334" t="str">
        <f aca="false">IF((E254="s"),G254," ")</f>
        <v> </v>
      </c>
      <c r="K254" s="334" t="str">
        <f aca="false">IF((E254="d"),G254," ")</f>
        <v> </v>
      </c>
      <c r="L254" s="334" t="str">
        <f aca="false">IF((E254="e"),G254," ")</f>
        <v> </v>
      </c>
      <c r="M254" s="334" t="str">
        <f aca="false">IF((E254="p"),G254," ")</f>
        <v> </v>
      </c>
      <c r="N254" s="334" t="str">
        <f aca="false">IF((E254="r"),G254," ")</f>
        <v> </v>
      </c>
      <c r="O254" s="334" t="str">
        <f aca="false">IF((E254="g"),G254," ")</f>
        <v> </v>
      </c>
      <c r="P254" s="334" t="str">
        <f aca="false">IF((E254="m"),G254," ")</f>
        <v> </v>
      </c>
      <c r="Q254" s="334" t="str">
        <f aca="false">IF((E254="t"),G254," ")</f>
        <v> </v>
      </c>
      <c r="R254" s="334" t="str">
        <f aca="false">IF((E254="a"),G254," ")</f>
        <v> </v>
      </c>
      <c r="S254" s="334" t="str">
        <f aca="false">IF((E254="l"),G254," ")</f>
        <v> </v>
      </c>
      <c r="T254" s="334" t="str">
        <f aca="false">IF((E254="b"),G254," ")</f>
        <v> </v>
      </c>
      <c r="U254" s="334" t="str">
        <f aca="false">IF((E254="i"),G254," ")</f>
        <v> </v>
      </c>
      <c r="V254" s="334" t="str">
        <f aca="false">IF((E254="o"),G254," ")</f>
        <v> </v>
      </c>
      <c r="W254" s="334" t="str">
        <f aca="false">IF((E254="f"),G254," ")</f>
        <v> </v>
      </c>
    </row>
    <row r="255" customFormat="false" ht="12.75" hidden="false" customHeight="false" outlineLevel="0" collapsed="false">
      <c r="A255" s="355"/>
      <c r="E255" s="365" t="str">
        <f aca="false">IF((G255&lt;&gt;0),"Enter Letter"," ")</f>
        <v> </v>
      </c>
      <c r="J255" s="334" t="str">
        <f aca="false">IF((E255="s"),G255," ")</f>
        <v> </v>
      </c>
      <c r="K255" s="334" t="str">
        <f aca="false">IF((E255="d"),G255," ")</f>
        <v> </v>
      </c>
      <c r="L255" s="334" t="str">
        <f aca="false">IF((E255="e"),G255," ")</f>
        <v> </v>
      </c>
      <c r="M255" s="334" t="str">
        <f aca="false">IF((E255="p"),G255," ")</f>
        <v> </v>
      </c>
      <c r="N255" s="334" t="str">
        <f aca="false">IF((E255="r"),G255," ")</f>
        <v> </v>
      </c>
      <c r="O255" s="334" t="str">
        <f aca="false">IF((E255="g"),G255," ")</f>
        <v> </v>
      </c>
      <c r="P255" s="334" t="str">
        <f aca="false">IF((E255="m"),G255," ")</f>
        <v> </v>
      </c>
      <c r="Q255" s="334" t="str">
        <f aca="false">IF((E255="t"),G255," ")</f>
        <v> </v>
      </c>
      <c r="R255" s="334" t="str">
        <f aca="false">IF((E255="a"),G255," ")</f>
        <v> </v>
      </c>
      <c r="S255" s="334" t="str">
        <f aca="false">IF((E255="l"),G255," ")</f>
        <v> </v>
      </c>
      <c r="T255" s="334" t="str">
        <f aca="false">IF((E255="b"),G255," ")</f>
        <v> </v>
      </c>
      <c r="U255" s="334" t="str">
        <f aca="false">IF((E255="i"),G255," ")</f>
        <v> </v>
      </c>
      <c r="V255" s="334" t="str">
        <f aca="false">IF((E255="o"),G255," ")</f>
        <v> </v>
      </c>
      <c r="W255" s="334" t="str">
        <f aca="false">IF((E255="f"),G255," ")</f>
        <v> </v>
      </c>
    </row>
    <row r="256" customFormat="false" ht="12.75" hidden="false" customHeight="false" outlineLevel="0" collapsed="false">
      <c r="A256" s="355"/>
      <c r="E256" s="365" t="str">
        <f aca="false">IF((G256&lt;&gt;0),"Enter Letter"," ")</f>
        <v> </v>
      </c>
      <c r="J256" s="334" t="str">
        <f aca="false">IF((E256="s"),G256," ")</f>
        <v> </v>
      </c>
      <c r="K256" s="334" t="str">
        <f aca="false">IF((E256="d"),G256," ")</f>
        <v> </v>
      </c>
      <c r="L256" s="334" t="str">
        <f aca="false">IF((E256="e"),G256," ")</f>
        <v> </v>
      </c>
      <c r="M256" s="334" t="str">
        <f aca="false">IF((E256="p"),G256," ")</f>
        <v> </v>
      </c>
      <c r="N256" s="334" t="str">
        <f aca="false">IF((E256="r"),G256," ")</f>
        <v> </v>
      </c>
      <c r="O256" s="334" t="str">
        <f aca="false">IF((E256="g"),G256," ")</f>
        <v> </v>
      </c>
      <c r="P256" s="334" t="str">
        <f aca="false">IF((E256="m"),G256," ")</f>
        <v> </v>
      </c>
      <c r="Q256" s="334" t="str">
        <f aca="false">IF((E256="t"),G256," ")</f>
        <v> </v>
      </c>
      <c r="R256" s="334" t="str">
        <f aca="false">IF((E256="a"),G256," ")</f>
        <v> </v>
      </c>
      <c r="S256" s="334" t="str">
        <f aca="false">IF((E256="l"),G256," ")</f>
        <v> </v>
      </c>
      <c r="T256" s="334" t="str">
        <f aca="false">IF((E256="b"),G256," ")</f>
        <v> </v>
      </c>
      <c r="U256" s="334" t="str">
        <f aca="false">IF((E256="i"),G256," ")</f>
        <v> </v>
      </c>
      <c r="V256" s="334" t="str">
        <f aca="false">IF((E256="o"),G256," ")</f>
        <v> </v>
      </c>
      <c r="W256" s="334" t="str">
        <f aca="false">IF((E256="f"),G256," ")</f>
        <v> </v>
      </c>
    </row>
    <row r="257" customFormat="false" ht="12.75" hidden="false" customHeight="false" outlineLevel="0" collapsed="false">
      <c r="A257" s="355"/>
      <c r="E257" s="365" t="str">
        <f aca="false">IF((G257&lt;&gt;0),"Enter Letter"," ")</f>
        <v> </v>
      </c>
      <c r="J257" s="334" t="str">
        <f aca="false">IF((E257="s"),G257," ")</f>
        <v> </v>
      </c>
      <c r="K257" s="334" t="str">
        <f aca="false">IF((E257="d"),G257," ")</f>
        <v> </v>
      </c>
      <c r="L257" s="334" t="str">
        <f aca="false">IF((E257="e"),G257," ")</f>
        <v> </v>
      </c>
      <c r="M257" s="334" t="str">
        <f aca="false">IF((E257="p"),G257," ")</f>
        <v> </v>
      </c>
      <c r="N257" s="334" t="str">
        <f aca="false">IF((E257="r"),G257," ")</f>
        <v> </v>
      </c>
      <c r="O257" s="334" t="str">
        <f aca="false">IF((E257="g"),G257," ")</f>
        <v> </v>
      </c>
      <c r="P257" s="334" t="str">
        <f aca="false">IF((E257="m"),G257," ")</f>
        <v> </v>
      </c>
      <c r="Q257" s="334" t="str">
        <f aca="false">IF((E257="t"),G257," ")</f>
        <v> </v>
      </c>
      <c r="R257" s="334" t="str">
        <f aca="false">IF((E257="a"),G257," ")</f>
        <v> </v>
      </c>
      <c r="S257" s="334" t="str">
        <f aca="false">IF((E257="l"),G257," ")</f>
        <v> </v>
      </c>
      <c r="T257" s="334" t="str">
        <f aca="false">IF((E257="b"),G257," ")</f>
        <v> </v>
      </c>
      <c r="U257" s="334" t="str">
        <f aca="false">IF((E257="i"),G257," ")</f>
        <v> </v>
      </c>
      <c r="V257" s="334" t="str">
        <f aca="false">IF((E257="o"),G257," ")</f>
        <v> </v>
      </c>
      <c r="W257" s="334" t="str">
        <f aca="false">IF((E257="f"),G257," ")</f>
        <v> </v>
      </c>
    </row>
    <row r="258" customFormat="false" ht="12.75" hidden="false" customHeight="false" outlineLevel="0" collapsed="false">
      <c r="A258" s="355"/>
      <c r="E258" s="365" t="str">
        <f aca="false">IF((G258&lt;&gt;0),"Enter Letter"," ")</f>
        <v> </v>
      </c>
      <c r="J258" s="334" t="str">
        <f aca="false">IF((E258="s"),G258," ")</f>
        <v> </v>
      </c>
      <c r="K258" s="334" t="str">
        <f aca="false">IF((E258="d"),G258," ")</f>
        <v> </v>
      </c>
      <c r="L258" s="334" t="str">
        <f aca="false">IF((E258="e"),G258," ")</f>
        <v> </v>
      </c>
      <c r="M258" s="334" t="str">
        <f aca="false">IF((E258="p"),G258," ")</f>
        <v> </v>
      </c>
      <c r="N258" s="334" t="str">
        <f aca="false">IF((E258="r"),G258," ")</f>
        <v> </v>
      </c>
      <c r="O258" s="334" t="str">
        <f aca="false">IF((E258="g"),G258," ")</f>
        <v> </v>
      </c>
      <c r="P258" s="334" t="str">
        <f aca="false">IF((E258="m"),G258," ")</f>
        <v> </v>
      </c>
      <c r="Q258" s="334" t="str">
        <f aca="false">IF((E258="t"),G258," ")</f>
        <v> </v>
      </c>
      <c r="R258" s="334" t="str">
        <f aca="false">IF((E258="a"),G258," ")</f>
        <v> </v>
      </c>
      <c r="S258" s="334" t="str">
        <f aca="false">IF((E258="l"),G258," ")</f>
        <v> </v>
      </c>
      <c r="T258" s="334" t="str">
        <f aca="false">IF((E258="b"),G258," ")</f>
        <v> </v>
      </c>
      <c r="U258" s="334" t="str">
        <f aca="false">IF((E258="i"),G258," ")</f>
        <v> </v>
      </c>
      <c r="V258" s="334" t="str">
        <f aca="false">IF((E258="o"),G258," ")</f>
        <v> </v>
      </c>
      <c r="W258" s="334" t="str">
        <f aca="false">IF((E258="f"),G258," ")</f>
        <v> </v>
      </c>
    </row>
    <row r="259" customFormat="false" ht="12.75" hidden="false" customHeight="false" outlineLevel="0" collapsed="false">
      <c r="A259" s="355"/>
      <c r="E259" s="365" t="str">
        <f aca="false">IF((G259&lt;&gt;0),"Enter Letter"," ")</f>
        <v> </v>
      </c>
      <c r="J259" s="334" t="str">
        <f aca="false">IF((E259="s"),G259," ")</f>
        <v> </v>
      </c>
      <c r="K259" s="334" t="str">
        <f aca="false">IF((E259="d"),G259," ")</f>
        <v> </v>
      </c>
      <c r="L259" s="334" t="str">
        <f aca="false">IF((E259="e"),G259," ")</f>
        <v> </v>
      </c>
      <c r="M259" s="334" t="str">
        <f aca="false">IF((E259="p"),G259," ")</f>
        <v> </v>
      </c>
      <c r="N259" s="334" t="str">
        <f aca="false">IF((E259="r"),G259," ")</f>
        <v> </v>
      </c>
      <c r="O259" s="334" t="str">
        <f aca="false">IF((E259="g"),G259," ")</f>
        <v> </v>
      </c>
      <c r="P259" s="334" t="str">
        <f aca="false">IF((E259="m"),G259," ")</f>
        <v> </v>
      </c>
      <c r="Q259" s="334" t="str">
        <f aca="false">IF((E259="t"),G259," ")</f>
        <v> </v>
      </c>
      <c r="R259" s="334" t="str">
        <f aca="false">IF((E259="a"),G259," ")</f>
        <v> </v>
      </c>
      <c r="S259" s="334" t="str">
        <f aca="false">IF((E259="l"),G259," ")</f>
        <v> </v>
      </c>
      <c r="T259" s="334" t="str">
        <f aca="false">IF((E259="b"),G259," ")</f>
        <v> </v>
      </c>
      <c r="U259" s="334" t="str">
        <f aca="false">IF((E259="i"),G259," ")</f>
        <v> </v>
      </c>
      <c r="V259" s="334" t="str">
        <f aca="false">IF((E259="o"),G259," ")</f>
        <v> </v>
      </c>
      <c r="W259" s="334" t="str">
        <f aca="false">IF((E259="f"),G259," ")</f>
        <v> </v>
      </c>
    </row>
    <row r="260" customFormat="false" ht="12.75" hidden="false" customHeight="false" outlineLevel="0" collapsed="false">
      <c r="A260" s="355"/>
      <c r="E260" s="365" t="str">
        <f aca="false">IF((G260&lt;&gt;0),"Enter Letter"," ")</f>
        <v> </v>
      </c>
      <c r="J260" s="334" t="str">
        <f aca="false">IF((E260="s"),G260," ")</f>
        <v> </v>
      </c>
      <c r="K260" s="334" t="str">
        <f aca="false">IF((E260="d"),G260," ")</f>
        <v> </v>
      </c>
      <c r="L260" s="334" t="str">
        <f aca="false">IF((E260="e"),G260," ")</f>
        <v> </v>
      </c>
      <c r="M260" s="334" t="str">
        <f aca="false">IF((E260="p"),G260," ")</f>
        <v> </v>
      </c>
      <c r="N260" s="334" t="str">
        <f aca="false">IF((E260="r"),G260," ")</f>
        <v> </v>
      </c>
      <c r="O260" s="334" t="str">
        <f aca="false">IF((E260="g"),G260," ")</f>
        <v> </v>
      </c>
      <c r="P260" s="334" t="str">
        <f aca="false">IF((E260="m"),G260," ")</f>
        <v> </v>
      </c>
      <c r="Q260" s="334" t="str">
        <f aca="false">IF((E260="t"),G260," ")</f>
        <v> </v>
      </c>
      <c r="R260" s="334" t="str">
        <f aca="false">IF((E260="a"),G260," ")</f>
        <v> </v>
      </c>
      <c r="S260" s="334" t="str">
        <f aca="false">IF((E260="l"),G260," ")</f>
        <v> </v>
      </c>
      <c r="T260" s="334" t="str">
        <f aca="false">IF((E260="b"),G260," ")</f>
        <v> </v>
      </c>
      <c r="U260" s="334" t="str">
        <f aca="false">IF((E260="i"),G260," ")</f>
        <v> </v>
      </c>
      <c r="V260" s="334" t="str">
        <f aca="false">IF((E260="o"),G260," ")</f>
        <v> </v>
      </c>
      <c r="W260" s="334" t="str">
        <f aca="false">IF((E260="f"),G260," ")</f>
        <v> </v>
      </c>
    </row>
    <row r="261" customFormat="false" ht="12.75" hidden="false" customHeight="false" outlineLevel="0" collapsed="false">
      <c r="A261" s="355"/>
      <c r="E261" s="365" t="str">
        <f aca="false">IF((G261&lt;&gt;0),"Enter Letter"," ")</f>
        <v> </v>
      </c>
      <c r="J261" s="334" t="str">
        <f aca="false">IF((E261="s"),G261," ")</f>
        <v> </v>
      </c>
      <c r="K261" s="334" t="str">
        <f aca="false">IF((E261="d"),G261," ")</f>
        <v> </v>
      </c>
      <c r="L261" s="334" t="str">
        <f aca="false">IF((E261="e"),G261," ")</f>
        <v> </v>
      </c>
      <c r="M261" s="334" t="str">
        <f aca="false">IF((E261="p"),G261," ")</f>
        <v> </v>
      </c>
      <c r="N261" s="334" t="str">
        <f aca="false">IF((E261="r"),G261," ")</f>
        <v> </v>
      </c>
      <c r="O261" s="334" t="str">
        <f aca="false">IF((E261="g"),G261," ")</f>
        <v> </v>
      </c>
      <c r="P261" s="334" t="str">
        <f aca="false">IF((E261="m"),G261," ")</f>
        <v> </v>
      </c>
      <c r="Q261" s="334" t="str">
        <f aca="false">IF((E261="t"),G261," ")</f>
        <v> </v>
      </c>
      <c r="R261" s="334" t="str">
        <f aca="false">IF((E261="a"),G261," ")</f>
        <v> </v>
      </c>
      <c r="S261" s="334" t="str">
        <f aca="false">IF((E261="l"),G261," ")</f>
        <v> </v>
      </c>
      <c r="T261" s="334" t="str">
        <f aca="false">IF((E261="b"),G261," ")</f>
        <v> </v>
      </c>
      <c r="U261" s="334" t="str">
        <f aca="false">IF((E261="i"),G261," ")</f>
        <v> </v>
      </c>
      <c r="V261" s="334" t="str">
        <f aca="false">IF((E261="o"),G261," ")</f>
        <v> </v>
      </c>
      <c r="W261" s="334" t="str">
        <f aca="false">IF((E261="f"),G261," ")</f>
        <v> </v>
      </c>
    </row>
    <row r="262" customFormat="false" ht="12.75" hidden="false" customHeight="false" outlineLevel="0" collapsed="false">
      <c r="A262" s="355"/>
      <c r="E262" s="365" t="str">
        <f aca="false">IF((G262&lt;&gt;0),"Enter Letter"," ")</f>
        <v> </v>
      </c>
      <c r="J262" s="334" t="str">
        <f aca="false">IF((E262="s"),G262," ")</f>
        <v> </v>
      </c>
      <c r="K262" s="334" t="str">
        <f aca="false">IF((E262="d"),G262," ")</f>
        <v> </v>
      </c>
      <c r="L262" s="334" t="str">
        <f aca="false">IF((E262="e"),G262," ")</f>
        <v> </v>
      </c>
      <c r="M262" s="334" t="str">
        <f aca="false">IF((E262="p"),G262," ")</f>
        <v> </v>
      </c>
      <c r="N262" s="334" t="str">
        <f aca="false">IF((E262="r"),G262," ")</f>
        <v> </v>
      </c>
      <c r="O262" s="334" t="str">
        <f aca="false">IF((E262="g"),G262," ")</f>
        <v> </v>
      </c>
      <c r="P262" s="334" t="str">
        <f aca="false">IF((E262="m"),G262," ")</f>
        <v> </v>
      </c>
      <c r="Q262" s="334" t="str">
        <f aca="false">IF((E262="t"),G262," ")</f>
        <v> </v>
      </c>
      <c r="R262" s="334" t="str">
        <f aca="false">IF((E262="a"),G262," ")</f>
        <v> </v>
      </c>
      <c r="S262" s="334" t="str">
        <f aca="false">IF((E262="l"),G262," ")</f>
        <v> </v>
      </c>
      <c r="T262" s="334" t="str">
        <f aca="false">IF((E262="b"),G262," ")</f>
        <v> </v>
      </c>
      <c r="U262" s="334" t="str">
        <f aca="false">IF((E262="i"),G262," ")</f>
        <v> </v>
      </c>
      <c r="V262" s="334" t="str">
        <f aca="false">IF((E262="o"),G262," ")</f>
        <v> </v>
      </c>
      <c r="W262" s="334" t="str">
        <f aca="false">IF((E262="f"),G262," ")</f>
        <v> </v>
      </c>
    </row>
    <row r="263" customFormat="false" ht="12.75" hidden="false" customHeight="false" outlineLevel="0" collapsed="false">
      <c r="A263" s="355"/>
      <c r="E263" s="365" t="str">
        <f aca="false">IF((G263&lt;&gt;0),"Enter Letter"," ")</f>
        <v> </v>
      </c>
      <c r="J263" s="334" t="str">
        <f aca="false">IF((E263="s"),G263," ")</f>
        <v> </v>
      </c>
      <c r="K263" s="334" t="str">
        <f aca="false">IF((E263="d"),G263," ")</f>
        <v> </v>
      </c>
      <c r="L263" s="334" t="str">
        <f aca="false">IF((E263="e"),G263," ")</f>
        <v> </v>
      </c>
      <c r="M263" s="334" t="str">
        <f aca="false">IF((E263="p"),G263," ")</f>
        <v> </v>
      </c>
      <c r="N263" s="334" t="str">
        <f aca="false">IF((E263="r"),G263," ")</f>
        <v> </v>
      </c>
      <c r="O263" s="334" t="str">
        <f aca="false">IF((E263="g"),G263," ")</f>
        <v> </v>
      </c>
      <c r="P263" s="334" t="str">
        <f aca="false">IF((E263="m"),G263," ")</f>
        <v> </v>
      </c>
      <c r="Q263" s="334" t="str">
        <f aca="false">IF((E263="t"),G263," ")</f>
        <v> </v>
      </c>
      <c r="R263" s="334" t="str">
        <f aca="false">IF((E263="a"),G263," ")</f>
        <v> </v>
      </c>
      <c r="S263" s="334" t="str">
        <f aca="false">IF((E263="l"),G263," ")</f>
        <v> </v>
      </c>
      <c r="T263" s="334" t="str">
        <f aca="false">IF((E263="b"),G263," ")</f>
        <v> </v>
      </c>
      <c r="U263" s="334" t="str">
        <f aca="false">IF((E263="i"),G263," ")</f>
        <v> </v>
      </c>
      <c r="V263" s="334" t="str">
        <f aca="false">IF((E263="o"),G263," ")</f>
        <v> </v>
      </c>
      <c r="W263" s="334" t="str">
        <f aca="false">IF((E263="f"),G263," ")</f>
        <v> </v>
      </c>
    </row>
    <row r="264" customFormat="false" ht="12.75" hidden="false" customHeight="false" outlineLevel="0" collapsed="false">
      <c r="A264" s="355"/>
      <c r="E264" s="365" t="str">
        <f aca="false">IF((G264&lt;&gt;0),"Enter Letter"," ")</f>
        <v> </v>
      </c>
      <c r="J264" s="334" t="str">
        <f aca="false">IF((E264="s"),G264," ")</f>
        <v> </v>
      </c>
      <c r="K264" s="334" t="str">
        <f aca="false">IF((E264="d"),G264," ")</f>
        <v> </v>
      </c>
      <c r="L264" s="334" t="str">
        <f aca="false">IF((E264="e"),G264," ")</f>
        <v> </v>
      </c>
      <c r="M264" s="334" t="str">
        <f aca="false">IF((E264="p"),G264," ")</f>
        <v> </v>
      </c>
      <c r="N264" s="334" t="str">
        <f aca="false">IF((E264="r"),G264," ")</f>
        <v> </v>
      </c>
      <c r="O264" s="334" t="str">
        <f aca="false">IF((E264="g"),G264," ")</f>
        <v> </v>
      </c>
      <c r="P264" s="334" t="str">
        <f aca="false">IF((E264="m"),G264," ")</f>
        <v> </v>
      </c>
      <c r="Q264" s="334" t="str">
        <f aca="false">IF((E264="t"),G264," ")</f>
        <v> </v>
      </c>
      <c r="R264" s="334" t="str">
        <f aca="false">IF((E264="a"),G264," ")</f>
        <v> </v>
      </c>
      <c r="S264" s="334" t="str">
        <f aca="false">IF((E264="l"),G264," ")</f>
        <v> </v>
      </c>
      <c r="T264" s="334" t="str">
        <f aca="false">IF((E264="b"),G264," ")</f>
        <v> </v>
      </c>
      <c r="U264" s="334" t="str">
        <f aca="false">IF((E264="i"),G264," ")</f>
        <v> </v>
      </c>
      <c r="V264" s="334" t="str">
        <f aca="false">IF((E264="o"),G264," ")</f>
        <v> </v>
      </c>
      <c r="W264" s="334" t="str">
        <f aca="false">IF((E264="f"),G264," ")</f>
        <v> </v>
      </c>
    </row>
    <row r="265" customFormat="false" ht="12.75" hidden="false" customHeight="false" outlineLevel="0" collapsed="false">
      <c r="A265" s="355"/>
      <c r="E265" s="365" t="str">
        <f aca="false">IF((G265&lt;&gt;0),"Enter Letter"," ")</f>
        <v> </v>
      </c>
      <c r="J265" s="334" t="str">
        <f aca="false">IF((E265="s"),G265," ")</f>
        <v> </v>
      </c>
      <c r="K265" s="334" t="str">
        <f aca="false">IF((E265="d"),G265," ")</f>
        <v> </v>
      </c>
      <c r="L265" s="334" t="str">
        <f aca="false">IF((E265="e"),G265," ")</f>
        <v> </v>
      </c>
      <c r="M265" s="334" t="str">
        <f aca="false">IF((E265="p"),G265," ")</f>
        <v> </v>
      </c>
      <c r="N265" s="334" t="str">
        <f aca="false">IF((E265="r"),G265," ")</f>
        <v> </v>
      </c>
      <c r="O265" s="334" t="str">
        <f aca="false">IF((E265="g"),G265," ")</f>
        <v> </v>
      </c>
      <c r="P265" s="334" t="str">
        <f aca="false">IF((E265="m"),G265," ")</f>
        <v> </v>
      </c>
      <c r="Q265" s="334" t="str">
        <f aca="false">IF((E265="t"),G265," ")</f>
        <v> </v>
      </c>
      <c r="R265" s="334" t="str">
        <f aca="false">IF((E265="a"),G265," ")</f>
        <v> </v>
      </c>
      <c r="S265" s="334" t="str">
        <f aca="false">IF((E265="l"),G265," ")</f>
        <v> </v>
      </c>
      <c r="T265" s="334" t="str">
        <f aca="false">IF((E265="b"),G265," ")</f>
        <v> </v>
      </c>
      <c r="U265" s="334" t="str">
        <f aca="false">IF((E265="i"),G265," ")</f>
        <v> </v>
      </c>
      <c r="V265" s="334" t="str">
        <f aca="false">IF((E265="o"),G265," ")</f>
        <v> </v>
      </c>
      <c r="W265" s="334" t="str">
        <f aca="false">IF((E265="f"),G265," ")</f>
        <v> </v>
      </c>
    </row>
    <row r="266" customFormat="false" ht="12.75" hidden="false" customHeight="false" outlineLevel="0" collapsed="false">
      <c r="A266" s="355"/>
      <c r="E266" s="365" t="str">
        <f aca="false">IF((G266&lt;&gt;0),"Enter Letter"," ")</f>
        <v> </v>
      </c>
      <c r="J266" s="334" t="str">
        <f aca="false">IF((E266="s"),G266," ")</f>
        <v> </v>
      </c>
      <c r="K266" s="334" t="str">
        <f aca="false">IF((E266="d"),G266," ")</f>
        <v> </v>
      </c>
      <c r="L266" s="334" t="str">
        <f aca="false">IF((E266="e"),G266," ")</f>
        <v> </v>
      </c>
      <c r="M266" s="334" t="str">
        <f aca="false">IF((E266="p"),G266," ")</f>
        <v> </v>
      </c>
      <c r="N266" s="334" t="str">
        <f aca="false">IF((E266="r"),G266," ")</f>
        <v> </v>
      </c>
      <c r="O266" s="334" t="str">
        <f aca="false">IF((E266="g"),G266," ")</f>
        <v> </v>
      </c>
      <c r="P266" s="334" t="str">
        <f aca="false">IF((E266="m"),G266," ")</f>
        <v> </v>
      </c>
      <c r="Q266" s="334" t="str">
        <f aca="false">IF((E266="t"),G266," ")</f>
        <v> </v>
      </c>
      <c r="R266" s="334" t="str">
        <f aca="false">IF((E266="a"),G266," ")</f>
        <v> </v>
      </c>
      <c r="S266" s="334" t="str">
        <f aca="false">IF((E266="l"),G266," ")</f>
        <v> </v>
      </c>
      <c r="T266" s="334" t="str">
        <f aca="false">IF((E266="b"),G266," ")</f>
        <v> </v>
      </c>
      <c r="U266" s="334" t="str">
        <f aca="false">IF((E266="i"),G266," ")</f>
        <v> </v>
      </c>
      <c r="V266" s="334" t="str">
        <f aca="false">IF((E266="o"),G266," ")</f>
        <v> </v>
      </c>
      <c r="W266" s="334" t="str">
        <f aca="false">IF((E266="f"),G266," ")</f>
        <v> </v>
      </c>
    </row>
    <row r="267" customFormat="false" ht="12.75" hidden="false" customHeight="false" outlineLevel="0" collapsed="false">
      <c r="A267" s="355"/>
      <c r="E267" s="365" t="str">
        <f aca="false">IF((G267&lt;&gt;0),"Enter Letter"," ")</f>
        <v> </v>
      </c>
      <c r="J267" s="334" t="str">
        <f aca="false">IF((E267="s"),G267," ")</f>
        <v> </v>
      </c>
      <c r="K267" s="334" t="str">
        <f aca="false">IF((E267="d"),G267," ")</f>
        <v> </v>
      </c>
      <c r="L267" s="334" t="str">
        <f aca="false">IF((E267="e"),G267," ")</f>
        <v> </v>
      </c>
      <c r="M267" s="334" t="str">
        <f aca="false">IF((E267="p"),G267," ")</f>
        <v> </v>
      </c>
      <c r="N267" s="334" t="str">
        <f aca="false">IF((E267="r"),G267," ")</f>
        <v> </v>
      </c>
      <c r="O267" s="334" t="str">
        <f aca="false">IF((E267="g"),G267," ")</f>
        <v> </v>
      </c>
      <c r="P267" s="334" t="str">
        <f aca="false">IF((E267="m"),G267," ")</f>
        <v> </v>
      </c>
      <c r="Q267" s="334" t="str">
        <f aca="false">IF((E267="t"),G267," ")</f>
        <v> </v>
      </c>
      <c r="R267" s="334" t="str">
        <f aca="false">IF((E267="a"),G267," ")</f>
        <v> </v>
      </c>
      <c r="S267" s="334" t="str">
        <f aca="false">IF((E267="l"),G267," ")</f>
        <v> </v>
      </c>
      <c r="T267" s="334" t="str">
        <f aca="false">IF((E267="b"),G267," ")</f>
        <v> </v>
      </c>
      <c r="U267" s="334" t="str">
        <f aca="false">IF((E267="i"),G267," ")</f>
        <v> </v>
      </c>
      <c r="V267" s="334" t="str">
        <f aca="false">IF((E267="o"),G267," ")</f>
        <v> </v>
      </c>
      <c r="W267" s="334" t="str">
        <f aca="false">IF((E267="f"),G267," ")</f>
        <v> </v>
      </c>
    </row>
    <row r="268" customFormat="false" ht="12.75" hidden="false" customHeight="false" outlineLevel="0" collapsed="false">
      <c r="A268" s="355"/>
      <c r="E268" s="365" t="str">
        <f aca="false">IF((G268&lt;&gt;0),"Enter Letter"," ")</f>
        <v> </v>
      </c>
      <c r="J268" s="334" t="str">
        <f aca="false">IF((E268="s"),G268," ")</f>
        <v> </v>
      </c>
      <c r="K268" s="334" t="str">
        <f aca="false">IF((E268="d"),G268," ")</f>
        <v> </v>
      </c>
      <c r="L268" s="334" t="str">
        <f aca="false">IF((E268="e"),G268," ")</f>
        <v> </v>
      </c>
      <c r="M268" s="334" t="str">
        <f aca="false">IF((E268="p"),G268," ")</f>
        <v> </v>
      </c>
      <c r="N268" s="334" t="str">
        <f aca="false">IF((E268="r"),G268," ")</f>
        <v> </v>
      </c>
      <c r="O268" s="334" t="str">
        <f aca="false">IF((E268="g"),G268," ")</f>
        <v> </v>
      </c>
      <c r="P268" s="334" t="str">
        <f aca="false">IF((E268="m"),G268," ")</f>
        <v> </v>
      </c>
      <c r="Q268" s="334" t="str">
        <f aca="false">IF((E268="t"),G268," ")</f>
        <v> </v>
      </c>
      <c r="R268" s="334" t="str">
        <f aca="false">IF((E268="a"),G268," ")</f>
        <v> </v>
      </c>
      <c r="S268" s="334" t="str">
        <f aca="false">IF((E268="l"),G268," ")</f>
        <v> </v>
      </c>
      <c r="T268" s="334" t="str">
        <f aca="false">IF((E268="b"),G268," ")</f>
        <v> </v>
      </c>
      <c r="U268" s="334" t="str">
        <f aca="false">IF((E268="i"),G268," ")</f>
        <v> </v>
      </c>
      <c r="V268" s="334" t="str">
        <f aca="false">IF((E268="o"),G268," ")</f>
        <v> </v>
      </c>
      <c r="W268" s="334" t="str">
        <f aca="false">IF((E268="f"),G268," ")</f>
        <v> </v>
      </c>
    </row>
    <row r="269" customFormat="false" ht="12.75" hidden="false" customHeight="false" outlineLevel="0" collapsed="false">
      <c r="A269" s="355"/>
      <c r="E269" s="365" t="str">
        <f aca="false">IF((G269&lt;&gt;0),"Enter Letter"," ")</f>
        <v> </v>
      </c>
      <c r="J269" s="334" t="str">
        <f aca="false">IF((E269="s"),G269," ")</f>
        <v> </v>
      </c>
      <c r="K269" s="334" t="str">
        <f aca="false">IF((E269="d"),G269," ")</f>
        <v> </v>
      </c>
      <c r="L269" s="334" t="str">
        <f aca="false">IF((E269="e"),G269," ")</f>
        <v> </v>
      </c>
      <c r="M269" s="334" t="str">
        <f aca="false">IF((E269="p"),G269," ")</f>
        <v> </v>
      </c>
      <c r="N269" s="334" t="str">
        <f aca="false">IF((E269="r"),G269," ")</f>
        <v> </v>
      </c>
      <c r="O269" s="334" t="str">
        <f aca="false">IF((E269="g"),G269," ")</f>
        <v> </v>
      </c>
      <c r="P269" s="334" t="str">
        <f aca="false">IF((E269="m"),G269," ")</f>
        <v> </v>
      </c>
      <c r="Q269" s="334" t="str">
        <f aca="false">IF((E269="t"),G269," ")</f>
        <v> </v>
      </c>
      <c r="R269" s="334" t="str">
        <f aca="false">IF((E269="a"),G269," ")</f>
        <v> </v>
      </c>
      <c r="S269" s="334" t="str">
        <f aca="false">IF((E269="l"),G269," ")</f>
        <v> </v>
      </c>
      <c r="T269" s="334" t="str">
        <f aca="false">IF((E269="b"),G269," ")</f>
        <v> </v>
      </c>
      <c r="U269" s="334" t="str">
        <f aca="false">IF((E269="i"),G269," ")</f>
        <v> </v>
      </c>
      <c r="V269" s="334" t="str">
        <f aca="false">IF((E269="o"),G269," ")</f>
        <v> </v>
      </c>
      <c r="W269" s="334" t="str">
        <f aca="false">IF((E269="f"),G269," ")</f>
        <v> </v>
      </c>
    </row>
    <row r="270" customFormat="false" ht="12.75" hidden="false" customHeight="false" outlineLevel="0" collapsed="false">
      <c r="A270" s="355"/>
      <c r="E270" s="365" t="str">
        <f aca="false">IF((G270&lt;&gt;0),"Enter Letter"," ")</f>
        <v> </v>
      </c>
      <c r="J270" s="334" t="str">
        <f aca="false">IF((E270="s"),G270," ")</f>
        <v> </v>
      </c>
      <c r="K270" s="334" t="str">
        <f aca="false">IF((E270="d"),G270," ")</f>
        <v> </v>
      </c>
      <c r="L270" s="334" t="str">
        <f aca="false">IF((E270="e"),G270," ")</f>
        <v> </v>
      </c>
      <c r="M270" s="334" t="str">
        <f aca="false">IF((E270="p"),G270," ")</f>
        <v> </v>
      </c>
      <c r="N270" s="334" t="str">
        <f aca="false">IF((E270="r"),G270," ")</f>
        <v> </v>
      </c>
      <c r="O270" s="334" t="str">
        <f aca="false">IF((E270="g"),G270," ")</f>
        <v> </v>
      </c>
      <c r="P270" s="334" t="str">
        <f aca="false">IF((E270="m"),G270," ")</f>
        <v> </v>
      </c>
      <c r="Q270" s="334" t="str">
        <f aca="false">IF((E270="t"),G270," ")</f>
        <v> </v>
      </c>
      <c r="R270" s="334" t="str">
        <f aca="false">IF((E270="a"),G270," ")</f>
        <v> </v>
      </c>
      <c r="S270" s="334" t="str">
        <f aca="false">IF((E270="l"),G270," ")</f>
        <v> </v>
      </c>
      <c r="T270" s="334" t="str">
        <f aca="false">IF((E270="b"),G270," ")</f>
        <v> </v>
      </c>
      <c r="U270" s="334" t="str">
        <f aca="false">IF((E270="i"),G270," ")</f>
        <v> </v>
      </c>
      <c r="V270" s="334" t="str">
        <f aca="false">IF((E270="o"),G270," ")</f>
        <v> </v>
      </c>
      <c r="W270" s="334" t="str">
        <f aca="false">IF((E270="f"),G270," ")</f>
        <v> </v>
      </c>
    </row>
    <row r="271" customFormat="false" ht="12.75" hidden="false" customHeight="false" outlineLevel="0" collapsed="false">
      <c r="A271" s="355"/>
      <c r="E271" s="365" t="str">
        <f aca="false">IF((G271&lt;&gt;0),"Enter Letter"," ")</f>
        <v> </v>
      </c>
      <c r="J271" s="334" t="str">
        <f aca="false">IF((E271="s"),G271," ")</f>
        <v> </v>
      </c>
      <c r="K271" s="334" t="str">
        <f aca="false">IF((E271="d"),G271," ")</f>
        <v> </v>
      </c>
      <c r="L271" s="334" t="str">
        <f aca="false">IF((E271="e"),G271," ")</f>
        <v> </v>
      </c>
      <c r="M271" s="334" t="str">
        <f aca="false">IF((E271="p"),G271," ")</f>
        <v> </v>
      </c>
      <c r="N271" s="334" t="str">
        <f aca="false">IF((E271="r"),G271," ")</f>
        <v> </v>
      </c>
      <c r="O271" s="334" t="str">
        <f aca="false">IF((E271="g"),G271," ")</f>
        <v> </v>
      </c>
      <c r="P271" s="334" t="str">
        <f aca="false">IF((E271="m"),G271," ")</f>
        <v> </v>
      </c>
      <c r="Q271" s="334" t="str">
        <f aca="false">IF((E271="t"),G271," ")</f>
        <v> </v>
      </c>
      <c r="R271" s="334" t="str">
        <f aca="false">IF((E271="a"),G271," ")</f>
        <v> </v>
      </c>
      <c r="S271" s="334" t="str">
        <f aca="false">IF((E271="l"),G271," ")</f>
        <v> </v>
      </c>
      <c r="T271" s="334" t="str">
        <f aca="false">IF((E271="b"),G271," ")</f>
        <v> </v>
      </c>
      <c r="U271" s="334" t="str">
        <f aca="false">IF((E271="i"),G271," ")</f>
        <v> </v>
      </c>
      <c r="V271" s="334" t="str">
        <f aca="false">IF((E271="o"),G271," ")</f>
        <v> </v>
      </c>
      <c r="W271" s="334" t="str">
        <f aca="false">IF((E271="f"),G271," ")</f>
        <v> </v>
      </c>
    </row>
    <row r="272" customFormat="false" ht="12.75" hidden="false" customHeight="false" outlineLevel="0" collapsed="false">
      <c r="A272" s="355"/>
      <c r="E272" s="365" t="str">
        <f aca="false">IF((G272&lt;&gt;0),"Enter Letter"," ")</f>
        <v> </v>
      </c>
      <c r="J272" s="334" t="str">
        <f aca="false">IF((E272="s"),G272," ")</f>
        <v> </v>
      </c>
      <c r="K272" s="334" t="str">
        <f aca="false">IF((E272="d"),G272," ")</f>
        <v> </v>
      </c>
      <c r="L272" s="334" t="str">
        <f aca="false">IF((E272="e"),G272," ")</f>
        <v> </v>
      </c>
      <c r="M272" s="334" t="str">
        <f aca="false">IF((E272="p"),G272," ")</f>
        <v> </v>
      </c>
      <c r="N272" s="334" t="str">
        <f aca="false">IF((E272="r"),G272," ")</f>
        <v> </v>
      </c>
      <c r="O272" s="334" t="str">
        <f aca="false">IF((E272="g"),G272," ")</f>
        <v> </v>
      </c>
      <c r="P272" s="334" t="str">
        <f aca="false">IF((E272="m"),G272," ")</f>
        <v> </v>
      </c>
      <c r="Q272" s="334" t="str">
        <f aca="false">IF((E272="t"),G272," ")</f>
        <v> </v>
      </c>
      <c r="R272" s="334" t="str">
        <f aca="false">IF((E272="a"),G272," ")</f>
        <v> </v>
      </c>
      <c r="S272" s="334" t="str">
        <f aca="false">IF((E272="l"),G272," ")</f>
        <v> </v>
      </c>
      <c r="T272" s="334" t="str">
        <f aca="false">IF((E272="b"),G272," ")</f>
        <v> </v>
      </c>
      <c r="U272" s="334" t="str">
        <f aca="false">IF((E272="i"),G272," ")</f>
        <v> </v>
      </c>
      <c r="V272" s="334" t="str">
        <f aca="false">IF((E272="o"),G272," ")</f>
        <v> </v>
      </c>
      <c r="W272" s="334" t="str">
        <f aca="false">IF((E272="f"),G272," ")</f>
        <v> </v>
      </c>
    </row>
    <row r="273" customFormat="false" ht="12.75" hidden="false" customHeight="false" outlineLevel="0" collapsed="false">
      <c r="A273" s="355"/>
      <c r="E273" s="365" t="str">
        <f aca="false">IF((G273&lt;&gt;0),"Enter Letter"," ")</f>
        <v> </v>
      </c>
      <c r="J273" s="334" t="str">
        <f aca="false">IF((E273="s"),G273," ")</f>
        <v> </v>
      </c>
      <c r="K273" s="334" t="str">
        <f aca="false">IF((E273="d"),G273," ")</f>
        <v> </v>
      </c>
      <c r="L273" s="334" t="str">
        <f aca="false">IF((E273="e"),G273," ")</f>
        <v> </v>
      </c>
      <c r="M273" s="334" t="str">
        <f aca="false">IF((E273="p"),G273," ")</f>
        <v> </v>
      </c>
      <c r="N273" s="334" t="str">
        <f aca="false">IF((E273="r"),G273," ")</f>
        <v> </v>
      </c>
      <c r="O273" s="334" t="str">
        <f aca="false">IF((E273="g"),G273," ")</f>
        <v> </v>
      </c>
      <c r="P273" s="334" t="str">
        <f aca="false">IF((E273="m"),G273," ")</f>
        <v> </v>
      </c>
      <c r="Q273" s="334" t="str">
        <f aca="false">IF((E273="t"),G273," ")</f>
        <v> </v>
      </c>
      <c r="R273" s="334" t="str">
        <f aca="false">IF((E273="a"),G273," ")</f>
        <v> </v>
      </c>
      <c r="S273" s="334" t="str">
        <f aca="false">IF((E273="l"),G273," ")</f>
        <v> </v>
      </c>
      <c r="T273" s="334" t="str">
        <f aca="false">IF((E273="b"),G273," ")</f>
        <v> </v>
      </c>
      <c r="U273" s="334" t="str">
        <f aca="false">IF((E273="i"),G273," ")</f>
        <v> </v>
      </c>
      <c r="V273" s="334" t="str">
        <f aca="false">IF((E273="o"),G273," ")</f>
        <v> </v>
      </c>
      <c r="W273" s="334" t="str">
        <f aca="false">IF((E273="f"),G273," ")</f>
        <v> </v>
      </c>
    </row>
    <row r="274" customFormat="false" ht="12.75" hidden="false" customHeight="false" outlineLevel="0" collapsed="false">
      <c r="A274" s="355"/>
      <c r="E274" s="365" t="str">
        <f aca="false">IF((G274&lt;&gt;0),"Enter Letter"," ")</f>
        <v> </v>
      </c>
      <c r="J274" s="334" t="str">
        <f aca="false">IF((E274="s"),G274," ")</f>
        <v> </v>
      </c>
      <c r="K274" s="334" t="str">
        <f aca="false">IF((E274="d"),G274," ")</f>
        <v> </v>
      </c>
      <c r="L274" s="334" t="str">
        <f aca="false">IF((E274="e"),G274," ")</f>
        <v> </v>
      </c>
      <c r="M274" s="334" t="str">
        <f aca="false">IF((E274="p"),G274," ")</f>
        <v> </v>
      </c>
      <c r="N274" s="334" t="str">
        <f aca="false">IF((E274="r"),G274," ")</f>
        <v> </v>
      </c>
      <c r="O274" s="334" t="str">
        <f aca="false">IF((E274="g"),G274," ")</f>
        <v> </v>
      </c>
      <c r="P274" s="334" t="str">
        <f aca="false">IF((E274="m"),G274," ")</f>
        <v> </v>
      </c>
      <c r="Q274" s="334" t="str">
        <f aca="false">IF((E274="t"),G274," ")</f>
        <v> </v>
      </c>
      <c r="R274" s="334" t="str">
        <f aca="false">IF((E274="a"),G274," ")</f>
        <v> </v>
      </c>
      <c r="S274" s="334" t="str">
        <f aca="false">IF((E274="l"),G274," ")</f>
        <v> </v>
      </c>
      <c r="T274" s="334" t="str">
        <f aca="false">IF((E274="b"),G274," ")</f>
        <v> </v>
      </c>
      <c r="U274" s="334" t="str">
        <f aca="false">IF((E274="i"),G274," ")</f>
        <v> </v>
      </c>
      <c r="V274" s="334" t="str">
        <f aca="false">IF((E274="o"),G274," ")</f>
        <v> </v>
      </c>
      <c r="W274" s="334" t="str">
        <f aca="false">IF((E274="f"),G274," ")</f>
        <v> </v>
      </c>
    </row>
    <row r="275" customFormat="false" ht="12.75" hidden="false" customHeight="false" outlineLevel="0" collapsed="false">
      <c r="A275" s="355"/>
      <c r="E275" s="365" t="str">
        <f aca="false">IF((G275&lt;&gt;0),"Enter Letter"," ")</f>
        <v> </v>
      </c>
      <c r="J275" s="334" t="str">
        <f aca="false">IF((E275="s"),G275," ")</f>
        <v> </v>
      </c>
      <c r="K275" s="334" t="str">
        <f aca="false">IF((E275="d"),G275," ")</f>
        <v> </v>
      </c>
      <c r="L275" s="334" t="str">
        <f aca="false">IF((E275="e"),G275," ")</f>
        <v> </v>
      </c>
      <c r="M275" s="334" t="str">
        <f aca="false">IF((E275="p"),G275," ")</f>
        <v> </v>
      </c>
      <c r="N275" s="334" t="str">
        <f aca="false">IF((E275="r"),G275," ")</f>
        <v> </v>
      </c>
      <c r="O275" s="334" t="str">
        <f aca="false">IF((E275="g"),G275," ")</f>
        <v> </v>
      </c>
      <c r="P275" s="334" t="str">
        <f aca="false">IF((E275="m"),G275," ")</f>
        <v> </v>
      </c>
      <c r="Q275" s="334" t="str">
        <f aca="false">IF((E275="t"),G275," ")</f>
        <v> </v>
      </c>
      <c r="R275" s="334" t="str">
        <f aca="false">IF((E275="a"),G275," ")</f>
        <v> </v>
      </c>
      <c r="S275" s="334" t="str">
        <f aca="false">IF((E275="l"),G275," ")</f>
        <v> </v>
      </c>
      <c r="T275" s="334" t="str">
        <f aca="false">IF((E275="b"),G275," ")</f>
        <v> </v>
      </c>
      <c r="U275" s="334" t="str">
        <f aca="false">IF((E275="i"),G275," ")</f>
        <v> </v>
      </c>
      <c r="V275" s="334" t="str">
        <f aca="false">IF((E275="o"),G275," ")</f>
        <v> </v>
      </c>
      <c r="W275" s="334" t="str">
        <f aca="false">IF((E275="f"),G275," ")</f>
        <v> </v>
      </c>
    </row>
    <row r="276" customFormat="false" ht="12.75" hidden="false" customHeight="false" outlineLevel="0" collapsed="false">
      <c r="A276" s="355"/>
      <c r="E276" s="365" t="str">
        <f aca="false">IF((G276&lt;&gt;0),"Enter Letter"," ")</f>
        <v> </v>
      </c>
      <c r="J276" s="334" t="str">
        <f aca="false">IF((E276="s"),G276," ")</f>
        <v> </v>
      </c>
      <c r="K276" s="334" t="str">
        <f aca="false">IF((E276="d"),G276," ")</f>
        <v> </v>
      </c>
      <c r="L276" s="334" t="str">
        <f aca="false">IF((E276="e"),G276," ")</f>
        <v> </v>
      </c>
      <c r="M276" s="334" t="str">
        <f aca="false">IF((E276="p"),G276," ")</f>
        <v> </v>
      </c>
      <c r="N276" s="334" t="str">
        <f aca="false">IF((E276="r"),G276," ")</f>
        <v> </v>
      </c>
      <c r="O276" s="334" t="str">
        <f aca="false">IF((E276="g"),G276," ")</f>
        <v> </v>
      </c>
      <c r="P276" s="334" t="str">
        <f aca="false">IF((E276="m"),G276," ")</f>
        <v> </v>
      </c>
      <c r="Q276" s="334" t="str">
        <f aca="false">IF((E276="t"),G276," ")</f>
        <v> </v>
      </c>
      <c r="R276" s="334" t="str">
        <f aca="false">IF((E276="a"),G276," ")</f>
        <v> </v>
      </c>
      <c r="S276" s="334" t="str">
        <f aca="false">IF((E276="l"),G276," ")</f>
        <v> </v>
      </c>
      <c r="T276" s="334" t="str">
        <f aca="false">IF((E276="b"),G276," ")</f>
        <v> </v>
      </c>
      <c r="U276" s="334" t="str">
        <f aca="false">IF((E276="i"),G276," ")</f>
        <v> </v>
      </c>
      <c r="V276" s="334" t="str">
        <f aca="false">IF((E276="o"),G276," ")</f>
        <v> </v>
      </c>
      <c r="W276" s="334" t="str">
        <f aca="false">IF((E276="f"),G276," ")</f>
        <v> </v>
      </c>
    </row>
    <row r="277" customFormat="false" ht="12.75" hidden="false" customHeight="false" outlineLevel="0" collapsed="false">
      <c r="A277" s="355"/>
      <c r="E277" s="365" t="str">
        <f aca="false">IF((G277&lt;&gt;0),"Enter Letter"," ")</f>
        <v> </v>
      </c>
      <c r="J277" s="334" t="str">
        <f aca="false">IF((E277="s"),G277," ")</f>
        <v> </v>
      </c>
      <c r="K277" s="334" t="str">
        <f aca="false">IF((E277="d"),G277," ")</f>
        <v> </v>
      </c>
      <c r="L277" s="334" t="str">
        <f aca="false">IF((E277="e"),G277," ")</f>
        <v> </v>
      </c>
      <c r="M277" s="334" t="str">
        <f aca="false">IF((E277="p"),G277," ")</f>
        <v> </v>
      </c>
      <c r="N277" s="334" t="str">
        <f aca="false">IF((E277="r"),G277," ")</f>
        <v> </v>
      </c>
      <c r="O277" s="334" t="str">
        <f aca="false">IF((E277="g"),G277," ")</f>
        <v> </v>
      </c>
      <c r="P277" s="334" t="str">
        <f aca="false">IF((E277="m"),G277," ")</f>
        <v> </v>
      </c>
      <c r="Q277" s="334" t="str">
        <f aca="false">IF((E277="t"),G277," ")</f>
        <v> </v>
      </c>
      <c r="R277" s="334" t="str">
        <f aca="false">IF((E277="a"),G277," ")</f>
        <v> </v>
      </c>
      <c r="S277" s="334" t="str">
        <f aca="false">IF((E277="l"),G277," ")</f>
        <v> </v>
      </c>
      <c r="T277" s="334" t="str">
        <f aca="false">IF((E277="b"),G277," ")</f>
        <v> </v>
      </c>
      <c r="U277" s="334" t="str">
        <f aca="false">IF((E277="i"),G277," ")</f>
        <v> </v>
      </c>
      <c r="V277" s="334" t="str">
        <f aca="false">IF((E277="o"),G277," ")</f>
        <v> </v>
      </c>
      <c r="W277" s="334" t="str">
        <f aca="false">IF((E277="f"),G277," ")</f>
        <v> </v>
      </c>
    </row>
    <row r="278" customFormat="false" ht="12.75" hidden="false" customHeight="false" outlineLevel="0" collapsed="false">
      <c r="A278" s="355"/>
      <c r="E278" s="365" t="str">
        <f aca="false">IF((G278&lt;&gt;0),"Enter Letter"," ")</f>
        <v> </v>
      </c>
      <c r="J278" s="334" t="str">
        <f aca="false">IF((E278="s"),G278," ")</f>
        <v> </v>
      </c>
      <c r="K278" s="334" t="str">
        <f aca="false">IF((E278="d"),G278," ")</f>
        <v> </v>
      </c>
      <c r="L278" s="334" t="str">
        <f aca="false">IF((E278="e"),G278," ")</f>
        <v> </v>
      </c>
      <c r="M278" s="334" t="str">
        <f aca="false">IF((E278="p"),G278," ")</f>
        <v> </v>
      </c>
      <c r="N278" s="334" t="str">
        <f aca="false">IF((E278="r"),G278," ")</f>
        <v> </v>
      </c>
      <c r="O278" s="334" t="str">
        <f aca="false">IF((E278="g"),G278," ")</f>
        <v> </v>
      </c>
      <c r="P278" s="334" t="str">
        <f aca="false">IF((E278="m"),G278," ")</f>
        <v> </v>
      </c>
      <c r="Q278" s="334" t="str">
        <f aca="false">IF((E278="t"),G278," ")</f>
        <v> </v>
      </c>
      <c r="R278" s="334" t="str">
        <f aca="false">IF((E278="a"),G278," ")</f>
        <v> </v>
      </c>
      <c r="S278" s="334" t="str">
        <f aca="false">IF((E278="l"),G278," ")</f>
        <v> </v>
      </c>
      <c r="T278" s="334" t="str">
        <f aca="false">IF((E278="b"),G278," ")</f>
        <v> </v>
      </c>
      <c r="U278" s="334" t="str">
        <f aca="false">IF((E278="i"),G278," ")</f>
        <v> </v>
      </c>
      <c r="V278" s="334" t="str">
        <f aca="false">IF((E278="o"),G278," ")</f>
        <v> </v>
      </c>
      <c r="W278" s="334" t="str">
        <f aca="false">IF((E278="f"),G278," ")</f>
        <v> </v>
      </c>
    </row>
    <row r="279" customFormat="false" ht="12.75" hidden="false" customHeight="false" outlineLevel="0" collapsed="false">
      <c r="A279" s="355"/>
      <c r="E279" s="365" t="str">
        <f aca="false">IF((G279&lt;&gt;0),"Enter Letter"," ")</f>
        <v> </v>
      </c>
      <c r="J279" s="334" t="str">
        <f aca="false">IF((E279="s"),G279," ")</f>
        <v> </v>
      </c>
      <c r="K279" s="334" t="str">
        <f aca="false">IF((E279="d"),G279," ")</f>
        <v> </v>
      </c>
      <c r="L279" s="334" t="str">
        <f aca="false">IF((E279="e"),G279," ")</f>
        <v> </v>
      </c>
      <c r="M279" s="334" t="str">
        <f aca="false">IF((E279="p"),G279," ")</f>
        <v> </v>
      </c>
      <c r="N279" s="334" t="str">
        <f aca="false">IF((E279="r"),G279," ")</f>
        <v> </v>
      </c>
      <c r="O279" s="334" t="str">
        <f aca="false">IF((E279="g"),G279," ")</f>
        <v> </v>
      </c>
      <c r="P279" s="334" t="str">
        <f aca="false">IF((E279="m"),G279," ")</f>
        <v> </v>
      </c>
      <c r="Q279" s="334" t="str">
        <f aca="false">IF((E279="t"),G279," ")</f>
        <v> </v>
      </c>
      <c r="R279" s="334" t="str">
        <f aca="false">IF((E279="a"),G279," ")</f>
        <v> </v>
      </c>
      <c r="S279" s="334" t="str">
        <f aca="false">IF((E279="l"),G279," ")</f>
        <v> </v>
      </c>
      <c r="T279" s="334" t="str">
        <f aca="false">IF((E279="b"),G279," ")</f>
        <v> </v>
      </c>
      <c r="U279" s="334" t="str">
        <f aca="false">IF((E279="i"),G279," ")</f>
        <v> </v>
      </c>
      <c r="V279" s="334" t="str">
        <f aca="false">IF((E279="o"),G279," ")</f>
        <v> </v>
      </c>
      <c r="W279" s="334" t="str">
        <f aca="false">IF((E279="f"),G279," ")</f>
        <v> </v>
      </c>
    </row>
    <row r="280" customFormat="false" ht="12.75" hidden="false" customHeight="false" outlineLevel="0" collapsed="false">
      <c r="A280" s="355"/>
      <c r="E280" s="365" t="str">
        <f aca="false">IF((G280&lt;&gt;0),"Enter Letter"," ")</f>
        <v> </v>
      </c>
      <c r="J280" s="334" t="str">
        <f aca="false">IF((E280="s"),G280," ")</f>
        <v> </v>
      </c>
      <c r="K280" s="334" t="str">
        <f aca="false">IF((E280="d"),G280," ")</f>
        <v> </v>
      </c>
      <c r="L280" s="334" t="str">
        <f aca="false">IF((E280="e"),G280," ")</f>
        <v> </v>
      </c>
      <c r="M280" s="334" t="str">
        <f aca="false">IF((E280="p"),G280," ")</f>
        <v> </v>
      </c>
      <c r="N280" s="334" t="str">
        <f aca="false">IF((E280="r"),G280," ")</f>
        <v> </v>
      </c>
      <c r="O280" s="334" t="str">
        <f aca="false">IF((E280="g"),G280," ")</f>
        <v> </v>
      </c>
      <c r="P280" s="334" t="str">
        <f aca="false">IF((E280="m"),G280," ")</f>
        <v> </v>
      </c>
      <c r="Q280" s="334" t="str">
        <f aca="false">IF((E280="t"),G280," ")</f>
        <v> </v>
      </c>
      <c r="R280" s="334" t="str">
        <f aca="false">IF((E280="a"),G280," ")</f>
        <v> </v>
      </c>
      <c r="S280" s="334" t="str">
        <f aca="false">IF((E280="l"),G280," ")</f>
        <v> </v>
      </c>
      <c r="T280" s="334" t="str">
        <f aca="false">IF((E280="b"),G280," ")</f>
        <v> </v>
      </c>
      <c r="U280" s="334" t="str">
        <f aca="false">IF((E280="i"),G280," ")</f>
        <v> </v>
      </c>
      <c r="V280" s="334" t="str">
        <f aca="false">IF((E280="o"),G280," ")</f>
        <v> </v>
      </c>
      <c r="W280" s="334" t="str">
        <f aca="false">IF((E280="f"),G280," ")</f>
        <v> </v>
      </c>
    </row>
    <row r="281" customFormat="false" ht="12.75" hidden="false" customHeight="false" outlineLevel="0" collapsed="false">
      <c r="A281" s="355"/>
      <c r="E281" s="365" t="str">
        <f aca="false">IF((G281&lt;&gt;0),"Enter Letter"," ")</f>
        <v> </v>
      </c>
      <c r="J281" s="334" t="str">
        <f aca="false">IF((E281="s"),G281," ")</f>
        <v> </v>
      </c>
      <c r="K281" s="334" t="str">
        <f aca="false">IF((E281="d"),G281," ")</f>
        <v> </v>
      </c>
      <c r="L281" s="334" t="str">
        <f aca="false">IF((E281="e"),G281," ")</f>
        <v> </v>
      </c>
      <c r="M281" s="334" t="str">
        <f aca="false">IF((E281="p"),G281," ")</f>
        <v> </v>
      </c>
      <c r="N281" s="334" t="str">
        <f aca="false">IF((E281="r"),G281," ")</f>
        <v> </v>
      </c>
      <c r="O281" s="334" t="str">
        <f aca="false">IF((E281="g"),G281," ")</f>
        <v> </v>
      </c>
      <c r="P281" s="334" t="str">
        <f aca="false">IF((E281="m"),G281," ")</f>
        <v> </v>
      </c>
      <c r="Q281" s="334" t="str">
        <f aca="false">IF((E281="t"),G281," ")</f>
        <v> </v>
      </c>
      <c r="R281" s="334" t="str">
        <f aca="false">IF((E281="a"),G281," ")</f>
        <v> </v>
      </c>
      <c r="S281" s="334" t="str">
        <f aca="false">IF((E281="l"),G281," ")</f>
        <v> </v>
      </c>
      <c r="T281" s="334" t="str">
        <f aca="false">IF((E281="b"),G281," ")</f>
        <v> </v>
      </c>
      <c r="U281" s="334" t="str">
        <f aca="false">IF((E281="i"),G281," ")</f>
        <v> </v>
      </c>
      <c r="V281" s="334" t="str">
        <f aca="false">IF((E281="o"),G281," ")</f>
        <v> </v>
      </c>
      <c r="W281" s="334" t="str">
        <f aca="false">IF((E281="f"),G281," ")</f>
        <v> </v>
      </c>
    </row>
    <row r="282" customFormat="false" ht="12.75" hidden="false" customHeight="false" outlineLevel="0" collapsed="false">
      <c r="A282" s="355"/>
      <c r="E282" s="365" t="str">
        <f aca="false">IF((G282&lt;&gt;0),"Enter Letter"," ")</f>
        <v> </v>
      </c>
      <c r="J282" s="334" t="str">
        <f aca="false">IF((E282="s"),G282," ")</f>
        <v> </v>
      </c>
      <c r="K282" s="334" t="str">
        <f aca="false">IF((E282="d"),G282," ")</f>
        <v> </v>
      </c>
      <c r="L282" s="334" t="str">
        <f aca="false">IF((E282="e"),G282," ")</f>
        <v> </v>
      </c>
      <c r="M282" s="334" t="str">
        <f aca="false">IF((E282="p"),G282," ")</f>
        <v> </v>
      </c>
      <c r="N282" s="334" t="str">
        <f aca="false">IF((E282="r"),G282," ")</f>
        <v> </v>
      </c>
      <c r="O282" s="334" t="str">
        <f aca="false">IF((E282="g"),G282," ")</f>
        <v> </v>
      </c>
      <c r="P282" s="334" t="str">
        <f aca="false">IF((E282="m"),G282," ")</f>
        <v> </v>
      </c>
      <c r="Q282" s="334" t="str">
        <f aca="false">IF((E282="t"),G282," ")</f>
        <v> </v>
      </c>
      <c r="R282" s="334" t="str">
        <f aca="false">IF((E282="a"),G282," ")</f>
        <v> </v>
      </c>
      <c r="S282" s="334" t="str">
        <f aca="false">IF((E282="l"),G282," ")</f>
        <v> </v>
      </c>
      <c r="T282" s="334" t="str">
        <f aca="false">IF((E282="b"),G282," ")</f>
        <v> </v>
      </c>
      <c r="U282" s="334" t="str">
        <f aca="false">IF((E282="i"),G282," ")</f>
        <v> </v>
      </c>
      <c r="V282" s="334" t="str">
        <f aca="false">IF((E282="o"),G282," ")</f>
        <v> </v>
      </c>
      <c r="W282" s="334" t="str">
        <f aca="false">IF((E282="f"),G282," ")</f>
        <v> </v>
      </c>
    </row>
    <row r="283" customFormat="false" ht="12.75" hidden="false" customHeight="false" outlineLevel="0" collapsed="false">
      <c r="A283" s="355"/>
      <c r="E283" s="365" t="str">
        <f aca="false">IF((G283&lt;&gt;0),"Enter Letter"," ")</f>
        <v> </v>
      </c>
      <c r="J283" s="334" t="str">
        <f aca="false">IF((E283="s"),G283," ")</f>
        <v> </v>
      </c>
      <c r="K283" s="334" t="str">
        <f aca="false">IF((E283="d"),G283," ")</f>
        <v> </v>
      </c>
      <c r="L283" s="334" t="str">
        <f aca="false">IF((E283="e"),G283," ")</f>
        <v> </v>
      </c>
      <c r="M283" s="334" t="str">
        <f aca="false">IF((E283="p"),G283," ")</f>
        <v> </v>
      </c>
      <c r="N283" s="334" t="str">
        <f aca="false">IF((E283="r"),G283," ")</f>
        <v> </v>
      </c>
      <c r="O283" s="334" t="str">
        <f aca="false">IF((E283="g"),G283," ")</f>
        <v> </v>
      </c>
      <c r="P283" s="334" t="str">
        <f aca="false">IF((E283="m"),G283," ")</f>
        <v> </v>
      </c>
      <c r="Q283" s="334" t="str">
        <f aca="false">IF((E283="t"),G283," ")</f>
        <v> </v>
      </c>
      <c r="R283" s="334" t="str">
        <f aca="false">IF((E283="a"),G283," ")</f>
        <v> </v>
      </c>
      <c r="S283" s="334" t="str">
        <f aca="false">IF((E283="l"),G283," ")</f>
        <v> </v>
      </c>
      <c r="T283" s="334" t="str">
        <f aca="false">IF((E283="b"),G283," ")</f>
        <v> </v>
      </c>
      <c r="U283" s="334" t="str">
        <f aca="false">IF((E283="i"),G283," ")</f>
        <v> </v>
      </c>
      <c r="V283" s="334" t="str">
        <f aca="false">IF((E283="o"),G283," ")</f>
        <v> </v>
      </c>
      <c r="W283" s="334" t="str">
        <f aca="false">IF((E283="f"),G283," ")</f>
        <v> </v>
      </c>
    </row>
    <row r="284" customFormat="false" ht="12.75" hidden="false" customHeight="false" outlineLevel="0" collapsed="false">
      <c r="A284" s="355"/>
      <c r="E284" s="365" t="str">
        <f aca="false">IF((G284&lt;&gt;0),"Enter Letter"," ")</f>
        <v> </v>
      </c>
      <c r="J284" s="334" t="str">
        <f aca="false">IF((E284="s"),G284," ")</f>
        <v> </v>
      </c>
      <c r="K284" s="334" t="str">
        <f aca="false">IF((E284="d"),G284," ")</f>
        <v> </v>
      </c>
      <c r="L284" s="334" t="str">
        <f aca="false">IF((E284="e"),G284," ")</f>
        <v> </v>
      </c>
      <c r="M284" s="334" t="str">
        <f aca="false">IF((E284="p"),G284," ")</f>
        <v> </v>
      </c>
      <c r="N284" s="334" t="str">
        <f aca="false">IF((E284="r"),G284," ")</f>
        <v> </v>
      </c>
      <c r="O284" s="334" t="str">
        <f aca="false">IF((E284="g"),G284," ")</f>
        <v> </v>
      </c>
      <c r="P284" s="334" t="str">
        <f aca="false">IF((E284="m"),G284," ")</f>
        <v> </v>
      </c>
      <c r="Q284" s="334" t="str">
        <f aca="false">IF((E284="t"),G284," ")</f>
        <v> </v>
      </c>
      <c r="R284" s="334" t="str">
        <f aca="false">IF((E284="a"),G284," ")</f>
        <v> </v>
      </c>
      <c r="S284" s="334" t="str">
        <f aca="false">IF((E284="l"),G284," ")</f>
        <v> </v>
      </c>
      <c r="T284" s="334" t="str">
        <f aca="false">IF((E284="b"),G284," ")</f>
        <v> </v>
      </c>
      <c r="U284" s="334" t="str">
        <f aca="false">IF((E284="i"),G284," ")</f>
        <v> </v>
      </c>
      <c r="V284" s="334" t="str">
        <f aca="false">IF((E284="o"),G284," ")</f>
        <v> </v>
      </c>
      <c r="W284" s="334" t="str">
        <f aca="false">IF((E284="f"),G284," ")</f>
        <v> </v>
      </c>
    </row>
    <row r="285" customFormat="false" ht="12.75" hidden="false" customHeight="false" outlineLevel="0" collapsed="false">
      <c r="A285" s="355"/>
      <c r="E285" s="365" t="str">
        <f aca="false">IF((G285&lt;&gt;0),"Enter Letter"," ")</f>
        <v> </v>
      </c>
      <c r="J285" s="334" t="str">
        <f aca="false">IF((E285="s"),G285," ")</f>
        <v> </v>
      </c>
      <c r="K285" s="334" t="str">
        <f aca="false">IF((E285="d"),G285," ")</f>
        <v> </v>
      </c>
      <c r="L285" s="334" t="str">
        <f aca="false">IF((E285="e"),G285," ")</f>
        <v> </v>
      </c>
      <c r="M285" s="334" t="str">
        <f aca="false">IF((E285="p"),G285," ")</f>
        <v> </v>
      </c>
      <c r="N285" s="334" t="str">
        <f aca="false">IF((E285="r"),G285," ")</f>
        <v> </v>
      </c>
      <c r="O285" s="334" t="str">
        <f aca="false">IF((E285="g"),G285," ")</f>
        <v> </v>
      </c>
      <c r="P285" s="334" t="str">
        <f aca="false">IF((E285="m"),G285," ")</f>
        <v> </v>
      </c>
      <c r="Q285" s="334" t="str">
        <f aca="false">IF((E285="t"),G285," ")</f>
        <v> </v>
      </c>
      <c r="R285" s="334" t="str">
        <f aca="false">IF((E285="a"),G285," ")</f>
        <v> </v>
      </c>
      <c r="S285" s="334" t="str">
        <f aca="false">IF((E285="l"),G285," ")</f>
        <v> </v>
      </c>
      <c r="T285" s="334" t="str">
        <f aca="false">IF((E285="b"),G285," ")</f>
        <v> </v>
      </c>
      <c r="U285" s="334" t="str">
        <f aca="false">IF((E285="i"),G285," ")</f>
        <v> </v>
      </c>
      <c r="V285" s="334" t="str">
        <f aca="false">IF((E285="o"),G285," ")</f>
        <v> </v>
      </c>
      <c r="W285" s="334" t="str">
        <f aca="false">IF((E285="f"),G285," ")</f>
        <v> </v>
      </c>
    </row>
    <row r="286" customFormat="false" ht="12.75" hidden="false" customHeight="false" outlineLevel="0" collapsed="false">
      <c r="A286" s="355"/>
      <c r="E286" s="365" t="str">
        <f aca="false">IF((G286&lt;&gt;0),"Enter Letter"," ")</f>
        <v> </v>
      </c>
      <c r="J286" s="334" t="str">
        <f aca="false">IF((E286="s"),G286," ")</f>
        <v> </v>
      </c>
      <c r="K286" s="334" t="str">
        <f aca="false">IF((E286="d"),G286," ")</f>
        <v> </v>
      </c>
      <c r="L286" s="334" t="str">
        <f aca="false">IF((E286="e"),G286," ")</f>
        <v> </v>
      </c>
      <c r="M286" s="334" t="str">
        <f aca="false">IF((E286="p"),G286," ")</f>
        <v> </v>
      </c>
      <c r="N286" s="334" t="str">
        <f aca="false">IF((E286="r"),G286," ")</f>
        <v> </v>
      </c>
      <c r="O286" s="334" t="str">
        <f aca="false">IF((E286="g"),G286," ")</f>
        <v> </v>
      </c>
      <c r="P286" s="334" t="str">
        <f aca="false">IF((E286="m"),G286," ")</f>
        <v> </v>
      </c>
      <c r="Q286" s="334" t="str">
        <f aca="false">IF((E286="t"),G286," ")</f>
        <v> </v>
      </c>
      <c r="R286" s="334" t="str">
        <f aca="false">IF((E286="a"),G286," ")</f>
        <v> </v>
      </c>
      <c r="S286" s="334" t="str">
        <f aca="false">IF((E286="l"),G286," ")</f>
        <v> </v>
      </c>
      <c r="T286" s="334" t="str">
        <f aca="false">IF((E286="b"),G286," ")</f>
        <v> </v>
      </c>
      <c r="U286" s="334" t="str">
        <f aca="false">IF((E286="i"),G286," ")</f>
        <v> </v>
      </c>
      <c r="V286" s="334" t="str">
        <f aca="false">IF((E286="o"),G286," ")</f>
        <v> </v>
      </c>
      <c r="W286" s="334" t="str">
        <f aca="false">IF((E286="f"),G286," ")</f>
        <v> </v>
      </c>
    </row>
    <row r="287" customFormat="false" ht="12.75" hidden="false" customHeight="false" outlineLevel="0" collapsed="false">
      <c r="A287" s="355"/>
      <c r="E287" s="365" t="str">
        <f aca="false">IF((G287&lt;&gt;0),"Enter Letter"," ")</f>
        <v> </v>
      </c>
      <c r="J287" s="334" t="str">
        <f aca="false">IF((E287="s"),G287," ")</f>
        <v> </v>
      </c>
      <c r="K287" s="334" t="str">
        <f aca="false">IF((E287="d"),G287," ")</f>
        <v> </v>
      </c>
      <c r="L287" s="334" t="str">
        <f aca="false">IF((E287="e"),G287," ")</f>
        <v> </v>
      </c>
      <c r="M287" s="334" t="str">
        <f aca="false">IF((E287="p"),G287," ")</f>
        <v> </v>
      </c>
      <c r="N287" s="334" t="str">
        <f aca="false">IF((E287="r"),G287," ")</f>
        <v> </v>
      </c>
      <c r="O287" s="334" t="str">
        <f aca="false">IF((E287="g"),G287," ")</f>
        <v> </v>
      </c>
      <c r="P287" s="334" t="str">
        <f aca="false">IF((E287="m"),G287," ")</f>
        <v> </v>
      </c>
      <c r="Q287" s="334" t="str">
        <f aca="false">IF((E287="t"),G287," ")</f>
        <v> </v>
      </c>
      <c r="R287" s="334" t="str">
        <f aca="false">IF((E287="a"),G287," ")</f>
        <v> </v>
      </c>
      <c r="S287" s="334" t="str">
        <f aca="false">IF((E287="l"),G287," ")</f>
        <v> </v>
      </c>
      <c r="T287" s="334" t="str">
        <f aca="false">IF((E287="b"),G287," ")</f>
        <v> </v>
      </c>
      <c r="U287" s="334" t="str">
        <f aca="false">IF((E287="i"),G287," ")</f>
        <v> </v>
      </c>
      <c r="V287" s="334" t="str">
        <f aca="false">IF((E287="o"),G287," ")</f>
        <v> </v>
      </c>
      <c r="W287" s="334" t="str">
        <f aca="false">IF((E287="f"),G287," ")</f>
        <v> </v>
      </c>
    </row>
    <row r="288" customFormat="false" ht="12.75" hidden="false" customHeight="false" outlineLevel="0" collapsed="false">
      <c r="A288" s="355"/>
      <c r="E288" s="365" t="str">
        <f aca="false">IF((G288&lt;&gt;0),"Enter Letter"," ")</f>
        <v> </v>
      </c>
      <c r="J288" s="334" t="str">
        <f aca="false">IF((E288="s"),G288," ")</f>
        <v> </v>
      </c>
      <c r="K288" s="334" t="str">
        <f aca="false">IF((E288="d"),G288," ")</f>
        <v> </v>
      </c>
      <c r="L288" s="334" t="str">
        <f aca="false">IF((E288="e"),G288," ")</f>
        <v> </v>
      </c>
      <c r="M288" s="334" t="str">
        <f aca="false">IF((E288="p"),G288," ")</f>
        <v> </v>
      </c>
      <c r="N288" s="334" t="str">
        <f aca="false">IF((E288="r"),G288," ")</f>
        <v> </v>
      </c>
      <c r="O288" s="334" t="str">
        <f aca="false">IF((E288="g"),G288," ")</f>
        <v> </v>
      </c>
      <c r="P288" s="334" t="str">
        <f aca="false">IF((E288="m"),G288," ")</f>
        <v> </v>
      </c>
      <c r="Q288" s="334" t="str">
        <f aca="false">IF((E288="t"),G288," ")</f>
        <v> </v>
      </c>
      <c r="R288" s="334" t="str">
        <f aca="false">IF((E288="a"),G288," ")</f>
        <v> </v>
      </c>
      <c r="S288" s="334" t="str">
        <f aca="false">IF((E288="l"),G288," ")</f>
        <v> </v>
      </c>
      <c r="T288" s="334" t="str">
        <f aca="false">IF((E288="b"),G288," ")</f>
        <v> </v>
      </c>
      <c r="U288" s="334" t="str">
        <f aca="false">IF((E288="i"),G288," ")</f>
        <v> </v>
      </c>
      <c r="V288" s="334" t="str">
        <f aca="false">IF((E288="o"),G288," ")</f>
        <v> </v>
      </c>
      <c r="W288" s="334" t="str">
        <f aca="false">IF((E288="f"),G288," ")</f>
        <v> </v>
      </c>
    </row>
    <row r="289" customFormat="false" ht="12.75" hidden="false" customHeight="false" outlineLevel="0" collapsed="false">
      <c r="A289" s="355"/>
      <c r="E289" s="365" t="str">
        <f aca="false">IF((G289&lt;&gt;0),"Enter Letter"," ")</f>
        <v> </v>
      </c>
      <c r="J289" s="334" t="str">
        <f aca="false">IF((E289="s"),G289," ")</f>
        <v> </v>
      </c>
      <c r="K289" s="334" t="str">
        <f aca="false">IF((E289="d"),G289," ")</f>
        <v> </v>
      </c>
      <c r="L289" s="334" t="str">
        <f aca="false">IF((E289="e"),G289," ")</f>
        <v> </v>
      </c>
      <c r="M289" s="334" t="str">
        <f aca="false">IF((E289="p"),G289," ")</f>
        <v> </v>
      </c>
      <c r="N289" s="334" t="str">
        <f aca="false">IF((E289="r"),G289," ")</f>
        <v> </v>
      </c>
      <c r="O289" s="334" t="str">
        <f aca="false">IF((E289="g"),G289," ")</f>
        <v> </v>
      </c>
      <c r="P289" s="334" t="str">
        <f aca="false">IF((E289="m"),G289," ")</f>
        <v> </v>
      </c>
      <c r="Q289" s="334" t="str">
        <f aca="false">IF((E289="t"),G289," ")</f>
        <v> </v>
      </c>
      <c r="R289" s="334" t="str">
        <f aca="false">IF((E289="a"),G289," ")</f>
        <v> </v>
      </c>
      <c r="S289" s="334" t="str">
        <f aca="false">IF((E289="l"),G289," ")</f>
        <v> </v>
      </c>
      <c r="T289" s="334" t="str">
        <f aca="false">IF((E289="b"),G289," ")</f>
        <v> </v>
      </c>
      <c r="U289" s="334" t="str">
        <f aca="false">IF((E289="i"),G289," ")</f>
        <v> </v>
      </c>
      <c r="V289" s="334" t="str">
        <f aca="false">IF((E289="o"),G289," ")</f>
        <v> </v>
      </c>
      <c r="W289" s="334" t="str">
        <f aca="false">IF((E289="f"),G289," ")</f>
        <v> </v>
      </c>
    </row>
    <row r="290" customFormat="false" ht="12.75" hidden="false" customHeight="false" outlineLevel="0" collapsed="false">
      <c r="A290" s="355"/>
      <c r="E290" s="365" t="str">
        <f aca="false">IF((G290&lt;&gt;0),"Enter Letter"," ")</f>
        <v> </v>
      </c>
      <c r="J290" s="334" t="str">
        <f aca="false">IF((E290="s"),G290," ")</f>
        <v> </v>
      </c>
      <c r="K290" s="334" t="str">
        <f aca="false">IF((E290="d"),G290," ")</f>
        <v> </v>
      </c>
      <c r="L290" s="334" t="str">
        <f aca="false">IF((E290="e"),G290," ")</f>
        <v> </v>
      </c>
      <c r="M290" s="334" t="str">
        <f aca="false">IF((E290="p"),G290," ")</f>
        <v> </v>
      </c>
      <c r="N290" s="334" t="str">
        <f aca="false">IF((E290="r"),G290," ")</f>
        <v> </v>
      </c>
      <c r="O290" s="334" t="str">
        <f aca="false">IF((E290="g"),G290," ")</f>
        <v> </v>
      </c>
      <c r="P290" s="334" t="str">
        <f aca="false">IF((E290="m"),G290," ")</f>
        <v> </v>
      </c>
      <c r="Q290" s="334" t="str">
        <f aca="false">IF((E290="t"),G290," ")</f>
        <v> </v>
      </c>
      <c r="R290" s="334" t="str">
        <f aca="false">IF((E290="a"),G290," ")</f>
        <v> </v>
      </c>
      <c r="S290" s="334" t="str">
        <f aca="false">IF((E290="l"),G290," ")</f>
        <v> </v>
      </c>
      <c r="T290" s="334" t="str">
        <f aca="false">IF((E290="b"),G290," ")</f>
        <v> </v>
      </c>
      <c r="U290" s="334" t="str">
        <f aca="false">IF((E290="i"),G290," ")</f>
        <v> </v>
      </c>
      <c r="V290" s="334" t="str">
        <f aca="false">IF((E290="o"),G290," ")</f>
        <v> </v>
      </c>
      <c r="W290" s="334" t="str">
        <f aca="false">IF((E290="f"),G290," ")</f>
        <v> </v>
      </c>
    </row>
    <row r="291" customFormat="false" ht="12.75" hidden="false" customHeight="false" outlineLevel="0" collapsed="false">
      <c r="A291" s="355"/>
      <c r="E291" s="365" t="str">
        <f aca="false">IF((G291&lt;&gt;0),"Enter Letter"," ")</f>
        <v> </v>
      </c>
      <c r="J291" s="334" t="str">
        <f aca="false">IF((E291="s"),G291," ")</f>
        <v> </v>
      </c>
      <c r="K291" s="334" t="str">
        <f aca="false">IF((E291="d"),G291," ")</f>
        <v> </v>
      </c>
      <c r="L291" s="334" t="str">
        <f aca="false">IF((E291="e"),G291," ")</f>
        <v> </v>
      </c>
      <c r="M291" s="334" t="str">
        <f aca="false">IF((E291="p"),G291," ")</f>
        <v> </v>
      </c>
      <c r="N291" s="334" t="str">
        <f aca="false">IF((E291="r"),G291," ")</f>
        <v> </v>
      </c>
      <c r="O291" s="334" t="str">
        <f aca="false">IF((E291="g"),G291," ")</f>
        <v> </v>
      </c>
      <c r="P291" s="334" t="str">
        <f aca="false">IF((E291="m"),G291," ")</f>
        <v> </v>
      </c>
      <c r="Q291" s="334" t="str">
        <f aca="false">IF((E291="t"),G291," ")</f>
        <v> </v>
      </c>
      <c r="R291" s="334" t="str">
        <f aca="false">IF((E291="a"),G291," ")</f>
        <v> </v>
      </c>
      <c r="S291" s="334" t="str">
        <f aca="false">IF((E291="l"),G291," ")</f>
        <v> </v>
      </c>
      <c r="T291" s="334" t="str">
        <f aca="false">IF((E291="b"),G291," ")</f>
        <v> </v>
      </c>
      <c r="U291" s="334" t="str">
        <f aca="false">IF((E291="i"),G291," ")</f>
        <v> </v>
      </c>
      <c r="V291" s="334" t="str">
        <f aca="false">IF((E291="o"),G291," ")</f>
        <v> </v>
      </c>
      <c r="W291" s="334" t="str">
        <f aca="false">IF((E291="f"),G291," ")</f>
        <v> </v>
      </c>
    </row>
    <row r="292" customFormat="false" ht="12.75" hidden="false" customHeight="false" outlineLevel="0" collapsed="false">
      <c r="A292" s="355"/>
      <c r="E292" s="365" t="str">
        <f aca="false">IF((G292&lt;&gt;0),"Enter Letter"," ")</f>
        <v> </v>
      </c>
      <c r="J292" s="334" t="str">
        <f aca="false">IF((E292="s"),G292," ")</f>
        <v> </v>
      </c>
      <c r="K292" s="334" t="str">
        <f aca="false">IF((E292="d"),G292," ")</f>
        <v> </v>
      </c>
      <c r="L292" s="334" t="str">
        <f aca="false">IF((E292="e"),G292," ")</f>
        <v> </v>
      </c>
      <c r="M292" s="334" t="str">
        <f aca="false">IF((E292="p"),G292," ")</f>
        <v> </v>
      </c>
      <c r="N292" s="334" t="str">
        <f aca="false">IF((E292="r"),G292," ")</f>
        <v> </v>
      </c>
      <c r="O292" s="334" t="str">
        <f aca="false">IF((E292="g"),G292," ")</f>
        <v> </v>
      </c>
      <c r="P292" s="334" t="str">
        <f aca="false">IF((E292="m"),G292," ")</f>
        <v> </v>
      </c>
      <c r="Q292" s="334" t="str">
        <f aca="false">IF((E292="t"),G292," ")</f>
        <v> </v>
      </c>
      <c r="R292" s="334" t="str">
        <f aca="false">IF((E292="a"),G292," ")</f>
        <v> </v>
      </c>
      <c r="S292" s="334" t="str">
        <f aca="false">IF((E292="l"),G292," ")</f>
        <v> </v>
      </c>
      <c r="T292" s="334" t="str">
        <f aca="false">IF((E292="b"),G292," ")</f>
        <v> </v>
      </c>
      <c r="U292" s="334" t="str">
        <f aca="false">IF((E292="i"),G292," ")</f>
        <v> </v>
      </c>
      <c r="V292" s="334" t="str">
        <f aca="false">IF((E292="o"),G292," ")</f>
        <v> </v>
      </c>
      <c r="W292" s="334" t="str">
        <f aca="false">IF((E292="f"),G292," ")</f>
        <v> </v>
      </c>
    </row>
    <row r="293" customFormat="false" ht="12.75" hidden="false" customHeight="false" outlineLevel="0" collapsed="false">
      <c r="A293" s="355"/>
      <c r="E293" s="365" t="str">
        <f aca="false">IF((G293&lt;&gt;0),"Enter Letter"," ")</f>
        <v> </v>
      </c>
      <c r="J293" s="334" t="str">
        <f aca="false">IF((E293="s"),G293," ")</f>
        <v> </v>
      </c>
      <c r="K293" s="334" t="str">
        <f aca="false">IF((E293="d"),G293," ")</f>
        <v> </v>
      </c>
      <c r="L293" s="334" t="str">
        <f aca="false">IF((E293="e"),G293," ")</f>
        <v> </v>
      </c>
      <c r="M293" s="334" t="str">
        <f aca="false">IF((E293="p"),G293," ")</f>
        <v> </v>
      </c>
      <c r="N293" s="334" t="str">
        <f aca="false">IF((E293="r"),G293," ")</f>
        <v> </v>
      </c>
      <c r="O293" s="334" t="str">
        <f aca="false">IF((E293="g"),G293," ")</f>
        <v> </v>
      </c>
      <c r="P293" s="334" t="str">
        <f aca="false">IF((E293="m"),G293," ")</f>
        <v> </v>
      </c>
      <c r="Q293" s="334" t="str">
        <f aca="false">IF((E293="t"),G293," ")</f>
        <v> </v>
      </c>
      <c r="R293" s="334" t="str">
        <f aca="false">IF((E293="a"),G293," ")</f>
        <v> </v>
      </c>
      <c r="S293" s="334" t="str">
        <f aca="false">IF((E293="l"),G293," ")</f>
        <v> </v>
      </c>
      <c r="T293" s="334" t="str">
        <f aca="false">IF((E293="b"),G293," ")</f>
        <v> </v>
      </c>
      <c r="U293" s="334" t="str">
        <f aca="false">IF((E293="i"),G293," ")</f>
        <v> </v>
      </c>
      <c r="V293" s="334" t="str">
        <f aca="false">IF((E293="o"),G293," ")</f>
        <v> </v>
      </c>
      <c r="W293" s="334" t="str">
        <f aca="false">IF((E293="f"),G293," ")</f>
        <v> </v>
      </c>
    </row>
    <row r="294" customFormat="false" ht="12.75" hidden="false" customHeight="false" outlineLevel="0" collapsed="false">
      <c r="A294" s="355"/>
      <c r="E294" s="365" t="str">
        <f aca="false">IF((G294&lt;&gt;0),"Enter Letter"," ")</f>
        <v> </v>
      </c>
      <c r="J294" s="334" t="str">
        <f aca="false">IF((E294="s"),G294," ")</f>
        <v> </v>
      </c>
      <c r="K294" s="334" t="str">
        <f aca="false">IF((E294="d"),G294," ")</f>
        <v> </v>
      </c>
      <c r="L294" s="334" t="str">
        <f aca="false">IF((E294="e"),G294," ")</f>
        <v> </v>
      </c>
      <c r="M294" s="334" t="str">
        <f aca="false">IF((E294="p"),G294," ")</f>
        <v> </v>
      </c>
      <c r="N294" s="334" t="str">
        <f aca="false">IF((E294="r"),G294," ")</f>
        <v> </v>
      </c>
      <c r="O294" s="334" t="str">
        <f aca="false">IF((E294="g"),G294," ")</f>
        <v> </v>
      </c>
      <c r="P294" s="334" t="str">
        <f aca="false">IF((E294="m"),G294," ")</f>
        <v> </v>
      </c>
      <c r="Q294" s="334" t="str">
        <f aca="false">IF((E294="t"),G294," ")</f>
        <v> </v>
      </c>
      <c r="R294" s="334" t="str">
        <f aca="false">IF((E294="a"),G294," ")</f>
        <v> </v>
      </c>
      <c r="S294" s="334" t="str">
        <f aca="false">IF((E294="l"),G294," ")</f>
        <v> </v>
      </c>
      <c r="T294" s="334" t="str">
        <f aca="false">IF((E294="b"),G294," ")</f>
        <v> </v>
      </c>
      <c r="U294" s="334" t="str">
        <f aca="false">IF((E294="i"),G294," ")</f>
        <v> </v>
      </c>
      <c r="V294" s="334" t="str">
        <f aca="false">IF((E294="o"),G294," ")</f>
        <v> </v>
      </c>
      <c r="W294" s="334" t="str">
        <f aca="false">IF((E294="f"),G294," ")</f>
        <v> </v>
      </c>
    </row>
    <row r="295" customFormat="false" ht="12.75" hidden="false" customHeight="false" outlineLevel="0" collapsed="false">
      <c r="A295" s="355"/>
      <c r="E295" s="365" t="str">
        <f aca="false">IF((G295&lt;&gt;0),"Enter Letter"," ")</f>
        <v> </v>
      </c>
      <c r="J295" s="334" t="str">
        <f aca="false">IF((E295="s"),G295," ")</f>
        <v> </v>
      </c>
      <c r="K295" s="334" t="str">
        <f aca="false">IF((E295="d"),G295," ")</f>
        <v> </v>
      </c>
      <c r="L295" s="334" t="str">
        <f aca="false">IF((E295="e"),G295," ")</f>
        <v> </v>
      </c>
      <c r="M295" s="334" t="str">
        <f aca="false">IF((E295="p"),G295," ")</f>
        <v> </v>
      </c>
      <c r="N295" s="334" t="str">
        <f aca="false">IF((E295="r"),G295," ")</f>
        <v> </v>
      </c>
      <c r="O295" s="334" t="str">
        <f aca="false">IF((E295="g"),G295," ")</f>
        <v> </v>
      </c>
      <c r="P295" s="334" t="str">
        <f aca="false">IF((E295="m"),G295," ")</f>
        <v> </v>
      </c>
      <c r="Q295" s="334" t="str">
        <f aca="false">IF((E295="t"),G295," ")</f>
        <v> </v>
      </c>
      <c r="R295" s="334" t="str">
        <f aca="false">IF((E295="a"),G295," ")</f>
        <v> </v>
      </c>
      <c r="S295" s="334" t="str">
        <f aca="false">IF((E295="l"),G295," ")</f>
        <v> </v>
      </c>
      <c r="T295" s="334" t="str">
        <f aca="false">IF((E295="b"),G295," ")</f>
        <v> </v>
      </c>
      <c r="U295" s="334" t="str">
        <f aca="false">IF((E295="i"),G295," ")</f>
        <v> </v>
      </c>
      <c r="V295" s="334" t="str">
        <f aca="false">IF((E295="o"),G295," ")</f>
        <v> </v>
      </c>
      <c r="W295" s="334" t="str">
        <f aca="false">IF((E295="f"),G295," ")</f>
        <v> </v>
      </c>
    </row>
    <row r="296" customFormat="false" ht="12.75" hidden="false" customHeight="false" outlineLevel="0" collapsed="false">
      <c r="A296" s="355"/>
      <c r="E296" s="365" t="str">
        <f aca="false">IF((G296&lt;&gt;0),"Enter Letter"," ")</f>
        <v> </v>
      </c>
      <c r="J296" s="334" t="str">
        <f aca="false">IF((E296="s"),G296," ")</f>
        <v> </v>
      </c>
      <c r="K296" s="334" t="str">
        <f aca="false">IF((E296="d"),G296," ")</f>
        <v> </v>
      </c>
      <c r="L296" s="334" t="str">
        <f aca="false">IF((E296="e"),G296," ")</f>
        <v> </v>
      </c>
      <c r="M296" s="334" t="str">
        <f aca="false">IF((E296="p"),G296," ")</f>
        <v> </v>
      </c>
      <c r="N296" s="334" t="str">
        <f aca="false">IF((E296="r"),G296," ")</f>
        <v> </v>
      </c>
      <c r="O296" s="334" t="str">
        <f aca="false">IF((E296="g"),G296," ")</f>
        <v> </v>
      </c>
      <c r="P296" s="334" t="str">
        <f aca="false">IF((E296="m"),G296," ")</f>
        <v> </v>
      </c>
      <c r="Q296" s="334" t="str">
        <f aca="false">IF((E296="t"),G296," ")</f>
        <v> </v>
      </c>
      <c r="R296" s="334" t="str">
        <f aca="false">IF((E296="a"),G296," ")</f>
        <v> </v>
      </c>
      <c r="S296" s="334" t="str">
        <f aca="false">IF((E296="l"),G296," ")</f>
        <v> </v>
      </c>
      <c r="T296" s="334" t="str">
        <f aca="false">IF((E296="b"),G296," ")</f>
        <v> </v>
      </c>
      <c r="U296" s="334" t="str">
        <f aca="false">IF((E296="i"),G296," ")</f>
        <v> </v>
      </c>
      <c r="V296" s="334" t="str">
        <f aca="false">IF((E296="o"),G296," ")</f>
        <v> </v>
      </c>
      <c r="W296" s="334" t="str">
        <f aca="false">IF((E296="f"),G296," ")</f>
        <v> </v>
      </c>
    </row>
    <row r="297" customFormat="false" ht="12.75" hidden="false" customHeight="false" outlineLevel="0" collapsed="false">
      <c r="A297" s="355"/>
      <c r="E297" s="365" t="str">
        <f aca="false">IF((G297&lt;&gt;0),"Enter Letter"," ")</f>
        <v> </v>
      </c>
      <c r="J297" s="334" t="str">
        <f aca="false">IF((E297="s"),G297," ")</f>
        <v> </v>
      </c>
      <c r="K297" s="334" t="str">
        <f aca="false">IF((E297="d"),G297," ")</f>
        <v> </v>
      </c>
      <c r="L297" s="334" t="str">
        <f aca="false">IF((E297="e"),G297," ")</f>
        <v> </v>
      </c>
      <c r="M297" s="334" t="str">
        <f aca="false">IF((E297="p"),G297," ")</f>
        <v> </v>
      </c>
      <c r="N297" s="334" t="str">
        <f aca="false">IF((E297="r"),G297," ")</f>
        <v> </v>
      </c>
      <c r="O297" s="334" t="str">
        <f aca="false">IF((E297="g"),G297," ")</f>
        <v> </v>
      </c>
      <c r="P297" s="334" t="str">
        <f aca="false">IF((E297="m"),G297," ")</f>
        <v> </v>
      </c>
      <c r="Q297" s="334" t="str">
        <f aca="false">IF((E297="t"),G297," ")</f>
        <v> </v>
      </c>
      <c r="R297" s="334" t="str">
        <f aca="false">IF((E297="a"),G297," ")</f>
        <v> </v>
      </c>
      <c r="S297" s="334" t="str">
        <f aca="false">IF((E297="l"),G297," ")</f>
        <v> </v>
      </c>
      <c r="T297" s="334" t="str">
        <f aca="false">IF((E297="b"),G297," ")</f>
        <v> </v>
      </c>
      <c r="U297" s="334" t="str">
        <f aca="false">IF((E297="i"),G297," ")</f>
        <v> </v>
      </c>
      <c r="V297" s="334" t="str">
        <f aca="false">IF((E297="o"),G297," ")</f>
        <v> </v>
      </c>
      <c r="W297" s="334" t="str">
        <f aca="false">IF((E297="f"),G297," ")</f>
        <v> </v>
      </c>
    </row>
    <row r="298" customFormat="false" ht="12.75" hidden="false" customHeight="false" outlineLevel="0" collapsed="false">
      <c r="A298" s="355"/>
      <c r="E298" s="365" t="str">
        <f aca="false">IF((G298&lt;&gt;0),"Enter Letter"," ")</f>
        <v> </v>
      </c>
      <c r="J298" s="334" t="str">
        <f aca="false">IF((E298="s"),G298," ")</f>
        <v> </v>
      </c>
      <c r="K298" s="334" t="str">
        <f aca="false">IF((E298="d"),G298," ")</f>
        <v> </v>
      </c>
      <c r="L298" s="334" t="str">
        <f aca="false">IF((E298="e"),G298," ")</f>
        <v> </v>
      </c>
      <c r="M298" s="334" t="str">
        <f aca="false">IF((E298="p"),G298," ")</f>
        <v> </v>
      </c>
      <c r="N298" s="334" t="str">
        <f aca="false">IF((E298="r"),G298," ")</f>
        <v> </v>
      </c>
      <c r="O298" s="334" t="str">
        <f aca="false">IF((E298="g"),G298," ")</f>
        <v> </v>
      </c>
      <c r="P298" s="334" t="str">
        <f aca="false">IF((E298="m"),G298," ")</f>
        <v> </v>
      </c>
      <c r="Q298" s="334" t="str">
        <f aca="false">IF((E298="t"),G298," ")</f>
        <v> </v>
      </c>
      <c r="R298" s="334" t="str">
        <f aca="false">IF((E298="a"),G298," ")</f>
        <v> </v>
      </c>
      <c r="S298" s="334" t="str">
        <f aca="false">IF((E298="l"),G298," ")</f>
        <v> </v>
      </c>
      <c r="T298" s="334" t="str">
        <f aca="false">IF((E298="b"),G298," ")</f>
        <v> </v>
      </c>
      <c r="U298" s="334" t="str">
        <f aca="false">IF((E298="i"),G298," ")</f>
        <v> </v>
      </c>
      <c r="V298" s="334" t="str">
        <f aca="false">IF((E298="o"),G298," ")</f>
        <v> </v>
      </c>
      <c r="W298" s="334" t="str">
        <f aca="false">IF((E298="f"),G298," ")</f>
        <v> </v>
      </c>
    </row>
    <row r="299" customFormat="false" ht="12.75" hidden="false" customHeight="false" outlineLevel="0" collapsed="false">
      <c r="A299" s="355"/>
      <c r="E299" s="365" t="str">
        <f aca="false">IF((G299&lt;&gt;0),"Enter Letter"," ")</f>
        <v> </v>
      </c>
      <c r="J299" s="334" t="str">
        <f aca="false">IF((E299="s"),G299," ")</f>
        <v> </v>
      </c>
      <c r="K299" s="334" t="str">
        <f aca="false">IF((E299="d"),G299," ")</f>
        <v> </v>
      </c>
      <c r="L299" s="334" t="str">
        <f aca="false">IF((E299="e"),G299," ")</f>
        <v> </v>
      </c>
      <c r="M299" s="334" t="str">
        <f aca="false">IF((E299="p"),G299," ")</f>
        <v> </v>
      </c>
      <c r="N299" s="334" t="str">
        <f aca="false">IF((E299="r"),G299," ")</f>
        <v> </v>
      </c>
      <c r="O299" s="334" t="str">
        <f aca="false">IF((E299="g"),G299," ")</f>
        <v> </v>
      </c>
      <c r="P299" s="334" t="str">
        <f aca="false">IF((E299="m"),G299," ")</f>
        <v> </v>
      </c>
      <c r="Q299" s="334" t="str">
        <f aca="false">IF((E299="t"),G299," ")</f>
        <v> </v>
      </c>
      <c r="R299" s="334" t="str">
        <f aca="false">IF((E299="a"),G299," ")</f>
        <v> </v>
      </c>
      <c r="S299" s="334" t="str">
        <f aca="false">IF((E299="l"),G299," ")</f>
        <v> </v>
      </c>
      <c r="T299" s="334" t="str">
        <f aca="false">IF((E299="b"),G299," ")</f>
        <v> </v>
      </c>
      <c r="U299" s="334" t="str">
        <f aca="false">IF((E299="i"),G299," ")</f>
        <v> </v>
      </c>
      <c r="V299" s="334" t="str">
        <f aca="false">IF((E299="o"),G299," ")</f>
        <v> </v>
      </c>
      <c r="W299" s="334" t="str">
        <f aca="false">IF((E299="f"),G299," ")</f>
        <v> </v>
      </c>
    </row>
    <row r="300" customFormat="false" ht="12.75" hidden="false" customHeight="false" outlineLevel="0" collapsed="false">
      <c r="A300" s="355"/>
      <c r="B300" s="393"/>
      <c r="C300" s="393"/>
      <c r="D300" s="394"/>
      <c r="E300" s="395" t="str">
        <f aca="false">IF((G300&lt;&gt;0),"Enter Letter"," ")</f>
        <v> </v>
      </c>
      <c r="F300" s="396"/>
      <c r="G300" s="397"/>
      <c r="H300" s="360"/>
      <c r="I300" s="398"/>
      <c r="J300" s="356" t="str">
        <f aca="false">IF((E300="s"),G300," ")</f>
        <v> </v>
      </c>
      <c r="K300" s="356" t="str">
        <f aca="false">IF((E300="d"),G300," ")</f>
        <v> </v>
      </c>
      <c r="L300" s="356" t="str">
        <f aca="false">IF((E300="e"),G300," ")</f>
        <v> </v>
      </c>
      <c r="M300" s="356" t="str">
        <f aca="false">IF((E300="p"),G300," ")</f>
        <v> </v>
      </c>
      <c r="N300" s="356" t="str">
        <f aca="false">IF((E300="r"),G300," ")</f>
        <v> </v>
      </c>
      <c r="O300" s="356" t="str">
        <f aca="false">IF((E300="g"),G300," ")</f>
        <v> </v>
      </c>
      <c r="P300" s="356" t="str">
        <f aca="false">IF((E300="m"),G300," ")</f>
        <v> </v>
      </c>
      <c r="Q300" s="356" t="str">
        <f aca="false">IF((E300="t"),G300," ")</f>
        <v> </v>
      </c>
      <c r="R300" s="356" t="str">
        <f aca="false">IF((E300="a"),G300," ")</f>
        <v> </v>
      </c>
      <c r="S300" s="356" t="str">
        <f aca="false">IF((E300="l"),G300," ")</f>
        <v> </v>
      </c>
      <c r="T300" s="356" t="str">
        <f aca="false">IF((E300="b"),G300," ")</f>
        <v> </v>
      </c>
      <c r="U300" s="356" t="str">
        <f aca="false">IF((E300="i"),G300," ")</f>
        <v> </v>
      </c>
      <c r="V300" s="356" t="str">
        <f aca="false">IF((E300="o"),G300," ")</f>
        <v> </v>
      </c>
      <c r="W300" s="356" t="str">
        <f aca="false">IF((E300="f"),G300," ")</f>
        <v> </v>
      </c>
      <c r="X300" s="393"/>
      <c r="Y300" s="399"/>
      <c r="Z300" s="399"/>
    </row>
  </sheetData>
  <mergeCells count="25">
    <mergeCell ref="A2:A4"/>
    <mergeCell ref="B2:B4"/>
    <mergeCell ref="C2:C4"/>
    <mergeCell ref="D2:D4"/>
    <mergeCell ref="E2:E3"/>
    <mergeCell ref="F2:F4"/>
    <mergeCell ref="G2:G3"/>
    <mergeCell ref="H2:H4"/>
    <mergeCell ref="I2:I4"/>
    <mergeCell ref="J2:J3"/>
    <mergeCell ref="K2:K3"/>
    <mergeCell ref="L2:L3"/>
    <mergeCell ref="M2:M3"/>
    <mergeCell ref="N2:N3"/>
    <mergeCell ref="O2:O3"/>
    <mergeCell ref="Q2:Q3"/>
    <mergeCell ref="R2:R3"/>
    <mergeCell ref="S2:S3"/>
    <mergeCell ref="T2:T3"/>
    <mergeCell ref="U2:U3"/>
    <mergeCell ref="V2:V3"/>
    <mergeCell ref="W2:W3"/>
    <mergeCell ref="X2:X4"/>
    <mergeCell ref="Y2:Z2"/>
    <mergeCell ref="Y3:Z3"/>
  </mergeCells>
  <dataValidations count="3">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5:A300" type="date">
      <formula1>38353</formula1>
      <formula2>53327</formula2>
    </dataValidation>
    <dataValidation allowBlank="true" errorStyle="stop" operator="between" prompt="An amount in this cell shows the total purchases in cell G1 does not agree with the totals in the analysis columns cells J1 to W&#10;&#10;CHECK all expense code letters have been entered correctly or any manual entries in the analysis correct&#10;" promptTitle="ERROR ALERT" showDropDown="false" showErrorMessage="true" showInputMessage="true" sqref="E1" type="none">
      <formula1>0</formula1>
      <formula2>0</formula2>
    </dataValidation>
    <dataValidation allowBlank="true" errorStyle="stop" operator="between" showDropDown="false" showErrorMessage="true" showInputMessage="false" sqref="E5:E300" type="list">
      <formula1>$J$4:$W$4</formula1>
      <formula2>0</formula2>
    </dataValidation>
  </dataValidations>
  <printOptions headings="false" gridLines="true" gridLinesSet="true" horizontalCentered="false" verticalCentered="false"/>
  <pageMargins left="0.315277777777778" right="0.472222222222222"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2" manualBreakCount="2">
    <brk id="9" man="true" max="65535" min="0"/>
    <brk id="22" man="true" max="65535" min="0"/>
  </colBreak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false" hidden="false" outlineLevel="0" max="1" min="1" style="333" width="9.15"/>
    <col collapsed="false" customWidth="true" hidden="false" outlineLevel="0" max="2" min="2" style="334" width="17.66"/>
    <col collapsed="false" customWidth="true" hidden="false" outlineLevel="0" max="3" min="3" style="335" width="11.32"/>
    <col collapsed="false" customWidth="true" hidden="false" outlineLevel="0" max="4" min="4" style="336" width="14.49"/>
    <col collapsed="false" customWidth="true" hidden="false" outlineLevel="0" max="5" min="5" style="337" width="7.66"/>
    <col collapsed="false" customWidth="true" hidden="false" outlineLevel="0" max="7" min="6" style="334" width="9.66"/>
    <col collapsed="false" customWidth="true" hidden="false" outlineLevel="0" max="8" min="8" style="338" width="9.66"/>
    <col collapsed="false" customWidth="true" hidden="false" outlineLevel="0" max="9" min="9" style="339" width="10.5"/>
    <col collapsed="false" customWidth="false" hidden="false" outlineLevel="0" max="257" min="10" style="334" width="9.15"/>
  </cols>
  <sheetData>
    <row r="1" s="348" customFormat="true" ht="12.75" hidden="false" customHeight="true" outlineLevel="0" collapsed="false">
      <c r="A1" s="340" t="s">
        <v>246</v>
      </c>
      <c r="B1" s="341" t="s">
        <v>247</v>
      </c>
      <c r="C1" s="342"/>
      <c r="D1" s="343" t="s">
        <v>248</v>
      </c>
      <c r="E1" s="344" t="n">
        <f aca="false">SUM(E4:E300)</f>
        <v>0</v>
      </c>
      <c r="F1" s="343" t="n">
        <f aca="false">SUM(F4:F300)</f>
        <v>32920</v>
      </c>
      <c r="G1" s="343" t="n">
        <f aca="false">SUM(G4:G300)</f>
        <v>0</v>
      </c>
      <c r="H1" s="345" t="n">
        <f aca="false">SUM(H4:H300)</f>
        <v>0</v>
      </c>
      <c r="I1" s="346" t="n">
        <f aca="true">TODAY()</f>
        <v>46138</v>
      </c>
      <c r="J1" s="343" t="n">
        <f aca="false">SUM(J4:J300)</f>
        <v>0</v>
      </c>
      <c r="K1" s="347" t="n">
        <f aca="false">J1+SalesApr!K1</f>
        <v>0</v>
      </c>
    </row>
    <row r="2" s="348" customFormat="true" ht="12.75" hidden="false" customHeight="true" outlineLevel="0" collapsed="false">
      <c r="A2" s="340"/>
      <c r="B2" s="341"/>
      <c r="C2" s="349" t="s">
        <v>249</v>
      </c>
      <c r="D2" s="350" t="s">
        <v>250</v>
      </c>
      <c r="E2" s="351" t="s">
        <v>251</v>
      </c>
      <c r="F2" s="341" t="s">
        <v>252</v>
      </c>
      <c r="G2" s="341" t="s">
        <v>253</v>
      </c>
      <c r="H2" s="352" t="s">
        <v>254</v>
      </c>
      <c r="I2" s="353" t="s">
        <v>255</v>
      </c>
      <c r="J2" s="341" t="s">
        <v>256</v>
      </c>
      <c r="K2" s="341"/>
    </row>
    <row r="3" s="354" customFormat="true" ht="38.25" hidden="false" customHeight="true" outlineLevel="0" collapsed="false">
      <c r="A3" s="340"/>
      <c r="B3" s="341"/>
      <c r="C3" s="349"/>
      <c r="D3" s="350"/>
      <c r="E3" s="351"/>
      <c r="F3" s="351"/>
      <c r="G3" s="351"/>
      <c r="H3" s="352"/>
      <c r="I3" s="353"/>
      <c r="J3" s="341" t="s">
        <v>257</v>
      </c>
      <c r="K3" s="341" t="s">
        <v>258</v>
      </c>
    </row>
    <row r="4" customFormat="false" ht="12.75" hidden="false" customHeight="false" outlineLevel="0" collapsed="false">
      <c r="A4" s="355" t="n">
        <v>45780</v>
      </c>
      <c r="B4" s="334" t="s">
        <v>259</v>
      </c>
      <c r="F4" s="334" t="n">
        <v>360</v>
      </c>
      <c r="I4" s="339" t="n">
        <f aca="false">IF((F4&lt;&gt;0),IF((D4&gt;0)," ",(I$1-A4))," ")</f>
        <v>358</v>
      </c>
    </row>
    <row r="5" customFormat="false" ht="12.75" hidden="false" customHeight="false" outlineLevel="0" collapsed="false">
      <c r="A5" s="355" t="n">
        <v>45782</v>
      </c>
      <c r="B5" s="334" t="s">
        <v>260</v>
      </c>
      <c r="F5" s="334" t="n">
        <v>600</v>
      </c>
      <c r="I5" s="339" t="n">
        <f aca="false">IF((F5&lt;&gt;0),IF((D5&gt;0)," ",(I$1-A5))," ")</f>
        <v>356</v>
      </c>
    </row>
    <row r="6" customFormat="false" ht="12.75" hidden="false" customHeight="false" outlineLevel="0" collapsed="false">
      <c r="A6" s="355" t="n">
        <v>45785</v>
      </c>
      <c r="B6" s="334" t="s">
        <v>261</v>
      </c>
      <c r="F6" s="334" t="n">
        <v>480</v>
      </c>
      <c r="I6" s="339" t="n">
        <f aca="false">IF((F6&lt;&gt;0),IF((D6&gt;0)," ",(I$1-A6))," ")</f>
        <v>353</v>
      </c>
    </row>
    <row r="7" customFormat="false" ht="12.75" hidden="false" customHeight="false" outlineLevel="0" collapsed="false">
      <c r="A7" s="355" t="n">
        <v>45787</v>
      </c>
      <c r="B7" s="334" t="s">
        <v>262</v>
      </c>
      <c r="F7" s="334" t="n">
        <v>720</v>
      </c>
      <c r="I7" s="339" t="n">
        <f aca="false">IF((F7&lt;&gt;0),IF((D7&gt;0)," ",(I$1-A7))," ")</f>
        <v>351</v>
      </c>
    </row>
    <row r="8" customFormat="false" ht="12.75" hidden="false" customHeight="false" outlineLevel="0" collapsed="false">
      <c r="A8" s="355" t="n">
        <v>45789</v>
      </c>
      <c r="B8" s="334" t="s">
        <v>341</v>
      </c>
      <c r="F8" s="334" t="n">
        <v>960</v>
      </c>
      <c r="I8" s="339" t="n">
        <f aca="false">IF((F8&lt;&gt;0),IF((D8&gt;0)," ",(I$1-A8))," ")</f>
        <v>349</v>
      </c>
    </row>
    <row r="9" customFormat="false" ht="12.75" hidden="false" customHeight="false" outlineLevel="0" collapsed="false">
      <c r="A9" s="355" t="n">
        <v>45792</v>
      </c>
      <c r="B9" s="334" t="s">
        <v>235</v>
      </c>
      <c r="F9" s="334" t="n">
        <v>25000</v>
      </c>
      <c r="I9" s="339" t="n">
        <f aca="false">IF((F9&lt;&gt;0),IF((D9&gt;0)," ",(I$1-A9))," ")</f>
        <v>346</v>
      </c>
    </row>
    <row r="10" customFormat="false" ht="12.75" hidden="false" customHeight="false" outlineLevel="0" collapsed="false">
      <c r="A10" s="355" t="n">
        <v>45793</v>
      </c>
      <c r="B10" s="334" t="s">
        <v>342</v>
      </c>
      <c r="F10" s="334" t="n">
        <v>1200</v>
      </c>
      <c r="I10" s="339" t="n">
        <f aca="false">IF((F10&lt;&gt;0),IF((D10&gt;0)," ",(I$1-A10))," ")</f>
        <v>345</v>
      </c>
    </row>
    <row r="11" customFormat="false" ht="12.75" hidden="false" customHeight="false" outlineLevel="0" collapsed="false">
      <c r="A11" s="355" t="n">
        <v>45795</v>
      </c>
      <c r="B11" s="334" t="s">
        <v>237</v>
      </c>
      <c r="F11" s="334" t="n">
        <v>2400</v>
      </c>
      <c r="I11" s="339" t="n">
        <f aca="false">IF((F11&lt;&gt;0),IF((D11&gt;0)," ",(I$1-A11))," ")</f>
        <v>343</v>
      </c>
    </row>
    <row r="12" customFormat="false" ht="12.75" hidden="false" customHeight="false" outlineLevel="0" collapsed="false">
      <c r="A12" s="355" t="n">
        <v>45802</v>
      </c>
      <c r="B12" s="334" t="s">
        <v>343</v>
      </c>
      <c r="F12" s="334" t="n">
        <v>1200</v>
      </c>
      <c r="I12" s="339" t="n">
        <f aca="false">IF((F12&lt;&gt;0),IF((D12&gt;0)," ",(I$1-A12))," ")</f>
        <v>336</v>
      </c>
    </row>
    <row r="13" customFormat="false" ht="12.75" hidden="false" customHeight="false" outlineLevel="0" collapsed="false">
      <c r="A13" s="355"/>
      <c r="I13" s="339" t="str">
        <f aca="false">IF((F13&lt;&gt;0),IF((D13&gt;0)," ",(I$1-A13))," ")</f>
        <v> </v>
      </c>
    </row>
    <row r="14" customFormat="false" ht="12.75" hidden="false" customHeight="false" outlineLevel="0" collapsed="false">
      <c r="A14" s="355"/>
      <c r="I14" s="339" t="str">
        <f aca="false">IF((F14&lt;&gt;0),IF((D14&gt;0)," ",(I$1-A14))," ")</f>
        <v> </v>
      </c>
    </row>
    <row r="15" customFormat="false" ht="12.75" hidden="false" customHeight="false" outlineLevel="0" collapsed="false">
      <c r="A15" s="355"/>
      <c r="I15" s="339" t="str">
        <f aca="false">IF((F15&lt;&gt;0),IF((D15&gt;0)," ",(I$1-A15))," ")</f>
        <v> </v>
      </c>
    </row>
    <row r="16" customFormat="false" ht="12.75" hidden="false" customHeight="false" outlineLevel="0" collapsed="false">
      <c r="A16" s="355"/>
      <c r="I16" s="339" t="str">
        <f aca="false">IF((F16&lt;&gt;0),IF((D16&gt;0)," ",(I$1-A16))," ")</f>
        <v> </v>
      </c>
    </row>
    <row r="17" customFormat="false" ht="12.75" hidden="false" customHeight="false" outlineLevel="0" collapsed="false">
      <c r="A17" s="355"/>
      <c r="I17" s="339" t="str">
        <f aca="false">IF((F17&lt;&gt;0),IF((D17&gt;0)," ",(I$1-A17))," ")</f>
        <v> </v>
      </c>
    </row>
    <row r="18" customFormat="false" ht="12.75" hidden="false" customHeight="false" outlineLevel="0" collapsed="false">
      <c r="A18" s="355"/>
      <c r="I18" s="339" t="str">
        <f aca="false">IF((F18&lt;&gt;0),IF((D18&gt;0)," ",(I$1-A18))," ")</f>
        <v> </v>
      </c>
    </row>
    <row r="19" customFormat="false" ht="12.75" hidden="false" customHeight="false" outlineLevel="0" collapsed="false">
      <c r="A19" s="355"/>
      <c r="I19" s="339" t="str">
        <f aca="false">IF((F19&lt;&gt;0),IF((D19&gt;0)," ",(I$1-A19))," ")</f>
        <v> </v>
      </c>
    </row>
    <row r="20" customFormat="false" ht="12.75" hidden="false" customHeight="false" outlineLevel="0" collapsed="false">
      <c r="A20" s="355"/>
      <c r="I20" s="339" t="str">
        <f aca="false">IF((F20&lt;&gt;0),IF((D20&gt;0)," ",(I$1-A20))," ")</f>
        <v> </v>
      </c>
    </row>
    <row r="21" customFormat="false" ht="12.75" hidden="false" customHeight="false" outlineLevel="0" collapsed="false">
      <c r="A21" s="355"/>
      <c r="I21" s="339" t="str">
        <f aca="false">IF((F21&lt;&gt;0),IF((D21&gt;0)," ",(I$1-A21))," ")</f>
        <v> </v>
      </c>
    </row>
    <row r="22" customFormat="false" ht="12.75" hidden="false" customHeight="false" outlineLevel="0" collapsed="false">
      <c r="A22" s="355"/>
      <c r="I22" s="339" t="str">
        <f aca="false">IF((F22&lt;&gt;0),IF((D22&gt;0)," ",(I$1-A22))," ")</f>
        <v> </v>
      </c>
    </row>
    <row r="23" customFormat="false" ht="12.75" hidden="false" customHeight="false" outlineLevel="0" collapsed="false">
      <c r="A23" s="355"/>
      <c r="I23" s="339" t="str">
        <f aca="false">IF((F23&lt;&gt;0),IF((D23&gt;0)," ",(I$1-A23))," ")</f>
        <v> </v>
      </c>
    </row>
    <row r="24" customFormat="false" ht="12.75" hidden="false" customHeight="false" outlineLevel="0" collapsed="false">
      <c r="A24" s="355"/>
      <c r="I24" s="339" t="str">
        <f aca="false">IF((F24&lt;&gt;0),IF((D24&gt;0)," ",(I$1-A24))," ")</f>
        <v> </v>
      </c>
    </row>
    <row r="25" customFormat="false" ht="12.75" hidden="false" customHeight="false" outlineLevel="0" collapsed="false">
      <c r="A25" s="355"/>
      <c r="I25" s="339" t="str">
        <f aca="false">IF((F25&lt;&gt;0),IF((D25&gt;0)," ",(I$1-A25))," ")</f>
        <v> </v>
      </c>
    </row>
    <row r="26" customFormat="false" ht="12.75" hidden="false" customHeight="false" outlineLevel="0" collapsed="false">
      <c r="A26" s="355"/>
      <c r="I26" s="339" t="str">
        <f aca="false">IF((F26&lt;&gt;0),IF((D26&gt;0)," ",(I$1-A26))," ")</f>
        <v> </v>
      </c>
    </row>
    <row r="27" customFormat="false" ht="12.75" hidden="false" customHeight="false" outlineLevel="0" collapsed="false">
      <c r="A27" s="355"/>
      <c r="I27" s="339" t="str">
        <f aca="false">IF((F27&lt;&gt;0),IF((D27&gt;0)," ",(I$1-A27))," ")</f>
        <v> </v>
      </c>
    </row>
    <row r="28" customFormat="false" ht="12.75" hidden="false" customHeight="false" outlineLevel="0" collapsed="false">
      <c r="A28" s="355"/>
      <c r="I28" s="339" t="str">
        <f aca="false">IF((F28&lt;&gt;0),IF((D28&gt;0)," ",(I$1-A28))," ")</f>
        <v> </v>
      </c>
    </row>
    <row r="29" customFormat="false" ht="12.75" hidden="false" customHeight="false" outlineLevel="0" collapsed="false">
      <c r="A29" s="355"/>
      <c r="I29" s="339" t="str">
        <f aca="false">IF((F29&lt;&gt;0),IF((D29&gt;0)," ",(I$1-A29))," ")</f>
        <v> </v>
      </c>
    </row>
    <row r="30" customFormat="false" ht="12.75" hidden="false" customHeight="false" outlineLevel="0" collapsed="false">
      <c r="A30" s="355"/>
      <c r="I30" s="339" t="str">
        <f aca="false">IF((F30&lt;&gt;0),IF((D30&gt;0)," ",(I$1-A30))," ")</f>
        <v> </v>
      </c>
    </row>
    <row r="31" customFormat="false" ht="12.75" hidden="false" customHeight="false" outlineLevel="0" collapsed="false">
      <c r="A31" s="355"/>
      <c r="I31" s="339" t="str">
        <f aca="false">IF((F31&lt;&gt;0),IF((D31&gt;0)," ",(I$1-A31))," ")</f>
        <v> </v>
      </c>
    </row>
    <row r="32" customFormat="false" ht="12.75" hidden="false" customHeight="false" outlineLevel="0" collapsed="false">
      <c r="A32" s="355"/>
      <c r="I32" s="339" t="str">
        <f aca="false">IF((F32&lt;&gt;0),IF((D32&gt;0)," ",(I$1-A32))," ")</f>
        <v> </v>
      </c>
    </row>
    <row r="33" customFormat="false" ht="12.75" hidden="false" customHeight="false" outlineLevel="0" collapsed="false">
      <c r="A33" s="355"/>
      <c r="I33" s="339" t="str">
        <f aca="false">IF((F33&lt;&gt;0),IF((D33&gt;0)," ",(I$1-A33))," ")</f>
        <v> </v>
      </c>
    </row>
    <row r="34" customFormat="false" ht="12.75" hidden="false" customHeight="false" outlineLevel="0" collapsed="false">
      <c r="A34" s="355"/>
      <c r="I34" s="339" t="str">
        <f aca="false">IF((F34&lt;&gt;0),IF((D34&gt;0)," ",(I$1-A34))," ")</f>
        <v> </v>
      </c>
    </row>
    <row r="35" customFormat="false" ht="12.75" hidden="false" customHeight="false" outlineLevel="0" collapsed="false">
      <c r="A35" s="355"/>
      <c r="I35" s="339" t="str">
        <f aca="false">IF((F35&lt;&gt;0),IF((D35&gt;0)," ",(I$1-A35))," ")</f>
        <v> </v>
      </c>
    </row>
    <row r="36" customFormat="false" ht="12.75" hidden="false" customHeight="false" outlineLevel="0" collapsed="false">
      <c r="A36" s="355"/>
      <c r="I36" s="339" t="str">
        <f aca="false">IF((F36&lt;&gt;0),IF((D36&gt;0)," ",(I$1-A36))," ")</f>
        <v> </v>
      </c>
    </row>
    <row r="37" customFormat="false" ht="12.75" hidden="false" customHeight="false" outlineLevel="0" collapsed="false">
      <c r="A37" s="355"/>
      <c r="I37" s="339" t="str">
        <f aca="false">IF((F37&lt;&gt;0),IF((D37&gt;0)," ",(I$1-A37))," ")</f>
        <v> </v>
      </c>
    </row>
    <row r="38" customFormat="false" ht="12.75" hidden="false" customHeight="false" outlineLevel="0" collapsed="false">
      <c r="A38" s="355"/>
      <c r="I38" s="339" t="str">
        <f aca="false">IF((F38&lt;&gt;0),IF((D38&gt;0)," ",(I$1-A38))," ")</f>
        <v> </v>
      </c>
    </row>
    <row r="39" customFormat="false" ht="12.75" hidden="false" customHeight="false" outlineLevel="0" collapsed="false">
      <c r="A39" s="355"/>
      <c r="I39" s="339" t="str">
        <f aca="false">IF((F39&lt;&gt;0),IF((D39&gt;0)," ",(I$1-A39))," ")</f>
        <v> </v>
      </c>
    </row>
    <row r="40" customFormat="false" ht="12.75" hidden="false" customHeight="false" outlineLevel="0" collapsed="false">
      <c r="A40" s="355"/>
      <c r="I40" s="339" t="str">
        <f aca="false">IF((F40&lt;&gt;0),IF((D40&gt;0)," ",(I$1-A40))," ")</f>
        <v> </v>
      </c>
    </row>
    <row r="41" customFormat="false" ht="12.75" hidden="false" customHeight="false" outlineLevel="0" collapsed="false">
      <c r="A41" s="355"/>
      <c r="I41" s="339" t="str">
        <f aca="false">IF((F41&lt;&gt;0),IF((D41&gt;0)," ",(I$1-A41))," ")</f>
        <v> </v>
      </c>
    </row>
    <row r="42" customFormat="false" ht="12.75" hidden="false" customHeight="false" outlineLevel="0" collapsed="false">
      <c r="A42" s="355"/>
      <c r="I42" s="339" t="str">
        <f aca="false">IF((F42&lt;&gt;0),IF((D42&gt;0)," ",(I$1-A42))," ")</f>
        <v> </v>
      </c>
    </row>
    <row r="43" customFormat="false" ht="12.75" hidden="false" customHeight="false" outlineLevel="0" collapsed="false">
      <c r="A43" s="355"/>
      <c r="I43" s="339" t="str">
        <f aca="false">IF((F43&lt;&gt;0),IF((D43&gt;0)," ",(I$1-A43))," ")</f>
        <v> </v>
      </c>
    </row>
    <row r="44" customFormat="false" ht="12.75" hidden="false" customHeight="false" outlineLevel="0" collapsed="false">
      <c r="A44" s="355"/>
      <c r="I44" s="339" t="str">
        <f aca="false">IF((F44&lt;&gt;0),IF((D44&gt;0)," ",(I$1-A44))," ")</f>
        <v> </v>
      </c>
    </row>
    <row r="45" customFormat="false" ht="12.75" hidden="false" customHeight="false" outlineLevel="0" collapsed="false">
      <c r="A45" s="355"/>
      <c r="I45" s="339" t="str">
        <f aca="false">IF((F45&lt;&gt;0),IF((D45&gt;0)," ",(I$1-A45))," ")</f>
        <v> </v>
      </c>
    </row>
    <row r="46" customFormat="false" ht="12.75" hidden="false" customHeight="false" outlineLevel="0" collapsed="false">
      <c r="A46" s="355"/>
      <c r="I46" s="339" t="str">
        <f aca="false">IF((F46&lt;&gt;0),IF((D46&gt;0)," ",(I$1-A46))," ")</f>
        <v> </v>
      </c>
    </row>
    <row r="47" customFormat="false" ht="12.75" hidden="false" customHeight="false" outlineLevel="0" collapsed="false">
      <c r="A47" s="355"/>
      <c r="I47" s="339" t="str">
        <f aca="false">IF((F47&lt;&gt;0),IF((D47&gt;0)," ",(I$1-A47))," ")</f>
        <v> </v>
      </c>
    </row>
    <row r="48" customFormat="false" ht="12.75" hidden="false" customHeight="false" outlineLevel="0" collapsed="false">
      <c r="A48" s="355"/>
      <c r="I48" s="339" t="str">
        <f aca="false">IF((F48&lt;&gt;0),IF((D48&gt;0)," ",(I$1-A48))," ")</f>
        <v> </v>
      </c>
    </row>
    <row r="49" customFormat="false" ht="12.75" hidden="false" customHeight="false" outlineLevel="0" collapsed="false">
      <c r="A49" s="355"/>
      <c r="I49" s="339" t="str">
        <f aca="false">IF((F49&lt;&gt;0),IF((D49&gt;0)," ",(I$1-A49))," ")</f>
        <v> </v>
      </c>
    </row>
    <row r="50" customFormat="false" ht="12.75" hidden="false" customHeight="false" outlineLevel="0" collapsed="false">
      <c r="A50" s="355"/>
      <c r="I50" s="339" t="str">
        <f aca="false">IF((F50&lt;&gt;0),IF((D50&gt;0)," ",(I$1-A50))," ")</f>
        <v> </v>
      </c>
    </row>
    <row r="51" customFormat="false" ht="12.75" hidden="false" customHeight="false" outlineLevel="0" collapsed="false">
      <c r="A51" s="355"/>
      <c r="I51" s="339" t="str">
        <f aca="false">IF((F51&lt;&gt;0),IF((D51&gt;0)," ",(I$1-A51))," ")</f>
        <v> </v>
      </c>
    </row>
    <row r="52" customFormat="false" ht="12.75" hidden="false" customHeight="false" outlineLevel="0" collapsed="false">
      <c r="A52" s="355"/>
      <c r="I52" s="339" t="str">
        <f aca="false">IF((F52&lt;&gt;0),IF((D52&gt;0)," ",(I$1-A52))," ")</f>
        <v> </v>
      </c>
    </row>
    <row r="53" customFormat="false" ht="12.75" hidden="false" customHeight="false" outlineLevel="0" collapsed="false">
      <c r="A53" s="355"/>
      <c r="I53" s="339" t="str">
        <f aca="false">IF((F53&lt;&gt;0),IF((D53&gt;0)," ",(I$1-A53))," ")</f>
        <v> </v>
      </c>
    </row>
    <row r="54" customFormat="false" ht="12.75" hidden="false" customHeight="false" outlineLevel="0" collapsed="false">
      <c r="A54" s="355"/>
      <c r="I54" s="339" t="str">
        <f aca="false">IF((F54&lt;&gt;0),IF((D54&gt;0)," ",(I$1-A54))," ")</f>
        <v> </v>
      </c>
    </row>
    <row r="55" customFormat="false" ht="12.75" hidden="false" customHeight="false" outlineLevel="0" collapsed="false">
      <c r="A55" s="355"/>
      <c r="I55" s="339" t="str">
        <f aca="false">IF((F55&lt;&gt;0),IF((D55&gt;0)," ",(I$1-A55))," ")</f>
        <v> </v>
      </c>
    </row>
    <row r="56" customFormat="false" ht="12.75" hidden="false" customHeight="false" outlineLevel="0" collapsed="false">
      <c r="A56" s="355"/>
      <c r="I56" s="339" t="str">
        <f aca="false">IF((F56&lt;&gt;0),IF((D56&gt;0)," ",(I$1-A56))," ")</f>
        <v> </v>
      </c>
    </row>
    <row r="57" customFormat="false" ht="12.75" hidden="false" customHeight="false" outlineLevel="0" collapsed="false">
      <c r="A57" s="355"/>
      <c r="I57" s="339" t="str">
        <f aca="false">IF((F57&lt;&gt;0),IF((D57&gt;0)," ",(I$1-A57))," ")</f>
        <v> </v>
      </c>
    </row>
    <row r="58" customFormat="false" ht="12.75" hidden="false" customHeight="false" outlineLevel="0" collapsed="false">
      <c r="A58" s="355"/>
      <c r="I58" s="339" t="str">
        <f aca="false">IF((F58&lt;&gt;0),IF((D58&gt;0)," ",(I$1-A58))," ")</f>
        <v> </v>
      </c>
    </row>
    <row r="59" customFormat="false" ht="12.75" hidden="false" customHeight="false" outlineLevel="0" collapsed="false">
      <c r="A59" s="355"/>
      <c r="I59" s="339" t="str">
        <f aca="false">IF((F59&lt;&gt;0),IF((D59&gt;0)," ",(I$1-A59))," ")</f>
        <v> </v>
      </c>
    </row>
    <row r="60" customFormat="false" ht="12.75" hidden="false" customHeight="false" outlineLevel="0" collapsed="false">
      <c r="A60" s="355"/>
      <c r="I60" s="339" t="str">
        <f aca="false">IF((F60&lt;&gt;0),IF((D60&gt;0)," ",(I$1-A60))," ")</f>
        <v> </v>
      </c>
    </row>
    <row r="61" customFormat="false" ht="12.75" hidden="false" customHeight="false" outlineLevel="0" collapsed="false">
      <c r="A61" s="355"/>
      <c r="I61" s="339" t="str">
        <f aca="false">IF((F61&lt;&gt;0),IF((D61&gt;0)," ",(I$1-A61))," ")</f>
        <v> </v>
      </c>
    </row>
    <row r="62" customFormat="false" ht="12.75" hidden="false" customHeight="false" outlineLevel="0" collapsed="false">
      <c r="A62" s="355"/>
      <c r="I62" s="339" t="str">
        <f aca="false">IF((F62&lt;&gt;0),IF((D62&gt;0)," ",(I$1-A62))," ")</f>
        <v> </v>
      </c>
    </row>
    <row r="63" customFormat="false" ht="12.75" hidden="false" customHeight="false" outlineLevel="0" collapsed="false">
      <c r="A63" s="355"/>
      <c r="I63" s="339" t="str">
        <f aca="false">IF((F63&lt;&gt;0),IF((D63&gt;0)," ",(I$1-A63))," ")</f>
        <v> </v>
      </c>
    </row>
    <row r="64" customFormat="false" ht="12.75" hidden="false" customHeight="false" outlineLevel="0" collapsed="false">
      <c r="A64" s="355"/>
      <c r="I64" s="339" t="str">
        <f aca="false">IF((F64&lt;&gt;0),IF((D64&gt;0)," ",(I$1-A64))," ")</f>
        <v> </v>
      </c>
    </row>
    <row r="65" customFormat="false" ht="12.75" hidden="false" customHeight="false" outlineLevel="0" collapsed="false">
      <c r="A65" s="355"/>
      <c r="I65" s="339" t="str">
        <f aca="false">IF((F65&lt;&gt;0),IF((D65&gt;0)," ",(I$1-A65))," ")</f>
        <v> </v>
      </c>
    </row>
    <row r="66" customFormat="false" ht="12.75" hidden="false" customHeight="false" outlineLevel="0" collapsed="false">
      <c r="A66" s="355"/>
      <c r="I66" s="339" t="str">
        <f aca="false">IF((F66&lt;&gt;0),IF((D66&gt;0)," ",(I$1-A66))," ")</f>
        <v> </v>
      </c>
    </row>
    <row r="67" customFormat="false" ht="12.75" hidden="false" customHeight="false" outlineLevel="0" collapsed="false">
      <c r="A67" s="355"/>
      <c r="I67" s="339" t="str">
        <f aca="false">IF((F67&lt;&gt;0),IF((D67&gt;0)," ",(I$1-A67))," ")</f>
        <v> </v>
      </c>
    </row>
    <row r="68" customFormat="false" ht="12.75" hidden="false" customHeight="false" outlineLevel="0" collapsed="false">
      <c r="A68" s="355"/>
      <c r="H68" s="338" t="str">
        <f aca="false">IF((F68&lt;&gt;0),IF((D68&gt;0)," ",F68)," ")</f>
        <v> </v>
      </c>
      <c r="I68" s="339" t="str">
        <f aca="false">IF((F68&lt;&gt;0),IF((D68&gt;0)," ",(I$1-A68))," ")</f>
        <v> </v>
      </c>
    </row>
    <row r="69" customFormat="false" ht="12.75" hidden="false" customHeight="false" outlineLevel="0" collapsed="false">
      <c r="A69" s="355"/>
      <c r="H69" s="338" t="str">
        <f aca="false">IF((F69&lt;&gt;0),IF((D69&gt;0)," ",F69)," ")</f>
        <v> </v>
      </c>
      <c r="I69" s="339" t="str">
        <f aca="false">IF((F69&lt;&gt;0),IF((D69&gt;0)," ",(I$1-A69))," ")</f>
        <v> </v>
      </c>
    </row>
    <row r="70" customFormat="false" ht="12.75" hidden="false" customHeight="false" outlineLevel="0" collapsed="false">
      <c r="A70" s="355"/>
      <c r="H70" s="338" t="str">
        <f aca="false">IF((F70&lt;&gt;0),IF((D70&gt;0)," ",F70)," ")</f>
        <v> </v>
      </c>
      <c r="I70" s="339" t="str">
        <f aca="false">IF((F70&lt;&gt;0),IF((D70&gt;0)," ",(I$1-A70))," ")</f>
        <v> </v>
      </c>
    </row>
    <row r="71" customFormat="false" ht="12.75" hidden="false" customHeight="false" outlineLevel="0" collapsed="false">
      <c r="A71" s="355"/>
      <c r="H71" s="338" t="str">
        <f aca="false">IF((F71&lt;&gt;0),IF((D71&gt;0)," ",F71)," ")</f>
        <v> </v>
      </c>
      <c r="I71" s="339" t="str">
        <f aca="false">IF((F71&lt;&gt;0),IF((D71&gt;0)," ",(I$1-A71))," ")</f>
        <v> </v>
      </c>
    </row>
    <row r="72" customFormat="false" ht="12.75" hidden="false" customHeight="false" outlineLevel="0" collapsed="false">
      <c r="A72" s="355"/>
      <c r="H72" s="338" t="str">
        <f aca="false">IF((F72&lt;&gt;0),IF((D72&gt;0)," ",F72)," ")</f>
        <v> </v>
      </c>
      <c r="I72" s="339" t="str">
        <f aca="false">IF((F72&lt;&gt;0),IF((D72&gt;0)," ",(I$1-A72))," ")</f>
        <v> </v>
      </c>
    </row>
    <row r="73" customFormat="false" ht="12.75" hidden="false" customHeight="false" outlineLevel="0" collapsed="false">
      <c r="A73" s="355"/>
      <c r="H73" s="338" t="str">
        <f aca="false">IF((F73&lt;&gt;0),IF((D73&gt;0)," ",F73)," ")</f>
        <v> </v>
      </c>
      <c r="I73" s="339" t="str">
        <f aca="false">IF((F73&lt;&gt;0),IF((D73&gt;0)," ",(I$1-A73))," ")</f>
        <v> </v>
      </c>
    </row>
    <row r="74" customFormat="false" ht="12.75" hidden="false" customHeight="false" outlineLevel="0" collapsed="false">
      <c r="A74" s="355"/>
      <c r="H74" s="338" t="str">
        <f aca="false">IF((F74&lt;&gt;0),IF((D74&gt;0)," ",F74)," ")</f>
        <v> </v>
      </c>
      <c r="I74" s="339" t="str">
        <f aca="false">IF((F74&lt;&gt;0),IF((D74&gt;0)," ",(I$1-A74))," ")</f>
        <v> </v>
      </c>
    </row>
    <row r="75" customFormat="false" ht="12.75" hidden="false" customHeight="false" outlineLevel="0" collapsed="false">
      <c r="A75" s="355"/>
      <c r="H75" s="338" t="str">
        <f aca="false">IF((F75&lt;&gt;0),IF((D75&gt;0)," ",F75)," ")</f>
        <v> </v>
      </c>
      <c r="I75" s="339" t="str">
        <f aca="false">IF((F75&lt;&gt;0),IF((D75&gt;0)," ",(I$1-A75))," ")</f>
        <v> </v>
      </c>
    </row>
    <row r="76" customFormat="false" ht="12.75" hidden="false" customHeight="false" outlineLevel="0" collapsed="false">
      <c r="A76" s="355"/>
      <c r="H76" s="338" t="str">
        <f aca="false">IF((F76&lt;&gt;0),IF((D76&gt;0)," ",F76)," ")</f>
        <v> </v>
      </c>
      <c r="I76" s="339" t="str">
        <f aca="false">IF((F76&lt;&gt;0),IF((D76&gt;0)," ",(I$1-A76))," ")</f>
        <v> </v>
      </c>
    </row>
    <row r="77" customFormat="false" ht="12.75" hidden="false" customHeight="false" outlineLevel="0" collapsed="false">
      <c r="A77" s="355"/>
      <c r="H77" s="338" t="str">
        <f aca="false">IF((F77&lt;&gt;0),IF((D77&gt;0)," ",F77)," ")</f>
        <v> </v>
      </c>
      <c r="I77" s="339" t="str">
        <f aca="false">IF((F77&lt;&gt;0),IF((D77&gt;0)," ",(I$1-A77))," ")</f>
        <v> </v>
      </c>
    </row>
    <row r="78" customFormat="false" ht="12.75" hidden="false" customHeight="false" outlineLevel="0" collapsed="false">
      <c r="A78" s="355"/>
      <c r="H78" s="338" t="str">
        <f aca="false">IF((F78&lt;&gt;0),IF((D78&gt;0)," ",F78)," ")</f>
        <v> </v>
      </c>
      <c r="I78" s="339" t="str">
        <f aca="false">IF((F78&lt;&gt;0),IF((D78&gt;0)," ",(I$1-A78))," ")</f>
        <v> </v>
      </c>
    </row>
    <row r="79" customFormat="false" ht="12.75" hidden="false" customHeight="false" outlineLevel="0" collapsed="false">
      <c r="A79" s="355"/>
      <c r="H79" s="338" t="str">
        <f aca="false">IF((F79&lt;&gt;0),IF((D79&gt;0)," ",F79)," ")</f>
        <v> </v>
      </c>
      <c r="I79" s="339" t="str">
        <f aca="false">IF((F79&lt;&gt;0),IF((D79&gt;0)," ",(I$1-A79))," ")</f>
        <v> </v>
      </c>
    </row>
    <row r="80" customFormat="false" ht="12.75" hidden="false" customHeight="false" outlineLevel="0" collapsed="false">
      <c r="A80" s="355"/>
      <c r="H80" s="338" t="str">
        <f aca="false">IF((F80&lt;&gt;0),IF((D80&gt;0)," ",F80)," ")</f>
        <v> </v>
      </c>
      <c r="I80" s="339" t="str">
        <f aca="false">IF((F80&lt;&gt;0),IF((D80&gt;0)," ",(I$1-A80))," ")</f>
        <v> </v>
      </c>
    </row>
    <row r="81" customFormat="false" ht="12.75" hidden="false" customHeight="false" outlineLevel="0" collapsed="false">
      <c r="A81" s="355"/>
      <c r="H81" s="338" t="str">
        <f aca="false">IF((F81&lt;&gt;0),IF((D81&gt;0)," ",F81)," ")</f>
        <v> </v>
      </c>
      <c r="I81" s="339" t="str">
        <f aca="false">IF((F81&lt;&gt;0),IF((D81&gt;0)," ",(I$1-A81))," ")</f>
        <v> </v>
      </c>
    </row>
    <row r="82" customFormat="false" ht="12.75" hidden="false" customHeight="false" outlineLevel="0" collapsed="false">
      <c r="A82" s="355"/>
      <c r="H82" s="338" t="str">
        <f aca="false">IF((F82&lt;&gt;0),IF((D82&gt;0)," ",F82)," ")</f>
        <v> </v>
      </c>
      <c r="I82" s="339" t="str">
        <f aca="false">IF((F82&lt;&gt;0),IF((D82&gt;0)," ",(I$1-A82))," ")</f>
        <v> </v>
      </c>
    </row>
    <row r="83" customFormat="false" ht="12.75" hidden="false" customHeight="false" outlineLevel="0" collapsed="false">
      <c r="A83" s="355"/>
      <c r="H83" s="338" t="str">
        <f aca="false">IF((F83&lt;&gt;0),IF((D83&gt;0)," ",F83)," ")</f>
        <v> </v>
      </c>
      <c r="I83" s="339" t="str">
        <f aca="false">IF((F83&lt;&gt;0),IF((D83&gt;0)," ",(I$1-A83))," ")</f>
        <v> </v>
      </c>
    </row>
    <row r="84" customFormat="false" ht="12.75" hidden="false" customHeight="false" outlineLevel="0" collapsed="false">
      <c r="A84" s="355"/>
      <c r="H84" s="338" t="str">
        <f aca="false">IF((F84&lt;&gt;0),IF((D84&gt;0)," ",F84)," ")</f>
        <v> </v>
      </c>
      <c r="I84" s="339" t="str">
        <f aca="false">IF((F84&lt;&gt;0),IF((D84&gt;0)," ",(I$1-A84))," ")</f>
        <v> </v>
      </c>
    </row>
    <row r="85" customFormat="false" ht="12.75" hidden="false" customHeight="false" outlineLevel="0" collapsed="false">
      <c r="A85" s="355"/>
      <c r="H85" s="338" t="str">
        <f aca="false">IF((F85&lt;&gt;0),IF((D85&gt;0)," ",F85)," ")</f>
        <v> </v>
      </c>
      <c r="I85" s="339" t="str">
        <f aca="false">IF((F85&lt;&gt;0),IF((D85&gt;0)," ",(I$1-A85))," ")</f>
        <v> </v>
      </c>
    </row>
    <row r="86" customFormat="false" ht="12.75" hidden="false" customHeight="false" outlineLevel="0" collapsed="false">
      <c r="A86" s="355"/>
      <c r="H86" s="338" t="str">
        <f aca="false">IF((F86&lt;&gt;0),IF((D86&gt;0)," ",F86)," ")</f>
        <v> </v>
      </c>
      <c r="I86" s="339" t="str">
        <f aca="false">IF((F86&lt;&gt;0),IF((D86&gt;0)," ",(I$1-A86))," ")</f>
        <v> </v>
      </c>
    </row>
    <row r="87" customFormat="false" ht="12.75" hidden="false" customHeight="false" outlineLevel="0" collapsed="false">
      <c r="A87" s="355"/>
      <c r="H87" s="338" t="str">
        <f aca="false">IF((F87&lt;&gt;0),IF((D87&gt;0)," ",F87)," ")</f>
        <v> </v>
      </c>
      <c r="I87" s="339" t="str">
        <f aca="false">IF((F87&lt;&gt;0),IF((D87&gt;0)," ",(I$1-A87))," ")</f>
        <v> </v>
      </c>
    </row>
    <row r="88" customFormat="false" ht="12.75" hidden="false" customHeight="false" outlineLevel="0" collapsed="false">
      <c r="A88" s="355"/>
      <c r="H88" s="338" t="str">
        <f aca="false">IF((F88&lt;&gt;0),IF((D88&gt;0)," ",F88)," ")</f>
        <v> </v>
      </c>
      <c r="I88" s="339" t="str">
        <f aca="false">IF((F88&lt;&gt;0),IF((D88&gt;0)," ",(I$1-A88))," ")</f>
        <v> </v>
      </c>
    </row>
    <row r="89" customFormat="false" ht="12.75" hidden="false" customHeight="false" outlineLevel="0" collapsed="false">
      <c r="A89" s="355"/>
      <c r="H89" s="338" t="str">
        <f aca="false">IF((F89&lt;&gt;0),IF((D89&gt;0)," ",F89)," ")</f>
        <v> </v>
      </c>
      <c r="I89" s="339" t="str">
        <f aca="false">IF((F89&lt;&gt;0),IF((D89&gt;0)," ",(I$1-A89))," ")</f>
        <v> </v>
      </c>
    </row>
    <row r="90" customFormat="false" ht="12.75" hidden="false" customHeight="false" outlineLevel="0" collapsed="false">
      <c r="A90" s="355"/>
      <c r="H90" s="338" t="str">
        <f aca="false">IF((F90&lt;&gt;0),IF((D90&gt;0)," ",F90)," ")</f>
        <v> </v>
      </c>
      <c r="I90" s="339" t="str">
        <f aca="false">IF((F90&lt;&gt;0),IF((D90&gt;0)," ",(I$1-A90))," ")</f>
        <v> </v>
      </c>
    </row>
    <row r="91" customFormat="false" ht="12.75" hidden="false" customHeight="false" outlineLevel="0" collapsed="false">
      <c r="A91" s="355"/>
      <c r="H91" s="338" t="str">
        <f aca="false">IF((F91&lt;&gt;0),IF((D91&gt;0)," ",F91)," ")</f>
        <v> </v>
      </c>
      <c r="I91" s="339" t="str">
        <f aca="false">IF((F91&lt;&gt;0),IF((D91&gt;0)," ",(I$1-A91))," ")</f>
        <v> </v>
      </c>
    </row>
    <row r="92" customFormat="false" ht="12.75" hidden="false" customHeight="false" outlineLevel="0" collapsed="false">
      <c r="A92" s="355"/>
      <c r="H92" s="338" t="str">
        <f aca="false">IF((F92&lt;&gt;0),IF((D92&gt;0)," ",F92)," ")</f>
        <v> </v>
      </c>
      <c r="I92" s="339" t="str">
        <f aca="false">IF((F92&lt;&gt;0),IF((D92&gt;0)," ",(I$1-A92))," ")</f>
        <v> </v>
      </c>
    </row>
    <row r="93" customFormat="false" ht="12.75" hidden="false" customHeight="false" outlineLevel="0" collapsed="false">
      <c r="A93" s="355"/>
      <c r="H93" s="338" t="str">
        <f aca="false">IF((F93&lt;&gt;0),IF((D93&gt;0)," ",F93)," ")</f>
        <v> </v>
      </c>
      <c r="I93" s="339" t="str">
        <f aca="false">IF((F93&lt;&gt;0),IF((D93&gt;0)," ",(I$1-A93))," ")</f>
        <v> </v>
      </c>
    </row>
    <row r="94" customFormat="false" ht="12.75" hidden="false" customHeight="false" outlineLevel="0" collapsed="false">
      <c r="A94" s="355"/>
      <c r="H94" s="338" t="str">
        <f aca="false">IF((F94&lt;&gt;0),IF((D94&gt;0)," ",F94)," ")</f>
        <v> </v>
      </c>
      <c r="I94" s="339" t="str">
        <f aca="false">IF((F94&lt;&gt;0),IF((D94&gt;0)," ",(I$1-A94))," ")</f>
        <v> </v>
      </c>
    </row>
    <row r="95" customFormat="false" ht="12.75" hidden="false" customHeight="false" outlineLevel="0" collapsed="false">
      <c r="A95" s="355"/>
      <c r="H95" s="338" t="str">
        <f aca="false">IF((F95&lt;&gt;0),IF((D95&gt;0)," ",F95)," ")</f>
        <v> </v>
      </c>
      <c r="I95" s="339" t="str">
        <f aca="false">IF((F95&lt;&gt;0),IF((D95&gt;0)," ",(I$1-A95))," ")</f>
        <v> </v>
      </c>
    </row>
    <row r="96" customFormat="false" ht="12.75" hidden="false" customHeight="false" outlineLevel="0" collapsed="false">
      <c r="A96" s="355"/>
      <c r="H96" s="338" t="str">
        <f aca="false">IF((F96&lt;&gt;0),IF((D96&gt;0)," ",F96)," ")</f>
        <v> </v>
      </c>
      <c r="I96" s="339" t="str">
        <f aca="false">IF((F96&lt;&gt;0),IF((D96&gt;0)," ",(I$1-A96))," ")</f>
        <v> </v>
      </c>
    </row>
    <row r="97" customFormat="false" ht="12.75" hidden="false" customHeight="false" outlineLevel="0" collapsed="false">
      <c r="A97" s="355"/>
      <c r="H97" s="338" t="str">
        <f aca="false">IF((F97&lt;&gt;0),IF((D97&gt;0)," ",F97)," ")</f>
        <v> </v>
      </c>
      <c r="I97" s="339" t="str">
        <f aca="false">IF((F97&lt;&gt;0),IF((D97&gt;0)," ",(I$1-A97))," ")</f>
        <v> </v>
      </c>
    </row>
    <row r="98" customFormat="false" ht="12.75" hidden="false" customHeight="false" outlineLevel="0" collapsed="false">
      <c r="A98" s="355"/>
      <c r="H98" s="338" t="str">
        <f aca="false">IF((F98&lt;&gt;0),IF((D98&gt;0)," ",F98)," ")</f>
        <v> </v>
      </c>
      <c r="I98" s="339" t="str">
        <f aca="false">IF((F98&lt;&gt;0),IF((D98&gt;0)," ",(I$1-A98))," ")</f>
        <v> </v>
      </c>
    </row>
    <row r="99" customFormat="false" ht="12.75" hidden="false" customHeight="false" outlineLevel="0" collapsed="false">
      <c r="A99" s="355"/>
      <c r="H99" s="338" t="str">
        <f aca="false">IF((F99&lt;&gt;0),IF((D99&gt;0)," ",F99)," ")</f>
        <v> </v>
      </c>
      <c r="I99" s="339" t="str">
        <f aca="false">IF((F99&lt;&gt;0),IF((D99&gt;0)," ",(I$1-A99))," ")</f>
        <v> </v>
      </c>
    </row>
    <row r="100" customFormat="false" ht="12.75" hidden="false" customHeight="false" outlineLevel="0" collapsed="false">
      <c r="A100" s="355"/>
      <c r="H100" s="338" t="str">
        <f aca="false">IF((F100&lt;&gt;0),IF((D100&gt;0)," ",F100)," ")</f>
        <v> </v>
      </c>
      <c r="I100" s="339" t="str">
        <f aca="false">IF((F100&lt;&gt;0),IF((D100&gt;0)," ",(I$1-A100))," ")</f>
        <v> </v>
      </c>
    </row>
    <row r="101" customFormat="false" ht="12.75" hidden="false" customHeight="false" outlineLevel="0" collapsed="false">
      <c r="A101" s="355"/>
      <c r="H101" s="338" t="str">
        <f aca="false">IF((F101&lt;&gt;0),IF((D101&gt;0)," ",F101)," ")</f>
        <v> </v>
      </c>
      <c r="I101" s="339" t="str">
        <f aca="false">IF((F101&lt;&gt;0),IF((D101&gt;0)," ",(I$1-A101))," ")</f>
        <v> </v>
      </c>
    </row>
    <row r="102" customFormat="false" ht="12.75" hidden="false" customHeight="false" outlineLevel="0" collapsed="false">
      <c r="A102" s="355"/>
      <c r="H102" s="338" t="str">
        <f aca="false">IF((F102&lt;&gt;0),IF((D102&gt;0)," ",F102)," ")</f>
        <v> </v>
      </c>
      <c r="I102" s="339" t="str">
        <f aca="false">IF((F102&lt;&gt;0),IF((D102&gt;0)," ",(I$1-A102))," ")</f>
        <v> </v>
      </c>
    </row>
    <row r="103" customFormat="false" ht="12.75" hidden="false" customHeight="false" outlineLevel="0" collapsed="false">
      <c r="A103" s="355"/>
      <c r="H103" s="338" t="str">
        <f aca="false">IF((F103&lt;&gt;0),IF((D103&gt;0)," ",F103)," ")</f>
        <v> </v>
      </c>
      <c r="I103" s="339" t="str">
        <f aca="false">IF((F103&lt;&gt;0),IF((D103&gt;0)," ",(I$1-A103))," ")</f>
        <v> </v>
      </c>
    </row>
    <row r="104" customFormat="false" ht="12.75" hidden="false" customHeight="false" outlineLevel="0" collapsed="false">
      <c r="A104" s="355"/>
      <c r="H104" s="338" t="str">
        <f aca="false">IF((F104&lt;&gt;0),IF((D104&gt;0)," ",F104)," ")</f>
        <v> </v>
      </c>
      <c r="I104" s="339" t="str">
        <f aca="false">IF((F104&lt;&gt;0),IF((D104&gt;0)," ",(I$1-A104))," ")</f>
        <v> </v>
      </c>
    </row>
    <row r="105" customFormat="false" ht="12.75" hidden="false" customHeight="false" outlineLevel="0" collapsed="false">
      <c r="A105" s="355"/>
      <c r="H105" s="338" t="str">
        <f aca="false">IF((F105&lt;&gt;0),IF((D105&gt;0)," ",F105)," ")</f>
        <v> </v>
      </c>
      <c r="I105" s="339" t="str">
        <f aca="false">IF((F105&lt;&gt;0),IF((D105&gt;0)," ",(I$1-A105))," ")</f>
        <v> </v>
      </c>
    </row>
    <row r="106" customFormat="false" ht="12.75" hidden="false" customHeight="false" outlineLevel="0" collapsed="false">
      <c r="A106" s="355"/>
      <c r="H106" s="338" t="str">
        <f aca="false">IF((F106&lt;&gt;0),IF((D106&gt;0)," ",F106)," ")</f>
        <v> </v>
      </c>
      <c r="I106" s="339" t="str">
        <f aca="false">IF((F106&lt;&gt;0),IF((D106&gt;0)," ",(I$1-A106))," ")</f>
        <v> </v>
      </c>
    </row>
    <row r="107" customFormat="false" ht="12.75" hidden="false" customHeight="false" outlineLevel="0" collapsed="false">
      <c r="A107" s="355"/>
      <c r="H107" s="338" t="str">
        <f aca="false">IF((F107&lt;&gt;0),IF((D107&gt;0)," ",F107)," ")</f>
        <v> </v>
      </c>
      <c r="I107" s="339" t="str">
        <f aca="false">IF((F107&lt;&gt;0),IF((D107&gt;0)," ",(I$1-A107))," ")</f>
        <v> </v>
      </c>
    </row>
    <row r="108" customFormat="false" ht="12.75" hidden="false" customHeight="false" outlineLevel="0" collapsed="false">
      <c r="A108" s="355"/>
      <c r="H108" s="338" t="str">
        <f aca="false">IF((F108&lt;&gt;0),IF((D108&gt;0)," ",F108)," ")</f>
        <v> </v>
      </c>
      <c r="I108" s="339" t="str">
        <f aca="false">IF((F108&lt;&gt;0),IF((D108&gt;0)," ",(I$1-A108))," ")</f>
        <v> </v>
      </c>
    </row>
    <row r="109" customFormat="false" ht="12.75" hidden="false" customHeight="false" outlineLevel="0" collapsed="false">
      <c r="A109" s="355"/>
      <c r="H109" s="338" t="str">
        <f aca="false">IF((F109&lt;&gt;0),IF((D109&gt;0)," ",F109)," ")</f>
        <v> </v>
      </c>
      <c r="I109" s="339" t="str">
        <f aca="false">IF((F109&lt;&gt;0),IF((D109&gt;0)," ",(I$1-A109))," ")</f>
        <v> </v>
      </c>
    </row>
    <row r="110" customFormat="false" ht="12.75" hidden="false" customHeight="false" outlineLevel="0" collapsed="false">
      <c r="A110" s="355"/>
      <c r="H110" s="338" t="str">
        <f aca="false">IF((F110&lt;&gt;0),IF((D110&gt;0)," ",F110)," ")</f>
        <v> </v>
      </c>
      <c r="I110" s="339" t="str">
        <f aca="false">IF((F110&lt;&gt;0),IF((D110&gt;0)," ",(I$1-A110))," ")</f>
        <v> </v>
      </c>
    </row>
    <row r="111" customFormat="false" ht="12.75" hidden="false" customHeight="false" outlineLevel="0" collapsed="false">
      <c r="A111" s="355"/>
      <c r="H111" s="338" t="str">
        <f aca="false">IF((F111&lt;&gt;0),IF((D111&gt;0)," ",F111)," ")</f>
        <v> </v>
      </c>
      <c r="I111" s="339" t="str">
        <f aca="false">IF((F111&lt;&gt;0),IF((D111&gt;0)," ",(I$1-A111))," ")</f>
        <v> </v>
      </c>
    </row>
    <row r="112" customFormat="false" ht="12.75" hidden="false" customHeight="false" outlineLevel="0" collapsed="false">
      <c r="A112" s="355"/>
      <c r="H112" s="338" t="str">
        <f aca="false">IF((F112&lt;&gt;0),IF((D112&gt;0)," ",F112)," ")</f>
        <v> </v>
      </c>
      <c r="I112" s="339" t="str">
        <f aca="false">IF((F112&lt;&gt;0),IF((D112&gt;0)," ",(I$1-A112))," ")</f>
        <v> </v>
      </c>
    </row>
    <row r="113" customFormat="false" ht="12.75" hidden="false" customHeight="false" outlineLevel="0" collapsed="false">
      <c r="A113" s="355"/>
      <c r="H113" s="338" t="str">
        <f aca="false">IF((F113&lt;&gt;0),IF((D113&gt;0)," ",F113)," ")</f>
        <v> </v>
      </c>
      <c r="I113" s="339" t="str">
        <f aca="false">IF((F113&lt;&gt;0),IF((D113&gt;0)," ",(I$1-A113))," ")</f>
        <v> </v>
      </c>
    </row>
    <row r="114" customFormat="false" ht="12.75" hidden="false" customHeight="false" outlineLevel="0" collapsed="false">
      <c r="A114" s="355"/>
      <c r="H114" s="338" t="str">
        <f aca="false">IF((F114&lt;&gt;0),IF((D114&gt;0)," ",F114)," ")</f>
        <v> </v>
      </c>
      <c r="I114" s="339" t="str">
        <f aca="false">IF((F114&lt;&gt;0),IF((D114&gt;0)," ",(I$1-A114))," ")</f>
        <v> </v>
      </c>
    </row>
    <row r="115" customFormat="false" ht="12.75" hidden="false" customHeight="false" outlineLevel="0" collapsed="false">
      <c r="A115" s="355"/>
      <c r="H115" s="338" t="str">
        <f aca="false">IF((F115&lt;&gt;0),IF((D115&gt;0)," ",F115)," ")</f>
        <v> </v>
      </c>
      <c r="I115" s="339" t="str">
        <f aca="false">IF((F115&lt;&gt;0),IF((D115&gt;0)," ",(I$1-A115))," ")</f>
        <v> </v>
      </c>
    </row>
    <row r="116" customFormat="false" ht="12.75" hidden="false" customHeight="false" outlineLevel="0" collapsed="false">
      <c r="A116" s="355"/>
      <c r="H116" s="338" t="str">
        <f aca="false">IF((F116&lt;&gt;0),IF((D116&gt;0)," ",F116)," ")</f>
        <v> </v>
      </c>
      <c r="I116" s="339" t="str">
        <f aca="false">IF((F116&lt;&gt;0),IF((D116&gt;0)," ",(I$1-A116))," ")</f>
        <v> </v>
      </c>
    </row>
    <row r="117" customFormat="false" ht="12.75" hidden="false" customHeight="false" outlineLevel="0" collapsed="false">
      <c r="A117" s="355"/>
      <c r="H117" s="338" t="str">
        <f aca="false">IF((F117&lt;&gt;0),IF((D117&gt;0)," ",F117)," ")</f>
        <v> </v>
      </c>
      <c r="I117" s="339" t="str">
        <f aca="false">IF((F117&lt;&gt;0),IF((D117&gt;0)," ",(I$1-A117))," ")</f>
        <v> </v>
      </c>
    </row>
    <row r="118" customFormat="false" ht="12.75" hidden="false" customHeight="false" outlineLevel="0" collapsed="false">
      <c r="A118" s="355"/>
      <c r="H118" s="338" t="str">
        <f aca="false">IF((F118&lt;&gt;0),IF((D118&gt;0)," ",F118)," ")</f>
        <v> </v>
      </c>
      <c r="I118" s="339" t="str">
        <f aca="false">IF((F118&lt;&gt;0),IF((D118&gt;0)," ",(I$1-A118))," ")</f>
        <v> </v>
      </c>
    </row>
    <row r="119" customFormat="false" ht="12.75" hidden="false" customHeight="false" outlineLevel="0" collapsed="false">
      <c r="A119" s="355"/>
      <c r="H119" s="338" t="str">
        <f aca="false">IF((F119&lt;&gt;0),IF((D119&gt;0)," ",F119)," ")</f>
        <v> </v>
      </c>
      <c r="I119" s="339" t="str">
        <f aca="false">IF((F119&lt;&gt;0),IF((D119&gt;0)," ",(I$1-A119))," ")</f>
        <v> </v>
      </c>
    </row>
    <row r="120" customFormat="false" ht="12.75" hidden="false" customHeight="false" outlineLevel="0" collapsed="false">
      <c r="A120" s="355"/>
      <c r="H120" s="338" t="str">
        <f aca="false">IF((F120&lt;&gt;0),IF((D120&gt;0)," ",F120)," ")</f>
        <v> </v>
      </c>
      <c r="I120" s="339" t="str">
        <f aca="false">IF((F120&lt;&gt;0),IF((D120&gt;0)," ",(I$1-A120))," ")</f>
        <v> </v>
      </c>
    </row>
    <row r="121" customFormat="false" ht="12.75" hidden="false" customHeight="false" outlineLevel="0" collapsed="false">
      <c r="A121" s="355"/>
      <c r="H121" s="338" t="str">
        <f aca="false">IF((F121&lt;&gt;0),IF((D121&gt;0)," ",F121)," ")</f>
        <v> </v>
      </c>
      <c r="I121" s="339" t="str">
        <f aca="false">IF((F121&lt;&gt;0),IF((D121&gt;0)," ",(I$1-A121))," ")</f>
        <v> </v>
      </c>
    </row>
    <row r="122" customFormat="false" ht="12.75" hidden="false" customHeight="false" outlineLevel="0" collapsed="false">
      <c r="A122" s="355"/>
      <c r="H122" s="338" t="str">
        <f aca="false">IF((F122&lt;&gt;0),IF((D122&gt;0)," ",F122)," ")</f>
        <v> </v>
      </c>
      <c r="I122" s="339" t="str">
        <f aca="false">IF((F122&lt;&gt;0),IF((D122&gt;0)," ",(I$1-A122))," ")</f>
        <v> </v>
      </c>
    </row>
    <row r="123" customFormat="false" ht="12.75" hidden="false" customHeight="false" outlineLevel="0" collapsed="false">
      <c r="A123" s="355"/>
      <c r="H123" s="338" t="str">
        <f aca="false">IF((F123&lt;&gt;0),IF((D123&gt;0)," ",F123)," ")</f>
        <v> </v>
      </c>
      <c r="I123" s="339" t="str">
        <f aca="false">IF((F123&lt;&gt;0),IF((D123&gt;0)," ",(I$1-A123))," ")</f>
        <v> </v>
      </c>
    </row>
    <row r="124" customFormat="false" ht="12.75" hidden="false" customHeight="false" outlineLevel="0" collapsed="false">
      <c r="A124" s="355"/>
      <c r="H124" s="338" t="str">
        <f aca="false">IF((F124&lt;&gt;0),IF((D124&gt;0)," ",F124)," ")</f>
        <v> </v>
      </c>
      <c r="I124" s="339" t="str">
        <f aca="false">IF((F124&lt;&gt;0),IF((D124&gt;0)," ",(I$1-A124))," ")</f>
        <v> </v>
      </c>
    </row>
    <row r="125" customFormat="false" ht="12.75" hidden="false" customHeight="false" outlineLevel="0" collapsed="false">
      <c r="A125" s="355"/>
      <c r="H125" s="338" t="str">
        <f aca="false">IF((F125&lt;&gt;0),IF((D125&gt;0)," ",F125)," ")</f>
        <v> </v>
      </c>
      <c r="I125" s="339" t="str">
        <f aca="false">IF((F125&lt;&gt;0),IF((D125&gt;0)," ",(I$1-A125))," ")</f>
        <v> </v>
      </c>
    </row>
    <row r="126" customFormat="false" ht="12.75" hidden="false" customHeight="false" outlineLevel="0" collapsed="false">
      <c r="A126" s="355"/>
      <c r="H126" s="338" t="str">
        <f aca="false">IF((F126&lt;&gt;0),IF((D126&gt;0)," ",F126)," ")</f>
        <v> </v>
      </c>
      <c r="I126" s="339" t="str">
        <f aca="false">IF((F126&lt;&gt;0),IF((D126&gt;0)," ",(I$1-A126))," ")</f>
        <v> </v>
      </c>
    </row>
    <row r="127" customFormat="false" ht="12.75" hidden="false" customHeight="false" outlineLevel="0" collapsed="false">
      <c r="A127" s="355"/>
      <c r="H127" s="338" t="str">
        <f aca="false">IF((F127&lt;&gt;0),IF((D127&gt;0)," ",F127)," ")</f>
        <v> </v>
      </c>
      <c r="I127" s="339" t="str">
        <f aca="false">IF((F127&lt;&gt;0),IF((D127&gt;0)," ",(I$1-A127))," ")</f>
        <v> </v>
      </c>
    </row>
    <row r="128" customFormat="false" ht="12.75" hidden="false" customHeight="false" outlineLevel="0" collapsed="false">
      <c r="A128" s="355"/>
      <c r="H128" s="338" t="str">
        <f aca="false">IF((F128&lt;&gt;0),IF((D128&gt;0)," ",F128)," ")</f>
        <v> </v>
      </c>
      <c r="I128" s="339" t="str">
        <f aca="false">IF((F128&lt;&gt;0),IF((D128&gt;0)," ",(I$1-A128))," ")</f>
        <v> </v>
      </c>
    </row>
    <row r="129" customFormat="false" ht="12.75" hidden="false" customHeight="false" outlineLevel="0" collapsed="false">
      <c r="A129" s="355"/>
      <c r="H129" s="338" t="str">
        <f aca="false">IF((F129&lt;&gt;0),IF((D129&gt;0)," ",F129)," ")</f>
        <v> </v>
      </c>
      <c r="I129" s="339" t="str">
        <f aca="false">IF((F129&lt;&gt;0),IF((D129&gt;0)," ",(I$1-A129))," ")</f>
        <v> </v>
      </c>
    </row>
    <row r="130" customFormat="false" ht="12.75" hidden="false" customHeight="false" outlineLevel="0" collapsed="false">
      <c r="A130" s="355"/>
      <c r="H130" s="338" t="str">
        <f aca="false">IF((F130&lt;&gt;0),IF((D130&gt;0)," ",F130)," ")</f>
        <v> </v>
      </c>
      <c r="I130" s="339" t="str">
        <f aca="false">IF((F130&lt;&gt;0),IF((D130&gt;0)," ",(I$1-A130))," ")</f>
        <v> </v>
      </c>
    </row>
    <row r="131" customFormat="false" ht="12.75" hidden="false" customHeight="false" outlineLevel="0" collapsed="false">
      <c r="A131" s="355"/>
      <c r="H131" s="338" t="str">
        <f aca="false">IF((F131&lt;&gt;0),IF((D131&gt;0)," ",F131)," ")</f>
        <v> </v>
      </c>
      <c r="I131" s="339" t="str">
        <f aca="false">IF((F131&lt;&gt;0),IF((D131&gt;0)," ",(I$1-A131))," ")</f>
        <v> </v>
      </c>
    </row>
    <row r="132" customFormat="false" ht="12.75" hidden="false" customHeight="false" outlineLevel="0" collapsed="false">
      <c r="A132" s="355"/>
      <c r="H132" s="338" t="str">
        <f aca="false">IF((F132&lt;&gt;0),IF((D132&gt;0)," ",F132)," ")</f>
        <v> </v>
      </c>
      <c r="I132" s="339" t="str">
        <f aca="false">IF((F132&lt;&gt;0),IF((D132&gt;0)," ",(I$1-A132))," ")</f>
        <v> </v>
      </c>
    </row>
    <row r="133" customFormat="false" ht="12.75" hidden="false" customHeight="false" outlineLevel="0" collapsed="false">
      <c r="A133" s="355"/>
      <c r="H133" s="338" t="str">
        <f aca="false">IF((F133&lt;&gt;0),IF((D133&gt;0)," ",F133)," ")</f>
        <v> </v>
      </c>
      <c r="I133" s="339" t="str">
        <f aca="false">IF((F133&lt;&gt;0),IF((D133&gt;0)," ",(I$1-A133))," ")</f>
        <v> </v>
      </c>
    </row>
    <row r="134" customFormat="false" ht="12.75" hidden="false" customHeight="false" outlineLevel="0" collapsed="false">
      <c r="A134" s="355"/>
      <c r="H134" s="338" t="str">
        <f aca="false">IF((F134&lt;&gt;0),IF((D134&gt;0)," ",F134)," ")</f>
        <v> </v>
      </c>
      <c r="I134" s="339" t="str">
        <f aca="false">IF((F134&lt;&gt;0),IF((D134&gt;0)," ",(I$1-A134))," ")</f>
        <v> </v>
      </c>
    </row>
    <row r="135" customFormat="false" ht="12.75" hidden="false" customHeight="false" outlineLevel="0" collapsed="false">
      <c r="A135" s="355"/>
      <c r="H135" s="338" t="str">
        <f aca="false">IF((F135&lt;&gt;0),IF((D135&gt;0)," ",F135)," ")</f>
        <v> </v>
      </c>
      <c r="I135" s="339" t="str">
        <f aca="false">IF((F135&lt;&gt;0),IF((D135&gt;0)," ",(I$1-A135))," ")</f>
        <v> </v>
      </c>
    </row>
    <row r="136" customFormat="false" ht="12.75" hidden="false" customHeight="false" outlineLevel="0" collapsed="false">
      <c r="A136" s="355"/>
      <c r="H136" s="338" t="str">
        <f aca="false">IF((F136&lt;&gt;0),IF((D136&gt;0)," ",F136)," ")</f>
        <v> </v>
      </c>
      <c r="I136" s="339" t="str">
        <f aca="false">IF((F136&lt;&gt;0),IF((D136&gt;0)," ",(I$1-A136))," ")</f>
        <v> </v>
      </c>
    </row>
    <row r="137" customFormat="false" ht="12.75" hidden="false" customHeight="false" outlineLevel="0" collapsed="false">
      <c r="A137" s="355"/>
      <c r="H137" s="338" t="str">
        <f aca="false">IF((F137&lt;&gt;0),IF((D137&gt;0)," ",F137)," ")</f>
        <v> </v>
      </c>
      <c r="I137" s="339" t="str">
        <f aca="false">IF((F137&lt;&gt;0),IF((D137&gt;0)," ",(I$1-A137))," ")</f>
        <v> </v>
      </c>
    </row>
    <row r="138" customFormat="false" ht="12.75" hidden="false" customHeight="false" outlineLevel="0" collapsed="false">
      <c r="A138" s="355"/>
      <c r="H138" s="338" t="str">
        <f aca="false">IF((F138&lt;&gt;0),IF((D138&gt;0)," ",F138)," ")</f>
        <v> </v>
      </c>
      <c r="I138" s="339" t="str">
        <f aca="false">IF((F138&lt;&gt;0),IF((D138&gt;0)," ",(I$1-A138))," ")</f>
        <v> </v>
      </c>
    </row>
    <row r="139" customFormat="false" ht="12.75" hidden="false" customHeight="false" outlineLevel="0" collapsed="false">
      <c r="A139" s="355"/>
      <c r="H139" s="338" t="str">
        <f aca="false">IF((F139&lt;&gt;0),IF((D139&gt;0)," ",F139)," ")</f>
        <v> </v>
      </c>
      <c r="I139" s="339" t="str">
        <f aca="false">IF((F139&lt;&gt;0),IF((D139&gt;0)," ",(I$1-A139))," ")</f>
        <v> </v>
      </c>
    </row>
    <row r="140" customFormat="false" ht="12.75" hidden="false" customHeight="false" outlineLevel="0" collapsed="false">
      <c r="A140" s="355"/>
      <c r="H140" s="338" t="str">
        <f aca="false">IF((F140&lt;&gt;0),IF((D140&gt;0)," ",F140)," ")</f>
        <v> </v>
      </c>
      <c r="I140" s="339" t="str">
        <f aca="false">IF((F140&lt;&gt;0),IF((D140&gt;0)," ",(I$1-A140))," ")</f>
        <v> </v>
      </c>
    </row>
    <row r="141" customFormat="false" ht="12.75" hidden="false" customHeight="false" outlineLevel="0" collapsed="false">
      <c r="A141" s="355"/>
      <c r="H141" s="338" t="str">
        <f aca="false">IF((F141&lt;&gt;0),IF((D141&gt;0)," ",F141)," ")</f>
        <v> </v>
      </c>
      <c r="I141" s="339" t="str">
        <f aca="false">IF((F141&lt;&gt;0),IF((D141&gt;0)," ",(I$1-A141))," ")</f>
        <v> </v>
      </c>
    </row>
    <row r="142" customFormat="false" ht="12.75" hidden="false" customHeight="false" outlineLevel="0" collapsed="false">
      <c r="A142" s="355"/>
      <c r="H142" s="338" t="str">
        <f aca="false">IF((F142&lt;&gt;0),IF((D142&gt;0)," ",F142)," ")</f>
        <v> </v>
      </c>
      <c r="I142" s="339" t="str">
        <f aca="false">IF((F142&lt;&gt;0),IF((D142&gt;0)," ",(I$1-A142))," ")</f>
        <v> </v>
      </c>
    </row>
    <row r="143" customFormat="false" ht="12.75" hidden="false" customHeight="false" outlineLevel="0" collapsed="false">
      <c r="A143" s="355"/>
      <c r="H143" s="338" t="str">
        <f aca="false">IF((F143&lt;&gt;0),IF((D143&gt;0)," ",F143)," ")</f>
        <v> </v>
      </c>
      <c r="I143" s="339" t="str">
        <f aca="false">IF((F143&lt;&gt;0),IF((D143&gt;0)," ",(I$1-A143))," ")</f>
        <v> </v>
      </c>
    </row>
    <row r="144" customFormat="false" ht="12.75" hidden="false" customHeight="false" outlineLevel="0" collapsed="false">
      <c r="A144" s="355"/>
      <c r="H144" s="338" t="str">
        <f aca="false">IF((F144&lt;&gt;0),IF((D144&gt;0)," ",F144)," ")</f>
        <v> </v>
      </c>
      <c r="I144" s="339" t="str">
        <f aca="false">IF((F144&lt;&gt;0),IF((D144&gt;0)," ",(I$1-A144))," ")</f>
        <v> </v>
      </c>
    </row>
    <row r="145" customFormat="false" ht="12.75" hidden="false" customHeight="false" outlineLevel="0" collapsed="false">
      <c r="A145" s="355"/>
      <c r="H145" s="338" t="str">
        <f aca="false">IF((F145&lt;&gt;0),IF((D145&gt;0)," ",F145)," ")</f>
        <v> </v>
      </c>
      <c r="I145" s="339" t="str">
        <f aca="false">IF((F145&lt;&gt;0),IF((D145&gt;0)," ",(I$1-A145))," ")</f>
        <v> </v>
      </c>
    </row>
    <row r="146" customFormat="false" ht="12.75" hidden="false" customHeight="false" outlineLevel="0" collapsed="false">
      <c r="A146" s="355"/>
      <c r="H146" s="338" t="str">
        <f aca="false">IF((F146&lt;&gt;0),IF((D146&gt;0)," ",F146)," ")</f>
        <v> </v>
      </c>
      <c r="I146" s="339" t="str">
        <f aca="false">IF((F146&lt;&gt;0),IF((D146&gt;0)," ",(I$1-A146))," ")</f>
        <v> </v>
      </c>
    </row>
    <row r="147" customFormat="false" ht="12.75" hidden="false" customHeight="false" outlineLevel="0" collapsed="false">
      <c r="A147" s="355"/>
      <c r="H147" s="338" t="str">
        <f aca="false">IF((F147&lt;&gt;0),IF((D147&gt;0)," ",F147)," ")</f>
        <v> </v>
      </c>
      <c r="I147" s="339" t="str">
        <f aca="false">IF((F147&lt;&gt;0),IF((D147&gt;0)," ",(I$1-A147))," ")</f>
        <v> </v>
      </c>
    </row>
    <row r="148" customFormat="false" ht="12.75" hidden="false" customHeight="false" outlineLevel="0" collapsed="false">
      <c r="A148" s="355"/>
      <c r="H148" s="338" t="str">
        <f aca="false">IF((F148&lt;&gt;0),IF((D148&gt;0)," ",F148)," ")</f>
        <v> </v>
      </c>
      <c r="I148" s="339" t="str">
        <f aca="false">IF((F148&lt;&gt;0),IF((D148&gt;0)," ",(I$1-A148))," ")</f>
        <v> </v>
      </c>
    </row>
    <row r="149" customFormat="false" ht="12.75" hidden="false" customHeight="false" outlineLevel="0" collapsed="false">
      <c r="A149" s="355"/>
      <c r="H149" s="338" t="str">
        <f aca="false">IF((F149&lt;&gt;0),IF((D149&gt;0)," ",F149)," ")</f>
        <v> </v>
      </c>
      <c r="I149" s="339" t="str">
        <f aca="false">IF((F149&lt;&gt;0),IF((D149&gt;0)," ",(I$1-A149))," ")</f>
        <v> </v>
      </c>
    </row>
    <row r="150" customFormat="false" ht="12.75" hidden="false" customHeight="false" outlineLevel="0" collapsed="false">
      <c r="A150" s="355"/>
      <c r="H150" s="338" t="str">
        <f aca="false">IF((F150&lt;&gt;0),IF((D150&gt;0)," ",F150)," ")</f>
        <v> </v>
      </c>
      <c r="I150" s="339" t="str">
        <f aca="false">IF((F150&lt;&gt;0),IF((D150&gt;0)," ",(I$1-A150))," ")</f>
        <v> </v>
      </c>
    </row>
    <row r="151" customFormat="false" ht="12.75" hidden="false" customHeight="false" outlineLevel="0" collapsed="false">
      <c r="A151" s="355"/>
      <c r="H151" s="338" t="str">
        <f aca="false">IF((F151&lt;&gt;0),IF((D151&gt;0)," ",F151)," ")</f>
        <v> </v>
      </c>
      <c r="I151" s="339" t="str">
        <f aca="false">IF((F151&lt;&gt;0),IF((D151&gt;0)," ",(I$1-A151))," ")</f>
        <v> </v>
      </c>
    </row>
    <row r="152" customFormat="false" ht="12.75" hidden="false" customHeight="false" outlineLevel="0" collapsed="false">
      <c r="A152" s="355"/>
      <c r="H152" s="338" t="str">
        <f aca="false">IF((F152&lt;&gt;0),IF((D152&gt;0)," ",F152)," ")</f>
        <v> </v>
      </c>
      <c r="I152" s="339" t="str">
        <f aca="false">IF((F152&lt;&gt;0),IF((D152&gt;0)," ",(I$1-A152))," ")</f>
        <v> </v>
      </c>
    </row>
    <row r="153" customFormat="false" ht="12.75" hidden="false" customHeight="false" outlineLevel="0" collapsed="false">
      <c r="A153" s="355"/>
      <c r="H153" s="338" t="str">
        <f aca="false">IF((F153&lt;&gt;0),IF((D153&gt;0)," ",F153)," ")</f>
        <v> </v>
      </c>
      <c r="I153" s="339" t="str">
        <f aca="false">IF((F153&lt;&gt;0),IF((D153&gt;0)," ",(I$1-A153))," ")</f>
        <v> </v>
      </c>
    </row>
    <row r="154" customFormat="false" ht="12.75" hidden="false" customHeight="false" outlineLevel="0" collapsed="false">
      <c r="A154" s="355"/>
      <c r="H154" s="338" t="str">
        <f aca="false">IF((F154&lt;&gt;0),IF((D154&gt;0)," ",F154)," ")</f>
        <v> </v>
      </c>
      <c r="I154" s="339" t="str">
        <f aca="false">IF((F154&lt;&gt;0),IF((D154&gt;0)," ",(I$1-A154))," ")</f>
        <v> </v>
      </c>
    </row>
    <row r="155" customFormat="false" ht="12.75" hidden="false" customHeight="false" outlineLevel="0" collapsed="false">
      <c r="A155" s="355"/>
      <c r="H155" s="338" t="str">
        <f aca="false">IF((F155&lt;&gt;0),IF((D155&gt;0)," ",F155)," ")</f>
        <v> </v>
      </c>
      <c r="I155" s="339" t="str">
        <f aca="false">IF((F155&lt;&gt;0),IF((D155&gt;0)," ",(I$1-A155))," ")</f>
        <v> </v>
      </c>
    </row>
    <row r="156" customFormat="false" ht="12.75" hidden="false" customHeight="false" outlineLevel="0" collapsed="false">
      <c r="A156" s="355"/>
      <c r="H156" s="338" t="str">
        <f aca="false">IF((F156&lt;&gt;0),IF((D156&gt;0)," ",F156)," ")</f>
        <v> </v>
      </c>
      <c r="I156" s="339" t="str">
        <f aca="false">IF((F156&lt;&gt;0),IF((D156&gt;0)," ",(I$1-A156))," ")</f>
        <v> </v>
      </c>
    </row>
    <row r="157" customFormat="false" ht="12.75" hidden="false" customHeight="false" outlineLevel="0" collapsed="false">
      <c r="A157" s="355"/>
      <c r="H157" s="338" t="str">
        <f aca="false">IF((F157&lt;&gt;0),IF((D157&gt;0)," ",F157)," ")</f>
        <v> </v>
      </c>
      <c r="I157" s="339" t="str">
        <f aca="false">IF((F157&lt;&gt;0),IF((D157&gt;0)," ",(I$1-A157))," ")</f>
        <v> </v>
      </c>
    </row>
    <row r="158" customFormat="false" ht="12.75" hidden="false" customHeight="false" outlineLevel="0" collapsed="false">
      <c r="A158" s="355"/>
      <c r="H158" s="338" t="str">
        <f aca="false">IF((F158&lt;&gt;0),IF((D158&gt;0)," ",F158)," ")</f>
        <v> </v>
      </c>
      <c r="I158" s="339" t="str">
        <f aca="false">IF((F158&lt;&gt;0),IF((D158&gt;0)," ",(I$1-A158))," ")</f>
        <v> </v>
      </c>
    </row>
    <row r="159" customFormat="false" ht="12.75" hidden="false" customHeight="false" outlineLevel="0" collapsed="false">
      <c r="A159" s="355"/>
      <c r="H159" s="338" t="str">
        <f aca="false">IF((F159&lt;&gt;0),IF((D159&gt;0)," ",F159)," ")</f>
        <v> </v>
      </c>
      <c r="I159" s="339" t="str">
        <f aca="false">IF((F159&lt;&gt;0),IF((D159&gt;0)," ",(I$1-A159))," ")</f>
        <v> </v>
      </c>
    </row>
    <row r="160" customFormat="false" ht="12.75" hidden="false" customHeight="false" outlineLevel="0" collapsed="false">
      <c r="A160" s="355"/>
      <c r="H160" s="338" t="str">
        <f aca="false">IF((F160&lt;&gt;0),IF((D160&gt;0)," ",F160)," ")</f>
        <v> </v>
      </c>
      <c r="I160" s="339" t="str">
        <f aca="false">IF((F160&lt;&gt;0),IF((D160&gt;0)," ",(I$1-A160))," ")</f>
        <v> </v>
      </c>
    </row>
    <row r="161" customFormat="false" ht="12.75" hidden="false" customHeight="false" outlineLevel="0" collapsed="false">
      <c r="A161" s="355"/>
      <c r="H161" s="338" t="str">
        <f aca="false">IF((F161&lt;&gt;0),IF((D161&gt;0)," ",F161)," ")</f>
        <v> </v>
      </c>
      <c r="I161" s="339" t="str">
        <f aca="false">IF((F161&lt;&gt;0),IF((D161&gt;0)," ",(I$1-A161))," ")</f>
        <v> </v>
      </c>
    </row>
    <row r="162" customFormat="false" ht="12.75" hidden="false" customHeight="false" outlineLevel="0" collapsed="false">
      <c r="A162" s="355"/>
      <c r="H162" s="338" t="str">
        <f aca="false">IF((F162&lt;&gt;0),IF((D162&gt;0)," ",F162)," ")</f>
        <v> </v>
      </c>
      <c r="I162" s="339" t="str">
        <f aca="false">IF((F162&lt;&gt;0),IF((D162&gt;0)," ",(I$1-A162))," ")</f>
        <v> </v>
      </c>
    </row>
    <row r="163" customFormat="false" ht="12.75" hidden="false" customHeight="false" outlineLevel="0" collapsed="false">
      <c r="A163" s="355"/>
      <c r="H163" s="338" t="str">
        <f aca="false">IF((F163&lt;&gt;0),IF((D163&gt;0)," ",F163)," ")</f>
        <v> </v>
      </c>
      <c r="I163" s="339" t="str">
        <f aca="false">IF((F163&lt;&gt;0),IF((D163&gt;0)," ",(I$1-A163))," ")</f>
        <v> </v>
      </c>
    </row>
    <row r="164" customFormat="false" ht="12.75" hidden="false" customHeight="false" outlineLevel="0" collapsed="false">
      <c r="A164" s="355"/>
      <c r="H164" s="338" t="str">
        <f aca="false">IF((F164&lt;&gt;0),IF((D164&gt;0)," ",F164)," ")</f>
        <v> </v>
      </c>
      <c r="I164" s="339" t="str">
        <f aca="false">IF((F164&lt;&gt;0),IF((D164&gt;0)," ",(I$1-A164))," ")</f>
        <v> </v>
      </c>
    </row>
    <row r="165" customFormat="false" ht="12.75" hidden="false" customHeight="false" outlineLevel="0" collapsed="false">
      <c r="A165" s="355"/>
      <c r="H165" s="338" t="str">
        <f aca="false">IF((F165&lt;&gt;0),IF((D165&gt;0)," ",F165)," ")</f>
        <v> </v>
      </c>
      <c r="I165" s="339" t="str">
        <f aca="false">IF((F165&lt;&gt;0),IF((D165&gt;0)," ",(I$1-A165))," ")</f>
        <v> </v>
      </c>
    </row>
    <row r="166" customFormat="false" ht="12.75" hidden="false" customHeight="false" outlineLevel="0" collapsed="false">
      <c r="A166" s="355"/>
      <c r="H166" s="338" t="str">
        <f aca="false">IF((F166&lt;&gt;0),IF((D166&gt;0)," ",F166)," ")</f>
        <v> </v>
      </c>
      <c r="I166" s="339" t="str">
        <f aca="false">IF((F166&lt;&gt;0),IF((D166&gt;0)," ",(I$1-A166))," ")</f>
        <v> </v>
      </c>
    </row>
    <row r="167" customFormat="false" ht="12.75" hidden="false" customHeight="false" outlineLevel="0" collapsed="false">
      <c r="A167" s="355"/>
      <c r="H167" s="338" t="str">
        <f aca="false">IF((F167&lt;&gt;0),IF((D167&gt;0)," ",F167)," ")</f>
        <v> </v>
      </c>
      <c r="I167" s="339" t="str">
        <f aca="false">IF((F167&lt;&gt;0),IF((D167&gt;0)," ",(I$1-A167))," ")</f>
        <v> </v>
      </c>
    </row>
    <row r="168" customFormat="false" ht="12.75" hidden="false" customHeight="false" outlineLevel="0" collapsed="false">
      <c r="A168" s="355"/>
      <c r="H168" s="338" t="str">
        <f aca="false">IF((F168&lt;&gt;0),IF((D168&gt;0)," ",F168)," ")</f>
        <v> </v>
      </c>
      <c r="I168" s="339" t="str">
        <f aca="false">IF((F168&lt;&gt;0),IF((D168&gt;0)," ",(I$1-A168))," ")</f>
        <v> </v>
      </c>
    </row>
    <row r="169" customFormat="false" ht="12.75" hidden="false" customHeight="false" outlineLevel="0" collapsed="false">
      <c r="A169" s="355"/>
      <c r="H169" s="338" t="str">
        <f aca="false">IF((F169&lt;&gt;0),IF((D169&gt;0)," ",F169)," ")</f>
        <v> </v>
      </c>
      <c r="I169" s="339" t="str">
        <f aca="false">IF((F169&lt;&gt;0),IF((D169&gt;0)," ",(I$1-A169))," ")</f>
        <v> </v>
      </c>
    </row>
    <row r="170" customFormat="false" ht="12.75" hidden="false" customHeight="false" outlineLevel="0" collapsed="false">
      <c r="A170" s="355"/>
      <c r="H170" s="338" t="str">
        <f aca="false">IF((F170&lt;&gt;0),IF((D170&gt;0)," ",F170)," ")</f>
        <v> </v>
      </c>
      <c r="I170" s="339" t="str">
        <f aca="false">IF((F170&lt;&gt;0),IF((D170&gt;0)," ",(I$1-A170))," ")</f>
        <v> </v>
      </c>
    </row>
    <row r="171" customFormat="false" ht="12.75" hidden="false" customHeight="false" outlineLevel="0" collapsed="false">
      <c r="A171" s="355"/>
      <c r="H171" s="338" t="str">
        <f aca="false">IF((F171&lt;&gt;0),IF((D171&gt;0)," ",F171)," ")</f>
        <v> </v>
      </c>
      <c r="I171" s="339" t="str">
        <f aca="false">IF((F171&lt;&gt;0),IF((D171&gt;0)," ",(I$1-A171))," ")</f>
        <v> </v>
      </c>
    </row>
    <row r="172" customFormat="false" ht="12.75" hidden="false" customHeight="false" outlineLevel="0" collapsed="false">
      <c r="A172" s="355"/>
      <c r="H172" s="338" t="str">
        <f aca="false">IF((F172&lt;&gt;0),IF((D172&gt;0)," ",F172)," ")</f>
        <v> </v>
      </c>
      <c r="I172" s="339" t="str">
        <f aca="false">IF((F172&lt;&gt;0),IF((D172&gt;0)," ",(I$1-A172))," ")</f>
        <v> </v>
      </c>
    </row>
    <row r="173" customFormat="false" ht="12.75" hidden="false" customHeight="false" outlineLevel="0" collapsed="false">
      <c r="A173" s="355"/>
      <c r="H173" s="338" t="str">
        <f aca="false">IF((F173&lt;&gt;0),IF((D173&gt;0)," ",F173)," ")</f>
        <v> </v>
      </c>
      <c r="I173" s="339" t="str">
        <f aca="false">IF((F173&lt;&gt;0),IF((D173&gt;0)," ",(I$1-A173))," ")</f>
        <v> </v>
      </c>
    </row>
    <row r="174" customFormat="false" ht="12.75" hidden="false" customHeight="false" outlineLevel="0" collapsed="false">
      <c r="A174" s="355"/>
      <c r="H174" s="338" t="str">
        <f aca="false">IF((F174&lt;&gt;0),IF((D174&gt;0)," ",F174)," ")</f>
        <v> </v>
      </c>
      <c r="I174" s="339" t="str">
        <f aca="false">IF((F174&lt;&gt;0),IF((D174&gt;0)," ",(I$1-A174))," ")</f>
        <v> </v>
      </c>
    </row>
    <row r="175" customFormat="false" ht="12.75" hidden="false" customHeight="false" outlineLevel="0" collapsed="false">
      <c r="A175" s="355"/>
      <c r="H175" s="338" t="str">
        <f aca="false">IF((F175&lt;&gt;0),IF((D175&gt;0)," ",F175)," ")</f>
        <v> </v>
      </c>
      <c r="I175" s="339" t="str">
        <f aca="false">IF((F175&lt;&gt;0),IF((D175&gt;0)," ",(I$1-A175))," ")</f>
        <v> </v>
      </c>
    </row>
    <row r="176" customFormat="false" ht="12.75" hidden="false" customHeight="false" outlineLevel="0" collapsed="false">
      <c r="A176" s="355"/>
      <c r="H176" s="338" t="str">
        <f aca="false">IF((F176&lt;&gt;0),IF((D176&gt;0)," ",F176)," ")</f>
        <v> </v>
      </c>
      <c r="I176" s="339" t="str">
        <f aca="false">IF((F176&lt;&gt;0),IF((D176&gt;0)," ",(I$1-A176))," ")</f>
        <v> </v>
      </c>
    </row>
    <row r="177" customFormat="false" ht="12.75" hidden="false" customHeight="false" outlineLevel="0" collapsed="false">
      <c r="A177" s="355"/>
      <c r="H177" s="338" t="str">
        <f aca="false">IF((F177&lt;&gt;0),IF((D177&gt;0)," ",F177)," ")</f>
        <v> </v>
      </c>
      <c r="I177" s="339" t="str">
        <f aca="false">IF((F177&lt;&gt;0),IF((D177&gt;0)," ",(I$1-A177))," ")</f>
        <v> </v>
      </c>
    </row>
    <row r="178" customFormat="false" ht="12.75" hidden="false" customHeight="false" outlineLevel="0" collapsed="false">
      <c r="A178" s="355"/>
      <c r="H178" s="338" t="str">
        <f aca="false">IF((F178&lt;&gt;0),IF((D178&gt;0)," ",F178)," ")</f>
        <v> </v>
      </c>
      <c r="I178" s="339" t="str">
        <f aca="false">IF((F178&lt;&gt;0),IF((D178&gt;0)," ",(I$1-A178))," ")</f>
        <v> </v>
      </c>
    </row>
    <row r="179" customFormat="false" ht="12.75" hidden="false" customHeight="false" outlineLevel="0" collapsed="false">
      <c r="A179" s="355"/>
      <c r="H179" s="338" t="str">
        <f aca="false">IF((F179&lt;&gt;0),IF((D179&gt;0)," ",F179)," ")</f>
        <v> </v>
      </c>
      <c r="I179" s="339" t="str">
        <f aca="false">IF((F179&lt;&gt;0),IF((D179&gt;0)," ",(I$1-A179))," ")</f>
        <v> </v>
      </c>
    </row>
    <row r="180" customFormat="false" ht="12.75" hidden="false" customHeight="false" outlineLevel="0" collapsed="false">
      <c r="A180" s="355"/>
      <c r="H180" s="338" t="str">
        <f aca="false">IF((F180&lt;&gt;0),IF((D180&gt;0)," ",F180)," ")</f>
        <v> </v>
      </c>
      <c r="I180" s="339" t="str">
        <f aca="false">IF((F180&lt;&gt;0),IF((D180&gt;0)," ",(I$1-A180))," ")</f>
        <v> </v>
      </c>
    </row>
    <row r="181" customFormat="false" ht="12.75" hidden="false" customHeight="false" outlineLevel="0" collapsed="false">
      <c r="A181" s="355"/>
      <c r="H181" s="338" t="str">
        <f aca="false">IF((F181&lt;&gt;0),IF((D181&gt;0)," ",F181)," ")</f>
        <v> </v>
      </c>
      <c r="I181" s="339" t="str">
        <f aca="false">IF((F181&lt;&gt;0),IF((D181&gt;0)," ",(I$1-A181))," ")</f>
        <v> </v>
      </c>
    </row>
    <row r="182" customFormat="false" ht="12.75" hidden="false" customHeight="false" outlineLevel="0" collapsed="false">
      <c r="A182" s="355"/>
      <c r="H182" s="338" t="str">
        <f aca="false">IF((F182&lt;&gt;0),IF((D182&gt;0)," ",F182)," ")</f>
        <v> </v>
      </c>
      <c r="I182" s="339" t="str">
        <f aca="false">IF((F182&lt;&gt;0),IF((D182&gt;0)," ",(I$1-A182))," ")</f>
        <v> </v>
      </c>
    </row>
    <row r="183" customFormat="false" ht="12.75" hidden="false" customHeight="false" outlineLevel="0" collapsed="false">
      <c r="A183" s="355"/>
      <c r="H183" s="338" t="str">
        <f aca="false">IF((F183&lt;&gt;0),IF((D183&gt;0)," ",F183)," ")</f>
        <v> </v>
      </c>
      <c r="I183" s="339" t="str">
        <f aca="false">IF((F183&lt;&gt;0),IF((D183&gt;0)," ",(I$1-A183))," ")</f>
        <v> </v>
      </c>
    </row>
    <row r="184" customFormat="false" ht="12.75" hidden="false" customHeight="false" outlineLevel="0" collapsed="false">
      <c r="A184" s="355"/>
      <c r="H184" s="338" t="str">
        <f aca="false">IF((F184&lt;&gt;0),IF((D184&gt;0)," ",F184)," ")</f>
        <v> </v>
      </c>
      <c r="I184" s="339" t="str">
        <f aca="false">IF((F184&lt;&gt;0),IF((D184&gt;0)," ",(I$1-A184))," ")</f>
        <v> </v>
      </c>
    </row>
    <row r="185" customFormat="false" ht="12.75" hidden="false" customHeight="false" outlineLevel="0" collapsed="false">
      <c r="A185" s="355"/>
      <c r="H185" s="338" t="str">
        <f aca="false">IF((F185&lt;&gt;0),IF((D185&gt;0)," ",F185)," ")</f>
        <v> </v>
      </c>
      <c r="I185" s="339" t="str">
        <f aca="false">IF((F185&lt;&gt;0),IF((D185&gt;0)," ",(I$1-A185))," ")</f>
        <v> </v>
      </c>
    </row>
    <row r="186" customFormat="false" ht="12.75" hidden="false" customHeight="false" outlineLevel="0" collapsed="false">
      <c r="A186" s="355"/>
      <c r="H186" s="338" t="str">
        <f aca="false">IF((F186&lt;&gt;0),IF((D186&gt;0)," ",F186)," ")</f>
        <v> </v>
      </c>
      <c r="I186" s="339" t="str">
        <f aca="false">IF((F186&lt;&gt;0),IF((D186&gt;0)," ",(I$1-A186))," ")</f>
        <v> </v>
      </c>
    </row>
    <row r="187" customFormat="false" ht="12.75" hidden="false" customHeight="false" outlineLevel="0" collapsed="false">
      <c r="A187" s="355"/>
      <c r="H187" s="338" t="str">
        <f aca="false">IF((F187&lt;&gt;0),IF((D187&gt;0)," ",F187)," ")</f>
        <v> </v>
      </c>
      <c r="I187" s="339" t="str">
        <f aca="false">IF((F187&lt;&gt;0),IF((D187&gt;0)," ",(I$1-A187))," ")</f>
        <v> </v>
      </c>
    </row>
    <row r="188" customFormat="false" ht="12.75" hidden="false" customHeight="false" outlineLevel="0" collapsed="false">
      <c r="A188" s="355"/>
      <c r="H188" s="338" t="str">
        <f aca="false">IF((F188&lt;&gt;0),IF((D188&gt;0)," ",F188)," ")</f>
        <v> </v>
      </c>
      <c r="I188" s="339" t="str">
        <f aca="false">IF((F188&lt;&gt;0),IF((D188&gt;0)," ",(I$1-A188))," ")</f>
        <v> </v>
      </c>
    </row>
    <row r="189" customFormat="false" ht="12.75" hidden="false" customHeight="false" outlineLevel="0" collapsed="false">
      <c r="A189" s="355"/>
      <c r="H189" s="338" t="str">
        <f aca="false">IF((F189&lt;&gt;0),IF((D189&gt;0)," ",F189)," ")</f>
        <v> </v>
      </c>
      <c r="I189" s="339" t="str">
        <f aca="false">IF((F189&lt;&gt;0),IF((D189&gt;0)," ",(I$1-A189))," ")</f>
        <v> </v>
      </c>
    </row>
    <row r="190" customFormat="false" ht="12.75" hidden="false" customHeight="false" outlineLevel="0" collapsed="false">
      <c r="A190" s="355"/>
      <c r="H190" s="338" t="str">
        <f aca="false">IF((F190&lt;&gt;0),IF((D190&gt;0)," ",F190)," ")</f>
        <v> </v>
      </c>
      <c r="I190" s="339" t="str">
        <f aca="false">IF((F190&lt;&gt;0),IF((D190&gt;0)," ",(I$1-A190))," ")</f>
        <v> </v>
      </c>
    </row>
    <row r="191" customFormat="false" ht="12.75" hidden="false" customHeight="false" outlineLevel="0" collapsed="false">
      <c r="A191" s="355"/>
      <c r="H191" s="338" t="str">
        <f aca="false">IF((F191&lt;&gt;0),IF((D191&gt;0)," ",F191)," ")</f>
        <v> </v>
      </c>
      <c r="I191" s="339" t="str">
        <f aca="false">IF((F191&lt;&gt;0),IF((D191&gt;0)," ",(I$1-A191))," ")</f>
        <v> </v>
      </c>
    </row>
    <row r="192" customFormat="false" ht="12.75" hidden="false" customHeight="false" outlineLevel="0" collapsed="false">
      <c r="A192" s="355"/>
      <c r="H192" s="338" t="str">
        <f aca="false">IF((F192&lt;&gt;0),IF((D192&gt;0)," ",F192)," ")</f>
        <v> </v>
      </c>
      <c r="I192" s="339" t="str">
        <f aca="false">IF((F192&lt;&gt;0),IF((D192&gt;0)," ",(I$1-A192))," ")</f>
        <v> </v>
      </c>
    </row>
    <row r="193" customFormat="false" ht="12.75" hidden="false" customHeight="false" outlineLevel="0" collapsed="false">
      <c r="A193" s="355"/>
      <c r="H193" s="338" t="str">
        <f aca="false">IF((F193&lt;&gt;0),IF((D193&gt;0)," ",F193)," ")</f>
        <v> </v>
      </c>
      <c r="I193" s="339" t="str">
        <f aca="false">IF((F193&lt;&gt;0),IF((D193&gt;0)," ",(I$1-A193))," ")</f>
        <v> </v>
      </c>
    </row>
    <row r="194" customFormat="false" ht="12.75" hidden="false" customHeight="false" outlineLevel="0" collapsed="false">
      <c r="A194" s="355"/>
      <c r="H194" s="338" t="str">
        <f aca="false">IF((F194&lt;&gt;0),IF((D194&gt;0)," ",F194)," ")</f>
        <v> </v>
      </c>
      <c r="I194" s="339" t="str">
        <f aca="false">IF((F194&lt;&gt;0),IF((D194&gt;0)," ",(I$1-A194))," ")</f>
        <v> </v>
      </c>
    </row>
    <row r="195" customFormat="false" ht="12.75" hidden="false" customHeight="false" outlineLevel="0" collapsed="false">
      <c r="A195" s="355"/>
      <c r="H195" s="338" t="str">
        <f aca="false">IF((F195&lt;&gt;0),IF((D195&gt;0)," ",F195)," ")</f>
        <v> </v>
      </c>
      <c r="I195" s="339" t="str">
        <f aca="false">IF((F195&lt;&gt;0),IF((D195&gt;0)," ",(I$1-A195))," ")</f>
        <v> </v>
      </c>
    </row>
    <row r="196" customFormat="false" ht="12.75" hidden="false" customHeight="false" outlineLevel="0" collapsed="false">
      <c r="A196" s="355"/>
      <c r="H196" s="338" t="str">
        <f aca="false">IF((F196&lt;&gt;0),IF((D196&gt;0)," ",F196)," ")</f>
        <v> </v>
      </c>
      <c r="I196" s="339" t="str">
        <f aca="false">IF((F196&lt;&gt;0),IF((D196&gt;0)," ",(I$1-A196))," ")</f>
        <v> </v>
      </c>
    </row>
    <row r="197" customFormat="false" ht="12.75" hidden="false" customHeight="false" outlineLevel="0" collapsed="false">
      <c r="A197" s="355"/>
      <c r="H197" s="338" t="str">
        <f aca="false">IF((F197&lt;&gt;0),IF((D197&gt;0)," ",F197)," ")</f>
        <v> </v>
      </c>
      <c r="I197" s="339" t="str">
        <f aca="false">IF((F197&lt;&gt;0),IF((D197&gt;0)," ",(I$1-A197))," ")</f>
        <v> </v>
      </c>
    </row>
    <row r="198" customFormat="false" ht="12.75" hidden="false" customHeight="false" outlineLevel="0" collapsed="false">
      <c r="A198" s="355"/>
      <c r="H198" s="338" t="str">
        <f aca="false">IF((F198&lt;&gt;0),IF((D198&gt;0)," ",F198)," ")</f>
        <v> </v>
      </c>
      <c r="I198" s="339" t="str">
        <f aca="false">IF((F198&lt;&gt;0),IF((D198&gt;0)," ",(I$1-A198))," ")</f>
        <v> </v>
      </c>
    </row>
    <row r="199" customFormat="false" ht="12.75" hidden="false" customHeight="false" outlineLevel="0" collapsed="false">
      <c r="A199" s="355"/>
      <c r="H199" s="338" t="str">
        <f aca="false">IF((F199&lt;&gt;0),IF((D199&gt;0)," ",F199)," ")</f>
        <v> </v>
      </c>
      <c r="I199" s="339" t="str">
        <f aca="false">IF((F199&lt;&gt;0),IF((D199&gt;0)," ",(I$1-A199))," ")</f>
        <v> </v>
      </c>
    </row>
    <row r="200" customFormat="false" ht="12.75" hidden="false" customHeight="false" outlineLevel="0" collapsed="false">
      <c r="A200" s="355"/>
      <c r="H200" s="338" t="str">
        <f aca="false">IF((F200&lt;&gt;0),IF((D200&gt;0)," ",F200)," ")</f>
        <v> </v>
      </c>
      <c r="I200" s="339" t="str">
        <f aca="false">IF((F200&lt;&gt;0),IF((D200&gt;0)," ",(I$1-A200))," ")</f>
        <v> </v>
      </c>
    </row>
    <row r="201" customFormat="false" ht="12.75" hidden="false" customHeight="false" outlineLevel="0" collapsed="false">
      <c r="A201" s="355"/>
      <c r="H201" s="338" t="str">
        <f aca="false">IF((F201&lt;&gt;0),IF((D201&gt;0)," ",F201)," ")</f>
        <v> </v>
      </c>
      <c r="I201" s="339" t="str">
        <f aca="false">IF((F201&lt;&gt;0),IF((D201&gt;0)," ",(I$1-A201))," ")</f>
        <v> </v>
      </c>
    </row>
    <row r="202" customFormat="false" ht="12.75" hidden="false" customHeight="false" outlineLevel="0" collapsed="false">
      <c r="A202" s="355"/>
      <c r="H202" s="338" t="str">
        <f aca="false">IF((F202&lt;&gt;0),IF((D202&gt;0)," ",F202)," ")</f>
        <v> </v>
      </c>
      <c r="I202" s="339" t="str">
        <f aca="false">IF((F202&lt;&gt;0),IF((D202&gt;0)," ",(I$1-A202))," ")</f>
        <v> </v>
      </c>
    </row>
    <row r="203" customFormat="false" ht="12.75" hidden="false" customHeight="false" outlineLevel="0" collapsed="false">
      <c r="A203" s="355"/>
      <c r="H203" s="338" t="str">
        <f aca="false">IF((F203&lt;&gt;0),IF((D203&gt;0)," ",F203)," ")</f>
        <v> </v>
      </c>
      <c r="I203" s="339" t="str">
        <f aca="false">IF((F203&lt;&gt;0),IF((D203&gt;0)," ",(I$1-A203))," ")</f>
        <v> </v>
      </c>
    </row>
    <row r="204" customFormat="false" ht="12.75" hidden="false" customHeight="false" outlineLevel="0" collapsed="false">
      <c r="A204" s="355"/>
      <c r="H204" s="338" t="str">
        <f aca="false">IF((F204&lt;&gt;0),IF((D204&gt;0)," ",F204)," ")</f>
        <v> </v>
      </c>
      <c r="I204" s="339" t="str">
        <f aca="false">IF((F204&lt;&gt;0),IF((D204&gt;0)," ",(I$1-A204))," ")</f>
        <v> </v>
      </c>
    </row>
    <row r="205" customFormat="false" ht="12.75" hidden="false" customHeight="false" outlineLevel="0" collapsed="false">
      <c r="A205" s="355"/>
    </row>
    <row r="206" customFormat="false" ht="12.75" hidden="false" customHeight="false" outlineLevel="0" collapsed="false">
      <c r="A206" s="355"/>
    </row>
    <row r="207" customFormat="false" ht="12.75" hidden="false" customHeight="false" outlineLevel="0" collapsed="false">
      <c r="A207" s="355"/>
    </row>
    <row r="208" customFormat="false" ht="12.75" hidden="false" customHeight="false" outlineLevel="0" collapsed="false">
      <c r="A208" s="355"/>
    </row>
    <row r="209" customFormat="false" ht="12.75" hidden="false" customHeight="false" outlineLevel="0" collapsed="false">
      <c r="A209" s="355"/>
    </row>
    <row r="210" customFormat="false" ht="12.75" hidden="false" customHeight="false" outlineLevel="0" collapsed="false">
      <c r="A210" s="355"/>
    </row>
    <row r="211" customFormat="false" ht="12.75" hidden="false" customHeight="false" outlineLevel="0" collapsed="false">
      <c r="A211" s="355"/>
    </row>
    <row r="212" customFormat="false" ht="12.75" hidden="false" customHeight="false" outlineLevel="0" collapsed="false">
      <c r="A212" s="355"/>
    </row>
    <row r="213" customFormat="false" ht="12.75" hidden="false" customHeight="false" outlineLevel="0" collapsed="false">
      <c r="A213" s="355"/>
    </row>
    <row r="214" customFormat="false" ht="12.75" hidden="false" customHeight="false" outlineLevel="0" collapsed="false">
      <c r="A214" s="355"/>
    </row>
    <row r="215" customFormat="false" ht="12.75" hidden="false" customHeight="false" outlineLevel="0" collapsed="false">
      <c r="A215" s="355"/>
    </row>
    <row r="216" customFormat="false" ht="12.75" hidden="false" customHeight="false" outlineLevel="0" collapsed="false">
      <c r="A216" s="355"/>
    </row>
    <row r="217" customFormat="false" ht="12.75" hidden="false" customHeight="false" outlineLevel="0" collapsed="false">
      <c r="A217" s="355"/>
    </row>
    <row r="218" customFormat="false" ht="12.75" hidden="false" customHeight="false" outlineLevel="0" collapsed="false">
      <c r="A218" s="355"/>
    </row>
    <row r="219" customFormat="false" ht="12.75" hidden="false" customHeight="false" outlineLevel="0" collapsed="false">
      <c r="A219" s="355"/>
    </row>
    <row r="220" customFormat="false" ht="12.75" hidden="false" customHeight="false" outlineLevel="0" collapsed="false">
      <c r="A220" s="355"/>
    </row>
    <row r="221" customFormat="false" ht="12.75" hidden="false" customHeight="false" outlineLevel="0" collapsed="false">
      <c r="A221" s="355"/>
    </row>
    <row r="222" customFormat="false" ht="12.75" hidden="false" customHeight="false" outlineLevel="0" collapsed="false">
      <c r="A222" s="355"/>
    </row>
    <row r="223" customFormat="false" ht="12.75" hidden="false" customHeight="false" outlineLevel="0" collapsed="false">
      <c r="A223" s="355"/>
    </row>
    <row r="224" customFormat="false" ht="12.75" hidden="false" customHeight="false" outlineLevel="0" collapsed="false">
      <c r="A224" s="355"/>
    </row>
    <row r="225" customFormat="false" ht="12.75" hidden="false" customHeight="false" outlineLevel="0" collapsed="false">
      <c r="A225" s="355"/>
    </row>
    <row r="226" customFormat="false" ht="12.75" hidden="false" customHeight="false" outlineLevel="0" collapsed="false">
      <c r="A226" s="355"/>
    </row>
    <row r="227" customFormat="false" ht="12.75" hidden="false" customHeight="false" outlineLevel="0" collapsed="false">
      <c r="A227" s="355"/>
    </row>
    <row r="228" customFormat="false" ht="12.75" hidden="false" customHeight="false" outlineLevel="0" collapsed="false">
      <c r="A228" s="355"/>
    </row>
    <row r="229" customFormat="false" ht="12.75" hidden="false" customHeight="false" outlineLevel="0" collapsed="false">
      <c r="A229" s="355"/>
    </row>
    <row r="230" customFormat="false" ht="12.75" hidden="false" customHeight="false" outlineLevel="0" collapsed="false">
      <c r="A230" s="355"/>
    </row>
    <row r="231" customFormat="false" ht="12.75" hidden="false" customHeight="false" outlineLevel="0" collapsed="false">
      <c r="A231" s="355"/>
    </row>
    <row r="232" customFormat="false" ht="12.75" hidden="false" customHeight="false" outlineLevel="0" collapsed="false">
      <c r="A232" s="355"/>
    </row>
    <row r="233" customFormat="false" ht="12.75" hidden="false" customHeight="false" outlineLevel="0" collapsed="false">
      <c r="A233" s="355"/>
    </row>
    <row r="234" customFormat="false" ht="12.75" hidden="false" customHeight="false" outlineLevel="0" collapsed="false">
      <c r="A234" s="355"/>
    </row>
    <row r="235" customFormat="false" ht="12.75" hidden="false" customHeight="false" outlineLevel="0" collapsed="false">
      <c r="A235" s="355"/>
    </row>
    <row r="236" customFormat="false" ht="12.75" hidden="false" customHeight="false" outlineLevel="0" collapsed="false">
      <c r="A236" s="355"/>
    </row>
    <row r="237" customFormat="false" ht="12.75" hidden="false" customHeight="false" outlineLevel="0" collapsed="false">
      <c r="A237" s="355"/>
    </row>
    <row r="238" customFormat="false" ht="12.75" hidden="false" customHeight="false" outlineLevel="0" collapsed="false">
      <c r="A238" s="355"/>
    </row>
    <row r="239" customFormat="false" ht="12.75" hidden="false" customHeight="false" outlineLevel="0" collapsed="false">
      <c r="A239" s="355"/>
    </row>
    <row r="240" customFormat="false" ht="12.75" hidden="false" customHeight="false" outlineLevel="0" collapsed="false">
      <c r="A240" s="355"/>
    </row>
    <row r="241" customFormat="false" ht="12.75" hidden="false" customHeight="false" outlineLevel="0" collapsed="false">
      <c r="A241" s="355"/>
    </row>
    <row r="242" customFormat="false" ht="12.75" hidden="false" customHeight="false" outlineLevel="0" collapsed="false">
      <c r="A242" s="355"/>
    </row>
    <row r="243" customFormat="false" ht="12.75" hidden="false" customHeight="false" outlineLevel="0" collapsed="false">
      <c r="A243" s="355"/>
    </row>
    <row r="244" customFormat="false" ht="12.75" hidden="false" customHeight="false" outlineLevel="0" collapsed="false">
      <c r="A244" s="355"/>
    </row>
    <row r="245" customFormat="false" ht="12.75" hidden="false" customHeight="false" outlineLevel="0" collapsed="false">
      <c r="A245" s="355"/>
    </row>
    <row r="246" customFormat="false" ht="12.75" hidden="false" customHeight="false" outlineLevel="0" collapsed="false">
      <c r="A246" s="355"/>
    </row>
    <row r="247" customFormat="false" ht="12.75" hidden="false" customHeight="false" outlineLevel="0" collapsed="false">
      <c r="A247" s="355"/>
    </row>
    <row r="248" customFormat="false" ht="12.75" hidden="false" customHeight="false" outlineLevel="0" collapsed="false">
      <c r="A248" s="355"/>
    </row>
    <row r="249" customFormat="false" ht="12.75" hidden="false" customHeight="false" outlineLevel="0" collapsed="false">
      <c r="A249" s="355"/>
    </row>
    <row r="250" customFormat="false" ht="12.75" hidden="false" customHeight="false" outlineLevel="0" collapsed="false">
      <c r="A250" s="355"/>
    </row>
    <row r="251" customFormat="false" ht="12.75" hidden="false" customHeight="false" outlineLevel="0" collapsed="false">
      <c r="A251" s="355"/>
    </row>
    <row r="252" customFormat="false" ht="12.75" hidden="false" customHeight="false" outlineLevel="0" collapsed="false">
      <c r="A252" s="355"/>
    </row>
    <row r="253" customFormat="false" ht="12.75" hidden="false" customHeight="false" outlineLevel="0" collapsed="false">
      <c r="A253" s="355"/>
    </row>
    <row r="254" customFormat="false" ht="12.75" hidden="false" customHeight="false" outlineLevel="0" collapsed="false">
      <c r="A254" s="355"/>
    </row>
    <row r="255" customFormat="false" ht="12.75" hidden="false" customHeight="false" outlineLevel="0" collapsed="false">
      <c r="A255" s="355"/>
    </row>
    <row r="256" customFormat="false" ht="12.75" hidden="false" customHeight="false" outlineLevel="0" collapsed="false">
      <c r="A256" s="355"/>
    </row>
    <row r="257" customFormat="false" ht="12.75" hidden="false" customHeight="false" outlineLevel="0" collapsed="false">
      <c r="A257" s="355"/>
    </row>
    <row r="258" customFormat="false" ht="12.75" hidden="false" customHeight="false" outlineLevel="0" collapsed="false">
      <c r="A258" s="355"/>
    </row>
    <row r="259" customFormat="false" ht="12.75" hidden="false" customHeight="false" outlineLevel="0" collapsed="false">
      <c r="A259" s="355"/>
    </row>
    <row r="260" customFormat="false" ht="12.75" hidden="false" customHeight="false" outlineLevel="0" collapsed="false">
      <c r="A260" s="355"/>
    </row>
    <row r="261" customFormat="false" ht="12.75" hidden="false" customHeight="false" outlineLevel="0" collapsed="false">
      <c r="A261" s="355"/>
    </row>
    <row r="262" customFormat="false" ht="12.75" hidden="false" customHeight="false" outlineLevel="0" collapsed="false">
      <c r="A262" s="355"/>
    </row>
    <row r="263" customFormat="false" ht="12.75" hidden="false" customHeight="false" outlineLevel="0" collapsed="false">
      <c r="A263" s="355"/>
    </row>
    <row r="264" customFormat="false" ht="12.75" hidden="false" customHeight="false" outlineLevel="0" collapsed="false">
      <c r="A264" s="355"/>
    </row>
    <row r="265" customFormat="false" ht="12.75" hidden="false" customHeight="false" outlineLevel="0" collapsed="false">
      <c r="A265" s="355"/>
    </row>
    <row r="266" customFormat="false" ht="12.75" hidden="false" customHeight="false" outlineLevel="0" collapsed="false">
      <c r="A266" s="355"/>
    </row>
    <row r="267" customFormat="false" ht="12.75" hidden="false" customHeight="false" outlineLevel="0" collapsed="false">
      <c r="A267" s="355"/>
    </row>
    <row r="268" customFormat="false" ht="12.75" hidden="false" customHeight="false" outlineLevel="0" collapsed="false">
      <c r="A268" s="355"/>
    </row>
    <row r="269" customFormat="false" ht="12.75" hidden="false" customHeight="false" outlineLevel="0" collapsed="false">
      <c r="A269" s="355"/>
    </row>
    <row r="270" customFormat="false" ht="12.75" hidden="false" customHeight="false" outlineLevel="0" collapsed="false">
      <c r="A270" s="355"/>
    </row>
    <row r="271" customFormat="false" ht="12.75" hidden="false" customHeight="false" outlineLevel="0" collapsed="false">
      <c r="A271" s="355"/>
    </row>
    <row r="272" customFormat="false" ht="12.75" hidden="false" customHeight="false" outlineLevel="0" collapsed="false">
      <c r="A272" s="355"/>
    </row>
    <row r="273" customFormat="false" ht="12.75" hidden="false" customHeight="false" outlineLevel="0" collapsed="false">
      <c r="A273" s="355"/>
    </row>
    <row r="274" customFormat="false" ht="12.75" hidden="false" customHeight="false" outlineLevel="0" collapsed="false">
      <c r="A274" s="355"/>
    </row>
    <row r="275" customFormat="false" ht="12.75" hidden="false" customHeight="false" outlineLevel="0" collapsed="false">
      <c r="A275" s="355"/>
    </row>
    <row r="276" customFormat="false" ht="12.75" hidden="false" customHeight="false" outlineLevel="0" collapsed="false">
      <c r="A276" s="355"/>
    </row>
    <row r="277" customFormat="false" ht="12.75" hidden="false" customHeight="false" outlineLevel="0" collapsed="false">
      <c r="A277" s="355"/>
    </row>
    <row r="278" customFormat="false" ht="12.75" hidden="false" customHeight="false" outlineLevel="0" collapsed="false">
      <c r="A278" s="355"/>
    </row>
    <row r="279" customFormat="false" ht="12.75" hidden="false" customHeight="false" outlineLevel="0" collapsed="false">
      <c r="A279" s="355"/>
    </row>
    <row r="280" customFormat="false" ht="12.75" hidden="false" customHeight="false" outlineLevel="0" collapsed="false">
      <c r="A280" s="355"/>
    </row>
    <row r="281" customFormat="false" ht="12.75" hidden="false" customHeight="false" outlineLevel="0" collapsed="false">
      <c r="A281" s="355"/>
    </row>
    <row r="282" customFormat="false" ht="12.75" hidden="false" customHeight="false" outlineLevel="0" collapsed="false">
      <c r="A282" s="355"/>
    </row>
    <row r="283" customFormat="false" ht="12.75" hidden="false" customHeight="false" outlineLevel="0" collapsed="false">
      <c r="A283" s="355"/>
    </row>
    <row r="284" customFormat="false" ht="12.75" hidden="false" customHeight="false" outlineLevel="0" collapsed="false">
      <c r="A284" s="355"/>
    </row>
    <row r="285" customFormat="false" ht="12.75" hidden="false" customHeight="false" outlineLevel="0" collapsed="false">
      <c r="A285" s="355"/>
    </row>
    <row r="286" customFormat="false" ht="12.75" hidden="false" customHeight="false" outlineLevel="0" collapsed="false">
      <c r="A286" s="355"/>
    </row>
    <row r="287" customFormat="false" ht="12.75" hidden="false" customHeight="false" outlineLevel="0" collapsed="false">
      <c r="A287" s="355"/>
    </row>
    <row r="288" customFormat="false" ht="12.75" hidden="false" customHeight="false" outlineLevel="0" collapsed="false">
      <c r="A288" s="355"/>
    </row>
    <row r="289" customFormat="false" ht="12.75" hidden="false" customHeight="false" outlineLevel="0" collapsed="false">
      <c r="A289" s="355"/>
    </row>
    <row r="290" customFormat="false" ht="12.75" hidden="false" customHeight="false" outlineLevel="0" collapsed="false">
      <c r="A290" s="355"/>
    </row>
    <row r="291" customFormat="false" ht="12.75" hidden="false" customHeight="false" outlineLevel="0" collapsed="false">
      <c r="A291" s="355"/>
    </row>
    <row r="292" customFormat="false" ht="12.75" hidden="false" customHeight="false" outlineLevel="0" collapsed="false">
      <c r="A292" s="355"/>
    </row>
    <row r="293" customFormat="false" ht="12.75" hidden="false" customHeight="false" outlineLevel="0" collapsed="false">
      <c r="A293" s="355"/>
    </row>
    <row r="294" customFormat="false" ht="12.75" hidden="false" customHeight="false" outlineLevel="0" collapsed="false">
      <c r="A294" s="355"/>
    </row>
    <row r="295" customFormat="false" ht="12.75" hidden="false" customHeight="false" outlineLevel="0" collapsed="false">
      <c r="A295" s="355"/>
    </row>
    <row r="296" customFormat="false" ht="12.75" hidden="false" customHeight="false" outlineLevel="0" collapsed="false">
      <c r="A296" s="355"/>
    </row>
    <row r="297" customFormat="false" ht="12.75" hidden="false" customHeight="false" outlineLevel="0" collapsed="false">
      <c r="A297" s="355"/>
    </row>
    <row r="298" customFormat="false" ht="12.75" hidden="false" customHeight="false" outlineLevel="0" collapsed="false">
      <c r="A298" s="355"/>
    </row>
    <row r="299" customFormat="false" ht="12.75" hidden="false" customHeight="false" outlineLevel="0" collapsed="false">
      <c r="A299" s="355"/>
    </row>
    <row r="300" customFormat="false" ht="12.75" hidden="false" customHeight="false" outlineLevel="0" collapsed="false">
      <c r="A300" s="355"/>
      <c r="B300" s="356"/>
      <c r="C300" s="357"/>
      <c r="D300" s="358"/>
      <c r="E300" s="359"/>
      <c r="F300" s="356"/>
      <c r="G300" s="356"/>
      <c r="H300" s="360"/>
      <c r="I300" s="361"/>
      <c r="J300" s="356"/>
    </row>
    <row r="301" customFormat="false" ht="12.75" hidden="false" customHeight="false" outlineLevel="0" collapsed="false">
      <c r="A301" s="333" t="s">
        <v>265</v>
      </c>
    </row>
  </sheetData>
  <mergeCells count="10">
    <mergeCell ref="A1:A3"/>
    <mergeCell ref="B1:B3"/>
    <mergeCell ref="C2:C3"/>
    <mergeCell ref="D2:D3"/>
    <mergeCell ref="E2:E3"/>
    <mergeCell ref="F2:F3"/>
    <mergeCell ref="G2:G3"/>
    <mergeCell ref="H2:H3"/>
    <mergeCell ref="I2:I3"/>
    <mergeCell ref="J2:K2"/>
  </mergeCells>
  <dataValidations count="1">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4:A300" type="date">
      <formula1>38353</formula1>
      <formula2>53327</formula2>
    </dataValidation>
  </dataValidations>
  <printOptions headings="false" gridLines="true" gridLinesSet="true" horizontalCentered="false" verticalCentered="false"/>
  <pageMargins left="0.196527777777778" right="0.39375" top="0.590972222222222" bottom="0.590972222222222"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&amp;C&amp;"Arial,Bold"&amp;11Sales Turnover</oddHeader>
    <oddFooter>&amp;L&amp;D  &amp;T&amp;C&amp;P  of  &amp;N&amp;R&amp;F  &amp;A</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62" width="9.66"/>
    <col collapsed="false" customWidth="true" hidden="false" outlineLevel="0" max="2" min="2" style="363" width="23.99"/>
    <col collapsed="false" customWidth="true" hidden="false" outlineLevel="0" max="3" min="3" style="363" width="15.99"/>
    <col collapsed="false" customWidth="true" hidden="false" outlineLevel="0" max="4" min="4" style="364" width="16.15"/>
    <col collapsed="false" customWidth="true" hidden="false" outlineLevel="0" max="5" min="5" style="365" width="9.49"/>
    <col collapsed="false" customWidth="true" hidden="false" outlineLevel="0" max="6" min="6" style="365" width="8.66"/>
    <col collapsed="false" customWidth="true" hidden="false" outlineLevel="0" max="7" min="7" style="366" width="12.66"/>
    <col collapsed="false" customWidth="true" hidden="false" outlineLevel="0" max="8" min="8" style="338" width="11.5"/>
    <col collapsed="false" customWidth="true" hidden="false" outlineLevel="0" max="9" min="9" style="367" width="10.5"/>
    <col collapsed="false" customWidth="true" hidden="false" outlineLevel="0" max="19" min="10" style="334" width="9.66"/>
    <col collapsed="false" customWidth="true" hidden="false" outlineLevel="0" max="22" min="20" style="334" width="7.66"/>
    <col collapsed="false" customWidth="true" hidden="false" outlineLevel="0" max="23" min="23" style="334" width="9.66"/>
    <col collapsed="false" customWidth="true" hidden="false" outlineLevel="0" max="24" min="24" style="363" width="24.66"/>
    <col collapsed="false" customWidth="false" hidden="false" outlineLevel="0" max="25" min="25" style="368" width="9.15"/>
    <col collapsed="false" customWidth="true" hidden="false" outlineLevel="0" max="26" min="26" style="368" width="12.66"/>
    <col collapsed="false" customWidth="false" hidden="false" outlineLevel="0" max="257" min="27" style="363" width="9.15"/>
  </cols>
  <sheetData>
    <row r="1" s="334" customFormat="true" ht="13.5" hidden="false" customHeight="true" outlineLevel="0" collapsed="false">
      <c r="A1" s="369" t="n">
        <f aca="false">G4+PurchasesApr!A1</f>
        <v>0</v>
      </c>
      <c r="B1" s="370" t="s">
        <v>266</v>
      </c>
      <c r="C1" s="344" t="n">
        <f aca="false">PurchasesApr!C1+PurchasesMay!F1+SalesMay!$E$1</f>
        <v>0</v>
      </c>
      <c r="D1" s="369" t="s">
        <v>248</v>
      </c>
      <c r="E1" s="371" t="str">
        <f aca="false">IF((G1-SUM(J1:W1)&lt;&gt;0),(G1-SUM(J1:W1))," ")</f>
        <v> </v>
      </c>
      <c r="F1" s="344" t="n">
        <f aca="false">SUM(F5:F300)</f>
        <v>0</v>
      </c>
      <c r="G1" s="343" t="n">
        <f aca="false">SUM(G4:G300)</f>
        <v>6375</v>
      </c>
      <c r="H1" s="372" t="n">
        <f aca="false">SUM(H5:H300)</f>
        <v>420</v>
      </c>
      <c r="I1" s="373" t="n">
        <f aca="true">TODAY()</f>
        <v>46138</v>
      </c>
      <c r="J1" s="343" t="n">
        <f aca="false">SUM(J5:J300)</f>
        <v>720</v>
      </c>
      <c r="K1" s="343" t="n">
        <f aca="false">SUM(K5:K300)</f>
        <v>0</v>
      </c>
      <c r="L1" s="343" t="n">
        <f aca="false">SUM(L5:L300)</f>
        <v>0</v>
      </c>
      <c r="M1" s="343" t="n">
        <f aca="false">SUM(M5:M300)</f>
        <v>1200</v>
      </c>
      <c r="N1" s="343" t="n">
        <f aca="false">SUM(N5:N300)</f>
        <v>0</v>
      </c>
      <c r="O1" s="343" t="n">
        <f aca="false">SUM(O5:O300)</f>
        <v>153</v>
      </c>
      <c r="P1" s="343" t="n">
        <f aca="false">SUM(P3:P300)</f>
        <v>666</v>
      </c>
      <c r="Q1" s="343" t="n">
        <f aca="false">SUM(Q5:Q300)</f>
        <v>152</v>
      </c>
      <c r="R1" s="343" t="n">
        <f aca="false">SUM(R5:R300)</f>
        <v>600</v>
      </c>
      <c r="S1" s="343" t="n">
        <f aca="false">SUM(S5:S300)</f>
        <v>300</v>
      </c>
      <c r="T1" s="343" t="n">
        <f aca="false">SUM(T5:T300)</f>
        <v>0</v>
      </c>
      <c r="U1" s="343" t="n">
        <f aca="false">SUM(U5:U300)</f>
        <v>0</v>
      </c>
      <c r="V1" s="343" t="n">
        <f aca="false">SUM(V5:V300)</f>
        <v>784</v>
      </c>
      <c r="W1" s="345" t="n">
        <f aca="false">SUM(W5:W300)</f>
        <v>1800</v>
      </c>
      <c r="X1" s="374" t="n">
        <f aca="false">W1+PurchasesApr!X1</f>
        <v>1800</v>
      </c>
      <c r="Y1" s="375" t="n">
        <f aca="false">SUM(Y5:Y200)</f>
        <v>0</v>
      </c>
      <c r="Z1" s="376" t="n">
        <f aca="false">Y1+PurchasesApr!Z1</f>
        <v>0</v>
      </c>
    </row>
    <row r="2" s="384" customFormat="true" ht="24" hidden="false" customHeight="true" outlineLevel="0" collapsed="false">
      <c r="A2" s="377" t="s">
        <v>267</v>
      </c>
      <c r="B2" s="378" t="str">
        <f aca="false">IF((G1-SUM(J1:W1)&lt;&gt;0),"COMPLETE EXPENSE ANALYSIS by inserting expense letter in col E","Supplier")</f>
        <v>Supplier</v>
      </c>
      <c r="C2" s="379" t="s">
        <v>268</v>
      </c>
      <c r="D2" s="379" t="s">
        <v>269</v>
      </c>
      <c r="E2" s="379" t="s">
        <v>270</v>
      </c>
      <c r="F2" s="379" t="s">
        <v>344</v>
      </c>
      <c r="G2" s="380" t="s">
        <v>272</v>
      </c>
      <c r="H2" s="381" t="s">
        <v>273</v>
      </c>
      <c r="I2" s="382" t="s">
        <v>274</v>
      </c>
      <c r="J2" s="380" t="s">
        <v>275</v>
      </c>
      <c r="K2" s="380" t="s">
        <v>276</v>
      </c>
      <c r="L2" s="380" t="s">
        <v>277</v>
      </c>
      <c r="M2" s="380" t="s">
        <v>278</v>
      </c>
      <c r="N2" s="380" t="s">
        <v>279</v>
      </c>
      <c r="O2" s="380" t="s">
        <v>280</v>
      </c>
      <c r="P2" s="380" t="s">
        <v>281</v>
      </c>
      <c r="Q2" s="380" t="s">
        <v>282</v>
      </c>
      <c r="R2" s="380" t="s">
        <v>283</v>
      </c>
      <c r="S2" s="380" t="s">
        <v>284</v>
      </c>
      <c r="T2" s="380" t="s">
        <v>285</v>
      </c>
      <c r="U2" s="380" t="s">
        <v>286</v>
      </c>
      <c r="V2" s="380" t="s">
        <v>287</v>
      </c>
      <c r="W2" s="381" t="s">
        <v>288</v>
      </c>
      <c r="X2" s="383" t="str">
        <f aca="false">IF(X1&gt;('Fixed Assets'!$E$110),"FIXED ASSETS requires updating with new additions","Fixed Assets Description  (Vehicles: make, model, date reg. and reg. mark)")</f>
        <v>FIXED ASSETS requires updating with new additions</v>
      </c>
      <c r="Y2" s="380" t="s">
        <v>289</v>
      </c>
      <c r="Z2" s="380"/>
    </row>
    <row r="3" s="386" customFormat="true" ht="12" hidden="false" customHeight="true" outlineLevel="0" collapsed="false">
      <c r="A3" s="377"/>
      <c r="B3" s="377"/>
      <c r="C3" s="377"/>
      <c r="D3" s="377"/>
      <c r="E3" s="379"/>
      <c r="F3" s="379"/>
      <c r="G3" s="380"/>
      <c r="H3" s="381"/>
      <c r="I3" s="381"/>
      <c r="J3" s="380"/>
      <c r="K3" s="380"/>
      <c r="L3" s="380"/>
      <c r="M3" s="380"/>
      <c r="N3" s="380"/>
      <c r="O3" s="380"/>
      <c r="P3" s="385" t="n">
        <f aca="false">IF((E$4="m"),G$4," ")</f>
        <v>0</v>
      </c>
      <c r="Q3" s="380"/>
      <c r="R3" s="380"/>
      <c r="S3" s="380"/>
      <c r="T3" s="380"/>
      <c r="U3" s="380"/>
      <c r="V3" s="380"/>
      <c r="W3" s="381"/>
      <c r="X3" s="383"/>
      <c r="Y3" s="380" t="s">
        <v>290</v>
      </c>
      <c r="Z3" s="380"/>
    </row>
    <row r="4" s="365" customFormat="true" ht="12.75" hidden="false" customHeight="false" outlineLevel="0" collapsed="false">
      <c r="A4" s="377"/>
      <c r="B4" s="377"/>
      <c r="C4" s="377"/>
      <c r="D4" s="377"/>
      <c r="E4" s="387" t="s">
        <v>291</v>
      </c>
      <c r="F4" s="379"/>
      <c r="G4" s="400" t="n">
        <f aca="false">IF((C1&lt;Admin!$F$22),((C1-PurchasesApr!C1)*Admin!$G$21),(C1*Admin!$G$21-(C1-Admin!$F$21)*(Admin!$G$21-Admin!$G$22)-PurchasesApr!A1))</f>
        <v>0</v>
      </c>
      <c r="H4" s="381"/>
      <c r="I4" s="381"/>
      <c r="J4" s="389" t="s">
        <v>292</v>
      </c>
      <c r="K4" s="390" t="s">
        <v>293</v>
      </c>
      <c r="L4" s="390" t="s">
        <v>294</v>
      </c>
      <c r="M4" s="390" t="s">
        <v>295</v>
      </c>
      <c r="N4" s="390" t="s">
        <v>296</v>
      </c>
      <c r="O4" s="390" t="s">
        <v>297</v>
      </c>
      <c r="P4" s="391" t="s">
        <v>298</v>
      </c>
      <c r="Q4" s="390" t="s">
        <v>299</v>
      </c>
      <c r="R4" s="390" t="s">
        <v>300</v>
      </c>
      <c r="S4" s="390" t="s">
        <v>301</v>
      </c>
      <c r="T4" s="390" t="s">
        <v>302</v>
      </c>
      <c r="U4" s="390" t="s">
        <v>303</v>
      </c>
      <c r="V4" s="390" t="s">
        <v>304</v>
      </c>
      <c r="W4" s="392" t="s">
        <v>305</v>
      </c>
      <c r="X4" s="383"/>
      <c r="Y4" s="380" t="s">
        <v>306</v>
      </c>
      <c r="Z4" s="380" t="s">
        <v>307</v>
      </c>
    </row>
    <row r="5" customFormat="false" ht="12.75" hidden="false" customHeight="false" outlineLevel="0" collapsed="false">
      <c r="A5" s="355" t="n">
        <v>45778</v>
      </c>
      <c r="B5" s="363" t="s">
        <v>239</v>
      </c>
      <c r="E5" s="365" t="s">
        <v>308</v>
      </c>
      <c r="G5" s="366" t="n">
        <v>1200</v>
      </c>
      <c r="I5" s="367" t="n">
        <f aca="false">IF((G5&lt;&gt;0),IF((D5&gt;0)," ",(I$1-A5))," ")</f>
        <v>360</v>
      </c>
      <c r="J5" s="334" t="str">
        <f aca="false">IF((E5="s"),G5," ")</f>
        <v> </v>
      </c>
      <c r="K5" s="334" t="str">
        <f aca="false">IF((E5="d"),G5," ")</f>
        <v> </v>
      </c>
      <c r="L5" s="334" t="str">
        <f aca="false">IF((E5="e"),G5," ")</f>
        <v> </v>
      </c>
      <c r="M5" s="334" t="n">
        <f aca="false">IF((E5="p"),G5," ")</f>
        <v>1200</v>
      </c>
      <c r="N5" s="334" t="str">
        <f aca="false">IF((E5="r"),G5," ")</f>
        <v> </v>
      </c>
      <c r="O5" s="334" t="str">
        <f aca="false">IF((E5="g"),G5," ")</f>
        <v> </v>
      </c>
      <c r="P5" s="334" t="str">
        <f aca="false">IF((E5="m"),G5," ")</f>
        <v> </v>
      </c>
      <c r="Q5" s="334" t="str">
        <f aca="false">IF((E5="t"),G5," ")</f>
        <v> </v>
      </c>
      <c r="R5" s="334" t="str">
        <f aca="false">IF((E5="a"),G5," ")</f>
        <v> </v>
      </c>
      <c r="S5" s="334" t="str">
        <f aca="false">IF((E5="l"),G5," ")</f>
        <v> </v>
      </c>
      <c r="T5" s="334" t="str">
        <f aca="false">IF((E5="b"),G5," ")</f>
        <v> </v>
      </c>
      <c r="U5" s="334" t="str">
        <f aca="false">IF((E5="i"),G5," ")</f>
        <v> </v>
      </c>
      <c r="V5" s="334" t="str">
        <f aca="false">IF((E5="o"),G5," ")</f>
        <v> </v>
      </c>
      <c r="W5" s="334" t="str">
        <f aca="false">IF((E5="f"),G5," ")</f>
        <v> </v>
      </c>
    </row>
    <row r="6" customFormat="false" ht="12.75" hidden="false" customHeight="false" outlineLevel="0" collapsed="false">
      <c r="A6" s="355" t="n">
        <v>45778</v>
      </c>
      <c r="B6" s="363" t="s">
        <v>309</v>
      </c>
      <c r="E6" s="365" t="s">
        <v>310</v>
      </c>
      <c r="G6" s="366" t="n">
        <v>30</v>
      </c>
      <c r="I6" s="367" t="n">
        <f aca="false">IF((G6&lt;&gt;0),IF((D6&gt;0)," ",(I$1-A6))," ")</f>
        <v>360</v>
      </c>
      <c r="J6" s="334" t="str">
        <f aca="false">IF((E6="s"),G6," ")</f>
        <v> </v>
      </c>
      <c r="K6" s="334" t="str">
        <f aca="false">IF((E6="d"),G6," ")</f>
        <v> </v>
      </c>
      <c r="L6" s="334" t="str">
        <f aca="false">IF((E6="e"),G6," ")</f>
        <v> </v>
      </c>
      <c r="M6" s="334" t="str">
        <f aca="false">IF((E6="p"),G6," ")</f>
        <v> </v>
      </c>
      <c r="N6" s="334" t="str">
        <f aca="false">IF((E6="r"),G6," ")</f>
        <v> </v>
      </c>
      <c r="O6" s="334" t="n">
        <f aca="false">IF((E6="g"),G6," ")</f>
        <v>30</v>
      </c>
      <c r="P6" s="334" t="str">
        <f aca="false">IF((E6="m"),G6," ")</f>
        <v> </v>
      </c>
      <c r="Q6" s="334" t="str">
        <f aca="false">IF((E6="t"),G6," ")</f>
        <v> </v>
      </c>
      <c r="R6" s="334" t="str">
        <f aca="false">IF((E6="a"),G6," ")</f>
        <v> </v>
      </c>
      <c r="S6" s="334" t="str">
        <f aca="false">IF((E6="l"),G6," ")</f>
        <v> </v>
      </c>
      <c r="T6" s="334" t="str">
        <f aca="false">IF((E6="b"),G6," ")</f>
        <v> </v>
      </c>
      <c r="U6" s="334" t="str">
        <f aca="false">IF((E6="i"),G6," ")</f>
        <v> </v>
      </c>
      <c r="V6" s="334" t="str">
        <f aca="false">IF((E6="o"),G6," ")</f>
        <v> </v>
      </c>
      <c r="W6" s="334" t="str">
        <f aca="false">IF((E6="f"),G6," ")</f>
        <v> </v>
      </c>
    </row>
    <row r="7" customFormat="false" ht="12.75" hidden="false" customHeight="false" outlineLevel="0" collapsed="false">
      <c r="A7" s="355" t="n">
        <v>45778</v>
      </c>
      <c r="B7" s="363" t="s">
        <v>311</v>
      </c>
      <c r="E7" s="365" t="s">
        <v>310</v>
      </c>
      <c r="G7" s="366" t="n">
        <v>15</v>
      </c>
      <c r="I7" s="367" t="n">
        <f aca="false">IF((G7&lt;&gt;0),IF((D7&gt;0)," ",(I$1-A7))," ")</f>
        <v>360</v>
      </c>
      <c r="J7" s="334" t="str">
        <f aca="false">IF((E7="s"),G7," ")</f>
        <v> </v>
      </c>
      <c r="K7" s="334" t="str">
        <f aca="false">IF((E7="d"),G7," ")</f>
        <v> </v>
      </c>
      <c r="L7" s="334" t="str">
        <f aca="false">IF((E7="e"),G7," ")</f>
        <v> </v>
      </c>
      <c r="M7" s="334" t="str">
        <f aca="false">IF((E7="p"),G7," ")</f>
        <v> </v>
      </c>
      <c r="N7" s="334" t="str">
        <f aca="false">IF((E7="r"),G7," ")</f>
        <v> </v>
      </c>
      <c r="O7" s="334" t="n">
        <f aca="false">IF((E7="g"),G7," ")</f>
        <v>15</v>
      </c>
      <c r="P7" s="334" t="str">
        <f aca="false">IF((E7="m"),G7," ")</f>
        <v> </v>
      </c>
      <c r="Q7" s="334" t="str">
        <f aca="false">IF((E7="t"),G7," ")</f>
        <v> </v>
      </c>
      <c r="R7" s="334" t="str">
        <f aca="false">IF((E7="a"),G7," ")</f>
        <v> </v>
      </c>
      <c r="S7" s="334" t="str">
        <f aca="false">IF((E7="l"),G7," ")</f>
        <v> </v>
      </c>
      <c r="T7" s="334" t="str">
        <f aca="false">IF((E7="b"),G7," ")</f>
        <v> </v>
      </c>
      <c r="U7" s="334" t="str">
        <f aca="false">IF((E7="i"),G7," ")</f>
        <v> </v>
      </c>
      <c r="V7" s="334" t="str">
        <f aca="false">IF((E7="o"),G7," ")</f>
        <v> </v>
      </c>
      <c r="W7" s="334" t="str">
        <f aca="false">IF((E7="f"),G7," ")</f>
        <v> </v>
      </c>
    </row>
    <row r="8" customFormat="false" ht="12.75" hidden="false" customHeight="false" outlineLevel="0" collapsed="false">
      <c r="A8" s="355" t="n">
        <v>45778</v>
      </c>
      <c r="B8" s="363" t="s">
        <v>312</v>
      </c>
      <c r="E8" s="365" t="s">
        <v>313</v>
      </c>
      <c r="G8" s="366" t="n">
        <v>45</v>
      </c>
      <c r="I8" s="367" t="n">
        <f aca="false">IF((G8&lt;&gt;0),IF((D8&gt;0)," ",(I$1-A8))," ")</f>
        <v>360</v>
      </c>
      <c r="J8" s="334" t="str">
        <f aca="false">IF((E8="s"),G8," ")</f>
        <v> </v>
      </c>
      <c r="K8" s="334" t="str">
        <f aca="false">IF((E8="d"),G8," ")</f>
        <v> </v>
      </c>
      <c r="L8" s="334" t="str">
        <f aca="false">IF((E8="e"),G8," ")</f>
        <v> </v>
      </c>
      <c r="M8" s="334" t="str">
        <f aca="false">IF((E8="p"),G8," ")</f>
        <v> </v>
      </c>
      <c r="N8" s="334" t="str">
        <f aca="false">IF((E8="r"),G8," ")</f>
        <v> </v>
      </c>
      <c r="O8" s="334" t="str">
        <f aca="false">IF((E8="g"),G8," ")</f>
        <v> </v>
      </c>
      <c r="P8" s="334" t="str">
        <f aca="false">IF((E8="m"),G8," ")</f>
        <v> </v>
      </c>
      <c r="Q8" s="334" t="str">
        <f aca="false">IF((E8="t"),G8," ")</f>
        <v> </v>
      </c>
      <c r="R8" s="334" t="str">
        <f aca="false">IF((E8="a"),G8," ")</f>
        <v> </v>
      </c>
      <c r="S8" s="334" t="str">
        <f aca="false">IF((E8="l"),G8," ")</f>
        <v> </v>
      </c>
      <c r="T8" s="334" t="str">
        <f aca="false">IF((E8="b"),G8," ")</f>
        <v> </v>
      </c>
      <c r="U8" s="334" t="str">
        <f aca="false">IF((E8="i"),G8," ")</f>
        <v> </v>
      </c>
      <c r="V8" s="334" t="n">
        <f aca="false">IF((E8="o"),G8," ")</f>
        <v>45</v>
      </c>
      <c r="W8" s="334" t="str">
        <f aca="false">IF((E8="f"),G8," ")</f>
        <v> </v>
      </c>
    </row>
    <row r="9" customFormat="false" ht="12.75" hidden="false" customHeight="false" outlineLevel="0" collapsed="false">
      <c r="A9" s="355" t="n">
        <v>45778</v>
      </c>
      <c r="B9" s="363" t="s">
        <v>315</v>
      </c>
      <c r="E9" s="365" t="s">
        <v>313</v>
      </c>
      <c r="G9" s="366" t="n">
        <v>24</v>
      </c>
      <c r="I9" s="367" t="n">
        <f aca="false">IF((G9&lt;&gt;0),IF((D9&gt;0)," ",(I$1-A9))," ")</f>
        <v>360</v>
      </c>
      <c r="J9" s="334" t="str">
        <f aca="false">IF((E9="s"),G9," ")</f>
        <v> </v>
      </c>
      <c r="K9" s="334" t="str">
        <f aca="false">IF((E9="d"),G9," ")</f>
        <v> </v>
      </c>
      <c r="L9" s="334" t="str">
        <f aca="false">IF((E9="e"),G9," ")</f>
        <v> </v>
      </c>
      <c r="M9" s="334" t="str">
        <f aca="false">IF((E9="p"),G9," ")</f>
        <v> </v>
      </c>
      <c r="N9" s="334" t="str">
        <f aca="false">IF((E9="r"),G9," ")</f>
        <v> </v>
      </c>
      <c r="O9" s="334" t="str">
        <f aca="false">IF((E9="g"),G9," ")</f>
        <v> </v>
      </c>
      <c r="P9" s="334" t="str">
        <f aca="false">IF((E9="m"),G9," ")</f>
        <v> </v>
      </c>
      <c r="Q9" s="334" t="str">
        <f aca="false">IF((E9="t"),G9," ")</f>
        <v> </v>
      </c>
      <c r="R9" s="334" t="str">
        <f aca="false">IF((E9="a"),G9," ")</f>
        <v> </v>
      </c>
      <c r="S9" s="334" t="str">
        <f aca="false">IF((E9="l"),G9," ")</f>
        <v> </v>
      </c>
      <c r="T9" s="334" t="str">
        <f aca="false">IF((E9="b"),G9," ")</f>
        <v> </v>
      </c>
      <c r="U9" s="334" t="str">
        <f aca="false">IF((E9="i"),G9," ")</f>
        <v> </v>
      </c>
      <c r="V9" s="334" t="n">
        <f aca="false">IF((E9="o"),G9," ")</f>
        <v>24</v>
      </c>
      <c r="W9" s="334" t="str">
        <f aca="false">IF((E9="f"),G9," ")</f>
        <v> </v>
      </c>
    </row>
    <row r="10" customFormat="false" ht="12.75" hidden="false" customHeight="false" outlineLevel="0" collapsed="false">
      <c r="A10" s="355" t="n">
        <v>45778</v>
      </c>
      <c r="B10" s="363" t="s">
        <v>316</v>
      </c>
      <c r="E10" s="365" t="s">
        <v>310</v>
      </c>
      <c r="G10" s="366" t="n">
        <v>18</v>
      </c>
      <c r="I10" s="367" t="n">
        <f aca="false">IF((G10&lt;&gt;0),IF((D10&gt;0)," ",(I$1-A10))," ")</f>
        <v>360</v>
      </c>
      <c r="J10" s="334" t="str">
        <f aca="false">IF((E10="s"),G10," ")</f>
        <v> </v>
      </c>
      <c r="K10" s="334" t="str">
        <f aca="false">IF((E10="d"),G10," ")</f>
        <v> </v>
      </c>
      <c r="L10" s="334" t="str">
        <f aca="false">IF((E10="e"),G10," ")</f>
        <v> </v>
      </c>
      <c r="M10" s="334" t="str">
        <f aca="false">IF((E10="p"),G10," ")</f>
        <v> </v>
      </c>
      <c r="N10" s="334" t="str">
        <f aca="false">IF((E10="r"),G10," ")</f>
        <v> </v>
      </c>
      <c r="O10" s="334" t="n">
        <f aca="false">IF((E10="g"),G10," ")</f>
        <v>18</v>
      </c>
      <c r="P10" s="334" t="str">
        <f aca="false">IF((E10="m"),G10," ")</f>
        <v> </v>
      </c>
      <c r="Q10" s="334" t="str">
        <f aca="false">IF((E10="t"),G10," ")</f>
        <v> </v>
      </c>
      <c r="R10" s="334" t="str">
        <f aca="false">IF((E10="a"),G10," ")</f>
        <v> </v>
      </c>
      <c r="S10" s="334" t="str">
        <f aca="false">IF((E10="l"),G10," ")</f>
        <v> </v>
      </c>
      <c r="T10" s="334" t="str">
        <f aca="false">IF((E10="b"),G10," ")</f>
        <v> </v>
      </c>
      <c r="U10" s="334" t="str">
        <f aca="false">IF((E10="i"),G10," ")</f>
        <v> </v>
      </c>
      <c r="V10" s="334" t="str">
        <f aca="false">IF((E10="o"),G10," ")</f>
        <v> </v>
      </c>
      <c r="W10" s="334" t="str">
        <f aca="false">IF((E10="f"),G10," ")</f>
        <v> </v>
      </c>
    </row>
    <row r="11" customFormat="false" ht="12.75" hidden="false" customHeight="false" outlineLevel="0" collapsed="false">
      <c r="A11" s="355" t="n">
        <v>45780</v>
      </c>
      <c r="B11" s="363" t="s">
        <v>317</v>
      </c>
      <c r="E11" s="365" t="s">
        <v>313</v>
      </c>
      <c r="G11" s="366" t="n">
        <v>180</v>
      </c>
      <c r="I11" s="367" t="n">
        <f aca="false">IF((G11&lt;&gt;0),IF((D11&gt;0)," ",(I$1-A11))," ")</f>
        <v>358</v>
      </c>
      <c r="J11" s="334" t="str">
        <f aca="false">IF((E11="s"),G11," ")</f>
        <v> </v>
      </c>
      <c r="K11" s="334" t="str">
        <f aca="false">IF((E11="d"),G11," ")</f>
        <v> </v>
      </c>
      <c r="L11" s="334" t="str">
        <f aca="false">IF((E11="e"),G11," ")</f>
        <v> </v>
      </c>
      <c r="M11" s="334" t="str">
        <f aca="false">IF((E11="p"),G11," ")</f>
        <v> </v>
      </c>
      <c r="N11" s="334" t="str">
        <f aca="false">IF((E11="r"),G11," ")</f>
        <v> </v>
      </c>
      <c r="O11" s="334" t="str">
        <f aca="false">IF((E11="g"),G11," ")</f>
        <v> </v>
      </c>
      <c r="P11" s="334" t="str">
        <f aca="false">IF((E11="m"),G11," ")</f>
        <v> </v>
      </c>
      <c r="Q11" s="334" t="str">
        <f aca="false">IF((E11="t"),G11," ")</f>
        <v> </v>
      </c>
      <c r="R11" s="334" t="str">
        <f aca="false">IF((E11="a"),G11," ")</f>
        <v> </v>
      </c>
      <c r="S11" s="334" t="str">
        <f aca="false">IF((E11="l"),G11," ")</f>
        <v> </v>
      </c>
      <c r="T11" s="334" t="str">
        <f aca="false">IF((E11="b"),G11," ")</f>
        <v> </v>
      </c>
      <c r="U11" s="334" t="str">
        <f aca="false">IF((E11="i"),G11," ")</f>
        <v> </v>
      </c>
      <c r="V11" s="334" t="n">
        <f aca="false">IF((E11="o"),G11," ")</f>
        <v>180</v>
      </c>
      <c r="W11" s="334" t="str">
        <f aca="false">IF((E11="f"),G11," ")</f>
        <v> </v>
      </c>
    </row>
    <row r="12" customFormat="false" ht="12.75" hidden="false" customHeight="false" outlineLevel="0" collapsed="false">
      <c r="A12" s="355" t="n">
        <v>45780</v>
      </c>
      <c r="B12" s="363" t="s">
        <v>318</v>
      </c>
      <c r="E12" s="365" t="s">
        <v>313</v>
      </c>
      <c r="G12" s="366" t="n">
        <v>22</v>
      </c>
      <c r="I12" s="367" t="n">
        <f aca="false">IF((G12&lt;&gt;0),IF((D12&gt;0)," ",(I$1-A12))," ")</f>
        <v>358</v>
      </c>
      <c r="J12" s="334" t="str">
        <f aca="false">IF((E12="s"),G12," ")</f>
        <v> </v>
      </c>
      <c r="K12" s="334" t="str">
        <f aca="false">IF((E12="d"),G12," ")</f>
        <v> </v>
      </c>
      <c r="L12" s="334" t="str">
        <f aca="false">IF((E12="e"),G12," ")</f>
        <v> </v>
      </c>
      <c r="M12" s="334" t="str">
        <f aca="false">IF((E12="p"),G12," ")</f>
        <v> </v>
      </c>
      <c r="N12" s="334" t="str">
        <f aca="false">IF((E12="r"),G12," ")</f>
        <v> </v>
      </c>
      <c r="O12" s="334" t="str">
        <f aca="false">IF((E12="g"),G12," ")</f>
        <v> </v>
      </c>
      <c r="P12" s="334" t="str">
        <f aca="false">IF((E12="m"),G12," ")</f>
        <v> </v>
      </c>
      <c r="Q12" s="334" t="str">
        <f aca="false">IF((E12="t"),G12," ")</f>
        <v> </v>
      </c>
      <c r="R12" s="334" t="str">
        <f aca="false">IF((E12="a"),G12," ")</f>
        <v> </v>
      </c>
      <c r="S12" s="334" t="str">
        <f aca="false">IF((E12="l"),G12," ")</f>
        <v> </v>
      </c>
      <c r="T12" s="334" t="str">
        <f aca="false">IF((E12="b"),G12," ")</f>
        <v> </v>
      </c>
      <c r="U12" s="334" t="str">
        <f aca="false">IF((E12="i"),G12," ")</f>
        <v> </v>
      </c>
      <c r="V12" s="334" t="n">
        <f aca="false">IF((E12="o"),G12," ")</f>
        <v>22</v>
      </c>
      <c r="W12" s="334" t="str">
        <f aca="false">IF((E12="f"),G12," ")</f>
        <v> </v>
      </c>
    </row>
    <row r="13" customFormat="false" ht="12.75" hidden="false" customHeight="false" outlineLevel="0" collapsed="false">
      <c r="A13" s="355" t="n">
        <v>45782</v>
      </c>
      <c r="B13" s="363" t="s">
        <v>319</v>
      </c>
      <c r="E13" s="365" t="s">
        <v>313</v>
      </c>
      <c r="G13" s="366" t="n">
        <v>24</v>
      </c>
      <c r="I13" s="367" t="n">
        <f aca="false">IF((G13&lt;&gt;0),IF((D13&gt;0)," ",(I$1-A13))," ")</f>
        <v>356</v>
      </c>
      <c r="J13" s="334" t="str">
        <f aca="false">IF((E13="s"),G13," ")</f>
        <v> </v>
      </c>
      <c r="K13" s="334" t="str">
        <f aca="false">IF((E13="d"),G13," ")</f>
        <v> </v>
      </c>
      <c r="L13" s="334" t="str">
        <f aca="false">IF((E13="e"),G13," ")</f>
        <v> </v>
      </c>
      <c r="M13" s="334" t="str">
        <f aca="false">IF((E13="p"),G13," ")</f>
        <v> </v>
      </c>
      <c r="N13" s="334" t="str">
        <f aca="false">IF((E13="r"),G13," ")</f>
        <v> </v>
      </c>
      <c r="O13" s="334" t="str">
        <f aca="false">IF((E13="g"),G13," ")</f>
        <v> </v>
      </c>
      <c r="P13" s="334" t="str">
        <f aca="false">IF((E13="m"),G13," ")</f>
        <v> </v>
      </c>
      <c r="Q13" s="334" t="str">
        <f aca="false">IF((E13="t"),G13," ")</f>
        <v> </v>
      </c>
      <c r="R13" s="334" t="str">
        <f aca="false">IF((E13="a"),G13," ")</f>
        <v> </v>
      </c>
      <c r="S13" s="334" t="str">
        <f aca="false">IF((E13="l"),G13," ")</f>
        <v> </v>
      </c>
      <c r="T13" s="334" t="str">
        <f aca="false">IF((E13="b"),G13," ")</f>
        <v> </v>
      </c>
      <c r="U13" s="334" t="str">
        <f aca="false">IF((E13="i"),G13," ")</f>
        <v> </v>
      </c>
      <c r="V13" s="334" t="n">
        <f aca="false">IF((E13="o"),G13," ")</f>
        <v>24</v>
      </c>
      <c r="W13" s="334" t="str">
        <f aca="false">IF((E13="f"),G13," ")</f>
        <v> </v>
      </c>
    </row>
    <row r="14" customFormat="false" ht="12.75" hidden="false" customHeight="false" outlineLevel="0" collapsed="false">
      <c r="A14" s="355" t="n">
        <v>45782</v>
      </c>
      <c r="B14" s="363" t="s">
        <v>320</v>
      </c>
      <c r="E14" s="365" t="s">
        <v>291</v>
      </c>
      <c r="G14" s="366" t="n">
        <v>180</v>
      </c>
      <c r="I14" s="367" t="n">
        <f aca="false">IF((G14&lt;&gt;0),IF((D14&gt;0)," ",(I$1-A14))," ")</f>
        <v>356</v>
      </c>
      <c r="J14" s="334" t="str">
        <f aca="false">IF((E14="s"),G14," ")</f>
        <v> </v>
      </c>
      <c r="K14" s="334" t="str">
        <f aca="false">IF((E14="d"),G14," ")</f>
        <v> </v>
      </c>
      <c r="L14" s="334" t="str">
        <f aca="false">IF((E14="e"),G14," ")</f>
        <v> </v>
      </c>
      <c r="M14" s="334" t="str">
        <f aca="false">IF((E14="p"),G14," ")</f>
        <v> </v>
      </c>
      <c r="N14" s="334" t="str">
        <f aca="false">IF((E14="r"),G14," ")</f>
        <v> </v>
      </c>
      <c r="O14" s="334" t="str">
        <f aca="false">IF((E14="g"),G14," ")</f>
        <v> </v>
      </c>
      <c r="P14" s="334" t="n">
        <f aca="false">IF((E14="m"),G14," ")</f>
        <v>180</v>
      </c>
      <c r="Q14" s="334" t="str">
        <f aca="false">IF((E14="t"),G14," ")</f>
        <v> </v>
      </c>
      <c r="R14" s="334" t="str">
        <f aca="false">IF((E14="a"),G14," ")</f>
        <v> </v>
      </c>
      <c r="S14" s="334" t="str">
        <f aca="false">IF((E14="l"),G14," ")</f>
        <v> </v>
      </c>
      <c r="T14" s="334" t="str">
        <f aca="false">IF((E14="b"),G14," ")</f>
        <v> </v>
      </c>
      <c r="U14" s="334" t="str">
        <f aca="false">IF((E14="i"),G14," ")</f>
        <v> </v>
      </c>
      <c r="V14" s="334" t="str">
        <f aca="false">IF((E14="o"),G14," ")</f>
        <v> </v>
      </c>
      <c r="W14" s="334" t="str">
        <f aca="false">IF((E14="f"),G14," ")</f>
        <v> </v>
      </c>
    </row>
    <row r="15" customFormat="false" ht="12.75" hidden="false" customHeight="false" outlineLevel="0" collapsed="false">
      <c r="A15" s="355" t="n">
        <v>45783</v>
      </c>
      <c r="B15" s="363" t="s">
        <v>345</v>
      </c>
      <c r="E15" s="365" t="s">
        <v>323</v>
      </c>
      <c r="G15" s="366" t="n">
        <v>60</v>
      </c>
      <c r="I15" s="367" t="n">
        <f aca="false">IF((G15&lt;&gt;0),IF((D15&gt;0)," ",(I$1-A15))," ")</f>
        <v>355</v>
      </c>
      <c r="J15" s="334" t="str">
        <f aca="false">IF((E15="s"),G15," ")</f>
        <v> </v>
      </c>
      <c r="K15" s="334" t="str">
        <f aca="false">IF((E15="d"),G15," ")</f>
        <v> </v>
      </c>
      <c r="L15" s="334" t="str">
        <f aca="false">IF((E15="e"),G15," ")</f>
        <v> </v>
      </c>
      <c r="M15" s="334" t="str">
        <f aca="false">IF((E15="p"),G15," ")</f>
        <v> </v>
      </c>
      <c r="N15" s="334" t="str">
        <f aca="false">IF((E15="r"),G15," ")</f>
        <v> </v>
      </c>
      <c r="O15" s="334" t="str">
        <f aca="false">IF((E15="g"),G15," ")</f>
        <v> </v>
      </c>
      <c r="P15" s="334" t="str">
        <f aca="false">IF((E15="m"),G15," ")</f>
        <v> </v>
      </c>
      <c r="Q15" s="334" t="n">
        <f aca="false">IF((E15="t"),G15," ")</f>
        <v>60</v>
      </c>
      <c r="R15" s="334" t="str">
        <f aca="false">IF((E15="a"),G15," ")</f>
        <v> </v>
      </c>
      <c r="S15" s="334" t="str">
        <f aca="false">IF((E15="l"),G15," ")</f>
        <v> </v>
      </c>
      <c r="T15" s="334" t="str">
        <f aca="false">IF((E15="b"),G15," ")</f>
        <v> </v>
      </c>
      <c r="U15" s="334" t="str">
        <f aca="false">IF((E15="i"),G15," ")</f>
        <v> </v>
      </c>
      <c r="V15" s="334" t="str">
        <f aca="false">IF((E15="o"),G15," ")</f>
        <v> </v>
      </c>
      <c r="W15" s="334" t="str">
        <f aca="false">IF((E15="f"),G15," ")</f>
        <v> </v>
      </c>
    </row>
    <row r="16" customFormat="false" ht="12.75" hidden="false" customHeight="false" outlineLevel="0" collapsed="false">
      <c r="A16" s="355" t="n">
        <v>45785</v>
      </c>
      <c r="B16" s="363" t="s">
        <v>322</v>
      </c>
      <c r="E16" s="365" t="s">
        <v>323</v>
      </c>
      <c r="G16" s="366" t="n">
        <v>48</v>
      </c>
      <c r="I16" s="367" t="n">
        <f aca="false">IF((G16&lt;&gt;0),IF((D16&gt;0)," ",(I$1-A16))," ")</f>
        <v>353</v>
      </c>
      <c r="J16" s="334" t="str">
        <f aca="false">IF((E16="s"),G16," ")</f>
        <v> </v>
      </c>
      <c r="K16" s="334" t="str">
        <f aca="false">IF((E16="d"),G16," ")</f>
        <v> </v>
      </c>
      <c r="L16" s="334" t="str">
        <f aca="false">IF((E16="e"),G16," ")</f>
        <v> </v>
      </c>
      <c r="M16" s="334" t="str">
        <f aca="false">IF((E16="p"),G16," ")</f>
        <v> </v>
      </c>
      <c r="N16" s="334" t="str">
        <f aca="false">IF((E16="r"),G16," ")</f>
        <v> </v>
      </c>
      <c r="O16" s="334" t="str">
        <f aca="false">IF((E16="g"),G16," ")</f>
        <v> </v>
      </c>
      <c r="P16" s="334" t="str">
        <f aca="false">IF((E16="m"),G16," ")</f>
        <v> </v>
      </c>
      <c r="Q16" s="334" t="n">
        <f aca="false">IF((E16="t"),G16," ")</f>
        <v>48</v>
      </c>
      <c r="R16" s="334" t="str">
        <f aca="false">IF((E16="a"),G16," ")</f>
        <v> </v>
      </c>
      <c r="S16" s="334" t="str">
        <f aca="false">IF((E16="l"),G16," ")</f>
        <v> </v>
      </c>
      <c r="T16" s="334" t="str">
        <f aca="false">IF((E16="b"),G16," ")</f>
        <v> </v>
      </c>
      <c r="U16" s="334" t="str">
        <f aca="false">IF((E16="i"),G16," ")</f>
        <v> </v>
      </c>
      <c r="V16" s="334" t="str">
        <f aca="false">IF((E16="o"),G16," ")</f>
        <v> </v>
      </c>
      <c r="W16" s="334" t="str">
        <f aca="false">IF((E16="f"),G16," ")</f>
        <v> </v>
      </c>
    </row>
    <row r="17" customFormat="false" ht="12.75" hidden="false" customHeight="false" outlineLevel="0" collapsed="false">
      <c r="A17" s="355" t="n">
        <v>45785</v>
      </c>
      <c r="B17" s="363" t="s">
        <v>346</v>
      </c>
      <c r="E17" s="365" t="s">
        <v>313</v>
      </c>
      <c r="G17" s="366" t="n">
        <v>240</v>
      </c>
      <c r="I17" s="367" t="n">
        <f aca="false">IF((G17&lt;&gt;0),IF((D17&gt;0)," ",(I$1-A17))," ")</f>
        <v>353</v>
      </c>
      <c r="J17" s="334" t="str">
        <f aca="false">IF((E17="s"),G17," ")</f>
        <v> </v>
      </c>
      <c r="K17" s="334" t="str">
        <f aca="false">IF((E17="d"),G17," ")</f>
        <v> </v>
      </c>
      <c r="L17" s="334" t="str">
        <f aca="false">IF((E17="e"),G17," ")</f>
        <v> </v>
      </c>
      <c r="M17" s="334" t="str">
        <f aca="false">IF((E17="p"),G17," ")</f>
        <v> </v>
      </c>
      <c r="N17" s="334" t="str">
        <f aca="false">IF((E17="r"),G17," ")</f>
        <v> </v>
      </c>
      <c r="O17" s="334" t="str">
        <f aca="false">IF((E17="g"),G17," ")</f>
        <v> </v>
      </c>
      <c r="P17" s="334" t="str">
        <f aca="false">IF((E17="m"),G17," ")</f>
        <v> </v>
      </c>
      <c r="Q17" s="334" t="str">
        <f aca="false">IF((E17="t"),G17," ")</f>
        <v> </v>
      </c>
      <c r="R17" s="334" t="str">
        <f aca="false">IF((E17="a"),G17," ")</f>
        <v> </v>
      </c>
      <c r="S17" s="334" t="str">
        <f aca="false">IF((E17="l"),G17," ")</f>
        <v> </v>
      </c>
      <c r="T17" s="334" t="str">
        <f aca="false">IF((E17="b"),G17," ")</f>
        <v> </v>
      </c>
      <c r="U17" s="334" t="str">
        <f aca="false">IF((E17="i"),G17," ")</f>
        <v> </v>
      </c>
      <c r="V17" s="334" t="n">
        <f aca="false">IF((E17="o"),G17," ")</f>
        <v>240</v>
      </c>
      <c r="W17" s="334" t="str">
        <f aca="false">IF((E17="f"),G17," ")</f>
        <v> </v>
      </c>
    </row>
    <row r="18" customFormat="false" ht="12.75" hidden="false" customHeight="false" outlineLevel="0" collapsed="false">
      <c r="A18" s="355" t="n">
        <v>45787</v>
      </c>
      <c r="B18" s="363" t="s">
        <v>324</v>
      </c>
      <c r="E18" s="365" t="s">
        <v>313</v>
      </c>
      <c r="G18" s="366" t="n">
        <v>36</v>
      </c>
      <c r="I18" s="367" t="n">
        <f aca="false">IF((G18&lt;&gt;0),IF((D18&gt;0)," ",(I$1-A18))," ")</f>
        <v>351</v>
      </c>
      <c r="J18" s="334" t="str">
        <f aca="false">IF((E18="s"),G18," ")</f>
        <v> </v>
      </c>
      <c r="K18" s="334" t="str">
        <f aca="false">IF((E18="d"),G18," ")</f>
        <v> </v>
      </c>
      <c r="L18" s="334" t="str">
        <f aca="false">IF((E18="e"),G18," ")</f>
        <v> </v>
      </c>
      <c r="M18" s="334" t="str">
        <f aca="false">IF((E18="p"),G18," ")</f>
        <v> </v>
      </c>
      <c r="N18" s="334" t="str">
        <f aca="false">IF((E18="r"),G18," ")</f>
        <v> </v>
      </c>
      <c r="O18" s="334" t="str">
        <f aca="false">IF((E18="g"),G18," ")</f>
        <v> </v>
      </c>
      <c r="P18" s="334" t="str">
        <f aca="false">IF((E18="m"),G18," ")</f>
        <v> </v>
      </c>
      <c r="Q18" s="334" t="str">
        <f aca="false">IF((E18="t"),G18," ")</f>
        <v> </v>
      </c>
      <c r="R18" s="334" t="str">
        <f aca="false">IF((E18="a"),G18," ")</f>
        <v> </v>
      </c>
      <c r="S18" s="334" t="str">
        <f aca="false">IF((E18="l"),G18," ")</f>
        <v> </v>
      </c>
      <c r="T18" s="334" t="str">
        <f aca="false">IF((E18="b"),G18," ")</f>
        <v> </v>
      </c>
      <c r="U18" s="334" t="str">
        <f aca="false">IF((E18="i"),G18," ")</f>
        <v> </v>
      </c>
      <c r="V18" s="334" t="n">
        <f aca="false">IF((E18="o"),G18," ")</f>
        <v>36</v>
      </c>
      <c r="W18" s="334" t="str">
        <f aca="false">IF((E18="f"),G18," ")</f>
        <v> </v>
      </c>
    </row>
    <row r="19" customFormat="false" ht="12.75" hidden="false" customHeight="false" outlineLevel="0" collapsed="false">
      <c r="A19" s="355" t="n">
        <v>45787</v>
      </c>
      <c r="B19" s="363" t="s">
        <v>347</v>
      </c>
      <c r="E19" s="365" t="s">
        <v>348</v>
      </c>
      <c r="G19" s="366" t="n">
        <v>600</v>
      </c>
      <c r="I19" s="367" t="n">
        <f aca="false">IF((G19&lt;&gt;0),IF((D19&gt;0)," ",(I$1-A19))," ")</f>
        <v>351</v>
      </c>
      <c r="J19" s="334" t="str">
        <f aca="false">IF((E19="s"),G19," ")</f>
        <v> </v>
      </c>
      <c r="K19" s="334" t="str">
        <f aca="false">IF((E19="d"),G19," ")</f>
        <v> </v>
      </c>
      <c r="L19" s="334" t="str">
        <f aca="false">IF((E19="e"),G19," ")</f>
        <v> </v>
      </c>
      <c r="M19" s="334" t="str">
        <f aca="false">IF((E19="p"),G19," ")</f>
        <v> </v>
      </c>
      <c r="N19" s="334" t="str">
        <f aca="false">IF((E19="r"),G19," ")</f>
        <v> </v>
      </c>
      <c r="O19" s="334" t="str">
        <f aca="false">IF((E19="g"),G19," ")</f>
        <v> </v>
      </c>
      <c r="P19" s="334" t="str">
        <f aca="false">IF((E19="m"),G19," ")</f>
        <v> </v>
      </c>
      <c r="Q19" s="334" t="str">
        <f aca="false">IF((E19="t"),G19," ")</f>
        <v> </v>
      </c>
      <c r="R19" s="334" t="n">
        <f aca="false">IF((E19="a"),G19," ")</f>
        <v>600</v>
      </c>
      <c r="S19" s="334" t="str">
        <f aca="false">IF((E19="l"),G19," ")</f>
        <v> </v>
      </c>
      <c r="T19" s="334" t="str">
        <f aca="false">IF((E19="b"),G19," ")</f>
        <v> </v>
      </c>
      <c r="U19" s="334" t="str">
        <f aca="false">IF((E19="i"),G19," ")</f>
        <v> </v>
      </c>
      <c r="V19" s="334" t="str">
        <f aca="false">IF((E19="o"),G19," ")</f>
        <v> </v>
      </c>
      <c r="W19" s="334" t="str">
        <f aca="false">IF((E19="f"),G19," ")</f>
        <v> </v>
      </c>
    </row>
    <row r="20" customFormat="false" ht="12.75" hidden="false" customHeight="false" outlineLevel="0" collapsed="false">
      <c r="A20" s="355" t="n">
        <v>45789</v>
      </c>
      <c r="B20" s="363" t="s">
        <v>328</v>
      </c>
      <c r="E20" s="365" t="s">
        <v>291</v>
      </c>
      <c r="G20" s="366" t="n">
        <v>18</v>
      </c>
      <c r="I20" s="367" t="n">
        <f aca="false">IF((G20&lt;&gt;0),IF((D20&gt;0)," ",(I$1-A20))," ")</f>
        <v>349</v>
      </c>
      <c r="J20" s="334" t="str">
        <f aca="false">IF((E20="s"),G20," ")</f>
        <v> </v>
      </c>
      <c r="K20" s="334" t="str">
        <f aca="false">IF((E20="d"),G20," ")</f>
        <v> </v>
      </c>
      <c r="L20" s="334" t="str">
        <f aca="false">IF((E20="e"),G20," ")</f>
        <v> </v>
      </c>
      <c r="M20" s="334" t="str">
        <f aca="false">IF((E20="p"),G20," ")</f>
        <v> </v>
      </c>
      <c r="N20" s="334" t="str">
        <f aca="false">IF((E20="r"),G20," ")</f>
        <v> </v>
      </c>
      <c r="O20" s="334" t="str">
        <f aca="false">IF((E20="g"),G20," ")</f>
        <v> </v>
      </c>
      <c r="P20" s="334" t="n">
        <f aca="false">IF((E20="m"),G20," ")</f>
        <v>18</v>
      </c>
      <c r="Q20" s="334" t="str">
        <f aca="false">IF((E20="t"),G20," ")</f>
        <v> </v>
      </c>
      <c r="R20" s="334" t="str">
        <f aca="false">IF((E20="a"),G20," ")</f>
        <v> </v>
      </c>
      <c r="S20" s="334" t="str">
        <f aca="false">IF((E20="l"),G20," ")</f>
        <v> </v>
      </c>
      <c r="T20" s="334" t="str">
        <f aca="false">IF((E20="b"),G20," ")</f>
        <v> </v>
      </c>
      <c r="U20" s="334" t="str">
        <f aca="false">IF((E20="i"),G20," ")</f>
        <v> </v>
      </c>
      <c r="V20" s="334" t="str">
        <f aca="false">IF((E20="o"),G20," ")</f>
        <v> </v>
      </c>
      <c r="W20" s="334" t="str">
        <f aca="false">IF((E20="f"),G20," ")</f>
        <v> </v>
      </c>
    </row>
    <row r="21" customFormat="false" ht="12.75" hidden="false" customHeight="false" outlineLevel="0" collapsed="false">
      <c r="A21" s="355" t="n">
        <v>45791</v>
      </c>
      <c r="B21" s="363" t="s">
        <v>330</v>
      </c>
      <c r="E21" s="365" t="s">
        <v>323</v>
      </c>
      <c r="G21" s="366" t="n">
        <v>24</v>
      </c>
      <c r="I21" s="367" t="n">
        <f aca="false">IF((G21&lt;&gt;0),IF((D21&gt;0)," ",(I$1-A21))," ")</f>
        <v>347</v>
      </c>
      <c r="J21" s="334" t="str">
        <f aca="false">IF((E21="s"),G21," ")</f>
        <v> </v>
      </c>
      <c r="K21" s="334" t="str">
        <f aca="false">IF((E21="d"),G21," ")</f>
        <v> </v>
      </c>
      <c r="L21" s="334" t="str">
        <f aca="false">IF((E21="e"),G21," ")</f>
        <v> </v>
      </c>
      <c r="M21" s="334" t="str">
        <f aca="false">IF((E21="p"),G21," ")</f>
        <v> </v>
      </c>
      <c r="N21" s="334" t="str">
        <f aca="false">IF((E21="r"),G21," ")</f>
        <v> </v>
      </c>
      <c r="O21" s="334" t="str">
        <f aca="false">IF((E21="g"),G21," ")</f>
        <v> </v>
      </c>
      <c r="P21" s="334" t="str">
        <f aca="false">IF((E21="m"),G21," ")</f>
        <v> </v>
      </c>
      <c r="Q21" s="334" t="n">
        <f aca="false">IF((E21="t"),G21," ")</f>
        <v>24</v>
      </c>
      <c r="R21" s="334" t="str">
        <f aca="false">IF((E21="a"),G21," ")</f>
        <v> </v>
      </c>
      <c r="S21" s="334" t="str">
        <f aca="false">IF((E21="l"),G21," ")</f>
        <v> </v>
      </c>
      <c r="T21" s="334" t="str">
        <f aca="false">IF((E21="b"),G21," ")</f>
        <v> </v>
      </c>
      <c r="U21" s="334" t="str">
        <f aca="false">IF((E21="i"),G21," ")</f>
        <v> </v>
      </c>
      <c r="V21" s="334" t="str">
        <f aca="false">IF((E21="o"),G21," ")</f>
        <v> </v>
      </c>
      <c r="W21" s="334" t="str">
        <f aca="false">IF((E21="f"),G21," ")</f>
        <v> </v>
      </c>
    </row>
    <row r="22" customFormat="false" ht="12.75" hidden="false" customHeight="false" outlineLevel="0" collapsed="false">
      <c r="A22" s="355" t="n">
        <v>45791</v>
      </c>
      <c r="B22" s="363" t="s">
        <v>331</v>
      </c>
      <c r="E22" s="365" t="s">
        <v>323</v>
      </c>
      <c r="G22" s="366" t="n">
        <v>12</v>
      </c>
      <c r="I22" s="367" t="n">
        <f aca="false">IF((G22&lt;&gt;0),IF((D22&gt;0)," ",(I$1-A22))," ")</f>
        <v>347</v>
      </c>
      <c r="J22" s="334" t="str">
        <f aca="false">IF((E22="s"),G22," ")</f>
        <v> </v>
      </c>
      <c r="K22" s="334" t="str">
        <f aca="false">IF((E22="d"),G22," ")</f>
        <v> </v>
      </c>
      <c r="L22" s="334" t="str">
        <f aca="false">IF((E22="e"),G22," ")</f>
        <v> </v>
      </c>
      <c r="M22" s="334" t="str">
        <f aca="false">IF((E22="p"),G22," ")</f>
        <v> </v>
      </c>
      <c r="N22" s="334" t="str">
        <f aca="false">IF((E22="r"),G22," ")</f>
        <v> </v>
      </c>
      <c r="O22" s="334" t="str">
        <f aca="false">IF((E22="g"),G22," ")</f>
        <v> </v>
      </c>
      <c r="P22" s="334" t="str">
        <f aca="false">IF((E22="m"),G22," ")</f>
        <v> </v>
      </c>
      <c r="Q22" s="334" t="n">
        <f aca="false">IF((E22="t"),G22," ")</f>
        <v>12</v>
      </c>
      <c r="R22" s="334" t="str">
        <f aca="false">IF((E22="a"),G22," ")</f>
        <v> </v>
      </c>
      <c r="S22" s="334" t="str">
        <f aca="false">IF((E22="l"),G22," ")</f>
        <v> </v>
      </c>
      <c r="T22" s="334" t="str">
        <f aca="false">IF((E22="b"),G22," ")</f>
        <v> </v>
      </c>
      <c r="U22" s="334" t="str">
        <f aca="false">IF((E22="i"),G22," ")</f>
        <v> </v>
      </c>
      <c r="V22" s="334" t="str">
        <f aca="false">IF((E22="o"),G22," ")</f>
        <v> </v>
      </c>
      <c r="W22" s="334" t="str">
        <f aca="false">IF((E22="f"),G22," ")</f>
        <v> </v>
      </c>
    </row>
    <row r="23" customFormat="false" ht="12.75" hidden="false" customHeight="false" outlineLevel="0" collapsed="false">
      <c r="A23" s="355" t="n">
        <v>45792</v>
      </c>
      <c r="B23" s="363" t="s">
        <v>243</v>
      </c>
      <c r="E23" s="365" t="s">
        <v>291</v>
      </c>
      <c r="G23" s="366" t="n">
        <v>150</v>
      </c>
      <c r="I23" s="367" t="n">
        <f aca="false">IF((G23&lt;&gt;0),IF((D23&gt;0)," ",(I$1-A23))," ")</f>
        <v>346</v>
      </c>
      <c r="J23" s="334" t="str">
        <f aca="false">IF((E23="s"),G23," ")</f>
        <v> </v>
      </c>
      <c r="K23" s="334" t="str">
        <f aca="false">IF((E23="d"),G23," ")</f>
        <v> </v>
      </c>
      <c r="L23" s="334" t="str">
        <f aca="false">IF((E23="e"),G23," ")</f>
        <v> </v>
      </c>
      <c r="M23" s="334" t="str">
        <f aca="false">IF((E23="p"),G23," ")</f>
        <v> </v>
      </c>
      <c r="N23" s="334" t="str">
        <f aca="false">IF((E23="r"),G23," ")</f>
        <v> </v>
      </c>
      <c r="O23" s="334" t="str">
        <f aca="false">IF((E23="g"),G23," ")</f>
        <v> </v>
      </c>
      <c r="P23" s="334" t="n">
        <f aca="false">IF((E23="m"),G23," ")</f>
        <v>150</v>
      </c>
      <c r="Q23" s="334" t="str">
        <f aca="false">IF((E23="t"),G23," ")</f>
        <v> </v>
      </c>
      <c r="R23" s="334" t="str">
        <f aca="false">IF((E23="a"),G23," ")</f>
        <v> </v>
      </c>
      <c r="S23" s="334" t="str">
        <f aca="false">IF((E23="l"),G23," ")</f>
        <v> </v>
      </c>
      <c r="T23" s="334" t="str">
        <f aca="false">IF((E23="b"),G23," ")</f>
        <v> </v>
      </c>
      <c r="U23" s="334" t="str">
        <f aca="false">IF((E23="i"),G23," ")</f>
        <v> </v>
      </c>
      <c r="V23" s="334" t="str">
        <f aca="false">IF((E23="o"),G23," ")</f>
        <v> </v>
      </c>
      <c r="W23" s="334" t="str">
        <f aca="false">IF((E23="f"),G23," ")</f>
        <v> </v>
      </c>
    </row>
    <row r="24" customFormat="false" ht="12.75" hidden="false" customHeight="false" outlineLevel="0" collapsed="false">
      <c r="A24" s="355" t="n">
        <v>45792</v>
      </c>
      <c r="B24" s="363" t="s">
        <v>332</v>
      </c>
      <c r="E24" s="365" t="s">
        <v>310</v>
      </c>
      <c r="G24" s="366" t="n">
        <v>12</v>
      </c>
      <c r="I24" s="367" t="n">
        <f aca="false">IF((G24&lt;&gt;0),IF((D24&gt;0)," ",(I$1-A24))," ")</f>
        <v>346</v>
      </c>
      <c r="J24" s="334" t="str">
        <f aca="false">IF((E24="s"),G24," ")</f>
        <v> </v>
      </c>
      <c r="K24" s="334" t="str">
        <f aca="false">IF((E24="d"),G24," ")</f>
        <v> </v>
      </c>
      <c r="L24" s="334" t="str">
        <f aca="false">IF((E24="e"),G24," ")</f>
        <v> </v>
      </c>
      <c r="M24" s="334" t="str">
        <f aca="false">IF((E24="p"),G24," ")</f>
        <v> </v>
      </c>
      <c r="N24" s="334" t="str">
        <f aca="false">IF((E24="r"),G24," ")</f>
        <v> </v>
      </c>
      <c r="O24" s="334" t="n">
        <f aca="false">IF((E24="g"),G24," ")</f>
        <v>12</v>
      </c>
      <c r="P24" s="334" t="str">
        <f aca="false">IF((E24="m"),G24," ")</f>
        <v> </v>
      </c>
      <c r="Q24" s="334" t="str">
        <f aca="false">IF((E24="t"),G24," ")</f>
        <v> </v>
      </c>
      <c r="R24" s="334" t="str">
        <f aca="false">IF((E24="a"),G24," ")</f>
        <v> </v>
      </c>
      <c r="S24" s="334" t="str">
        <f aca="false">IF((E24="l"),G24," ")</f>
        <v> </v>
      </c>
      <c r="T24" s="334" t="str">
        <f aca="false">IF((E24="b"),G24," ")</f>
        <v> </v>
      </c>
      <c r="U24" s="334" t="str">
        <f aca="false">IF((E24="i"),G24," ")</f>
        <v> </v>
      </c>
      <c r="V24" s="334" t="str">
        <f aca="false">IF((E24="o"),G24," ")</f>
        <v> </v>
      </c>
      <c r="W24" s="334" t="str">
        <f aca="false">IF((E24="f"),G24," ")</f>
        <v> </v>
      </c>
    </row>
    <row r="25" customFormat="false" ht="12.75" hidden="false" customHeight="false" outlineLevel="0" collapsed="false">
      <c r="A25" s="355" t="n">
        <v>45792</v>
      </c>
      <c r="B25" s="363" t="s">
        <v>349</v>
      </c>
      <c r="E25" s="365" t="s">
        <v>327</v>
      </c>
      <c r="G25" s="366" t="n">
        <v>480</v>
      </c>
      <c r="I25" s="367" t="n">
        <f aca="false">IF((G25&lt;&gt;0),IF((D25&gt;0)," ",(I$1-A25))," ")</f>
        <v>346</v>
      </c>
      <c r="J25" s="334" t="n">
        <f aca="false">IF((E25="s"),G25," ")</f>
        <v>480</v>
      </c>
      <c r="K25" s="334" t="str">
        <f aca="false">IF((E25="d"),G25," ")</f>
        <v> </v>
      </c>
      <c r="L25" s="334" t="str">
        <f aca="false">IF((E25="e"),G25," ")</f>
        <v> </v>
      </c>
      <c r="M25" s="334" t="str">
        <f aca="false">IF((E25="p"),G25," ")</f>
        <v> </v>
      </c>
      <c r="N25" s="334" t="str">
        <f aca="false">IF((E25="r"),G25," ")</f>
        <v> </v>
      </c>
      <c r="O25" s="334" t="str">
        <f aca="false">IF((E25="g"),G25," ")</f>
        <v> </v>
      </c>
      <c r="P25" s="334" t="str">
        <f aca="false">IF((E25="m"),G25," ")</f>
        <v> </v>
      </c>
      <c r="Q25" s="334" t="str">
        <f aca="false">IF((E25="t"),G25," ")</f>
        <v> </v>
      </c>
      <c r="R25" s="334" t="str">
        <f aca="false">IF((E25="a"),G25," ")</f>
        <v> </v>
      </c>
      <c r="S25" s="334" t="str">
        <f aca="false">IF((E25="l"),G25," ")</f>
        <v> </v>
      </c>
      <c r="T25" s="334" t="str">
        <f aca="false">IF((E25="b"),G25," ")</f>
        <v> </v>
      </c>
      <c r="U25" s="334" t="str">
        <f aca="false">IF((E25="i"),G25," ")</f>
        <v> </v>
      </c>
      <c r="V25" s="334" t="str">
        <f aca="false">IF((E25="o"),G25," ")</f>
        <v> </v>
      </c>
      <c r="W25" s="334" t="str">
        <f aca="false">IF((E25="f"),G25," ")</f>
        <v> </v>
      </c>
    </row>
    <row r="26" customFormat="false" ht="12.75" hidden="false" customHeight="false" outlineLevel="0" collapsed="false">
      <c r="A26" s="355" t="n">
        <v>45792</v>
      </c>
      <c r="B26" s="363" t="s">
        <v>350</v>
      </c>
      <c r="E26" s="365" t="s">
        <v>351</v>
      </c>
      <c r="G26" s="366" t="n">
        <v>1800</v>
      </c>
      <c r="I26" s="367" t="n">
        <f aca="false">IF((G26&lt;&gt;0),IF((D26&gt;0)," ",(I$1-A26))," ")</f>
        <v>346</v>
      </c>
      <c r="J26" s="334" t="str">
        <f aca="false">IF((E26="s"),G26," ")</f>
        <v> </v>
      </c>
      <c r="K26" s="334" t="str">
        <f aca="false">IF((E26="d"),G26," ")</f>
        <v> </v>
      </c>
      <c r="L26" s="334" t="str">
        <f aca="false">IF((E26="e"),G26," ")</f>
        <v> </v>
      </c>
      <c r="M26" s="334" t="str">
        <f aca="false">IF((E26="p"),G26," ")</f>
        <v> </v>
      </c>
      <c r="N26" s="334" t="str">
        <f aca="false">IF((E26="r"),G26," ")</f>
        <v> </v>
      </c>
      <c r="O26" s="334" t="str">
        <f aca="false">IF((E26="g"),G26," ")</f>
        <v> </v>
      </c>
      <c r="P26" s="334" t="str">
        <f aca="false">IF((E26="m"),G26," ")</f>
        <v> </v>
      </c>
      <c r="Q26" s="334" t="str">
        <f aca="false">IF((E26="t"),G26," ")</f>
        <v> </v>
      </c>
      <c r="R26" s="334" t="str">
        <f aca="false">IF((E26="a"),G26," ")</f>
        <v> </v>
      </c>
      <c r="S26" s="334" t="str">
        <f aca="false">IF((E26="l"),G26," ")</f>
        <v> </v>
      </c>
      <c r="T26" s="334" t="str">
        <f aca="false">IF((E26="b"),G26," ")</f>
        <v> </v>
      </c>
      <c r="U26" s="334" t="str">
        <f aca="false">IF((E26="i"),G26," ")</f>
        <v> </v>
      </c>
      <c r="V26" s="334" t="str">
        <f aca="false">IF((E26="o"),G26," ")</f>
        <v> </v>
      </c>
      <c r="W26" s="334" t="n">
        <f aca="false">IF((E26="f"),G26," ")</f>
        <v>1800</v>
      </c>
    </row>
    <row r="27" customFormat="false" ht="12.75" hidden="false" customHeight="false" outlineLevel="0" collapsed="false">
      <c r="A27" s="355" t="n">
        <v>45793</v>
      </c>
      <c r="B27" s="363" t="s">
        <v>352</v>
      </c>
      <c r="E27" s="365" t="s">
        <v>310</v>
      </c>
      <c r="G27" s="366" t="n">
        <v>18</v>
      </c>
      <c r="I27" s="367" t="n">
        <f aca="false">IF((G27&lt;&gt;0),IF((D27&gt;0)," ",(I$1-A27))," ")</f>
        <v>345</v>
      </c>
      <c r="J27" s="334" t="str">
        <f aca="false">IF((E27="s"),G27," ")</f>
        <v> </v>
      </c>
      <c r="K27" s="334" t="str">
        <f aca="false">IF((E27="d"),G27," ")</f>
        <v> </v>
      </c>
      <c r="L27" s="334" t="str">
        <f aca="false">IF((E27="e"),G27," ")</f>
        <v> </v>
      </c>
      <c r="M27" s="334" t="str">
        <f aca="false">IF((E27="p"),G27," ")</f>
        <v> </v>
      </c>
      <c r="N27" s="334" t="str">
        <f aca="false">IF((E27="r"),G27," ")</f>
        <v> </v>
      </c>
      <c r="O27" s="334" t="n">
        <f aca="false">IF((E27="g"),G27," ")</f>
        <v>18</v>
      </c>
      <c r="P27" s="334" t="str">
        <f aca="false">IF((E27="m"),G27," ")</f>
        <v> </v>
      </c>
      <c r="Q27" s="334" t="str">
        <f aca="false">IF((E27="t"),G27," ")</f>
        <v> </v>
      </c>
      <c r="R27" s="334" t="str">
        <f aca="false">IF((E27="a"),G27," ")</f>
        <v> </v>
      </c>
      <c r="S27" s="334" t="str">
        <f aca="false">IF((E27="l"),G27," ")</f>
        <v> </v>
      </c>
      <c r="T27" s="334" t="str">
        <f aca="false">IF((E27="b"),G27," ")</f>
        <v> </v>
      </c>
      <c r="U27" s="334" t="str">
        <f aca="false">IF((E27="i"),G27," ")</f>
        <v> </v>
      </c>
      <c r="V27" s="334" t="str">
        <f aca="false">IF((E27="o"),G27," ")</f>
        <v> </v>
      </c>
      <c r="W27" s="334" t="str">
        <f aca="false">IF((E27="f"),G27," ")</f>
        <v> </v>
      </c>
    </row>
    <row r="28" customFormat="false" ht="12.75" hidden="false" customHeight="false" outlineLevel="0" collapsed="false">
      <c r="A28" s="355" t="n">
        <v>45795</v>
      </c>
      <c r="B28" s="363" t="s">
        <v>333</v>
      </c>
      <c r="E28" s="365" t="s">
        <v>291</v>
      </c>
      <c r="G28" s="366" t="n">
        <v>96</v>
      </c>
      <c r="I28" s="367" t="n">
        <f aca="false">IF((G28&lt;&gt;0),IF((D28&gt;0)," ",(I$1-A28))," ")</f>
        <v>343</v>
      </c>
      <c r="J28" s="334" t="str">
        <f aca="false">IF((E28="s"),G28," ")</f>
        <v> </v>
      </c>
      <c r="K28" s="334" t="str">
        <f aca="false">IF((E28="d"),G28," ")</f>
        <v> </v>
      </c>
      <c r="L28" s="334" t="str">
        <f aca="false">IF((E28="e"),G28," ")</f>
        <v> </v>
      </c>
      <c r="M28" s="334" t="str">
        <f aca="false">IF((E28="p"),G28," ")</f>
        <v> </v>
      </c>
      <c r="N28" s="334" t="str">
        <f aca="false">IF((E28="r"),G28," ")</f>
        <v> </v>
      </c>
      <c r="O28" s="334" t="str">
        <f aca="false">IF((E28="g"),G28," ")</f>
        <v> </v>
      </c>
      <c r="P28" s="334" t="n">
        <f aca="false">IF((E28="m"),G28," ")</f>
        <v>96</v>
      </c>
      <c r="Q28" s="334" t="str">
        <f aca="false">IF((E28="t"),G28," ")</f>
        <v> </v>
      </c>
      <c r="R28" s="334" t="str">
        <f aca="false">IF((E28="a"),G28," ")</f>
        <v> </v>
      </c>
      <c r="S28" s="334" t="str">
        <f aca="false">IF((E28="l"),G28," ")</f>
        <v> </v>
      </c>
      <c r="T28" s="334" t="str">
        <f aca="false">IF((E28="b"),G28," ")</f>
        <v> </v>
      </c>
      <c r="U28" s="334" t="str">
        <f aca="false">IF((E28="i"),G28," ")</f>
        <v> </v>
      </c>
      <c r="V28" s="334" t="str">
        <f aca="false">IF((E28="o"),G28," ")</f>
        <v> </v>
      </c>
      <c r="W28" s="334" t="str">
        <f aca="false">IF((E28="f"),G28," ")</f>
        <v> </v>
      </c>
    </row>
    <row r="29" customFormat="false" ht="12.75" hidden="false" customHeight="false" outlineLevel="0" collapsed="false">
      <c r="A29" s="355" t="n">
        <v>45797</v>
      </c>
      <c r="B29" s="363" t="s">
        <v>242</v>
      </c>
      <c r="E29" s="365" t="s">
        <v>310</v>
      </c>
      <c r="G29" s="366" t="n">
        <v>60</v>
      </c>
      <c r="I29" s="367" t="n">
        <f aca="false">IF((G29&lt;&gt;0),IF((D29&gt;0)," ",(I$1-A29))," ")</f>
        <v>341</v>
      </c>
      <c r="J29" s="334" t="str">
        <f aca="false">IF((E29="s"),G29," ")</f>
        <v> </v>
      </c>
      <c r="K29" s="334" t="str">
        <f aca="false">IF((E29="d"),G29," ")</f>
        <v> </v>
      </c>
      <c r="L29" s="334" t="str">
        <f aca="false">IF((E29="e"),G29," ")</f>
        <v> </v>
      </c>
      <c r="M29" s="334" t="str">
        <f aca="false">IF((E29="p"),G29," ")</f>
        <v> </v>
      </c>
      <c r="N29" s="334" t="str">
        <f aca="false">IF((E29="r"),G29," ")</f>
        <v> </v>
      </c>
      <c r="O29" s="334" t="n">
        <f aca="false">IF((E29="g"),G29," ")</f>
        <v>60</v>
      </c>
      <c r="P29" s="334" t="str">
        <f aca="false">IF((E29="m"),G29," ")</f>
        <v> </v>
      </c>
      <c r="Q29" s="334" t="str">
        <f aca="false">IF((E29="t"),G29," ")</f>
        <v> </v>
      </c>
      <c r="R29" s="334" t="str">
        <f aca="false">IF((E29="a"),G29," ")</f>
        <v> </v>
      </c>
      <c r="S29" s="334" t="str">
        <f aca="false">IF((E29="l"),G29," ")</f>
        <v> </v>
      </c>
      <c r="T29" s="334" t="str">
        <f aca="false">IF((E29="b"),G29," ")</f>
        <v> </v>
      </c>
      <c r="U29" s="334" t="str">
        <f aca="false">IF((E29="i"),G29," ")</f>
        <v> </v>
      </c>
      <c r="V29" s="334" t="str">
        <f aca="false">IF((E29="o"),G29," ")</f>
        <v> </v>
      </c>
      <c r="W29" s="334" t="str">
        <f aca="false">IF((E29="f"),G29," ")</f>
        <v> </v>
      </c>
    </row>
    <row r="30" customFormat="false" ht="12.75" hidden="false" customHeight="false" outlineLevel="0" collapsed="false">
      <c r="A30" s="355" t="n">
        <v>45797</v>
      </c>
      <c r="B30" s="363" t="s">
        <v>353</v>
      </c>
      <c r="E30" s="365" t="s">
        <v>313</v>
      </c>
      <c r="G30" s="366" t="n">
        <v>180</v>
      </c>
      <c r="I30" s="367" t="n">
        <f aca="false">IF((G30&lt;&gt;0),IF((D30&gt;0)," ",(I$1-A30))," ")</f>
        <v>341</v>
      </c>
      <c r="J30" s="334" t="str">
        <f aca="false">IF((E30="s"),G30," ")</f>
        <v> </v>
      </c>
      <c r="K30" s="334" t="str">
        <f aca="false">IF((E30="d"),G30," ")</f>
        <v> </v>
      </c>
      <c r="L30" s="334" t="str">
        <f aca="false">IF((E30="e"),G30," ")</f>
        <v> </v>
      </c>
      <c r="M30" s="334" t="str">
        <f aca="false">IF((E30="p"),G30," ")</f>
        <v> </v>
      </c>
      <c r="N30" s="334" t="str">
        <f aca="false">IF((E30="r"),G30," ")</f>
        <v> </v>
      </c>
      <c r="O30" s="334" t="str">
        <f aca="false">IF((E30="g"),G30," ")</f>
        <v> </v>
      </c>
      <c r="P30" s="334" t="str">
        <f aca="false">IF((E30="m"),G30," ")</f>
        <v> </v>
      </c>
      <c r="Q30" s="334" t="str">
        <f aca="false">IF((E30="t"),G30," ")</f>
        <v> </v>
      </c>
      <c r="R30" s="334" t="str">
        <f aca="false">IF((E30="a"),G30," ")</f>
        <v> </v>
      </c>
      <c r="S30" s="334" t="str">
        <f aca="false">IF((E30="l"),G30," ")</f>
        <v> </v>
      </c>
      <c r="T30" s="334" t="str">
        <f aca="false">IF((E30="b"),G30," ")</f>
        <v> </v>
      </c>
      <c r="U30" s="334" t="str">
        <f aca="false">IF((E30="i"),G30," ")</f>
        <v> </v>
      </c>
      <c r="V30" s="334" t="n">
        <f aca="false">IF((E30="o"),G30," ")</f>
        <v>180</v>
      </c>
      <c r="W30" s="334" t="str">
        <f aca="false">IF((E30="f"),G30," ")</f>
        <v> </v>
      </c>
    </row>
    <row r="31" customFormat="false" ht="12.75" hidden="false" customHeight="false" outlineLevel="0" collapsed="false">
      <c r="A31" s="355" t="n">
        <v>45797</v>
      </c>
      <c r="B31" s="363" t="s">
        <v>354</v>
      </c>
      <c r="E31" s="365" t="s">
        <v>327</v>
      </c>
      <c r="G31" s="366" t="n">
        <v>240</v>
      </c>
      <c r="I31" s="367" t="n">
        <f aca="false">IF((G31&lt;&gt;0),IF((D31&gt;0)," ",(I$1-A31))," ")</f>
        <v>341</v>
      </c>
      <c r="J31" s="334" t="n">
        <f aca="false">IF((E31="s"),G31," ")</f>
        <v>240</v>
      </c>
      <c r="K31" s="334" t="str">
        <f aca="false">IF((E31="d"),G31," ")</f>
        <v> </v>
      </c>
      <c r="L31" s="334" t="str">
        <f aca="false">IF((E31="e"),G31," ")</f>
        <v> </v>
      </c>
      <c r="M31" s="334" t="str">
        <f aca="false">IF((E31="p"),G31," ")</f>
        <v> </v>
      </c>
      <c r="N31" s="334" t="str">
        <f aca="false">IF((E31="r"),G31," ")</f>
        <v> </v>
      </c>
      <c r="O31" s="334" t="str">
        <f aca="false">IF((E31="g"),G31," ")</f>
        <v> </v>
      </c>
      <c r="P31" s="334" t="str">
        <f aca="false">IF((E31="m"),G31," ")</f>
        <v> </v>
      </c>
      <c r="Q31" s="334" t="str">
        <f aca="false">IF((E31="t"),G31," ")</f>
        <v> </v>
      </c>
      <c r="R31" s="334" t="str">
        <f aca="false">IF((E31="a"),G31," ")</f>
        <v> </v>
      </c>
      <c r="S31" s="334" t="str">
        <f aca="false">IF((E31="l"),G31," ")</f>
        <v> </v>
      </c>
      <c r="T31" s="334" t="str">
        <f aca="false">IF((E31="b"),G31," ")</f>
        <v> </v>
      </c>
      <c r="U31" s="334" t="str">
        <f aca="false">IF((E31="i"),G31," ")</f>
        <v> </v>
      </c>
      <c r="V31" s="334" t="str">
        <f aca="false">IF((E31="o"),G31," ")</f>
        <v> </v>
      </c>
      <c r="W31" s="334" t="str">
        <f aca="false">IF((E31="f"),G31," ")</f>
        <v> </v>
      </c>
    </row>
    <row r="32" customFormat="false" ht="12.75" hidden="false" customHeight="false" outlineLevel="0" collapsed="false">
      <c r="A32" s="355" t="n">
        <v>45798</v>
      </c>
      <c r="B32" s="363" t="s">
        <v>336</v>
      </c>
      <c r="E32" s="365" t="s">
        <v>323</v>
      </c>
      <c r="G32" s="366" t="n">
        <v>8</v>
      </c>
      <c r="I32" s="367" t="n">
        <f aca="false">IF((G32&lt;&gt;0),IF((D32&gt;0)," ",(I$1-A32))," ")</f>
        <v>340</v>
      </c>
      <c r="J32" s="334" t="str">
        <f aca="false">IF((E32="s"),G32," ")</f>
        <v> </v>
      </c>
      <c r="K32" s="334" t="str">
        <f aca="false">IF((E32="d"),G32," ")</f>
        <v> </v>
      </c>
      <c r="L32" s="334" t="str">
        <f aca="false">IF((E32="e"),G32," ")</f>
        <v> </v>
      </c>
      <c r="M32" s="334" t="str">
        <f aca="false">IF((E32="p"),G32," ")</f>
        <v> </v>
      </c>
      <c r="N32" s="334" t="str">
        <f aca="false">IF((E32="r"),G32," ")</f>
        <v> </v>
      </c>
      <c r="O32" s="334" t="str">
        <f aca="false">IF((E32="g"),G32," ")</f>
        <v> </v>
      </c>
      <c r="P32" s="334" t="str">
        <f aca="false">IF((E32="m"),G32," ")</f>
        <v> </v>
      </c>
      <c r="Q32" s="334" t="n">
        <f aca="false">IF((E32="t"),G32," ")</f>
        <v>8</v>
      </c>
      <c r="R32" s="334" t="str">
        <f aca="false">IF((E32="a"),G32," ")</f>
        <v> </v>
      </c>
      <c r="S32" s="334" t="str">
        <f aca="false">IF((E32="l"),G32," ")</f>
        <v> </v>
      </c>
      <c r="T32" s="334" t="str">
        <f aca="false">IF((E32="b"),G32," ")</f>
        <v> </v>
      </c>
      <c r="U32" s="334" t="str">
        <f aca="false">IF((E32="i"),G32," ")</f>
        <v> </v>
      </c>
      <c r="V32" s="334" t="str">
        <f aca="false">IF((E32="o"),G32," ")</f>
        <v> </v>
      </c>
      <c r="W32" s="334" t="str">
        <f aca="false">IF((E32="f"),G32," ")</f>
        <v> </v>
      </c>
    </row>
    <row r="33" customFormat="false" ht="12.75" hidden="false" customHeight="false" outlineLevel="0" collapsed="false">
      <c r="A33" s="355" t="n">
        <v>45799</v>
      </c>
      <c r="B33" s="363" t="s">
        <v>337</v>
      </c>
      <c r="E33" s="365" t="s">
        <v>313</v>
      </c>
      <c r="G33" s="366" t="n">
        <v>18</v>
      </c>
      <c r="I33" s="367" t="n">
        <f aca="false">IF((G33&lt;&gt;0),IF((D33&gt;0)," ",(I$1-A33))," ")</f>
        <v>339</v>
      </c>
      <c r="J33" s="334" t="str">
        <f aca="false">IF((E33="s"),G33," ")</f>
        <v> </v>
      </c>
      <c r="K33" s="334" t="str">
        <f aca="false">IF((E33="d"),G33," ")</f>
        <v> </v>
      </c>
      <c r="L33" s="334" t="str">
        <f aca="false">IF((E33="e"),G33," ")</f>
        <v> </v>
      </c>
      <c r="M33" s="334" t="str">
        <f aca="false">IF((E33="p"),G33," ")</f>
        <v> </v>
      </c>
      <c r="N33" s="334" t="str">
        <f aca="false">IF((E33="r"),G33," ")</f>
        <v> </v>
      </c>
      <c r="O33" s="334" t="str">
        <f aca="false">IF((E33="g"),G33," ")</f>
        <v> </v>
      </c>
      <c r="P33" s="334" t="str">
        <f aca="false">IF((E33="m"),G33," ")</f>
        <v> </v>
      </c>
      <c r="Q33" s="334" t="str">
        <f aca="false">IF((E33="t"),G33," ")</f>
        <v> </v>
      </c>
      <c r="R33" s="334" t="str">
        <f aca="false">IF((E33="a"),G33," ")</f>
        <v> </v>
      </c>
      <c r="S33" s="334" t="str">
        <f aca="false">IF((E33="l"),G33," ")</f>
        <v> </v>
      </c>
      <c r="T33" s="334" t="str">
        <f aca="false">IF((E33="b"),G33," ")</f>
        <v> </v>
      </c>
      <c r="U33" s="334" t="str">
        <f aca="false">IF((E33="i"),G33," ")</f>
        <v> </v>
      </c>
      <c r="V33" s="334" t="n">
        <f aca="false">IF((E33="o"),G33," ")</f>
        <v>18</v>
      </c>
      <c r="W33" s="334" t="str">
        <f aca="false">IF((E33="f"),G33," ")</f>
        <v> </v>
      </c>
    </row>
    <row r="34" customFormat="false" ht="12.75" hidden="false" customHeight="false" outlineLevel="0" collapsed="false">
      <c r="A34" s="355" t="n">
        <v>45799</v>
      </c>
      <c r="B34" s="363" t="s">
        <v>355</v>
      </c>
      <c r="E34" s="365" t="s">
        <v>291</v>
      </c>
      <c r="G34" s="366" t="n">
        <v>48</v>
      </c>
      <c r="I34" s="367" t="n">
        <f aca="false">IF((G34&lt;&gt;0),IF((D34&gt;0)," ",(I$1-A34))," ")</f>
        <v>339</v>
      </c>
      <c r="J34" s="334" t="str">
        <f aca="false">IF((E34="s"),G34," ")</f>
        <v> </v>
      </c>
      <c r="K34" s="334" t="str">
        <f aca="false">IF((E34="d"),G34," ")</f>
        <v> </v>
      </c>
      <c r="L34" s="334" t="str">
        <f aca="false">IF((E34="e"),G34," ")</f>
        <v> </v>
      </c>
      <c r="M34" s="334" t="str">
        <f aca="false">IF((E34="p"),G34," ")</f>
        <v> </v>
      </c>
      <c r="N34" s="334" t="str">
        <f aca="false">IF((E34="r"),G34," ")</f>
        <v> </v>
      </c>
      <c r="O34" s="334" t="str">
        <f aca="false">IF((E34="g"),G34," ")</f>
        <v> </v>
      </c>
      <c r="P34" s="334" t="n">
        <f aca="false">IF((E34="m"),G34," ")</f>
        <v>48</v>
      </c>
      <c r="Q34" s="334" t="str">
        <f aca="false">IF((E34="t"),G34," ")</f>
        <v> </v>
      </c>
      <c r="R34" s="334" t="str">
        <f aca="false">IF((E34="a"),G34," ")</f>
        <v> </v>
      </c>
      <c r="S34" s="334" t="str">
        <f aca="false">IF((E34="l"),G34," ")</f>
        <v> </v>
      </c>
      <c r="T34" s="334" t="str">
        <f aca="false">IF((E34="b"),G34," ")</f>
        <v> </v>
      </c>
      <c r="U34" s="334" t="str">
        <f aca="false">IF((E34="i"),G34," ")</f>
        <v> </v>
      </c>
      <c r="V34" s="334" t="str">
        <f aca="false">IF((E34="o"),G34," ")</f>
        <v> </v>
      </c>
      <c r="W34" s="334" t="str">
        <f aca="false">IF((E34="f"),G34," ")</f>
        <v> </v>
      </c>
    </row>
    <row r="35" customFormat="false" ht="12.75" hidden="false" customHeight="false" outlineLevel="0" collapsed="false">
      <c r="A35" s="355" t="n">
        <v>45802</v>
      </c>
      <c r="B35" s="363" t="s">
        <v>338</v>
      </c>
      <c r="E35" s="365" t="s">
        <v>313</v>
      </c>
      <c r="G35" s="366" t="n">
        <v>15</v>
      </c>
      <c r="I35" s="367" t="n">
        <f aca="false">IF((G35&lt;&gt;0),IF((D35&gt;0)," ",(I$1-A35))," ")</f>
        <v>336</v>
      </c>
      <c r="J35" s="334" t="str">
        <f aca="false">IF((E35="s"),G35," ")</f>
        <v> </v>
      </c>
      <c r="K35" s="334" t="str">
        <f aca="false">IF((E35="d"),G35," ")</f>
        <v> </v>
      </c>
      <c r="L35" s="334" t="str">
        <f aca="false">IF((E35="e"),G35," ")</f>
        <v> </v>
      </c>
      <c r="M35" s="334" t="str">
        <f aca="false">IF((E35="p"),G35," ")</f>
        <v> </v>
      </c>
      <c r="N35" s="334" t="str">
        <f aca="false">IF((E35="r"),G35," ")</f>
        <v> </v>
      </c>
      <c r="O35" s="334" t="str">
        <f aca="false">IF((E35="g"),G35," ")</f>
        <v> </v>
      </c>
      <c r="P35" s="334" t="str">
        <f aca="false">IF((E35="m"),G35," ")</f>
        <v> </v>
      </c>
      <c r="Q35" s="334" t="str">
        <f aca="false">IF((E35="t"),G35," ")</f>
        <v> </v>
      </c>
      <c r="R35" s="334" t="str">
        <f aca="false">IF((E35="a"),G35," ")</f>
        <v> </v>
      </c>
      <c r="S35" s="334" t="str">
        <f aca="false">IF((E35="l"),G35," ")</f>
        <v> </v>
      </c>
      <c r="T35" s="334" t="str">
        <f aca="false">IF((E35="b"),G35," ")</f>
        <v> </v>
      </c>
      <c r="U35" s="334" t="str">
        <f aca="false">IF((E35="i"),G35," ")</f>
        <v> </v>
      </c>
      <c r="V35" s="334" t="n">
        <f aca="false">IF((E35="o"),G35," ")</f>
        <v>15</v>
      </c>
      <c r="W35" s="334" t="str">
        <f aca="false">IF((E35="f"),G35," ")</f>
        <v> </v>
      </c>
    </row>
    <row r="36" customFormat="false" ht="12.75" hidden="false" customHeight="false" outlineLevel="0" collapsed="false">
      <c r="A36" s="355" t="n">
        <v>45802</v>
      </c>
      <c r="B36" s="363" t="s">
        <v>339</v>
      </c>
      <c r="E36" s="365" t="s">
        <v>291</v>
      </c>
      <c r="G36" s="366" t="n">
        <v>54</v>
      </c>
      <c r="I36" s="367" t="n">
        <f aca="false">IF((G36&lt;&gt;0),IF((D36&gt;0)," ",(I$1-A36))," ")</f>
        <v>336</v>
      </c>
      <c r="J36" s="334" t="str">
        <f aca="false">IF((E36="s"),G36," ")</f>
        <v> </v>
      </c>
      <c r="K36" s="334" t="str">
        <f aca="false">IF((E36="d"),G36," ")</f>
        <v> </v>
      </c>
      <c r="L36" s="334" t="str">
        <f aca="false">IF((E36="e"),G36," ")</f>
        <v> </v>
      </c>
      <c r="M36" s="334" t="str">
        <f aca="false">IF((E36="p"),G36," ")</f>
        <v> </v>
      </c>
      <c r="N36" s="334" t="str">
        <f aca="false">IF((E36="r"),G36," ")</f>
        <v> </v>
      </c>
      <c r="O36" s="334" t="str">
        <f aca="false">IF((E36="g"),G36," ")</f>
        <v> </v>
      </c>
      <c r="P36" s="334" t="n">
        <f aca="false">IF((E36="m"),G36," ")</f>
        <v>54</v>
      </c>
      <c r="Q36" s="334" t="str">
        <f aca="false">IF((E36="t"),G36," ")</f>
        <v> </v>
      </c>
      <c r="R36" s="334" t="str">
        <f aca="false">IF((E36="a"),G36," ")</f>
        <v> </v>
      </c>
      <c r="S36" s="334" t="str">
        <f aca="false">IF((E36="l"),G36," ")</f>
        <v> </v>
      </c>
      <c r="T36" s="334" t="str">
        <f aca="false">IF((E36="b"),G36," ")</f>
        <v> </v>
      </c>
      <c r="U36" s="334" t="str">
        <f aca="false">IF((E36="i"),G36," ")</f>
        <v> </v>
      </c>
      <c r="V36" s="334" t="str">
        <f aca="false">IF((E36="o"),G36," ")</f>
        <v> </v>
      </c>
      <c r="W36" s="334" t="str">
        <f aca="false">IF((E36="f"),G36," ")</f>
        <v> </v>
      </c>
    </row>
    <row r="37" customFormat="false" ht="12.75" hidden="false" customHeight="false" outlineLevel="0" collapsed="false">
      <c r="A37" s="355" t="n">
        <v>45805</v>
      </c>
      <c r="B37" s="363" t="s">
        <v>243</v>
      </c>
      <c r="E37" s="365" t="s">
        <v>291</v>
      </c>
      <c r="G37" s="366" t="n">
        <v>120</v>
      </c>
      <c r="H37" s="338" t="n">
        <f aca="false">IF((G37&lt;&gt;0),IF((D37&gt;0)," ",G37)," ")</f>
        <v>120</v>
      </c>
      <c r="I37" s="367" t="n">
        <f aca="false">IF((G37&lt;&gt;0),IF((D37&gt;0)," ",(I$1-A37))," ")</f>
        <v>333</v>
      </c>
      <c r="J37" s="334" t="str">
        <f aca="false">IF((E37="s"),G37," ")</f>
        <v> </v>
      </c>
      <c r="K37" s="334" t="str">
        <f aca="false">IF((E37="d"),G37," ")</f>
        <v> </v>
      </c>
      <c r="L37" s="334" t="str">
        <f aca="false">IF((E37="e"),G37," ")</f>
        <v> </v>
      </c>
      <c r="M37" s="334" t="str">
        <f aca="false">IF((E37="p"),G37," ")</f>
        <v> </v>
      </c>
      <c r="N37" s="334" t="str">
        <f aca="false">IF((E37="r"),G37," ")</f>
        <v> </v>
      </c>
      <c r="O37" s="334" t="str">
        <f aca="false">IF((E37="g"),G37," ")</f>
        <v> </v>
      </c>
      <c r="P37" s="334" t="n">
        <f aca="false">IF((E37="m"),G37," ")</f>
        <v>120</v>
      </c>
      <c r="Q37" s="334" t="str">
        <f aca="false">IF((E37="t"),G37," ")</f>
        <v> </v>
      </c>
      <c r="R37" s="334" t="str">
        <f aca="false">IF((E37="a"),G37," ")</f>
        <v> </v>
      </c>
      <c r="S37" s="334" t="str">
        <f aca="false">IF((E37="l"),G37," ")</f>
        <v> </v>
      </c>
      <c r="T37" s="334" t="str">
        <f aca="false">IF((E37="b"),G37," ")</f>
        <v> </v>
      </c>
      <c r="U37" s="334" t="str">
        <f aca="false">IF((E37="i"),G37," ")</f>
        <v> </v>
      </c>
      <c r="V37" s="334" t="str">
        <f aca="false">IF((E37="o"),G37," ")</f>
        <v> </v>
      </c>
      <c r="W37" s="334" t="str">
        <f aca="false">IF((E37="f"),G37," ")</f>
        <v> </v>
      </c>
    </row>
    <row r="38" customFormat="false" ht="12.75" hidden="false" customHeight="false" outlineLevel="0" collapsed="false">
      <c r="A38" s="355" t="n">
        <v>45808</v>
      </c>
      <c r="B38" s="363" t="s">
        <v>240</v>
      </c>
      <c r="E38" s="365" t="s">
        <v>340</v>
      </c>
      <c r="G38" s="366" t="n">
        <v>300</v>
      </c>
      <c r="H38" s="338" t="n">
        <f aca="false">IF((G38&lt;&gt;0),IF((D38&gt;0)," ",G38)," ")</f>
        <v>300</v>
      </c>
      <c r="I38" s="367" t="n">
        <f aca="false">IF((G38&lt;&gt;0),IF((D38&gt;0)," ",(I$1-A38))," ")</f>
        <v>330</v>
      </c>
      <c r="J38" s="334" t="str">
        <f aca="false">IF((E38="s"),G38," ")</f>
        <v> </v>
      </c>
      <c r="K38" s="334" t="str">
        <f aca="false">IF((E38="d"),G38," ")</f>
        <v> </v>
      </c>
      <c r="L38" s="334" t="str">
        <f aca="false">IF((E38="e"),G38," ")</f>
        <v> </v>
      </c>
      <c r="M38" s="334" t="str">
        <f aca="false">IF((E38="p"),G38," ")</f>
        <v> </v>
      </c>
      <c r="N38" s="334" t="str">
        <f aca="false">IF((E38="r"),G38," ")</f>
        <v> </v>
      </c>
      <c r="O38" s="334" t="str">
        <f aca="false">IF((E38="g"),G38," ")</f>
        <v> </v>
      </c>
      <c r="P38" s="334" t="str">
        <f aca="false">IF((E38="m"),G38," ")</f>
        <v> </v>
      </c>
      <c r="Q38" s="334" t="str">
        <f aca="false">IF((E38="t"),G38," ")</f>
        <v> </v>
      </c>
      <c r="R38" s="334" t="str">
        <f aca="false">IF((E38="a"),G38," ")</f>
        <v> </v>
      </c>
      <c r="S38" s="334" t="n">
        <f aca="false">IF((E38="l"),G38," ")</f>
        <v>300</v>
      </c>
      <c r="T38" s="334" t="str">
        <f aca="false">IF((E38="b"),G38," ")</f>
        <v> </v>
      </c>
      <c r="U38" s="334" t="str">
        <f aca="false">IF((E38="i"),G38," ")</f>
        <v> </v>
      </c>
      <c r="V38" s="334" t="str">
        <f aca="false">IF((E38="o"),G38," ")</f>
        <v> </v>
      </c>
      <c r="W38" s="334" t="str">
        <f aca="false">IF((E38="f"),G38," ")</f>
        <v> </v>
      </c>
    </row>
    <row r="39" customFormat="false" ht="12.75" hidden="false" customHeight="false" outlineLevel="0" collapsed="false">
      <c r="A39" s="355"/>
      <c r="H39" s="338" t="str">
        <f aca="false">IF((G39&lt;&gt;0),IF((D39&gt;0)," ",G39)," ")</f>
        <v> </v>
      </c>
      <c r="I39" s="367" t="str">
        <f aca="false">IF((G39&lt;&gt;0),IF((D39&gt;0)," ",(I$1-A39))," ")</f>
        <v> </v>
      </c>
      <c r="J39" s="334" t="str">
        <f aca="false">IF((E39="s"),G39," ")</f>
        <v> </v>
      </c>
      <c r="K39" s="334" t="str">
        <f aca="false">IF((E39="d"),G39," ")</f>
        <v> </v>
      </c>
      <c r="L39" s="334" t="str">
        <f aca="false">IF((E39="e"),G39," ")</f>
        <v> </v>
      </c>
      <c r="M39" s="334" t="str">
        <f aca="false">IF((E39="p"),G39," ")</f>
        <v> </v>
      </c>
      <c r="N39" s="334" t="str">
        <f aca="false">IF((E39="r"),G39," ")</f>
        <v> </v>
      </c>
      <c r="O39" s="334" t="str">
        <f aca="false">IF((E39="g"),G39," ")</f>
        <v> </v>
      </c>
      <c r="P39" s="334" t="str">
        <f aca="false">IF((E39="m"),G39," ")</f>
        <v> </v>
      </c>
      <c r="Q39" s="334" t="str">
        <f aca="false">IF((E39="t"),G39," ")</f>
        <v> </v>
      </c>
      <c r="R39" s="334" t="str">
        <f aca="false">IF((E39="a"),G39," ")</f>
        <v> </v>
      </c>
      <c r="S39" s="334" t="str">
        <f aca="false">IF((E39="l"),G39," ")</f>
        <v> </v>
      </c>
      <c r="T39" s="334" t="str">
        <f aca="false">IF((E39="b"),G39," ")</f>
        <v> </v>
      </c>
      <c r="U39" s="334" t="str">
        <f aca="false">IF((E39="i"),G39," ")</f>
        <v> </v>
      </c>
      <c r="V39" s="334" t="str">
        <f aca="false">IF((E39="o"),G39," ")</f>
        <v> </v>
      </c>
      <c r="W39" s="334" t="str">
        <f aca="false">IF((E39="f"),G39," ")</f>
        <v> </v>
      </c>
    </row>
    <row r="40" customFormat="false" ht="12.75" hidden="false" customHeight="false" outlineLevel="0" collapsed="false">
      <c r="A40" s="355"/>
      <c r="H40" s="338" t="str">
        <f aca="false">IF((G40&lt;&gt;0),IF((D40&gt;0)," ",G40)," ")</f>
        <v> </v>
      </c>
      <c r="I40" s="367" t="str">
        <f aca="false">IF((G40&lt;&gt;0),IF((D40&gt;0)," ",(I$1-A40))," ")</f>
        <v> </v>
      </c>
      <c r="J40" s="334" t="str">
        <f aca="false">IF((E40="s"),G40," ")</f>
        <v> </v>
      </c>
      <c r="K40" s="334" t="str">
        <f aca="false">IF((E40="d"),G40," ")</f>
        <v> </v>
      </c>
      <c r="L40" s="334" t="str">
        <f aca="false">IF((E40="e"),G40," ")</f>
        <v> </v>
      </c>
      <c r="M40" s="334" t="str">
        <f aca="false">IF((E40="p"),G40," ")</f>
        <v> </v>
      </c>
      <c r="N40" s="334" t="str">
        <f aca="false">IF((E40="r"),G40," ")</f>
        <v> </v>
      </c>
      <c r="O40" s="334" t="str">
        <f aca="false">IF((E40="g"),G40," ")</f>
        <v> </v>
      </c>
      <c r="P40" s="334" t="str">
        <f aca="false">IF((E40="m"),G40," ")</f>
        <v> </v>
      </c>
      <c r="Q40" s="334" t="str">
        <f aca="false">IF((E40="t"),G40," ")</f>
        <v> </v>
      </c>
      <c r="R40" s="334" t="str">
        <f aca="false">IF((E40="a"),G40," ")</f>
        <v> </v>
      </c>
      <c r="S40" s="334" t="str">
        <f aca="false">IF((E40="l"),G40," ")</f>
        <v> </v>
      </c>
      <c r="T40" s="334" t="str">
        <f aca="false">IF((E40="b"),G40," ")</f>
        <v> </v>
      </c>
      <c r="U40" s="334" t="str">
        <f aca="false">IF((E40="i"),G40," ")</f>
        <v> </v>
      </c>
      <c r="V40" s="334" t="str">
        <f aca="false">IF((E40="o"),G40," ")</f>
        <v> </v>
      </c>
      <c r="W40" s="334" t="str">
        <f aca="false">IF((E40="f"),G40," ")</f>
        <v> </v>
      </c>
    </row>
    <row r="41" customFormat="false" ht="12.75" hidden="false" customHeight="false" outlineLevel="0" collapsed="false">
      <c r="A41" s="355"/>
      <c r="H41" s="338" t="str">
        <f aca="false">IF((G41&lt;&gt;0),IF((D41&gt;0)," ",G41)," ")</f>
        <v> </v>
      </c>
      <c r="I41" s="367" t="str">
        <f aca="false">IF((G41&lt;&gt;0),IF((D41&gt;0)," ",(I$1-A41))," ")</f>
        <v> </v>
      </c>
      <c r="J41" s="334" t="str">
        <f aca="false">IF((E41="s"),G41," ")</f>
        <v> </v>
      </c>
      <c r="K41" s="334" t="str">
        <f aca="false">IF((E41="d"),G41," ")</f>
        <v> </v>
      </c>
      <c r="L41" s="334" t="str">
        <f aca="false">IF((E41="e"),G41," ")</f>
        <v> </v>
      </c>
      <c r="M41" s="334" t="str">
        <f aca="false">IF((E41="p"),G41," ")</f>
        <v> </v>
      </c>
      <c r="N41" s="334" t="str">
        <f aca="false">IF((E41="r"),G41," ")</f>
        <v> </v>
      </c>
      <c r="O41" s="334" t="str">
        <f aca="false">IF((E41="g"),G41," ")</f>
        <v> </v>
      </c>
      <c r="P41" s="334" t="str">
        <f aca="false">IF((E41="m"),G41," ")</f>
        <v> </v>
      </c>
      <c r="Q41" s="334" t="str">
        <f aca="false">IF((E41="t"),G41," ")</f>
        <v> </v>
      </c>
      <c r="R41" s="334" t="str">
        <f aca="false">IF((E41="a"),G41," ")</f>
        <v> </v>
      </c>
      <c r="S41" s="334" t="str">
        <f aca="false">IF((E41="l"),G41," ")</f>
        <v> </v>
      </c>
      <c r="T41" s="334" t="str">
        <f aca="false">IF((E41="b"),G41," ")</f>
        <v> </v>
      </c>
      <c r="U41" s="334" t="str">
        <f aca="false">IF((E41="i"),G41," ")</f>
        <v> </v>
      </c>
      <c r="V41" s="334" t="str">
        <f aca="false">IF((E41="o"),G41," ")</f>
        <v> </v>
      </c>
      <c r="W41" s="334" t="str">
        <f aca="false">IF((E41="f"),G41," ")</f>
        <v> </v>
      </c>
    </row>
    <row r="42" customFormat="false" ht="12.75" hidden="false" customHeight="false" outlineLevel="0" collapsed="false">
      <c r="A42" s="355"/>
      <c r="H42" s="338" t="str">
        <f aca="false">IF((G42&lt;&gt;0),IF((D42&gt;0)," ",G42)," ")</f>
        <v> </v>
      </c>
      <c r="I42" s="367" t="str">
        <f aca="false">IF((G42&lt;&gt;0),IF((D42&gt;0)," ",(I$1-A42))," ")</f>
        <v> </v>
      </c>
      <c r="J42" s="334" t="str">
        <f aca="false">IF((E42="s"),G42," ")</f>
        <v> </v>
      </c>
      <c r="K42" s="334" t="str">
        <f aca="false">IF((E42="d"),G42," ")</f>
        <v> </v>
      </c>
      <c r="L42" s="334" t="str">
        <f aca="false">IF((E42="e"),G42," ")</f>
        <v> </v>
      </c>
      <c r="M42" s="334" t="str">
        <f aca="false">IF((E42="p"),G42," ")</f>
        <v> </v>
      </c>
      <c r="N42" s="334" t="str">
        <f aca="false">IF((E42="r"),G42," ")</f>
        <v> </v>
      </c>
      <c r="O42" s="334" t="str">
        <f aca="false">IF((E42="g"),G42," ")</f>
        <v> </v>
      </c>
      <c r="P42" s="334" t="str">
        <f aca="false">IF((E42="m"),G42," ")</f>
        <v> </v>
      </c>
      <c r="Q42" s="334" t="str">
        <f aca="false">IF((E42="t"),G42," ")</f>
        <v> </v>
      </c>
      <c r="R42" s="334" t="str">
        <f aca="false">IF((E42="a"),G42," ")</f>
        <v> </v>
      </c>
      <c r="S42" s="334" t="str">
        <f aca="false">IF((E42="l"),G42," ")</f>
        <v> </v>
      </c>
      <c r="T42" s="334" t="str">
        <f aca="false">IF((E42="b"),G42," ")</f>
        <v> </v>
      </c>
      <c r="U42" s="334" t="str">
        <f aca="false">IF((E42="i"),G42," ")</f>
        <v> </v>
      </c>
      <c r="V42" s="334" t="str">
        <f aca="false">IF((E42="o"),G42," ")</f>
        <v> </v>
      </c>
      <c r="W42" s="334" t="str">
        <f aca="false">IF((E42="f"),G42," ")</f>
        <v> </v>
      </c>
    </row>
    <row r="43" customFormat="false" ht="12.75" hidden="false" customHeight="false" outlineLevel="0" collapsed="false">
      <c r="A43" s="355"/>
      <c r="H43" s="338" t="str">
        <f aca="false">IF((G43&lt;&gt;0),IF((D43&gt;0)," ",G43)," ")</f>
        <v> </v>
      </c>
      <c r="I43" s="367" t="str">
        <f aca="false">IF((G43&lt;&gt;0),IF((D43&gt;0)," ",(I$1-A43))," ")</f>
        <v> </v>
      </c>
      <c r="J43" s="334" t="str">
        <f aca="false">IF((E43="s"),G43," ")</f>
        <v> </v>
      </c>
      <c r="K43" s="334" t="str">
        <f aca="false">IF((E43="d"),G43," ")</f>
        <v> </v>
      </c>
      <c r="L43" s="334" t="str">
        <f aca="false">IF((E43="e"),G43," ")</f>
        <v> </v>
      </c>
      <c r="M43" s="334" t="str">
        <f aca="false">IF((E43="p"),G43," ")</f>
        <v> </v>
      </c>
      <c r="N43" s="334" t="str">
        <f aca="false">IF((E43="r"),G43," ")</f>
        <v> </v>
      </c>
      <c r="O43" s="334" t="str">
        <f aca="false">IF((E43="g"),G43," ")</f>
        <v> </v>
      </c>
      <c r="P43" s="334" t="str">
        <f aca="false">IF((E43="m"),G43," ")</f>
        <v> </v>
      </c>
      <c r="Q43" s="334" t="str">
        <f aca="false">IF((E43="t"),G43," ")</f>
        <v> </v>
      </c>
      <c r="R43" s="334" t="str">
        <f aca="false">IF((E43="a"),G43," ")</f>
        <v> </v>
      </c>
      <c r="S43" s="334" t="str">
        <f aca="false">IF((E43="l"),G43," ")</f>
        <v> </v>
      </c>
      <c r="T43" s="334" t="str">
        <f aca="false">IF((E43="b"),G43," ")</f>
        <v> </v>
      </c>
      <c r="U43" s="334" t="str">
        <f aca="false">IF((E43="i"),G43," ")</f>
        <v> </v>
      </c>
      <c r="V43" s="334" t="str">
        <f aca="false">IF((E43="o"),G43," ")</f>
        <v> </v>
      </c>
      <c r="W43" s="334" t="str">
        <f aca="false">IF((E43="f"),G43," ")</f>
        <v> </v>
      </c>
    </row>
    <row r="44" customFormat="false" ht="12.75" hidden="false" customHeight="false" outlineLevel="0" collapsed="false">
      <c r="A44" s="355"/>
      <c r="H44" s="338" t="str">
        <f aca="false">IF((G44&lt;&gt;0),IF((D44&gt;0)," ",G44)," ")</f>
        <v> </v>
      </c>
      <c r="I44" s="367" t="str">
        <f aca="false">IF((G44&lt;&gt;0),IF((D44&gt;0)," ",(I$1-A44))," ")</f>
        <v> </v>
      </c>
      <c r="J44" s="334" t="str">
        <f aca="false">IF((E44="s"),G44," ")</f>
        <v> </v>
      </c>
      <c r="K44" s="334" t="str">
        <f aca="false">IF((E44="d"),G44," ")</f>
        <v> </v>
      </c>
      <c r="L44" s="334" t="str">
        <f aca="false">IF((E44="e"),G44," ")</f>
        <v> </v>
      </c>
      <c r="M44" s="334" t="str">
        <f aca="false">IF((E44="p"),G44," ")</f>
        <v> </v>
      </c>
      <c r="N44" s="334" t="str">
        <f aca="false">IF((E44="r"),G44," ")</f>
        <v> </v>
      </c>
      <c r="O44" s="334" t="str">
        <f aca="false">IF((E44="g"),G44," ")</f>
        <v> </v>
      </c>
      <c r="P44" s="334" t="str">
        <f aca="false">IF((E44="m"),G44," ")</f>
        <v> </v>
      </c>
      <c r="Q44" s="334" t="str">
        <f aca="false">IF((E44="t"),G44," ")</f>
        <v> </v>
      </c>
      <c r="R44" s="334" t="str">
        <f aca="false">IF((E44="a"),G44," ")</f>
        <v> </v>
      </c>
      <c r="S44" s="334" t="str">
        <f aca="false">IF((E44="l"),G44," ")</f>
        <v> </v>
      </c>
      <c r="T44" s="334" t="str">
        <f aca="false">IF((E44="b"),G44," ")</f>
        <v> </v>
      </c>
      <c r="U44" s="334" t="str">
        <f aca="false">IF((E44="i"),G44," ")</f>
        <v> </v>
      </c>
      <c r="V44" s="334" t="str">
        <f aca="false">IF((E44="o"),G44," ")</f>
        <v> </v>
      </c>
      <c r="W44" s="334" t="str">
        <f aca="false">IF((E44="f"),G44," ")</f>
        <v> </v>
      </c>
    </row>
    <row r="45" customFormat="false" ht="12.75" hidden="false" customHeight="false" outlineLevel="0" collapsed="false">
      <c r="A45" s="355"/>
      <c r="H45" s="338" t="str">
        <f aca="false">IF((G45&lt;&gt;0),IF((D45&gt;0)," ",G45)," ")</f>
        <v> </v>
      </c>
      <c r="I45" s="367" t="str">
        <f aca="false">IF((G45&lt;&gt;0),IF((D45&gt;0)," ",(I$1-A45))," ")</f>
        <v> </v>
      </c>
      <c r="J45" s="334" t="str">
        <f aca="false">IF((E45="s"),G45," ")</f>
        <v> </v>
      </c>
      <c r="K45" s="334" t="str">
        <f aca="false">IF((E45="d"),G45," ")</f>
        <v> </v>
      </c>
      <c r="L45" s="334" t="str">
        <f aca="false">IF((E45="e"),G45," ")</f>
        <v> </v>
      </c>
      <c r="M45" s="334" t="str">
        <f aca="false">IF((E45="p"),G45," ")</f>
        <v> </v>
      </c>
      <c r="N45" s="334" t="str">
        <f aca="false">IF((E45="r"),G45," ")</f>
        <v> </v>
      </c>
      <c r="O45" s="334" t="str">
        <f aca="false">IF((E45="g"),G45," ")</f>
        <v> </v>
      </c>
      <c r="P45" s="334" t="str">
        <f aca="false">IF((E45="m"),G45," ")</f>
        <v> </v>
      </c>
      <c r="Q45" s="334" t="str">
        <f aca="false">IF((E45="t"),G45," ")</f>
        <v> </v>
      </c>
      <c r="R45" s="334" t="str">
        <f aca="false">IF((E45="a"),G45," ")</f>
        <v> </v>
      </c>
      <c r="S45" s="334" t="str">
        <f aca="false">IF((E45="l"),G45," ")</f>
        <v> </v>
      </c>
      <c r="T45" s="334" t="str">
        <f aca="false">IF((E45="b"),G45," ")</f>
        <v> </v>
      </c>
      <c r="U45" s="334" t="str">
        <f aca="false">IF((E45="i"),G45," ")</f>
        <v> </v>
      </c>
      <c r="V45" s="334" t="str">
        <f aca="false">IF((E45="o"),G45," ")</f>
        <v> </v>
      </c>
      <c r="W45" s="334" t="str">
        <f aca="false">IF((E45="f"),G45," ")</f>
        <v> </v>
      </c>
    </row>
    <row r="46" customFormat="false" ht="12.75" hidden="false" customHeight="false" outlineLevel="0" collapsed="false">
      <c r="A46" s="355"/>
      <c r="H46" s="338" t="str">
        <f aca="false">IF((G46&lt;&gt;0),IF((D46&gt;0)," ",G46)," ")</f>
        <v> </v>
      </c>
      <c r="I46" s="367" t="str">
        <f aca="false">IF((G46&lt;&gt;0),IF((D46&gt;0)," ",(I$1-A46))," ")</f>
        <v> </v>
      </c>
      <c r="J46" s="334" t="str">
        <f aca="false">IF((E46="s"),G46," ")</f>
        <v> </v>
      </c>
      <c r="K46" s="334" t="str">
        <f aca="false">IF((E46="d"),G46," ")</f>
        <v> </v>
      </c>
      <c r="L46" s="334" t="str">
        <f aca="false">IF((E46="e"),G46," ")</f>
        <v> </v>
      </c>
      <c r="M46" s="334" t="str">
        <f aca="false">IF((E46="p"),G46," ")</f>
        <v> </v>
      </c>
      <c r="N46" s="334" t="str">
        <f aca="false">IF((E46="r"),G46," ")</f>
        <v> </v>
      </c>
      <c r="O46" s="334" t="str">
        <f aca="false">IF((E46="g"),G46," ")</f>
        <v> </v>
      </c>
      <c r="P46" s="334" t="str">
        <f aca="false">IF((E46="m"),G46," ")</f>
        <v> </v>
      </c>
      <c r="Q46" s="334" t="str">
        <f aca="false">IF((E46="t"),G46," ")</f>
        <v> </v>
      </c>
      <c r="R46" s="334" t="str">
        <f aca="false">IF((E46="a"),G46," ")</f>
        <v> </v>
      </c>
      <c r="S46" s="334" t="str">
        <f aca="false">IF((E46="l"),G46," ")</f>
        <v> </v>
      </c>
      <c r="T46" s="334" t="str">
        <f aca="false">IF((E46="b"),G46," ")</f>
        <v> </v>
      </c>
      <c r="U46" s="334" t="str">
        <f aca="false">IF((E46="i"),G46," ")</f>
        <v> </v>
      </c>
      <c r="V46" s="334" t="str">
        <f aca="false">IF((E46="o"),G46," ")</f>
        <v> </v>
      </c>
      <c r="W46" s="334" t="str">
        <f aca="false">IF((E46="f"),G46," ")</f>
        <v> </v>
      </c>
    </row>
    <row r="47" customFormat="false" ht="12.75" hidden="false" customHeight="false" outlineLevel="0" collapsed="false">
      <c r="A47" s="355"/>
      <c r="H47" s="338" t="str">
        <f aca="false">IF((G47&lt;&gt;0),IF((D47&gt;0)," ",G47)," ")</f>
        <v> </v>
      </c>
      <c r="I47" s="367" t="str">
        <f aca="false">IF((G47&lt;&gt;0),IF((D47&gt;0)," ",(I$1-A47))," ")</f>
        <v> </v>
      </c>
      <c r="J47" s="334" t="str">
        <f aca="false">IF((E47="s"),G47," ")</f>
        <v> </v>
      </c>
      <c r="K47" s="334" t="str">
        <f aca="false">IF((E47="d"),G47," ")</f>
        <v> </v>
      </c>
      <c r="L47" s="334" t="str">
        <f aca="false">IF((E47="e"),G47," ")</f>
        <v> </v>
      </c>
      <c r="M47" s="334" t="str">
        <f aca="false">IF((E47="p"),G47," ")</f>
        <v> </v>
      </c>
      <c r="N47" s="334" t="str">
        <f aca="false">IF((E47="r"),G47," ")</f>
        <v> </v>
      </c>
      <c r="O47" s="334" t="str">
        <f aca="false">IF((E47="g"),G47," ")</f>
        <v> </v>
      </c>
      <c r="P47" s="334" t="str">
        <f aca="false">IF((E47="m"),G47," ")</f>
        <v> </v>
      </c>
      <c r="Q47" s="334" t="str">
        <f aca="false">IF((E47="t"),G47," ")</f>
        <v> </v>
      </c>
      <c r="R47" s="334" t="str">
        <f aca="false">IF((E47="a"),G47," ")</f>
        <v> </v>
      </c>
      <c r="S47" s="334" t="str">
        <f aca="false">IF((E47="l"),G47," ")</f>
        <v> </v>
      </c>
      <c r="T47" s="334" t="str">
        <f aca="false">IF((E47="b"),G47," ")</f>
        <v> </v>
      </c>
      <c r="U47" s="334" t="str">
        <f aca="false">IF((E47="i"),G47," ")</f>
        <v> </v>
      </c>
      <c r="V47" s="334" t="str">
        <f aca="false">IF((E47="o"),G47," ")</f>
        <v> </v>
      </c>
      <c r="W47" s="334" t="str">
        <f aca="false">IF((E47="f"),G47," ")</f>
        <v> </v>
      </c>
    </row>
    <row r="48" customFormat="false" ht="12.75" hidden="false" customHeight="false" outlineLevel="0" collapsed="false">
      <c r="A48" s="355"/>
      <c r="H48" s="338" t="str">
        <f aca="false">IF((G48&lt;&gt;0),IF((D48&gt;0)," ",G48)," ")</f>
        <v> </v>
      </c>
      <c r="I48" s="367" t="str">
        <f aca="false">IF((G48&lt;&gt;0),IF((D48&gt;0)," ",(I$1-A48))," ")</f>
        <v> </v>
      </c>
      <c r="J48" s="334" t="str">
        <f aca="false">IF((E48="s"),G48," ")</f>
        <v> </v>
      </c>
      <c r="K48" s="334" t="str">
        <f aca="false">IF((E48="d"),G48," ")</f>
        <v> </v>
      </c>
      <c r="L48" s="334" t="str">
        <f aca="false">IF((E48="e"),G48," ")</f>
        <v> </v>
      </c>
      <c r="M48" s="334" t="str">
        <f aca="false">IF((E48="p"),G48," ")</f>
        <v> </v>
      </c>
      <c r="N48" s="334" t="str">
        <f aca="false">IF((E48="r"),G48," ")</f>
        <v> </v>
      </c>
      <c r="O48" s="334" t="str">
        <f aca="false">IF((E48="g"),G48," ")</f>
        <v> </v>
      </c>
      <c r="P48" s="334" t="str">
        <f aca="false">IF((E48="m"),G48," ")</f>
        <v> </v>
      </c>
      <c r="Q48" s="334" t="str">
        <f aca="false">IF((E48="t"),G48," ")</f>
        <v> </v>
      </c>
      <c r="R48" s="334" t="str">
        <f aca="false">IF((E48="a"),G48," ")</f>
        <v> </v>
      </c>
      <c r="S48" s="334" t="str">
        <f aca="false">IF((E48="l"),G48," ")</f>
        <v> </v>
      </c>
      <c r="T48" s="334" t="str">
        <f aca="false">IF((E48="b"),G48," ")</f>
        <v> </v>
      </c>
      <c r="U48" s="334" t="str">
        <f aca="false">IF((E48="i"),G48," ")</f>
        <v> </v>
      </c>
      <c r="V48" s="334" t="str">
        <f aca="false">IF((E48="o"),G48," ")</f>
        <v> </v>
      </c>
      <c r="W48" s="334" t="str">
        <f aca="false">IF((E48="f"),G48," ")</f>
        <v> </v>
      </c>
    </row>
    <row r="49" customFormat="false" ht="12.75" hidden="false" customHeight="false" outlineLevel="0" collapsed="false">
      <c r="A49" s="355"/>
      <c r="H49" s="338" t="str">
        <f aca="false">IF((G49&lt;&gt;0),IF((D49&gt;0)," ",G49)," ")</f>
        <v> </v>
      </c>
      <c r="I49" s="367" t="str">
        <f aca="false">IF((G49&lt;&gt;0),IF((D49&gt;0)," ",(I$1-A49))," ")</f>
        <v> </v>
      </c>
      <c r="J49" s="334" t="str">
        <f aca="false">IF((E49="s"),G49," ")</f>
        <v> </v>
      </c>
      <c r="K49" s="334" t="str">
        <f aca="false">IF((E49="d"),G49," ")</f>
        <v> </v>
      </c>
      <c r="L49" s="334" t="str">
        <f aca="false">IF((E49="e"),G49," ")</f>
        <v> </v>
      </c>
      <c r="M49" s="334" t="str">
        <f aca="false">IF((E49="p"),G49," ")</f>
        <v> </v>
      </c>
      <c r="N49" s="334" t="str">
        <f aca="false">IF((E49="r"),G49," ")</f>
        <v> </v>
      </c>
      <c r="O49" s="334" t="str">
        <f aca="false">IF((E49="g"),G49," ")</f>
        <v> </v>
      </c>
      <c r="P49" s="334" t="str">
        <f aca="false">IF((E49="m"),G49," ")</f>
        <v> </v>
      </c>
      <c r="Q49" s="334" t="str">
        <f aca="false">IF((E49="t"),G49," ")</f>
        <v> </v>
      </c>
      <c r="R49" s="334" t="str">
        <f aca="false">IF((E49="a"),G49," ")</f>
        <v> </v>
      </c>
      <c r="S49" s="334" t="str">
        <f aca="false">IF((E49="l"),G49," ")</f>
        <v> </v>
      </c>
      <c r="T49" s="334" t="str">
        <f aca="false">IF((E49="b"),G49," ")</f>
        <v> </v>
      </c>
      <c r="U49" s="334" t="str">
        <f aca="false">IF((E49="i"),G49," ")</f>
        <v> </v>
      </c>
      <c r="V49" s="334" t="str">
        <f aca="false">IF((E49="o"),G49," ")</f>
        <v> </v>
      </c>
      <c r="W49" s="334" t="str">
        <f aca="false">IF((E49="f"),G49," ")</f>
        <v> </v>
      </c>
    </row>
    <row r="50" customFormat="false" ht="12.75" hidden="false" customHeight="false" outlineLevel="0" collapsed="false">
      <c r="A50" s="355"/>
      <c r="H50" s="338" t="str">
        <f aca="false">IF((G50&lt;&gt;0),IF((D50&gt;0)," ",G50)," ")</f>
        <v> </v>
      </c>
      <c r="I50" s="367" t="str">
        <f aca="false">IF((G50&lt;&gt;0),IF((D50&gt;0)," ",(I$1-A50))," ")</f>
        <v> </v>
      </c>
      <c r="J50" s="334" t="str">
        <f aca="false">IF((E50="s"),G50," ")</f>
        <v> </v>
      </c>
      <c r="K50" s="334" t="str">
        <f aca="false">IF((E50="d"),G50," ")</f>
        <v> </v>
      </c>
      <c r="L50" s="334" t="str">
        <f aca="false">IF((E50="e"),G50," ")</f>
        <v> </v>
      </c>
      <c r="M50" s="334" t="str">
        <f aca="false">IF((E50="p"),G50," ")</f>
        <v> </v>
      </c>
      <c r="N50" s="334" t="str">
        <f aca="false">IF((E50="r"),G50," ")</f>
        <v> </v>
      </c>
      <c r="O50" s="334" t="str">
        <f aca="false">IF((E50="g"),G50," ")</f>
        <v> </v>
      </c>
      <c r="P50" s="334" t="str">
        <f aca="false">IF((E50="m"),G50," ")</f>
        <v> </v>
      </c>
      <c r="Q50" s="334" t="str">
        <f aca="false">IF((E50="t"),G50," ")</f>
        <v> </v>
      </c>
      <c r="R50" s="334" t="str">
        <f aca="false">IF((E50="a"),G50," ")</f>
        <v> </v>
      </c>
      <c r="S50" s="334" t="str">
        <f aca="false">IF((E50="l"),G50," ")</f>
        <v> </v>
      </c>
      <c r="T50" s="334" t="str">
        <f aca="false">IF((E50="b"),G50," ")</f>
        <v> </v>
      </c>
      <c r="U50" s="334" t="str">
        <f aca="false">IF((E50="i"),G50," ")</f>
        <v> </v>
      </c>
      <c r="V50" s="334" t="str">
        <f aca="false">IF((E50="o"),G50," ")</f>
        <v> </v>
      </c>
      <c r="W50" s="334" t="str">
        <f aca="false">IF((E50="f"),G50," ")</f>
        <v> </v>
      </c>
    </row>
    <row r="51" customFormat="false" ht="12.75" hidden="false" customHeight="false" outlineLevel="0" collapsed="false">
      <c r="A51" s="355"/>
      <c r="H51" s="338" t="str">
        <f aca="false">IF((G51&lt;&gt;0),IF((D51&gt;0)," ",G51)," ")</f>
        <v> </v>
      </c>
      <c r="I51" s="367" t="str">
        <f aca="false">IF((G51&lt;&gt;0),IF((D51&gt;0)," ",(I$1-A51))," ")</f>
        <v> </v>
      </c>
      <c r="J51" s="334" t="str">
        <f aca="false">IF((E51="s"),G51," ")</f>
        <v> </v>
      </c>
      <c r="K51" s="334" t="str">
        <f aca="false">IF((E51="d"),G51," ")</f>
        <v> </v>
      </c>
      <c r="L51" s="334" t="str">
        <f aca="false">IF((E51="e"),G51," ")</f>
        <v> </v>
      </c>
      <c r="M51" s="334" t="str">
        <f aca="false">IF((E51="p"),G51," ")</f>
        <v> </v>
      </c>
      <c r="N51" s="334" t="str">
        <f aca="false">IF((E51="r"),G51," ")</f>
        <v> </v>
      </c>
      <c r="O51" s="334" t="str">
        <f aca="false">IF((E51="g"),G51," ")</f>
        <v> </v>
      </c>
      <c r="P51" s="334" t="str">
        <f aca="false">IF((E51="m"),G51," ")</f>
        <v> </v>
      </c>
      <c r="Q51" s="334" t="str">
        <f aca="false">IF((E51="t"),G51," ")</f>
        <v> </v>
      </c>
      <c r="R51" s="334" t="str">
        <f aca="false">IF((E51="a"),G51," ")</f>
        <v> </v>
      </c>
      <c r="S51" s="334" t="str">
        <f aca="false">IF((E51="l"),G51," ")</f>
        <v> </v>
      </c>
      <c r="T51" s="334" t="str">
        <f aca="false">IF((E51="b"),G51," ")</f>
        <v> </v>
      </c>
      <c r="U51" s="334" t="str">
        <f aca="false">IF((E51="i"),G51," ")</f>
        <v> </v>
      </c>
      <c r="V51" s="334" t="str">
        <f aca="false">IF((E51="o"),G51," ")</f>
        <v> </v>
      </c>
      <c r="W51" s="334" t="str">
        <f aca="false">IF((E51="f"),G51," ")</f>
        <v> </v>
      </c>
    </row>
    <row r="52" customFormat="false" ht="12.75" hidden="false" customHeight="false" outlineLevel="0" collapsed="false">
      <c r="A52" s="355"/>
      <c r="H52" s="338" t="str">
        <f aca="false">IF((G52&lt;&gt;0),IF((D52&gt;0)," ",G52)," ")</f>
        <v> </v>
      </c>
      <c r="I52" s="367" t="str">
        <f aca="false">IF((G52&lt;&gt;0),IF((D52&gt;0)," ",(I$1-A52))," ")</f>
        <v> </v>
      </c>
      <c r="J52" s="334" t="str">
        <f aca="false">IF((E52="s"),G52," ")</f>
        <v> </v>
      </c>
      <c r="K52" s="334" t="str">
        <f aca="false">IF((E52="d"),G52," ")</f>
        <v> </v>
      </c>
      <c r="L52" s="334" t="str">
        <f aca="false">IF((E52="e"),G52," ")</f>
        <v> </v>
      </c>
      <c r="M52" s="334" t="str">
        <f aca="false">IF((E52="p"),G52," ")</f>
        <v> </v>
      </c>
      <c r="N52" s="334" t="str">
        <f aca="false">IF((E52="r"),G52," ")</f>
        <v> </v>
      </c>
      <c r="O52" s="334" t="str">
        <f aca="false">IF((E52="g"),G52," ")</f>
        <v> </v>
      </c>
      <c r="P52" s="334" t="str">
        <f aca="false">IF((E52="m"),G52," ")</f>
        <v> </v>
      </c>
      <c r="Q52" s="334" t="str">
        <f aca="false">IF((E52="t"),G52," ")</f>
        <v> </v>
      </c>
      <c r="R52" s="334" t="str">
        <f aca="false">IF((E52="a"),G52," ")</f>
        <v> </v>
      </c>
      <c r="S52" s="334" t="str">
        <f aca="false">IF((E52="l"),G52," ")</f>
        <v> </v>
      </c>
      <c r="T52" s="334" t="str">
        <f aca="false">IF((E52="b"),G52," ")</f>
        <v> </v>
      </c>
      <c r="U52" s="334" t="str">
        <f aca="false">IF((E52="i"),G52," ")</f>
        <v> </v>
      </c>
      <c r="V52" s="334" t="str">
        <f aca="false">IF((E52="o"),G52," ")</f>
        <v> </v>
      </c>
      <c r="W52" s="334" t="str">
        <f aca="false">IF((E52="f"),G52," ")</f>
        <v> </v>
      </c>
    </row>
    <row r="53" customFormat="false" ht="12.75" hidden="false" customHeight="false" outlineLevel="0" collapsed="false">
      <c r="A53" s="355"/>
      <c r="H53" s="338" t="str">
        <f aca="false">IF((G53&lt;&gt;0),IF((D53&gt;0)," ",G53)," ")</f>
        <v> </v>
      </c>
      <c r="I53" s="367" t="str">
        <f aca="false">IF((G53&lt;&gt;0),IF((D53&gt;0)," ",(I$1-A53))," ")</f>
        <v> </v>
      </c>
      <c r="J53" s="334" t="str">
        <f aca="false">IF((E53="s"),G53," ")</f>
        <v> </v>
      </c>
      <c r="K53" s="334" t="str">
        <f aca="false">IF((E53="d"),G53," ")</f>
        <v> </v>
      </c>
      <c r="L53" s="334" t="str">
        <f aca="false">IF((E53="e"),G53," ")</f>
        <v> </v>
      </c>
      <c r="M53" s="334" t="str">
        <f aca="false">IF((E53="p"),G53," ")</f>
        <v> </v>
      </c>
      <c r="N53" s="334" t="str">
        <f aca="false">IF((E53="r"),G53," ")</f>
        <v> </v>
      </c>
      <c r="O53" s="334" t="str">
        <f aca="false">IF((E53="g"),G53," ")</f>
        <v> </v>
      </c>
      <c r="P53" s="334" t="str">
        <f aca="false">IF((E53="m"),G53," ")</f>
        <v> </v>
      </c>
      <c r="Q53" s="334" t="str">
        <f aca="false">IF((E53="t"),G53," ")</f>
        <v> </v>
      </c>
      <c r="R53" s="334" t="str">
        <f aca="false">IF((E53="a"),G53," ")</f>
        <v> </v>
      </c>
      <c r="S53" s="334" t="str">
        <f aca="false">IF((E53="l"),G53," ")</f>
        <v> </v>
      </c>
      <c r="T53" s="334" t="str">
        <f aca="false">IF((E53="b"),G53," ")</f>
        <v> </v>
      </c>
      <c r="U53" s="334" t="str">
        <f aca="false">IF((E53="i"),G53," ")</f>
        <v> </v>
      </c>
      <c r="V53" s="334" t="str">
        <f aca="false">IF((E53="o"),G53," ")</f>
        <v> </v>
      </c>
      <c r="W53" s="334" t="str">
        <f aca="false">IF((E53="f"),G53," ")</f>
        <v> </v>
      </c>
    </row>
    <row r="54" customFormat="false" ht="12.75" hidden="false" customHeight="false" outlineLevel="0" collapsed="false">
      <c r="A54" s="355"/>
      <c r="H54" s="338" t="str">
        <f aca="false">IF((G54&lt;&gt;0),IF((D54&gt;0)," ",G54)," ")</f>
        <v> </v>
      </c>
      <c r="I54" s="367" t="str">
        <f aca="false">IF((G54&lt;&gt;0),IF((D54&gt;0)," ",(I$1-A54))," ")</f>
        <v> </v>
      </c>
      <c r="J54" s="334" t="str">
        <f aca="false">IF((E54="s"),G54," ")</f>
        <v> </v>
      </c>
      <c r="K54" s="334" t="str">
        <f aca="false">IF((E54="d"),G54," ")</f>
        <v> </v>
      </c>
      <c r="L54" s="334" t="str">
        <f aca="false">IF((E54="e"),G54," ")</f>
        <v> </v>
      </c>
      <c r="M54" s="334" t="str">
        <f aca="false">IF((E54="p"),G54," ")</f>
        <v> </v>
      </c>
      <c r="N54" s="334" t="str">
        <f aca="false">IF((E54="r"),G54," ")</f>
        <v> </v>
      </c>
      <c r="O54" s="334" t="str">
        <f aca="false">IF((E54="g"),G54," ")</f>
        <v> </v>
      </c>
      <c r="P54" s="334" t="str">
        <f aca="false">IF((E54="m"),G54," ")</f>
        <v> </v>
      </c>
      <c r="Q54" s="334" t="str">
        <f aca="false">IF((E54="t"),G54," ")</f>
        <v> </v>
      </c>
      <c r="R54" s="334" t="str">
        <f aca="false">IF((E54="a"),G54," ")</f>
        <v> </v>
      </c>
      <c r="S54" s="334" t="str">
        <f aca="false">IF((E54="l"),G54," ")</f>
        <v> </v>
      </c>
      <c r="T54" s="334" t="str">
        <f aca="false">IF((E54="b"),G54," ")</f>
        <v> </v>
      </c>
      <c r="U54" s="334" t="str">
        <f aca="false">IF((E54="i"),G54," ")</f>
        <v> </v>
      </c>
      <c r="V54" s="334" t="str">
        <f aca="false">IF((E54="o"),G54," ")</f>
        <v> </v>
      </c>
      <c r="W54" s="334" t="str">
        <f aca="false">IF((E54="f"),G54," ")</f>
        <v> </v>
      </c>
    </row>
    <row r="55" customFormat="false" ht="12.75" hidden="false" customHeight="false" outlineLevel="0" collapsed="false">
      <c r="A55" s="355"/>
      <c r="H55" s="338" t="str">
        <f aca="false">IF((G55&lt;&gt;0),IF((D55&gt;0)," ",G55)," ")</f>
        <v> </v>
      </c>
      <c r="I55" s="367" t="str">
        <f aca="false">IF((G55&lt;&gt;0),IF((D55&gt;0)," ",(I$1-A55))," ")</f>
        <v> </v>
      </c>
      <c r="J55" s="334" t="str">
        <f aca="false">IF((E55="s"),G55," ")</f>
        <v> </v>
      </c>
      <c r="K55" s="334" t="str">
        <f aca="false">IF((E55="d"),G55," ")</f>
        <v> </v>
      </c>
      <c r="L55" s="334" t="str">
        <f aca="false">IF((E55="e"),G55," ")</f>
        <v> </v>
      </c>
      <c r="M55" s="334" t="str">
        <f aca="false">IF((E55="p"),G55," ")</f>
        <v> </v>
      </c>
      <c r="N55" s="334" t="str">
        <f aca="false">IF((E55="r"),G55," ")</f>
        <v> </v>
      </c>
      <c r="O55" s="334" t="str">
        <f aca="false">IF((E55="g"),G55," ")</f>
        <v> </v>
      </c>
      <c r="P55" s="334" t="str">
        <f aca="false">IF((E55="m"),G55," ")</f>
        <v> </v>
      </c>
      <c r="Q55" s="334" t="str">
        <f aca="false">IF((E55="t"),G55," ")</f>
        <v> </v>
      </c>
      <c r="R55" s="334" t="str">
        <f aca="false">IF((E55="a"),G55," ")</f>
        <v> </v>
      </c>
      <c r="S55" s="334" t="str">
        <f aca="false">IF((E55="l"),G55," ")</f>
        <v> </v>
      </c>
      <c r="T55" s="334" t="str">
        <f aca="false">IF((E55="b"),G55," ")</f>
        <v> </v>
      </c>
      <c r="U55" s="334" t="str">
        <f aca="false">IF((E55="i"),G55," ")</f>
        <v> </v>
      </c>
      <c r="V55" s="334" t="str">
        <f aca="false">IF((E55="o"),G55," ")</f>
        <v> </v>
      </c>
      <c r="W55" s="334" t="str">
        <f aca="false">IF((E55="f"),G55," ")</f>
        <v> </v>
      </c>
    </row>
    <row r="56" customFormat="false" ht="12.75" hidden="false" customHeight="false" outlineLevel="0" collapsed="false">
      <c r="A56" s="355"/>
      <c r="H56" s="338" t="str">
        <f aca="false">IF((G56&lt;&gt;0),IF((D56&gt;0)," ",G56)," ")</f>
        <v> </v>
      </c>
      <c r="I56" s="367" t="str">
        <f aca="false">IF((G56&lt;&gt;0),IF((D56&gt;0)," ",(I$1-A56))," ")</f>
        <v> </v>
      </c>
      <c r="J56" s="334" t="str">
        <f aca="false">IF((E56="s"),G56," ")</f>
        <v> </v>
      </c>
      <c r="K56" s="334" t="str">
        <f aca="false">IF((E56="d"),G56," ")</f>
        <v> </v>
      </c>
      <c r="L56" s="334" t="str">
        <f aca="false">IF((E56="e"),G56," ")</f>
        <v> </v>
      </c>
      <c r="M56" s="334" t="str">
        <f aca="false">IF((E56="p"),G56," ")</f>
        <v> </v>
      </c>
      <c r="N56" s="334" t="str">
        <f aca="false">IF((E56="r"),G56," ")</f>
        <v> </v>
      </c>
      <c r="O56" s="334" t="str">
        <f aca="false">IF((E56="g"),G56," ")</f>
        <v> </v>
      </c>
      <c r="P56" s="334" t="str">
        <f aca="false">IF((E56="m"),G56," ")</f>
        <v> </v>
      </c>
      <c r="Q56" s="334" t="str">
        <f aca="false">IF((E56="t"),G56," ")</f>
        <v> </v>
      </c>
      <c r="R56" s="334" t="str">
        <f aca="false">IF((E56="a"),G56," ")</f>
        <v> </v>
      </c>
      <c r="S56" s="334" t="str">
        <f aca="false">IF((E56="l"),G56," ")</f>
        <v> </v>
      </c>
      <c r="T56" s="334" t="str">
        <f aca="false">IF((E56="b"),G56," ")</f>
        <v> </v>
      </c>
      <c r="U56" s="334" t="str">
        <f aca="false">IF((E56="i"),G56," ")</f>
        <v> </v>
      </c>
      <c r="V56" s="334" t="str">
        <f aca="false">IF((E56="o"),G56," ")</f>
        <v> </v>
      </c>
      <c r="W56" s="334" t="str">
        <f aca="false">IF((E56="f"),G56," ")</f>
        <v> </v>
      </c>
    </row>
    <row r="57" customFormat="false" ht="12.75" hidden="false" customHeight="false" outlineLevel="0" collapsed="false">
      <c r="A57" s="355"/>
      <c r="H57" s="338" t="str">
        <f aca="false">IF((G57&lt;&gt;0),IF((D57&gt;0)," ",G57)," ")</f>
        <v> </v>
      </c>
      <c r="I57" s="367" t="str">
        <f aca="false">IF((G57&lt;&gt;0),IF((D57&gt;0)," ",(I$1-A57))," ")</f>
        <v> </v>
      </c>
      <c r="J57" s="334" t="str">
        <f aca="false">IF((E57="s"),G57," ")</f>
        <v> </v>
      </c>
      <c r="K57" s="334" t="str">
        <f aca="false">IF((E57="d"),G57," ")</f>
        <v> </v>
      </c>
      <c r="L57" s="334" t="str">
        <f aca="false">IF((E57="e"),G57," ")</f>
        <v> </v>
      </c>
      <c r="M57" s="334" t="str">
        <f aca="false">IF((E57="p"),G57," ")</f>
        <v> </v>
      </c>
      <c r="N57" s="334" t="str">
        <f aca="false">IF((E57="r"),G57," ")</f>
        <v> </v>
      </c>
      <c r="O57" s="334" t="str">
        <f aca="false">IF((E57="g"),G57," ")</f>
        <v> </v>
      </c>
      <c r="P57" s="334" t="str">
        <f aca="false">IF((E57="m"),G57," ")</f>
        <v> </v>
      </c>
      <c r="Q57" s="334" t="str">
        <f aca="false">IF((E57="t"),G57," ")</f>
        <v> </v>
      </c>
      <c r="R57" s="334" t="str">
        <f aca="false">IF((E57="a"),G57," ")</f>
        <v> </v>
      </c>
      <c r="S57" s="334" t="str">
        <f aca="false">IF((E57="l"),G57," ")</f>
        <v> </v>
      </c>
      <c r="T57" s="334" t="str">
        <f aca="false">IF((E57="b"),G57," ")</f>
        <v> </v>
      </c>
      <c r="U57" s="334" t="str">
        <f aca="false">IF((E57="i"),G57," ")</f>
        <v> </v>
      </c>
      <c r="V57" s="334" t="str">
        <f aca="false">IF((E57="o"),G57," ")</f>
        <v> </v>
      </c>
      <c r="W57" s="334" t="str">
        <f aca="false">IF((E57="f"),G57," ")</f>
        <v> </v>
      </c>
    </row>
    <row r="58" customFormat="false" ht="12.75" hidden="false" customHeight="false" outlineLevel="0" collapsed="false">
      <c r="A58" s="355"/>
      <c r="H58" s="338" t="str">
        <f aca="false">IF((G58&lt;&gt;0),IF((D58&gt;0)," ",G58)," ")</f>
        <v> </v>
      </c>
      <c r="I58" s="367" t="str">
        <f aca="false">IF((G58&lt;&gt;0),IF((D58&gt;0)," ",(I$1-A58))," ")</f>
        <v> </v>
      </c>
      <c r="J58" s="334" t="str">
        <f aca="false">IF((E58="s"),G58," ")</f>
        <v> </v>
      </c>
      <c r="K58" s="334" t="str">
        <f aca="false">IF((E58="d"),G58," ")</f>
        <v> </v>
      </c>
      <c r="L58" s="334" t="str">
        <f aca="false">IF((E58="e"),G58," ")</f>
        <v> </v>
      </c>
      <c r="M58" s="334" t="str">
        <f aca="false">IF((E58="p"),G58," ")</f>
        <v> </v>
      </c>
      <c r="N58" s="334" t="str">
        <f aca="false">IF((E58="r"),G58," ")</f>
        <v> </v>
      </c>
      <c r="O58" s="334" t="str">
        <f aca="false">IF((E58="g"),G58," ")</f>
        <v> </v>
      </c>
      <c r="P58" s="334" t="str">
        <f aca="false">IF((E58="m"),G58," ")</f>
        <v> </v>
      </c>
      <c r="Q58" s="334" t="str">
        <f aca="false">IF((E58="t"),G58," ")</f>
        <v> </v>
      </c>
      <c r="R58" s="334" t="str">
        <f aca="false">IF((E58="a"),G58," ")</f>
        <v> </v>
      </c>
      <c r="S58" s="334" t="str">
        <f aca="false">IF((E58="l"),G58," ")</f>
        <v> </v>
      </c>
      <c r="T58" s="334" t="str">
        <f aca="false">IF((E58="b"),G58," ")</f>
        <v> </v>
      </c>
      <c r="U58" s="334" t="str">
        <f aca="false">IF((E58="i"),G58," ")</f>
        <v> </v>
      </c>
      <c r="V58" s="334" t="str">
        <f aca="false">IF((E58="o"),G58," ")</f>
        <v> </v>
      </c>
      <c r="W58" s="334" t="str">
        <f aca="false">IF((E58="f"),G58," ")</f>
        <v> </v>
      </c>
    </row>
    <row r="59" customFormat="false" ht="12.75" hidden="false" customHeight="false" outlineLevel="0" collapsed="false">
      <c r="A59" s="355"/>
      <c r="H59" s="338" t="str">
        <f aca="false">IF((G59&lt;&gt;0),IF((D59&gt;0)," ",G59)," ")</f>
        <v> </v>
      </c>
      <c r="I59" s="367" t="str">
        <f aca="false">IF((G59&lt;&gt;0),IF((D59&gt;0)," ",(I$1-A59))," ")</f>
        <v> </v>
      </c>
      <c r="J59" s="334" t="str">
        <f aca="false">IF((E59="s"),G59," ")</f>
        <v> </v>
      </c>
      <c r="K59" s="334" t="str">
        <f aca="false">IF((E59="d"),G59," ")</f>
        <v> </v>
      </c>
      <c r="L59" s="334" t="str">
        <f aca="false">IF((E59="e"),G59," ")</f>
        <v> </v>
      </c>
      <c r="M59" s="334" t="str">
        <f aca="false">IF((E59="p"),G59," ")</f>
        <v> </v>
      </c>
      <c r="N59" s="334" t="str">
        <f aca="false">IF((E59="r"),G59," ")</f>
        <v> </v>
      </c>
      <c r="O59" s="334" t="str">
        <f aca="false">IF((E59="g"),G59," ")</f>
        <v> </v>
      </c>
      <c r="P59" s="334" t="str">
        <f aca="false">IF((E59="m"),G59," ")</f>
        <v> </v>
      </c>
      <c r="Q59" s="334" t="str">
        <f aca="false">IF((E59="t"),G59," ")</f>
        <v> </v>
      </c>
      <c r="R59" s="334" t="str">
        <f aca="false">IF((E59="a"),G59," ")</f>
        <v> </v>
      </c>
      <c r="S59" s="334" t="str">
        <f aca="false">IF((E59="l"),G59," ")</f>
        <v> </v>
      </c>
      <c r="T59" s="334" t="str">
        <f aca="false">IF((E59="b"),G59," ")</f>
        <v> </v>
      </c>
      <c r="U59" s="334" t="str">
        <f aca="false">IF((E59="i"),G59," ")</f>
        <v> </v>
      </c>
      <c r="V59" s="334" t="str">
        <f aca="false">IF((E59="o"),G59," ")</f>
        <v> </v>
      </c>
      <c r="W59" s="334" t="str">
        <f aca="false">IF((E59="f"),G59," ")</f>
        <v> </v>
      </c>
    </row>
    <row r="60" customFormat="false" ht="12.75" hidden="false" customHeight="false" outlineLevel="0" collapsed="false">
      <c r="A60" s="355"/>
      <c r="H60" s="338" t="str">
        <f aca="false">IF((G60&lt;&gt;0),IF((D60&gt;0)," ",G60)," ")</f>
        <v> </v>
      </c>
      <c r="I60" s="367" t="str">
        <f aca="false">IF((G60&lt;&gt;0),IF((D60&gt;0)," ",(I$1-A60))," ")</f>
        <v> </v>
      </c>
      <c r="J60" s="334" t="str">
        <f aca="false">IF((E60="s"),G60," ")</f>
        <v> </v>
      </c>
      <c r="K60" s="334" t="str">
        <f aca="false">IF((E60="d"),G60," ")</f>
        <v> </v>
      </c>
      <c r="L60" s="334" t="str">
        <f aca="false">IF((E60="e"),G60," ")</f>
        <v> </v>
      </c>
      <c r="M60" s="334" t="str">
        <f aca="false">IF((E60="p"),G60," ")</f>
        <v> </v>
      </c>
      <c r="N60" s="334" t="str">
        <f aca="false">IF((E60="r"),G60," ")</f>
        <v> </v>
      </c>
      <c r="O60" s="334" t="str">
        <f aca="false">IF((E60="g"),G60," ")</f>
        <v> </v>
      </c>
      <c r="P60" s="334" t="str">
        <f aca="false">IF((E60="m"),G60," ")</f>
        <v> </v>
      </c>
      <c r="Q60" s="334" t="str">
        <f aca="false">IF((E60="t"),G60," ")</f>
        <v> </v>
      </c>
      <c r="R60" s="334" t="str">
        <f aca="false">IF((E60="a"),G60," ")</f>
        <v> </v>
      </c>
      <c r="S60" s="334" t="str">
        <f aca="false">IF((E60="l"),G60," ")</f>
        <v> </v>
      </c>
      <c r="T60" s="334" t="str">
        <f aca="false">IF((E60="b"),G60," ")</f>
        <v> </v>
      </c>
      <c r="U60" s="334" t="str">
        <f aca="false">IF((E60="i"),G60," ")</f>
        <v> </v>
      </c>
      <c r="V60" s="334" t="str">
        <f aca="false">IF((E60="o"),G60," ")</f>
        <v> </v>
      </c>
      <c r="W60" s="334" t="str">
        <f aca="false">IF((E60="f"),G60," ")</f>
        <v> </v>
      </c>
    </row>
    <row r="61" customFormat="false" ht="12.75" hidden="false" customHeight="false" outlineLevel="0" collapsed="false">
      <c r="A61" s="355"/>
      <c r="H61" s="338" t="str">
        <f aca="false">IF((G61&lt;&gt;0),IF((D61&gt;0)," ",G61)," ")</f>
        <v> </v>
      </c>
      <c r="I61" s="367" t="str">
        <f aca="false">IF((G61&lt;&gt;0),IF((D61&gt;0)," ",(I$1-A61))," ")</f>
        <v> </v>
      </c>
      <c r="J61" s="334" t="str">
        <f aca="false">IF((E61="s"),G61," ")</f>
        <v> </v>
      </c>
      <c r="K61" s="334" t="str">
        <f aca="false">IF((E61="d"),G61," ")</f>
        <v> </v>
      </c>
      <c r="L61" s="334" t="str">
        <f aca="false">IF((E61="e"),G61," ")</f>
        <v> </v>
      </c>
      <c r="M61" s="334" t="str">
        <f aca="false">IF((E61="p"),G61," ")</f>
        <v> </v>
      </c>
      <c r="N61" s="334" t="str">
        <f aca="false">IF((E61="r"),G61," ")</f>
        <v> </v>
      </c>
      <c r="O61" s="334" t="str">
        <f aca="false">IF((E61="g"),G61," ")</f>
        <v> </v>
      </c>
      <c r="P61" s="334" t="str">
        <f aca="false">IF((E61="m"),G61," ")</f>
        <v> </v>
      </c>
      <c r="Q61" s="334" t="str">
        <f aca="false">IF((E61="t"),G61," ")</f>
        <v> </v>
      </c>
      <c r="R61" s="334" t="str">
        <f aca="false">IF((E61="a"),G61," ")</f>
        <v> </v>
      </c>
      <c r="S61" s="334" t="str">
        <f aca="false">IF((E61="l"),G61," ")</f>
        <v> </v>
      </c>
      <c r="T61" s="334" t="str">
        <f aca="false">IF((E61="b"),G61," ")</f>
        <v> </v>
      </c>
      <c r="U61" s="334" t="str">
        <f aca="false">IF((E61="i"),G61," ")</f>
        <v> </v>
      </c>
      <c r="V61" s="334" t="str">
        <f aca="false">IF((E61="o"),G61," ")</f>
        <v> </v>
      </c>
      <c r="W61" s="334" t="str">
        <f aca="false">IF((E61="f"),G61," ")</f>
        <v> </v>
      </c>
    </row>
    <row r="62" customFormat="false" ht="12.75" hidden="false" customHeight="false" outlineLevel="0" collapsed="false">
      <c r="A62" s="355"/>
      <c r="H62" s="338" t="str">
        <f aca="false">IF((G62&lt;&gt;0),IF((D62&gt;0)," ",G62)," ")</f>
        <v> </v>
      </c>
      <c r="I62" s="367" t="str">
        <f aca="false">IF((G62&lt;&gt;0),IF((D62&gt;0)," ",(I$1-A62))," ")</f>
        <v> </v>
      </c>
      <c r="J62" s="334" t="str">
        <f aca="false">IF((E62="s"),G62," ")</f>
        <v> </v>
      </c>
      <c r="K62" s="334" t="str">
        <f aca="false">IF((E62="d"),G62," ")</f>
        <v> </v>
      </c>
      <c r="L62" s="334" t="str">
        <f aca="false">IF((E62="e"),G62," ")</f>
        <v> </v>
      </c>
      <c r="M62" s="334" t="str">
        <f aca="false">IF((E62="p"),G62," ")</f>
        <v> </v>
      </c>
      <c r="N62" s="334" t="str">
        <f aca="false">IF((E62="r"),G62," ")</f>
        <v> </v>
      </c>
      <c r="O62" s="334" t="str">
        <f aca="false">IF((E62="g"),G62," ")</f>
        <v> </v>
      </c>
      <c r="P62" s="334" t="str">
        <f aca="false">IF((E62="m"),G62," ")</f>
        <v> </v>
      </c>
      <c r="Q62" s="334" t="str">
        <f aca="false">IF((E62="t"),G62," ")</f>
        <v> </v>
      </c>
      <c r="R62" s="334" t="str">
        <f aca="false">IF((E62="a"),G62," ")</f>
        <v> </v>
      </c>
      <c r="S62" s="334" t="str">
        <f aca="false">IF((E62="l"),G62," ")</f>
        <v> </v>
      </c>
      <c r="T62" s="334" t="str">
        <f aca="false">IF((E62="b"),G62," ")</f>
        <v> </v>
      </c>
      <c r="U62" s="334" t="str">
        <f aca="false">IF((E62="i"),G62," ")</f>
        <v> </v>
      </c>
      <c r="V62" s="334" t="str">
        <f aca="false">IF((E62="o"),G62," ")</f>
        <v> </v>
      </c>
      <c r="W62" s="334" t="str">
        <f aca="false">IF((E62="f"),G62," ")</f>
        <v> </v>
      </c>
    </row>
    <row r="63" customFormat="false" ht="12.75" hidden="false" customHeight="false" outlineLevel="0" collapsed="false">
      <c r="A63" s="355"/>
      <c r="H63" s="338" t="str">
        <f aca="false">IF((G63&lt;&gt;0),IF((D63&gt;0)," ",G63)," ")</f>
        <v> </v>
      </c>
      <c r="I63" s="367" t="str">
        <f aca="false">IF((G63&lt;&gt;0),IF((D63&gt;0)," ",(I$1-A63))," ")</f>
        <v> </v>
      </c>
      <c r="J63" s="334" t="str">
        <f aca="false">IF((E63="s"),G63," ")</f>
        <v> </v>
      </c>
      <c r="K63" s="334" t="str">
        <f aca="false">IF((E63="d"),G63," ")</f>
        <v> </v>
      </c>
      <c r="L63" s="334" t="str">
        <f aca="false">IF((E63="e"),G63," ")</f>
        <v> </v>
      </c>
      <c r="M63" s="334" t="str">
        <f aca="false">IF((E63="p"),G63," ")</f>
        <v> </v>
      </c>
      <c r="N63" s="334" t="str">
        <f aca="false">IF((E63="r"),G63," ")</f>
        <v> </v>
      </c>
      <c r="O63" s="334" t="str">
        <f aca="false">IF((E63="g"),G63," ")</f>
        <v> </v>
      </c>
      <c r="P63" s="334" t="str">
        <f aca="false">IF((E63="m"),G63," ")</f>
        <v> </v>
      </c>
      <c r="Q63" s="334" t="str">
        <f aca="false">IF((E63="t"),G63," ")</f>
        <v> </v>
      </c>
      <c r="R63" s="334" t="str">
        <f aca="false">IF((E63="a"),G63," ")</f>
        <v> </v>
      </c>
      <c r="S63" s="334" t="str">
        <f aca="false">IF((E63="l"),G63," ")</f>
        <v> </v>
      </c>
      <c r="T63" s="334" t="str">
        <f aca="false">IF((E63="b"),G63," ")</f>
        <v> </v>
      </c>
      <c r="U63" s="334" t="str">
        <f aca="false">IF((E63="i"),G63," ")</f>
        <v> </v>
      </c>
      <c r="V63" s="334" t="str">
        <f aca="false">IF((E63="o"),G63," ")</f>
        <v> </v>
      </c>
      <c r="W63" s="334" t="str">
        <f aca="false">IF((E63="f"),G63," ")</f>
        <v> </v>
      </c>
    </row>
    <row r="64" customFormat="false" ht="12.75" hidden="false" customHeight="false" outlineLevel="0" collapsed="false">
      <c r="A64" s="355"/>
      <c r="H64" s="338" t="str">
        <f aca="false">IF((G64&lt;&gt;0),IF((D64&gt;0)," ",G64)," ")</f>
        <v> </v>
      </c>
      <c r="I64" s="367" t="str">
        <f aca="false">IF((G64&lt;&gt;0),IF((D64&gt;0)," ",(I$1-A64))," ")</f>
        <v> </v>
      </c>
      <c r="J64" s="334" t="str">
        <f aca="false">IF((E64="s"),G64," ")</f>
        <v> </v>
      </c>
      <c r="K64" s="334" t="str">
        <f aca="false">IF((E64="d"),G64," ")</f>
        <v> </v>
      </c>
      <c r="L64" s="334" t="str">
        <f aca="false">IF((E64="e"),G64," ")</f>
        <v> </v>
      </c>
      <c r="M64" s="334" t="str">
        <f aca="false">IF((E64="p"),G64," ")</f>
        <v> </v>
      </c>
      <c r="N64" s="334" t="str">
        <f aca="false">IF((E64="r"),G64," ")</f>
        <v> </v>
      </c>
      <c r="O64" s="334" t="str">
        <f aca="false">IF((E64="g"),G64," ")</f>
        <v> </v>
      </c>
      <c r="P64" s="334" t="str">
        <f aca="false">IF((E64="m"),G64," ")</f>
        <v> </v>
      </c>
      <c r="Q64" s="334" t="str">
        <f aca="false">IF((E64="t"),G64," ")</f>
        <v> </v>
      </c>
      <c r="R64" s="334" t="str">
        <f aca="false">IF((E64="a"),G64," ")</f>
        <v> </v>
      </c>
      <c r="S64" s="334" t="str">
        <f aca="false">IF((E64="l"),G64," ")</f>
        <v> </v>
      </c>
      <c r="T64" s="334" t="str">
        <f aca="false">IF((E64="b"),G64," ")</f>
        <v> </v>
      </c>
      <c r="U64" s="334" t="str">
        <f aca="false">IF((E64="i"),G64," ")</f>
        <v> </v>
      </c>
      <c r="V64" s="334" t="str">
        <f aca="false">IF((E64="o"),G64," ")</f>
        <v> </v>
      </c>
      <c r="W64" s="334" t="str">
        <f aca="false">IF((E64="f"),G64," ")</f>
        <v> </v>
      </c>
    </row>
    <row r="65" customFormat="false" ht="12.75" hidden="false" customHeight="false" outlineLevel="0" collapsed="false">
      <c r="A65" s="355"/>
      <c r="H65" s="338" t="str">
        <f aca="false">IF((G65&lt;&gt;0),IF((D65&gt;0)," ",G65)," ")</f>
        <v> </v>
      </c>
      <c r="I65" s="367" t="str">
        <f aca="false">IF((G65&lt;&gt;0),IF((D65&gt;0)," ",(I$1-A65))," ")</f>
        <v> </v>
      </c>
      <c r="J65" s="334" t="str">
        <f aca="false">IF((E65="s"),G65," ")</f>
        <v> </v>
      </c>
      <c r="K65" s="334" t="str">
        <f aca="false">IF((E65="d"),G65," ")</f>
        <v> </v>
      </c>
      <c r="L65" s="334" t="str">
        <f aca="false">IF((E65="e"),G65," ")</f>
        <v> </v>
      </c>
      <c r="M65" s="334" t="str">
        <f aca="false">IF((E65="p"),G65," ")</f>
        <v> </v>
      </c>
      <c r="N65" s="334" t="str">
        <f aca="false">IF((E65="r"),G65," ")</f>
        <v> </v>
      </c>
      <c r="O65" s="334" t="str">
        <f aca="false">IF((E65="g"),G65," ")</f>
        <v> </v>
      </c>
      <c r="P65" s="334" t="str">
        <f aca="false">IF((E65="m"),G65," ")</f>
        <v> </v>
      </c>
      <c r="Q65" s="334" t="str">
        <f aca="false">IF((E65="t"),G65," ")</f>
        <v> </v>
      </c>
      <c r="R65" s="334" t="str">
        <f aca="false">IF((E65="a"),G65," ")</f>
        <v> </v>
      </c>
      <c r="S65" s="334" t="str">
        <f aca="false">IF((E65="l"),G65," ")</f>
        <v> </v>
      </c>
      <c r="T65" s="334" t="str">
        <f aca="false">IF((E65="b"),G65," ")</f>
        <v> </v>
      </c>
      <c r="U65" s="334" t="str">
        <f aca="false">IF((E65="i"),G65," ")</f>
        <v> </v>
      </c>
      <c r="V65" s="334" t="str">
        <f aca="false">IF((E65="o"),G65," ")</f>
        <v> </v>
      </c>
      <c r="W65" s="334" t="str">
        <f aca="false">IF((E65="f"),G65," ")</f>
        <v> </v>
      </c>
    </row>
    <row r="66" customFormat="false" ht="12.75" hidden="false" customHeight="false" outlineLevel="0" collapsed="false">
      <c r="A66" s="355"/>
      <c r="H66" s="338" t="str">
        <f aca="false">IF((G66&lt;&gt;0),IF((D66&gt;0)," ",G66)," ")</f>
        <v> </v>
      </c>
      <c r="I66" s="367" t="str">
        <f aca="false">IF((G66&lt;&gt;0),IF((D66&gt;0)," ",(I$1-A66))," ")</f>
        <v> </v>
      </c>
      <c r="J66" s="334" t="str">
        <f aca="false">IF((E66="s"),G66," ")</f>
        <v> </v>
      </c>
      <c r="K66" s="334" t="str">
        <f aca="false">IF((E66="d"),G66," ")</f>
        <v> </v>
      </c>
      <c r="L66" s="334" t="str">
        <f aca="false">IF((E66="e"),G66," ")</f>
        <v> </v>
      </c>
      <c r="M66" s="334" t="str">
        <f aca="false">IF((E66="p"),G66," ")</f>
        <v> </v>
      </c>
      <c r="N66" s="334" t="str">
        <f aca="false">IF((E66="r"),G66," ")</f>
        <v> </v>
      </c>
      <c r="O66" s="334" t="str">
        <f aca="false">IF((E66="g"),G66," ")</f>
        <v> </v>
      </c>
      <c r="P66" s="334" t="str">
        <f aca="false">IF((E66="m"),G66," ")</f>
        <v> </v>
      </c>
      <c r="Q66" s="334" t="str">
        <f aca="false">IF((E66="t"),G66," ")</f>
        <v> </v>
      </c>
      <c r="R66" s="334" t="str">
        <f aca="false">IF((E66="a"),G66," ")</f>
        <v> </v>
      </c>
      <c r="S66" s="334" t="str">
        <f aca="false">IF((E66="l"),G66," ")</f>
        <v> </v>
      </c>
      <c r="T66" s="334" t="str">
        <f aca="false">IF((E66="b"),G66," ")</f>
        <v> </v>
      </c>
      <c r="U66" s="334" t="str">
        <f aca="false">IF((E66="i"),G66," ")</f>
        <v> </v>
      </c>
      <c r="V66" s="334" t="str">
        <f aca="false">IF((E66="o"),G66," ")</f>
        <v> </v>
      </c>
      <c r="W66" s="334" t="str">
        <f aca="false">IF((E66="f"),G66," ")</f>
        <v> </v>
      </c>
    </row>
    <row r="67" customFormat="false" ht="12.75" hidden="false" customHeight="false" outlineLevel="0" collapsed="false">
      <c r="A67" s="355"/>
      <c r="H67" s="338" t="str">
        <f aca="false">IF((G67&lt;&gt;0),IF((D67&gt;0)," ",G67)," ")</f>
        <v> </v>
      </c>
      <c r="I67" s="367" t="str">
        <f aca="false">IF((G67&lt;&gt;0),IF((D67&gt;0)," ",(I$1-A67))," ")</f>
        <v> </v>
      </c>
      <c r="J67" s="334" t="str">
        <f aca="false">IF((E67="s"),G67," ")</f>
        <v> </v>
      </c>
      <c r="K67" s="334" t="str">
        <f aca="false">IF((E67="d"),G67," ")</f>
        <v> </v>
      </c>
      <c r="L67" s="334" t="str">
        <f aca="false">IF((E67="e"),G67," ")</f>
        <v> </v>
      </c>
      <c r="M67" s="334" t="str">
        <f aca="false">IF((E67="p"),G67," ")</f>
        <v> </v>
      </c>
      <c r="N67" s="334" t="str">
        <f aca="false">IF((E67="r"),G67," ")</f>
        <v> </v>
      </c>
      <c r="O67" s="334" t="str">
        <f aca="false">IF((E67="g"),G67," ")</f>
        <v> </v>
      </c>
      <c r="P67" s="334" t="str">
        <f aca="false">IF((E67="m"),G67," ")</f>
        <v> </v>
      </c>
      <c r="Q67" s="334" t="str">
        <f aca="false">IF((E67="t"),G67," ")</f>
        <v> </v>
      </c>
      <c r="R67" s="334" t="str">
        <f aca="false">IF((E67="a"),G67," ")</f>
        <v> </v>
      </c>
      <c r="S67" s="334" t="str">
        <f aca="false">IF((E67="l"),G67," ")</f>
        <v> </v>
      </c>
      <c r="T67" s="334" t="str">
        <f aca="false">IF((E67="b"),G67," ")</f>
        <v> </v>
      </c>
      <c r="U67" s="334" t="str">
        <f aca="false">IF((E67="i"),G67," ")</f>
        <v> </v>
      </c>
      <c r="V67" s="334" t="str">
        <f aca="false">IF((E67="o"),G67," ")</f>
        <v> </v>
      </c>
      <c r="W67" s="334" t="str">
        <f aca="false">IF((E67="f"),G67," ")</f>
        <v> </v>
      </c>
    </row>
    <row r="68" customFormat="false" ht="12.75" hidden="false" customHeight="false" outlineLevel="0" collapsed="false">
      <c r="A68" s="355"/>
      <c r="H68" s="338" t="str">
        <f aca="false">IF((G68&lt;&gt;0),IF((D68&gt;0)," ",G68)," ")</f>
        <v> </v>
      </c>
      <c r="I68" s="367" t="str">
        <f aca="false">IF((G68&lt;&gt;0),IF((D68&gt;0)," ",(I$1-A68))," ")</f>
        <v> </v>
      </c>
      <c r="J68" s="334" t="str">
        <f aca="false">IF((E68="s"),G68," ")</f>
        <v> </v>
      </c>
      <c r="K68" s="334" t="str">
        <f aca="false">IF((E68="d"),G68," ")</f>
        <v> </v>
      </c>
      <c r="L68" s="334" t="str">
        <f aca="false">IF((E68="e"),G68," ")</f>
        <v> </v>
      </c>
      <c r="M68" s="334" t="str">
        <f aca="false">IF((E68="p"),G68," ")</f>
        <v> </v>
      </c>
      <c r="N68" s="334" t="str">
        <f aca="false">IF((E68="r"),G68," ")</f>
        <v> </v>
      </c>
      <c r="O68" s="334" t="str">
        <f aca="false">IF((E68="g"),G68," ")</f>
        <v> </v>
      </c>
      <c r="P68" s="334" t="str">
        <f aca="false">IF((E68="m"),G68," ")</f>
        <v> </v>
      </c>
      <c r="Q68" s="334" t="str">
        <f aca="false">IF((E68="t"),G68," ")</f>
        <v> </v>
      </c>
      <c r="R68" s="334" t="str">
        <f aca="false">IF((E68="a"),G68," ")</f>
        <v> </v>
      </c>
      <c r="S68" s="334" t="str">
        <f aca="false">IF((E68="l"),G68," ")</f>
        <v> </v>
      </c>
      <c r="T68" s="334" t="str">
        <f aca="false">IF((E68="b"),G68," ")</f>
        <v> </v>
      </c>
      <c r="U68" s="334" t="str">
        <f aca="false">IF((E68="i"),G68," ")</f>
        <v> </v>
      </c>
      <c r="V68" s="334" t="str">
        <f aca="false">IF((E68="o"),G68," ")</f>
        <v> </v>
      </c>
      <c r="W68" s="334" t="str">
        <f aca="false">IF((E68="f"),G68," ")</f>
        <v> </v>
      </c>
    </row>
    <row r="69" customFormat="false" ht="12.75" hidden="false" customHeight="false" outlineLevel="0" collapsed="false">
      <c r="A69" s="355"/>
      <c r="E69" s="365" t="str">
        <f aca="false">IF((G69&lt;&gt;0),"Enter Letter"," ")</f>
        <v> </v>
      </c>
      <c r="H69" s="338" t="str">
        <f aca="false">IF((G69&lt;&gt;0),IF((D69&gt;0)," ",G69)," ")</f>
        <v> </v>
      </c>
      <c r="I69" s="367" t="str">
        <f aca="false">IF((G69&lt;&gt;0),IF((D69&gt;0)," ",(I$1-A69))," ")</f>
        <v> </v>
      </c>
      <c r="J69" s="334" t="str">
        <f aca="false">IF((E69="s"),G69," ")</f>
        <v> </v>
      </c>
      <c r="K69" s="334" t="str">
        <f aca="false">IF((E69="d"),G69," ")</f>
        <v> </v>
      </c>
      <c r="L69" s="334" t="str">
        <f aca="false">IF((E69="e"),G69," ")</f>
        <v> </v>
      </c>
      <c r="M69" s="334" t="str">
        <f aca="false">IF((E69="p"),G69," ")</f>
        <v> </v>
      </c>
      <c r="N69" s="334" t="str">
        <f aca="false">IF((E69="r"),G69," ")</f>
        <v> </v>
      </c>
      <c r="O69" s="334" t="str">
        <f aca="false">IF((E69="g"),G69," ")</f>
        <v> </v>
      </c>
      <c r="P69" s="334" t="str">
        <f aca="false">IF((E69="m"),G69," ")</f>
        <v> </v>
      </c>
      <c r="Q69" s="334" t="str">
        <f aca="false">IF((E69="t"),G69," ")</f>
        <v> </v>
      </c>
      <c r="R69" s="334" t="str">
        <f aca="false">IF((E69="a"),G69," ")</f>
        <v> </v>
      </c>
      <c r="S69" s="334" t="str">
        <f aca="false">IF((E69="l"),G69," ")</f>
        <v> </v>
      </c>
      <c r="T69" s="334" t="str">
        <f aca="false">IF((E69="b"),G69," ")</f>
        <v> </v>
      </c>
      <c r="U69" s="334" t="str">
        <f aca="false">IF((E69="i"),G69," ")</f>
        <v> </v>
      </c>
      <c r="V69" s="334" t="str">
        <f aca="false">IF((E69="o"),G69," ")</f>
        <v> </v>
      </c>
      <c r="W69" s="334" t="str">
        <f aca="false">IF((E69="f"),G69," ")</f>
        <v> </v>
      </c>
    </row>
    <row r="70" customFormat="false" ht="12.75" hidden="false" customHeight="false" outlineLevel="0" collapsed="false">
      <c r="A70" s="355"/>
      <c r="E70" s="365" t="str">
        <f aca="false">IF((G70&lt;&gt;0),"Enter Letter"," ")</f>
        <v> </v>
      </c>
      <c r="H70" s="338" t="str">
        <f aca="false">IF((G70&lt;&gt;0),IF((D70&gt;0)," ",G70)," ")</f>
        <v> </v>
      </c>
      <c r="I70" s="367" t="str">
        <f aca="false">IF((G70&lt;&gt;0),IF((D70&gt;0)," ",(I$1-A70))," ")</f>
        <v> </v>
      </c>
      <c r="J70" s="334" t="str">
        <f aca="false">IF((E70="s"),G70," ")</f>
        <v> </v>
      </c>
      <c r="K70" s="334" t="str">
        <f aca="false">IF((E70="d"),G70," ")</f>
        <v> </v>
      </c>
      <c r="L70" s="334" t="str">
        <f aca="false">IF((E70="e"),G70," ")</f>
        <v> </v>
      </c>
      <c r="M70" s="334" t="str">
        <f aca="false">IF((E70="p"),G70," ")</f>
        <v> </v>
      </c>
      <c r="N70" s="334" t="str">
        <f aca="false">IF((E70="r"),G70," ")</f>
        <v> </v>
      </c>
      <c r="O70" s="334" t="str">
        <f aca="false">IF((E70="g"),G70," ")</f>
        <v> </v>
      </c>
      <c r="P70" s="334" t="str">
        <f aca="false">IF((E70="m"),G70," ")</f>
        <v> </v>
      </c>
      <c r="Q70" s="334" t="str">
        <f aca="false">IF((E70="t"),G70," ")</f>
        <v> </v>
      </c>
      <c r="R70" s="334" t="str">
        <f aca="false">IF((E70="a"),G70," ")</f>
        <v> </v>
      </c>
      <c r="S70" s="334" t="str">
        <f aca="false">IF((E70="l"),G70," ")</f>
        <v> </v>
      </c>
      <c r="T70" s="334" t="str">
        <f aca="false">IF((E70="b"),G70," ")</f>
        <v> </v>
      </c>
      <c r="U70" s="334" t="str">
        <f aca="false">IF((E70="i"),G70," ")</f>
        <v> </v>
      </c>
      <c r="V70" s="334" t="str">
        <f aca="false">IF((E70="o"),G70," ")</f>
        <v> </v>
      </c>
      <c r="W70" s="334" t="str">
        <f aca="false">IF((E70="f"),G70," ")</f>
        <v> </v>
      </c>
    </row>
    <row r="71" customFormat="false" ht="12.75" hidden="false" customHeight="false" outlineLevel="0" collapsed="false">
      <c r="A71" s="355"/>
      <c r="E71" s="365" t="str">
        <f aca="false">IF((G71&lt;&gt;0),"Enter Letter"," ")</f>
        <v> </v>
      </c>
      <c r="H71" s="338" t="str">
        <f aca="false">IF((G71&lt;&gt;0),IF((D71&gt;0)," ",G71)," ")</f>
        <v> </v>
      </c>
      <c r="I71" s="367" t="str">
        <f aca="false">IF((G71&lt;&gt;0),IF((D71&gt;0)," ",(I$1-A71))," ")</f>
        <v> </v>
      </c>
      <c r="J71" s="334" t="str">
        <f aca="false">IF((E71="s"),G71," ")</f>
        <v> </v>
      </c>
      <c r="K71" s="334" t="str">
        <f aca="false">IF((E71="d"),G71," ")</f>
        <v> </v>
      </c>
      <c r="L71" s="334" t="str">
        <f aca="false">IF((E71="e"),G71," ")</f>
        <v> </v>
      </c>
      <c r="M71" s="334" t="str">
        <f aca="false">IF((E71="p"),G71," ")</f>
        <v> </v>
      </c>
      <c r="N71" s="334" t="str">
        <f aca="false">IF((E71="r"),G71," ")</f>
        <v> </v>
      </c>
      <c r="O71" s="334" t="str">
        <f aca="false">IF((E71="g"),G71," ")</f>
        <v> </v>
      </c>
      <c r="P71" s="334" t="str">
        <f aca="false">IF((E71="m"),G71," ")</f>
        <v> </v>
      </c>
      <c r="Q71" s="334" t="str">
        <f aca="false">IF((E71="t"),G71," ")</f>
        <v> </v>
      </c>
      <c r="R71" s="334" t="str">
        <f aca="false">IF((E71="a"),G71," ")</f>
        <v> </v>
      </c>
      <c r="S71" s="334" t="str">
        <f aca="false">IF((E71="l"),G71," ")</f>
        <v> </v>
      </c>
      <c r="T71" s="334" t="str">
        <f aca="false">IF((E71="b"),G71," ")</f>
        <v> </v>
      </c>
      <c r="U71" s="334" t="str">
        <f aca="false">IF((E71="i"),G71," ")</f>
        <v> </v>
      </c>
      <c r="V71" s="334" t="str">
        <f aca="false">IF((E71="o"),G71," ")</f>
        <v> </v>
      </c>
      <c r="W71" s="334" t="str">
        <f aca="false">IF((E71="f"),G71," ")</f>
        <v> </v>
      </c>
    </row>
    <row r="72" customFormat="false" ht="12.75" hidden="false" customHeight="false" outlineLevel="0" collapsed="false">
      <c r="A72" s="355"/>
      <c r="E72" s="365" t="str">
        <f aca="false">IF((G72&lt;&gt;0),"Enter Letter"," ")</f>
        <v> </v>
      </c>
      <c r="H72" s="338" t="str">
        <f aca="false">IF((G72&lt;&gt;0),IF((D72&gt;0)," ",G72)," ")</f>
        <v> </v>
      </c>
      <c r="I72" s="367" t="str">
        <f aca="false">IF((G72&lt;&gt;0),IF((D72&gt;0)," ",(I$1-A72))," ")</f>
        <v> </v>
      </c>
      <c r="J72" s="334" t="str">
        <f aca="false">IF((E72="s"),G72," ")</f>
        <v> </v>
      </c>
      <c r="K72" s="334" t="str">
        <f aca="false">IF((E72="d"),G72," ")</f>
        <v> </v>
      </c>
      <c r="L72" s="334" t="str">
        <f aca="false">IF((E72="e"),G72," ")</f>
        <v> </v>
      </c>
      <c r="M72" s="334" t="str">
        <f aca="false">IF((E72="p"),G72," ")</f>
        <v> </v>
      </c>
      <c r="N72" s="334" t="str">
        <f aca="false">IF((E72="r"),G72," ")</f>
        <v> </v>
      </c>
      <c r="O72" s="334" t="str">
        <f aca="false">IF((E72="g"),G72," ")</f>
        <v> </v>
      </c>
      <c r="P72" s="334" t="str">
        <f aca="false">IF((E72="m"),G72," ")</f>
        <v> </v>
      </c>
      <c r="Q72" s="334" t="str">
        <f aca="false">IF((E72="t"),G72," ")</f>
        <v> </v>
      </c>
      <c r="R72" s="334" t="str">
        <f aca="false">IF((E72="a"),G72," ")</f>
        <v> </v>
      </c>
      <c r="S72" s="334" t="str">
        <f aca="false">IF((E72="l"),G72," ")</f>
        <v> </v>
      </c>
      <c r="T72" s="334" t="str">
        <f aca="false">IF((E72="b"),G72," ")</f>
        <v> </v>
      </c>
      <c r="U72" s="334" t="str">
        <f aca="false">IF((E72="i"),G72," ")</f>
        <v> </v>
      </c>
      <c r="V72" s="334" t="str">
        <f aca="false">IF((E72="o"),G72," ")</f>
        <v> </v>
      </c>
      <c r="W72" s="334" t="str">
        <f aca="false">IF((E72="f"),G72," ")</f>
        <v> </v>
      </c>
    </row>
    <row r="73" customFormat="false" ht="12.75" hidden="false" customHeight="false" outlineLevel="0" collapsed="false">
      <c r="A73" s="355"/>
      <c r="E73" s="365" t="str">
        <f aca="false">IF((G73&lt;&gt;0),"Enter Letter"," ")</f>
        <v> </v>
      </c>
      <c r="H73" s="338" t="str">
        <f aca="false">IF((G73&lt;&gt;0),IF((D73&gt;0)," ",G73)," ")</f>
        <v> </v>
      </c>
      <c r="I73" s="367" t="str">
        <f aca="false">IF((G73&lt;&gt;0),IF((D73&gt;0)," ",(I$1-A73))," ")</f>
        <v> </v>
      </c>
      <c r="J73" s="334" t="str">
        <f aca="false">IF((E73="s"),G73," ")</f>
        <v> </v>
      </c>
      <c r="K73" s="334" t="str">
        <f aca="false">IF((E73="d"),G73," ")</f>
        <v> </v>
      </c>
      <c r="L73" s="334" t="str">
        <f aca="false">IF((E73="e"),G73," ")</f>
        <v> </v>
      </c>
      <c r="M73" s="334" t="str">
        <f aca="false">IF((E73="p"),G73," ")</f>
        <v> </v>
      </c>
      <c r="N73" s="334" t="str">
        <f aca="false">IF((E73="r"),G73," ")</f>
        <v> </v>
      </c>
      <c r="O73" s="334" t="str">
        <f aca="false">IF((E73="g"),G73," ")</f>
        <v> </v>
      </c>
      <c r="P73" s="334" t="str">
        <f aca="false">IF((E73="m"),G73," ")</f>
        <v> </v>
      </c>
      <c r="Q73" s="334" t="str">
        <f aca="false">IF((E73="t"),G73," ")</f>
        <v> </v>
      </c>
      <c r="R73" s="334" t="str">
        <f aca="false">IF((E73="a"),G73," ")</f>
        <v> </v>
      </c>
      <c r="S73" s="334" t="str">
        <f aca="false">IF((E73="l"),G73," ")</f>
        <v> </v>
      </c>
      <c r="T73" s="334" t="str">
        <f aca="false">IF((E73="b"),G73," ")</f>
        <v> </v>
      </c>
      <c r="U73" s="334" t="str">
        <f aca="false">IF((E73="i"),G73," ")</f>
        <v> </v>
      </c>
      <c r="V73" s="334" t="str">
        <f aca="false">IF((E73="o"),G73," ")</f>
        <v> </v>
      </c>
      <c r="W73" s="334" t="str">
        <f aca="false">IF((E73="f"),G73," ")</f>
        <v> </v>
      </c>
    </row>
    <row r="74" customFormat="false" ht="12.75" hidden="false" customHeight="false" outlineLevel="0" collapsed="false">
      <c r="A74" s="355"/>
      <c r="E74" s="365" t="str">
        <f aca="false">IF((G74&lt;&gt;0),"Enter Letter"," ")</f>
        <v> </v>
      </c>
      <c r="H74" s="338" t="str">
        <f aca="false">IF((G74&lt;&gt;0),IF((D74&gt;0)," ",G74)," ")</f>
        <v> </v>
      </c>
      <c r="I74" s="367" t="str">
        <f aca="false">IF((G74&lt;&gt;0),IF((D74&gt;0)," ",(I$1-A74))," ")</f>
        <v> </v>
      </c>
      <c r="J74" s="334" t="str">
        <f aca="false">IF((E74="s"),G74," ")</f>
        <v> </v>
      </c>
      <c r="K74" s="334" t="str">
        <f aca="false">IF((E74="d"),G74," ")</f>
        <v> </v>
      </c>
      <c r="L74" s="334" t="str">
        <f aca="false">IF((E74="e"),G74," ")</f>
        <v> </v>
      </c>
      <c r="M74" s="334" t="str">
        <f aca="false">IF((E74="p"),G74," ")</f>
        <v> </v>
      </c>
      <c r="N74" s="334" t="str">
        <f aca="false">IF((E74="r"),G74," ")</f>
        <v> </v>
      </c>
      <c r="O74" s="334" t="str">
        <f aca="false">IF((E74="g"),G74," ")</f>
        <v> </v>
      </c>
      <c r="P74" s="334" t="str">
        <f aca="false">IF((E74="m"),G74," ")</f>
        <v> </v>
      </c>
      <c r="Q74" s="334" t="str">
        <f aca="false">IF((E74="t"),G74," ")</f>
        <v> </v>
      </c>
      <c r="R74" s="334" t="str">
        <f aca="false">IF((E74="a"),G74," ")</f>
        <v> </v>
      </c>
      <c r="S74" s="334" t="str">
        <f aca="false">IF((E74="l"),G74," ")</f>
        <v> </v>
      </c>
      <c r="T74" s="334" t="str">
        <f aca="false">IF((E74="b"),G74," ")</f>
        <v> </v>
      </c>
      <c r="U74" s="334" t="str">
        <f aca="false">IF((E74="i"),G74," ")</f>
        <v> </v>
      </c>
      <c r="V74" s="334" t="str">
        <f aca="false">IF((E74="o"),G74," ")</f>
        <v> </v>
      </c>
      <c r="W74" s="334" t="str">
        <f aca="false">IF((E74="f"),G74," ")</f>
        <v> </v>
      </c>
    </row>
    <row r="75" customFormat="false" ht="12.75" hidden="false" customHeight="false" outlineLevel="0" collapsed="false">
      <c r="A75" s="355"/>
      <c r="E75" s="365" t="str">
        <f aca="false">IF((G75&lt;&gt;0),"Enter Letter"," ")</f>
        <v> </v>
      </c>
      <c r="H75" s="338" t="str">
        <f aca="false">IF((G75&lt;&gt;0),IF((D75&gt;0)," ",G75)," ")</f>
        <v> </v>
      </c>
      <c r="I75" s="367" t="str">
        <f aca="false">IF((G75&lt;&gt;0),IF((D75&gt;0)," ",(I$1-A75))," ")</f>
        <v> </v>
      </c>
      <c r="J75" s="334" t="str">
        <f aca="false">IF((E75="s"),G75," ")</f>
        <v> </v>
      </c>
      <c r="K75" s="334" t="str">
        <f aca="false">IF((E75="d"),G75," ")</f>
        <v> </v>
      </c>
      <c r="L75" s="334" t="str">
        <f aca="false">IF((E75="e"),G75," ")</f>
        <v> </v>
      </c>
      <c r="M75" s="334" t="str">
        <f aca="false">IF((E75="p"),G75," ")</f>
        <v> </v>
      </c>
      <c r="N75" s="334" t="str">
        <f aca="false">IF((E75="r"),G75," ")</f>
        <v> </v>
      </c>
      <c r="O75" s="334" t="str">
        <f aca="false">IF((E75="g"),G75," ")</f>
        <v> </v>
      </c>
      <c r="P75" s="334" t="str">
        <f aca="false">IF((E75="m"),G75," ")</f>
        <v> </v>
      </c>
      <c r="Q75" s="334" t="str">
        <f aca="false">IF((E75="t"),G75," ")</f>
        <v> </v>
      </c>
      <c r="R75" s="334" t="str">
        <f aca="false">IF((E75="a"),G75," ")</f>
        <v> </v>
      </c>
      <c r="S75" s="334" t="str">
        <f aca="false">IF((E75="l"),G75," ")</f>
        <v> </v>
      </c>
      <c r="T75" s="334" t="str">
        <f aca="false">IF((E75="b"),G75," ")</f>
        <v> </v>
      </c>
      <c r="U75" s="334" t="str">
        <f aca="false">IF((E75="i"),G75," ")</f>
        <v> </v>
      </c>
      <c r="V75" s="334" t="str">
        <f aca="false">IF((E75="o"),G75," ")</f>
        <v> </v>
      </c>
      <c r="W75" s="334" t="str">
        <f aca="false">IF((E75="f"),G75," ")</f>
        <v> </v>
      </c>
    </row>
    <row r="76" customFormat="false" ht="12.75" hidden="false" customHeight="false" outlineLevel="0" collapsed="false">
      <c r="A76" s="355"/>
      <c r="E76" s="365" t="str">
        <f aca="false">IF((G76&lt;&gt;0),"Enter Letter"," ")</f>
        <v> </v>
      </c>
      <c r="H76" s="338" t="str">
        <f aca="false">IF((G76&lt;&gt;0),IF((D76&gt;0)," ",G76)," ")</f>
        <v> </v>
      </c>
      <c r="I76" s="367" t="str">
        <f aca="false">IF((G76&lt;&gt;0),IF((D76&gt;0)," ",(I$1-A76))," ")</f>
        <v> </v>
      </c>
      <c r="J76" s="334" t="str">
        <f aca="false">IF((E76="s"),G76," ")</f>
        <v> </v>
      </c>
      <c r="K76" s="334" t="str">
        <f aca="false">IF((E76="d"),G76," ")</f>
        <v> </v>
      </c>
      <c r="L76" s="334" t="str">
        <f aca="false">IF((E76="e"),G76," ")</f>
        <v> </v>
      </c>
      <c r="M76" s="334" t="str">
        <f aca="false">IF((E76="p"),G76," ")</f>
        <v> </v>
      </c>
      <c r="N76" s="334" t="str">
        <f aca="false">IF((E76="r"),G76," ")</f>
        <v> </v>
      </c>
      <c r="O76" s="334" t="str">
        <f aca="false">IF((E76="g"),G76," ")</f>
        <v> </v>
      </c>
      <c r="P76" s="334" t="str">
        <f aca="false">IF((E76="m"),G76," ")</f>
        <v> </v>
      </c>
      <c r="Q76" s="334" t="str">
        <f aca="false">IF((E76="t"),G76," ")</f>
        <v> </v>
      </c>
      <c r="R76" s="334" t="str">
        <f aca="false">IF((E76="a"),G76," ")</f>
        <v> </v>
      </c>
      <c r="S76" s="334" t="str">
        <f aca="false">IF((E76="l"),G76," ")</f>
        <v> </v>
      </c>
      <c r="T76" s="334" t="str">
        <f aca="false">IF((E76="b"),G76," ")</f>
        <v> </v>
      </c>
      <c r="U76" s="334" t="str">
        <f aca="false">IF((E76="i"),G76," ")</f>
        <v> </v>
      </c>
      <c r="V76" s="334" t="str">
        <f aca="false">IF((E76="o"),G76," ")</f>
        <v> </v>
      </c>
      <c r="W76" s="334" t="str">
        <f aca="false">IF((E76="f"),G76," ")</f>
        <v> </v>
      </c>
    </row>
    <row r="77" customFormat="false" ht="12.75" hidden="false" customHeight="false" outlineLevel="0" collapsed="false">
      <c r="A77" s="355"/>
      <c r="E77" s="365" t="str">
        <f aca="false">IF((G77&lt;&gt;0),"Enter Letter"," ")</f>
        <v> </v>
      </c>
      <c r="H77" s="338" t="str">
        <f aca="false">IF((G77&lt;&gt;0),IF((D77&gt;0)," ",G77)," ")</f>
        <v> </v>
      </c>
      <c r="I77" s="367" t="str">
        <f aca="false">IF((G77&lt;&gt;0),IF((D77&gt;0)," ",(I$1-A77))," ")</f>
        <v> </v>
      </c>
      <c r="J77" s="334" t="str">
        <f aca="false">IF((E77="s"),G77," ")</f>
        <v> </v>
      </c>
      <c r="K77" s="334" t="str">
        <f aca="false">IF((E77="d"),G77," ")</f>
        <v> </v>
      </c>
      <c r="L77" s="334" t="str">
        <f aca="false">IF((E77="e"),G77," ")</f>
        <v> </v>
      </c>
      <c r="M77" s="334" t="str">
        <f aca="false">IF((E77="p"),G77," ")</f>
        <v> </v>
      </c>
      <c r="N77" s="334" t="str">
        <f aca="false">IF((E77="r"),G77," ")</f>
        <v> </v>
      </c>
      <c r="O77" s="334" t="str">
        <f aca="false">IF((E77="g"),G77," ")</f>
        <v> </v>
      </c>
      <c r="P77" s="334" t="str">
        <f aca="false">IF((E77="m"),G77," ")</f>
        <v> </v>
      </c>
      <c r="Q77" s="334" t="str">
        <f aca="false">IF((E77="t"),G77," ")</f>
        <v> </v>
      </c>
      <c r="R77" s="334" t="str">
        <f aca="false">IF((E77="a"),G77," ")</f>
        <v> </v>
      </c>
      <c r="S77" s="334" t="str">
        <f aca="false">IF((E77="l"),G77," ")</f>
        <v> </v>
      </c>
      <c r="T77" s="334" t="str">
        <f aca="false">IF((E77="b"),G77," ")</f>
        <v> </v>
      </c>
      <c r="U77" s="334" t="str">
        <f aca="false">IF((E77="i"),G77," ")</f>
        <v> </v>
      </c>
      <c r="V77" s="334" t="str">
        <f aca="false">IF((E77="o"),G77," ")</f>
        <v> </v>
      </c>
      <c r="W77" s="334" t="str">
        <f aca="false">IF((E77="f"),G77," ")</f>
        <v> </v>
      </c>
    </row>
    <row r="78" customFormat="false" ht="12.75" hidden="false" customHeight="false" outlineLevel="0" collapsed="false">
      <c r="A78" s="355"/>
      <c r="E78" s="365" t="str">
        <f aca="false">IF((G78&lt;&gt;0),"Enter Letter"," ")</f>
        <v> </v>
      </c>
      <c r="H78" s="338" t="str">
        <f aca="false">IF((G78&lt;&gt;0),IF((D78&gt;0)," ",G78)," ")</f>
        <v> </v>
      </c>
      <c r="I78" s="367" t="str">
        <f aca="false">IF((G78&lt;&gt;0),IF((D78&gt;0)," ",(I$1-A78))," ")</f>
        <v> </v>
      </c>
      <c r="J78" s="334" t="str">
        <f aca="false">IF((E78="s"),G78," ")</f>
        <v> </v>
      </c>
      <c r="K78" s="334" t="str">
        <f aca="false">IF((E78="d"),G78," ")</f>
        <v> </v>
      </c>
      <c r="L78" s="334" t="str">
        <f aca="false">IF((E78="e"),G78," ")</f>
        <v> </v>
      </c>
      <c r="M78" s="334" t="str">
        <f aca="false">IF((E78="p"),G78," ")</f>
        <v> </v>
      </c>
      <c r="N78" s="334" t="str">
        <f aca="false">IF((E78="r"),G78," ")</f>
        <v> </v>
      </c>
      <c r="O78" s="334" t="str">
        <f aca="false">IF((E78="g"),G78," ")</f>
        <v> </v>
      </c>
      <c r="P78" s="334" t="str">
        <f aca="false">IF((E78="m"),G78," ")</f>
        <v> </v>
      </c>
      <c r="Q78" s="334" t="str">
        <f aca="false">IF((E78="t"),G78," ")</f>
        <v> </v>
      </c>
      <c r="R78" s="334" t="str">
        <f aca="false">IF((E78="a"),G78," ")</f>
        <v> </v>
      </c>
      <c r="S78" s="334" t="str">
        <f aca="false">IF((E78="l"),G78," ")</f>
        <v> </v>
      </c>
      <c r="T78" s="334" t="str">
        <f aca="false">IF((E78="b"),G78," ")</f>
        <v> </v>
      </c>
      <c r="U78" s="334" t="str">
        <f aca="false">IF((E78="i"),G78," ")</f>
        <v> </v>
      </c>
      <c r="V78" s="334" t="str">
        <f aca="false">IF((E78="o"),G78," ")</f>
        <v> </v>
      </c>
      <c r="W78" s="334" t="str">
        <f aca="false">IF((E78="f"),G78," ")</f>
        <v> </v>
      </c>
    </row>
    <row r="79" customFormat="false" ht="12.75" hidden="false" customHeight="false" outlineLevel="0" collapsed="false">
      <c r="A79" s="355"/>
      <c r="E79" s="365" t="str">
        <f aca="false">IF((G79&lt;&gt;0),"Enter Letter"," ")</f>
        <v> </v>
      </c>
      <c r="H79" s="338" t="str">
        <f aca="false">IF((G79&lt;&gt;0),IF((D79&gt;0)," ",G79)," ")</f>
        <v> </v>
      </c>
      <c r="I79" s="367" t="str">
        <f aca="false">IF((G79&lt;&gt;0),IF((D79&gt;0)," ",(I$1-A79))," ")</f>
        <v> </v>
      </c>
      <c r="J79" s="334" t="str">
        <f aca="false">IF((E79="s"),G79," ")</f>
        <v> </v>
      </c>
      <c r="K79" s="334" t="str">
        <f aca="false">IF((E79="d"),G79," ")</f>
        <v> </v>
      </c>
      <c r="L79" s="334" t="str">
        <f aca="false">IF((E79="e"),G79," ")</f>
        <v> </v>
      </c>
      <c r="M79" s="334" t="str">
        <f aca="false">IF((E79="p"),G79," ")</f>
        <v> </v>
      </c>
      <c r="N79" s="334" t="str">
        <f aca="false">IF((E79="r"),G79," ")</f>
        <v> </v>
      </c>
      <c r="O79" s="334" t="str">
        <f aca="false">IF((E79="g"),G79," ")</f>
        <v> </v>
      </c>
      <c r="P79" s="334" t="str">
        <f aca="false">IF((E79="m"),G79," ")</f>
        <v> </v>
      </c>
      <c r="Q79" s="334" t="str">
        <f aca="false">IF((E79="t"),G79," ")</f>
        <v> </v>
      </c>
      <c r="R79" s="334" t="str">
        <f aca="false">IF((E79="a"),G79," ")</f>
        <v> </v>
      </c>
      <c r="S79" s="334" t="str">
        <f aca="false">IF((E79="l"),G79," ")</f>
        <v> </v>
      </c>
      <c r="T79" s="334" t="str">
        <f aca="false">IF((E79="b"),G79," ")</f>
        <v> </v>
      </c>
      <c r="U79" s="334" t="str">
        <f aca="false">IF((E79="i"),G79," ")</f>
        <v> </v>
      </c>
      <c r="V79" s="334" t="str">
        <f aca="false">IF((E79="o"),G79," ")</f>
        <v> </v>
      </c>
      <c r="W79" s="334" t="str">
        <f aca="false">IF((E79="f"),G79," ")</f>
        <v> </v>
      </c>
    </row>
    <row r="80" customFormat="false" ht="12.75" hidden="false" customHeight="false" outlineLevel="0" collapsed="false">
      <c r="A80" s="355"/>
      <c r="E80" s="365" t="str">
        <f aca="false">IF((G80&lt;&gt;0),"Enter Letter"," ")</f>
        <v> </v>
      </c>
      <c r="H80" s="338" t="str">
        <f aca="false">IF((G80&lt;&gt;0),IF((D80&gt;0)," ",G80)," ")</f>
        <v> </v>
      </c>
      <c r="I80" s="367" t="str">
        <f aca="false">IF((G80&lt;&gt;0),IF((D80&gt;0)," ",(I$1-A80))," ")</f>
        <v> </v>
      </c>
      <c r="J80" s="334" t="str">
        <f aca="false">IF((E80="s"),G80," ")</f>
        <v> </v>
      </c>
      <c r="K80" s="334" t="str">
        <f aca="false">IF((E80="d"),G80," ")</f>
        <v> </v>
      </c>
      <c r="L80" s="334" t="str">
        <f aca="false">IF((E80="e"),G80," ")</f>
        <v> </v>
      </c>
      <c r="M80" s="334" t="str">
        <f aca="false">IF((E80="p"),G80," ")</f>
        <v> </v>
      </c>
      <c r="N80" s="334" t="str">
        <f aca="false">IF((E80="r"),G80," ")</f>
        <v> </v>
      </c>
      <c r="O80" s="334" t="str">
        <f aca="false">IF((E80="g"),G80," ")</f>
        <v> </v>
      </c>
      <c r="P80" s="334" t="str">
        <f aca="false">IF((E80="m"),G80," ")</f>
        <v> </v>
      </c>
      <c r="Q80" s="334" t="str">
        <f aca="false">IF((E80="t"),G80," ")</f>
        <v> </v>
      </c>
      <c r="R80" s="334" t="str">
        <f aca="false">IF((E80="a"),G80," ")</f>
        <v> </v>
      </c>
      <c r="S80" s="334" t="str">
        <f aca="false">IF((E80="l"),G80," ")</f>
        <v> </v>
      </c>
      <c r="T80" s="334" t="str">
        <f aca="false">IF((E80="b"),G80," ")</f>
        <v> </v>
      </c>
      <c r="U80" s="334" t="str">
        <f aca="false">IF((E80="i"),G80," ")</f>
        <v> </v>
      </c>
      <c r="V80" s="334" t="str">
        <f aca="false">IF((E80="o"),G80," ")</f>
        <v> </v>
      </c>
      <c r="W80" s="334" t="str">
        <f aca="false">IF((E80="f"),G80," ")</f>
        <v> </v>
      </c>
    </row>
    <row r="81" customFormat="false" ht="12.75" hidden="false" customHeight="false" outlineLevel="0" collapsed="false">
      <c r="A81" s="355"/>
      <c r="E81" s="365" t="str">
        <f aca="false">IF((G81&lt;&gt;0),"Enter Letter"," ")</f>
        <v> </v>
      </c>
      <c r="H81" s="338" t="str">
        <f aca="false">IF((G81&lt;&gt;0),IF((D81&gt;0)," ",G81)," ")</f>
        <v> </v>
      </c>
      <c r="I81" s="367" t="str">
        <f aca="false">IF((G81&lt;&gt;0),IF((D81&gt;0)," ",(I$1-A81))," ")</f>
        <v> </v>
      </c>
      <c r="J81" s="334" t="str">
        <f aca="false">IF((E81="s"),G81," ")</f>
        <v> </v>
      </c>
      <c r="K81" s="334" t="str">
        <f aca="false">IF((E81="d"),G81," ")</f>
        <v> </v>
      </c>
      <c r="L81" s="334" t="str">
        <f aca="false">IF((E81="e"),G81," ")</f>
        <v> </v>
      </c>
      <c r="M81" s="334" t="str">
        <f aca="false">IF((E81="p"),G81," ")</f>
        <v> </v>
      </c>
      <c r="N81" s="334" t="str">
        <f aca="false">IF((E81="r"),G81," ")</f>
        <v> </v>
      </c>
      <c r="O81" s="334" t="str">
        <f aca="false">IF((E81="g"),G81," ")</f>
        <v> </v>
      </c>
      <c r="P81" s="334" t="str">
        <f aca="false">IF((E81="m"),G81," ")</f>
        <v> </v>
      </c>
      <c r="Q81" s="334" t="str">
        <f aca="false">IF((E81="t"),G81," ")</f>
        <v> </v>
      </c>
      <c r="R81" s="334" t="str">
        <f aca="false">IF((E81="a"),G81," ")</f>
        <v> </v>
      </c>
      <c r="S81" s="334" t="str">
        <f aca="false">IF((E81="l"),G81," ")</f>
        <v> </v>
      </c>
      <c r="T81" s="334" t="str">
        <f aca="false">IF((E81="b"),G81," ")</f>
        <v> </v>
      </c>
      <c r="U81" s="334" t="str">
        <f aca="false">IF((E81="i"),G81," ")</f>
        <v> </v>
      </c>
      <c r="V81" s="334" t="str">
        <f aca="false">IF((E81="o"),G81," ")</f>
        <v> </v>
      </c>
      <c r="W81" s="334" t="str">
        <f aca="false">IF((E81="f"),G81," ")</f>
        <v> </v>
      </c>
    </row>
    <row r="82" customFormat="false" ht="12.75" hidden="false" customHeight="false" outlineLevel="0" collapsed="false">
      <c r="A82" s="355"/>
      <c r="E82" s="365" t="str">
        <f aca="false">IF((G82&lt;&gt;0),"Enter Letter"," ")</f>
        <v> </v>
      </c>
      <c r="H82" s="338" t="str">
        <f aca="false">IF((G82&lt;&gt;0),IF((D82&gt;0)," ",G82)," ")</f>
        <v> </v>
      </c>
      <c r="I82" s="367" t="str">
        <f aca="false">IF((G82&lt;&gt;0),IF((D82&gt;0)," ",(I$1-A82))," ")</f>
        <v> </v>
      </c>
      <c r="J82" s="334" t="str">
        <f aca="false">IF((E82="s"),G82," ")</f>
        <v> </v>
      </c>
      <c r="K82" s="334" t="str">
        <f aca="false">IF((E82="d"),G82," ")</f>
        <v> </v>
      </c>
      <c r="L82" s="334" t="str">
        <f aca="false">IF((E82="e"),G82," ")</f>
        <v> </v>
      </c>
      <c r="M82" s="334" t="str">
        <f aca="false">IF((E82="p"),G82," ")</f>
        <v> </v>
      </c>
      <c r="N82" s="334" t="str">
        <f aca="false">IF((E82="r"),G82," ")</f>
        <v> </v>
      </c>
      <c r="O82" s="334" t="str">
        <f aca="false">IF((E82="g"),G82," ")</f>
        <v> </v>
      </c>
      <c r="P82" s="334" t="str">
        <f aca="false">IF((E82="m"),G82," ")</f>
        <v> </v>
      </c>
      <c r="Q82" s="334" t="str">
        <f aca="false">IF((E82="t"),G82," ")</f>
        <v> </v>
      </c>
      <c r="R82" s="334" t="str">
        <f aca="false">IF((E82="a"),G82," ")</f>
        <v> </v>
      </c>
      <c r="S82" s="334" t="str">
        <f aca="false">IF((E82="l"),G82," ")</f>
        <v> </v>
      </c>
      <c r="T82" s="334" t="str">
        <f aca="false">IF((E82="b"),G82," ")</f>
        <v> </v>
      </c>
      <c r="U82" s="334" t="str">
        <f aca="false">IF((E82="i"),G82," ")</f>
        <v> </v>
      </c>
      <c r="V82" s="334" t="str">
        <f aca="false">IF((E82="o"),G82," ")</f>
        <v> </v>
      </c>
      <c r="W82" s="334" t="str">
        <f aca="false">IF((E82="f"),G82," ")</f>
        <v> </v>
      </c>
    </row>
    <row r="83" customFormat="false" ht="12.75" hidden="false" customHeight="false" outlineLevel="0" collapsed="false">
      <c r="A83" s="355"/>
      <c r="E83" s="365" t="str">
        <f aca="false">IF((G83&lt;&gt;0),"Enter Letter"," ")</f>
        <v> </v>
      </c>
      <c r="H83" s="338" t="str">
        <f aca="false">IF((G83&lt;&gt;0),IF((D83&gt;0)," ",G83)," ")</f>
        <v> </v>
      </c>
      <c r="I83" s="367" t="str">
        <f aca="false">IF((G83&lt;&gt;0),IF((D83&gt;0)," ",(I$1-A83))," ")</f>
        <v> </v>
      </c>
      <c r="J83" s="334" t="str">
        <f aca="false">IF((E83="s"),G83," ")</f>
        <v> </v>
      </c>
      <c r="K83" s="334" t="str">
        <f aca="false">IF((E83="d"),G83," ")</f>
        <v> </v>
      </c>
      <c r="L83" s="334" t="str">
        <f aca="false">IF((E83="e"),G83," ")</f>
        <v> </v>
      </c>
      <c r="M83" s="334" t="str">
        <f aca="false">IF((E83="p"),G83," ")</f>
        <v> </v>
      </c>
      <c r="N83" s="334" t="str">
        <f aca="false">IF((E83="r"),G83," ")</f>
        <v> </v>
      </c>
      <c r="O83" s="334" t="str">
        <f aca="false">IF((E83="g"),G83," ")</f>
        <v> </v>
      </c>
      <c r="P83" s="334" t="str">
        <f aca="false">IF((E83="m"),G83," ")</f>
        <v> </v>
      </c>
      <c r="Q83" s="334" t="str">
        <f aca="false">IF((E83="t"),G83," ")</f>
        <v> </v>
      </c>
      <c r="R83" s="334" t="str">
        <f aca="false">IF((E83="a"),G83," ")</f>
        <v> </v>
      </c>
      <c r="S83" s="334" t="str">
        <f aca="false">IF((E83="l"),G83," ")</f>
        <v> </v>
      </c>
      <c r="T83" s="334" t="str">
        <f aca="false">IF((E83="b"),G83," ")</f>
        <v> </v>
      </c>
      <c r="U83" s="334" t="str">
        <f aca="false">IF((E83="i"),G83," ")</f>
        <v> </v>
      </c>
      <c r="V83" s="334" t="str">
        <f aca="false">IF((E83="o"),G83," ")</f>
        <v> </v>
      </c>
      <c r="W83" s="334" t="str">
        <f aca="false">IF((E83="f"),G83," ")</f>
        <v> </v>
      </c>
    </row>
    <row r="84" customFormat="false" ht="12.75" hidden="false" customHeight="false" outlineLevel="0" collapsed="false">
      <c r="A84" s="355"/>
      <c r="E84" s="365" t="str">
        <f aca="false">IF((G84&lt;&gt;0),"Enter Letter"," ")</f>
        <v> </v>
      </c>
      <c r="H84" s="338" t="str">
        <f aca="false">IF((G84&lt;&gt;0),IF((D84&gt;0)," ",G84)," ")</f>
        <v> </v>
      </c>
      <c r="I84" s="367" t="str">
        <f aca="false">IF((G84&lt;&gt;0),IF((D84&gt;0)," ",(I$1-A84))," ")</f>
        <v> </v>
      </c>
      <c r="J84" s="334" t="str">
        <f aca="false">IF((E84="s"),G84," ")</f>
        <v> </v>
      </c>
      <c r="K84" s="334" t="str">
        <f aca="false">IF((E84="d"),G84," ")</f>
        <v> </v>
      </c>
      <c r="L84" s="334" t="str">
        <f aca="false">IF((E84="e"),G84," ")</f>
        <v> </v>
      </c>
      <c r="M84" s="334" t="str">
        <f aca="false">IF((E84="p"),G84," ")</f>
        <v> </v>
      </c>
      <c r="N84" s="334" t="str">
        <f aca="false">IF((E84="r"),G84," ")</f>
        <v> </v>
      </c>
      <c r="O84" s="334" t="str">
        <f aca="false">IF((E84="g"),G84," ")</f>
        <v> </v>
      </c>
      <c r="P84" s="334" t="str">
        <f aca="false">IF((E84="m"),G84," ")</f>
        <v> </v>
      </c>
      <c r="Q84" s="334" t="str">
        <f aca="false">IF((E84="t"),G84," ")</f>
        <v> </v>
      </c>
      <c r="R84" s="334" t="str">
        <f aca="false">IF((E84="a"),G84," ")</f>
        <v> </v>
      </c>
      <c r="S84" s="334" t="str">
        <f aca="false">IF((E84="l"),G84," ")</f>
        <v> </v>
      </c>
      <c r="T84" s="334" t="str">
        <f aca="false">IF((E84="b"),G84," ")</f>
        <v> </v>
      </c>
      <c r="U84" s="334" t="str">
        <f aca="false">IF((E84="i"),G84," ")</f>
        <v> </v>
      </c>
      <c r="V84" s="334" t="str">
        <f aca="false">IF((E84="o"),G84," ")</f>
        <v> </v>
      </c>
      <c r="W84" s="334" t="str">
        <f aca="false">IF((E84="f"),G84," ")</f>
        <v> </v>
      </c>
    </row>
    <row r="85" customFormat="false" ht="12.75" hidden="false" customHeight="false" outlineLevel="0" collapsed="false">
      <c r="A85" s="355"/>
      <c r="E85" s="365" t="str">
        <f aca="false">IF((G85&lt;&gt;0),"Enter Letter"," ")</f>
        <v> </v>
      </c>
      <c r="H85" s="338" t="str">
        <f aca="false">IF((G85&lt;&gt;0),IF((D85&gt;0)," ",G85)," ")</f>
        <v> </v>
      </c>
      <c r="I85" s="367" t="str">
        <f aca="false">IF((G85&lt;&gt;0),IF((D85&gt;0)," ",(I$1-A85))," ")</f>
        <v> </v>
      </c>
      <c r="J85" s="334" t="str">
        <f aca="false">IF((E85="s"),G85," ")</f>
        <v> </v>
      </c>
      <c r="K85" s="334" t="str">
        <f aca="false">IF((E85="d"),G85," ")</f>
        <v> </v>
      </c>
      <c r="L85" s="334" t="str">
        <f aca="false">IF((E85="e"),G85," ")</f>
        <v> </v>
      </c>
      <c r="M85" s="334" t="str">
        <f aca="false">IF((E85="p"),G85," ")</f>
        <v> </v>
      </c>
      <c r="N85" s="334" t="str">
        <f aca="false">IF((E85="r"),G85," ")</f>
        <v> </v>
      </c>
      <c r="O85" s="334" t="str">
        <f aca="false">IF((E85="g"),G85," ")</f>
        <v> </v>
      </c>
      <c r="P85" s="334" t="str">
        <f aca="false">IF((E85="m"),G85," ")</f>
        <v> </v>
      </c>
      <c r="Q85" s="334" t="str">
        <f aca="false">IF((E85="t"),G85," ")</f>
        <v> </v>
      </c>
      <c r="R85" s="334" t="str">
        <f aca="false">IF((E85="a"),G85," ")</f>
        <v> </v>
      </c>
      <c r="S85" s="334" t="str">
        <f aca="false">IF((E85="l"),G85," ")</f>
        <v> </v>
      </c>
      <c r="T85" s="334" t="str">
        <f aca="false">IF((E85="b"),G85," ")</f>
        <v> </v>
      </c>
      <c r="U85" s="334" t="str">
        <f aca="false">IF((E85="i"),G85," ")</f>
        <v> </v>
      </c>
      <c r="V85" s="334" t="str">
        <f aca="false">IF((E85="o"),G85," ")</f>
        <v> </v>
      </c>
      <c r="W85" s="334" t="str">
        <f aca="false">IF((E85="f"),G85," ")</f>
        <v> </v>
      </c>
    </row>
    <row r="86" customFormat="false" ht="12.75" hidden="false" customHeight="false" outlineLevel="0" collapsed="false">
      <c r="A86" s="355"/>
      <c r="E86" s="365" t="str">
        <f aca="false">IF((G86&lt;&gt;0),"Enter Letter"," ")</f>
        <v> </v>
      </c>
      <c r="H86" s="338" t="str">
        <f aca="false">IF((G86&lt;&gt;0),IF((D86&gt;0)," ",G86)," ")</f>
        <v> </v>
      </c>
      <c r="I86" s="367" t="str">
        <f aca="false">IF((G86&lt;&gt;0),IF((D86&gt;0)," ",(I$1-A86))," ")</f>
        <v> </v>
      </c>
      <c r="J86" s="334" t="str">
        <f aca="false">IF((E86="s"),G86," ")</f>
        <v> </v>
      </c>
      <c r="K86" s="334" t="str">
        <f aca="false">IF((E86="d"),G86," ")</f>
        <v> </v>
      </c>
      <c r="L86" s="334" t="str">
        <f aca="false">IF((E86="e"),G86," ")</f>
        <v> </v>
      </c>
      <c r="M86" s="334" t="str">
        <f aca="false">IF((E86="p"),G86," ")</f>
        <v> </v>
      </c>
      <c r="N86" s="334" t="str">
        <f aca="false">IF((E86="r"),G86," ")</f>
        <v> </v>
      </c>
      <c r="O86" s="334" t="str">
        <f aca="false">IF((E86="g"),G86," ")</f>
        <v> </v>
      </c>
      <c r="P86" s="334" t="str">
        <f aca="false">IF((E86="m"),G86," ")</f>
        <v> </v>
      </c>
      <c r="Q86" s="334" t="str">
        <f aca="false">IF((E86="t"),G86," ")</f>
        <v> </v>
      </c>
      <c r="R86" s="334" t="str">
        <f aca="false">IF((E86="a"),G86," ")</f>
        <v> </v>
      </c>
      <c r="S86" s="334" t="str">
        <f aca="false">IF((E86="l"),G86," ")</f>
        <v> </v>
      </c>
      <c r="T86" s="334" t="str">
        <f aca="false">IF((E86="b"),G86," ")</f>
        <v> </v>
      </c>
      <c r="U86" s="334" t="str">
        <f aca="false">IF((E86="i"),G86," ")</f>
        <v> </v>
      </c>
      <c r="V86" s="334" t="str">
        <f aca="false">IF((E86="o"),G86," ")</f>
        <v> </v>
      </c>
      <c r="W86" s="334" t="str">
        <f aca="false">IF((E86="f"),G86," ")</f>
        <v> </v>
      </c>
    </row>
    <row r="87" customFormat="false" ht="12.75" hidden="false" customHeight="false" outlineLevel="0" collapsed="false">
      <c r="A87" s="355"/>
      <c r="E87" s="365" t="str">
        <f aca="false">IF((G87&lt;&gt;0),"Enter Letter"," ")</f>
        <v> </v>
      </c>
      <c r="H87" s="338" t="str">
        <f aca="false">IF((G87&lt;&gt;0),IF((D87&gt;0)," ",G87)," ")</f>
        <v> </v>
      </c>
      <c r="I87" s="367" t="str">
        <f aca="false">IF((G87&lt;&gt;0),IF((D87&gt;0)," ",(I$1-A87))," ")</f>
        <v> </v>
      </c>
      <c r="J87" s="334" t="str">
        <f aca="false">IF((E87="s"),G87," ")</f>
        <v> </v>
      </c>
      <c r="K87" s="334" t="str">
        <f aca="false">IF((E87="d"),G87," ")</f>
        <v> </v>
      </c>
      <c r="L87" s="334" t="str">
        <f aca="false">IF((E87="e"),G87," ")</f>
        <v> </v>
      </c>
      <c r="M87" s="334" t="str">
        <f aca="false">IF((E87="p"),G87," ")</f>
        <v> </v>
      </c>
      <c r="N87" s="334" t="str">
        <f aca="false">IF((E87="r"),G87," ")</f>
        <v> </v>
      </c>
      <c r="O87" s="334" t="str">
        <f aca="false">IF((E87="g"),G87," ")</f>
        <v> </v>
      </c>
      <c r="P87" s="334" t="str">
        <f aca="false">IF((E87="m"),G87," ")</f>
        <v> </v>
      </c>
      <c r="Q87" s="334" t="str">
        <f aca="false">IF((E87="t"),G87," ")</f>
        <v> </v>
      </c>
      <c r="R87" s="334" t="str">
        <f aca="false">IF((E87="a"),G87," ")</f>
        <v> </v>
      </c>
      <c r="S87" s="334" t="str">
        <f aca="false">IF((E87="l"),G87," ")</f>
        <v> </v>
      </c>
      <c r="T87" s="334" t="str">
        <f aca="false">IF((E87="b"),G87," ")</f>
        <v> </v>
      </c>
      <c r="U87" s="334" t="str">
        <f aca="false">IF((E87="i"),G87," ")</f>
        <v> </v>
      </c>
      <c r="V87" s="334" t="str">
        <f aca="false">IF((E87="o"),G87," ")</f>
        <v> </v>
      </c>
      <c r="W87" s="334" t="str">
        <f aca="false">IF((E87="f"),G87," ")</f>
        <v> </v>
      </c>
    </row>
    <row r="88" customFormat="false" ht="12.75" hidden="false" customHeight="false" outlineLevel="0" collapsed="false">
      <c r="A88" s="355"/>
      <c r="E88" s="365" t="str">
        <f aca="false">IF((G88&lt;&gt;0),"Enter Letter"," ")</f>
        <v> </v>
      </c>
      <c r="H88" s="338" t="str">
        <f aca="false">IF((G88&lt;&gt;0),IF((D88&gt;0)," ",G88)," ")</f>
        <v> </v>
      </c>
      <c r="I88" s="367" t="str">
        <f aca="false">IF((G88&lt;&gt;0),IF((D88&gt;0)," ",(I$1-A88))," ")</f>
        <v> </v>
      </c>
      <c r="J88" s="334" t="str">
        <f aca="false">IF((E88="s"),G88," ")</f>
        <v> </v>
      </c>
      <c r="K88" s="334" t="str">
        <f aca="false">IF((E88="d"),G88," ")</f>
        <v> </v>
      </c>
      <c r="L88" s="334" t="str">
        <f aca="false">IF((E88="e"),G88," ")</f>
        <v> </v>
      </c>
      <c r="M88" s="334" t="str">
        <f aca="false">IF((E88="p"),G88," ")</f>
        <v> </v>
      </c>
      <c r="N88" s="334" t="str">
        <f aca="false">IF((E88="r"),G88," ")</f>
        <v> </v>
      </c>
      <c r="O88" s="334" t="str">
        <f aca="false">IF((E88="g"),G88," ")</f>
        <v> </v>
      </c>
      <c r="P88" s="334" t="str">
        <f aca="false">IF((E88="m"),G88," ")</f>
        <v> </v>
      </c>
      <c r="Q88" s="334" t="str">
        <f aca="false">IF((E88="t"),G88," ")</f>
        <v> </v>
      </c>
      <c r="R88" s="334" t="str">
        <f aca="false">IF((E88="a"),G88," ")</f>
        <v> </v>
      </c>
      <c r="S88" s="334" t="str">
        <f aca="false">IF((E88="l"),G88," ")</f>
        <v> </v>
      </c>
      <c r="T88" s="334" t="str">
        <f aca="false">IF((E88="b"),G88," ")</f>
        <v> </v>
      </c>
      <c r="U88" s="334" t="str">
        <f aca="false">IF((E88="i"),G88," ")</f>
        <v> </v>
      </c>
      <c r="V88" s="334" t="str">
        <f aca="false">IF((E88="o"),G88," ")</f>
        <v> </v>
      </c>
      <c r="W88" s="334" t="str">
        <f aca="false">IF((E88="f"),G88," ")</f>
        <v> </v>
      </c>
    </row>
    <row r="89" customFormat="false" ht="12.75" hidden="false" customHeight="false" outlineLevel="0" collapsed="false">
      <c r="A89" s="355"/>
      <c r="E89" s="365" t="str">
        <f aca="false">IF((G89&lt;&gt;0),"Enter Letter"," ")</f>
        <v> </v>
      </c>
      <c r="H89" s="338" t="str">
        <f aca="false">IF((G89&lt;&gt;0),IF((D89&gt;0)," ",G89)," ")</f>
        <v> </v>
      </c>
      <c r="I89" s="367" t="str">
        <f aca="false">IF((G89&lt;&gt;0),IF((D89&gt;0)," ",(I$1-A89))," ")</f>
        <v> </v>
      </c>
      <c r="J89" s="334" t="str">
        <f aca="false">IF((E89="s"),G89," ")</f>
        <v> </v>
      </c>
      <c r="K89" s="334" t="str">
        <f aca="false">IF((E89="d"),G89," ")</f>
        <v> </v>
      </c>
      <c r="L89" s="334" t="str">
        <f aca="false">IF((E89="e"),G89," ")</f>
        <v> </v>
      </c>
      <c r="M89" s="334" t="str">
        <f aca="false">IF((E89="p"),G89," ")</f>
        <v> </v>
      </c>
      <c r="N89" s="334" t="str">
        <f aca="false">IF((E89="r"),G89," ")</f>
        <v> </v>
      </c>
      <c r="O89" s="334" t="str">
        <f aca="false">IF((E89="g"),G89," ")</f>
        <v> </v>
      </c>
      <c r="P89" s="334" t="str">
        <f aca="false">IF((E89="m"),G89," ")</f>
        <v> </v>
      </c>
      <c r="Q89" s="334" t="str">
        <f aca="false">IF((E89="t"),G89," ")</f>
        <v> </v>
      </c>
      <c r="R89" s="334" t="str">
        <f aca="false">IF((E89="a"),G89," ")</f>
        <v> </v>
      </c>
      <c r="S89" s="334" t="str">
        <f aca="false">IF((E89="l"),G89," ")</f>
        <v> </v>
      </c>
      <c r="T89" s="334" t="str">
        <f aca="false">IF((E89="b"),G89," ")</f>
        <v> </v>
      </c>
      <c r="U89" s="334" t="str">
        <f aca="false">IF((E89="i"),G89," ")</f>
        <v> </v>
      </c>
      <c r="V89" s="334" t="str">
        <f aca="false">IF((E89="o"),G89," ")</f>
        <v> </v>
      </c>
      <c r="W89" s="334" t="str">
        <f aca="false">IF((E89="f"),G89," ")</f>
        <v> </v>
      </c>
    </row>
    <row r="90" customFormat="false" ht="12.75" hidden="false" customHeight="false" outlineLevel="0" collapsed="false">
      <c r="A90" s="355"/>
      <c r="E90" s="365" t="str">
        <f aca="false">IF((G90&lt;&gt;0),"Enter Letter"," ")</f>
        <v> </v>
      </c>
      <c r="H90" s="338" t="str">
        <f aca="false">IF((G90&lt;&gt;0),IF((D90&gt;0)," ",G90)," ")</f>
        <v> </v>
      </c>
      <c r="I90" s="367" t="str">
        <f aca="false">IF((G90&lt;&gt;0),IF((D90&gt;0)," ",(I$1-A90))," ")</f>
        <v> </v>
      </c>
      <c r="J90" s="334" t="str">
        <f aca="false">IF((E90="s"),G90," ")</f>
        <v> </v>
      </c>
      <c r="K90" s="334" t="str">
        <f aca="false">IF((E90="d"),G90," ")</f>
        <v> </v>
      </c>
      <c r="L90" s="334" t="str">
        <f aca="false">IF((E90="e"),G90," ")</f>
        <v> </v>
      </c>
      <c r="M90" s="334" t="str">
        <f aca="false">IF((E90="p"),G90," ")</f>
        <v> </v>
      </c>
      <c r="N90" s="334" t="str">
        <f aca="false">IF((E90="r"),G90," ")</f>
        <v> </v>
      </c>
      <c r="O90" s="334" t="str">
        <f aca="false">IF((E90="g"),G90," ")</f>
        <v> </v>
      </c>
      <c r="P90" s="334" t="str">
        <f aca="false">IF((E90="m"),G90," ")</f>
        <v> </v>
      </c>
      <c r="Q90" s="334" t="str">
        <f aca="false">IF((E90="t"),G90," ")</f>
        <v> </v>
      </c>
      <c r="R90" s="334" t="str">
        <f aca="false">IF((E90="a"),G90," ")</f>
        <v> </v>
      </c>
      <c r="S90" s="334" t="str">
        <f aca="false">IF((E90="l"),G90," ")</f>
        <v> </v>
      </c>
      <c r="T90" s="334" t="str">
        <f aca="false">IF((E90="b"),G90," ")</f>
        <v> </v>
      </c>
      <c r="U90" s="334" t="str">
        <f aca="false">IF((E90="i"),G90," ")</f>
        <v> </v>
      </c>
      <c r="V90" s="334" t="str">
        <f aca="false">IF((E90="o"),G90," ")</f>
        <v> </v>
      </c>
      <c r="W90" s="334" t="str">
        <f aca="false">IF((E90="f"),G90," ")</f>
        <v> </v>
      </c>
    </row>
    <row r="91" customFormat="false" ht="12.75" hidden="false" customHeight="false" outlineLevel="0" collapsed="false">
      <c r="A91" s="355"/>
      <c r="E91" s="365" t="str">
        <f aca="false">IF((G91&lt;&gt;0),"Enter Letter"," ")</f>
        <v> </v>
      </c>
      <c r="H91" s="338" t="str">
        <f aca="false">IF((G91&lt;&gt;0),IF((D91&gt;0)," ",G91)," ")</f>
        <v> </v>
      </c>
      <c r="I91" s="367" t="str">
        <f aca="false">IF((G91&lt;&gt;0),IF((D91&gt;0)," ",(I$1-A91))," ")</f>
        <v> </v>
      </c>
      <c r="J91" s="334" t="str">
        <f aca="false">IF((E91="s"),G91," ")</f>
        <v> </v>
      </c>
      <c r="K91" s="334" t="str">
        <f aca="false">IF((E91="d"),G91," ")</f>
        <v> </v>
      </c>
      <c r="L91" s="334" t="str">
        <f aca="false">IF((E91="e"),G91," ")</f>
        <v> </v>
      </c>
      <c r="M91" s="334" t="str">
        <f aca="false">IF((E91="p"),G91," ")</f>
        <v> </v>
      </c>
      <c r="N91" s="334" t="str">
        <f aca="false">IF((E91="r"),G91," ")</f>
        <v> </v>
      </c>
      <c r="O91" s="334" t="str">
        <f aca="false">IF((E91="g"),G91," ")</f>
        <v> </v>
      </c>
      <c r="P91" s="334" t="str">
        <f aca="false">IF((E91="m"),G91," ")</f>
        <v> </v>
      </c>
      <c r="Q91" s="334" t="str">
        <f aca="false">IF((E91="t"),G91," ")</f>
        <v> </v>
      </c>
      <c r="R91" s="334" t="str">
        <f aca="false">IF((E91="a"),G91," ")</f>
        <v> </v>
      </c>
      <c r="S91" s="334" t="str">
        <f aca="false">IF((E91="l"),G91," ")</f>
        <v> </v>
      </c>
      <c r="T91" s="334" t="str">
        <f aca="false">IF((E91="b"),G91," ")</f>
        <v> </v>
      </c>
      <c r="U91" s="334" t="str">
        <f aca="false">IF((E91="i"),G91," ")</f>
        <v> </v>
      </c>
      <c r="V91" s="334" t="str">
        <f aca="false">IF((E91="o"),G91," ")</f>
        <v> </v>
      </c>
      <c r="W91" s="334" t="str">
        <f aca="false">IF((E91="f"),G91," ")</f>
        <v> </v>
      </c>
    </row>
    <row r="92" customFormat="false" ht="12.75" hidden="false" customHeight="false" outlineLevel="0" collapsed="false">
      <c r="A92" s="355"/>
      <c r="E92" s="365" t="str">
        <f aca="false">IF((G92&lt;&gt;0),"Enter Letter"," ")</f>
        <v> </v>
      </c>
      <c r="H92" s="338" t="str">
        <f aca="false">IF((G92&lt;&gt;0),IF((D92&gt;0)," ",G92)," ")</f>
        <v> </v>
      </c>
      <c r="I92" s="367" t="str">
        <f aca="false">IF((G92&lt;&gt;0),IF((D92&gt;0)," ",(I$1-A92))," ")</f>
        <v> </v>
      </c>
      <c r="J92" s="334" t="str">
        <f aca="false">IF((E92="s"),G92," ")</f>
        <v> </v>
      </c>
      <c r="K92" s="334" t="str">
        <f aca="false">IF((E92="d"),G92," ")</f>
        <v> </v>
      </c>
      <c r="L92" s="334" t="str">
        <f aca="false">IF((E92="e"),G92," ")</f>
        <v> </v>
      </c>
      <c r="M92" s="334" t="str">
        <f aca="false">IF((E92="p"),G92," ")</f>
        <v> </v>
      </c>
      <c r="N92" s="334" t="str">
        <f aca="false">IF((E92="r"),G92," ")</f>
        <v> </v>
      </c>
      <c r="O92" s="334" t="str">
        <f aca="false">IF((E92="g"),G92," ")</f>
        <v> </v>
      </c>
      <c r="P92" s="334" t="str">
        <f aca="false">IF((E92="m"),G92," ")</f>
        <v> </v>
      </c>
      <c r="Q92" s="334" t="str">
        <f aca="false">IF((E92="t"),G92," ")</f>
        <v> </v>
      </c>
      <c r="R92" s="334" t="str">
        <f aca="false">IF((E92="a"),G92," ")</f>
        <v> </v>
      </c>
      <c r="S92" s="334" t="str">
        <f aca="false">IF((E92="l"),G92," ")</f>
        <v> </v>
      </c>
      <c r="T92" s="334" t="str">
        <f aca="false">IF((E92="b"),G92," ")</f>
        <v> </v>
      </c>
      <c r="U92" s="334" t="str">
        <f aca="false">IF((E92="i"),G92," ")</f>
        <v> </v>
      </c>
      <c r="V92" s="334" t="str">
        <f aca="false">IF((E92="o"),G92," ")</f>
        <v> </v>
      </c>
      <c r="W92" s="334" t="str">
        <f aca="false">IF((E92="f"),G92," ")</f>
        <v> </v>
      </c>
    </row>
    <row r="93" customFormat="false" ht="12.75" hidden="false" customHeight="false" outlineLevel="0" collapsed="false">
      <c r="A93" s="355"/>
      <c r="E93" s="365" t="str">
        <f aca="false">IF((G93&lt;&gt;0),"Enter Letter"," ")</f>
        <v> </v>
      </c>
      <c r="H93" s="338" t="str">
        <f aca="false">IF((G93&lt;&gt;0),IF((D93&gt;0)," ",G93)," ")</f>
        <v> </v>
      </c>
      <c r="I93" s="367" t="str">
        <f aca="false">IF((G93&lt;&gt;0),IF((D93&gt;0)," ",(I$1-A93))," ")</f>
        <v> </v>
      </c>
      <c r="J93" s="334" t="str">
        <f aca="false">IF((E93="s"),G93," ")</f>
        <v> </v>
      </c>
      <c r="K93" s="334" t="str">
        <f aca="false">IF((E93="d"),G93," ")</f>
        <v> </v>
      </c>
      <c r="L93" s="334" t="str">
        <f aca="false">IF((E93="e"),G93," ")</f>
        <v> </v>
      </c>
      <c r="M93" s="334" t="str">
        <f aca="false">IF((E93="p"),G93," ")</f>
        <v> </v>
      </c>
      <c r="N93" s="334" t="str">
        <f aca="false">IF((E93="r"),G93," ")</f>
        <v> </v>
      </c>
      <c r="O93" s="334" t="str">
        <f aca="false">IF((E93="g"),G93," ")</f>
        <v> </v>
      </c>
      <c r="P93" s="334" t="str">
        <f aca="false">IF((E93="m"),G93," ")</f>
        <v> </v>
      </c>
      <c r="Q93" s="334" t="str">
        <f aca="false">IF((E93="t"),G93," ")</f>
        <v> </v>
      </c>
      <c r="R93" s="334" t="str">
        <f aca="false">IF((E93="a"),G93," ")</f>
        <v> </v>
      </c>
      <c r="S93" s="334" t="str">
        <f aca="false">IF((E93="l"),G93," ")</f>
        <v> </v>
      </c>
      <c r="T93" s="334" t="str">
        <f aca="false">IF((E93="b"),G93," ")</f>
        <v> </v>
      </c>
      <c r="U93" s="334" t="str">
        <f aca="false">IF((E93="i"),G93," ")</f>
        <v> </v>
      </c>
      <c r="V93" s="334" t="str">
        <f aca="false">IF((E93="o"),G93," ")</f>
        <v> </v>
      </c>
      <c r="W93" s="334" t="str">
        <f aca="false">IF((E93="f"),G93," ")</f>
        <v> </v>
      </c>
    </row>
    <row r="94" customFormat="false" ht="12.75" hidden="false" customHeight="false" outlineLevel="0" collapsed="false">
      <c r="A94" s="355"/>
      <c r="E94" s="365" t="str">
        <f aca="false">IF((G94&lt;&gt;0),"Enter Letter"," ")</f>
        <v> </v>
      </c>
      <c r="H94" s="338" t="str">
        <f aca="false">IF((G94&lt;&gt;0),IF((D94&gt;0)," ",G94)," ")</f>
        <v> </v>
      </c>
      <c r="I94" s="367" t="str">
        <f aca="false">IF((G94&lt;&gt;0),IF((D94&gt;0)," ",(I$1-A94))," ")</f>
        <v> </v>
      </c>
      <c r="J94" s="334" t="str">
        <f aca="false">IF((E94="s"),G94," ")</f>
        <v> </v>
      </c>
      <c r="K94" s="334" t="str">
        <f aca="false">IF((E94="d"),G94," ")</f>
        <v> </v>
      </c>
      <c r="L94" s="334" t="str">
        <f aca="false">IF((E94="e"),G94," ")</f>
        <v> </v>
      </c>
      <c r="M94" s="334" t="str">
        <f aca="false">IF((E94="p"),G94," ")</f>
        <v> </v>
      </c>
      <c r="N94" s="334" t="str">
        <f aca="false">IF((E94="r"),G94," ")</f>
        <v> </v>
      </c>
      <c r="O94" s="334" t="str">
        <f aca="false">IF((E94="g"),G94," ")</f>
        <v> </v>
      </c>
      <c r="P94" s="334" t="str">
        <f aca="false">IF((E94="m"),G94," ")</f>
        <v> </v>
      </c>
      <c r="Q94" s="334" t="str">
        <f aca="false">IF((E94="t"),G94," ")</f>
        <v> </v>
      </c>
      <c r="R94" s="334" t="str">
        <f aca="false">IF((E94="a"),G94," ")</f>
        <v> </v>
      </c>
      <c r="S94" s="334" t="str">
        <f aca="false">IF((E94="l"),G94," ")</f>
        <v> </v>
      </c>
      <c r="T94" s="334" t="str">
        <f aca="false">IF((E94="b"),G94," ")</f>
        <v> </v>
      </c>
      <c r="U94" s="334" t="str">
        <f aca="false">IF((E94="i"),G94," ")</f>
        <v> </v>
      </c>
      <c r="V94" s="334" t="str">
        <f aca="false">IF((E94="o"),G94," ")</f>
        <v> </v>
      </c>
      <c r="W94" s="334" t="str">
        <f aca="false">IF((E94="f"),G94," ")</f>
        <v> </v>
      </c>
    </row>
    <row r="95" customFormat="false" ht="12.75" hidden="false" customHeight="false" outlineLevel="0" collapsed="false">
      <c r="A95" s="355"/>
      <c r="E95" s="365" t="str">
        <f aca="false">IF((G95&lt;&gt;0),"Enter Letter"," ")</f>
        <v> </v>
      </c>
      <c r="H95" s="338" t="str">
        <f aca="false">IF((G95&lt;&gt;0),IF((D95&gt;0)," ",G95)," ")</f>
        <v> </v>
      </c>
      <c r="I95" s="367" t="str">
        <f aca="false">IF((G95&lt;&gt;0),IF((D95&gt;0)," ",(I$1-A95))," ")</f>
        <v> </v>
      </c>
      <c r="J95" s="334" t="str">
        <f aca="false">IF((E95="s"),G95," ")</f>
        <v> </v>
      </c>
      <c r="K95" s="334" t="str">
        <f aca="false">IF((E95="d"),G95," ")</f>
        <v> </v>
      </c>
      <c r="L95" s="334" t="str">
        <f aca="false">IF((E95="e"),G95," ")</f>
        <v> </v>
      </c>
      <c r="M95" s="334" t="str">
        <f aca="false">IF((E95="p"),G95," ")</f>
        <v> </v>
      </c>
      <c r="N95" s="334" t="str">
        <f aca="false">IF((E95="r"),G95," ")</f>
        <v> </v>
      </c>
      <c r="O95" s="334" t="str">
        <f aca="false">IF((E95="g"),G95," ")</f>
        <v> </v>
      </c>
      <c r="P95" s="334" t="str">
        <f aca="false">IF((E95="m"),G95," ")</f>
        <v> </v>
      </c>
      <c r="Q95" s="334" t="str">
        <f aca="false">IF((E95="t"),G95," ")</f>
        <v> </v>
      </c>
      <c r="R95" s="334" t="str">
        <f aca="false">IF((E95="a"),G95," ")</f>
        <v> </v>
      </c>
      <c r="S95" s="334" t="str">
        <f aca="false">IF((E95="l"),G95," ")</f>
        <v> </v>
      </c>
      <c r="T95" s="334" t="str">
        <f aca="false">IF((E95="b"),G95," ")</f>
        <v> </v>
      </c>
      <c r="U95" s="334" t="str">
        <f aca="false">IF((E95="i"),G95," ")</f>
        <v> </v>
      </c>
      <c r="V95" s="334" t="str">
        <f aca="false">IF((E95="o"),G95," ")</f>
        <v> </v>
      </c>
      <c r="W95" s="334" t="str">
        <f aca="false">IF((E95="f"),G95," ")</f>
        <v> </v>
      </c>
    </row>
    <row r="96" customFormat="false" ht="12.75" hidden="false" customHeight="false" outlineLevel="0" collapsed="false">
      <c r="A96" s="355"/>
      <c r="E96" s="365" t="str">
        <f aca="false">IF((G96&lt;&gt;0),"Enter Letter"," ")</f>
        <v> </v>
      </c>
      <c r="H96" s="338" t="str">
        <f aca="false">IF((G96&lt;&gt;0),IF((D96&gt;0)," ",G96)," ")</f>
        <v> </v>
      </c>
      <c r="I96" s="367" t="str">
        <f aca="false">IF((G96&lt;&gt;0),IF((D96&gt;0)," ",(I$1-A96))," ")</f>
        <v> </v>
      </c>
      <c r="J96" s="334" t="str">
        <f aca="false">IF((E96="s"),G96," ")</f>
        <v> </v>
      </c>
      <c r="K96" s="334" t="str">
        <f aca="false">IF((E96="d"),G96," ")</f>
        <v> </v>
      </c>
      <c r="L96" s="334" t="str">
        <f aca="false">IF((E96="e"),G96," ")</f>
        <v> </v>
      </c>
      <c r="M96" s="334" t="str">
        <f aca="false">IF((E96="p"),G96," ")</f>
        <v> </v>
      </c>
      <c r="N96" s="334" t="str">
        <f aca="false">IF((E96="r"),G96," ")</f>
        <v> </v>
      </c>
      <c r="O96" s="334" t="str">
        <f aca="false">IF((E96="g"),G96," ")</f>
        <v> </v>
      </c>
      <c r="P96" s="334" t="str">
        <f aca="false">IF((E96="m"),G96," ")</f>
        <v> </v>
      </c>
      <c r="Q96" s="334" t="str">
        <f aca="false">IF((E96="t"),G96," ")</f>
        <v> </v>
      </c>
      <c r="R96" s="334" t="str">
        <f aca="false">IF((E96="a"),G96," ")</f>
        <v> </v>
      </c>
      <c r="S96" s="334" t="str">
        <f aca="false">IF((E96="l"),G96," ")</f>
        <v> </v>
      </c>
      <c r="T96" s="334" t="str">
        <f aca="false">IF((E96="b"),G96," ")</f>
        <v> </v>
      </c>
      <c r="U96" s="334" t="str">
        <f aca="false">IF((E96="i"),G96," ")</f>
        <v> </v>
      </c>
      <c r="V96" s="334" t="str">
        <f aca="false">IF((E96="o"),G96," ")</f>
        <v> </v>
      </c>
      <c r="W96" s="334" t="str">
        <f aca="false">IF((E96="f"),G96," ")</f>
        <v> </v>
      </c>
    </row>
    <row r="97" customFormat="false" ht="12.75" hidden="false" customHeight="false" outlineLevel="0" collapsed="false">
      <c r="A97" s="355"/>
      <c r="E97" s="365" t="str">
        <f aca="false">IF((G97&lt;&gt;0),"Enter Letter"," ")</f>
        <v> </v>
      </c>
      <c r="H97" s="338" t="str">
        <f aca="false">IF((G97&lt;&gt;0),IF((D97&gt;0)," ",G97)," ")</f>
        <v> </v>
      </c>
      <c r="I97" s="367" t="str">
        <f aca="false">IF((G97&lt;&gt;0),IF((D97&gt;0)," ",(I$1-A97))," ")</f>
        <v> </v>
      </c>
      <c r="J97" s="334" t="str">
        <f aca="false">IF((E97="s"),G97," ")</f>
        <v> </v>
      </c>
      <c r="K97" s="334" t="str">
        <f aca="false">IF((E97="d"),G97," ")</f>
        <v> </v>
      </c>
      <c r="L97" s="334" t="str">
        <f aca="false">IF((E97="e"),G97," ")</f>
        <v> </v>
      </c>
      <c r="M97" s="334" t="str">
        <f aca="false">IF((E97="p"),G97," ")</f>
        <v> </v>
      </c>
      <c r="N97" s="334" t="str">
        <f aca="false">IF((E97="r"),G97," ")</f>
        <v> </v>
      </c>
      <c r="O97" s="334" t="str">
        <f aca="false">IF((E97="g"),G97," ")</f>
        <v> </v>
      </c>
      <c r="P97" s="334" t="str">
        <f aca="false">IF((E97="m"),G97," ")</f>
        <v> </v>
      </c>
      <c r="Q97" s="334" t="str">
        <f aca="false">IF((E97="t"),G97," ")</f>
        <v> </v>
      </c>
      <c r="R97" s="334" t="str">
        <f aca="false">IF((E97="a"),G97," ")</f>
        <v> </v>
      </c>
      <c r="S97" s="334" t="str">
        <f aca="false">IF((E97="l"),G97," ")</f>
        <v> </v>
      </c>
      <c r="T97" s="334" t="str">
        <f aca="false">IF((E97="b"),G97," ")</f>
        <v> </v>
      </c>
      <c r="U97" s="334" t="str">
        <f aca="false">IF((E97="i"),G97," ")</f>
        <v> </v>
      </c>
      <c r="V97" s="334" t="str">
        <f aca="false">IF((E97="o"),G97," ")</f>
        <v> </v>
      </c>
      <c r="W97" s="334" t="str">
        <f aca="false">IF((E97="f"),G97," ")</f>
        <v> </v>
      </c>
    </row>
    <row r="98" customFormat="false" ht="12.75" hidden="false" customHeight="false" outlineLevel="0" collapsed="false">
      <c r="A98" s="355"/>
      <c r="E98" s="365" t="str">
        <f aca="false">IF((G98&lt;&gt;0),"Enter Letter"," ")</f>
        <v> </v>
      </c>
      <c r="H98" s="338" t="str">
        <f aca="false">IF((G98&lt;&gt;0),IF((D98&gt;0)," ",G98)," ")</f>
        <v> </v>
      </c>
      <c r="I98" s="367" t="str">
        <f aca="false">IF((G98&lt;&gt;0),IF((D98&gt;0)," ",(I$1-A98))," ")</f>
        <v> </v>
      </c>
      <c r="J98" s="334" t="str">
        <f aca="false">IF((E98="s"),G98," ")</f>
        <v> </v>
      </c>
      <c r="K98" s="334" t="str">
        <f aca="false">IF((E98="d"),G98," ")</f>
        <v> </v>
      </c>
      <c r="L98" s="334" t="str">
        <f aca="false">IF((E98="e"),G98," ")</f>
        <v> </v>
      </c>
      <c r="M98" s="334" t="str">
        <f aca="false">IF((E98="p"),G98," ")</f>
        <v> </v>
      </c>
      <c r="N98" s="334" t="str">
        <f aca="false">IF((E98="r"),G98," ")</f>
        <v> </v>
      </c>
      <c r="O98" s="334" t="str">
        <f aca="false">IF((E98="g"),G98," ")</f>
        <v> </v>
      </c>
      <c r="P98" s="334" t="str">
        <f aca="false">IF((E98="m"),G98," ")</f>
        <v> </v>
      </c>
      <c r="Q98" s="334" t="str">
        <f aca="false">IF((E98="t"),G98," ")</f>
        <v> </v>
      </c>
      <c r="R98" s="334" t="str">
        <f aca="false">IF((E98="a"),G98," ")</f>
        <v> </v>
      </c>
      <c r="S98" s="334" t="str">
        <f aca="false">IF((E98="l"),G98," ")</f>
        <v> </v>
      </c>
      <c r="T98" s="334" t="str">
        <f aca="false">IF((E98="b"),G98," ")</f>
        <v> </v>
      </c>
      <c r="U98" s="334" t="str">
        <f aca="false">IF((E98="i"),G98," ")</f>
        <v> </v>
      </c>
      <c r="V98" s="334" t="str">
        <f aca="false">IF((E98="o"),G98," ")</f>
        <v> </v>
      </c>
      <c r="W98" s="334" t="str">
        <f aca="false">IF((E98="f"),G98," ")</f>
        <v> </v>
      </c>
    </row>
    <row r="99" customFormat="false" ht="12.75" hidden="false" customHeight="false" outlineLevel="0" collapsed="false">
      <c r="A99" s="355"/>
      <c r="E99" s="365" t="str">
        <f aca="false">IF((G99&lt;&gt;0),"Enter Letter"," ")</f>
        <v> </v>
      </c>
      <c r="H99" s="338" t="str">
        <f aca="false">IF((G99&lt;&gt;0),IF((D99&gt;0)," ",G99)," ")</f>
        <v> </v>
      </c>
      <c r="I99" s="367" t="str">
        <f aca="false">IF((G99&lt;&gt;0),IF((D99&gt;0)," ",(I$1-A99))," ")</f>
        <v> </v>
      </c>
      <c r="J99" s="334" t="str">
        <f aca="false">IF((E99="s"),G99," ")</f>
        <v> </v>
      </c>
      <c r="K99" s="334" t="str">
        <f aca="false">IF((E99="d"),G99," ")</f>
        <v> </v>
      </c>
      <c r="L99" s="334" t="str">
        <f aca="false">IF((E99="e"),G99," ")</f>
        <v> </v>
      </c>
      <c r="M99" s="334" t="str">
        <f aca="false">IF((E99="p"),G99," ")</f>
        <v> </v>
      </c>
      <c r="N99" s="334" t="str">
        <f aca="false">IF((E99="r"),G99," ")</f>
        <v> </v>
      </c>
      <c r="O99" s="334" t="str">
        <f aca="false">IF((E99="g"),G99," ")</f>
        <v> </v>
      </c>
      <c r="P99" s="334" t="str">
        <f aca="false">IF((E99="m"),G99," ")</f>
        <v> </v>
      </c>
      <c r="Q99" s="334" t="str">
        <f aca="false">IF((E99="t"),G99," ")</f>
        <v> </v>
      </c>
      <c r="R99" s="334" t="str">
        <f aca="false">IF((E99="a"),G99," ")</f>
        <v> </v>
      </c>
      <c r="S99" s="334" t="str">
        <f aca="false">IF((E99="l"),G99," ")</f>
        <v> </v>
      </c>
      <c r="T99" s="334" t="str">
        <f aca="false">IF((E99="b"),G99," ")</f>
        <v> </v>
      </c>
      <c r="U99" s="334" t="str">
        <f aca="false">IF((E99="i"),G99," ")</f>
        <v> </v>
      </c>
      <c r="V99" s="334" t="str">
        <f aca="false">IF((E99="o"),G99," ")</f>
        <v> </v>
      </c>
      <c r="W99" s="334" t="str">
        <f aca="false">IF((E99="f"),G99," ")</f>
        <v> </v>
      </c>
    </row>
    <row r="100" customFormat="false" ht="12.75" hidden="false" customHeight="false" outlineLevel="0" collapsed="false">
      <c r="A100" s="355"/>
      <c r="E100" s="365" t="str">
        <f aca="false">IF((G100&lt;&gt;0),"Enter Letter"," ")</f>
        <v> </v>
      </c>
      <c r="H100" s="338" t="str">
        <f aca="false">IF((G100&lt;&gt;0),IF((D100&gt;0)," ",G100)," ")</f>
        <v> </v>
      </c>
      <c r="I100" s="367" t="str">
        <f aca="false">IF((G100&lt;&gt;0),IF((D100&gt;0)," ",(I$1-A100))," ")</f>
        <v> </v>
      </c>
      <c r="J100" s="334" t="str">
        <f aca="false">IF((E100="s"),G100," ")</f>
        <v> </v>
      </c>
      <c r="K100" s="334" t="str">
        <f aca="false">IF((E100="d"),G100," ")</f>
        <v> </v>
      </c>
      <c r="L100" s="334" t="str">
        <f aca="false">IF((E100="e"),G100," ")</f>
        <v> </v>
      </c>
      <c r="M100" s="334" t="str">
        <f aca="false">IF((E100="p"),G100," ")</f>
        <v> </v>
      </c>
      <c r="N100" s="334" t="str">
        <f aca="false">IF((E100="r"),G100," ")</f>
        <v> </v>
      </c>
      <c r="O100" s="334" t="str">
        <f aca="false">IF((E100="g"),G100," ")</f>
        <v> </v>
      </c>
      <c r="P100" s="334" t="str">
        <f aca="false">IF((E100="m"),G100," ")</f>
        <v> </v>
      </c>
      <c r="Q100" s="334" t="str">
        <f aca="false">IF((E100="t"),G100," ")</f>
        <v> </v>
      </c>
      <c r="R100" s="334" t="str">
        <f aca="false">IF((E100="a"),G100," ")</f>
        <v> </v>
      </c>
      <c r="S100" s="334" t="str">
        <f aca="false">IF((E100="l"),G100," ")</f>
        <v> </v>
      </c>
      <c r="T100" s="334" t="str">
        <f aca="false">IF((E100="b"),G100," ")</f>
        <v> </v>
      </c>
      <c r="U100" s="334" t="str">
        <f aca="false">IF((E100="i"),G100," ")</f>
        <v> </v>
      </c>
      <c r="V100" s="334" t="str">
        <f aca="false">IF((E100="o"),G100," ")</f>
        <v> </v>
      </c>
      <c r="W100" s="334" t="str">
        <f aca="false">IF((E100="f"),G100," ")</f>
        <v> </v>
      </c>
    </row>
    <row r="101" customFormat="false" ht="12.75" hidden="false" customHeight="false" outlineLevel="0" collapsed="false">
      <c r="A101" s="355"/>
      <c r="E101" s="365" t="str">
        <f aca="false">IF((G101&lt;&gt;0),"Enter Letter"," ")</f>
        <v> </v>
      </c>
      <c r="H101" s="338" t="str">
        <f aca="false">IF((G101&lt;&gt;0),IF((D101&gt;0)," ",G101)," ")</f>
        <v> </v>
      </c>
      <c r="I101" s="367" t="str">
        <f aca="false">IF((G101&lt;&gt;0),IF((D101&gt;0)," ",(I$1-A101))," ")</f>
        <v> </v>
      </c>
      <c r="J101" s="334" t="str">
        <f aca="false">IF((E101="s"),G101," ")</f>
        <v> </v>
      </c>
      <c r="K101" s="334" t="str">
        <f aca="false">IF((E101="d"),G101," ")</f>
        <v> </v>
      </c>
      <c r="L101" s="334" t="str">
        <f aca="false">IF((E101="e"),G101," ")</f>
        <v> </v>
      </c>
      <c r="M101" s="334" t="str">
        <f aca="false">IF((E101="p"),G101," ")</f>
        <v> </v>
      </c>
      <c r="N101" s="334" t="str">
        <f aca="false">IF((E101="r"),G101," ")</f>
        <v> </v>
      </c>
      <c r="O101" s="334" t="str">
        <f aca="false">IF((E101="g"),G101," ")</f>
        <v> </v>
      </c>
      <c r="P101" s="334" t="str">
        <f aca="false">IF((E101="m"),G101," ")</f>
        <v> </v>
      </c>
      <c r="Q101" s="334" t="str">
        <f aca="false">IF((E101="t"),G101," ")</f>
        <v> </v>
      </c>
      <c r="R101" s="334" t="str">
        <f aca="false">IF((E101="a"),G101," ")</f>
        <v> </v>
      </c>
      <c r="S101" s="334" t="str">
        <f aca="false">IF((E101="l"),G101," ")</f>
        <v> </v>
      </c>
      <c r="T101" s="334" t="str">
        <f aca="false">IF((E101="b"),G101," ")</f>
        <v> </v>
      </c>
      <c r="U101" s="334" t="str">
        <f aca="false">IF((E101="i"),G101," ")</f>
        <v> </v>
      </c>
      <c r="V101" s="334" t="str">
        <f aca="false">IF((E101="o"),G101," ")</f>
        <v> </v>
      </c>
      <c r="W101" s="334" t="str">
        <f aca="false">IF((E101="f"),G101," ")</f>
        <v> </v>
      </c>
    </row>
    <row r="102" customFormat="false" ht="12.75" hidden="false" customHeight="false" outlineLevel="0" collapsed="false">
      <c r="A102" s="355"/>
      <c r="E102" s="365" t="str">
        <f aca="false">IF((G102&lt;&gt;0),"Enter Letter"," ")</f>
        <v> </v>
      </c>
      <c r="H102" s="338" t="str">
        <f aca="false">IF((G102&lt;&gt;0),IF((D102&gt;0)," ",G102)," ")</f>
        <v> </v>
      </c>
      <c r="I102" s="367" t="str">
        <f aca="false">IF((G102&lt;&gt;0),IF((D102&gt;0)," ",(I$1-A102))," ")</f>
        <v> </v>
      </c>
      <c r="J102" s="334" t="str">
        <f aca="false">IF((E102="s"),G102," ")</f>
        <v> </v>
      </c>
      <c r="K102" s="334" t="str">
        <f aca="false">IF((E102="d"),G102," ")</f>
        <v> </v>
      </c>
      <c r="L102" s="334" t="str">
        <f aca="false">IF((E102="e"),G102," ")</f>
        <v> </v>
      </c>
      <c r="M102" s="334" t="str">
        <f aca="false">IF((E102="p"),G102," ")</f>
        <v> </v>
      </c>
      <c r="N102" s="334" t="str">
        <f aca="false">IF((E102="r"),G102," ")</f>
        <v> </v>
      </c>
      <c r="O102" s="334" t="str">
        <f aca="false">IF((E102="g"),G102," ")</f>
        <v> </v>
      </c>
      <c r="P102" s="334" t="str">
        <f aca="false">IF((E102="m"),G102," ")</f>
        <v> </v>
      </c>
      <c r="Q102" s="334" t="str">
        <f aca="false">IF((E102="t"),G102," ")</f>
        <v> </v>
      </c>
      <c r="R102" s="334" t="str">
        <f aca="false">IF((E102="a"),G102," ")</f>
        <v> </v>
      </c>
      <c r="S102" s="334" t="str">
        <f aca="false">IF((E102="l"),G102," ")</f>
        <v> </v>
      </c>
      <c r="T102" s="334" t="str">
        <f aca="false">IF((E102="b"),G102," ")</f>
        <v> </v>
      </c>
      <c r="U102" s="334" t="str">
        <f aca="false">IF((E102="i"),G102," ")</f>
        <v> </v>
      </c>
      <c r="V102" s="334" t="str">
        <f aca="false">IF((E102="o"),G102," ")</f>
        <v> </v>
      </c>
      <c r="W102" s="334" t="str">
        <f aca="false">IF((E102="f"),G102," ")</f>
        <v> </v>
      </c>
    </row>
    <row r="103" customFormat="false" ht="12.75" hidden="false" customHeight="false" outlineLevel="0" collapsed="false">
      <c r="A103" s="355"/>
      <c r="E103" s="365" t="str">
        <f aca="false">IF((G103&lt;&gt;0),"Enter Letter"," ")</f>
        <v> </v>
      </c>
      <c r="H103" s="338" t="str">
        <f aca="false">IF((G103&lt;&gt;0),IF((D103&gt;0)," ",G103)," ")</f>
        <v> </v>
      </c>
      <c r="I103" s="367" t="str">
        <f aca="false">IF((G103&lt;&gt;0),IF((D103&gt;0)," ",(I$1-A103))," ")</f>
        <v> </v>
      </c>
      <c r="J103" s="334" t="str">
        <f aca="false">IF((E103="s"),G103," ")</f>
        <v> </v>
      </c>
      <c r="K103" s="334" t="str">
        <f aca="false">IF((E103="d"),G103," ")</f>
        <v> </v>
      </c>
      <c r="L103" s="334" t="str">
        <f aca="false">IF((E103="e"),G103," ")</f>
        <v> </v>
      </c>
      <c r="M103" s="334" t="str">
        <f aca="false">IF((E103="p"),G103," ")</f>
        <v> </v>
      </c>
      <c r="N103" s="334" t="str">
        <f aca="false">IF((E103="r"),G103," ")</f>
        <v> </v>
      </c>
      <c r="O103" s="334" t="str">
        <f aca="false">IF((E103="g"),G103," ")</f>
        <v> </v>
      </c>
      <c r="P103" s="334" t="str">
        <f aca="false">IF((E103="m"),G103," ")</f>
        <v> </v>
      </c>
      <c r="Q103" s="334" t="str">
        <f aca="false">IF((E103="t"),G103," ")</f>
        <v> </v>
      </c>
      <c r="R103" s="334" t="str">
        <f aca="false">IF((E103="a"),G103," ")</f>
        <v> </v>
      </c>
      <c r="S103" s="334" t="str">
        <f aca="false">IF((E103="l"),G103," ")</f>
        <v> </v>
      </c>
      <c r="T103" s="334" t="str">
        <f aca="false">IF((E103="b"),G103," ")</f>
        <v> </v>
      </c>
      <c r="U103" s="334" t="str">
        <f aca="false">IF((E103="i"),G103," ")</f>
        <v> </v>
      </c>
      <c r="V103" s="334" t="str">
        <f aca="false">IF((E103="o"),G103," ")</f>
        <v> </v>
      </c>
      <c r="W103" s="334" t="str">
        <f aca="false">IF((E103="f"),G103," ")</f>
        <v> </v>
      </c>
    </row>
    <row r="104" customFormat="false" ht="12.75" hidden="false" customHeight="false" outlineLevel="0" collapsed="false">
      <c r="A104" s="355"/>
      <c r="E104" s="365" t="str">
        <f aca="false">IF((G104&lt;&gt;0),"Enter Letter"," ")</f>
        <v> </v>
      </c>
      <c r="H104" s="338" t="str">
        <f aca="false">IF((G104&lt;&gt;0),IF((D104&gt;0)," ",G104)," ")</f>
        <v> </v>
      </c>
      <c r="I104" s="367" t="str">
        <f aca="false">IF((G104&lt;&gt;0),IF((D104&gt;0)," ",(I$1-A104))," ")</f>
        <v> </v>
      </c>
      <c r="J104" s="334" t="str">
        <f aca="false">IF((E104="s"),G104," ")</f>
        <v> </v>
      </c>
      <c r="K104" s="334" t="str">
        <f aca="false">IF((E104="d"),G104," ")</f>
        <v> </v>
      </c>
      <c r="L104" s="334" t="str">
        <f aca="false">IF((E104="e"),G104," ")</f>
        <v> </v>
      </c>
      <c r="M104" s="334" t="str">
        <f aca="false">IF((E104="p"),G104," ")</f>
        <v> </v>
      </c>
      <c r="N104" s="334" t="str">
        <f aca="false">IF((E104="r"),G104," ")</f>
        <v> </v>
      </c>
      <c r="O104" s="334" t="str">
        <f aca="false">IF((E104="g"),G104," ")</f>
        <v> </v>
      </c>
      <c r="P104" s="334" t="str">
        <f aca="false">IF((E104="m"),G104," ")</f>
        <v> </v>
      </c>
      <c r="Q104" s="334" t="str">
        <f aca="false">IF((E104="t"),G104," ")</f>
        <v> </v>
      </c>
      <c r="R104" s="334" t="str">
        <f aca="false">IF((E104="a"),G104," ")</f>
        <v> </v>
      </c>
      <c r="S104" s="334" t="str">
        <f aca="false">IF((E104="l"),G104," ")</f>
        <v> </v>
      </c>
      <c r="T104" s="334" t="str">
        <f aca="false">IF((E104="b"),G104," ")</f>
        <v> </v>
      </c>
      <c r="U104" s="334" t="str">
        <f aca="false">IF((E104="i"),G104," ")</f>
        <v> </v>
      </c>
      <c r="V104" s="334" t="str">
        <f aca="false">IF((E104="o"),G104," ")</f>
        <v> </v>
      </c>
      <c r="W104" s="334" t="str">
        <f aca="false">IF((E104="f"),G104," ")</f>
        <v> </v>
      </c>
    </row>
    <row r="105" customFormat="false" ht="12.75" hidden="false" customHeight="false" outlineLevel="0" collapsed="false">
      <c r="A105" s="355"/>
      <c r="E105" s="365" t="str">
        <f aca="false">IF((G105&lt;&gt;0),"Enter Letter"," ")</f>
        <v> </v>
      </c>
      <c r="H105" s="338" t="str">
        <f aca="false">IF((G105&lt;&gt;0),IF((D105&gt;0)," ",G105)," ")</f>
        <v> </v>
      </c>
      <c r="I105" s="367" t="str">
        <f aca="false">IF((G105&lt;&gt;0),IF((D105&gt;0)," ",(I$1-A105))," ")</f>
        <v> </v>
      </c>
      <c r="J105" s="334" t="str">
        <f aca="false">IF((E105="s"),G105," ")</f>
        <v> </v>
      </c>
      <c r="K105" s="334" t="str">
        <f aca="false">IF((E105="d"),G105," ")</f>
        <v> </v>
      </c>
      <c r="L105" s="334" t="str">
        <f aca="false">IF((E105="e"),G105," ")</f>
        <v> </v>
      </c>
      <c r="M105" s="334" t="str">
        <f aca="false">IF((E105="p"),G105," ")</f>
        <v> </v>
      </c>
      <c r="N105" s="334" t="str">
        <f aca="false">IF((E105="r"),G105," ")</f>
        <v> </v>
      </c>
      <c r="O105" s="334" t="str">
        <f aca="false">IF((E105="g"),G105," ")</f>
        <v> </v>
      </c>
      <c r="P105" s="334" t="str">
        <f aca="false">IF((E105="m"),G105," ")</f>
        <v> </v>
      </c>
      <c r="Q105" s="334" t="str">
        <f aca="false">IF((E105="t"),G105," ")</f>
        <v> </v>
      </c>
      <c r="R105" s="334" t="str">
        <f aca="false">IF((E105="a"),G105," ")</f>
        <v> </v>
      </c>
      <c r="S105" s="334" t="str">
        <f aca="false">IF((E105="l"),G105," ")</f>
        <v> </v>
      </c>
      <c r="T105" s="334" t="str">
        <f aca="false">IF((E105="b"),G105," ")</f>
        <v> </v>
      </c>
      <c r="U105" s="334" t="str">
        <f aca="false">IF((E105="i"),G105," ")</f>
        <v> </v>
      </c>
      <c r="V105" s="334" t="str">
        <f aca="false">IF((E105="o"),G105," ")</f>
        <v> </v>
      </c>
      <c r="W105" s="334" t="str">
        <f aca="false">IF((E105="f"),G105," ")</f>
        <v> </v>
      </c>
    </row>
    <row r="106" customFormat="false" ht="12.75" hidden="false" customHeight="false" outlineLevel="0" collapsed="false">
      <c r="A106" s="355"/>
      <c r="E106" s="365" t="str">
        <f aca="false">IF((G106&lt;&gt;0),"Enter Letter"," ")</f>
        <v> </v>
      </c>
      <c r="H106" s="338" t="str">
        <f aca="false">IF((G106&lt;&gt;0),IF((D106&gt;0)," ",G106)," ")</f>
        <v> </v>
      </c>
      <c r="I106" s="367" t="str">
        <f aca="false">IF((G106&lt;&gt;0),IF((D106&gt;0)," ",(I$1-A106))," ")</f>
        <v> </v>
      </c>
      <c r="J106" s="334" t="str">
        <f aca="false">IF((E106="s"),G106," ")</f>
        <v> </v>
      </c>
      <c r="K106" s="334" t="str">
        <f aca="false">IF((E106="d"),G106," ")</f>
        <v> </v>
      </c>
      <c r="L106" s="334" t="str">
        <f aca="false">IF((E106="e"),G106," ")</f>
        <v> </v>
      </c>
      <c r="M106" s="334" t="str">
        <f aca="false">IF((E106="p"),G106," ")</f>
        <v> </v>
      </c>
      <c r="N106" s="334" t="str">
        <f aca="false">IF((E106="r"),G106," ")</f>
        <v> </v>
      </c>
      <c r="O106" s="334" t="str">
        <f aca="false">IF((E106="g"),G106," ")</f>
        <v> </v>
      </c>
      <c r="P106" s="334" t="str">
        <f aca="false">IF((E106="m"),G106," ")</f>
        <v> </v>
      </c>
      <c r="Q106" s="334" t="str">
        <f aca="false">IF((E106="t"),G106," ")</f>
        <v> </v>
      </c>
      <c r="R106" s="334" t="str">
        <f aca="false">IF((E106="a"),G106," ")</f>
        <v> </v>
      </c>
      <c r="S106" s="334" t="str">
        <f aca="false">IF((E106="l"),G106," ")</f>
        <v> </v>
      </c>
      <c r="T106" s="334" t="str">
        <f aca="false">IF((E106="b"),G106," ")</f>
        <v> </v>
      </c>
      <c r="U106" s="334" t="str">
        <f aca="false">IF((E106="i"),G106," ")</f>
        <v> </v>
      </c>
      <c r="V106" s="334" t="str">
        <f aca="false">IF((E106="o"),G106," ")</f>
        <v> </v>
      </c>
      <c r="W106" s="334" t="str">
        <f aca="false">IF((E106="f"),G106," ")</f>
        <v> </v>
      </c>
    </row>
    <row r="107" customFormat="false" ht="12.75" hidden="false" customHeight="false" outlineLevel="0" collapsed="false">
      <c r="A107" s="355"/>
      <c r="E107" s="365" t="str">
        <f aca="false">IF((G107&lt;&gt;0),"Enter Letter"," ")</f>
        <v> </v>
      </c>
      <c r="H107" s="338" t="str">
        <f aca="false">IF((G107&lt;&gt;0),IF((D107&gt;0)," ",G107)," ")</f>
        <v> </v>
      </c>
      <c r="I107" s="367" t="str">
        <f aca="false">IF((G107&lt;&gt;0),IF((D107&gt;0)," ",(I$1-A107))," ")</f>
        <v> </v>
      </c>
      <c r="J107" s="334" t="str">
        <f aca="false">IF((E107="s"),G107," ")</f>
        <v> </v>
      </c>
      <c r="K107" s="334" t="str">
        <f aca="false">IF((E107="d"),G107," ")</f>
        <v> </v>
      </c>
      <c r="L107" s="334" t="str">
        <f aca="false">IF((E107="e"),G107," ")</f>
        <v> </v>
      </c>
      <c r="M107" s="334" t="str">
        <f aca="false">IF((E107="p"),G107," ")</f>
        <v> </v>
      </c>
      <c r="N107" s="334" t="str">
        <f aca="false">IF((E107="r"),G107," ")</f>
        <v> </v>
      </c>
      <c r="O107" s="334" t="str">
        <f aca="false">IF((E107="g"),G107," ")</f>
        <v> </v>
      </c>
      <c r="P107" s="334" t="str">
        <f aca="false">IF((E107="m"),G107," ")</f>
        <v> </v>
      </c>
      <c r="Q107" s="334" t="str">
        <f aca="false">IF((E107="t"),G107," ")</f>
        <v> </v>
      </c>
      <c r="R107" s="334" t="str">
        <f aca="false">IF((E107="a"),G107," ")</f>
        <v> </v>
      </c>
      <c r="S107" s="334" t="str">
        <f aca="false">IF((E107="l"),G107," ")</f>
        <v> </v>
      </c>
      <c r="T107" s="334" t="str">
        <f aca="false">IF((E107="b"),G107," ")</f>
        <v> </v>
      </c>
      <c r="U107" s="334" t="str">
        <f aca="false">IF((E107="i"),G107," ")</f>
        <v> </v>
      </c>
      <c r="V107" s="334" t="str">
        <f aca="false">IF((E107="o"),G107," ")</f>
        <v> </v>
      </c>
      <c r="W107" s="334" t="str">
        <f aca="false">IF((E107="f"),G107," ")</f>
        <v> </v>
      </c>
    </row>
    <row r="108" customFormat="false" ht="12.75" hidden="false" customHeight="false" outlineLevel="0" collapsed="false">
      <c r="A108" s="355"/>
      <c r="E108" s="365" t="str">
        <f aca="false">IF((G108&lt;&gt;0),"Enter Letter"," ")</f>
        <v> </v>
      </c>
      <c r="H108" s="338" t="str">
        <f aca="false">IF((G108&lt;&gt;0),IF((D108&gt;0)," ",G108)," ")</f>
        <v> </v>
      </c>
      <c r="I108" s="367" t="str">
        <f aca="false">IF((G108&lt;&gt;0),IF((D108&gt;0)," ",(I$1-A108))," ")</f>
        <v> </v>
      </c>
      <c r="J108" s="334" t="str">
        <f aca="false">IF((E108="s"),G108," ")</f>
        <v> </v>
      </c>
      <c r="K108" s="334" t="str">
        <f aca="false">IF((E108="d"),G108," ")</f>
        <v> </v>
      </c>
      <c r="L108" s="334" t="str">
        <f aca="false">IF((E108="e"),G108," ")</f>
        <v> </v>
      </c>
      <c r="M108" s="334" t="str">
        <f aca="false">IF((E108="p"),G108," ")</f>
        <v> </v>
      </c>
      <c r="N108" s="334" t="str">
        <f aca="false">IF((E108="r"),G108," ")</f>
        <v> </v>
      </c>
      <c r="O108" s="334" t="str">
        <f aca="false">IF((E108="g"),G108," ")</f>
        <v> </v>
      </c>
      <c r="P108" s="334" t="str">
        <f aca="false">IF((E108="m"),G108," ")</f>
        <v> </v>
      </c>
      <c r="Q108" s="334" t="str">
        <f aca="false">IF((E108="t"),G108," ")</f>
        <v> </v>
      </c>
      <c r="R108" s="334" t="str">
        <f aca="false">IF((E108="a"),G108," ")</f>
        <v> </v>
      </c>
      <c r="S108" s="334" t="str">
        <f aca="false">IF((E108="l"),G108," ")</f>
        <v> </v>
      </c>
      <c r="T108" s="334" t="str">
        <f aca="false">IF((E108="b"),G108," ")</f>
        <v> </v>
      </c>
      <c r="U108" s="334" t="str">
        <f aca="false">IF((E108="i"),G108," ")</f>
        <v> </v>
      </c>
      <c r="V108" s="334" t="str">
        <f aca="false">IF((E108="o"),G108," ")</f>
        <v> </v>
      </c>
      <c r="W108" s="334" t="str">
        <f aca="false">IF((E108="f"),G108," ")</f>
        <v> </v>
      </c>
    </row>
    <row r="109" customFormat="false" ht="12.75" hidden="false" customHeight="false" outlineLevel="0" collapsed="false">
      <c r="A109" s="355"/>
      <c r="E109" s="365" t="str">
        <f aca="false">IF((G109&lt;&gt;0),"Enter Letter"," ")</f>
        <v> </v>
      </c>
      <c r="H109" s="338" t="str">
        <f aca="false">IF((G109&lt;&gt;0),IF((D109&gt;0)," ",G109)," ")</f>
        <v> </v>
      </c>
      <c r="I109" s="367" t="str">
        <f aca="false">IF((G109&lt;&gt;0),IF((D109&gt;0)," ",(I$1-A109))," ")</f>
        <v> </v>
      </c>
      <c r="J109" s="334" t="str">
        <f aca="false">IF((E109="s"),G109," ")</f>
        <v> </v>
      </c>
      <c r="K109" s="334" t="str">
        <f aca="false">IF((E109="d"),G109," ")</f>
        <v> </v>
      </c>
      <c r="L109" s="334" t="str">
        <f aca="false">IF((E109="e"),G109," ")</f>
        <v> </v>
      </c>
      <c r="M109" s="334" t="str">
        <f aca="false">IF((E109="p"),G109," ")</f>
        <v> </v>
      </c>
      <c r="N109" s="334" t="str">
        <f aca="false">IF((E109="r"),G109," ")</f>
        <v> </v>
      </c>
      <c r="O109" s="334" t="str">
        <f aca="false">IF((E109="g"),G109," ")</f>
        <v> </v>
      </c>
      <c r="P109" s="334" t="str">
        <f aca="false">IF((E109="m"),G109," ")</f>
        <v> </v>
      </c>
      <c r="Q109" s="334" t="str">
        <f aca="false">IF((E109="t"),G109," ")</f>
        <v> </v>
      </c>
      <c r="R109" s="334" t="str">
        <f aca="false">IF((E109="a"),G109," ")</f>
        <v> </v>
      </c>
      <c r="S109" s="334" t="str">
        <f aca="false">IF((E109="l"),G109," ")</f>
        <v> </v>
      </c>
      <c r="T109" s="334" t="str">
        <f aca="false">IF((E109="b"),G109," ")</f>
        <v> </v>
      </c>
      <c r="U109" s="334" t="str">
        <f aca="false">IF((E109="i"),G109," ")</f>
        <v> </v>
      </c>
      <c r="V109" s="334" t="str">
        <f aca="false">IF((E109="o"),G109," ")</f>
        <v> </v>
      </c>
      <c r="W109" s="334" t="str">
        <f aca="false">IF((E109="f"),G109," ")</f>
        <v> </v>
      </c>
    </row>
    <row r="110" customFormat="false" ht="12.75" hidden="false" customHeight="false" outlineLevel="0" collapsed="false">
      <c r="A110" s="355"/>
      <c r="E110" s="365" t="str">
        <f aca="false">IF((G110&lt;&gt;0),"Enter Letter"," ")</f>
        <v> </v>
      </c>
      <c r="H110" s="338" t="str">
        <f aca="false">IF((G110&lt;&gt;0),IF((D110&gt;0)," ",G110)," ")</f>
        <v> </v>
      </c>
      <c r="I110" s="367" t="str">
        <f aca="false">IF((G110&lt;&gt;0),IF((D110&gt;0)," ",(I$1-A110))," ")</f>
        <v> </v>
      </c>
      <c r="J110" s="334" t="str">
        <f aca="false">IF((E110="s"),G110," ")</f>
        <v> </v>
      </c>
      <c r="K110" s="334" t="str">
        <f aca="false">IF((E110="d"),G110," ")</f>
        <v> </v>
      </c>
      <c r="L110" s="334" t="str">
        <f aca="false">IF((E110="e"),G110," ")</f>
        <v> </v>
      </c>
      <c r="M110" s="334" t="str">
        <f aca="false">IF((E110="p"),G110," ")</f>
        <v> </v>
      </c>
      <c r="N110" s="334" t="str">
        <f aca="false">IF((E110="r"),G110," ")</f>
        <v> </v>
      </c>
      <c r="O110" s="334" t="str">
        <f aca="false">IF((E110="g"),G110," ")</f>
        <v> </v>
      </c>
      <c r="P110" s="334" t="str">
        <f aca="false">IF((E110="m"),G110," ")</f>
        <v> </v>
      </c>
      <c r="Q110" s="334" t="str">
        <f aca="false">IF((E110="t"),G110," ")</f>
        <v> </v>
      </c>
      <c r="R110" s="334" t="str">
        <f aca="false">IF((E110="a"),G110," ")</f>
        <v> </v>
      </c>
      <c r="S110" s="334" t="str">
        <f aca="false">IF((E110="l"),G110," ")</f>
        <v> </v>
      </c>
      <c r="T110" s="334" t="str">
        <f aca="false">IF((E110="b"),G110," ")</f>
        <v> </v>
      </c>
      <c r="U110" s="334" t="str">
        <f aca="false">IF((E110="i"),G110," ")</f>
        <v> </v>
      </c>
      <c r="V110" s="334" t="str">
        <f aca="false">IF((E110="o"),G110," ")</f>
        <v> </v>
      </c>
      <c r="W110" s="334" t="str">
        <f aca="false">IF((E110="f"),G110," ")</f>
        <v> </v>
      </c>
    </row>
    <row r="111" customFormat="false" ht="12.75" hidden="false" customHeight="false" outlineLevel="0" collapsed="false">
      <c r="A111" s="355"/>
      <c r="E111" s="365" t="str">
        <f aca="false">IF((G111&lt;&gt;0),"Enter Letter"," ")</f>
        <v> </v>
      </c>
      <c r="H111" s="338" t="str">
        <f aca="false">IF((G111&lt;&gt;0),IF((D111&gt;0)," ",G111)," ")</f>
        <v> </v>
      </c>
      <c r="I111" s="367" t="str">
        <f aca="false">IF((G111&lt;&gt;0),IF((D111&gt;0)," ",(I$1-A111))," ")</f>
        <v> </v>
      </c>
      <c r="J111" s="334" t="str">
        <f aca="false">IF((E111="s"),G111," ")</f>
        <v> </v>
      </c>
      <c r="K111" s="334" t="str">
        <f aca="false">IF((E111="d"),G111," ")</f>
        <v> </v>
      </c>
      <c r="L111" s="334" t="str">
        <f aca="false">IF((E111="e"),G111," ")</f>
        <v> </v>
      </c>
      <c r="M111" s="334" t="str">
        <f aca="false">IF((E111="p"),G111," ")</f>
        <v> </v>
      </c>
      <c r="N111" s="334" t="str">
        <f aca="false">IF((E111="r"),G111," ")</f>
        <v> </v>
      </c>
      <c r="O111" s="334" t="str">
        <f aca="false">IF((E111="g"),G111," ")</f>
        <v> </v>
      </c>
      <c r="P111" s="334" t="str">
        <f aca="false">IF((E111="m"),G111," ")</f>
        <v> </v>
      </c>
      <c r="Q111" s="334" t="str">
        <f aca="false">IF((E111="t"),G111," ")</f>
        <v> </v>
      </c>
      <c r="R111" s="334" t="str">
        <f aca="false">IF((E111="a"),G111," ")</f>
        <v> </v>
      </c>
      <c r="S111" s="334" t="str">
        <f aca="false">IF((E111="l"),G111," ")</f>
        <v> </v>
      </c>
      <c r="T111" s="334" t="str">
        <f aca="false">IF((E111="b"),G111," ")</f>
        <v> </v>
      </c>
      <c r="U111" s="334" t="str">
        <f aca="false">IF((E111="i"),G111," ")</f>
        <v> </v>
      </c>
      <c r="V111" s="334" t="str">
        <f aca="false">IF((E111="o"),G111," ")</f>
        <v> </v>
      </c>
      <c r="W111" s="334" t="str">
        <f aca="false">IF((E111="f"),G111," ")</f>
        <v> </v>
      </c>
    </row>
    <row r="112" customFormat="false" ht="12.75" hidden="false" customHeight="false" outlineLevel="0" collapsed="false">
      <c r="A112" s="355"/>
      <c r="E112" s="365" t="str">
        <f aca="false">IF((G112&lt;&gt;0),"Enter Letter"," ")</f>
        <v> </v>
      </c>
      <c r="H112" s="338" t="str">
        <f aca="false">IF((G112&lt;&gt;0),IF((D112&gt;0)," ",G112)," ")</f>
        <v> </v>
      </c>
      <c r="I112" s="367" t="str">
        <f aca="false">IF((G112&lt;&gt;0),IF((D112&gt;0)," ",(I$1-A112))," ")</f>
        <v> </v>
      </c>
      <c r="J112" s="334" t="str">
        <f aca="false">IF((E112="s"),G112," ")</f>
        <v> </v>
      </c>
      <c r="K112" s="334" t="str">
        <f aca="false">IF((E112="d"),G112," ")</f>
        <v> </v>
      </c>
      <c r="L112" s="334" t="str">
        <f aca="false">IF((E112="e"),G112," ")</f>
        <v> </v>
      </c>
      <c r="M112" s="334" t="str">
        <f aca="false">IF((E112="p"),G112," ")</f>
        <v> </v>
      </c>
      <c r="N112" s="334" t="str">
        <f aca="false">IF((E112="r"),G112," ")</f>
        <v> </v>
      </c>
      <c r="O112" s="334" t="str">
        <f aca="false">IF((E112="g"),G112," ")</f>
        <v> </v>
      </c>
      <c r="P112" s="334" t="str">
        <f aca="false">IF((E112="m"),G112," ")</f>
        <v> </v>
      </c>
      <c r="Q112" s="334" t="str">
        <f aca="false">IF((E112="t"),G112," ")</f>
        <v> </v>
      </c>
      <c r="R112" s="334" t="str">
        <f aca="false">IF((E112="a"),G112," ")</f>
        <v> </v>
      </c>
      <c r="S112" s="334" t="str">
        <f aca="false">IF((E112="l"),G112," ")</f>
        <v> </v>
      </c>
      <c r="T112" s="334" t="str">
        <f aca="false">IF((E112="b"),G112," ")</f>
        <v> </v>
      </c>
      <c r="U112" s="334" t="str">
        <f aca="false">IF((E112="i"),G112," ")</f>
        <v> </v>
      </c>
      <c r="V112" s="334" t="str">
        <f aca="false">IF((E112="o"),G112," ")</f>
        <v> </v>
      </c>
      <c r="W112" s="334" t="str">
        <f aca="false">IF((E112="f"),G112," ")</f>
        <v> </v>
      </c>
    </row>
    <row r="113" customFormat="false" ht="12.75" hidden="false" customHeight="false" outlineLevel="0" collapsed="false">
      <c r="A113" s="355"/>
      <c r="E113" s="365" t="str">
        <f aca="false">IF((G113&lt;&gt;0),"Enter Letter"," ")</f>
        <v> </v>
      </c>
      <c r="H113" s="338" t="str">
        <f aca="false">IF((G113&lt;&gt;0),IF((D113&gt;0)," ",G113)," ")</f>
        <v> </v>
      </c>
      <c r="I113" s="367" t="str">
        <f aca="false">IF((G113&lt;&gt;0),IF((D113&gt;0)," ",(I$1-A113))," ")</f>
        <v> </v>
      </c>
      <c r="J113" s="334" t="str">
        <f aca="false">IF((E113="s"),G113," ")</f>
        <v> </v>
      </c>
      <c r="K113" s="334" t="str">
        <f aca="false">IF((E113="d"),G113," ")</f>
        <v> </v>
      </c>
      <c r="L113" s="334" t="str">
        <f aca="false">IF((E113="e"),G113," ")</f>
        <v> </v>
      </c>
      <c r="M113" s="334" t="str">
        <f aca="false">IF((E113="p"),G113," ")</f>
        <v> </v>
      </c>
      <c r="N113" s="334" t="str">
        <f aca="false">IF((E113="r"),G113," ")</f>
        <v> </v>
      </c>
      <c r="O113" s="334" t="str">
        <f aca="false">IF((E113="g"),G113," ")</f>
        <v> </v>
      </c>
      <c r="P113" s="334" t="str">
        <f aca="false">IF((E113="m"),G113," ")</f>
        <v> </v>
      </c>
      <c r="Q113" s="334" t="str">
        <f aca="false">IF((E113="t"),G113," ")</f>
        <v> </v>
      </c>
      <c r="R113" s="334" t="str">
        <f aca="false">IF((E113="a"),G113," ")</f>
        <v> </v>
      </c>
      <c r="S113" s="334" t="str">
        <f aca="false">IF((E113="l"),G113," ")</f>
        <v> </v>
      </c>
      <c r="T113" s="334" t="str">
        <f aca="false">IF((E113="b"),G113," ")</f>
        <v> </v>
      </c>
      <c r="U113" s="334" t="str">
        <f aca="false">IF((E113="i"),G113," ")</f>
        <v> </v>
      </c>
      <c r="V113" s="334" t="str">
        <f aca="false">IF((E113="o"),G113," ")</f>
        <v> </v>
      </c>
      <c r="W113" s="334" t="str">
        <f aca="false">IF((E113="f"),G113," ")</f>
        <v> </v>
      </c>
    </row>
    <row r="114" customFormat="false" ht="12.75" hidden="false" customHeight="false" outlineLevel="0" collapsed="false">
      <c r="A114" s="355"/>
      <c r="E114" s="365" t="str">
        <f aca="false">IF((G114&lt;&gt;0),"Enter Letter"," ")</f>
        <v> </v>
      </c>
      <c r="H114" s="338" t="str">
        <f aca="false">IF((G114&lt;&gt;0),IF((D114&gt;0)," ",G114)," ")</f>
        <v> </v>
      </c>
      <c r="I114" s="367" t="str">
        <f aca="false">IF((G114&lt;&gt;0),IF((D114&gt;0)," ",(I$1-A114))," ")</f>
        <v> </v>
      </c>
      <c r="J114" s="334" t="str">
        <f aca="false">IF((E114="s"),G114," ")</f>
        <v> </v>
      </c>
      <c r="K114" s="334" t="str">
        <f aca="false">IF((E114="d"),G114," ")</f>
        <v> </v>
      </c>
      <c r="L114" s="334" t="str">
        <f aca="false">IF((E114="e"),G114," ")</f>
        <v> </v>
      </c>
      <c r="M114" s="334" t="str">
        <f aca="false">IF((E114="p"),G114," ")</f>
        <v> </v>
      </c>
      <c r="N114" s="334" t="str">
        <f aca="false">IF((E114="r"),G114," ")</f>
        <v> </v>
      </c>
      <c r="O114" s="334" t="str">
        <f aca="false">IF((E114="g"),G114," ")</f>
        <v> </v>
      </c>
      <c r="P114" s="334" t="str">
        <f aca="false">IF((E114="m"),G114," ")</f>
        <v> </v>
      </c>
      <c r="Q114" s="334" t="str">
        <f aca="false">IF((E114="t"),G114," ")</f>
        <v> </v>
      </c>
      <c r="R114" s="334" t="str">
        <f aca="false">IF((E114="a"),G114," ")</f>
        <v> </v>
      </c>
      <c r="S114" s="334" t="str">
        <f aca="false">IF((E114="l"),G114," ")</f>
        <v> </v>
      </c>
      <c r="T114" s="334" t="str">
        <f aca="false">IF((E114="b"),G114," ")</f>
        <v> </v>
      </c>
      <c r="U114" s="334" t="str">
        <f aca="false">IF((E114="i"),G114," ")</f>
        <v> </v>
      </c>
      <c r="V114" s="334" t="str">
        <f aca="false">IF((E114="o"),G114," ")</f>
        <v> </v>
      </c>
      <c r="W114" s="334" t="str">
        <f aca="false">IF((E114="f"),G114," ")</f>
        <v> </v>
      </c>
    </row>
    <row r="115" customFormat="false" ht="12.75" hidden="false" customHeight="false" outlineLevel="0" collapsed="false">
      <c r="A115" s="355"/>
      <c r="E115" s="365" t="str">
        <f aca="false">IF((G115&lt;&gt;0),"Enter Letter"," ")</f>
        <v> </v>
      </c>
      <c r="H115" s="338" t="str">
        <f aca="false">IF((G115&lt;&gt;0),IF((D115&gt;0)," ",G115)," ")</f>
        <v> </v>
      </c>
      <c r="I115" s="367" t="str">
        <f aca="false">IF((G115&lt;&gt;0),IF((D115&gt;0)," ",(I$1-A115))," ")</f>
        <v> </v>
      </c>
      <c r="J115" s="334" t="str">
        <f aca="false">IF((E115="s"),G115," ")</f>
        <v> </v>
      </c>
      <c r="K115" s="334" t="str">
        <f aca="false">IF((E115="d"),G115," ")</f>
        <v> </v>
      </c>
      <c r="L115" s="334" t="str">
        <f aca="false">IF((E115="e"),G115," ")</f>
        <v> </v>
      </c>
      <c r="M115" s="334" t="str">
        <f aca="false">IF((E115="p"),G115," ")</f>
        <v> </v>
      </c>
      <c r="N115" s="334" t="str">
        <f aca="false">IF((E115="r"),G115," ")</f>
        <v> </v>
      </c>
      <c r="O115" s="334" t="str">
        <f aca="false">IF((E115="g"),G115," ")</f>
        <v> </v>
      </c>
      <c r="P115" s="334" t="str">
        <f aca="false">IF((E115="m"),G115," ")</f>
        <v> </v>
      </c>
      <c r="Q115" s="334" t="str">
        <f aca="false">IF((E115="t"),G115," ")</f>
        <v> </v>
      </c>
      <c r="R115" s="334" t="str">
        <f aca="false">IF((E115="a"),G115," ")</f>
        <v> </v>
      </c>
      <c r="S115" s="334" t="str">
        <f aca="false">IF((E115="l"),G115," ")</f>
        <v> </v>
      </c>
      <c r="T115" s="334" t="str">
        <f aca="false">IF((E115="b"),G115," ")</f>
        <v> </v>
      </c>
      <c r="U115" s="334" t="str">
        <f aca="false">IF((E115="i"),G115," ")</f>
        <v> </v>
      </c>
      <c r="V115" s="334" t="str">
        <f aca="false">IF((E115="o"),G115," ")</f>
        <v> </v>
      </c>
      <c r="W115" s="334" t="str">
        <f aca="false">IF((E115="f"),G115," ")</f>
        <v> </v>
      </c>
    </row>
    <row r="116" customFormat="false" ht="12.75" hidden="false" customHeight="false" outlineLevel="0" collapsed="false">
      <c r="A116" s="355"/>
      <c r="E116" s="365" t="str">
        <f aca="false">IF((G116&lt;&gt;0),"Enter Letter"," ")</f>
        <v> </v>
      </c>
      <c r="H116" s="338" t="str">
        <f aca="false">IF((G116&lt;&gt;0),IF((D116&gt;0)," ",G116)," ")</f>
        <v> </v>
      </c>
      <c r="I116" s="367" t="str">
        <f aca="false">IF((G116&lt;&gt;0),IF((D116&gt;0)," ",(I$1-A116))," ")</f>
        <v> </v>
      </c>
      <c r="J116" s="334" t="str">
        <f aca="false">IF((E116="s"),G116," ")</f>
        <v> </v>
      </c>
      <c r="K116" s="334" t="str">
        <f aca="false">IF((E116="d"),G116," ")</f>
        <v> </v>
      </c>
      <c r="L116" s="334" t="str">
        <f aca="false">IF((E116="e"),G116," ")</f>
        <v> </v>
      </c>
      <c r="M116" s="334" t="str">
        <f aca="false">IF((E116="p"),G116," ")</f>
        <v> </v>
      </c>
      <c r="N116" s="334" t="str">
        <f aca="false">IF((E116="r"),G116," ")</f>
        <v> </v>
      </c>
      <c r="O116" s="334" t="str">
        <f aca="false">IF((E116="g"),G116," ")</f>
        <v> </v>
      </c>
      <c r="P116" s="334" t="str">
        <f aca="false">IF((E116="m"),G116," ")</f>
        <v> </v>
      </c>
      <c r="Q116" s="334" t="str">
        <f aca="false">IF((E116="t"),G116," ")</f>
        <v> </v>
      </c>
      <c r="R116" s="334" t="str">
        <f aca="false">IF((E116="a"),G116," ")</f>
        <v> </v>
      </c>
      <c r="S116" s="334" t="str">
        <f aca="false">IF((E116="l"),G116," ")</f>
        <v> </v>
      </c>
      <c r="T116" s="334" t="str">
        <f aca="false">IF((E116="b"),G116," ")</f>
        <v> </v>
      </c>
      <c r="U116" s="334" t="str">
        <f aca="false">IF((E116="i"),G116," ")</f>
        <v> </v>
      </c>
      <c r="V116" s="334" t="str">
        <f aca="false">IF((E116="o"),G116," ")</f>
        <v> </v>
      </c>
      <c r="W116" s="334" t="str">
        <f aca="false">IF((E116="f"),G116," ")</f>
        <v> </v>
      </c>
    </row>
    <row r="117" customFormat="false" ht="12.75" hidden="false" customHeight="false" outlineLevel="0" collapsed="false">
      <c r="A117" s="355"/>
      <c r="E117" s="365" t="str">
        <f aca="false">IF((G117&lt;&gt;0),"Enter Letter"," ")</f>
        <v> </v>
      </c>
      <c r="H117" s="338" t="str">
        <f aca="false">IF((G117&lt;&gt;0),IF((D117&gt;0)," ",G117)," ")</f>
        <v> </v>
      </c>
      <c r="I117" s="367" t="str">
        <f aca="false">IF((G117&lt;&gt;0),IF((D117&gt;0)," ",(I$1-A117))," ")</f>
        <v> </v>
      </c>
      <c r="J117" s="334" t="str">
        <f aca="false">IF((E117="s"),G117," ")</f>
        <v> </v>
      </c>
      <c r="K117" s="334" t="str">
        <f aca="false">IF((E117="d"),G117," ")</f>
        <v> </v>
      </c>
      <c r="L117" s="334" t="str">
        <f aca="false">IF((E117="e"),G117," ")</f>
        <v> </v>
      </c>
      <c r="M117" s="334" t="str">
        <f aca="false">IF((E117="p"),G117," ")</f>
        <v> </v>
      </c>
      <c r="N117" s="334" t="str">
        <f aca="false">IF((E117="r"),G117," ")</f>
        <v> </v>
      </c>
      <c r="O117" s="334" t="str">
        <f aca="false">IF((E117="g"),G117," ")</f>
        <v> </v>
      </c>
      <c r="P117" s="334" t="str">
        <f aca="false">IF((E117="m"),G117," ")</f>
        <v> </v>
      </c>
      <c r="Q117" s="334" t="str">
        <f aca="false">IF((E117="t"),G117," ")</f>
        <v> </v>
      </c>
      <c r="R117" s="334" t="str">
        <f aca="false">IF((E117="a"),G117," ")</f>
        <v> </v>
      </c>
      <c r="S117" s="334" t="str">
        <f aca="false">IF((E117="l"),G117," ")</f>
        <v> </v>
      </c>
      <c r="T117" s="334" t="str">
        <f aca="false">IF((E117="b"),G117," ")</f>
        <v> </v>
      </c>
      <c r="U117" s="334" t="str">
        <f aca="false">IF((E117="i"),G117," ")</f>
        <v> </v>
      </c>
      <c r="V117" s="334" t="str">
        <f aca="false">IF((E117="o"),G117," ")</f>
        <v> </v>
      </c>
      <c r="W117" s="334" t="str">
        <f aca="false">IF((E117="f"),G117," ")</f>
        <v> </v>
      </c>
    </row>
    <row r="118" customFormat="false" ht="12.75" hidden="false" customHeight="false" outlineLevel="0" collapsed="false">
      <c r="A118" s="355"/>
      <c r="E118" s="365" t="str">
        <f aca="false">IF((G118&lt;&gt;0),"Enter Letter"," ")</f>
        <v> </v>
      </c>
      <c r="H118" s="338" t="str">
        <f aca="false">IF((G118&lt;&gt;0),IF((D118&gt;0)," ",G118)," ")</f>
        <v> </v>
      </c>
      <c r="I118" s="367" t="str">
        <f aca="false">IF((G118&lt;&gt;0),IF((D118&gt;0)," ",(I$1-A118))," ")</f>
        <v> </v>
      </c>
      <c r="J118" s="334" t="str">
        <f aca="false">IF((E118="s"),G118," ")</f>
        <v> </v>
      </c>
      <c r="K118" s="334" t="str">
        <f aca="false">IF((E118="d"),G118," ")</f>
        <v> </v>
      </c>
      <c r="L118" s="334" t="str">
        <f aca="false">IF((E118="e"),G118," ")</f>
        <v> </v>
      </c>
      <c r="M118" s="334" t="str">
        <f aca="false">IF((E118="p"),G118," ")</f>
        <v> </v>
      </c>
      <c r="N118" s="334" t="str">
        <f aca="false">IF((E118="r"),G118," ")</f>
        <v> </v>
      </c>
      <c r="O118" s="334" t="str">
        <f aca="false">IF((E118="g"),G118," ")</f>
        <v> </v>
      </c>
      <c r="P118" s="334" t="str">
        <f aca="false">IF((E118="m"),G118," ")</f>
        <v> </v>
      </c>
      <c r="Q118" s="334" t="str">
        <f aca="false">IF((E118="t"),G118," ")</f>
        <v> </v>
      </c>
      <c r="R118" s="334" t="str">
        <f aca="false">IF((E118="a"),G118," ")</f>
        <v> </v>
      </c>
      <c r="S118" s="334" t="str">
        <f aca="false">IF((E118="l"),G118," ")</f>
        <v> </v>
      </c>
      <c r="T118" s="334" t="str">
        <f aca="false">IF((E118="b"),G118," ")</f>
        <v> </v>
      </c>
      <c r="U118" s="334" t="str">
        <f aca="false">IF((E118="i"),G118," ")</f>
        <v> </v>
      </c>
      <c r="V118" s="334" t="str">
        <f aca="false">IF((E118="o"),G118," ")</f>
        <v> </v>
      </c>
      <c r="W118" s="334" t="str">
        <f aca="false">IF((E118="f"),G118," ")</f>
        <v> </v>
      </c>
    </row>
    <row r="119" customFormat="false" ht="12.75" hidden="false" customHeight="false" outlineLevel="0" collapsed="false">
      <c r="A119" s="355"/>
      <c r="E119" s="365" t="str">
        <f aca="false">IF((G119&lt;&gt;0),"Enter Letter"," ")</f>
        <v> </v>
      </c>
      <c r="H119" s="338" t="str">
        <f aca="false">IF((G119&lt;&gt;0),IF((D119&gt;0)," ",G119)," ")</f>
        <v> </v>
      </c>
      <c r="I119" s="367" t="str">
        <f aca="false">IF((G119&lt;&gt;0),IF((D119&gt;0)," ",(I$1-A119))," ")</f>
        <v> </v>
      </c>
      <c r="J119" s="334" t="str">
        <f aca="false">IF((E119="s"),G119," ")</f>
        <v> </v>
      </c>
      <c r="K119" s="334" t="str">
        <f aca="false">IF((E119="d"),G119," ")</f>
        <v> </v>
      </c>
      <c r="L119" s="334" t="str">
        <f aca="false">IF((E119="e"),G119," ")</f>
        <v> </v>
      </c>
      <c r="M119" s="334" t="str">
        <f aca="false">IF((E119="p"),G119," ")</f>
        <v> </v>
      </c>
      <c r="N119" s="334" t="str">
        <f aca="false">IF((E119="r"),G119," ")</f>
        <v> </v>
      </c>
      <c r="O119" s="334" t="str">
        <f aca="false">IF((E119="g"),G119," ")</f>
        <v> </v>
      </c>
      <c r="P119" s="334" t="str">
        <f aca="false">IF((E119="m"),G119," ")</f>
        <v> </v>
      </c>
      <c r="Q119" s="334" t="str">
        <f aca="false">IF((E119="t"),G119," ")</f>
        <v> </v>
      </c>
      <c r="R119" s="334" t="str">
        <f aca="false">IF((E119="a"),G119," ")</f>
        <v> </v>
      </c>
      <c r="S119" s="334" t="str">
        <f aca="false">IF((E119="l"),G119," ")</f>
        <v> </v>
      </c>
      <c r="T119" s="334" t="str">
        <f aca="false">IF((E119="b"),G119," ")</f>
        <v> </v>
      </c>
      <c r="U119" s="334" t="str">
        <f aca="false">IF((E119="i"),G119," ")</f>
        <v> </v>
      </c>
      <c r="V119" s="334" t="str">
        <f aca="false">IF((E119="o"),G119," ")</f>
        <v> </v>
      </c>
      <c r="W119" s="334" t="str">
        <f aca="false">IF((E119="f"),G119," ")</f>
        <v> </v>
      </c>
    </row>
    <row r="120" customFormat="false" ht="12.75" hidden="false" customHeight="false" outlineLevel="0" collapsed="false">
      <c r="A120" s="355"/>
      <c r="E120" s="365" t="str">
        <f aca="false">IF((G120&lt;&gt;0),"Enter Letter"," ")</f>
        <v> </v>
      </c>
      <c r="H120" s="338" t="str">
        <f aca="false">IF((G120&lt;&gt;0),IF((D120&gt;0)," ",G120)," ")</f>
        <v> </v>
      </c>
      <c r="I120" s="367" t="str">
        <f aca="false">IF((G120&lt;&gt;0),IF((D120&gt;0)," ",(I$1-A120))," ")</f>
        <v> </v>
      </c>
      <c r="J120" s="334" t="str">
        <f aca="false">IF((E120="s"),G120," ")</f>
        <v> </v>
      </c>
      <c r="K120" s="334" t="str">
        <f aca="false">IF((E120="d"),G120," ")</f>
        <v> </v>
      </c>
      <c r="L120" s="334" t="str">
        <f aca="false">IF((E120="e"),G120," ")</f>
        <v> </v>
      </c>
      <c r="M120" s="334" t="str">
        <f aca="false">IF((E120="p"),G120," ")</f>
        <v> </v>
      </c>
      <c r="N120" s="334" t="str">
        <f aca="false">IF((E120="r"),G120," ")</f>
        <v> </v>
      </c>
      <c r="O120" s="334" t="str">
        <f aca="false">IF((E120="g"),G120," ")</f>
        <v> </v>
      </c>
      <c r="P120" s="334" t="str">
        <f aca="false">IF((E120="m"),G120," ")</f>
        <v> </v>
      </c>
      <c r="Q120" s="334" t="str">
        <f aca="false">IF((E120="t"),G120," ")</f>
        <v> </v>
      </c>
      <c r="R120" s="334" t="str">
        <f aca="false">IF((E120="a"),G120," ")</f>
        <v> </v>
      </c>
      <c r="S120" s="334" t="str">
        <f aca="false">IF((E120="l"),G120," ")</f>
        <v> </v>
      </c>
      <c r="T120" s="334" t="str">
        <f aca="false">IF((E120="b"),G120," ")</f>
        <v> </v>
      </c>
      <c r="U120" s="334" t="str">
        <f aca="false">IF((E120="i"),G120," ")</f>
        <v> </v>
      </c>
      <c r="V120" s="334" t="str">
        <f aca="false">IF((E120="o"),G120," ")</f>
        <v> </v>
      </c>
      <c r="W120" s="334" t="str">
        <f aca="false">IF((E120="f"),G120," ")</f>
        <v> </v>
      </c>
    </row>
    <row r="121" customFormat="false" ht="12.75" hidden="false" customHeight="false" outlineLevel="0" collapsed="false">
      <c r="A121" s="355"/>
      <c r="E121" s="365" t="str">
        <f aca="false">IF((G121&lt;&gt;0),"Enter Letter"," ")</f>
        <v> </v>
      </c>
      <c r="H121" s="338" t="str">
        <f aca="false">IF((G121&lt;&gt;0),IF((D121&gt;0)," ",G121)," ")</f>
        <v> </v>
      </c>
      <c r="I121" s="367" t="str">
        <f aca="false">IF((G121&lt;&gt;0),IF((D121&gt;0)," ",(I$1-A121))," ")</f>
        <v> </v>
      </c>
      <c r="J121" s="334" t="str">
        <f aca="false">IF((E121="s"),G121," ")</f>
        <v> </v>
      </c>
      <c r="K121" s="334" t="str">
        <f aca="false">IF((E121="d"),G121," ")</f>
        <v> </v>
      </c>
      <c r="L121" s="334" t="str">
        <f aca="false">IF((E121="e"),G121," ")</f>
        <v> </v>
      </c>
      <c r="M121" s="334" t="str">
        <f aca="false">IF((E121="p"),G121," ")</f>
        <v> </v>
      </c>
      <c r="N121" s="334" t="str">
        <f aca="false">IF((E121="r"),G121," ")</f>
        <v> </v>
      </c>
      <c r="O121" s="334" t="str">
        <f aca="false">IF((E121="g"),G121," ")</f>
        <v> </v>
      </c>
      <c r="P121" s="334" t="str">
        <f aca="false">IF((E121="m"),G121," ")</f>
        <v> </v>
      </c>
      <c r="Q121" s="334" t="str">
        <f aca="false">IF((E121="t"),G121," ")</f>
        <v> </v>
      </c>
      <c r="R121" s="334" t="str">
        <f aca="false">IF((E121="a"),G121," ")</f>
        <v> </v>
      </c>
      <c r="S121" s="334" t="str">
        <f aca="false">IF((E121="l"),G121," ")</f>
        <v> </v>
      </c>
      <c r="T121" s="334" t="str">
        <f aca="false">IF((E121="b"),G121," ")</f>
        <v> </v>
      </c>
      <c r="U121" s="334" t="str">
        <f aca="false">IF((E121="i"),G121," ")</f>
        <v> </v>
      </c>
      <c r="V121" s="334" t="str">
        <f aca="false">IF((E121="o"),G121," ")</f>
        <v> </v>
      </c>
      <c r="W121" s="334" t="str">
        <f aca="false">IF((E121="f"),G121," ")</f>
        <v> </v>
      </c>
    </row>
    <row r="122" customFormat="false" ht="12.75" hidden="false" customHeight="false" outlineLevel="0" collapsed="false">
      <c r="A122" s="355"/>
      <c r="E122" s="365" t="str">
        <f aca="false">IF((G122&lt;&gt;0),"Enter Letter"," ")</f>
        <v> </v>
      </c>
      <c r="H122" s="338" t="str">
        <f aca="false">IF((G122&lt;&gt;0),IF((D122&gt;0)," ",G122)," ")</f>
        <v> </v>
      </c>
      <c r="I122" s="367" t="str">
        <f aca="false">IF((G122&lt;&gt;0),IF((D122&gt;0)," ",(I$1-A122))," ")</f>
        <v> </v>
      </c>
      <c r="J122" s="334" t="str">
        <f aca="false">IF((E122="s"),G122," ")</f>
        <v> </v>
      </c>
      <c r="K122" s="334" t="str">
        <f aca="false">IF((E122="d"),G122," ")</f>
        <v> </v>
      </c>
      <c r="L122" s="334" t="str">
        <f aca="false">IF((E122="e"),G122," ")</f>
        <v> </v>
      </c>
      <c r="M122" s="334" t="str">
        <f aca="false">IF((E122="p"),G122," ")</f>
        <v> </v>
      </c>
      <c r="N122" s="334" t="str">
        <f aca="false">IF((E122="r"),G122," ")</f>
        <v> </v>
      </c>
      <c r="O122" s="334" t="str">
        <f aca="false">IF((E122="g"),G122," ")</f>
        <v> </v>
      </c>
      <c r="P122" s="334" t="str">
        <f aca="false">IF((E122="m"),G122," ")</f>
        <v> </v>
      </c>
      <c r="Q122" s="334" t="str">
        <f aca="false">IF((E122="t"),G122," ")</f>
        <v> </v>
      </c>
      <c r="R122" s="334" t="str">
        <f aca="false">IF((E122="a"),G122," ")</f>
        <v> </v>
      </c>
      <c r="S122" s="334" t="str">
        <f aca="false">IF((E122="l"),G122," ")</f>
        <v> </v>
      </c>
      <c r="T122" s="334" t="str">
        <f aca="false">IF((E122="b"),G122," ")</f>
        <v> </v>
      </c>
      <c r="U122" s="334" t="str">
        <f aca="false">IF((E122="i"),G122," ")</f>
        <v> </v>
      </c>
      <c r="V122" s="334" t="str">
        <f aca="false">IF((E122="o"),G122," ")</f>
        <v> </v>
      </c>
      <c r="W122" s="334" t="str">
        <f aca="false">IF((E122="f"),G122," ")</f>
        <v> </v>
      </c>
    </row>
    <row r="123" customFormat="false" ht="12.75" hidden="false" customHeight="false" outlineLevel="0" collapsed="false">
      <c r="A123" s="355"/>
      <c r="E123" s="365" t="str">
        <f aca="false">IF((G123&lt;&gt;0),"Enter Letter"," ")</f>
        <v> </v>
      </c>
      <c r="H123" s="338" t="str">
        <f aca="false">IF((G123&lt;&gt;0),IF((D123&gt;0)," ",G123)," ")</f>
        <v> </v>
      </c>
      <c r="I123" s="367" t="str">
        <f aca="false">IF((G123&lt;&gt;0),IF((D123&gt;0)," ",(I$1-A123))," ")</f>
        <v> </v>
      </c>
      <c r="J123" s="334" t="str">
        <f aca="false">IF((E123="s"),G123," ")</f>
        <v> </v>
      </c>
      <c r="K123" s="334" t="str">
        <f aca="false">IF((E123="d"),G123," ")</f>
        <v> </v>
      </c>
      <c r="L123" s="334" t="str">
        <f aca="false">IF((E123="e"),G123," ")</f>
        <v> </v>
      </c>
      <c r="M123" s="334" t="str">
        <f aca="false">IF((E123="p"),G123," ")</f>
        <v> </v>
      </c>
      <c r="N123" s="334" t="str">
        <f aca="false">IF((E123="r"),G123," ")</f>
        <v> </v>
      </c>
      <c r="O123" s="334" t="str">
        <f aca="false">IF((E123="g"),G123," ")</f>
        <v> </v>
      </c>
      <c r="P123" s="334" t="str">
        <f aca="false">IF((E123="m"),G123," ")</f>
        <v> </v>
      </c>
      <c r="Q123" s="334" t="str">
        <f aca="false">IF((E123="t"),G123," ")</f>
        <v> </v>
      </c>
      <c r="R123" s="334" t="str">
        <f aca="false">IF((E123="a"),G123," ")</f>
        <v> </v>
      </c>
      <c r="S123" s="334" t="str">
        <f aca="false">IF((E123="l"),G123," ")</f>
        <v> </v>
      </c>
      <c r="T123" s="334" t="str">
        <f aca="false">IF((E123="b"),G123," ")</f>
        <v> </v>
      </c>
      <c r="U123" s="334" t="str">
        <f aca="false">IF((E123="i"),G123," ")</f>
        <v> </v>
      </c>
      <c r="V123" s="334" t="str">
        <f aca="false">IF((E123="o"),G123," ")</f>
        <v> </v>
      </c>
      <c r="W123" s="334" t="str">
        <f aca="false">IF((E123="f"),G123," ")</f>
        <v> </v>
      </c>
    </row>
    <row r="124" customFormat="false" ht="12.75" hidden="false" customHeight="false" outlineLevel="0" collapsed="false">
      <c r="A124" s="355"/>
      <c r="E124" s="365" t="str">
        <f aca="false">IF((G124&lt;&gt;0),"Enter Letter"," ")</f>
        <v> </v>
      </c>
      <c r="H124" s="338" t="str">
        <f aca="false">IF((G124&lt;&gt;0),IF((D124&gt;0)," ",G124)," ")</f>
        <v> </v>
      </c>
      <c r="I124" s="367" t="str">
        <f aca="false">IF((G124&lt;&gt;0),IF((D124&gt;0)," ",(I$1-A124))," ")</f>
        <v> </v>
      </c>
      <c r="J124" s="334" t="str">
        <f aca="false">IF((E124="s"),G124," ")</f>
        <v> </v>
      </c>
      <c r="K124" s="334" t="str">
        <f aca="false">IF((E124="d"),G124," ")</f>
        <v> </v>
      </c>
      <c r="L124" s="334" t="str">
        <f aca="false">IF((E124="e"),G124," ")</f>
        <v> </v>
      </c>
      <c r="M124" s="334" t="str">
        <f aca="false">IF((E124="p"),G124," ")</f>
        <v> </v>
      </c>
      <c r="N124" s="334" t="str">
        <f aca="false">IF((E124="r"),G124," ")</f>
        <v> </v>
      </c>
      <c r="O124" s="334" t="str">
        <f aca="false">IF((E124="g"),G124," ")</f>
        <v> </v>
      </c>
      <c r="P124" s="334" t="str">
        <f aca="false">IF((E124="m"),G124," ")</f>
        <v> </v>
      </c>
      <c r="Q124" s="334" t="str">
        <f aca="false">IF((E124="t"),G124," ")</f>
        <v> </v>
      </c>
      <c r="R124" s="334" t="str">
        <f aca="false">IF((E124="a"),G124," ")</f>
        <v> </v>
      </c>
      <c r="S124" s="334" t="str">
        <f aca="false">IF((E124="l"),G124," ")</f>
        <v> </v>
      </c>
      <c r="T124" s="334" t="str">
        <f aca="false">IF((E124="b"),G124," ")</f>
        <v> </v>
      </c>
      <c r="U124" s="334" t="str">
        <f aca="false">IF((E124="i"),G124," ")</f>
        <v> </v>
      </c>
      <c r="V124" s="334" t="str">
        <f aca="false">IF((E124="o"),G124," ")</f>
        <v> </v>
      </c>
      <c r="W124" s="334" t="str">
        <f aca="false">IF((E124="f"),G124," ")</f>
        <v> </v>
      </c>
    </row>
    <row r="125" customFormat="false" ht="12.75" hidden="false" customHeight="false" outlineLevel="0" collapsed="false">
      <c r="A125" s="355"/>
      <c r="E125" s="365" t="str">
        <f aca="false">IF((G125&lt;&gt;0),"Enter Letter"," ")</f>
        <v> </v>
      </c>
      <c r="H125" s="338" t="str">
        <f aca="false">IF((G125&lt;&gt;0),IF((D125&gt;0)," ",G125)," ")</f>
        <v> </v>
      </c>
      <c r="I125" s="367" t="str">
        <f aca="false">IF((G125&lt;&gt;0),IF((D125&gt;0)," ",(I$1-A125))," ")</f>
        <v> </v>
      </c>
      <c r="J125" s="334" t="str">
        <f aca="false">IF((E125="s"),G125," ")</f>
        <v> </v>
      </c>
      <c r="K125" s="334" t="str">
        <f aca="false">IF((E125="d"),G125," ")</f>
        <v> </v>
      </c>
      <c r="L125" s="334" t="str">
        <f aca="false">IF((E125="e"),G125," ")</f>
        <v> </v>
      </c>
      <c r="M125" s="334" t="str">
        <f aca="false">IF((E125="p"),G125," ")</f>
        <v> </v>
      </c>
      <c r="N125" s="334" t="str">
        <f aca="false">IF((E125="r"),G125," ")</f>
        <v> </v>
      </c>
      <c r="O125" s="334" t="str">
        <f aca="false">IF((E125="g"),G125," ")</f>
        <v> </v>
      </c>
      <c r="P125" s="334" t="str">
        <f aca="false">IF((E125="m"),G125," ")</f>
        <v> </v>
      </c>
      <c r="Q125" s="334" t="str">
        <f aca="false">IF((E125="t"),G125," ")</f>
        <v> </v>
      </c>
      <c r="R125" s="334" t="str">
        <f aca="false">IF((E125="a"),G125," ")</f>
        <v> </v>
      </c>
      <c r="S125" s="334" t="str">
        <f aca="false">IF((E125="l"),G125," ")</f>
        <v> </v>
      </c>
      <c r="T125" s="334" t="str">
        <f aca="false">IF((E125="b"),G125," ")</f>
        <v> </v>
      </c>
      <c r="U125" s="334" t="str">
        <f aca="false">IF((E125="i"),G125," ")</f>
        <v> </v>
      </c>
      <c r="V125" s="334" t="str">
        <f aca="false">IF((E125="o"),G125," ")</f>
        <v> </v>
      </c>
      <c r="W125" s="334" t="str">
        <f aca="false">IF((E125="f"),G125," ")</f>
        <v> </v>
      </c>
    </row>
    <row r="126" customFormat="false" ht="12.75" hidden="false" customHeight="false" outlineLevel="0" collapsed="false">
      <c r="A126" s="355"/>
      <c r="E126" s="365" t="str">
        <f aca="false">IF((G126&lt;&gt;0),"Enter Letter"," ")</f>
        <v> </v>
      </c>
      <c r="H126" s="338" t="str">
        <f aca="false">IF((G126&lt;&gt;0),IF((D126&gt;0)," ",G126)," ")</f>
        <v> </v>
      </c>
      <c r="I126" s="367" t="str">
        <f aca="false">IF((G126&lt;&gt;0),IF((D126&gt;0)," ",(I$1-A126))," ")</f>
        <v> </v>
      </c>
      <c r="J126" s="334" t="str">
        <f aca="false">IF((E126="s"),G126," ")</f>
        <v> </v>
      </c>
      <c r="K126" s="334" t="str">
        <f aca="false">IF((E126="d"),G126," ")</f>
        <v> </v>
      </c>
      <c r="L126" s="334" t="str">
        <f aca="false">IF((E126="e"),G126," ")</f>
        <v> </v>
      </c>
      <c r="M126" s="334" t="str">
        <f aca="false">IF((E126="p"),G126," ")</f>
        <v> </v>
      </c>
      <c r="N126" s="334" t="str">
        <f aca="false">IF((E126="r"),G126," ")</f>
        <v> </v>
      </c>
      <c r="O126" s="334" t="str">
        <f aca="false">IF((E126="g"),G126," ")</f>
        <v> </v>
      </c>
      <c r="P126" s="334" t="str">
        <f aca="false">IF((E126="m"),G126," ")</f>
        <v> </v>
      </c>
      <c r="Q126" s="334" t="str">
        <f aca="false">IF((E126="t"),G126," ")</f>
        <v> </v>
      </c>
      <c r="R126" s="334" t="str">
        <f aca="false">IF((E126="a"),G126," ")</f>
        <v> </v>
      </c>
      <c r="S126" s="334" t="str">
        <f aca="false">IF((E126="l"),G126," ")</f>
        <v> </v>
      </c>
      <c r="T126" s="334" t="str">
        <f aca="false">IF((E126="b"),G126," ")</f>
        <v> </v>
      </c>
      <c r="U126" s="334" t="str">
        <f aca="false">IF((E126="i"),G126," ")</f>
        <v> </v>
      </c>
      <c r="V126" s="334" t="str">
        <f aca="false">IF((E126="o"),G126," ")</f>
        <v> </v>
      </c>
      <c r="W126" s="334" t="str">
        <f aca="false">IF((E126="f"),G126," ")</f>
        <v> </v>
      </c>
    </row>
    <row r="127" customFormat="false" ht="12.75" hidden="false" customHeight="false" outlineLevel="0" collapsed="false">
      <c r="A127" s="355"/>
      <c r="E127" s="365" t="str">
        <f aca="false">IF((G127&lt;&gt;0),"Enter Letter"," ")</f>
        <v> </v>
      </c>
      <c r="H127" s="338" t="str">
        <f aca="false">IF((G127&lt;&gt;0),IF((D127&gt;0)," ",G127)," ")</f>
        <v> </v>
      </c>
      <c r="I127" s="367" t="str">
        <f aca="false">IF((G127&lt;&gt;0),IF((D127&gt;0)," ",(I$1-A127))," ")</f>
        <v> </v>
      </c>
      <c r="J127" s="334" t="str">
        <f aca="false">IF((E127="s"),G127," ")</f>
        <v> </v>
      </c>
      <c r="K127" s="334" t="str">
        <f aca="false">IF((E127="d"),G127," ")</f>
        <v> </v>
      </c>
      <c r="L127" s="334" t="str">
        <f aca="false">IF((E127="e"),G127," ")</f>
        <v> </v>
      </c>
      <c r="M127" s="334" t="str">
        <f aca="false">IF((E127="p"),G127," ")</f>
        <v> </v>
      </c>
      <c r="N127" s="334" t="str">
        <f aca="false">IF((E127="r"),G127," ")</f>
        <v> </v>
      </c>
      <c r="O127" s="334" t="str">
        <f aca="false">IF((E127="g"),G127," ")</f>
        <v> </v>
      </c>
      <c r="P127" s="334" t="str">
        <f aca="false">IF((E127="m"),G127," ")</f>
        <v> </v>
      </c>
      <c r="Q127" s="334" t="str">
        <f aca="false">IF((E127="t"),G127," ")</f>
        <v> </v>
      </c>
      <c r="R127" s="334" t="str">
        <f aca="false">IF((E127="a"),G127," ")</f>
        <v> </v>
      </c>
      <c r="S127" s="334" t="str">
        <f aca="false">IF((E127="l"),G127," ")</f>
        <v> </v>
      </c>
      <c r="T127" s="334" t="str">
        <f aca="false">IF((E127="b"),G127," ")</f>
        <v> </v>
      </c>
      <c r="U127" s="334" t="str">
        <f aca="false">IF((E127="i"),G127," ")</f>
        <v> </v>
      </c>
      <c r="V127" s="334" t="str">
        <f aca="false">IF((E127="o"),G127," ")</f>
        <v> </v>
      </c>
      <c r="W127" s="334" t="str">
        <f aca="false">IF((E127="f"),G127," ")</f>
        <v> </v>
      </c>
    </row>
    <row r="128" customFormat="false" ht="12.75" hidden="false" customHeight="false" outlineLevel="0" collapsed="false">
      <c r="A128" s="355"/>
      <c r="E128" s="365" t="str">
        <f aca="false">IF((G128&lt;&gt;0),"Enter Letter"," ")</f>
        <v> </v>
      </c>
      <c r="H128" s="338" t="str">
        <f aca="false">IF((G128&lt;&gt;0),IF((D128&gt;0)," ",G128)," ")</f>
        <v> </v>
      </c>
      <c r="I128" s="367" t="str">
        <f aca="false">IF((G128&lt;&gt;0),IF((D128&gt;0)," ",(I$1-A128))," ")</f>
        <v> </v>
      </c>
      <c r="J128" s="334" t="str">
        <f aca="false">IF((E128="s"),G128," ")</f>
        <v> </v>
      </c>
      <c r="K128" s="334" t="str">
        <f aca="false">IF((E128="d"),G128," ")</f>
        <v> </v>
      </c>
      <c r="L128" s="334" t="str">
        <f aca="false">IF((E128="e"),G128," ")</f>
        <v> </v>
      </c>
      <c r="M128" s="334" t="str">
        <f aca="false">IF((E128="p"),G128," ")</f>
        <v> </v>
      </c>
      <c r="N128" s="334" t="str">
        <f aca="false">IF((E128="r"),G128," ")</f>
        <v> </v>
      </c>
      <c r="O128" s="334" t="str">
        <f aca="false">IF((E128="g"),G128," ")</f>
        <v> </v>
      </c>
      <c r="P128" s="334" t="str">
        <f aca="false">IF((E128="m"),G128," ")</f>
        <v> </v>
      </c>
      <c r="Q128" s="334" t="str">
        <f aca="false">IF((E128="t"),G128," ")</f>
        <v> </v>
      </c>
      <c r="R128" s="334" t="str">
        <f aca="false">IF((E128="a"),G128," ")</f>
        <v> </v>
      </c>
      <c r="S128" s="334" t="str">
        <f aca="false">IF((E128="l"),G128," ")</f>
        <v> </v>
      </c>
      <c r="T128" s="334" t="str">
        <f aca="false">IF((E128="b"),G128," ")</f>
        <v> </v>
      </c>
      <c r="U128" s="334" t="str">
        <f aca="false">IF((E128="i"),G128," ")</f>
        <v> </v>
      </c>
      <c r="V128" s="334" t="str">
        <f aca="false">IF((E128="o"),G128," ")</f>
        <v> </v>
      </c>
      <c r="W128" s="334" t="str">
        <f aca="false">IF((E128="f"),G128," ")</f>
        <v> </v>
      </c>
    </row>
    <row r="129" customFormat="false" ht="12.75" hidden="false" customHeight="false" outlineLevel="0" collapsed="false">
      <c r="A129" s="355"/>
      <c r="E129" s="365" t="str">
        <f aca="false">IF((G129&lt;&gt;0),"Enter Letter"," ")</f>
        <v> </v>
      </c>
      <c r="H129" s="338" t="str">
        <f aca="false">IF((G129&lt;&gt;0),IF((D129&gt;0)," ",G129)," ")</f>
        <v> </v>
      </c>
      <c r="I129" s="367" t="str">
        <f aca="false">IF((G129&lt;&gt;0),IF((D129&gt;0)," ",(I$1-A129))," ")</f>
        <v> </v>
      </c>
      <c r="J129" s="334" t="str">
        <f aca="false">IF((E129="s"),G129," ")</f>
        <v> </v>
      </c>
      <c r="K129" s="334" t="str">
        <f aca="false">IF((E129="d"),G129," ")</f>
        <v> </v>
      </c>
      <c r="L129" s="334" t="str">
        <f aca="false">IF((E129="e"),G129," ")</f>
        <v> </v>
      </c>
      <c r="M129" s="334" t="str">
        <f aca="false">IF((E129="p"),G129," ")</f>
        <v> </v>
      </c>
      <c r="N129" s="334" t="str">
        <f aca="false">IF((E129="r"),G129," ")</f>
        <v> </v>
      </c>
      <c r="O129" s="334" t="str">
        <f aca="false">IF((E129="g"),G129," ")</f>
        <v> </v>
      </c>
      <c r="P129" s="334" t="str">
        <f aca="false">IF((E129="m"),G129," ")</f>
        <v> </v>
      </c>
      <c r="Q129" s="334" t="str">
        <f aca="false">IF((E129="t"),G129," ")</f>
        <v> </v>
      </c>
      <c r="R129" s="334" t="str">
        <f aca="false">IF((E129="a"),G129," ")</f>
        <v> </v>
      </c>
      <c r="S129" s="334" t="str">
        <f aca="false">IF((E129="l"),G129," ")</f>
        <v> </v>
      </c>
      <c r="T129" s="334" t="str">
        <f aca="false">IF((E129="b"),G129," ")</f>
        <v> </v>
      </c>
      <c r="U129" s="334" t="str">
        <f aca="false">IF((E129="i"),G129," ")</f>
        <v> </v>
      </c>
      <c r="V129" s="334" t="str">
        <f aca="false">IF((E129="o"),G129," ")</f>
        <v> </v>
      </c>
      <c r="W129" s="334" t="str">
        <f aca="false">IF((E129="f"),G129," ")</f>
        <v> </v>
      </c>
    </row>
    <row r="130" customFormat="false" ht="12.75" hidden="false" customHeight="false" outlineLevel="0" collapsed="false">
      <c r="A130" s="355"/>
      <c r="E130" s="365" t="str">
        <f aca="false">IF((G130&lt;&gt;0),"Enter Letter"," ")</f>
        <v> </v>
      </c>
      <c r="H130" s="338" t="str">
        <f aca="false">IF((G130&lt;&gt;0),IF((D130&gt;0)," ",G130)," ")</f>
        <v> </v>
      </c>
      <c r="I130" s="367" t="str">
        <f aca="false">IF((G130&lt;&gt;0),IF((D130&gt;0)," ",(I$1-A130))," ")</f>
        <v> </v>
      </c>
      <c r="J130" s="334" t="str">
        <f aca="false">IF((E130="s"),G130," ")</f>
        <v> </v>
      </c>
      <c r="K130" s="334" t="str">
        <f aca="false">IF((E130="d"),G130," ")</f>
        <v> </v>
      </c>
      <c r="L130" s="334" t="str">
        <f aca="false">IF((E130="e"),G130," ")</f>
        <v> </v>
      </c>
      <c r="M130" s="334" t="str">
        <f aca="false">IF((E130="p"),G130," ")</f>
        <v> </v>
      </c>
      <c r="N130" s="334" t="str">
        <f aca="false">IF((E130="r"),G130," ")</f>
        <v> </v>
      </c>
      <c r="O130" s="334" t="str">
        <f aca="false">IF((E130="g"),G130," ")</f>
        <v> </v>
      </c>
      <c r="P130" s="334" t="str">
        <f aca="false">IF((E130="m"),G130," ")</f>
        <v> </v>
      </c>
      <c r="Q130" s="334" t="str">
        <f aca="false">IF((E130="t"),G130," ")</f>
        <v> </v>
      </c>
      <c r="R130" s="334" t="str">
        <f aca="false">IF((E130="a"),G130," ")</f>
        <v> </v>
      </c>
      <c r="S130" s="334" t="str">
        <f aca="false">IF((E130="l"),G130," ")</f>
        <v> </v>
      </c>
      <c r="T130" s="334" t="str">
        <f aca="false">IF((E130="b"),G130," ")</f>
        <v> </v>
      </c>
      <c r="U130" s="334" t="str">
        <f aca="false">IF((E130="i"),G130," ")</f>
        <v> </v>
      </c>
      <c r="V130" s="334" t="str">
        <f aca="false">IF((E130="o"),G130," ")</f>
        <v> </v>
      </c>
      <c r="W130" s="334" t="str">
        <f aca="false">IF((E130="f"),G130," ")</f>
        <v> </v>
      </c>
    </row>
    <row r="131" customFormat="false" ht="12.75" hidden="false" customHeight="false" outlineLevel="0" collapsed="false">
      <c r="A131" s="355"/>
      <c r="E131" s="365" t="str">
        <f aca="false">IF((G131&lt;&gt;0),"Enter Letter"," ")</f>
        <v> </v>
      </c>
      <c r="H131" s="338" t="str">
        <f aca="false">IF((G131&lt;&gt;0),IF((D131&gt;0)," ",G131)," ")</f>
        <v> </v>
      </c>
      <c r="I131" s="367" t="str">
        <f aca="false">IF((G131&lt;&gt;0),IF((D131&gt;0)," ",(I$1-A131))," ")</f>
        <v> </v>
      </c>
      <c r="J131" s="334" t="str">
        <f aca="false">IF((E131="s"),G131," ")</f>
        <v> </v>
      </c>
      <c r="K131" s="334" t="str">
        <f aca="false">IF((E131="d"),G131," ")</f>
        <v> </v>
      </c>
      <c r="L131" s="334" t="str">
        <f aca="false">IF((E131="e"),G131," ")</f>
        <v> </v>
      </c>
      <c r="M131" s="334" t="str">
        <f aca="false">IF((E131="p"),G131," ")</f>
        <v> </v>
      </c>
      <c r="N131" s="334" t="str">
        <f aca="false">IF((E131="r"),G131," ")</f>
        <v> </v>
      </c>
      <c r="O131" s="334" t="str">
        <f aca="false">IF((E131="g"),G131," ")</f>
        <v> </v>
      </c>
      <c r="P131" s="334" t="str">
        <f aca="false">IF((E131="m"),G131," ")</f>
        <v> </v>
      </c>
      <c r="Q131" s="334" t="str">
        <f aca="false">IF((E131="t"),G131," ")</f>
        <v> </v>
      </c>
      <c r="R131" s="334" t="str">
        <f aca="false">IF((E131="a"),G131," ")</f>
        <v> </v>
      </c>
      <c r="S131" s="334" t="str">
        <f aca="false">IF((E131="l"),G131," ")</f>
        <v> </v>
      </c>
      <c r="T131" s="334" t="str">
        <f aca="false">IF((E131="b"),G131," ")</f>
        <v> </v>
      </c>
      <c r="U131" s="334" t="str">
        <f aca="false">IF((E131="i"),G131," ")</f>
        <v> </v>
      </c>
      <c r="V131" s="334" t="str">
        <f aca="false">IF((E131="o"),G131," ")</f>
        <v> </v>
      </c>
      <c r="W131" s="334" t="str">
        <f aca="false">IF((E131="f"),G131," ")</f>
        <v> </v>
      </c>
    </row>
    <row r="132" customFormat="false" ht="12.75" hidden="false" customHeight="false" outlineLevel="0" collapsed="false">
      <c r="A132" s="355"/>
      <c r="E132" s="365" t="str">
        <f aca="false">IF((G132&lt;&gt;0),"Enter Letter"," ")</f>
        <v> </v>
      </c>
      <c r="H132" s="338" t="str">
        <f aca="false">IF((G132&lt;&gt;0),IF((D132&gt;0)," ",G132)," ")</f>
        <v> </v>
      </c>
      <c r="I132" s="367" t="str">
        <f aca="false">IF((G132&lt;&gt;0),IF((D132&gt;0)," ",(I$1-A132))," ")</f>
        <v> </v>
      </c>
      <c r="J132" s="334" t="str">
        <f aca="false">IF((E132="s"),G132," ")</f>
        <v> </v>
      </c>
      <c r="K132" s="334" t="str">
        <f aca="false">IF((E132="d"),G132," ")</f>
        <v> </v>
      </c>
      <c r="L132" s="334" t="str">
        <f aca="false">IF((E132="e"),G132," ")</f>
        <v> </v>
      </c>
      <c r="M132" s="334" t="str">
        <f aca="false">IF((E132="p"),G132," ")</f>
        <v> </v>
      </c>
      <c r="N132" s="334" t="str">
        <f aca="false">IF((E132="r"),G132," ")</f>
        <v> </v>
      </c>
      <c r="O132" s="334" t="str">
        <f aca="false">IF((E132="g"),G132," ")</f>
        <v> </v>
      </c>
      <c r="P132" s="334" t="str">
        <f aca="false">IF((E132="m"),G132," ")</f>
        <v> </v>
      </c>
      <c r="Q132" s="334" t="str">
        <f aca="false">IF((E132="t"),G132," ")</f>
        <v> </v>
      </c>
      <c r="R132" s="334" t="str">
        <f aca="false">IF((E132="a"),G132," ")</f>
        <v> </v>
      </c>
      <c r="S132" s="334" t="str">
        <f aca="false">IF((E132="l"),G132," ")</f>
        <v> </v>
      </c>
      <c r="T132" s="334" t="str">
        <f aca="false">IF((E132="b"),G132," ")</f>
        <v> </v>
      </c>
      <c r="U132" s="334" t="str">
        <f aca="false">IF((E132="i"),G132," ")</f>
        <v> </v>
      </c>
      <c r="V132" s="334" t="str">
        <f aca="false">IF((E132="o"),G132," ")</f>
        <v> </v>
      </c>
      <c r="W132" s="334" t="str">
        <f aca="false">IF((E132="f"),G132," ")</f>
        <v> </v>
      </c>
    </row>
    <row r="133" customFormat="false" ht="12.75" hidden="false" customHeight="false" outlineLevel="0" collapsed="false">
      <c r="A133" s="355"/>
      <c r="E133" s="365" t="str">
        <f aca="false">IF((G133&lt;&gt;0),"Enter Letter"," ")</f>
        <v> </v>
      </c>
      <c r="H133" s="338" t="str">
        <f aca="false">IF((G133&lt;&gt;0),IF((D133&gt;0)," ",G133)," ")</f>
        <v> </v>
      </c>
      <c r="I133" s="367" t="str">
        <f aca="false">IF((G133&lt;&gt;0),IF((D133&gt;0)," ",(I$1-A133))," ")</f>
        <v> </v>
      </c>
      <c r="J133" s="334" t="str">
        <f aca="false">IF((E133="s"),G133," ")</f>
        <v> </v>
      </c>
      <c r="K133" s="334" t="str">
        <f aca="false">IF((E133="d"),G133," ")</f>
        <v> </v>
      </c>
      <c r="L133" s="334" t="str">
        <f aca="false">IF((E133="e"),G133," ")</f>
        <v> </v>
      </c>
      <c r="M133" s="334" t="str">
        <f aca="false">IF((E133="p"),G133," ")</f>
        <v> </v>
      </c>
      <c r="N133" s="334" t="str">
        <f aca="false">IF((E133="r"),G133," ")</f>
        <v> </v>
      </c>
      <c r="O133" s="334" t="str">
        <f aca="false">IF((E133="g"),G133," ")</f>
        <v> </v>
      </c>
      <c r="P133" s="334" t="str">
        <f aca="false">IF((E133="m"),G133," ")</f>
        <v> </v>
      </c>
      <c r="Q133" s="334" t="str">
        <f aca="false">IF((E133="t"),G133," ")</f>
        <v> </v>
      </c>
      <c r="R133" s="334" t="str">
        <f aca="false">IF((E133="a"),G133," ")</f>
        <v> </v>
      </c>
      <c r="S133" s="334" t="str">
        <f aca="false">IF((E133="l"),G133," ")</f>
        <v> </v>
      </c>
      <c r="T133" s="334" t="str">
        <f aca="false">IF((E133="b"),G133," ")</f>
        <v> </v>
      </c>
      <c r="U133" s="334" t="str">
        <f aca="false">IF((E133="i"),G133," ")</f>
        <v> </v>
      </c>
      <c r="V133" s="334" t="str">
        <f aca="false">IF((E133="o"),G133," ")</f>
        <v> </v>
      </c>
      <c r="W133" s="334" t="str">
        <f aca="false">IF((E133="f"),G133," ")</f>
        <v> </v>
      </c>
    </row>
    <row r="134" customFormat="false" ht="12.75" hidden="false" customHeight="false" outlineLevel="0" collapsed="false">
      <c r="A134" s="355"/>
      <c r="E134" s="365" t="str">
        <f aca="false">IF((G134&lt;&gt;0),"Enter Letter"," ")</f>
        <v> </v>
      </c>
      <c r="H134" s="338" t="str">
        <f aca="false">IF((G134&lt;&gt;0),IF((D134&gt;0)," ",G134)," ")</f>
        <v> </v>
      </c>
      <c r="I134" s="367" t="str">
        <f aca="false">IF((G134&lt;&gt;0),IF((D134&gt;0)," ",(I$1-A134))," ")</f>
        <v> </v>
      </c>
      <c r="J134" s="334" t="str">
        <f aca="false">IF((E134="s"),G134," ")</f>
        <v> </v>
      </c>
      <c r="K134" s="334" t="str">
        <f aca="false">IF((E134="d"),G134," ")</f>
        <v> </v>
      </c>
      <c r="L134" s="334" t="str">
        <f aca="false">IF((E134="e"),G134," ")</f>
        <v> </v>
      </c>
      <c r="M134" s="334" t="str">
        <f aca="false">IF((E134="p"),G134," ")</f>
        <v> </v>
      </c>
      <c r="N134" s="334" t="str">
        <f aca="false">IF((E134="r"),G134," ")</f>
        <v> </v>
      </c>
      <c r="O134" s="334" t="str">
        <f aca="false">IF((E134="g"),G134," ")</f>
        <v> </v>
      </c>
      <c r="P134" s="334" t="str">
        <f aca="false">IF((E134="m"),G134," ")</f>
        <v> </v>
      </c>
      <c r="Q134" s="334" t="str">
        <f aca="false">IF((E134="t"),G134," ")</f>
        <v> </v>
      </c>
      <c r="R134" s="334" t="str">
        <f aca="false">IF((E134="a"),G134," ")</f>
        <v> </v>
      </c>
      <c r="S134" s="334" t="str">
        <f aca="false">IF((E134="l"),G134," ")</f>
        <v> </v>
      </c>
      <c r="T134" s="334" t="str">
        <f aca="false">IF((E134="b"),G134," ")</f>
        <v> </v>
      </c>
      <c r="U134" s="334" t="str">
        <f aca="false">IF((E134="i"),G134," ")</f>
        <v> </v>
      </c>
      <c r="V134" s="334" t="str">
        <f aca="false">IF((E134="o"),G134," ")</f>
        <v> </v>
      </c>
      <c r="W134" s="334" t="str">
        <f aca="false">IF((E134="f"),G134," ")</f>
        <v> </v>
      </c>
    </row>
    <row r="135" customFormat="false" ht="12.75" hidden="false" customHeight="false" outlineLevel="0" collapsed="false">
      <c r="A135" s="355"/>
      <c r="E135" s="365" t="str">
        <f aca="false">IF((G135&lt;&gt;0),"Enter Letter"," ")</f>
        <v> </v>
      </c>
      <c r="H135" s="338" t="str">
        <f aca="false">IF((G135&lt;&gt;0),IF((D135&gt;0)," ",G135)," ")</f>
        <v> </v>
      </c>
      <c r="I135" s="367" t="str">
        <f aca="false">IF((G135&lt;&gt;0),IF((D135&gt;0)," ",(I$1-A135))," ")</f>
        <v> </v>
      </c>
      <c r="J135" s="334" t="str">
        <f aca="false">IF((E135="s"),G135," ")</f>
        <v> </v>
      </c>
      <c r="K135" s="334" t="str">
        <f aca="false">IF((E135="d"),G135," ")</f>
        <v> </v>
      </c>
      <c r="L135" s="334" t="str">
        <f aca="false">IF((E135="e"),G135," ")</f>
        <v> </v>
      </c>
      <c r="M135" s="334" t="str">
        <f aca="false">IF((E135="p"),G135," ")</f>
        <v> </v>
      </c>
      <c r="N135" s="334" t="str">
        <f aca="false">IF((E135="r"),G135," ")</f>
        <v> </v>
      </c>
      <c r="O135" s="334" t="str">
        <f aca="false">IF((E135="g"),G135," ")</f>
        <v> </v>
      </c>
      <c r="P135" s="334" t="str">
        <f aca="false">IF((E135="m"),G135," ")</f>
        <v> </v>
      </c>
      <c r="Q135" s="334" t="str">
        <f aca="false">IF((E135="t"),G135," ")</f>
        <v> </v>
      </c>
      <c r="R135" s="334" t="str">
        <f aca="false">IF((E135="a"),G135," ")</f>
        <v> </v>
      </c>
      <c r="S135" s="334" t="str">
        <f aca="false">IF((E135="l"),G135," ")</f>
        <v> </v>
      </c>
      <c r="T135" s="334" t="str">
        <f aca="false">IF((E135="b"),G135," ")</f>
        <v> </v>
      </c>
      <c r="U135" s="334" t="str">
        <f aca="false">IF((E135="i"),G135," ")</f>
        <v> </v>
      </c>
      <c r="V135" s="334" t="str">
        <f aca="false">IF((E135="o"),G135," ")</f>
        <v> </v>
      </c>
      <c r="W135" s="334" t="str">
        <f aca="false">IF((E135="f"),G135," ")</f>
        <v> </v>
      </c>
    </row>
    <row r="136" customFormat="false" ht="12.75" hidden="false" customHeight="false" outlineLevel="0" collapsed="false">
      <c r="A136" s="355"/>
      <c r="E136" s="365" t="str">
        <f aca="false">IF((G136&lt;&gt;0),"Enter Letter"," ")</f>
        <v> </v>
      </c>
      <c r="H136" s="338" t="str">
        <f aca="false">IF((G136&lt;&gt;0),IF((D136&gt;0)," ",G136)," ")</f>
        <v> </v>
      </c>
      <c r="I136" s="367" t="str">
        <f aca="false">IF((G136&lt;&gt;0),IF((D136&gt;0)," ",(I$1-A136))," ")</f>
        <v> </v>
      </c>
      <c r="J136" s="334" t="str">
        <f aca="false">IF((E136="s"),G136," ")</f>
        <v> </v>
      </c>
      <c r="K136" s="334" t="str">
        <f aca="false">IF((E136="d"),G136," ")</f>
        <v> </v>
      </c>
      <c r="L136" s="334" t="str">
        <f aca="false">IF((E136="e"),G136," ")</f>
        <v> </v>
      </c>
      <c r="M136" s="334" t="str">
        <f aca="false">IF((E136="p"),G136," ")</f>
        <v> </v>
      </c>
      <c r="N136" s="334" t="str">
        <f aca="false">IF((E136="r"),G136," ")</f>
        <v> </v>
      </c>
      <c r="O136" s="334" t="str">
        <f aca="false">IF((E136="g"),G136," ")</f>
        <v> </v>
      </c>
      <c r="P136" s="334" t="str">
        <f aca="false">IF((E136="m"),G136," ")</f>
        <v> </v>
      </c>
      <c r="Q136" s="334" t="str">
        <f aca="false">IF((E136="t"),G136," ")</f>
        <v> </v>
      </c>
      <c r="R136" s="334" t="str">
        <f aca="false">IF((E136="a"),G136," ")</f>
        <v> </v>
      </c>
      <c r="S136" s="334" t="str">
        <f aca="false">IF((E136="l"),G136," ")</f>
        <v> </v>
      </c>
      <c r="T136" s="334" t="str">
        <f aca="false">IF((E136="b"),G136," ")</f>
        <v> </v>
      </c>
      <c r="U136" s="334" t="str">
        <f aca="false">IF((E136="i"),G136," ")</f>
        <v> </v>
      </c>
      <c r="V136" s="334" t="str">
        <f aca="false">IF((E136="o"),G136," ")</f>
        <v> </v>
      </c>
      <c r="W136" s="334" t="str">
        <f aca="false">IF((E136="f"),G136," ")</f>
        <v> </v>
      </c>
    </row>
    <row r="137" customFormat="false" ht="12.75" hidden="false" customHeight="false" outlineLevel="0" collapsed="false">
      <c r="A137" s="355"/>
      <c r="E137" s="365" t="str">
        <f aca="false">IF((G137&lt;&gt;0),"Enter Letter"," ")</f>
        <v> </v>
      </c>
      <c r="H137" s="338" t="str">
        <f aca="false">IF((G137&lt;&gt;0),IF((D137&gt;0)," ",G137)," ")</f>
        <v> </v>
      </c>
      <c r="I137" s="367" t="str">
        <f aca="false">IF((G137&lt;&gt;0),IF((D137&gt;0)," ",(I$1-A137))," ")</f>
        <v> </v>
      </c>
      <c r="J137" s="334" t="str">
        <f aca="false">IF((E137="s"),G137," ")</f>
        <v> </v>
      </c>
      <c r="K137" s="334" t="str">
        <f aca="false">IF((E137="d"),G137," ")</f>
        <v> </v>
      </c>
      <c r="L137" s="334" t="str">
        <f aca="false">IF((E137="e"),G137," ")</f>
        <v> </v>
      </c>
      <c r="M137" s="334" t="str">
        <f aca="false">IF((E137="p"),G137," ")</f>
        <v> </v>
      </c>
      <c r="N137" s="334" t="str">
        <f aca="false">IF((E137="r"),G137," ")</f>
        <v> </v>
      </c>
      <c r="O137" s="334" t="str">
        <f aca="false">IF((E137="g"),G137," ")</f>
        <v> </v>
      </c>
      <c r="P137" s="334" t="str">
        <f aca="false">IF((E137="m"),G137," ")</f>
        <v> </v>
      </c>
      <c r="Q137" s="334" t="str">
        <f aca="false">IF((E137="t"),G137," ")</f>
        <v> </v>
      </c>
      <c r="R137" s="334" t="str">
        <f aca="false">IF((E137="a"),G137," ")</f>
        <v> </v>
      </c>
      <c r="S137" s="334" t="str">
        <f aca="false">IF((E137="l"),G137," ")</f>
        <v> </v>
      </c>
      <c r="T137" s="334" t="str">
        <f aca="false">IF((E137="b"),G137," ")</f>
        <v> </v>
      </c>
      <c r="U137" s="334" t="str">
        <f aca="false">IF((E137="i"),G137," ")</f>
        <v> </v>
      </c>
      <c r="V137" s="334" t="str">
        <f aca="false">IF((E137="o"),G137," ")</f>
        <v> </v>
      </c>
      <c r="W137" s="334" t="str">
        <f aca="false">IF((E137="f"),G137," ")</f>
        <v> </v>
      </c>
    </row>
    <row r="138" customFormat="false" ht="12.75" hidden="false" customHeight="false" outlineLevel="0" collapsed="false">
      <c r="A138" s="355"/>
      <c r="E138" s="365" t="str">
        <f aca="false">IF((G138&lt;&gt;0),"Enter Letter"," ")</f>
        <v> </v>
      </c>
      <c r="H138" s="338" t="str">
        <f aca="false">IF((G138&lt;&gt;0),IF((D138&gt;0)," ",G138)," ")</f>
        <v> </v>
      </c>
      <c r="I138" s="367" t="str">
        <f aca="false">IF((G138&lt;&gt;0),IF((D138&gt;0)," ",(I$1-A138))," ")</f>
        <v> </v>
      </c>
      <c r="J138" s="334" t="str">
        <f aca="false">IF((E138="s"),G138," ")</f>
        <v> </v>
      </c>
      <c r="K138" s="334" t="str">
        <f aca="false">IF((E138="d"),G138," ")</f>
        <v> </v>
      </c>
      <c r="L138" s="334" t="str">
        <f aca="false">IF((E138="e"),G138," ")</f>
        <v> </v>
      </c>
      <c r="M138" s="334" t="str">
        <f aca="false">IF((E138="p"),G138," ")</f>
        <v> </v>
      </c>
      <c r="N138" s="334" t="str">
        <f aca="false">IF((E138="r"),G138," ")</f>
        <v> </v>
      </c>
      <c r="O138" s="334" t="str">
        <f aca="false">IF((E138="g"),G138," ")</f>
        <v> </v>
      </c>
      <c r="P138" s="334" t="str">
        <f aca="false">IF((E138="m"),G138," ")</f>
        <v> </v>
      </c>
      <c r="Q138" s="334" t="str">
        <f aca="false">IF((E138="t"),G138," ")</f>
        <v> </v>
      </c>
      <c r="R138" s="334" t="str">
        <f aca="false">IF((E138="a"),G138," ")</f>
        <v> </v>
      </c>
      <c r="S138" s="334" t="str">
        <f aca="false">IF((E138="l"),G138," ")</f>
        <v> </v>
      </c>
      <c r="T138" s="334" t="str">
        <f aca="false">IF((E138="b"),G138," ")</f>
        <v> </v>
      </c>
      <c r="U138" s="334" t="str">
        <f aca="false">IF((E138="i"),G138," ")</f>
        <v> </v>
      </c>
      <c r="V138" s="334" t="str">
        <f aca="false">IF((E138="o"),G138," ")</f>
        <v> </v>
      </c>
      <c r="W138" s="334" t="str">
        <f aca="false">IF((E138="f"),G138," ")</f>
        <v> </v>
      </c>
    </row>
    <row r="139" customFormat="false" ht="12.75" hidden="false" customHeight="false" outlineLevel="0" collapsed="false">
      <c r="A139" s="355"/>
      <c r="E139" s="365" t="str">
        <f aca="false">IF((G139&lt;&gt;0),"Enter Letter"," ")</f>
        <v> </v>
      </c>
      <c r="H139" s="338" t="str">
        <f aca="false">IF((G139&lt;&gt;0),IF((D139&gt;0)," ",G139)," ")</f>
        <v> </v>
      </c>
      <c r="I139" s="367" t="str">
        <f aca="false">IF((G139&lt;&gt;0),IF((D139&gt;0)," ",(I$1-A139))," ")</f>
        <v> </v>
      </c>
      <c r="J139" s="334" t="str">
        <f aca="false">IF((E139="s"),G139," ")</f>
        <v> </v>
      </c>
      <c r="K139" s="334" t="str">
        <f aca="false">IF((E139="d"),G139," ")</f>
        <v> </v>
      </c>
      <c r="L139" s="334" t="str">
        <f aca="false">IF((E139="e"),G139," ")</f>
        <v> </v>
      </c>
      <c r="M139" s="334" t="str">
        <f aca="false">IF((E139="p"),G139," ")</f>
        <v> </v>
      </c>
      <c r="N139" s="334" t="str">
        <f aca="false">IF((E139="r"),G139," ")</f>
        <v> </v>
      </c>
      <c r="O139" s="334" t="str">
        <f aca="false">IF((E139="g"),G139," ")</f>
        <v> </v>
      </c>
      <c r="P139" s="334" t="str">
        <f aca="false">IF((E139="m"),G139," ")</f>
        <v> </v>
      </c>
      <c r="Q139" s="334" t="str">
        <f aca="false">IF((E139="t"),G139," ")</f>
        <v> </v>
      </c>
      <c r="R139" s="334" t="str">
        <f aca="false">IF((E139="a"),G139," ")</f>
        <v> </v>
      </c>
      <c r="S139" s="334" t="str">
        <f aca="false">IF((E139="l"),G139," ")</f>
        <v> </v>
      </c>
      <c r="T139" s="334" t="str">
        <f aca="false">IF((E139="b"),G139," ")</f>
        <v> </v>
      </c>
      <c r="U139" s="334" t="str">
        <f aca="false">IF((E139="i"),G139," ")</f>
        <v> </v>
      </c>
      <c r="V139" s="334" t="str">
        <f aca="false">IF((E139="o"),G139," ")</f>
        <v> </v>
      </c>
      <c r="W139" s="334" t="str">
        <f aca="false">IF((E139="f"),G139," ")</f>
        <v> </v>
      </c>
    </row>
    <row r="140" customFormat="false" ht="12.75" hidden="false" customHeight="false" outlineLevel="0" collapsed="false">
      <c r="A140" s="355"/>
      <c r="E140" s="365" t="str">
        <f aca="false">IF((G140&lt;&gt;0),"Enter Letter"," ")</f>
        <v> </v>
      </c>
      <c r="H140" s="338" t="str">
        <f aca="false">IF((G140&lt;&gt;0),IF((D140&gt;0)," ",G140)," ")</f>
        <v> </v>
      </c>
      <c r="I140" s="367" t="str">
        <f aca="false">IF((G140&lt;&gt;0),IF((D140&gt;0)," ",(I$1-A140))," ")</f>
        <v> </v>
      </c>
      <c r="J140" s="334" t="str">
        <f aca="false">IF((E140="s"),G140," ")</f>
        <v> </v>
      </c>
      <c r="K140" s="334" t="str">
        <f aca="false">IF((E140="d"),G140," ")</f>
        <v> </v>
      </c>
      <c r="L140" s="334" t="str">
        <f aca="false">IF((E140="e"),G140," ")</f>
        <v> </v>
      </c>
      <c r="M140" s="334" t="str">
        <f aca="false">IF((E140="p"),G140," ")</f>
        <v> </v>
      </c>
      <c r="N140" s="334" t="str">
        <f aca="false">IF((E140="r"),G140," ")</f>
        <v> </v>
      </c>
      <c r="O140" s="334" t="str">
        <f aca="false">IF((E140="g"),G140," ")</f>
        <v> </v>
      </c>
      <c r="P140" s="334" t="str">
        <f aca="false">IF((E140="m"),G140," ")</f>
        <v> </v>
      </c>
      <c r="Q140" s="334" t="str">
        <f aca="false">IF((E140="t"),G140," ")</f>
        <v> </v>
      </c>
      <c r="R140" s="334" t="str">
        <f aca="false">IF((E140="a"),G140," ")</f>
        <v> </v>
      </c>
      <c r="S140" s="334" t="str">
        <f aca="false">IF((E140="l"),G140," ")</f>
        <v> </v>
      </c>
      <c r="T140" s="334" t="str">
        <f aca="false">IF((E140="b"),G140," ")</f>
        <v> </v>
      </c>
      <c r="U140" s="334" t="str">
        <f aca="false">IF((E140="i"),G140," ")</f>
        <v> </v>
      </c>
      <c r="V140" s="334" t="str">
        <f aca="false">IF((E140="o"),G140," ")</f>
        <v> </v>
      </c>
      <c r="W140" s="334" t="str">
        <f aca="false">IF((E140="f"),G140," ")</f>
        <v> </v>
      </c>
    </row>
    <row r="141" customFormat="false" ht="12.75" hidden="false" customHeight="false" outlineLevel="0" collapsed="false">
      <c r="A141" s="355"/>
      <c r="E141" s="365" t="str">
        <f aca="false">IF((G141&lt;&gt;0),"Enter Letter"," ")</f>
        <v> </v>
      </c>
      <c r="H141" s="338" t="str">
        <f aca="false">IF((G141&lt;&gt;0),IF((D141&gt;0)," ",G141)," ")</f>
        <v> </v>
      </c>
      <c r="I141" s="367" t="str">
        <f aca="false">IF((G141&lt;&gt;0),IF((D141&gt;0)," ",(I$1-A141))," ")</f>
        <v> </v>
      </c>
      <c r="J141" s="334" t="str">
        <f aca="false">IF((E141="s"),G141," ")</f>
        <v> </v>
      </c>
      <c r="K141" s="334" t="str">
        <f aca="false">IF((E141="d"),G141," ")</f>
        <v> </v>
      </c>
      <c r="L141" s="334" t="str">
        <f aca="false">IF((E141="e"),G141," ")</f>
        <v> </v>
      </c>
      <c r="M141" s="334" t="str">
        <f aca="false">IF((E141="p"),G141," ")</f>
        <v> </v>
      </c>
      <c r="N141" s="334" t="str">
        <f aca="false">IF((E141="r"),G141," ")</f>
        <v> </v>
      </c>
      <c r="O141" s="334" t="str">
        <f aca="false">IF((E141="g"),G141," ")</f>
        <v> </v>
      </c>
      <c r="P141" s="334" t="str">
        <f aca="false">IF((E141="m"),G141," ")</f>
        <v> </v>
      </c>
      <c r="Q141" s="334" t="str">
        <f aca="false">IF((E141="t"),G141," ")</f>
        <v> </v>
      </c>
      <c r="R141" s="334" t="str">
        <f aca="false">IF((E141="a"),G141," ")</f>
        <v> </v>
      </c>
      <c r="S141" s="334" t="str">
        <f aca="false">IF((E141="l"),G141," ")</f>
        <v> </v>
      </c>
      <c r="T141" s="334" t="str">
        <f aca="false">IF((E141="b"),G141," ")</f>
        <v> </v>
      </c>
      <c r="U141" s="334" t="str">
        <f aca="false">IF((E141="i"),G141," ")</f>
        <v> </v>
      </c>
      <c r="V141" s="334" t="str">
        <f aca="false">IF((E141="o"),G141," ")</f>
        <v> </v>
      </c>
      <c r="W141" s="334" t="str">
        <f aca="false">IF((E141="f"),G141," ")</f>
        <v> </v>
      </c>
    </row>
    <row r="142" customFormat="false" ht="12.75" hidden="false" customHeight="false" outlineLevel="0" collapsed="false">
      <c r="A142" s="355"/>
      <c r="E142" s="365" t="str">
        <f aca="false">IF((G142&lt;&gt;0),"Enter Letter"," ")</f>
        <v> </v>
      </c>
      <c r="H142" s="338" t="str">
        <f aca="false">IF((G142&lt;&gt;0),IF((D142&gt;0)," ",G142)," ")</f>
        <v> </v>
      </c>
      <c r="I142" s="367" t="str">
        <f aca="false">IF((G142&lt;&gt;0),IF((D142&gt;0)," ",(I$1-A142))," ")</f>
        <v> </v>
      </c>
      <c r="J142" s="334" t="str">
        <f aca="false">IF((E142="s"),G142," ")</f>
        <v> </v>
      </c>
      <c r="K142" s="334" t="str">
        <f aca="false">IF((E142="d"),G142," ")</f>
        <v> </v>
      </c>
      <c r="L142" s="334" t="str">
        <f aca="false">IF((E142="e"),G142," ")</f>
        <v> </v>
      </c>
      <c r="M142" s="334" t="str">
        <f aca="false">IF((E142="p"),G142," ")</f>
        <v> </v>
      </c>
      <c r="N142" s="334" t="str">
        <f aca="false">IF((E142="r"),G142," ")</f>
        <v> </v>
      </c>
      <c r="O142" s="334" t="str">
        <f aca="false">IF((E142="g"),G142," ")</f>
        <v> </v>
      </c>
      <c r="P142" s="334" t="str">
        <f aca="false">IF((E142="m"),G142," ")</f>
        <v> </v>
      </c>
      <c r="Q142" s="334" t="str">
        <f aca="false">IF((E142="t"),G142," ")</f>
        <v> </v>
      </c>
      <c r="R142" s="334" t="str">
        <f aca="false">IF((E142="a"),G142," ")</f>
        <v> </v>
      </c>
      <c r="S142" s="334" t="str">
        <f aca="false">IF((E142="l"),G142," ")</f>
        <v> </v>
      </c>
      <c r="T142" s="334" t="str">
        <f aca="false">IF((E142="b"),G142," ")</f>
        <v> </v>
      </c>
      <c r="U142" s="334" t="str">
        <f aca="false">IF((E142="i"),G142," ")</f>
        <v> </v>
      </c>
      <c r="V142" s="334" t="str">
        <f aca="false">IF((E142="o"),G142," ")</f>
        <v> </v>
      </c>
      <c r="W142" s="334" t="str">
        <f aca="false">IF((E142="f"),G142," ")</f>
        <v> </v>
      </c>
    </row>
    <row r="143" customFormat="false" ht="12.75" hidden="false" customHeight="false" outlineLevel="0" collapsed="false">
      <c r="A143" s="355"/>
      <c r="E143" s="365" t="str">
        <f aca="false">IF((G143&lt;&gt;0),"Enter Letter"," ")</f>
        <v> </v>
      </c>
      <c r="H143" s="338" t="str">
        <f aca="false">IF((G143&lt;&gt;0),IF((D143&gt;0)," ",G143)," ")</f>
        <v> </v>
      </c>
      <c r="I143" s="367" t="str">
        <f aca="false">IF((G143&lt;&gt;0),IF((D143&gt;0)," ",(I$1-A143))," ")</f>
        <v> </v>
      </c>
      <c r="J143" s="334" t="str">
        <f aca="false">IF((E143="s"),G143," ")</f>
        <v> </v>
      </c>
      <c r="K143" s="334" t="str">
        <f aca="false">IF((E143="d"),G143," ")</f>
        <v> </v>
      </c>
      <c r="L143" s="334" t="str">
        <f aca="false">IF((E143="e"),G143," ")</f>
        <v> </v>
      </c>
      <c r="M143" s="334" t="str">
        <f aca="false">IF((E143="p"),G143," ")</f>
        <v> </v>
      </c>
      <c r="N143" s="334" t="str">
        <f aca="false">IF((E143="r"),G143," ")</f>
        <v> </v>
      </c>
      <c r="O143" s="334" t="str">
        <f aca="false">IF((E143="g"),G143," ")</f>
        <v> </v>
      </c>
      <c r="P143" s="334" t="str">
        <f aca="false">IF((E143="m"),G143," ")</f>
        <v> </v>
      </c>
      <c r="Q143" s="334" t="str">
        <f aca="false">IF((E143="t"),G143," ")</f>
        <v> </v>
      </c>
      <c r="R143" s="334" t="str">
        <f aca="false">IF((E143="a"),G143," ")</f>
        <v> </v>
      </c>
      <c r="S143" s="334" t="str">
        <f aca="false">IF((E143="l"),G143," ")</f>
        <v> </v>
      </c>
      <c r="T143" s="334" t="str">
        <f aca="false">IF((E143="b"),G143," ")</f>
        <v> </v>
      </c>
      <c r="U143" s="334" t="str">
        <f aca="false">IF((E143="i"),G143," ")</f>
        <v> </v>
      </c>
      <c r="V143" s="334" t="str">
        <f aca="false">IF((E143="o"),G143," ")</f>
        <v> </v>
      </c>
      <c r="W143" s="334" t="str">
        <f aca="false">IF((E143="f"),G143," ")</f>
        <v> </v>
      </c>
    </row>
    <row r="144" customFormat="false" ht="12.75" hidden="false" customHeight="false" outlineLevel="0" collapsed="false">
      <c r="A144" s="355"/>
      <c r="E144" s="365" t="str">
        <f aca="false">IF((G144&lt;&gt;0),"Enter Letter"," ")</f>
        <v> </v>
      </c>
      <c r="H144" s="338" t="str">
        <f aca="false">IF((G144&lt;&gt;0),IF((D144&gt;0)," ",G144)," ")</f>
        <v> </v>
      </c>
      <c r="I144" s="367" t="str">
        <f aca="false">IF((G144&lt;&gt;0),IF((D144&gt;0)," ",(I$1-A144))," ")</f>
        <v> </v>
      </c>
      <c r="J144" s="334" t="str">
        <f aca="false">IF((E144="s"),G144," ")</f>
        <v> </v>
      </c>
      <c r="K144" s="334" t="str">
        <f aca="false">IF((E144="d"),G144," ")</f>
        <v> </v>
      </c>
      <c r="L144" s="334" t="str">
        <f aca="false">IF((E144="e"),G144," ")</f>
        <v> </v>
      </c>
      <c r="M144" s="334" t="str">
        <f aca="false">IF((E144="p"),G144," ")</f>
        <v> </v>
      </c>
      <c r="N144" s="334" t="str">
        <f aca="false">IF((E144="r"),G144," ")</f>
        <v> </v>
      </c>
      <c r="O144" s="334" t="str">
        <f aca="false">IF((E144="g"),G144," ")</f>
        <v> </v>
      </c>
      <c r="P144" s="334" t="str">
        <f aca="false">IF((E144="m"),G144," ")</f>
        <v> </v>
      </c>
      <c r="Q144" s="334" t="str">
        <f aca="false">IF((E144="t"),G144," ")</f>
        <v> </v>
      </c>
      <c r="R144" s="334" t="str">
        <f aca="false">IF((E144="a"),G144," ")</f>
        <v> </v>
      </c>
      <c r="S144" s="334" t="str">
        <f aca="false">IF((E144="l"),G144," ")</f>
        <v> </v>
      </c>
      <c r="T144" s="334" t="str">
        <f aca="false">IF((E144="b"),G144," ")</f>
        <v> </v>
      </c>
      <c r="U144" s="334" t="str">
        <f aca="false">IF((E144="i"),G144," ")</f>
        <v> </v>
      </c>
      <c r="V144" s="334" t="str">
        <f aca="false">IF((E144="o"),G144," ")</f>
        <v> </v>
      </c>
      <c r="W144" s="334" t="str">
        <f aca="false">IF((E144="f"),G144," ")</f>
        <v> </v>
      </c>
    </row>
    <row r="145" customFormat="false" ht="12.75" hidden="false" customHeight="false" outlineLevel="0" collapsed="false">
      <c r="A145" s="355"/>
      <c r="E145" s="365" t="str">
        <f aca="false">IF((G145&lt;&gt;0),"Enter Letter"," ")</f>
        <v> </v>
      </c>
      <c r="H145" s="338" t="str">
        <f aca="false">IF((G145&lt;&gt;0),IF((D145&gt;0)," ",G145)," ")</f>
        <v> </v>
      </c>
      <c r="I145" s="367" t="str">
        <f aca="false">IF((G145&lt;&gt;0),IF((D145&gt;0)," ",(I$1-A145))," ")</f>
        <v> </v>
      </c>
      <c r="J145" s="334" t="str">
        <f aca="false">IF((E145="s"),G145," ")</f>
        <v> </v>
      </c>
      <c r="K145" s="334" t="str">
        <f aca="false">IF((E145="d"),G145," ")</f>
        <v> </v>
      </c>
      <c r="L145" s="334" t="str">
        <f aca="false">IF((E145="e"),G145," ")</f>
        <v> </v>
      </c>
      <c r="M145" s="334" t="str">
        <f aca="false">IF((E145="p"),G145," ")</f>
        <v> </v>
      </c>
      <c r="N145" s="334" t="str">
        <f aca="false">IF((E145="r"),G145," ")</f>
        <v> </v>
      </c>
      <c r="O145" s="334" t="str">
        <f aca="false">IF((E145="g"),G145," ")</f>
        <v> </v>
      </c>
      <c r="P145" s="334" t="str">
        <f aca="false">IF((E145="m"),G145," ")</f>
        <v> </v>
      </c>
      <c r="Q145" s="334" t="str">
        <f aca="false">IF((E145="t"),G145," ")</f>
        <v> </v>
      </c>
      <c r="R145" s="334" t="str">
        <f aca="false">IF((E145="a"),G145," ")</f>
        <v> </v>
      </c>
      <c r="S145" s="334" t="str">
        <f aca="false">IF((E145="l"),G145," ")</f>
        <v> </v>
      </c>
      <c r="T145" s="334" t="str">
        <f aca="false">IF((E145="b"),G145," ")</f>
        <v> </v>
      </c>
      <c r="U145" s="334" t="str">
        <f aca="false">IF((E145="i"),G145," ")</f>
        <v> </v>
      </c>
      <c r="V145" s="334" t="str">
        <f aca="false">IF((E145="o"),G145," ")</f>
        <v> </v>
      </c>
      <c r="W145" s="334" t="str">
        <f aca="false">IF((E145="f"),G145," ")</f>
        <v> </v>
      </c>
    </row>
    <row r="146" customFormat="false" ht="12.75" hidden="false" customHeight="false" outlineLevel="0" collapsed="false">
      <c r="A146" s="355"/>
      <c r="E146" s="365" t="str">
        <f aca="false">IF((G146&lt;&gt;0),"Enter Letter"," ")</f>
        <v> </v>
      </c>
      <c r="H146" s="338" t="str">
        <f aca="false">IF((G146&lt;&gt;0),IF((D146&gt;0)," ",G146)," ")</f>
        <v> </v>
      </c>
      <c r="I146" s="367" t="str">
        <f aca="false">IF((G146&lt;&gt;0),IF((D146&gt;0)," ",(I$1-A146))," ")</f>
        <v> </v>
      </c>
      <c r="J146" s="334" t="str">
        <f aca="false">IF((E146="s"),G146," ")</f>
        <v> </v>
      </c>
      <c r="K146" s="334" t="str">
        <f aca="false">IF((E146="d"),G146," ")</f>
        <v> </v>
      </c>
      <c r="L146" s="334" t="str">
        <f aca="false">IF((E146="e"),G146," ")</f>
        <v> </v>
      </c>
      <c r="M146" s="334" t="str">
        <f aca="false">IF((E146="p"),G146," ")</f>
        <v> </v>
      </c>
      <c r="N146" s="334" t="str">
        <f aca="false">IF((E146="r"),G146," ")</f>
        <v> </v>
      </c>
      <c r="O146" s="334" t="str">
        <f aca="false">IF((E146="g"),G146," ")</f>
        <v> </v>
      </c>
      <c r="P146" s="334" t="str">
        <f aca="false">IF((E146="m"),G146," ")</f>
        <v> </v>
      </c>
      <c r="Q146" s="334" t="str">
        <f aca="false">IF((E146="t"),G146," ")</f>
        <v> </v>
      </c>
      <c r="R146" s="334" t="str">
        <f aca="false">IF((E146="a"),G146," ")</f>
        <v> </v>
      </c>
      <c r="S146" s="334" t="str">
        <f aca="false">IF((E146="l"),G146," ")</f>
        <v> </v>
      </c>
      <c r="T146" s="334" t="str">
        <f aca="false">IF((E146="b"),G146," ")</f>
        <v> </v>
      </c>
      <c r="U146" s="334" t="str">
        <f aca="false">IF((E146="i"),G146," ")</f>
        <v> </v>
      </c>
      <c r="V146" s="334" t="str">
        <f aca="false">IF((E146="o"),G146," ")</f>
        <v> </v>
      </c>
      <c r="W146" s="334" t="str">
        <f aca="false">IF((E146="f"),G146," ")</f>
        <v> </v>
      </c>
    </row>
    <row r="147" customFormat="false" ht="12.75" hidden="false" customHeight="false" outlineLevel="0" collapsed="false">
      <c r="A147" s="355"/>
      <c r="E147" s="365" t="str">
        <f aca="false">IF((G147&lt;&gt;0),"Enter Letter"," ")</f>
        <v> </v>
      </c>
      <c r="H147" s="338" t="str">
        <f aca="false">IF((G147&lt;&gt;0),IF((D147&gt;0)," ",G147)," ")</f>
        <v> </v>
      </c>
      <c r="I147" s="367" t="str">
        <f aca="false">IF((G147&lt;&gt;0),IF((D147&gt;0)," ",(I$1-A147))," ")</f>
        <v> </v>
      </c>
      <c r="J147" s="334" t="str">
        <f aca="false">IF((E147="s"),G147," ")</f>
        <v> </v>
      </c>
      <c r="K147" s="334" t="str">
        <f aca="false">IF((E147="d"),G147," ")</f>
        <v> </v>
      </c>
      <c r="L147" s="334" t="str">
        <f aca="false">IF((E147="e"),G147," ")</f>
        <v> </v>
      </c>
      <c r="M147" s="334" t="str">
        <f aca="false">IF((E147="p"),G147," ")</f>
        <v> </v>
      </c>
      <c r="N147" s="334" t="str">
        <f aca="false">IF((E147="r"),G147," ")</f>
        <v> </v>
      </c>
      <c r="O147" s="334" t="str">
        <f aca="false">IF((E147="g"),G147," ")</f>
        <v> </v>
      </c>
      <c r="P147" s="334" t="str">
        <f aca="false">IF((E147="m"),G147," ")</f>
        <v> </v>
      </c>
      <c r="Q147" s="334" t="str">
        <f aca="false">IF((E147="t"),G147," ")</f>
        <v> </v>
      </c>
      <c r="R147" s="334" t="str">
        <f aca="false">IF((E147="a"),G147," ")</f>
        <v> </v>
      </c>
      <c r="S147" s="334" t="str">
        <f aca="false">IF((E147="l"),G147," ")</f>
        <v> </v>
      </c>
      <c r="T147" s="334" t="str">
        <f aca="false">IF((E147="b"),G147," ")</f>
        <v> </v>
      </c>
      <c r="U147" s="334" t="str">
        <f aca="false">IF((E147="i"),G147," ")</f>
        <v> </v>
      </c>
      <c r="V147" s="334" t="str">
        <f aca="false">IF((E147="o"),G147," ")</f>
        <v> </v>
      </c>
      <c r="W147" s="334" t="str">
        <f aca="false">IF((E147="f"),G147," ")</f>
        <v> </v>
      </c>
    </row>
    <row r="148" customFormat="false" ht="12.75" hidden="false" customHeight="false" outlineLevel="0" collapsed="false">
      <c r="A148" s="355"/>
      <c r="E148" s="365" t="str">
        <f aca="false">IF((G148&lt;&gt;0),"Enter Letter"," ")</f>
        <v> </v>
      </c>
      <c r="H148" s="338" t="str">
        <f aca="false">IF((G148&lt;&gt;0),IF((D148&gt;0)," ",G148)," ")</f>
        <v> </v>
      </c>
      <c r="I148" s="367" t="str">
        <f aca="false">IF((G148&lt;&gt;0),IF((D148&gt;0)," ",(I$1-A148))," ")</f>
        <v> </v>
      </c>
      <c r="J148" s="334" t="str">
        <f aca="false">IF((E148="s"),G148," ")</f>
        <v> </v>
      </c>
      <c r="K148" s="334" t="str">
        <f aca="false">IF((E148="d"),G148," ")</f>
        <v> </v>
      </c>
      <c r="L148" s="334" t="str">
        <f aca="false">IF((E148="e"),G148," ")</f>
        <v> </v>
      </c>
      <c r="M148" s="334" t="str">
        <f aca="false">IF((E148="p"),G148," ")</f>
        <v> </v>
      </c>
      <c r="N148" s="334" t="str">
        <f aca="false">IF((E148="r"),G148," ")</f>
        <v> </v>
      </c>
      <c r="O148" s="334" t="str">
        <f aca="false">IF((E148="g"),G148," ")</f>
        <v> </v>
      </c>
      <c r="P148" s="334" t="str">
        <f aca="false">IF((E148="m"),G148," ")</f>
        <v> </v>
      </c>
      <c r="Q148" s="334" t="str">
        <f aca="false">IF((E148="t"),G148," ")</f>
        <v> </v>
      </c>
      <c r="R148" s="334" t="str">
        <f aca="false">IF((E148="a"),G148," ")</f>
        <v> </v>
      </c>
      <c r="S148" s="334" t="str">
        <f aca="false">IF((E148="l"),G148," ")</f>
        <v> </v>
      </c>
      <c r="T148" s="334" t="str">
        <f aca="false">IF((E148="b"),G148," ")</f>
        <v> </v>
      </c>
      <c r="U148" s="334" t="str">
        <f aca="false">IF((E148="i"),G148," ")</f>
        <v> </v>
      </c>
      <c r="V148" s="334" t="str">
        <f aca="false">IF((E148="o"),G148," ")</f>
        <v> </v>
      </c>
      <c r="W148" s="334" t="str">
        <f aca="false">IF((E148="f"),G148," ")</f>
        <v> </v>
      </c>
    </row>
    <row r="149" customFormat="false" ht="12.75" hidden="false" customHeight="false" outlineLevel="0" collapsed="false">
      <c r="A149" s="355"/>
      <c r="E149" s="365" t="str">
        <f aca="false">IF((G149&lt;&gt;0),"Enter Letter"," ")</f>
        <v> </v>
      </c>
      <c r="H149" s="338" t="str">
        <f aca="false">IF((G149&lt;&gt;0),IF((D149&gt;0)," ",G149)," ")</f>
        <v> </v>
      </c>
      <c r="I149" s="367" t="str">
        <f aca="false">IF((G149&lt;&gt;0),IF((D149&gt;0)," ",(I$1-A149))," ")</f>
        <v> </v>
      </c>
      <c r="J149" s="334" t="str">
        <f aca="false">IF((E149="s"),G149," ")</f>
        <v> </v>
      </c>
      <c r="K149" s="334" t="str">
        <f aca="false">IF((E149="d"),G149," ")</f>
        <v> </v>
      </c>
      <c r="L149" s="334" t="str">
        <f aca="false">IF((E149="e"),G149," ")</f>
        <v> </v>
      </c>
      <c r="M149" s="334" t="str">
        <f aca="false">IF((E149="p"),G149," ")</f>
        <v> </v>
      </c>
      <c r="N149" s="334" t="str">
        <f aca="false">IF((E149="r"),G149," ")</f>
        <v> </v>
      </c>
      <c r="O149" s="334" t="str">
        <f aca="false">IF((E149="g"),G149," ")</f>
        <v> </v>
      </c>
      <c r="P149" s="334" t="str">
        <f aca="false">IF((E149="m"),G149," ")</f>
        <v> </v>
      </c>
      <c r="Q149" s="334" t="str">
        <f aca="false">IF((E149="t"),G149," ")</f>
        <v> </v>
      </c>
      <c r="R149" s="334" t="str">
        <f aca="false">IF((E149="a"),G149," ")</f>
        <v> </v>
      </c>
      <c r="S149" s="334" t="str">
        <f aca="false">IF((E149="l"),G149," ")</f>
        <v> </v>
      </c>
      <c r="T149" s="334" t="str">
        <f aca="false">IF((E149="b"),G149," ")</f>
        <v> </v>
      </c>
      <c r="U149" s="334" t="str">
        <f aca="false">IF((E149="i"),G149," ")</f>
        <v> </v>
      </c>
      <c r="V149" s="334" t="str">
        <f aca="false">IF((E149="o"),G149," ")</f>
        <v> </v>
      </c>
      <c r="W149" s="334" t="str">
        <f aca="false">IF((E149="f"),G149," ")</f>
        <v> </v>
      </c>
    </row>
    <row r="150" customFormat="false" ht="12.75" hidden="false" customHeight="false" outlineLevel="0" collapsed="false">
      <c r="A150" s="355"/>
      <c r="E150" s="365" t="str">
        <f aca="false">IF((G150&lt;&gt;0),"Enter Letter"," ")</f>
        <v> </v>
      </c>
      <c r="H150" s="338" t="str">
        <f aca="false">IF((G150&lt;&gt;0),IF((D150&gt;0)," ",G150)," ")</f>
        <v> </v>
      </c>
      <c r="I150" s="367" t="str">
        <f aca="false">IF((G150&lt;&gt;0),IF((D150&gt;0)," ",(I$1-A150))," ")</f>
        <v> </v>
      </c>
      <c r="J150" s="334" t="str">
        <f aca="false">IF((E150="s"),G150," ")</f>
        <v> </v>
      </c>
      <c r="K150" s="334" t="str">
        <f aca="false">IF((E150="d"),G150," ")</f>
        <v> </v>
      </c>
      <c r="L150" s="334" t="str">
        <f aca="false">IF((E150="e"),G150," ")</f>
        <v> </v>
      </c>
      <c r="M150" s="334" t="str">
        <f aca="false">IF((E150="p"),G150," ")</f>
        <v> </v>
      </c>
      <c r="N150" s="334" t="str">
        <f aca="false">IF((E150="r"),G150," ")</f>
        <v> </v>
      </c>
      <c r="O150" s="334" t="str">
        <f aca="false">IF((E150="g"),G150," ")</f>
        <v> </v>
      </c>
      <c r="P150" s="334" t="str">
        <f aca="false">IF((E150="m"),G150," ")</f>
        <v> </v>
      </c>
      <c r="Q150" s="334" t="str">
        <f aca="false">IF((E150="t"),G150," ")</f>
        <v> </v>
      </c>
      <c r="R150" s="334" t="str">
        <f aca="false">IF((E150="a"),G150," ")</f>
        <v> </v>
      </c>
      <c r="S150" s="334" t="str">
        <f aca="false">IF((E150="l"),G150," ")</f>
        <v> </v>
      </c>
      <c r="T150" s="334" t="str">
        <f aca="false">IF((E150="b"),G150," ")</f>
        <v> </v>
      </c>
      <c r="U150" s="334" t="str">
        <f aca="false">IF((E150="i"),G150," ")</f>
        <v> </v>
      </c>
      <c r="V150" s="334" t="str">
        <f aca="false">IF((E150="o"),G150," ")</f>
        <v> </v>
      </c>
      <c r="W150" s="334" t="str">
        <f aca="false">IF((E150="f"),G150," ")</f>
        <v> </v>
      </c>
    </row>
    <row r="151" customFormat="false" ht="12.75" hidden="false" customHeight="false" outlineLevel="0" collapsed="false">
      <c r="A151" s="355"/>
      <c r="E151" s="365" t="str">
        <f aca="false">IF((G151&lt;&gt;0),"Enter Letter"," ")</f>
        <v> </v>
      </c>
      <c r="H151" s="338" t="str">
        <f aca="false">IF((G151&lt;&gt;0),IF((D151&gt;0)," ",G151)," ")</f>
        <v> </v>
      </c>
      <c r="I151" s="367" t="str">
        <f aca="false">IF((G151&lt;&gt;0),IF((D151&gt;0)," ",(I$1-A151))," ")</f>
        <v> </v>
      </c>
      <c r="J151" s="334" t="str">
        <f aca="false">IF((E151="s"),G151," ")</f>
        <v> </v>
      </c>
      <c r="K151" s="334" t="str">
        <f aca="false">IF((E151="d"),G151," ")</f>
        <v> </v>
      </c>
      <c r="L151" s="334" t="str">
        <f aca="false">IF((E151="e"),G151," ")</f>
        <v> </v>
      </c>
      <c r="M151" s="334" t="str">
        <f aca="false">IF((E151="p"),G151," ")</f>
        <v> </v>
      </c>
      <c r="N151" s="334" t="str">
        <f aca="false">IF((E151="r"),G151," ")</f>
        <v> </v>
      </c>
      <c r="O151" s="334" t="str">
        <f aca="false">IF((E151="g"),G151," ")</f>
        <v> </v>
      </c>
      <c r="P151" s="334" t="str">
        <f aca="false">IF((E151="m"),G151," ")</f>
        <v> </v>
      </c>
      <c r="Q151" s="334" t="str">
        <f aca="false">IF((E151="t"),G151," ")</f>
        <v> </v>
      </c>
      <c r="R151" s="334" t="str">
        <f aca="false">IF((E151="a"),G151," ")</f>
        <v> </v>
      </c>
      <c r="S151" s="334" t="str">
        <f aca="false">IF((E151="l"),G151," ")</f>
        <v> </v>
      </c>
      <c r="T151" s="334" t="str">
        <f aca="false">IF((E151="b"),G151," ")</f>
        <v> </v>
      </c>
      <c r="U151" s="334" t="str">
        <f aca="false">IF((E151="i"),G151," ")</f>
        <v> </v>
      </c>
      <c r="V151" s="334" t="str">
        <f aca="false">IF((E151="o"),G151," ")</f>
        <v> </v>
      </c>
      <c r="W151" s="334" t="str">
        <f aca="false">IF((E151="f"),G151," ")</f>
        <v> </v>
      </c>
    </row>
    <row r="152" customFormat="false" ht="12.75" hidden="false" customHeight="false" outlineLevel="0" collapsed="false">
      <c r="A152" s="355"/>
      <c r="E152" s="365" t="str">
        <f aca="false">IF((G152&lt;&gt;0),"Enter Letter"," ")</f>
        <v> </v>
      </c>
      <c r="H152" s="338" t="str">
        <f aca="false">IF((G152&lt;&gt;0),IF((D152&gt;0)," ",G152)," ")</f>
        <v> </v>
      </c>
      <c r="I152" s="367" t="str">
        <f aca="false">IF((G152&lt;&gt;0),IF((D152&gt;0)," ",(I$1-A152))," ")</f>
        <v> </v>
      </c>
      <c r="J152" s="334" t="str">
        <f aca="false">IF((E152="s"),G152," ")</f>
        <v> </v>
      </c>
      <c r="K152" s="334" t="str">
        <f aca="false">IF((E152="d"),G152," ")</f>
        <v> </v>
      </c>
      <c r="L152" s="334" t="str">
        <f aca="false">IF((E152="e"),G152," ")</f>
        <v> </v>
      </c>
      <c r="M152" s="334" t="str">
        <f aca="false">IF((E152="p"),G152," ")</f>
        <v> </v>
      </c>
      <c r="N152" s="334" t="str">
        <f aca="false">IF((E152="r"),G152," ")</f>
        <v> </v>
      </c>
      <c r="O152" s="334" t="str">
        <f aca="false">IF((E152="g"),G152," ")</f>
        <v> </v>
      </c>
      <c r="P152" s="334" t="str">
        <f aca="false">IF((E152="m"),G152," ")</f>
        <v> </v>
      </c>
      <c r="Q152" s="334" t="str">
        <f aca="false">IF((E152="t"),G152," ")</f>
        <v> </v>
      </c>
      <c r="R152" s="334" t="str">
        <f aca="false">IF((E152="a"),G152," ")</f>
        <v> </v>
      </c>
      <c r="S152" s="334" t="str">
        <f aca="false">IF((E152="l"),G152," ")</f>
        <v> </v>
      </c>
      <c r="T152" s="334" t="str">
        <f aca="false">IF((E152="b"),G152," ")</f>
        <v> </v>
      </c>
      <c r="U152" s="334" t="str">
        <f aca="false">IF((E152="i"),G152," ")</f>
        <v> </v>
      </c>
      <c r="V152" s="334" t="str">
        <f aca="false">IF((E152="o"),G152," ")</f>
        <v> </v>
      </c>
      <c r="W152" s="334" t="str">
        <f aca="false">IF((E152="f"),G152," ")</f>
        <v> </v>
      </c>
    </row>
    <row r="153" customFormat="false" ht="12.75" hidden="false" customHeight="false" outlineLevel="0" collapsed="false">
      <c r="A153" s="355"/>
      <c r="E153" s="365" t="str">
        <f aca="false">IF((G153&lt;&gt;0),"Enter Letter"," ")</f>
        <v> </v>
      </c>
      <c r="H153" s="338" t="str">
        <f aca="false">IF((G153&lt;&gt;0),IF((D153&gt;0)," ",G153)," ")</f>
        <v> </v>
      </c>
      <c r="I153" s="367" t="str">
        <f aca="false">IF((G153&lt;&gt;0),IF((D153&gt;0)," ",(I$1-A153))," ")</f>
        <v> </v>
      </c>
      <c r="J153" s="334" t="str">
        <f aca="false">IF((E153="s"),G153," ")</f>
        <v> </v>
      </c>
      <c r="K153" s="334" t="str">
        <f aca="false">IF((E153="d"),G153," ")</f>
        <v> </v>
      </c>
      <c r="L153" s="334" t="str">
        <f aca="false">IF((E153="e"),G153," ")</f>
        <v> </v>
      </c>
      <c r="M153" s="334" t="str">
        <f aca="false">IF((E153="p"),G153," ")</f>
        <v> </v>
      </c>
      <c r="N153" s="334" t="str">
        <f aca="false">IF((E153="r"),G153," ")</f>
        <v> </v>
      </c>
      <c r="O153" s="334" t="str">
        <f aca="false">IF((E153="g"),G153," ")</f>
        <v> </v>
      </c>
      <c r="P153" s="334" t="str">
        <f aca="false">IF((E153="m"),G153," ")</f>
        <v> </v>
      </c>
      <c r="Q153" s="334" t="str">
        <f aca="false">IF((E153="t"),G153," ")</f>
        <v> </v>
      </c>
      <c r="R153" s="334" t="str">
        <f aca="false">IF((E153="a"),G153," ")</f>
        <v> </v>
      </c>
      <c r="S153" s="334" t="str">
        <f aca="false">IF((E153="l"),G153," ")</f>
        <v> </v>
      </c>
      <c r="T153" s="334" t="str">
        <f aca="false">IF((E153="b"),G153," ")</f>
        <v> </v>
      </c>
      <c r="U153" s="334" t="str">
        <f aca="false">IF((E153="i"),G153," ")</f>
        <v> </v>
      </c>
      <c r="V153" s="334" t="str">
        <f aca="false">IF((E153="o"),G153," ")</f>
        <v> </v>
      </c>
      <c r="W153" s="334" t="str">
        <f aca="false">IF((E153="f"),G153," ")</f>
        <v> </v>
      </c>
    </row>
    <row r="154" customFormat="false" ht="12.75" hidden="false" customHeight="false" outlineLevel="0" collapsed="false">
      <c r="A154" s="355"/>
      <c r="E154" s="365" t="str">
        <f aca="false">IF((G154&lt;&gt;0),"Enter Letter"," ")</f>
        <v> </v>
      </c>
      <c r="H154" s="338" t="str">
        <f aca="false">IF((G154&lt;&gt;0),IF((D154&gt;0)," ",G154)," ")</f>
        <v> </v>
      </c>
      <c r="I154" s="367" t="str">
        <f aca="false">IF((G154&lt;&gt;0),IF((D154&gt;0)," ",(I$1-A154))," ")</f>
        <v> </v>
      </c>
      <c r="J154" s="334" t="str">
        <f aca="false">IF((E154="s"),G154," ")</f>
        <v> </v>
      </c>
      <c r="K154" s="334" t="str">
        <f aca="false">IF((E154="d"),G154," ")</f>
        <v> </v>
      </c>
      <c r="L154" s="334" t="str">
        <f aca="false">IF((E154="e"),G154," ")</f>
        <v> </v>
      </c>
      <c r="M154" s="334" t="str">
        <f aca="false">IF((E154="p"),G154," ")</f>
        <v> </v>
      </c>
      <c r="N154" s="334" t="str">
        <f aca="false">IF((E154="r"),G154," ")</f>
        <v> </v>
      </c>
      <c r="O154" s="334" t="str">
        <f aca="false">IF((E154="g"),G154," ")</f>
        <v> </v>
      </c>
      <c r="P154" s="334" t="str">
        <f aca="false">IF((E154="m"),G154," ")</f>
        <v> </v>
      </c>
      <c r="Q154" s="334" t="str">
        <f aca="false">IF((E154="t"),G154," ")</f>
        <v> </v>
      </c>
      <c r="R154" s="334" t="str">
        <f aca="false">IF((E154="a"),G154," ")</f>
        <v> </v>
      </c>
      <c r="S154" s="334" t="str">
        <f aca="false">IF((E154="l"),G154," ")</f>
        <v> </v>
      </c>
      <c r="T154" s="334" t="str">
        <f aca="false">IF((E154="b"),G154," ")</f>
        <v> </v>
      </c>
      <c r="U154" s="334" t="str">
        <f aca="false">IF((E154="i"),G154," ")</f>
        <v> </v>
      </c>
      <c r="V154" s="334" t="str">
        <f aca="false">IF((E154="o"),G154," ")</f>
        <v> </v>
      </c>
      <c r="W154" s="334" t="str">
        <f aca="false">IF((E154="f"),G154," ")</f>
        <v> </v>
      </c>
    </row>
    <row r="155" customFormat="false" ht="12.75" hidden="false" customHeight="false" outlineLevel="0" collapsed="false">
      <c r="A155" s="355"/>
      <c r="E155" s="365" t="str">
        <f aca="false">IF((G155&lt;&gt;0),"Enter Letter"," ")</f>
        <v> </v>
      </c>
      <c r="H155" s="338" t="str">
        <f aca="false">IF((G155&lt;&gt;0),IF((D155&gt;0)," ",G155)," ")</f>
        <v> </v>
      </c>
      <c r="I155" s="367" t="str">
        <f aca="false">IF((G155&lt;&gt;0),IF((D155&gt;0)," ",(I$1-A155))," ")</f>
        <v> </v>
      </c>
      <c r="J155" s="334" t="str">
        <f aca="false">IF((E155="s"),G155," ")</f>
        <v> </v>
      </c>
      <c r="K155" s="334" t="str">
        <f aca="false">IF((E155="d"),G155," ")</f>
        <v> </v>
      </c>
      <c r="L155" s="334" t="str">
        <f aca="false">IF((E155="e"),G155," ")</f>
        <v> </v>
      </c>
      <c r="M155" s="334" t="str">
        <f aca="false">IF((E155="p"),G155," ")</f>
        <v> </v>
      </c>
      <c r="N155" s="334" t="str">
        <f aca="false">IF((E155="r"),G155," ")</f>
        <v> </v>
      </c>
      <c r="O155" s="334" t="str">
        <f aca="false">IF((E155="g"),G155," ")</f>
        <v> </v>
      </c>
      <c r="P155" s="334" t="str">
        <f aca="false">IF((E155="m"),G155," ")</f>
        <v> </v>
      </c>
      <c r="Q155" s="334" t="str">
        <f aca="false">IF((E155="t"),G155," ")</f>
        <v> </v>
      </c>
      <c r="R155" s="334" t="str">
        <f aca="false">IF((E155="a"),G155," ")</f>
        <v> </v>
      </c>
      <c r="S155" s="334" t="str">
        <f aca="false">IF((E155="l"),G155," ")</f>
        <v> </v>
      </c>
      <c r="T155" s="334" t="str">
        <f aca="false">IF((E155="b"),G155," ")</f>
        <v> </v>
      </c>
      <c r="U155" s="334" t="str">
        <f aca="false">IF((E155="i"),G155," ")</f>
        <v> </v>
      </c>
      <c r="V155" s="334" t="str">
        <f aca="false">IF((E155="o"),G155," ")</f>
        <v> </v>
      </c>
      <c r="W155" s="334" t="str">
        <f aca="false">IF((E155="f"),G155," ")</f>
        <v> </v>
      </c>
    </row>
    <row r="156" customFormat="false" ht="12.75" hidden="false" customHeight="false" outlineLevel="0" collapsed="false">
      <c r="A156" s="355"/>
      <c r="E156" s="365" t="str">
        <f aca="false">IF((G156&lt;&gt;0),"Enter Letter"," ")</f>
        <v> </v>
      </c>
      <c r="H156" s="338" t="str">
        <f aca="false">IF((G156&lt;&gt;0),IF((D156&gt;0)," ",G156)," ")</f>
        <v> </v>
      </c>
      <c r="I156" s="367" t="str">
        <f aca="false">IF((G156&lt;&gt;0),IF((D156&gt;0)," ",(I$1-A156))," ")</f>
        <v> </v>
      </c>
      <c r="J156" s="334" t="str">
        <f aca="false">IF((E156="s"),G156," ")</f>
        <v> </v>
      </c>
      <c r="K156" s="334" t="str">
        <f aca="false">IF((E156="d"),G156," ")</f>
        <v> </v>
      </c>
      <c r="L156" s="334" t="str">
        <f aca="false">IF((E156="e"),G156," ")</f>
        <v> </v>
      </c>
      <c r="M156" s="334" t="str">
        <f aca="false">IF((E156="p"),G156," ")</f>
        <v> </v>
      </c>
      <c r="N156" s="334" t="str">
        <f aca="false">IF((E156="r"),G156," ")</f>
        <v> </v>
      </c>
      <c r="O156" s="334" t="str">
        <f aca="false">IF((E156="g"),G156," ")</f>
        <v> </v>
      </c>
      <c r="P156" s="334" t="str">
        <f aca="false">IF((E156="m"),G156," ")</f>
        <v> </v>
      </c>
      <c r="Q156" s="334" t="str">
        <f aca="false">IF((E156="t"),G156," ")</f>
        <v> </v>
      </c>
      <c r="R156" s="334" t="str">
        <f aca="false">IF((E156="a"),G156," ")</f>
        <v> </v>
      </c>
      <c r="S156" s="334" t="str">
        <f aca="false">IF((E156="l"),G156," ")</f>
        <v> </v>
      </c>
      <c r="T156" s="334" t="str">
        <f aca="false">IF((E156="b"),G156," ")</f>
        <v> </v>
      </c>
      <c r="U156" s="334" t="str">
        <f aca="false">IF((E156="i"),G156," ")</f>
        <v> </v>
      </c>
      <c r="V156" s="334" t="str">
        <f aca="false">IF((E156="o"),G156," ")</f>
        <v> </v>
      </c>
      <c r="W156" s="334" t="str">
        <f aca="false">IF((E156="f"),G156," ")</f>
        <v> </v>
      </c>
    </row>
    <row r="157" customFormat="false" ht="12.75" hidden="false" customHeight="false" outlineLevel="0" collapsed="false">
      <c r="A157" s="355"/>
      <c r="E157" s="365" t="str">
        <f aca="false">IF((G157&lt;&gt;0),"Enter Letter"," ")</f>
        <v> </v>
      </c>
      <c r="H157" s="338" t="str">
        <f aca="false">IF((G157&lt;&gt;0),IF((D157&gt;0)," ",G157)," ")</f>
        <v> </v>
      </c>
      <c r="I157" s="367" t="str">
        <f aca="false">IF((G157&lt;&gt;0),IF((D157&gt;0)," ",(I$1-A157))," ")</f>
        <v> </v>
      </c>
      <c r="J157" s="334" t="str">
        <f aca="false">IF((E157="s"),G157," ")</f>
        <v> </v>
      </c>
      <c r="K157" s="334" t="str">
        <f aca="false">IF((E157="d"),G157," ")</f>
        <v> </v>
      </c>
      <c r="L157" s="334" t="str">
        <f aca="false">IF((E157="e"),G157," ")</f>
        <v> </v>
      </c>
      <c r="M157" s="334" t="str">
        <f aca="false">IF((E157="p"),G157," ")</f>
        <v> </v>
      </c>
      <c r="N157" s="334" t="str">
        <f aca="false">IF((E157="r"),G157," ")</f>
        <v> </v>
      </c>
      <c r="O157" s="334" t="str">
        <f aca="false">IF((E157="g"),G157," ")</f>
        <v> </v>
      </c>
      <c r="P157" s="334" t="str">
        <f aca="false">IF((E157="m"),G157," ")</f>
        <v> </v>
      </c>
      <c r="Q157" s="334" t="str">
        <f aca="false">IF((E157="t"),G157," ")</f>
        <v> </v>
      </c>
      <c r="R157" s="334" t="str">
        <f aca="false">IF((E157="a"),G157," ")</f>
        <v> </v>
      </c>
      <c r="S157" s="334" t="str">
        <f aca="false">IF((E157="l"),G157," ")</f>
        <v> </v>
      </c>
      <c r="T157" s="334" t="str">
        <f aca="false">IF((E157="b"),G157," ")</f>
        <v> </v>
      </c>
      <c r="U157" s="334" t="str">
        <f aca="false">IF((E157="i"),G157," ")</f>
        <v> </v>
      </c>
      <c r="V157" s="334" t="str">
        <f aca="false">IF((E157="o"),G157," ")</f>
        <v> </v>
      </c>
      <c r="W157" s="334" t="str">
        <f aca="false">IF((E157="f"),G157," ")</f>
        <v> </v>
      </c>
    </row>
    <row r="158" customFormat="false" ht="12.75" hidden="false" customHeight="false" outlineLevel="0" collapsed="false">
      <c r="A158" s="355"/>
      <c r="E158" s="365" t="str">
        <f aca="false">IF((G158&lt;&gt;0),"Enter Letter"," ")</f>
        <v> </v>
      </c>
      <c r="H158" s="338" t="str">
        <f aca="false">IF((G158&lt;&gt;0),IF((D158&gt;0)," ",G158)," ")</f>
        <v> </v>
      </c>
      <c r="I158" s="367" t="str">
        <f aca="false">IF((G158&lt;&gt;0),IF((D158&gt;0)," ",(I$1-A158))," ")</f>
        <v> </v>
      </c>
      <c r="J158" s="334" t="str">
        <f aca="false">IF((E158="s"),G158," ")</f>
        <v> </v>
      </c>
      <c r="K158" s="334" t="str">
        <f aca="false">IF((E158="d"),G158," ")</f>
        <v> </v>
      </c>
      <c r="L158" s="334" t="str">
        <f aca="false">IF((E158="e"),G158," ")</f>
        <v> </v>
      </c>
      <c r="M158" s="334" t="str">
        <f aca="false">IF((E158="p"),G158," ")</f>
        <v> </v>
      </c>
      <c r="N158" s="334" t="str">
        <f aca="false">IF((E158="r"),G158," ")</f>
        <v> </v>
      </c>
      <c r="O158" s="334" t="str">
        <f aca="false">IF((E158="g"),G158," ")</f>
        <v> </v>
      </c>
      <c r="P158" s="334" t="str">
        <f aca="false">IF((E158="m"),G158," ")</f>
        <v> </v>
      </c>
      <c r="Q158" s="334" t="str">
        <f aca="false">IF((E158="t"),G158," ")</f>
        <v> </v>
      </c>
      <c r="R158" s="334" t="str">
        <f aca="false">IF((E158="a"),G158," ")</f>
        <v> </v>
      </c>
      <c r="S158" s="334" t="str">
        <f aca="false">IF((E158="l"),G158," ")</f>
        <v> </v>
      </c>
      <c r="T158" s="334" t="str">
        <f aca="false">IF((E158="b"),G158," ")</f>
        <v> </v>
      </c>
      <c r="U158" s="334" t="str">
        <f aca="false">IF((E158="i"),G158," ")</f>
        <v> </v>
      </c>
      <c r="V158" s="334" t="str">
        <f aca="false">IF((E158="o"),G158," ")</f>
        <v> </v>
      </c>
      <c r="W158" s="334" t="str">
        <f aca="false">IF((E158="f"),G158," ")</f>
        <v> </v>
      </c>
    </row>
    <row r="159" customFormat="false" ht="12.75" hidden="false" customHeight="false" outlineLevel="0" collapsed="false">
      <c r="A159" s="355"/>
      <c r="E159" s="365" t="str">
        <f aca="false">IF((G159&lt;&gt;0),"Enter Letter"," ")</f>
        <v> </v>
      </c>
      <c r="H159" s="338" t="str">
        <f aca="false">IF((G159&lt;&gt;0),IF((D159&gt;0)," ",G159)," ")</f>
        <v> </v>
      </c>
      <c r="I159" s="367" t="str">
        <f aca="false">IF((G159&lt;&gt;0),IF((D159&gt;0)," ",(I$1-A159))," ")</f>
        <v> </v>
      </c>
      <c r="J159" s="334" t="str">
        <f aca="false">IF((E159="s"),G159," ")</f>
        <v> </v>
      </c>
      <c r="K159" s="334" t="str">
        <f aca="false">IF((E159="d"),G159," ")</f>
        <v> </v>
      </c>
      <c r="L159" s="334" t="str">
        <f aca="false">IF((E159="e"),G159," ")</f>
        <v> </v>
      </c>
      <c r="M159" s="334" t="str">
        <f aca="false">IF((E159="p"),G159," ")</f>
        <v> </v>
      </c>
      <c r="N159" s="334" t="str">
        <f aca="false">IF((E159="r"),G159," ")</f>
        <v> </v>
      </c>
      <c r="O159" s="334" t="str">
        <f aca="false">IF((E159="g"),G159," ")</f>
        <v> </v>
      </c>
      <c r="P159" s="334" t="str">
        <f aca="false">IF((E159="m"),G159," ")</f>
        <v> </v>
      </c>
      <c r="Q159" s="334" t="str">
        <f aca="false">IF((E159="t"),G159," ")</f>
        <v> </v>
      </c>
      <c r="R159" s="334" t="str">
        <f aca="false">IF((E159="a"),G159," ")</f>
        <v> </v>
      </c>
      <c r="S159" s="334" t="str">
        <f aca="false">IF((E159="l"),G159," ")</f>
        <v> </v>
      </c>
      <c r="T159" s="334" t="str">
        <f aca="false">IF((E159="b"),G159," ")</f>
        <v> </v>
      </c>
      <c r="U159" s="334" t="str">
        <f aca="false">IF((E159="i"),G159," ")</f>
        <v> </v>
      </c>
      <c r="V159" s="334" t="str">
        <f aca="false">IF((E159="o"),G159," ")</f>
        <v> </v>
      </c>
      <c r="W159" s="334" t="str">
        <f aca="false">IF((E159="f"),G159," ")</f>
        <v> </v>
      </c>
    </row>
    <row r="160" customFormat="false" ht="12.75" hidden="false" customHeight="false" outlineLevel="0" collapsed="false">
      <c r="A160" s="355"/>
      <c r="E160" s="365" t="str">
        <f aca="false">IF((G160&lt;&gt;0),"Enter Letter"," ")</f>
        <v> </v>
      </c>
      <c r="H160" s="338" t="str">
        <f aca="false">IF((G160&lt;&gt;0),IF((D160&gt;0)," ",G160)," ")</f>
        <v> </v>
      </c>
      <c r="I160" s="367" t="str">
        <f aca="false">IF((G160&lt;&gt;0),IF((D160&gt;0)," ",(I$1-A160))," ")</f>
        <v> </v>
      </c>
      <c r="J160" s="334" t="str">
        <f aca="false">IF((E160="s"),G160," ")</f>
        <v> </v>
      </c>
      <c r="K160" s="334" t="str">
        <f aca="false">IF((E160="d"),G160," ")</f>
        <v> </v>
      </c>
      <c r="L160" s="334" t="str">
        <f aca="false">IF((E160="e"),G160," ")</f>
        <v> </v>
      </c>
      <c r="M160" s="334" t="str">
        <f aca="false">IF((E160="p"),G160," ")</f>
        <v> </v>
      </c>
      <c r="N160" s="334" t="str">
        <f aca="false">IF((E160="r"),G160," ")</f>
        <v> </v>
      </c>
      <c r="O160" s="334" t="str">
        <f aca="false">IF((E160="g"),G160," ")</f>
        <v> </v>
      </c>
      <c r="P160" s="334" t="str">
        <f aca="false">IF((E160="m"),G160," ")</f>
        <v> </v>
      </c>
      <c r="Q160" s="334" t="str">
        <f aca="false">IF((E160="t"),G160," ")</f>
        <v> </v>
      </c>
      <c r="R160" s="334" t="str">
        <f aca="false">IF((E160="a"),G160," ")</f>
        <v> </v>
      </c>
      <c r="S160" s="334" t="str">
        <f aca="false">IF((E160="l"),G160," ")</f>
        <v> </v>
      </c>
      <c r="T160" s="334" t="str">
        <f aca="false">IF((E160="b"),G160," ")</f>
        <v> </v>
      </c>
      <c r="U160" s="334" t="str">
        <f aca="false">IF((E160="i"),G160," ")</f>
        <v> </v>
      </c>
      <c r="V160" s="334" t="str">
        <f aca="false">IF((E160="o"),G160," ")</f>
        <v> </v>
      </c>
      <c r="W160" s="334" t="str">
        <f aca="false">IF((E160="f"),G160," ")</f>
        <v> </v>
      </c>
    </row>
    <row r="161" customFormat="false" ht="12.75" hidden="false" customHeight="false" outlineLevel="0" collapsed="false">
      <c r="A161" s="355"/>
      <c r="E161" s="365" t="str">
        <f aca="false">IF((G161&lt;&gt;0),"Enter Letter"," ")</f>
        <v> </v>
      </c>
      <c r="H161" s="338" t="str">
        <f aca="false">IF((G161&lt;&gt;0),IF((D161&gt;0)," ",G161)," ")</f>
        <v> </v>
      </c>
      <c r="I161" s="367" t="str">
        <f aca="false">IF((G161&lt;&gt;0),IF((D161&gt;0)," ",(I$1-A161))," ")</f>
        <v> </v>
      </c>
      <c r="J161" s="334" t="str">
        <f aca="false">IF((E161="s"),G161," ")</f>
        <v> </v>
      </c>
      <c r="K161" s="334" t="str">
        <f aca="false">IF((E161="d"),G161," ")</f>
        <v> </v>
      </c>
      <c r="L161" s="334" t="str">
        <f aca="false">IF((E161="e"),G161," ")</f>
        <v> </v>
      </c>
      <c r="M161" s="334" t="str">
        <f aca="false">IF((E161="p"),G161," ")</f>
        <v> </v>
      </c>
      <c r="N161" s="334" t="str">
        <f aca="false">IF((E161="r"),G161," ")</f>
        <v> </v>
      </c>
      <c r="O161" s="334" t="str">
        <f aca="false">IF((E161="g"),G161," ")</f>
        <v> </v>
      </c>
      <c r="P161" s="334" t="str">
        <f aca="false">IF((E161="m"),G161," ")</f>
        <v> </v>
      </c>
      <c r="Q161" s="334" t="str">
        <f aca="false">IF((E161="t"),G161," ")</f>
        <v> </v>
      </c>
      <c r="R161" s="334" t="str">
        <f aca="false">IF((E161="a"),G161," ")</f>
        <v> </v>
      </c>
      <c r="S161" s="334" t="str">
        <f aca="false">IF((E161="l"),G161," ")</f>
        <v> </v>
      </c>
      <c r="T161" s="334" t="str">
        <f aca="false">IF((E161="b"),G161," ")</f>
        <v> </v>
      </c>
      <c r="U161" s="334" t="str">
        <f aca="false">IF((E161="i"),G161," ")</f>
        <v> </v>
      </c>
      <c r="V161" s="334" t="str">
        <f aca="false">IF((E161="o"),G161," ")</f>
        <v> </v>
      </c>
      <c r="W161" s="334" t="str">
        <f aca="false">IF((E161="f"),G161," ")</f>
        <v> </v>
      </c>
    </row>
    <row r="162" customFormat="false" ht="12.75" hidden="false" customHeight="false" outlineLevel="0" collapsed="false">
      <c r="A162" s="355"/>
      <c r="E162" s="365" t="str">
        <f aca="false">IF((G162&lt;&gt;0),"Enter Letter"," ")</f>
        <v> </v>
      </c>
      <c r="H162" s="338" t="str">
        <f aca="false">IF((G162&lt;&gt;0),IF((D162&gt;0)," ",G162)," ")</f>
        <v> </v>
      </c>
      <c r="I162" s="367" t="str">
        <f aca="false">IF((G162&lt;&gt;0),IF((D162&gt;0)," ",(I$1-A162))," ")</f>
        <v> </v>
      </c>
      <c r="J162" s="334" t="str">
        <f aca="false">IF((E162="s"),G162," ")</f>
        <v> </v>
      </c>
      <c r="K162" s="334" t="str">
        <f aca="false">IF((E162="d"),G162," ")</f>
        <v> </v>
      </c>
      <c r="L162" s="334" t="str">
        <f aca="false">IF((E162="e"),G162," ")</f>
        <v> </v>
      </c>
      <c r="M162" s="334" t="str">
        <f aca="false">IF((E162="p"),G162," ")</f>
        <v> </v>
      </c>
      <c r="N162" s="334" t="str">
        <f aca="false">IF((E162="r"),G162," ")</f>
        <v> </v>
      </c>
      <c r="O162" s="334" t="str">
        <f aca="false">IF((E162="g"),G162," ")</f>
        <v> </v>
      </c>
      <c r="P162" s="334" t="str">
        <f aca="false">IF((E162="m"),G162," ")</f>
        <v> </v>
      </c>
      <c r="Q162" s="334" t="str">
        <f aca="false">IF((E162="t"),G162," ")</f>
        <v> </v>
      </c>
      <c r="R162" s="334" t="str">
        <f aca="false">IF((E162="a"),G162," ")</f>
        <v> </v>
      </c>
      <c r="S162" s="334" t="str">
        <f aca="false">IF((E162="l"),G162," ")</f>
        <v> </v>
      </c>
      <c r="T162" s="334" t="str">
        <f aca="false">IF((E162="b"),G162," ")</f>
        <v> </v>
      </c>
      <c r="U162" s="334" t="str">
        <f aca="false">IF((E162="i"),G162," ")</f>
        <v> </v>
      </c>
      <c r="V162" s="334" t="str">
        <f aca="false">IF((E162="o"),G162," ")</f>
        <v> </v>
      </c>
      <c r="W162" s="334" t="str">
        <f aca="false">IF((E162="f"),G162," ")</f>
        <v> </v>
      </c>
    </row>
    <row r="163" customFormat="false" ht="12.75" hidden="false" customHeight="false" outlineLevel="0" collapsed="false">
      <c r="A163" s="355"/>
      <c r="E163" s="365" t="str">
        <f aca="false">IF((G163&lt;&gt;0),"Enter Letter"," ")</f>
        <v> </v>
      </c>
      <c r="H163" s="338" t="str">
        <f aca="false">IF((G163&lt;&gt;0),IF((D163&gt;0)," ",G163)," ")</f>
        <v> </v>
      </c>
      <c r="I163" s="367" t="str">
        <f aca="false">IF((G163&lt;&gt;0),IF((D163&gt;0)," ",(I$1-A163))," ")</f>
        <v> </v>
      </c>
      <c r="J163" s="334" t="str">
        <f aca="false">IF((E163="s"),G163," ")</f>
        <v> </v>
      </c>
      <c r="K163" s="334" t="str">
        <f aca="false">IF((E163="d"),G163," ")</f>
        <v> </v>
      </c>
      <c r="L163" s="334" t="str">
        <f aca="false">IF((E163="e"),G163," ")</f>
        <v> </v>
      </c>
      <c r="M163" s="334" t="str">
        <f aca="false">IF((E163="p"),G163," ")</f>
        <v> </v>
      </c>
      <c r="N163" s="334" t="str">
        <f aca="false">IF((E163="r"),G163," ")</f>
        <v> </v>
      </c>
      <c r="O163" s="334" t="str">
        <f aca="false">IF((E163="g"),G163," ")</f>
        <v> </v>
      </c>
      <c r="P163" s="334" t="str">
        <f aca="false">IF((E163="m"),G163," ")</f>
        <v> </v>
      </c>
      <c r="Q163" s="334" t="str">
        <f aca="false">IF((E163="t"),G163," ")</f>
        <v> </v>
      </c>
      <c r="R163" s="334" t="str">
        <f aca="false">IF((E163="a"),G163," ")</f>
        <v> </v>
      </c>
      <c r="S163" s="334" t="str">
        <f aca="false">IF((E163="l"),G163," ")</f>
        <v> </v>
      </c>
      <c r="T163" s="334" t="str">
        <f aca="false">IF((E163="b"),G163," ")</f>
        <v> </v>
      </c>
      <c r="U163" s="334" t="str">
        <f aca="false">IF((E163="i"),G163," ")</f>
        <v> </v>
      </c>
      <c r="V163" s="334" t="str">
        <f aca="false">IF((E163="o"),G163," ")</f>
        <v> </v>
      </c>
      <c r="W163" s="334" t="str">
        <f aca="false">IF((E163="f"),G163," ")</f>
        <v> </v>
      </c>
    </row>
    <row r="164" customFormat="false" ht="12.75" hidden="false" customHeight="false" outlineLevel="0" collapsed="false">
      <c r="A164" s="355"/>
      <c r="E164" s="365" t="str">
        <f aca="false">IF((G164&lt;&gt;0),"Enter Letter"," ")</f>
        <v> </v>
      </c>
      <c r="H164" s="338" t="str">
        <f aca="false">IF((G164&lt;&gt;0),IF((D164&gt;0)," ",G164)," ")</f>
        <v> </v>
      </c>
      <c r="I164" s="367" t="str">
        <f aca="false">IF((G164&lt;&gt;0),IF((D164&gt;0)," ",(I$1-A164))," ")</f>
        <v> </v>
      </c>
      <c r="J164" s="334" t="str">
        <f aca="false">IF((E164="s"),G164," ")</f>
        <v> </v>
      </c>
      <c r="K164" s="334" t="str">
        <f aca="false">IF((E164="d"),G164," ")</f>
        <v> </v>
      </c>
      <c r="L164" s="334" t="str">
        <f aca="false">IF((E164="e"),G164," ")</f>
        <v> </v>
      </c>
      <c r="M164" s="334" t="str">
        <f aca="false">IF((E164="p"),G164," ")</f>
        <v> </v>
      </c>
      <c r="N164" s="334" t="str">
        <f aca="false">IF((E164="r"),G164," ")</f>
        <v> </v>
      </c>
      <c r="O164" s="334" t="str">
        <f aca="false">IF((E164="g"),G164," ")</f>
        <v> </v>
      </c>
      <c r="P164" s="334" t="str">
        <f aca="false">IF((E164="m"),G164," ")</f>
        <v> </v>
      </c>
      <c r="Q164" s="334" t="str">
        <f aca="false">IF((E164="t"),G164," ")</f>
        <v> </v>
      </c>
      <c r="R164" s="334" t="str">
        <f aca="false">IF((E164="a"),G164," ")</f>
        <v> </v>
      </c>
      <c r="S164" s="334" t="str">
        <f aca="false">IF((E164="l"),G164," ")</f>
        <v> </v>
      </c>
      <c r="T164" s="334" t="str">
        <f aca="false">IF((E164="b"),G164," ")</f>
        <v> </v>
      </c>
      <c r="U164" s="334" t="str">
        <f aca="false">IF((E164="i"),G164," ")</f>
        <v> </v>
      </c>
      <c r="V164" s="334" t="str">
        <f aca="false">IF((E164="o"),G164," ")</f>
        <v> </v>
      </c>
      <c r="W164" s="334" t="str">
        <f aca="false">IF((E164="f"),G164," ")</f>
        <v> </v>
      </c>
    </row>
    <row r="165" customFormat="false" ht="12.75" hidden="false" customHeight="false" outlineLevel="0" collapsed="false">
      <c r="A165" s="355"/>
      <c r="E165" s="365" t="str">
        <f aca="false">IF((G165&lt;&gt;0),"Enter Letter"," ")</f>
        <v> </v>
      </c>
      <c r="H165" s="338" t="str">
        <f aca="false">IF((G165&lt;&gt;0),IF((D165&gt;0)," ",G165)," ")</f>
        <v> </v>
      </c>
      <c r="I165" s="367" t="str">
        <f aca="false">IF((G165&lt;&gt;0),IF((D165&gt;0)," ",(I$1-A165))," ")</f>
        <v> </v>
      </c>
      <c r="J165" s="334" t="str">
        <f aca="false">IF((E165="s"),G165," ")</f>
        <v> </v>
      </c>
      <c r="K165" s="334" t="str">
        <f aca="false">IF((E165="d"),G165," ")</f>
        <v> </v>
      </c>
      <c r="L165" s="334" t="str">
        <f aca="false">IF((E165="e"),G165," ")</f>
        <v> </v>
      </c>
      <c r="M165" s="334" t="str">
        <f aca="false">IF((E165="p"),G165," ")</f>
        <v> </v>
      </c>
      <c r="N165" s="334" t="str">
        <f aca="false">IF((E165="r"),G165," ")</f>
        <v> </v>
      </c>
      <c r="O165" s="334" t="str">
        <f aca="false">IF((E165="g"),G165," ")</f>
        <v> </v>
      </c>
      <c r="P165" s="334" t="str">
        <f aca="false">IF((E165="m"),G165," ")</f>
        <v> </v>
      </c>
      <c r="Q165" s="334" t="str">
        <f aca="false">IF((E165="t"),G165," ")</f>
        <v> </v>
      </c>
      <c r="R165" s="334" t="str">
        <f aca="false">IF((E165="a"),G165," ")</f>
        <v> </v>
      </c>
      <c r="S165" s="334" t="str">
        <f aca="false">IF((E165="l"),G165," ")</f>
        <v> </v>
      </c>
      <c r="T165" s="334" t="str">
        <f aca="false">IF((E165="b"),G165," ")</f>
        <v> </v>
      </c>
      <c r="U165" s="334" t="str">
        <f aca="false">IF((E165="i"),G165," ")</f>
        <v> </v>
      </c>
      <c r="V165" s="334" t="str">
        <f aca="false">IF((E165="o"),G165," ")</f>
        <v> </v>
      </c>
      <c r="W165" s="334" t="str">
        <f aca="false">IF((E165="f"),G165," ")</f>
        <v> </v>
      </c>
    </row>
    <row r="166" customFormat="false" ht="12.75" hidden="false" customHeight="false" outlineLevel="0" collapsed="false">
      <c r="A166" s="355"/>
      <c r="E166" s="365" t="str">
        <f aca="false">IF((G166&lt;&gt;0),"Enter Letter"," ")</f>
        <v> </v>
      </c>
      <c r="H166" s="338" t="str">
        <f aca="false">IF((G166&lt;&gt;0),IF((D166&gt;0)," ",G166)," ")</f>
        <v> </v>
      </c>
      <c r="I166" s="367" t="str">
        <f aca="false">IF((G166&lt;&gt;0),IF((D166&gt;0)," ",(I$1-A166))," ")</f>
        <v> </v>
      </c>
      <c r="J166" s="334" t="str">
        <f aca="false">IF((E166="s"),G166," ")</f>
        <v> </v>
      </c>
      <c r="K166" s="334" t="str">
        <f aca="false">IF((E166="d"),G166," ")</f>
        <v> </v>
      </c>
      <c r="L166" s="334" t="str">
        <f aca="false">IF((E166="e"),G166," ")</f>
        <v> </v>
      </c>
      <c r="M166" s="334" t="str">
        <f aca="false">IF((E166="p"),G166," ")</f>
        <v> </v>
      </c>
      <c r="N166" s="334" t="str">
        <f aca="false">IF((E166="r"),G166," ")</f>
        <v> </v>
      </c>
      <c r="O166" s="334" t="str">
        <f aca="false">IF((E166="g"),G166," ")</f>
        <v> </v>
      </c>
      <c r="P166" s="334" t="str">
        <f aca="false">IF((E166="m"),G166," ")</f>
        <v> </v>
      </c>
      <c r="Q166" s="334" t="str">
        <f aca="false">IF((E166="t"),G166," ")</f>
        <v> </v>
      </c>
      <c r="R166" s="334" t="str">
        <f aca="false">IF((E166="a"),G166," ")</f>
        <v> </v>
      </c>
      <c r="S166" s="334" t="str">
        <f aca="false">IF((E166="l"),G166," ")</f>
        <v> </v>
      </c>
      <c r="T166" s="334" t="str">
        <f aca="false">IF((E166="b"),G166," ")</f>
        <v> </v>
      </c>
      <c r="U166" s="334" t="str">
        <f aca="false">IF((E166="i"),G166," ")</f>
        <v> </v>
      </c>
      <c r="V166" s="334" t="str">
        <f aca="false">IF((E166="o"),G166," ")</f>
        <v> </v>
      </c>
      <c r="W166" s="334" t="str">
        <f aca="false">IF((E166="f"),G166," ")</f>
        <v> </v>
      </c>
    </row>
    <row r="167" customFormat="false" ht="12.75" hidden="false" customHeight="false" outlineLevel="0" collapsed="false">
      <c r="A167" s="355"/>
      <c r="E167" s="365" t="str">
        <f aca="false">IF((G167&lt;&gt;0),"Enter Letter"," ")</f>
        <v> </v>
      </c>
      <c r="H167" s="338" t="str">
        <f aca="false">IF((G167&lt;&gt;0),IF((D167&gt;0)," ",G167)," ")</f>
        <v> </v>
      </c>
      <c r="I167" s="367" t="str">
        <f aca="false">IF((G167&lt;&gt;0),IF((D167&gt;0)," ",(I$1-A167))," ")</f>
        <v> </v>
      </c>
      <c r="J167" s="334" t="str">
        <f aca="false">IF((E167="s"),G167," ")</f>
        <v> </v>
      </c>
      <c r="K167" s="334" t="str">
        <f aca="false">IF((E167="d"),G167," ")</f>
        <v> </v>
      </c>
      <c r="L167" s="334" t="str">
        <f aca="false">IF((E167="e"),G167," ")</f>
        <v> </v>
      </c>
      <c r="M167" s="334" t="str">
        <f aca="false">IF((E167="p"),G167," ")</f>
        <v> </v>
      </c>
      <c r="N167" s="334" t="str">
        <f aca="false">IF((E167="r"),G167," ")</f>
        <v> </v>
      </c>
      <c r="O167" s="334" t="str">
        <f aca="false">IF((E167="g"),G167," ")</f>
        <v> </v>
      </c>
      <c r="P167" s="334" t="str">
        <f aca="false">IF((E167="m"),G167," ")</f>
        <v> </v>
      </c>
      <c r="Q167" s="334" t="str">
        <f aca="false">IF((E167="t"),G167," ")</f>
        <v> </v>
      </c>
      <c r="R167" s="334" t="str">
        <f aca="false">IF((E167="a"),G167," ")</f>
        <v> </v>
      </c>
      <c r="S167" s="334" t="str">
        <f aca="false">IF((E167="l"),G167," ")</f>
        <v> </v>
      </c>
      <c r="T167" s="334" t="str">
        <f aca="false">IF((E167="b"),G167," ")</f>
        <v> </v>
      </c>
      <c r="U167" s="334" t="str">
        <f aca="false">IF((E167="i"),G167," ")</f>
        <v> </v>
      </c>
      <c r="V167" s="334" t="str">
        <f aca="false">IF((E167="o"),G167," ")</f>
        <v> </v>
      </c>
      <c r="W167" s="334" t="str">
        <f aca="false">IF((E167="f"),G167," ")</f>
        <v> </v>
      </c>
    </row>
    <row r="168" customFormat="false" ht="12.75" hidden="false" customHeight="false" outlineLevel="0" collapsed="false">
      <c r="A168" s="355"/>
      <c r="E168" s="365" t="str">
        <f aca="false">IF((G168&lt;&gt;0),"Enter Letter"," ")</f>
        <v> </v>
      </c>
      <c r="H168" s="338" t="str">
        <f aca="false">IF((G168&lt;&gt;0),IF((D168&gt;0)," ",G168)," ")</f>
        <v> </v>
      </c>
      <c r="I168" s="367" t="str">
        <f aca="false">IF((G168&lt;&gt;0),IF((D168&gt;0)," ",(I$1-A168))," ")</f>
        <v> </v>
      </c>
      <c r="J168" s="334" t="str">
        <f aca="false">IF((E168="s"),G168," ")</f>
        <v> </v>
      </c>
      <c r="K168" s="334" t="str">
        <f aca="false">IF((E168="d"),G168," ")</f>
        <v> </v>
      </c>
      <c r="L168" s="334" t="str">
        <f aca="false">IF((E168="e"),G168," ")</f>
        <v> </v>
      </c>
      <c r="M168" s="334" t="str">
        <f aca="false">IF((E168="p"),G168," ")</f>
        <v> </v>
      </c>
      <c r="N168" s="334" t="str">
        <f aca="false">IF((E168="r"),G168," ")</f>
        <v> </v>
      </c>
      <c r="O168" s="334" t="str">
        <f aca="false">IF((E168="g"),G168," ")</f>
        <v> </v>
      </c>
      <c r="P168" s="334" t="str">
        <f aca="false">IF((E168="m"),G168," ")</f>
        <v> </v>
      </c>
      <c r="Q168" s="334" t="str">
        <f aca="false">IF((E168="t"),G168," ")</f>
        <v> </v>
      </c>
      <c r="R168" s="334" t="str">
        <f aca="false">IF((E168="a"),G168," ")</f>
        <v> </v>
      </c>
      <c r="S168" s="334" t="str">
        <f aca="false">IF((E168="l"),G168," ")</f>
        <v> </v>
      </c>
      <c r="T168" s="334" t="str">
        <f aca="false">IF((E168="b"),G168," ")</f>
        <v> </v>
      </c>
      <c r="U168" s="334" t="str">
        <f aca="false">IF((E168="i"),G168," ")</f>
        <v> </v>
      </c>
      <c r="V168" s="334" t="str">
        <f aca="false">IF((E168="o"),G168," ")</f>
        <v> </v>
      </c>
      <c r="W168" s="334" t="str">
        <f aca="false">IF((E168="f"),G168," ")</f>
        <v> </v>
      </c>
    </row>
    <row r="169" customFormat="false" ht="12.75" hidden="false" customHeight="false" outlineLevel="0" collapsed="false">
      <c r="A169" s="355"/>
      <c r="E169" s="365" t="str">
        <f aca="false">IF((G169&lt;&gt;0),"Enter Letter"," ")</f>
        <v> </v>
      </c>
      <c r="H169" s="338" t="str">
        <f aca="false">IF((G169&lt;&gt;0),IF((D169&gt;0)," ",G169)," ")</f>
        <v> </v>
      </c>
      <c r="I169" s="367" t="str">
        <f aca="false">IF((G169&lt;&gt;0),IF((D169&gt;0)," ",(I$1-A169))," ")</f>
        <v> </v>
      </c>
      <c r="J169" s="334" t="str">
        <f aca="false">IF((E169="s"),G169," ")</f>
        <v> </v>
      </c>
      <c r="K169" s="334" t="str">
        <f aca="false">IF((E169="d"),G169," ")</f>
        <v> </v>
      </c>
      <c r="L169" s="334" t="str">
        <f aca="false">IF((E169="e"),G169," ")</f>
        <v> </v>
      </c>
      <c r="M169" s="334" t="str">
        <f aca="false">IF((E169="p"),G169," ")</f>
        <v> </v>
      </c>
      <c r="N169" s="334" t="str">
        <f aca="false">IF((E169="r"),G169," ")</f>
        <v> </v>
      </c>
      <c r="O169" s="334" t="str">
        <f aca="false">IF((E169="g"),G169," ")</f>
        <v> </v>
      </c>
      <c r="P169" s="334" t="str">
        <f aca="false">IF((E169="m"),G169," ")</f>
        <v> </v>
      </c>
      <c r="Q169" s="334" t="str">
        <f aca="false">IF((E169="t"),G169," ")</f>
        <v> </v>
      </c>
      <c r="R169" s="334" t="str">
        <f aca="false">IF((E169="a"),G169," ")</f>
        <v> </v>
      </c>
      <c r="S169" s="334" t="str">
        <f aca="false">IF((E169="l"),G169," ")</f>
        <v> </v>
      </c>
      <c r="T169" s="334" t="str">
        <f aca="false">IF((E169="b"),G169," ")</f>
        <v> </v>
      </c>
      <c r="U169" s="334" t="str">
        <f aca="false">IF((E169="i"),G169," ")</f>
        <v> </v>
      </c>
      <c r="V169" s="334" t="str">
        <f aca="false">IF((E169="o"),G169," ")</f>
        <v> </v>
      </c>
      <c r="W169" s="334" t="str">
        <f aca="false">IF((E169="f"),G169," ")</f>
        <v> </v>
      </c>
    </row>
    <row r="170" customFormat="false" ht="12.75" hidden="false" customHeight="false" outlineLevel="0" collapsed="false">
      <c r="A170" s="355"/>
      <c r="E170" s="365" t="str">
        <f aca="false">IF((G170&lt;&gt;0),"Enter Letter"," ")</f>
        <v> </v>
      </c>
      <c r="H170" s="338" t="str">
        <f aca="false">IF((G170&lt;&gt;0),IF((D170&gt;0)," ",G170)," ")</f>
        <v> </v>
      </c>
      <c r="I170" s="367" t="str">
        <f aca="false">IF((G170&lt;&gt;0),IF((D170&gt;0)," ",(I$1-A170))," ")</f>
        <v> </v>
      </c>
      <c r="J170" s="334" t="str">
        <f aca="false">IF((E170="s"),G170," ")</f>
        <v> </v>
      </c>
      <c r="K170" s="334" t="str">
        <f aca="false">IF((E170="d"),G170," ")</f>
        <v> </v>
      </c>
      <c r="L170" s="334" t="str">
        <f aca="false">IF((E170="e"),G170," ")</f>
        <v> </v>
      </c>
      <c r="M170" s="334" t="str">
        <f aca="false">IF((E170="p"),G170," ")</f>
        <v> </v>
      </c>
      <c r="N170" s="334" t="str">
        <f aca="false">IF((E170="r"),G170," ")</f>
        <v> </v>
      </c>
      <c r="O170" s="334" t="str">
        <f aca="false">IF((E170="g"),G170," ")</f>
        <v> </v>
      </c>
      <c r="P170" s="334" t="str">
        <f aca="false">IF((E170="m"),G170," ")</f>
        <v> </v>
      </c>
      <c r="Q170" s="334" t="str">
        <f aca="false">IF((E170="t"),G170," ")</f>
        <v> </v>
      </c>
      <c r="R170" s="334" t="str">
        <f aca="false">IF((E170="a"),G170," ")</f>
        <v> </v>
      </c>
      <c r="S170" s="334" t="str">
        <f aca="false">IF((E170="l"),G170," ")</f>
        <v> </v>
      </c>
      <c r="T170" s="334" t="str">
        <f aca="false">IF((E170="b"),G170," ")</f>
        <v> </v>
      </c>
      <c r="U170" s="334" t="str">
        <f aca="false">IF((E170="i"),G170," ")</f>
        <v> </v>
      </c>
      <c r="V170" s="334" t="str">
        <f aca="false">IF((E170="o"),G170," ")</f>
        <v> </v>
      </c>
      <c r="W170" s="334" t="str">
        <f aca="false">IF((E170="f"),G170," ")</f>
        <v> </v>
      </c>
    </row>
    <row r="171" customFormat="false" ht="12.75" hidden="false" customHeight="false" outlineLevel="0" collapsed="false">
      <c r="A171" s="355"/>
      <c r="E171" s="365" t="str">
        <f aca="false">IF((G171&lt;&gt;0),"Enter Letter"," ")</f>
        <v> </v>
      </c>
      <c r="H171" s="338" t="str">
        <f aca="false">IF((G171&lt;&gt;0),IF((D171&gt;0)," ",G171)," ")</f>
        <v> </v>
      </c>
      <c r="I171" s="367" t="str">
        <f aca="false">IF((G171&lt;&gt;0),IF((D171&gt;0)," ",(I$1-A171))," ")</f>
        <v> </v>
      </c>
      <c r="J171" s="334" t="str">
        <f aca="false">IF((E171="s"),G171," ")</f>
        <v> </v>
      </c>
      <c r="K171" s="334" t="str">
        <f aca="false">IF((E171="d"),G171," ")</f>
        <v> </v>
      </c>
      <c r="L171" s="334" t="str">
        <f aca="false">IF((E171="e"),G171," ")</f>
        <v> </v>
      </c>
      <c r="M171" s="334" t="str">
        <f aca="false">IF((E171="p"),G171," ")</f>
        <v> </v>
      </c>
      <c r="N171" s="334" t="str">
        <f aca="false">IF((E171="r"),G171," ")</f>
        <v> </v>
      </c>
      <c r="O171" s="334" t="str">
        <f aca="false">IF((E171="g"),G171," ")</f>
        <v> </v>
      </c>
      <c r="P171" s="334" t="str">
        <f aca="false">IF((E171="m"),G171," ")</f>
        <v> </v>
      </c>
      <c r="Q171" s="334" t="str">
        <f aca="false">IF((E171="t"),G171," ")</f>
        <v> </v>
      </c>
      <c r="R171" s="334" t="str">
        <f aca="false">IF((E171="a"),G171," ")</f>
        <v> </v>
      </c>
      <c r="S171" s="334" t="str">
        <f aca="false">IF((E171="l"),G171," ")</f>
        <v> </v>
      </c>
      <c r="T171" s="334" t="str">
        <f aca="false">IF((E171="b"),G171," ")</f>
        <v> </v>
      </c>
      <c r="U171" s="334" t="str">
        <f aca="false">IF((E171="i"),G171," ")</f>
        <v> </v>
      </c>
      <c r="V171" s="334" t="str">
        <f aca="false">IF((E171="o"),G171," ")</f>
        <v> </v>
      </c>
      <c r="W171" s="334" t="str">
        <f aca="false">IF((E171="f"),G171," ")</f>
        <v> </v>
      </c>
    </row>
    <row r="172" customFormat="false" ht="12.75" hidden="false" customHeight="false" outlineLevel="0" collapsed="false">
      <c r="A172" s="355"/>
      <c r="E172" s="365" t="str">
        <f aca="false">IF((G172&lt;&gt;0),"Enter Letter"," ")</f>
        <v> </v>
      </c>
      <c r="H172" s="338" t="str">
        <f aca="false">IF((G172&lt;&gt;0),IF((D172&gt;0)," ",G172)," ")</f>
        <v> </v>
      </c>
      <c r="I172" s="367" t="str">
        <f aca="false">IF((G172&lt;&gt;0),IF((D172&gt;0)," ",(I$1-A172))," ")</f>
        <v> </v>
      </c>
      <c r="J172" s="334" t="str">
        <f aca="false">IF((E172="s"),G172," ")</f>
        <v> </v>
      </c>
      <c r="K172" s="334" t="str">
        <f aca="false">IF((E172="d"),G172," ")</f>
        <v> </v>
      </c>
      <c r="L172" s="334" t="str">
        <f aca="false">IF((E172="e"),G172," ")</f>
        <v> </v>
      </c>
      <c r="M172" s="334" t="str">
        <f aca="false">IF((E172="p"),G172," ")</f>
        <v> </v>
      </c>
      <c r="N172" s="334" t="str">
        <f aca="false">IF((E172="r"),G172," ")</f>
        <v> </v>
      </c>
      <c r="O172" s="334" t="str">
        <f aca="false">IF((E172="g"),G172," ")</f>
        <v> </v>
      </c>
      <c r="P172" s="334" t="str">
        <f aca="false">IF((E172="m"),G172," ")</f>
        <v> </v>
      </c>
      <c r="Q172" s="334" t="str">
        <f aca="false">IF((E172="t"),G172," ")</f>
        <v> </v>
      </c>
      <c r="R172" s="334" t="str">
        <f aca="false">IF((E172="a"),G172," ")</f>
        <v> </v>
      </c>
      <c r="S172" s="334" t="str">
        <f aca="false">IF((E172="l"),G172," ")</f>
        <v> </v>
      </c>
      <c r="T172" s="334" t="str">
        <f aca="false">IF((E172="b"),G172," ")</f>
        <v> </v>
      </c>
      <c r="U172" s="334" t="str">
        <f aca="false">IF((E172="i"),G172," ")</f>
        <v> </v>
      </c>
      <c r="V172" s="334" t="str">
        <f aca="false">IF((E172="o"),G172," ")</f>
        <v> </v>
      </c>
      <c r="W172" s="334" t="str">
        <f aca="false">IF((E172="f"),G172," ")</f>
        <v> </v>
      </c>
    </row>
    <row r="173" customFormat="false" ht="12.75" hidden="false" customHeight="false" outlineLevel="0" collapsed="false">
      <c r="A173" s="355"/>
      <c r="E173" s="365" t="str">
        <f aca="false">IF((G173&lt;&gt;0),"Enter Letter"," ")</f>
        <v> </v>
      </c>
      <c r="H173" s="338" t="str">
        <f aca="false">IF((G173&lt;&gt;0),IF((D173&gt;0)," ",G173)," ")</f>
        <v> </v>
      </c>
      <c r="I173" s="367" t="str">
        <f aca="false">IF((G173&lt;&gt;0),IF((D173&gt;0)," ",(I$1-A173))," ")</f>
        <v> </v>
      </c>
      <c r="J173" s="334" t="str">
        <f aca="false">IF((E173="s"),G173," ")</f>
        <v> </v>
      </c>
      <c r="K173" s="334" t="str">
        <f aca="false">IF((E173="d"),G173," ")</f>
        <v> </v>
      </c>
      <c r="L173" s="334" t="str">
        <f aca="false">IF((E173="e"),G173," ")</f>
        <v> </v>
      </c>
      <c r="M173" s="334" t="str">
        <f aca="false">IF((E173="p"),G173," ")</f>
        <v> </v>
      </c>
      <c r="N173" s="334" t="str">
        <f aca="false">IF((E173="r"),G173," ")</f>
        <v> </v>
      </c>
      <c r="O173" s="334" t="str">
        <f aca="false">IF((E173="g"),G173," ")</f>
        <v> </v>
      </c>
      <c r="P173" s="334" t="str">
        <f aca="false">IF((E173="m"),G173," ")</f>
        <v> </v>
      </c>
      <c r="Q173" s="334" t="str">
        <f aca="false">IF((E173="t"),G173," ")</f>
        <v> </v>
      </c>
      <c r="R173" s="334" t="str">
        <f aca="false">IF((E173="a"),G173," ")</f>
        <v> </v>
      </c>
      <c r="S173" s="334" t="str">
        <f aca="false">IF((E173="l"),G173," ")</f>
        <v> </v>
      </c>
      <c r="T173" s="334" t="str">
        <f aca="false">IF((E173="b"),G173," ")</f>
        <v> </v>
      </c>
      <c r="U173" s="334" t="str">
        <f aca="false">IF((E173="i"),G173," ")</f>
        <v> </v>
      </c>
      <c r="V173" s="334" t="str">
        <f aca="false">IF((E173="o"),G173," ")</f>
        <v> </v>
      </c>
      <c r="W173" s="334" t="str">
        <f aca="false">IF((E173="f"),G173," ")</f>
        <v> </v>
      </c>
    </row>
    <row r="174" customFormat="false" ht="12.75" hidden="false" customHeight="false" outlineLevel="0" collapsed="false">
      <c r="A174" s="355"/>
      <c r="E174" s="365" t="str">
        <f aca="false">IF((G174&lt;&gt;0),"Enter Letter"," ")</f>
        <v> </v>
      </c>
      <c r="H174" s="338" t="str">
        <f aca="false">IF((G174&lt;&gt;0),IF((D174&gt;0)," ",G174)," ")</f>
        <v> </v>
      </c>
      <c r="I174" s="367" t="str">
        <f aca="false">IF((G174&lt;&gt;0),IF((D174&gt;0)," ",(I$1-A174))," ")</f>
        <v> </v>
      </c>
      <c r="J174" s="334" t="str">
        <f aca="false">IF((E174="s"),G174," ")</f>
        <v> </v>
      </c>
      <c r="K174" s="334" t="str">
        <f aca="false">IF((E174="d"),G174," ")</f>
        <v> </v>
      </c>
      <c r="L174" s="334" t="str">
        <f aca="false">IF((E174="e"),G174," ")</f>
        <v> </v>
      </c>
      <c r="M174" s="334" t="str">
        <f aca="false">IF((E174="p"),G174," ")</f>
        <v> </v>
      </c>
      <c r="N174" s="334" t="str">
        <f aca="false">IF((E174="r"),G174," ")</f>
        <v> </v>
      </c>
      <c r="O174" s="334" t="str">
        <f aca="false">IF((E174="g"),G174," ")</f>
        <v> </v>
      </c>
      <c r="P174" s="334" t="str">
        <f aca="false">IF((E174="m"),G174," ")</f>
        <v> </v>
      </c>
      <c r="Q174" s="334" t="str">
        <f aca="false">IF((E174="t"),G174," ")</f>
        <v> </v>
      </c>
      <c r="R174" s="334" t="str">
        <f aca="false">IF((E174="a"),G174," ")</f>
        <v> </v>
      </c>
      <c r="S174" s="334" t="str">
        <f aca="false">IF((E174="l"),G174," ")</f>
        <v> </v>
      </c>
      <c r="T174" s="334" t="str">
        <f aca="false">IF((E174="b"),G174," ")</f>
        <v> </v>
      </c>
      <c r="U174" s="334" t="str">
        <f aca="false">IF((E174="i"),G174," ")</f>
        <v> </v>
      </c>
      <c r="V174" s="334" t="str">
        <f aca="false">IF((E174="o"),G174," ")</f>
        <v> </v>
      </c>
      <c r="W174" s="334" t="str">
        <f aca="false">IF((E174="f"),G174," ")</f>
        <v> </v>
      </c>
    </row>
    <row r="175" customFormat="false" ht="12.75" hidden="false" customHeight="false" outlineLevel="0" collapsed="false">
      <c r="A175" s="355"/>
      <c r="E175" s="365" t="str">
        <f aca="false">IF((G175&lt;&gt;0),"Enter Letter"," ")</f>
        <v> </v>
      </c>
      <c r="H175" s="338" t="str">
        <f aca="false">IF((G175&lt;&gt;0),IF((D175&gt;0)," ",G175)," ")</f>
        <v> </v>
      </c>
      <c r="I175" s="367" t="str">
        <f aca="false">IF((G175&lt;&gt;0),IF((D175&gt;0)," ",(I$1-A175))," ")</f>
        <v> </v>
      </c>
      <c r="J175" s="334" t="str">
        <f aca="false">IF((E175="s"),G175," ")</f>
        <v> </v>
      </c>
      <c r="K175" s="334" t="str">
        <f aca="false">IF((E175="d"),G175," ")</f>
        <v> </v>
      </c>
      <c r="L175" s="334" t="str">
        <f aca="false">IF((E175="e"),G175," ")</f>
        <v> </v>
      </c>
      <c r="M175" s="334" t="str">
        <f aca="false">IF((E175="p"),G175," ")</f>
        <v> </v>
      </c>
      <c r="N175" s="334" t="str">
        <f aca="false">IF((E175="r"),G175," ")</f>
        <v> </v>
      </c>
      <c r="O175" s="334" t="str">
        <f aca="false">IF((E175="g"),G175," ")</f>
        <v> </v>
      </c>
      <c r="P175" s="334" t="str">
        <f aca="false">IF((E175="m"),G175," ")</f>
        <v> </v>
      </c>
      <c r="Q175" s="334" t="str">
        <f aca="false">IF((E175="t"),G175," ")</f>
        <v> </v>
      </c>
      <c r="R175" s="334" t="str">
        <f aca="false">IF((E175="a"),G175," ")</f>
        <v> </v>
      </c>
      <c r="S175" s="334" t="str">
        <f aca="false">IF((E175="l"),G175," ")</f>
        <v> </v>
      </c>
      <c r="T175" s="334" t="str">
        <f aca="false">IF((E175="b"),G175," ")</f>
        <v> </v>
      </c>
      <c r="U175" s="334" t="str">
        <f aca="false">IF((E175="i"),G175," ")</f>
        <v> </v>
      </c>
      <c r="V175" s="334" t="str">
        <f aca="false">IF((E175="o"),G175," ")</f>
        <v> </v>
      </c>
      <c r="W175" s="334" t="str">
        <f aca="false">IF((E175="f"),G175," ")</f>
        <v> </v>
      </c>
    </row>
    <row r="176" customFormat="false" ht="12.75" hidden="false" customHeight="false" outlineLevel="0" collapsed="false">
      <c r="A176" s="355"/>
      <c r="E176" s="365" t="str">
        <f aca="false">IF((G176&lt;&gt;0),"Enter Letter"," ")</f>
        <v> </v>
      </c>
      <c r="H176" s="338" t="str">
        <f aca="false">IF((G176&lt;&gt;0),IF((D176&gt;0)," ",G176)," ")</f>
        <v> </v>
      </c>
      <c r="I176" s="367" t="str">
        <f aca="false">IF((G176&lt;&gt;0),IF((D176&gt;0)," ",(I$1-A176))," ")</f>
        <v> </v>
      </c>
      <c r="J176" s="334" t="str">
        <f aca="false">IF((E176="s"),G176," ")</f>
        <v> </v>
      </c>
      <c r="K176" s="334" t="str">
        <f aca="false">IF((E176="d"),G176," ")</f>
        <v> </v>
      </c>
      <c r="L176" s="334" t="str">
        <f aca="false">IF((E176="e"),G176," ")</f>
        <v> </v>
      </c>
      <c r="M176" s="334" t="str">
        <f aca="false">IF((E176="p"),G176," ")</f>
        <v> </v>
      </c>
      <c r="N176" s="334" t="str">
        <f aca="false">IF((E176="r"),G176," ")</f>
        <v> </v>
      </c>
      <c r="O176" s="334" t="str">
        <f aca="false">IF((E176="g"),G176," ")</f>
        <v> </v>
      </c>
      <c r="P176" s="334" t="str">
        <f aca="false">IF((E176="m"),G176," ")</f>
        <v> </v>
      </c>
      <c r="Q176" s="334" t="str">
        <f aca="false">IF((E176="t"),G176," ")</f>
        <v> </v>
      </c>
      <c r="R176" s="334" t="str">
        <f aca="false">IF((E176="a"),G176," ")</f>
        <v> </v>
      </c>
      <c r="S176" s="334" t="str">
        <f aca="false">IF((E176="l"),G176," ")</f>
        <v> </v>
      </c>
      <c r="T176" s="334" t="str">
        <f aca="false">IF((E176="b"),G176," ")</f>
        <v> </v>
      </c>
      <c r="U176" s="334" t="str">
        <f aca="false">IF((E176="i"),G176," ")</f>
        <v> </v>
      </c>
      <c r="V176" s="334" t="str">
        <f aca="false">IF((E176="o"),G176," ")</f>
        <v> </v>
      </c>
      <c r="W176" s="334" t="str">
        <f aca="false">IF((E176="f"),G176," ")</f>
        <v> </v>
      </c>
    </row>
    <row r="177" customFormat="false" ht="12.75" hidden="false" customHeight="false" outlineLevel="0" collapsed="false">
      <c r="A177" s="355"/>
      <c r="E177" s="365" t="str">
        <f aca="false">IF((G177&lt;&gt;0),"Enter Letter"," ")</f>
        <v> </v>
      </c>
      <c r="H177" s="338" t="str">
        <f aca="false">IF((G177&lt;&gt;0),IF((D177&gt;0)," ",G177)," ")</f>
        <v> </v>
      </c>
      <c r="I177" s="367" t="str">
        <f aca="false">IF((G177&lt;&gt;0),IF((D177&gt;0)," ",(I$1-A177))," ")</f>
        <v> </v>
      </c>
      <c r="J177" s="334" t="str">
        <f aca="false">IF((E177="s"),G177," ")</f>
        <v> </v>
      </c>
      <c r="K177" s="334" t="str">
        <f aca="false">IF((E177="d"),G177," ")</f>
        <v> </v>
      </c>
      <c r="L177" s="334" t="str">
        <f aca="false">IF((E177="e"),G177," ")</f>
        <v> </v>
      </c>
      <c r="M177" s="334" t="str">
        <f aca="false">IF((E177="p"),G177," ")</f>
        <v> </v>
      </c>
      <c r="N177" s="334" t="str">
        <f aca="false">IF((E177="r"),G177," ")</f>
        <v> </v>
      </c>
      <c r="O177" s="334" t="str">
        <f aca="false">IF((E177="g"),G177," ")</f>
        <v> </v>
      </c>
      <c r="P177" s="334" t="str">
        <f aca="false">IF((E177="m"),G177," ")</f>
        <v> </v>
      </c>
      <c r="Q177" s="334" t="str">
        <f aca="false">IF((E177="t"),G177," ")</f>
        <v> </v>
      </c>
      <c r="R177" s="334" t="str">
        <f aca="false">IF((E177="a"),G177," ")</f>
        <v> </v>
      </c>
      <c r="S177" s="334" t="str">
        <f aca="false">IF((E177="l"),G177," ")</f>
        <v> </v>
      </c>
      <c r="T177" s="334" t="str">
        <f aca="false">IF((E177="b"),G177," ")</f>
        <v> </v>
      </c>
      <c r="U177" s="334" t="str">
        <f aca="false">IF((E177="i"),G177," ")</f>
        <v> </v>
      </c>
      <c r="V177" s="334" t="str">
        <f aca="false">IF((E177="o"),G177," ")</f>
        <v> </v>
      </c>
      <c r="W177" s="334" t="str">
        <f aca="false">IF((E177="f"),G177," ")</f>
        <v> </v>
      </c>
    </row>
    <row r="178" customFormat="false" ht="12.75" hidden="false" customHeight="false" outlineLevel="0" collapsed="false">
      <c r="A178" s="355"/>
      <c r="E178" s="365" t="str">
        <f aca="false">IF((G178&lt;&gt;0),"Enter Letter"," ")</f>
        <v> </v>
      </c>
      <c r="H178" s="338" t="str">
        <f aca="false">IF((G178&lt;&gt;0),IF((D178&gt;0)," ",G178)," ")</f>
        <v> </v>
      </c>
      <c r="I178" s="367" t="str">
        <f aca="false">IF((G178&lt;&gt;0),IF((D178&gt;0)," ",(I$1-A178))," ")</f>
        <v> </v>
      </c>
      <c r="J178" s="334" t="str">
        <f aca="false">IF((E178="s"),G178," ")</f>
        <v> </v>
      </c>
      <c r="K178" s="334" t="str">
        <f aca="false">IF((E178="d"),G178," ")</f>
        <v> </v>
      </c>
      <c r="L178" s="334" t="str">
        <f aca="false">IF((E178="e"),G178," ")</f>
        <v> </v>
      </c>
      <c r="M178" s="334" t="str">
        <f aca="false">IF((E178="p"),G178," ")</f>
        <v> </v>
      </c>
      <c r="N178" s="334" t="str">
        <f aca="false">IF((E178="r"),G178," ")</f>
        <v> </v>
      </c>
      <c r="O178" s="334" t="str">
        <f aca="false">IF((E178="g"),G178," ")</f>
        <v> </v>
      </c>
      <c r="P178" s="334" t="str">
        <f aca="false">IF((E178="m"),G178," ")</f>
        <v> </v>
      </c>
      <c r="Q178" s="334" t="str">
        <f aca="false">IF((E178="t"),G178," ")</f>
        <v> </v>
      </c>
      <c r="R178" s="334" t="str">
        <f aca="false">IF((E178="a"),G178," ")</f>
        <v> </v>
      </c>
      <c r="S178" s="334" t="str">
        <f aca="false">IF((E178="l"),G178," ")</f>
        <v> </v>
      </c>
      <c r="T178" s="334" t="str">
        <f aca="false">IF((E178="b"),G178," ")</f>
        <v> </v>
      </c>
      <c r="U178" s="334" t="str">
        <f aca="false">IF((E178="i"),G178," ")</f>
        <v> </v>
      </c>
      <c r="V178" s="334" t="str">
        <f aca="false">IF((E178="o"),G178," ")</f>
        <v> </v>
      </c>
      <c r="W178" s="334" t="str">
        <f aca="false">IF((E178="f"),G178," ")</f>
        <v> </v>
      </c>
    </row>
    <row r="179" customFormat="false" ht="12.75" hidden="false" customHeight="false" outlineLevel="0" collapsed="false">
      <c r="A179" s="355"/>
      <c r="E179" s="365" t="str">
        <f aca="false">IF((G179&lt;&gt;0),"Enter Letter"," ")</f>
        <v> </v>
      </c>
      <c r="H179" s="338" t="str">
        <f aca="false">IF((G179&lt;&gt;0),IF((D179&gt;0)," ",G179)," ")</f>
        <v> </v>
      </c>
      <c r="I179" s="367" t="str">
        <f aca="false">IF((G179&lt;&gt;0),IF((D179&gt;0)," ",(I$1-A179))," ")</f>
        <v> </v>
      </c>
      <c r="J179" s="334" t="str">
        <f aca="false">IF((E179="s"),G179," ")</f>
        <v> </v>
      </c>
      <c r="K179" s="334" t="str">
        <f aca="false">IF((E179="d"),G179," ")</f>
        <v> </v>
      </c>
      <c r="L179" s="334" t="str">
        <f aca="false">IF((E179="e"),G179," ")</f>
        <v> </v>
      </c>
      <c r="M179" s="334" t="str">
        <f aca="false">IF((E179="p"),G179," ")</f>
        <v> </v>
      </c>
      <c r="N179" s="334" t="str">
        <f aca="false">IF((E179="r"),G179," ")</f>
        <v> </v>
      </c>
      <c r="O179" s="334" t="str">
        <f aca="false">IF((E179="g"),G179," ")</f>
        <v> </v>
      </c>
      <c r="P179" s="334" t="str">
        <f aca="false">IF((E179="m"),G179," ")</f>
        <v> </v>
      </c>
      <c r="Q179" s="334" t="str">
        <f aca="false">IF((E179="t"),G179," ")</f>
        <v> </v>
      </c>
      <c r="R179" s="334" t="str">
        <f aca="false">IF((E179="a"),G179," ")</f>
        <v> </v>
      </c>
      <c r="S179" s="334" t="str">
        <f aca="false">IF((E179="l"),G179," ")</f>
        <v> </v>
      </c>
      <c r="T179" s="334" t="str">
        <f aca="false">IF((E179="b"),G179," ")</f>
        <v> </v>
      </c>
      <c r="U179" s="334" t="str">
        <f aca="false">IF((E179="i"),G179," ")</f>
        <v> </v>
      </c>
      <c r="V179" s="334" t="str">
        <f aca="false">IF((E179="o"),G179," ")</f>
        <v> </v>
      </c>
      <c r="W179" s="334" t="str">
        <f aca="false">IF((E179="f"),G179," ")</f>
        <v> </v>
      </c>
    </row>
    <row r="180" customFormat="false" ht="12.75" hidden="false" customHeight="false" outlineLevel="0" collapsed="false">
      <c r="A180" s="355"/>
      <c r="E180" s="365" t="str">
        <f aca="false">IF((G180&lt;&gt;0),"Enter Letter"," ")</f>
        <v> </v>
      </c>
      <c r="H180" s="338" t="str">
        <f aca="false">IF((G180&lt;&gt;0),IF((D180&gt;0)," ",G180)," ")</f>
        <v> </v>
      </c>
      <c r="I180" s="367" t="str">
        <f aca="false">IF((G180&lt;&gt;0),IF((D180&gt;0)," ",(I$1-A180))," ")</f>
        <v> </v>
      </c>
      <c r="J180" s="334" t="str">
        <f aca="false">IF((E180="s"),G180," ")</f>
        <v> </v>
      </c>
      <c r="K180" s="334" t="str">
        <f aca="false">IF((E180="d"),G180," ")</f>
        <v> </v>
      </c>
      <c r="L180" s="334" t="str">
        <f aca="false">IF((E180="e"),G180," ")</f>
        <v> </v>
      </c>
      <c r="M180" s="334" t="str">
        <f aca="false">IF((E180="p"),G180," ")</f>
        <v> </v>
      </c>
      <c r="N180" s="334" t="str">
        <f aca="false">IF((E180="r"),G180," ")</f>
        <v> </v>
      </c>
      <c r="O180" s="334" t="str">
        <f aca="false">IF((E180="g"),G180," ")</f>
        <v> </v>
      </c>
      <c r="P180" s="334" t="str">
        <f aca="false">IF((E180="m"),G180," ")</f>
        <v> </v>
      </c>
      <c r="Q180" s="334" t="str">
        <f aca="false">IF((E180="t"),G180," ")</f>
        <v> </v>
      </c>
      <c r="R180" s="334" t="str">
        <f aca="false">IF((E180="a"),G180," ")</f>
        <v> </v>
      </c>
      <c r="S180" s="334" t="str">
        <f aca="false">IF((E180="l"),G180," ")</f>
        <v> </v>
      </c>
      <c r="T180" s="334" t="str">
        <f aca="false">IF((E180="b"),G180," ")</f>
        <v> </v>
      </c>
      <c r="U180" s="334" t="str">
        <f aca="false">IF((E180="i"),G180," ")</f>
        <v> </v>
      </c>
      <c r="V180" s="334" t="str">
        <f aca="false">IF((E180="o"),G180," ")</f>
        <v> </v>
      </c>
      <c r="W180" s="334" t="str">
        <f aca="false">IF((E180="f"),G180," ")</f>
        <v> </v>
      </c>
    </row>
    <row r="181" customFormat="false" ht="12.75" hidden="false" customHeight="false" outlineLevel="0" collapsed="false">
      <c r="A181" s="355"/>
      <c r="E181" s="365" t="str">
        <f aca="false">IF((G181&lt;&gt;0),"Enter Letter"," ")</f>
        <v> </v>
      </c>
      <c r="H181" s="338" t="str">
        <f aca="false">IF((G181&lt;&gt;0),IF((D181&gt;0)," ",G181)," ")</f>
        <v> </v>
      </c>
      <c r="I181" s="367" t="str">
        <f aca="false">IF((G181&lt;&gt;0),IF((D181&gt;0)," ",(I$1-A181))," ")</f>
        <v> </v>
      </c>
      <c r="J181" s="334" t="str">
        <f aca="false">IF((E181="s"),G181," ")</f>
        <v> </v>
      </c>
      <c r="K181" s="334" t="str">
        <f aca="false">IF((E181="d"),G181," ")</f>
        <v> </v>
      </c>
      <c r="L181" s="334" t="str">
        <f aca="false">IF((E181="e"),G181," ")</f>
        <v> </v>
      </c>
      <c r="M181" s="334" t="str">
        <f aca="false">IF((E181="p"),G181," ")</f>
        <v> </v>
      </c>
      <c r="N181" s="334" t="str">
        <f aca="false">IF((E181="r"),G181," ")</f>
        <v> </v>
      </c>
      <c r="O181" s="334" t="str">
        <f aca="false">IF((E181="g"),G181," ")</f>
        <v> </v>
      </c>
      <c r="P181" s="334" t="str">
        <f aca="false">IF((E181="m"),G181," ")</f>
        <v> </v>
      </c>
      <c r="Q181" s="334" t="str">
        <f aca="false">IF((E181="t"),G181," ")</f>
        <v> </v>
      </c>
      <c r="R181" s="334" t="str">
        <f aca="false">IF((E181="a"),G181," ")</f>
        <v> </v>
      </c>
      <c r="S181" s="334" t="str">
        <f aca="false">IF((E181="l"),G181," ")</f>
        <v> </v>
      </c>
      <c r="T181" s="334" t="str">
        <f aca="false">IF((E181="b"),G181," ")</f>
        <v> </v>
      </c>
      <c r="U181" s="334" t="str">
        <f aca="false">IF((E181="i"),G181," ")</f>
        <v> </v>
      </c>
      <c r="V181" s="334" t="str">
        <f aca="false">IF((E181="o"),G181," ")</f>
        <v> </v>
      </c>
      <c r="W181" s="334" t="str">
        <f aca="false">IF((E181="f"),G181," ")</f>
        <v> </v>
      </c>
    </row>
    <row r="182" customFormat="false" ht="12.75" hidden="false" customHeight="false" outlineLevel="0" collapsed="false">
      <c r="A182" s="355"/>
      <c r="E182" s="365" t="str">
        <f aca="false">IF((G182&lt;&gt;0),"Enter Letter"," ")</f>
        <v> </v>
      </c>
      <c r="H182" s="338" t="str">
        <f aca="false">IF((G182&lt;&gt;0),IF((D182&gt;0)," ",G182)," ")</f>
        <v> </v>
      </c>
      <c r="I182" s="367" t="str">
        <f aca="false">IF((G182&lt;&gt;0),IF((D182&gt;0)," ",(I$1-A182))," ")</f>
        <v> </v>
      </c>
      <c r="J182" s="334" t="str">
        <f aca="false">IF((E182="s"),G182," ")</f>
        <v> </v>
      </c>
      <c r="K182" s="334" t="str">
        <f aca="false">IF((E182="d"),G182," ")</f>
        <v> </v>
      </c>
      <c r="L182" s="334" t="str">
        <f aca="false">IF((E182="e"),G182," ")</f>
        <v> </v>
      </c>
      <c r="M182" s="334" t="str">
        <f aca="false">IF((E182="p"),G182," ")</f>
        <v> </v>
      </c>
      <c r="N182" s="334" t="str">
        <f aca="false">IF((E182="r"),G182," ")</f>
        <v> </v>
      </c>
      <c r="O182" s="334" t="str">
        <f aca="false">IF((E182="g"),G182," ")</f>
        <v> </v>
      </c>
      <c r="P182" s="334" t="str">
        <f aca="false">IF((E182="m"),G182," ")</f>
        <v> </v>
      </c>
      <c r="Q182" s="334" t="str">
        <f aca="false">IF((E182="t"),G182," ")</f>
        <v> </v>
      </c>
      <c r="R182" s="334" t="str">
        <f aca="false">IF((E182="a"),G182," ")</f>
        <v> </v>
      </c>
      <c r="S182" s="334" t="str">
        <f aca="false">IF((E182="l"),G182," ")</f>
        <v> </v>
      </c>
      <c r="T182" s="334" t="str">
        <f aca="false">IF((E182="b"),G182," ")</f>
        <v> </v>
      </c>
      <c r="U182" s="334" t="str">
        <f aca="false">IF((E182="i"),G182," ")</f>
        <v> </v>
      </c>
      <c r="V182" s="334" t="str">
        <f aca="false">IF((E182="o"),G182," ")</f>
        <v> </v>
      </c>
      <c r="W182" s="334" t="str">
        <f aca="false">IF((E182="f"),G182," ")</f>
        <v> </v>
      </c>
    </row>
    <row r="183" customFormat="false" ht="12.75" hidden="false" customHeight="false" outlineLevel="0" collapsed="false">
      <c r="A183" s="355"/>
      <c r="E183" s="365" t="str">
        <f aca="false">IF((G183&lt;&gt;0),"Enter Letter"," ")</f>
        <v> </v>
      </c>
      <c r="H183" s="338" t="str">
        <f aca="false">IF((G183&lt;&gt;0),IF((D183&gt;0)," ",G183)," ")</f>
        <v> </v>
      </c>
      <c r="I183" s="367" t="str">
        <f aca="false">IF((G183&lt;&gt;0),IF((D183&gt;0)," ",(I$1-A183))," ")</f>
        <v> </v>
      </c>
      <c r="J183" s="334" t="str">
        <f aca="false">IF((E183="s"),G183," ")</f>
        <v> </v>
      </c>
      <c r="K183" s="334" t="str">
        <f aca="false">IF((E183="d"),G183," ")</f>
        <v> </v>
      </c>
      <c r="L183" s="334" t="str">
        <f aca="false">IF((E183="e"),G183," ")</f>
        <v> </v>
      </c>
      <c r="M183" s="334" t="str">
        <f aca="false">IF((E183="p"),G183," ")</f>
        <v> </v>
      </c>
      <c r="N183" s="334" t="str">
        <f aca="false">IF((E183="r"),G183," ")</f>
        <v> </v>
      </c>
      <c r="O183" s="334" t="str">
        <f aca="false">IF((E183="g"),G183," ")</f>
        <v> </v>
      </c>
      <c r="P183" s="334" t="str">
        <f aca="false">IF((E183="m"),G183," ")</f>
        <v> </v>
      </c>
      <c r="Q183" s="334" t="str">
        <f aca="false">IF((E183="t"),G183," ")</f>
        <v> </v>
      </c>
      <c r="R183" s="334" t="str">
        <f aca="false">IF((E183="a"),G183," ")</f>
        <v> </v>
      </c>
      <c r="S183" s="334" t="str">
        <f aca="false">IF((E183="l"),G183," ")</f>
        <v> </v>
      </c>
      <c r="T183" s="334" t="str">
        <f aca="false">IF((E183="b"),G183," ")</f>
        <v> </v>
      </c>
      <c r="U183" s="334" t="str">
        <f aca="false">IF((E183="i"),G183," ")</f>
        <v> </v>
      </c>
      <c r="V183" s="334" t="str">
        <f aca="false">IF((E183="o"),G183," ")</f>
        <v> </v>
      </c>
      <c r="W183" s="334" t="str">
        <f aca="false">IF((E183="f"),G183," ")</f>
        <v> </v>
      </c>
    </row>
    <row r="184" customFormat="false" ht="12.75" hidden="false" customHeight="false" outlineLevel="0" collapsed="false">
      <c r="A184" s="355"/>
      <c r="E184" s="365" t="str">
        <f aca="false">IF((G184&lt;&gt;0),"Enter Letter"," ")</f>
        <v> </v>
      </c>
      <c r="H184" s="338" t="str">
        <f aca="false">IF((G184&lt;&gt;0),IF((D184&gt;0)," ",G184)," ")</f>
        <v> </v>
      </c>
      <c r="I184" s="367" t="str">
        <f aca="false">IF((G184&lt;&gt;0),IF((D184&gt;0)," ",(I$1-A184))," ")</f>
        <v> </v>
      </c>
      <c r="J184" s="334" t="str">
        <f aca="false">IF((E184="s"),G184," ")</f>
        <v> </v>
      </c>
      <c r="K184" s="334" t="str">
        <f aca="false">IF((E184="d"),G184," ")</f>
        <v> </v>
      </c>
      <c r="L184" s="334" t="str">
        <f aca="false">IF((E184="e"),G184," ")</f>
        <v> </v>
      </c>
      <c r="M184" s="334" t="str">
        <f aca="false">IF((E184="p"),G184," ")</f>
        <v> </v>
      </c>
      <c r="N184" s="334" t="str">
        <f aca="false">IF((E184="r"),G184," ")</f>
        <v> </v>
      </c>
      <c r="O184" s="334" t="str">
        <f aca="false">IF((E184="g"),G184," ")</f>
        <v> </v>
      </c>
      <c r="P184" s="334" t="str">
        <f aca="false">IF((E184="m"),G184," ")</f>
        <v> </v>
      </c>
      <c r="Q184" s="334" t="str">
        <f aca="false">IF((E184="t"),G184," ")</f>
        <v> </v>
      </c>
      <c r="R184" s="334" t="str">
        <f aca="false">IF((E184="a"),G184," ")</f>
        <v> </v>
      </c>
      <c r="S184" s="334" t="str">
        <f aca="false">IF((E184="l"),G184," ")</f>
        <v> </v>
      </c>
      <c r="T184" s="334" t="str">
        <f aca="false">IF((E184="b"),G184," ")</f>
        <v> </v>
      </c>
      <c r="U184" s="334" t="str">
        <f aca="false">IF((E184="i"),G184," ")</f>
        <v> </v>
      </c>
      <c r="V184" s="334" t="str">
        <f aca="false">IF((E184="o"),G184," ")</f>
        <v> </v>
      </c>
      <c r="W184" s="334" t="str">
        <f aca="false">IF((E184="f"),G184," ")</f>
        <v> </v>
      </c>
    </row>
    <row r="185" customFormat="false" ht="12.75" hidden="false" customHeight="false" outlineLevel="0" collapsed="false">
      <c r="A185" s="355"/>
      <c r="E185" s="365" t="str">
        <f aca="false">IF((G185&lt;&gt;0),"Enter Letter"," ")</f>
        <v> </v>
      </c>
      <c r="H185" s="338" t="str">
        <f aca="false">IF((G185&lt;&gt;0),IF((D185&gt;0)," ",G185)," ")</f>
        <v> </v>
      </c>
      <c r="I185" s="367" t="str">
        <f aca="false">IF((G185&lt;&gt;0),IF((D185&gt;0)," ",(I$1-A185))," ")</f>
        <v> </v>
      </c>
      <c r="J185" s="334" t="str">
        <f aca="false">IF((E185="s"),G185," ")</f>
        <v> </v>
      </c>
      <c r="K185" s="334" t="str">
        <f aca="false">IF((E185="d"),G185," ")</f>
        <v> </v>
      </c>
      <c r="L185" s="334" t="str">
        <f aca="false">IF((E185="e"),G185," ")</f>
        <v> </v>
      </c>
      <c r="M185" s="334" t="str">
        <f aca="false">IF((E185="p"),G185," ")</f>
        <v> </v>
      </c>
      <c r="N185" s="334" t="str">
        <f aca="false">IF((E185="r"),G185," ")</f>
        <v> </v>
      </c>
      <c r="O185" s="334" t="str">
        <f aca="false">IF((E185="g"),G185," ")</f>
        <v> </v>
      </c>
      <c r="P185" s="334" t="str">
        <f aca="false">IF((E185="m"),G185," ")</f>
        <v> </v>
      </c>
      <c r="Q185" s="334" t="str">
        <f aca="false">IF((E185="t"),G185," ")</f>
        <v> </v>
      </c>
      <c r="R185" s="334" t="str">
        <f aca="false">IF((E185="a"),G185," ")</f>
        <v> </v>
      </c>
      <c r="S185" s="334" t="str">
        <f aca="false">IF((E185="l"),G185," ")</f>
        <v> </v>
      </c>
      <c r="T185" s="334" t="str">
        <f aca="false">IF((E185="b"),G185," ")</f>
        <v> </v>
      </c>
      <c r="U185" s="334" t="str">
        <f aca="false">IF((E185="i"),G185," ")</f>
        <v> </v>
      </c>
      <c r="V185" s="334" t="str">
        <f aca="false">IF((E185="o"),G185," ")</f>
        <v> </v>
      </c>
      <c r="W185" s="334" t="str">
        <f aca="false">IF((E185="f"),G185," ")</f>
        <v> </v>
      </c>
    </row>
    <row r="186" customFormat="false" ht="12.75" hidden="false" customHeight="false" outlineLevel="0" collapsed="false">
      <c r="A186" s="355"/>
      <c r="E186" s="365" t="str">
        <f aca="false">IF((G186&lt;&gt;0),"Enter Letter"," ")</f>
        <v> </v>
      </c>
      <c r="H186" s="338" t="str">
        <f aca="false">IF((G186&lt;&gt;0),IF((D186&gt;0)," ",G186)," ")</f>
        <v> </v>
      </c>
      <c r="I186" s="367" t="str">
        <f aca="false">IF((G186&lt;&gt;0),IF((D186&gt;0)," ",(I$1-A186))," ")</f>
        <v> </v>
      </c>
      <c r="J186" s="334" t="str">
        <f aca="false">IF((E186="s"),G186," ")</f>
        <v> </v>
      </c>
      <c r="K186" s="334" t="str">
        <f aca="false">IF((E186="d"),G186," ")</f>
        <v> </v>
      </c>
      <c r="L186" s="334" t="str">
        <f aca="false">IF((E186="e"),G186," ")</f>
        <v> </v>
      </c>
      <c r="M186" s="334" t="str">
        <f aca="false">IF((E186="p"),G186," ")</f>
        <v> </v>
      </c>
      <c r="N186" s="334" t="str">
        <f aca="false">IF((E186="r"),G186," ")</f>
        <v> </v>
      </c>
      <c r="O186" s="334" t="str">
        <f aca="false">IF((E186="g"),G186," ")</f>
        <v> </v>
      </c>
      <c r="P186" s="334" t="str">
        <f aca="false">IF((E186="m"),G186," ")</f>
        <v> </v>
      </c>
      <c r="Q186" s="334" t="str">
        <f aca="false">IF((E186="t"),G186," ")</f>
        <v> </v>
      </c>
      <c r="R186" s="334" t="str">
        <f aca="false">IF((E186="a"),G186," ")</f>
        <v> </v>
      </c>
      <c r="S186" s="334" t="str">
        <f aca="false">IF((E186="l"),G186," ")</f>
        <v> </v>
      </c>
      <c r="T186" s="334" t="str">
        <f aca="false">IF((E186="b"),G186," ")</f>
        <v> </v>
      </c>
      <c r="U186" s="334" t="str">
        <f aca="false">IF((E186="i"),G186," ")</f>
        <v> </v>
      </c>
      <c r="V186" s="334" t="str">
        <f aca="false">IF((E186="o"),G186," ")</f>
        <v> </v>
      </c>
      <c r="W186" s="334" t="str">
        <f aca="false">IF((E186="f"),G186," ")</f>
        <v> </v>
      </c>
    </row>
    <row r="187" customFormat="false" ht="12.75" hidden="false" customHeight="false" outlineLevel="0" collapsed="false">
      <c r="A187" s="355"/>
      <c r="E187" s="365" t="str">
        <f aca="false">IF((G187&lt;&gt;0),"Enter Letter"," ")</f>
        <v> </v>
      </c>
      <c r="H187" s="338" t="str">
        <f aca="false">IF((G187&lt;&gt;0),IF((D187&gt;0)," ",G187)," ")</f>
        <v> </v>
      </c>
      <c r="I187" s="367" t="str">
        <f aca="false">IF((G187&lt;&gt;0),IF((D187&gt;0)," ",(I$1-A187))," ")</f>
        <v> </v>
      </c>
      <c r="J187" s="334" t="str">
        <f aca="false">IF((E187="s"),G187," ")</f>
        <v> </v>
      </c>
      <c r="K187" s="334" t="str">
        <f aca="false">IF((E187="d"),G187," ")</f>
        <v> </v>
      </c>
      <c r="L187" s="334" t="str">
        <f aca="false">IF((E187="e"),G187," ")</f>
        <v> </v>
      </c>
      <c r="M187" s="334" t="str">
        <f aca="false">IF((E187="p"),G187," ")</f>
        <v> </v>
      </c>
      <c r="N187" s="334" t="str">
        <f aca="false">IF((E187="r"),G187," ")</f>
        <v> </v>
      </c>
      <c r="O187" s="334" t="str">
        <f aca="false">IF((E187="g"),G187," ")</f>
        <v> </v>
      </c>
      <c r="P187" s="334" t="str">
        <f aca="false">IF((E187="m"),G187," ")</f>
        <v> </v>
      </c>
      <c r="Q187" s="334" t="str">
        <f aca="false">IF((E187="t"),G187," ")</f>
        <v> </v>
      </c>
      <c r="R187" s="334" t="str">
        <f aca="false">IF((E187="a"),G187," ")</f>
        <v> </v>
      </c>
      <c r="S187" s="334" t="str">
        <f aca="false">IF((E187="l"),G187," ")</f>
        <v> </v>
      </c>
      <c r="T187" s="334" t="str">
        <f aca="false">IF((E187="b"),G187," ")</f>
        <v> </v>
      </c>
      <c r="U187" s="334" t="str">
        <f aca="false">IF((E187="i"),G187," ")</f>
        <v> </v>
      </c>
      <c r="V187" s="334" t="str">
        <f aca="false">IF((E187="o"),G187," ")</f>
        <v> </v>
      </c>
      <c r="W187" s="334" t="str">
        <f aca="false">IF((E187="f"),G187," ")</f>
        <v> </v>
      </c>
    </row>
    <row r="188" customFormat="false" ht="12.75" hidden="false" customHeight="false" outlineLevel="0" collapsed="false">
      <c r="A188" s="355"/>
      <c r="E188" s="365" t="str">
        <f aca="false">IF((G188&lt;&gt;0),"Enter Letter"," ")</f>
        <v> </v>
      </c>
      <c r="H188" s="338" t="str">
        <f aca="false">IF((G188&lt;&gt;0),IF((D188&gt;0)," ",G188)," ")</f>
        <v> </v>
      </c>
      <c r="I188" s="367" t="str">
        <f aca="false">IF((G188&lt;&gt;0),IF((D188&gt;0)," ",(I$1-A188))," ")</f>
        <v> </v>
      </c>
      <c r="J188" s="334" t="str">
        <f aca="false">IF((E188="s"),G188," ")</f>
        <v> </v>
      </c>
      <c r="K188" s="334" t="str">
        <f aca="false">IF((E188="d"),G188," ")</f>
        <v> </v>
      </c>
      <c r="L188" s="334" t="str">
        <f aca="false">IF((E188="e"),G188," ")</f>
        <v> </v>
      </c>
      <c r="M188" s="334" t="str">
        <f aca="false">IF((E188="p"),G188," ")</f>
        <v> </v>
      </c>
      <c r="N188" s="334" t="str">
        <f aca="false">IF((E188="r"),G188," ")</f>
        <v> </v>
      </c>
      <c r="O188" s="334" t="str">
        <f aca="false">IF((E188="g"),G188," ")</f>
        <v> </v>
      </c>
      <c r="P188" s="334" t="str">
        <f aca="false">IF((E188="m"),G188," ")</f>
        <v> </v>
      </c>
      <c r="Q188" s="334" t="str">
        <f aca="false">IF((E188="t"),G188," ")</f>
        <v> </v>
      </c>
      <c r="R188" s="334" t="str">
        <f aca="false">IF((E188="a"),G188," ")</f>
        <v> </v>
      </c>
      <c r="S188" s="334" t="str">
        <f aca="false">IF((E188="l"),G188," ")</f>
        <v> </v>
      </c>
      <c r="T188" s="334" t="str">
        <f aca="false">IF((E188="b"),G188," ")</f>
        <v> </v>
      </c>
      <c r="U188" s="334" t="str">
        <f aca="false">IF((E188="i"),G188," ")</f>
        <v> </v>
      </c>
      <c r="V188" s="334" t="str">
        <f aca="false">IF((E188="o"),G188," ")</f>
        <v> </v>
      </c>
      <c r="W188" s="334" t="str">
        <f aca="false">IF((E188="f"),G188," ")</f>
        <v> </v>
      </c>
    </row>
    <row r="189" customFormat="false" ht="12.75" hidden="false" customHeight="false" outlineLevel="0" collapsed="false">
      <c r="A189" s="355"/>
      <c r="E189" s="365" t="str">
        <f aca="false">IF((G189&lt;&gt;0),"Enter Letter"," ")</f>
        <v> </v>
      </c>
      <c r="H189" s="338" t="str">
        <f aca="false">IF((G189&lt;&gt;0),IF((D189&gt;0)," ",G189)," ")</f>
        <v> </v>
      </c>
      <c r="I189" s="367" t="str">
        <f aca="false">IF((G189&lt;&gt;0),IF((D189&gt;0)," ",(I$1-A189))," ")</f>
        <v> </v>
      </c>
      <c r="J189" s="334" t="str">
        <f aca="false">IF((E189="s"),G189," ")</f>
        <v> </v>
      </c>
      <c r="K189" s="334" t="str">
        <f aca="false">IF((E189="d"),G189," ")</f>
        <v> </v>
      </c>
      <c r="L189" s="334" t="str">
        <f aca="false">IF((E189="e"),G189," ")</f>
        <v> </v>
      </c>
      <c r="M189" s="334" t="str">
        <f aca="false">IF((E189="p"),G189," ")</f>
        <v> </v>
      </c>
      <c r="N189" s="334" t="str">
        <f aca="false">IF((E189="r"),G189," ")</f>
        <v> </v>
      </c>
      <c r="O189" s="334" t="str">
        <f aca="false">IF((E189="g"),G189," ")</f>
        <v> </v>
      </c>
      <c r="P189" s="334" t="str">
        <f aca="false">IF((E189="m"),G189," ")</f>
        <v> </v>
      </c>
      <c r="Q189" s="334" t="str">
        <f aca="false">IF((E189="t"),G189," ")</f>
        <v> </v>
      </c>
      <c r="R189" s="334" t="str">
        <f aca="false">IF((E189="a"),G189," ")</f>
        <v> </v>
      </c>
      <c r="S189" s="334" t="str">
        <f aca="false">IF((E189="l"),G189," ")</f>
        <v> </v>
      </c>
      <c r="T189" s="334" t="str">
        <f aca="false">IF((E189="b"),G189," ")</f>
        <v> </v>
      </c>
      <c r="U189" s="334" t="str">
        <f aca="false">IF((E189="i"),G189," ")</f>
        <v> </v>
      </c>
      <c r="V189" s="334" t="str">
        <f aca="false">IF((E189="o"),G189," ")</f>
        <v> </v>
      </c>
      <c r="W189" s="334" t="str">
        <f aca="false">IF((E189="f"),G189," ")</f>
        <v> </v>
      </c>
    </row>
    <row r="190" customFormat="false" ht="12.75" hidden="false" customHeight="false" outlineLevel="0" collapsed="false">
      <c r="A190" s="355"/>
      <c r="E190" s="365" t="str">
        <f aca="false">IF((G190&lt;&gt;0),"Enter Letter"," ")</f>
        <v> </v>
      </c>
      <c r="H190" s="338" t="str">
        <f aca="false">IF((G190&lt;&gt;0),IF((D190&gt;0)," ",G190)," ")</f>
        <v> </v>
      </c>
      <c r="I190" s="367" t="str">
        <f aca="false">IF((G190&lt;&gt;0),IF((D190&gt;0)," ",(I$1-A190))," ")</f>
        <v> </v>
      </c>
      <c r="J190" s="334" t="str">
        <f aca="false">IF((E190="s"),G190," ")</f>
        <v> </v>
      </c>
      <c r="K190" s="334" t="str">
        <f aca="false">IF((E190="d"),G190," ")</f>
        <v> </v>
      </c>
      <c r="L190" s="334" t="str">
        <f aca="false">IF((E190="e"),G190," ")</f>
        <v> </v>
      </c>
      <c r="M190" s="334" t="str">
        <f aca="false">IF((E190="p"),G190," ")</f>
        <v> </v>
      </c>
      <c r="N190" s="334" t="str">
        <f aca="false">IF((E190="r"),G190," ")</f>
        <v> </v>
      </c>
      <c r="O190" s="334" t="str">
        <f aca="false">IF((E190="g"),G190," ")</f>
        <v> </v>
      </c>
      <c r="P190" s="334" t="str">
        <f aca="false">IF((E190="m"),G190," ")</f>
        <v> </v>
      </c>
      <c r="Q190" s="334" t="str">
        <f aca="false">IF((E190="t"),G190," ")</f>
        <v> </v>
      </c>
      <c r="R190" s="334" t="str">
        <f aca="false">IF((E190="a"),G190," ")</f>
        <v> </v>
      </c>
      <c r="S190" s="334" t="str">
        <f aca="false">IF((E190="l"),G190," ")</f>
        <v> </v>
      </c>
      <c r="T190" s="334" t="str">
        <f aca="false">IF((E190="b"),G190," ")</f>
        <v> </v>
      </c>
      <c r="U190" s="334" t="str">
        <f aca="false">IF((E190="i"),G190," ")</f>
        <v> </v>
      </c>
      <c r="V190" s="334" t="str">
        <f aca="false">IF((E190="o"),G190," ")</f>
        <v> </v>
      </c>
      <c r="W190" s="334" t="str">
        <f aca="false">IF((E190="f"),G190," ")</f>
        <v> </v>
      </c>
    </row>
    <row r="191" customFormat="false" ht="12.75" hidden="false" customHeight="false" outlineLevel="0" collapsed="false">
      <c r="A191" s="355"/>
      <c r="E191" s="365" t="str">
        <f aca="false">IF((G191&lt;&gt;0),"Enter Letter"," ")</f>
        <v> </v>
      </c>
      <c r="H191" s="338" t="str">
        <f aca="false">IF((G191&lt;&gt;0),IF((D191&gt;0)," ",G191)," ")</f>
        <v> </v>
      </c>
      <c r="I191" s="367" t="str">
        <f aca="false">IF((G191&lt;&gt;0),IF((D191&gt;0)," ",(I$1-A191))," ")</f>
        <v> </v>
      </c>
      <c r="J191" s="334" t="str">
        <f aca="false">IF((E191="s"),G191," ")</f>
        <v> </v>
      </c>
      <c r="K191" s="334" t="str">
        <f aca="false">IF((E191="d"),G191," ")</f>
        <v> </v>
      </c>
      <c r="L191" s="334" t="str">
        <f aca="false">IF((E191="e"),G191," ")</f>
        <v> </v>
      </c>
      <c r="M191" s="334" t="str">
        <f aca="false">IF((E191="p"),G191," ")</f>
        <v> </v>
      </c>
      <c r="N191" s="334" t="str">
        <f aca="false">IF((E191="r"),G191," ")</f>
        <v> </v>
      </c>
      <c r="O191" s="334" t="str">
        <f aca="false">IF((E191="g"),G191," ")</f>
        <v> </v>
      </c>
      <c r="P191" s="334" t="str">
        <f aca="false">IF((E191="m"),G191," ")</f>
        <v> </v>
      </c>
      <c r="Q191" s="334" t="str">
        <f aca="false">IF((E191="t"),G191," ")</f>
        <v> </v>
      </c>
      <c r="R191" s="334" t="str">
        <f aca="false">IF((E191="a"),G191," ")</f>
        <v> </v>
      </c>
      <c r="S191" s="334" t="str">
        <f aca="false">IF((E191="l"),G191," ")</f>
        <v> </v>
      </c>
      <c r="T191" s="334" t="str">
        <f aca="false">IF((E191="b"),G191," ")</f>
        <v> </v>
      </c>
      <c r="U191" s="334" t="str">
        <f aca="false">IF((E191="i"),G191," ")</f>
        <v> </v>
      </c>
      <c r="V191" s="334" t="str">
        <f aca="false">IF((E191="o"),G191," ")</f>
        <v> </v>
      </c>
      <c r="W191" s="334" t="str">
        <f aca="false">IF((E191="f"),G191," ")</f>
        <v> </v>
      </c>
    </row>
    <row r="192" customFormat="false" ht="12.75" hidden="false" customHeight="false" outlineLevel="0" collapsed="false">
      <c r="A192" s="355"/>
      <c r="E192" s="365" t="str">
        <f aca="false">IF((G192&lt;&gt;0),"Enter Letter"," ")</f>
        <v> </v>
      </c>
      <c r="H192" s="338" t="str">
        <f aca="false">IF((G192&lt;&gt;0),IF((D192&gt;0)," ",G192)," ")</f>
        <v> </v>
      </c>
      <c r="I192" s="367" t="str">
        <f aca="false">IF((G192&lt;&gt;0),IF((D192&gt;0)," ",(I$1-A192))," ")</f>
        <v> </v>
      </c>
      <c r="J192" s="334" t="str">
        <f aca="false">IF((E192="s"),G192," ")</f>
        <v> </v>
      </c>
      <c r="K192" s="334" t="str">
        <f aca="false">IF((E192="d"),G192," ")</f>
        <v> </v>
      </c>
      <c r="L192" s="334" t="str">
        <f aca="false">IF((E192="e"),G192," ")</f>
        <v> </v>
      </c>
      <c r="M192" s="334" t="str">
        <f aca="false">IF((E192="p"),G192," ")</f>
        <v> </v>
      </c>
      <c r="N192" s="334" t="str">
        <f aca="false">IF((E192="r"),G192," ")</f>
        <v> </v>
      </c>
      <c r="O192" s="334" t="str">
        <f aca="false">IF((E192="g"),G192," ")</f>
        <v> </v>
      </c>
      <c r="P192" s="334" t="str">
        <f aca="false">IF((E192="m"),G192," ")</f>
        <v> </v>
      </c>
      <c r="Q192" s="334" t="str">
        <f aca="false">IF((E192="t"),G192," ")</f>
        <v> </v>
      </c>
      <c r="R192" s="334" t="str">
        <f aca="false">IF((E192="a"),G192," ")</f>
        <v> </v>
      </c>
      <c r="S192" s="334" t="str">
        <f aca="false">IF((E192="l"),G192," ")</f>
        <v> </v>
      </c>
      <c r="T192" s="334" t="str">
        <f aca="false">IF((E192="b"),G192," ")</f>
        <v> </v>
      </c>
      <c r="U192" s="334" t="str">
        <f aca="false">IF((E192="i"),G192," ")</f>
        <v> </v>
      </c>
      <c r="V192" s="334" t="str">
        <f aca="false">IF((E192="o"),G192," ")</f>
        <v> </v>
      </c>
      <c r="W192" s="334" t="str">
        <f aca="false">IF((E192="f"),G192," ")</f>
        <v> </v>
      </c>
    </row>
    <row r="193" customFormat="false" ht="12.75" hidden="false" customHeight="false" outlineLevel="0" collapsed="false">
      <c r="A193" s="355"/>
      <c r="E193" s="365" t="str">
        <f aca="false">IF((G193&lt;&gt;0),"Enter Letter"," ")</f>
        <v> </v>
      </c>
      <c r="H193" s="338" t="str">
        <f aca="false">IF((G193&lt;&gt;0),IF((D193&gt;0)," ",G193)," ")</f>
        <v> </v>
      </c>
      <c r="I193" s="367" t="str">
        <f aca="false">IF((G193&lt;&gt;0),IF((D193&gt;0)," ",(I$1-A193))," ")</f>
        <v> </v>
      </c>
      <c r="J193" s="334" t="str">
        <f aca="false">IF((E193="s"),G193," ")</f>
        <v> </v>
      </c>
      <c r="K193" s="334" t="str">
        <f aca="false">IF((E193="d"),G193," ")</f>
        <v> </v>
      </c>
      <c r="L193" s="334" t="str">
        <f aca="false">IF((E193="e"),G193," ")</f>
        <v> </v>
      </c>
      <c r="M193" s="334" t="str">
        <f aca="false">IF((E193="p"),G193," ")</f>
        <v> </v>
      </c>
      <c r="N193" s="334" t="str">
        <f aca="false">IF((E193="r"),G193," ")</f>
        <v> </v>
      </c>
      <c r="O193" s="334" t="str">
        <f aca="false">IF((E193="g"),G193," ")</f>
        <v> </v>
      </c>
      <c r="P193" s="334" t="str">
        <f aca="false">IF((E193="m"),G193," ")</f>
        <v> </v>
      </c>
      <c r="Q193" s="334" t="str">
        <f aca="false">IF((E193="t"),G193," ")</f>
        <v> </v>
      </c>
      <c r="R193" s="334" t="str">
        <f aca="false">IF((E193="a"),G193," ")</f>
        <v> </v>
      </c>
      <c r="S193" s="334" t="str">
        <f aca="false">IF((E193="l"),G193," ")</f>
        <v> </v>
      </c>
      <c r="T193" s="334" t="str">
        <f aca="false">IF((E193="b"),G193," ")</f>
        <v> </v>
      </c>
      <c r="U193" s="334" t="str">
        <f aca="false">IF((E193="i"),G193," ")</f>
        <v> </v>
      </c>
      <c r="V193" s="334" t="str">
        <f aca="false">IF((E193="o"),G193," ")</f>
        <v> </v>
      </c>
      <c r="W193" s="334" t="str">
        <f aca="false">IF((E193="f"),G193," ")</f>
        <v> </v>
      </c>
    </row>
    <row r="194" customFormat="false" ht="12.75" hidden="false" customHeight="false" outlineLevel="0" collapsed="false">
      <c r="A194" s="355"/>
      <c r="E194" s="365" t="str">
        <f aca="false">IF((G194&lt;&gt;0),"Enter Letter"," ")</f>
        <v> </v>
      </c>
      <c r="H194" s="338" t="str">
        <f aca="false">IF((G194&lt;&gt;0),IF((D194&gt;0)," ",G194)," ")</f>
        <v> </v>
      </c>
      <c r="I194" s="367" t="str">
        <f aca="false">IF((G194&lt;&gt;0),IF((D194&gt;0)," ",(I$1-A194))," ")</f>
        <v> </v>
      </c>
      <c r="J194" s="334" t="str">
        <f aca="false">IF((E194="s"),G194," ")</f>
        <v> </v>
      </c>
      <c r="K194" s="334" t="str">
        <f aca="false">IF((E194="d"),G194," ")</f>
        <v> </v>
      </c>
      <c r="L194" s="334" t="str">
        <f aca="false">IF((E194="e"),G194," ")</f>
        <v> </v>
      </c>
      <c r="M194" s="334" t="str">
        <f aca="false">IF((E194="p"),G194," ")</f>
        <v> </v>
      </c>
      <c r="N194" s="334" t="str">
        <f aca="false">IF((E194="r"),G194," ")</f>
        <v> </v>
      </c>
      <c r="O194" s="334" t="str">
        <f aca="false">IF((E194="g"),G194," ")</f>
        <v> </v>
      </c>
      <c r="P194" s="334" t="str">
        <f aca="false">IF((E194="m"),G194," ")</f>
        <v> </v>
      </c>
      <c r="Q194" s="334" t="str">
        <f aca="false">IF((E194="t"),G194," ")</f>
        <v> </v>
      </c>
      <c r="R194" s="334" t="str">
        <f aca="false">IF((E194="a"),G194," ")</f>
        <v> </v>
      </c>
      <c r="S194" s="334" t="str">
        <f aca="false">IF((E194="l"),G194," ")</f>
        <v> </v>
      </c>
      <c r="T194" s="334" t="str">
        <f aca="false">IF((E194="b"),G194," ")</f>
        <v> </v>
      </c>
      <c r="U194" s="334" t="str">
        <f aca="false">IF((E194="i"),G194," ")</f>
        <v> </v>
      </c>
      <c r="V194" s="334" t="str">
        <f aca="false">IF((E194="o"),G194," ")</f>
        <v> </v>
      </c>
      <c r="W194" s="334" t="str">
        <f aca="false">IF((E194="f"),G194," ")</f>
        <v> </v>
      </c>
    </row>
    <row r="195" customFormat="false" ht="12.75" hidden="false" customHeight="false" outlineLevel="0" collapsed="false">
      <c r="A195" s="355"/>
      <c r="E195" s="365" t="str">
        <f aca="false">IF((G195&lt;&gt;0),"Enter Letter"," ")</f>
        <v> </v>
      </c>
      <c r="H195" s="338" t="str">
        <f aca="false">IF((G195&lt;&gt;0),IF((D195&gt;0)," ",G195)," ")</f>
        <v> </v>
      </c>
      <c r="I195" s="367" t="str">
        <f aca="false">IF((G195&lt;&gt;0),IF((D195&gt;0)," ",(I$1-A195))," ")</f>
        <v> </v>
      </c>
      <c r="J195" s="334" t="str">
        <f aca="false">IF((E195="s"),G195," ")</f>
        <v> </v>
      </c>
      <c r="K195" s="334" t="str">
        <f aca="false">IF((E195="d"),G195," ")</f>
        <v> </v>
      </c>
      <c r="L195" s="334" t="str">
        <f aca="false">IF((E195="e"),G195," ")</f>
        <v> </v>
      </c>
      <c r="M195" s="334" t="str">
        <f aca="false">IF((E195="p"),G195," ")</f>
        <v> </v>
      </c>
      <c r="N195" s="334" t="str">
        <f aca="false">IF((E195="r"),G195," ")</f>
        <v> </v>
      </c>
      <c r="O195" s="334" t="str">
        <f aca="false">IF((E195="g"),G195," ")</f>
        <v> </v>
      </c>
      <c r="P195" s="334" t="str">
        <f aca="false">IF((E195="m"),G195," ")</f>
        <v> </v>
      </c>
      <c r="Q195" s="334" t="str">
        <f aca="false">IF((E195="t"),G195," ")</f>
        <v> </v>
      </c>
      <c r="R195" s="334" t="str">
        <f aca="false">IF((E195="a"),G195," ")</f>
        <v> </v>
      </c>
      <c r="S195" s="334" t="str">
        <f aca="false">IF((E195="l"),G195," ")</f>
        <v> </v>
      </c>
      <c r="T195" s="334" t="str">
        <f aca="false">IF((E195="b"),G195," ")</f>
        <v> </v>
      </c>
      <c r="U195" s="334" t="str">
        <f aca="false">IF((E195="i"),G195," ")</f>
        <v> </v>
      </c>
      <c r="V195" s="334" t="str">
        <f aca="false">IF((E195="o"),G195," ")</f>
        <v> </v>
      </c>
      <c r="W195" s="334" t="str">
        <f aca="false">IF((E195="f"),G195," ")</f>
        <v> </v>
      </c>
    </row>
    <row r="196" customFormat="false" ht="12.75" hidden="false" customHeight="false" outlineLevel="0" collapsed="false">
      <c r="A196" s="355"/>
      <c r="E196" s="365" t="str">
        <f aca="false">IF((G196&lt;&gt;0),"Enter Letter"," ")</f>
        <v> </v>
      </c>
      <c r="H196" s="338" t="str">
        <f aca="false">IF((G196&lt;&gt;0),IF((D196&gt;0)," ",G196)," ")</f>
        <v> </v>
      </c>
      <c r="I196" s="367" t="str">
        <f aca="false">IF((G196&lt;&gt;0),IF((D196&gt;0)," ",(I$1-A196))," ")</f>
        <v> </v>
      </c>
      <c r="J196" s="334" t="str">
        <f aca="false">IF((E196="s"),G196," ")</f>
        <v> </v>
      </c>
      <c r="K196" s="334" t="str">
        <f aca="false">IF((E196="d"),G196," ")</f>
        <v> </v>
      </c>
      <c r="L196" s="334" t="str">
        <f aca="false">IF((E196="e"),G196," ")</f>
        <v> </v>
      </c>
      <c r="M196" s="334" t="str">
        <f aca="false">IF((E196="p"),G196," ")</f>
        <v> </v>
      </c>
      <c r="N196" s="334" t="str">
        <f aca="false">IF((E196="r"),G196," ")</f>
        <v> </v>
      </c>
      <c r="O196" s="334" t="str">
        <f aca="false">IF((E196="g"),G196," ")</f>
        <v> </v>
      </c>
      <c r="P196" s="334" t="str">
        <f aca="false">IF((E196="m"),G196," ")</f>
        <v> </v>
      </c>
      <c r="Q196" s="334" t="str">
        <f aca="false">IF((E196="t"),G196," ")</f>
        <v> </v>
      </c>
      <c r="R196" s="334" t="str">
        <f aca="false">IF((E196="a"),G196," ")</f>
        <v> </v>
      </c>
      <c r="S196" s="334" t="str">
        <f aca="false">IF((E196="l"),G196," ")</f>
        <v> </v>
      </c>
      <c r="T196" s="334" t="str">
        <f aca="false">IF((E196="b"),G196," ")</f>
        <v> </v>
      </c>
      <c r="U196" s="334" t="str">
        <f aca="false">IF((E196="i"),G196," ")</f>
        <v> </v>
      </c>
      <c r="V196" s="334" t="str">
        <f aca="false">IF((E196="o"),G196," ")</f>
        <v> </v>
      </c>
      <c r="W196" s="334" t="str">
        <f aca="false">IF((E196="f"),G196," ")</f>
        <v> </v>
      </c>
    </row>
    <row r="197" customFormat="false" ht="12.75" hidden="false" customHeight="false" outlineLevel="0" collapsed="false">
      <c r="A197" s="355"/>
      <c r="E197" s="365" t="str">
        <f aca="false">IF((G197&lt;&gt;0),"Enter Letter"," ")</f>
        <v> </v>
      </c>
      <c r="H197" s="338" t="str">
        <f aca="false">IF((G197&lt;&gt;0),IF((D197&gt;0)," ",G197)," ")</f>
        <v> </v>
      </c>
      <c r="I197" s="367" t="str">
        <f aca="false">IF((G197&lt;&gt;0),IF((D197&gt;0)," ",(I$1-A197))," ")</f>
        <v> </v>
      </c>
      <c r="J197" s="334" t="str">
        <f aca="false">IF((E197="s"),G197," ")</f>
        <v> </v>
      </c>
      <c r="K197" s="334" t="str">
        <f aca="false">IF((E197="d"),G197," ")</f>
        <v> </v>
      </c>
      <c r="L197" s="334" t="str">
        <f aca="false">IF((E197="e"),G197," ")</f>
        <v> </v>
      </c>
      <c r="M197" s="334" t="str">
        <f aca="false">IF((E197="p"),G197," ")</f>
        <v> </v>
      </c>
      <c r="N197" s="334" t="str">
        <f aca="false">IF((E197="r"),G197," ")</f>
        <v> </v>
      </c>
      <c r="O197" s="334" t="str">
        <f aca="false">IF((E197="g"),G197," ")</f>
        <v> </v>
      </c>
      <c r="P197" s="334" t="str">
        <f aca="false">IF((E197="m"),G197," ")</f>
        <v> </v>
      </c>
      <c r="Q197" s="334" t="str">
        <f aca="false">IF((E197="t"),G197," ")</f>
        <v> </v>
      </c>
      <c r="R197" s="334" t="str">
        <f aca="false">IF((E197="a"),G197," ")</f>
        <v> </v>
      </c>
      <c r="S197" s="334" t="str">
        <f aca="false">IF((E197="l"),G197," ")</f>
        <v> </v>
      </c>
      <c r="T197" s="334" t="str">
        <f aca="false">IF((E197="b"),G197," ")</f>
        <v> </v>
      </c>
      <c r="U197" s="334" t="str">
        <f aca="false">IF((E197="i"),G197," ")</f>
        <v> </v>
      </c>
      <c r="V197" s="334" t="str">
        <f aca="false">IF((E197="o"),G197," ")</f>
        <v> </v>
      </c>
      <c r="W197" s="334" t="str">
        <f aca="false">IF((E197="f"),G197," ")</f>
        <v> </v>
      </c>
    </row>
    <row r="198" customFormat="false" ht="12.75" hidden="false" customHeight="false" outlineLevel="0" collapsed="false">
      <c r="A198" s="355"/>
      <c r="E198" s="365" t="str">
        <f aca="false">IF((G198&lt;&gt;0),"Enter Letter"," ")</f>
        <v> </v>
      </c>
      <c r="H198" s="338" t="str">
        <f aca="false">IF((G198&lt;&gt;0),IF((D198&gt;0)," ",G198)," ")</f>
        <v> </v>
      </c>
      <c r="I198" s="367" t="str">
        <f aca="false">IF((G198&lt;&gt;0),IF((D198&gt;0)," ",(I$1-A198))," ")</f>
        <v> </v>
      </c>
      <c r="J198" s="334" t="str">
        <f aca="false">IF((E198="s"),G198," ")</f>
        <v> </v>
      </c>
      <c r="K198" s="334" t="str">
        <f aca="false">IF((E198="d"),G198," ")</f>
        <v> </v>
      </c>
      <c r="L198" s="334" t="str">
        <f aca="false">IF((E198="e"),G198," ")</f>
        <v> </v>
      </c>
      <c r="M198" s="334" t="str">
        <f aca="false">IF((E198="p"),G198," ")</f>
        <v> </v>
      </c>
      <c r="N198" s="334" t="str">
        <f aca="false">IF((E198="r"),G198," ")</f>
        <v> </v>
      </c>
      <c r="O198" s="334" t="str">
        <f aca="false">IF((E198="g"),G198," ")</f>
        <v> </v>
      </c>
      <c r="P198" s="334" t="str">
        <f aca="false">IF((E198="m"),G198," ")</f>
        <v> </v>
      </c>
      <c r="Q198" s="334" t="str">
        <f aca="false">IF((E198="t"),G198," ")</f>
        <v> </v>
      </c>
      <c r="R198" s="334" t="str">
        <f aca="false">IF((E198="a"),G198," ")</f>
        <v> </v>
      </c>
      <c r="S198" s="334" t="str">
        <f aca="false">IF((E198="l"),G198," ")</f>
        <v> </v>
      </c>
      <c r="T198" s="334" t="str">
        <f aca="false">IF((E198="b"),G198," ")</f>
        <v> </v>
      </c>
      <c r="U198" s="334" t="str">
        <f aca="false">IF((E198="i"),G198," ")</f>
        <v> </v>
      </c>
      <c r="V198" s="334" t="str">
        <f aca="false">IF((E198="o"),G198," ")</f>
        <v> </v>
      </c>
      <c r="W198" s="334" t="str">
        <f aca="false">IF((E198="f"),G198," ")</f>
        <v> </v>
      </c>
    </row>
    <row r="199" customFormat="false" ht="12.75" hidden="false" customHeight="false" outlineLevel="0" collapsed="false">
      <c r="A199" s="355"/>
      <c r="E199" s="365" t="str">
        <f aca="false">IF((G199&lt;&gt;0),"Enter Letter"," ")</f>
        <v> </v>
      </c>
      <c r="H199" s="338" t="str">
        <f aca="false">IF((G199&lt;&gt;0),IF((D199&gt;0)," ",G199)," ")</f>
        <v> </v>
      </c>
      <c r="I199" s="367" t="str">
        <f aca="false">IF((G199&lt;&gt;0),IF((D199&gt;0)," ",(I$1-A199))," ")</f>
        <v> </v>
      </c>
      <c r="J199" s="334" t="str">
        <f aca="false">IF((E199="s"),G199," ")</f>
        <v> </v>
      </c>
      <c r="K199" s="334" t="str">
        <f aca="false">IF((E199="d"),G199," ")</f>
        <v> </v>
      </c>
      <c r="L199" s="334" t="str">
        <f aca="false">IF((E199="e"),G199," ")</f>
        <v> </v>
      </c>
      <c r="M199" s="334" t="str">
        <f aca="false">IF((E199="p"),G199," ")</f>
        <v> </v>
      </c>
      <c r="N199" s="334" t="str">
        <f aca="false">IF((E199="r"),G199," ")</f>
        <v> </v>
      </c>
      <c r="O199" s="334" t="str">
        <f aca="false">IF((E199="g"),G199," ")</f>
        <v> </v>
      </c>
      <c r="P199" s="334" t="str">
        <f aca="false">IF((E199="m"),G199," ")</f>
        <v> </v>
      </c>
      <c r="Q199" s="334" t="str">
        <f aca="false">IF((E199="t"),G199," ")</f>
        <v> </v>
      </c>
      <c r="R199" s="334" t="str">
        <f aca="false">IF((E199="a"),G199," ")</f>
        <v> </v>
      </c>
      <c r="S199" s="334" t="str">
        <f aca="false">IF((E199="l"),G199," ")</f>
        <v> </v>
      </c>
      <c r="T199" s="334" t="str">
        <f aca="false">IF((E199="b"),G199," ")</f>
        <v> </v>
      </c>
      <c r="U199" s="334" t="str">
        <f aca="false">IF((E199="i"),G199," ")</f>
        <v> </v>
      </c>
      <c r="V199" s="334" t="str">
        <f aca="false">IF((E199="o"),G199," ")</f>
        <v> </v>
      </c>
      <c r="W199" s="334" t="str">
        <f aca="false">IF((E199="f"),G199," ")</f>
        <v> </v>
      </c>
    </row>
    <row r="200" customFormat="false" ht="12.75" hidden="false" customHeight="false" outlineLevel="0" collapsed="false">
      <c r="A200" s="355"/>
      <c r="E200" s="365" t="str">
        <f aca="false">IF((G200&lt;&gt;0),"Enter Letter"," ")</f>
        <v> </v>
      </c>
      <c r="H200" s="338" t="str">
        <f aca="false">IF((G200&lt;&gt;0),IF((D200&gt;0)," ",G200)," ")</f>
        <v> </v>
      </c>
      <c r="I200" s="367" t="str">
        <f aca="false">IF((G200&lt;&gt;0),IF((D200&gt;0)," ",(I$1-A200))," ")</f>
        <v> </v>
      </c>
      <c r="J200" s="334" t="str">
        <f aca="false">IF((E200="s"),G200," ")</f>
        <v> </v>
      </c>
      <c r="K200" s="334" t="str">
        <f aca="false">IF((E200="d"),G200," ")</f>
        <v> </v>
      </c>
      <c r="L200" s="334" t="str">
        <f aca="false">IF((E200="e"),G200," ")</f>
        <v> </v>
      </c>
      <c r="M200" s="334" t="str">
        <f aca="false">IF((E200="p"),G200," ")</f>
        <v> </v>
      </c>
      <c r="N200" s="334" t="str">
        <f aca="false">IF((E200="r"),G200," ")</f>
        <v> </v>
      </c>
      <c r="O200" s="334" t="str">
        <f aca="false">IF((E200="g"),G200," ")</f>
        <v> </v>
      </c>
      <c r="P200" s="334" t="str">
        <f aca="false">IF((E200="m"),G200," ")</f>
        <v> </v>
      </c>
      <c r="Q200" s="334" t="str">
        <f aca="false">IF((E200="t"),G200," ")</f>
        <v> </v>
      </c>
      <c r="R200" s="334" t="str">
        <f aca="false">IF((E200="a"),G200," ")</f>
        <v> </v>
      </c>
      <c r="S200" s="334" t="str">
        <f aca="false">IF((E200="l"),G200," ")</f>
        <v> </v>
      </c>
      <c r="T200" s="334" t="str">
        <f aca="false">IF((E200="b"),G200," ")</f>
        <v> </v>
      </c>
      <c r="U200" s="334" t="str">
        <f aca="false">IF((E200="i"),G200," ")</f>
        <v> </v>
      </c>
      <c r="V200" s="334" t="str">
        <f aca="false">IF((E200="o"),G200," ")</f>
        <v> </v>
      </c>
      <c r="W200" s="334" t="str">
        <f aca="false">IF((E200="f"),G200," ")</f>
        <v> </v>
      </c>
      <c r="Y200" s="399"/>
      <c r="Z200" s="399"/>
    </row>
    <row r="201" customFormat="false" ht="12.75" hidden="false" customHeight="false" outlineLevel="0" collapsed="false">
      <c r="A201" s="355"/>
      <c r="E201" s="365" t="str">
        <f aca="false">IF((G201&lt;&gt;0),"Enter Letter"," ")</f>
        <v> </v>
      </c>
      <c r="H201" s="338" t="str">
        <f aca="false">IF((G201&lt;&gt;0),IF((D201&gt;0)," ",G201)," ")</f>
        <v> </v>
      </c>
      <c r="I201" s="367" t="str">
        <f aca="false">IF((G201&lt;&gt;0),IF((D201&gt;0)," ",(I$1-A201))," ")</f>
        <v> </v>
      </c>
      <c r="J201" s="334" t="str">
        <f aca="false">IF((E201="s"),G201," ")</f>
        <v> </v>
      </c>
      <c r="K201" s="334" t="str">
        <f aca="false">IF((E201="d"),G201," ")</f>
        <v> </v>
      </c>
      <c r="L201" s="334" t="str">
        <f aca="false">IF((E201="e"),G201," ")</f>
        <v> </v>
      </c>
      <c r="M201" s="334" t="str">
        <f aca="false">IF((E201="p"),G201," ")</f>
        <v> </v>
      </c>
      <c r="N201" s="334" t="str">
        <f aca="false">IF((E201="r"),G201," ")</f>
        <v> </v>
      </c>
      <c r="O201" s="334" t="str">
        <f aca="false">IF((E201="g"),G201," ")</f>
        <v> </v>
      </c>
      <c r="P201" s="334" t="str">
        <f aca="false">IF((E201="m"),G201," ")</f>
        <v> </v>
      </c>
      <c r="Q201" s="334" t="str">
        <f aca="false">IF((E201="t"),G201," ")</f>
        <v> </v>
      </c>
      <c r="R201" s="334" t="str">
        <f aca="false">IF((E201="a"),G201," ")</f>
        <v> </v>
      </c>
      <c r="S201" s="334" t="str">
        <f aca="false">IF((E201="l"),G201," ")</f>
        <v> </v>
      </c>
      <c r="T201" s="334" t="str">
        <f aca="false">IF((E201="b"),G201," ")</f>
        <v> </v>
      </c>
      <c r="U201" s="334" t="str">
        <f aca="false">IF((E201="i"),G201," ")</f>
        <v> </v>
      </c>
      <c r="V201" s="334" t="str">
        <f aca="false">IF((E201="o"),G201," ")</f>
        <v> </v>
      </c>
      <c r="W201" s="334" t="str">
        <f aca="false">IF((E201="f"),G201," ")</f>
        <v> </v>
      </c>
    </row>
    <row r="202" customFormat="false" ht="12.75" hidden="false" customHeight="false" outlineLevel="0" collapsed="false">
      <c r="A202" s="355"/>
      <c r="E202" s="365" t="str">
        <f aca="false">IF((G202&lt;&gt;0),"Enter Letter"," ")</f>
        <v> </v>
      </c>
      <c r="H202" s="338" t="str">
        <f aca="false">IF((G202&lt;&gt;0),IF((D202&gt;0)," ",G202)," ")</f>
        <v> </v>
      </c>
      <c r="I202" s="367" t="str">
        <f aca="false">IF((G202&lt;&gt;0),IF((D202&gt;0)," ",(I$1-A202))," ")</f>
        <v> </v>
      </c>
      <c r="J202" s="334" t="str">
        <f aca="false">IF((E202="s"),G202," ")</f>
        <v> </v>
      </c>
      <c r="K202" s="334" t="str">
        <f aca="false">IF((E202="d"),G202," ")</f>
        <v> </v>
      </c>
      <c r="L202" s="334" t="str">
        <f aca="false">IF((E202="e"),G202," ")</f>
        <v> </v>
      </c>
      <c r="M202" s="334" t="str">
        <f aca="false">IF((E202="p"),G202," ")</f>
        <v> </v>
      </c>
      <c r="N202" s="334" t="str">
        <f aca="false">IF((E202="r"),G202," ")</f>
        <v> </v>
      </c>
      <c r="O202" s="334" t="str">
        <f aca="false">IF((E202="g"),G202," ")</f>
        <v> </v>
      </c>
      <c r="P202" s="334" t="str">
        <f aca="false">IF((E202="m"),G202," ")</f>
        <v> </v>
      </c>
      <c r="Q202" s="334" t="str">
        <f aca="false">IF((E202="t"),G202," ")</f>
        <v> </v>
      </c>
      <c r="R202" s="334" t="str">
        <f aca="false">IF((E202="a"),G202," ")</f>
        <v> </v>
      </c>
      <c r="S202" s="334" t="str">
        <f aca="false">IF((E202="l"),G202," ")</f>
        <v> </v>
      </c>
      <c r="T202" s="334" t="str">
        <f aca="false">IF((E202="b"),G202," ")</f>
        <v> </v>
      </c>
      <c r="U202" s="334" t="str">
        <f aca="false">IF((E202="i"),G202," ")</f>
        <v> </v>
      </c>
      <c r="V202" s="334" t="str">
        <f aca="false">IF((E202="o"),G202," ")</f>
        <v> </v>
      </c>
      <c r="W202" s="334" t="str">
        <f aca="false">IF((E202="f"),G202," ")</f>
        <v> </v>
      </c>
    </row>
    <row r="203" customFormat="false" ht="12.75" hidden="false" customHeight="false" outlineLevel="0" collapsed="false">
      <c r="A203" s="355"/>
      <c r="E203" s="365" t="str">
        <f aca="false">IF((G203&lt;&gt;0),"Enter Letter"," ")</f>
        <v> </v>
      </c>
      <c r="H203" s="338" t="str">
        <f aca="false">IF((G203&lt;&gt;0),IF((D203&gt;0)," ",G203)," ")</f>
        <v> </v>
      </c>
      <c r="I203" s="367" t="str">
        <f aca="false">IF((G203&lt;&gt;0),IF((D203&gt;0)," ",(I$1-A203))," ")</f>
        <v> </v>
      </c>
      <c r="J203" s="334" t="str">
        <f aca="false">IF((E203="s"),G203," ")</f>
        <v> </v>
      </c>
      <c r="K203" s="334" t="str">
        <f aca="false">IF((E203="d"),G203," ")</f>
        <v> </v>
      </c>
      <c r="L203" s="334" t="str">
        <f aca="false">IF((E203="e"),G203," ")</f>
        <v> </v>
      </c>
      <c r="M203" s="334" t="str">
        <f aca="false">IF((E203="p"),G203," ")</f>
        <v> </v>
      </c>
      <c r="N203" s="334" t="str">
        <f aca="false">IF((E203="r"),G203," ")</f>
        <v> </v>
      </c>
      <c r="O203" s="334" t="str">
        <f aca="false">IF((E203="g"),G203," ")</f>
        <v> </v>
      </c>
      <c r="P203" s="334" t="str">
        <f aca="false">IF((E203="m"),G203," ")</f>
        <v> </v>
      </c>
      <c r="Q203" s="334" t="str">
        <f aca="false">IF((E203="t"),G203," ")</f>
        <v> </v>
      </c>
      <c r="R203" s="334" t="str">
        <f aca="false">IF((E203="a"),G203," ")</f>
        <v> </v>
      </c>
      <c r="S203" s="334" t="str">
        <f aca="false">IF((E203="l"),G203," ")</f>
        <v> </v>
      </c>
      <c r="T203" s="334" t="str">
        <f aca="false">IF((E203="b"),G203," ")</f>
        <v> </v>
      </c>
      <c r="U203" s="334" t="str">
        <f aca="false">IF((E203="i"),G203," ")</f>
        <v> </v>
      </c>
      <c r="V203" s="334" t="str">
        <f aca="false">IF((E203="o"),G203," ")</f>
        <v> </v>
      </c>
      <c r="W203" s="334" t="str">
        <f aca="false">IF((E203="f"),G203," ")</f>
        <v> </v>
      </c>
    </row>
    <row r="204" customFormat="false" ht="12.75" hidden="false" customHeight="false" outlineLevel="0" collapsed="false">
      <c r="A204" s="355"/>
      <c r="E204" s="365" t="str">
        <f aca="false">IF((G204&lt;&gt;0),"Enter Letter"," ")</f>
        <v> </v>
      </c>
      <c r="H204" s="338" t="str">
        <f aca="false">IF((G204&lt;&gt;0),IF((D204&gt;0)," ",G204)," ")</f>
        <v> </v>
      </c>
      <c r="I204" s="367" t="str">
        <f aca="false">IF((G204&lt;&gt;0),IF((D204&gt;0)," ",(I$1-A204))," ")</f>
        <v> </v>
      </c>
      <c r="J204" s="334" t="str">
        <f aca="false">IF((E204="s"),G204," ")</f>
        <v> </v>
      </c>
      <c r="K204" s="334" t="str">
        <f aca="false">IF((E204="d"),G204," ")</f>
        <v> </v>
      </c>
      <c r="L204" s="334" t="str">
        <f aca="false">IF((E204="e"),G204," ")</f>
        <v> </v>
      </c>
      <c r="M204" s="334" t="str">
        <f aca="false">IF((E204="p"),G204," ")</f>
        <v> </v>
      </c>
      <c r="N204" s="334" t="str">
        <f aca="false">IF((E204="r"),G204," ")</f>
        <v> </v>
      </c>
      <c r="O204" s="334" t="str">
        <f aca="false">IF((E204="g"),G204," ")</f>
        <v> </v>
      </c>
      <c r="P204" s="334" t="str">
        <f aca="false">IF((E204="m"),G204," ")</f>
        <v> </v>
      </c>
      <c r="Q204" s="334" t="str">
        <f aca="false">IF((E204="t"),G204," ")</f>
        <v> </v>
      </c>
      <c r="R204" s="334" t="str">
        <f aca="false">IF((E204="a"),G204," ")</f>
        <v> </v>
      </c>
      <c r="S204" s="334" t="str">
        <f aca="false">IF((E204="l"),G204," ")</f>
        <v> </v>
      </c>
      <c r="T204" s="334" t="str">
        <f aca="false">IF((E204="b"),G204," ")</f>
        <v> </v>
      </c>
      <c r="U204" s="334" t="str">
        <f aca="false">IF((E204="i"),G204," ")</f>
        <v> </v>
      </c>
      <c r="V204" s="334" t="str">
        <f aca="false">IF((E204="o"),G204," ")</f>
        <v> </v>
      </c>
      <c r="W204" s="334" t="str">
        <f aca="false">IF((E204="f"),G204," ")</f>
        <v> </v>
      </c>
    </row>
    <row r="205" customFormat="false" ht="12.75" hidden="false" customHeight="false" outlineLevel="0" collapsed="false">
      <c r="A205" s="355"/>
      <c r="E205" s="365" t="str">
        <f aca="false">IF((G205&lt;&gt;0),"Enter Letter"," ")</f>
        <v> </v>
      </c>
      <c r="J205" s="334" t="str">
        <f aca="false">IF((E205="s"),G205," ")</f>
        <v> </v>
      </c>
      <c r="K205" s="334" t="str">
        <f aca="false">IF((E205="d"),G205," ")</f>
        <v> </v>
      </c>
      <c r="L205" s="334" t="str">
        <f aca="false">IF((E205="e"),G205," ")</f>
        <v> </v>
      </c>
      <c r="M205" s="334" t="str">
        <f aca="false">IF((E205="p"),G205," ")</f>
        <v> </v>
      </c>
      <c r="N205" s="334" t="str">
        <f aca="false">IF((E205="r"),G205," ")</f>
        <v> </v>
      </c>
      <c r="O205" s="334" t="str">
        <f aca="false">IF((E205="g"),G205," ")</f>
        <v> </v>
      </c>
      <c r="P205" s="334" t="str">
        <f aca="false">IF((E205="m"),G205," ")</f>
        <v> </v>
      </c>
      <c r="Q205" s="334" t="str">
        <f aca="false">IF((E205="t"),G205," ")</f>
        <v> </v>
      </c>
      <c r="R205" s="334" t="str">
        <f aca="false">IF((E205="a"),G205," ")</f>
        <v> </v>
      </c>
      <c r="S205" s="334" t="str">
        <f aca="false">IF((E205="l"),G205," ")</f>
        <v> </v>
      </c>
      <c r="T205" s="334" t="str">
        <f aca="false">IF((E205="b"),G205," ")</f>
        <v> </v>
      </c>
      <c r="U205" s="334" t="str">
        <f aca="false">IF((E205="i"),G205," ")</f>
        <v> </v>
      </c>
      <c r="V205" s="334" t="str">
        <f aca="false">IF((E205="o"),G205," ")</f>
        <v> </v>
      </c>
      <c r="W205" s="334" t="str">
        <f aca="false">IF((E205="f"),G205," ")</f>
        <v> </v>
      </c>
    </row>
    <row r="206" customFormat="false" ht="12.75" hidden="false" customHeight="false" outlineLevel="0" collapsed="false">
      <c r="A206" s="355"/>
      <c r="E206" s="365" t="str">
        <f aca="false">IF((G206&lt;&gt;0),"Enter Letter"," ")</f>
        <v> </v>
      </c>
      <c r="J206" s="334" t="str">
        <f aca="false">IF((E206="s"),G206," ")</f>
        <v> </v>
      </c>
      <c r="K206" s="334" t="str">
        <f aca="false">IF((E206="d"),G206," ")</f>
        <v> </v>
      </c>
      <c r="L206" s="334" t="str">
        <f aca="false">IF((E206="e"),G206," ")</f>
        <v> </v>
      </c>
      <c r="M206" s="334" t="str">
        <f aca="false">IF((E206="p"),G206," ")</f>
        <v> </v>
      </c>
      <c r="N206" s="334" t="str">
        <f aca="false">IF((E206="r"),G206," ")</f>
        <v> </v>
      </c>
      <c r="O206" s="334" t="str">
        <f aca="false">IF((E206="g"),G206," ")</f>
        <v> </v>
      </c>
      <c r="P206" s="334" t="str">
        <f aca="false">IF((E206="m"),G206," ")</f>
        <v> </v>
      </c>
      <c r="Q206" s="334" t="str">
        <f aca="false">IF((E206="t"),G206," ")</f>
        <v> </v>
      </c>
      <c r="R206" s="334" t="str">
        <f aca="false">IF((E206="a"),G206," ")</f>
        <v> </v>
      </c>
      <c r="S206" s="334" t="str">
        <f aca="false">IF((E206="l"),G206," ")</f>
        <v> </v>
      </c>
      <c r="T206" s="334" t="str">
        <f aca="false">IF((E206="b"),G206," ")</f>
        <v> </v>
      </c>
      <c r="U206" s="334" t="str">
        <f aca="false">IF((E206="i"),G206," ")</f>
        <v> </v>
      </c>
      <c r="V206" s="334" t="str">
        <f aca="false">IF((E206="o"),G206," ")</f>
        <v> </v>
      </c>
      <c r="W206" s="334" t="str">
        <f aca="false">IF((E206="f"),G206," ")</f>
        <v> </v>
      </c>
    </row>
    <row r="207" customFormat="false" ht="12.75" hidden="false" customHeight="false" outlineLevel="0" collapsed="false">
      <c r="A207" s="355"/>
      <c r="E207" s="365" t="str">
        <f aca="false">IF((G207&lt;&gt;0),"Enter Letter"," ")</f>
        <v> </v>
      </c>
      <c r="J207" s="334" t="str">
        <f aca="false">IF((E207="s"),G207," ")</f>
        <v> </v>
      </c>
      <c r="K207" s="334" t="str">
        <f aca="false">IF((E207="d"),G207," ")</f>
        <v> </v>
      </c>
      <c r="L207" s="334" t="str">
        <f aca="false">IF((E207="e"),G207," ")</f>
        <v> </v>
      </c>
      <c r="M207" s="334" t="str">
        <f aca="false">IF((E207="p"),G207," ")</f>
        <v> </v>
      </c>
      <c r="N207" s="334" t="str">
        <f aca="false">IF((E207="r"),G207," ")</f>
        <v> </v>
      </c>
      <c r="O207" s="334" t="str">
        <f aca="false">IF((E207="g"),G207," ")</f>
        <v> </v>
      </c>
      <c r="P207" s="334" t="str">
        <f aca="false">IF((E207="m"),G207," ")</f>
        <v> </v>
      </c>
      <c r="Q207" s="334" t="str">
        <f aca="false">IF((E207="t"),G207," ")</f>
        <v> </v>
      </c>
      <c r="R207" s="334" t="str">
        <f aca="false">IF((E207="a"),G207," ")</f>
        <v> </v>
      </c>
      <c r="S207" s="334" t="str">
        <f aca="false">IF((E207="l"),G207," ")</f>
        <v> </v>
      </c>
      <c r="T207" s="334" t="str">
        <f aca="false">IF((E207="b"),G207," ")</f>
        <v> </v>
      </c>
      <c r="U207" s="334" t="str">
        <f aca="false">IF((E207="i"),G207," ")</f>
        <v> </v>
      </c>
      <c r="V207" s="334" t="str">
        <f aca="false">IF((E207="o"),G207," ")</f>
        <v> </v>
      </c>
      <c r="W207" s="334" t="str">
        <f aca="false">IF((E207="f"),G207," ")</f>
        <v> </v>
      </c>
    </row>
    <row r="208" customFormat="false" ht="12.75" hidden="false" customHeight="false" outlineLevel="0" collapsed="false">
      <c r="A208" s="355"/>
      <c r="E208" s="365" t="str">
        <f aca="false">IF((G208&lt;&gt;0),"Enter Letter"," ")</f>
        <v> </v>
      </c>
      <c r="J208" s="334" t="str">
        <f aca="false">IF((E208="s"),G208," ")</f>
        <v> </v>
      </c>
      <c r="K208" s="334" t="str">
        <f aca="false">IF((E208="d"),G208," ")</f>
        <v> </v>
      </c>
      <c r="L208" s="334" t="str">
        <f aca="false">IF((E208="e"),G208," ")</f>
        <v> </v>
      </c>
      <c r="M208" s="334" t="str">
        <f aca="false">IF((E208="p"),G208," ")</f>
        <v> </v>
      </c>
      <c r="N208" s="334" t="str">
        <f aca="false">IF((E208="r"),G208," ")</f>
        <v> </v>
      </c>
      <c r="O208" s="334" t="str">
        <f aca="false">IF((E208="g"),G208," ")</f>
        <v> </v>
      </c>
      <c r="P208" s="334" t="str">
        <f aca="false">IF((E208="m"),G208," ")</f>
        <v> </v>
      </c>
      <c r="Q208" s="334" t="str">
        <f aca="false">IF((E208="t"),G208," ")</f>
        <v> </v>
      </c>
      <c r="R208" s="334" t="str">
        <f aca="false">IF((E208="a"),G208," ")</f>
        <v> </v>
      </c>
      <c r="S208" s="334" t="str">
        <f aca="false">IF((E208="l"),G208," ")</f>
        <v> </v>
      </c>
      <c r="T208" s="334" t="str">
        <f aca="false">IF((E208="b"),G208," ")</f>
        <v> </v>
      </c>
      <c r="U208" s="334" t="str">
        <f aca="false">IF((E208="i"),G208," ")</f>
        <v> </v>
      </c>
      <c r="V208" s="334" t="str">
        <f aca="false">IF((E208="o"),G208," ")</f>
        <v> </v>
      </c>
      <c r="W208" s="334" t="str">
        <f aca="false">IF((E208="f"),G208," ")</f>
        <v> </v>
      </c>
    </row>
    <row r="209" customFormat="false" ht="12.75" hidden="false" customHeight="false" outlineLevel="0" collapsed="false">
      <c r="A209" s="355"/>
      <c r="E209" s="365" t="str">
        <f aca="false">IF((G209&lt;&gt;0),"Enter Letter"," ")</f>
        <v> </v>
      </c>
      <c r="J209" s="334" t="str">
        <f aca="false">IF((E209="s"),G209," ")</f>
        <v> </v>
      </c>
      <c r="K209" s="334" t="str">
        <f aca="false">IF((E209="d"),G209," ")</f>
        <v> </v>
      </c>
      <c r="L209" s="334" t="str">
        <f aca="false">IF((E209="e"),G209," ")</f>
        <v> </v>
      </c>
      <c r="M209" s="334" t="str">
        <f aca="false">IF((E209="p"),G209," ")</f>
        <v> </v>
      </c>
      <c r="N209" s="334" t="str">
        <f aca="false">IF((E209="r"),G209," ")</f>
        <v> </v>
      </c>
      <c r="O209" s="334" t="str">
        <f aca="false">IF((E209="g"),G209," ")</f>
        <v> </v>
      </c>
      <c r="P209" s="334" t="str">
        <f aca="false">IF((E209="m"),G209," ")</f>
        <v> </v>
      </c>
      <c r="Q209" s="334" t="str">
        <f aca="false">IF((E209="t"),G209," ")</f>
        <v> </v>
      </c>
      <c r="R209" s="334" t="str">
        <f aca="false">IF((E209="a"),G209," ")</f>
        <v> </v>
      </c>
      <c r="S209" s="334" t="str">
        <f aca="false">IF((E209="l"),G209," ")</f>
        <v> </v>
      </c>
      <c r="T209" s="334" t="str">
        <f aca="false">IF((E209="b"),G209," ")</f>
        <v> </v>
      </c>
      <c r="U209" s="334" t="str">
        <f aca="false">IF((E209="i"),G209," ")</f>
        <v> </v>
      </c>
      <c r="V209" s="334" t="str">
        <f aca="false">IF((E209="o"),G209," ")</f>
        <v> </v>
      </c>
      <c r="W209" s="334" t="str">
        <f aca="false">IF((E209="f"),G209," ")</f>
        <v> </v>
      </c>
    </row>
    <row r="210" customFormat="false" ht="12.75" hidden="false" customHeight="false" outlineLevel="0" collapsed="false">
      <c r="A210" s="355"/>
      <c r="E210" s="365" t="str">
        <f aca="false">IF((G210&lt;&gt;0),"Enter Letter"," ")</f>
        <v> </v>
      </c>
      <c r="J210" s="334" t="str">
        <f aca="false">IF((E210="s"),G210," ")</f>
        <v> </v>
      </c>
      <c r="K210" s="334" t="str">
        <f aca="false">IF((E210="d"),G210," ")</f>
        <v> </v>
      </c>
      <c r="L210" s="334" t="str">
        <f aca="false">IF((E210="e"),G210," ")</f>
        <v> </v>
      </c>
      <c r="M210" s="334" t="str">
        <f aca="false">IF((E210="p"),G210," ")</f>
        <v> </v>
      </c>
      <c r="N210" s="334" t="str">
        <f aca="false">IF((E210="r"),G210," ")</f>
        <v> </v>
      </c>
      <c r="O210" s="334" t="str">
        <f aca="false">IF((E210="g"),G210," ")</f>
        <v> </v>
      </c>
      <c r="P210" s="334" t="str">
        <f aca="false">IF((E210="m"),G210," ")</f>
        <v> </v>
      </c>
      <c r="Q210" s="334" t="str">
        <f aca="false">IF((E210="t"),G210," ")</f>
        <v> </v>
      </c>
      <c r="R210" s="334" t="str">
        <f aca="false">IF((E210="a"),G210," ")</f>
        <v> </v>
      </c>
      <c r="S210" s="334" t="str">
        <f aca="false">IF((E210="l"),G210," ")</f>
        <v> </v>
      </c>
      <c r="T210" s="334" t="str">
        <f aca="false">IF((E210="b"),G210," ")</f>
        <v> </v>
      </c>
      <c r="U210" s="334" t="str">
        <f aca="false">IF((E210="i"),G210," ")</f>
        <v> </v>
      </c>
      <c r="V210" s="334" t="str">
        <f aca="false">IF((E210="o"),G210," ")</f>
        <v> </v>
      </c>
      <c r="W210" s="334" t="str">
        <f aca="false">IF((E210="f"),G210," ")</f>
        <v> </v>
      </c>
    </row>
    <row r="211" customFormat="false" ht="12.75" hidden="false" customHeight="false" outlineLevel="0" collapsed="false">
      <c r="A211" s="355"/>
      <c r="E211" s="365" t="str">
        <f aca="false">IF((G211&lt;&gt;0),"Enter Letter"," ")</f>
        <v> </v>
      </c>
      <c r="J211" s="334" t="str">
        <f aca="false">IF((E211="s"),G211," ")</f>
        <v> </v>
      </c>
      <c r="K211" s="334" t="str">
        <f aca="false">IF((E211="d"),G211," ")</f>
        <v> </v>
      </c>
      <c r="L211" s="334" t="str">
        <f aca="false">IF((E211="e"),G211," ")</f>
        <v> </v>
      </c>
      <c r="M211" s="334" t="str">
        <f aca="false">IF((E211="p"),G211," ")</f>
        <v> </v>
      </c>
      <c r="N211" s="334" t="str">
        <f aca="false">IF((E211="r"),G211," ")</f>
        <v> </v>
      </c>
      <c r="O211" s="334" t="str">
        <f aca="false">IF((E211="g"),G211," ")</f>
        <v> </v>
      </c>
      <c r="P211" s="334" t="str">
        <f aca="false">IF((E211="m"),G211," ")</f>
        <v> </v>
      </c>
      <c r="Q211" s="334" t="str">
        <f aca="false">IF((E211="t"),G211," ")</f>
        <v> </v>
      </c>
      <c r="R211" s="334" t="str">
        <f aca="false">IF((E211="a"),G211," ")</f>
        <v> </v>
      </c>
      <c r="S211" s="334" t="str">
        <f aca="false">IF((E211="l"),G211," ")</f>
        <v> </v>
      </c>
      <c r="T211" s="334" t="str">
        <f aca="false">IF((E211="b"),G211," ")</f>
        <v> </v>
      </c>
      <c r="U211" s="334" t="str">
        <f aca="false">IF((E211="i"),G211," ")</f>
        <v> </v>
      </c>
      <c r="V211" s="334" t="str">
        <f aca="false">IF((E211="o"),G211," ")</f>
        <v> </v>
      </c>
      <c r="W211" s="334" t="str">
        <f aca="false">IF((E211="f"),G211," ")</f>
        <v> </v>
      </c>
    </row>
    <row r="212" customFormat="false" ht="12.75" hidden="false" customHeight="false" outlineLevel="0" collapsed="false">
      <c r="A212" s="355"/>
      <c r="E212" s="365" t="str">
        <f aca="false">IF((G212&lt;&gt;0),"Enter Letter"," ")</f>
        <v> </v>
      </c>
      <c r="J212" s="334" t="str">
        <f aca="false">IF((E212="s"),G212," ")</f>
        <v> </v>
      </c>
      <c r="K212" s="334" t="str">
        <f aca="false">IF((E212="d"),G212," ")</f>
        <v> </v>
      </c>
      <c r="L212" s="334" t="str">
        <f aca="false">IF((E212="e"),G212," ")</f>
        <v> </v>
      </c>
      <c r="M212" s="334" t="str">
        <f aca="false">IF((E212="p"),G212," ")</f>
        <v> </v>
      </c>
      <c r="N212" s="334" t="str">
        <f aca="false">IF((E212="r"),G212," ")</f>
        <v> </v>
      </c>
      <c r="O212" s="334" t="str">
        <f aca="false">IF((E212="g"),G212," ")</f>
        <v> </v>
      </c>
      <c r="P212" s="334" t="str">
        <f aca="false">IF((E212="m"),G212," ")</f>
        <v> </v>
      </c>
      <c r="Q212" s="334" t="str">
        <f aca="false">IF((E212="t"),G212," ")</f>
        <v> </v>
      </c>
      <c r="R212" s="334" t="str">
        <f aca="false">IF((E212="a"),G212," ")</f>
        <v> </v>
      </c>
      <c r="S212" s="334" t="str">
        <f aca="false">IF((E212="l"),G212," ")</f>
        <v> </v>
      </c>
      <c r="T212" s="334" t="str">
        <f aca="false">IF((E212="b"),G212," ")</f>
        <v> </v>
      </c>
      <c r="U212" s="334" t="str">
        <f aca="false">IF((E212="i"),G212," ")</f>
        <v> </v>
      </c>
      <c r="V212" s="334" t="str">
        <f aca="false">IF((E212="o"),G212," ")</f>
        <v> </v>
      </c>
      <c r="W212" s="334" t="str">
        <f aca="false">IF((E212="f"),G212," ")</f>
        <v> </v>
      </c>
    </row>
    <row r="213" customFormat="false" ht="12.75" hidden="false" customHeight="false" outlineLevel="0" collapsed="false">
      <c r="A213" s="355"/>
      <c r="E213" s="365" t="str">
        <f aca="false">IF((G213&lt;&gt;0),"Enter Letter"," ")</f>
        <v> </v>
      </c>
      <c r="J213" s="334" t="str">
        <f aca="false">IF((E213="s"),G213," ")</f>
        <v> </v>
      </c>
      <c r="K213" s="334" t="str">
        <f aca="false">IF((E213="d"),G213," ")</f>
        <v> </v>
      </c>
      <c r="L213" s="334" t="str">
        <f aca="false">IF((E213="e"),G213," ")</f>
        <v> </v>
      </c>
      <c r="M213" s="334" t="str">
        <f aca="false">IF((E213="p"),G213," ")</f>
        <v> </v>
      </c>
      <c r="N213" s="334" t="str">
        <f aca="false">IF((E213="r"),G213," ")</f>
        <v> </v>
      </c>
      <c r="O213" s="334" t="str">
        <f aca="false">IF((E213="g"),G213," ")</f>
        <v> </v>
      </c>
      <c r="P213" s="334" t="str">
        <f aca="false">IF((E213="m"),G213," ")</f>
        <v> </v>
      </c>
      <c r="Q213" s="334" t="str">
        <f aca="false">IF((E213="t"),G213," ")</f>
        <v> </v>
      </c>
      <c r="R213" s="334" t="str">
        <f aca="false">IF((E213="a"),G213," ")</f>
        <v> </v>
      </c>
      <c r="S213" s="334" t="str">
        <f aca="false">IF((E213="l"),G213," ")</f>
        <v> </v>
      </c>
      <c r="T213" s="334" t="str">
        <f aca="false">IF((E213="b"),G213," ")</f>
        <v> </v>
      </c>
      <c r="U213" s="334" t="str">
        <f aca="false">IF((E213="i"),G213," ")</f>
        <v> </v>
      </c>
      <c r="V213" s="334" t="str">
        <f aca="false">IF((E213="o"),G213," ")</f>
        <v> </v>
      </c>
      <c r="W213" s="334" t="str">
        <f aca="false">IF((E213="f"),G213," ")</f>
        <v> </v>
      </c>
    </row>
    <row r="214" customFormat="false" ht="12.75" hidden="false" customHeight="false" outlineLevel="0" collapsed="false">
      <c r="A214" s="355"/>
      <c r="E214" s="365" t="str">
        <f aca="false">IF((G214&lt;&gt;0),"Enter Letter"," ")</f>
        <v> </v>
      </c>
      <c r="J214" s="334" t="str">
        <f aca="false">IF((E214="s"),G214," ")</f>
        <v> </v>
      </c>
      <c r="K214" s="334" t="str">
        <f aca="false">IF((E214="d"),G214," ")</f>
        <v> </v>
      </c>
      <c r="L214" s="334" t="str">
        <f aca="false">IF((E214="e"),G214," ")</f>
        <v> </v>
      </c>
      <c r="M214" s="334" t="str">
        <f aca="false">IF((E214="p"),G214," ")</f>
        <v> </v>
      </c>
      <c r="N214" s="334" t="str">
        <f aca="false">IF((E214="r"),G214," ")</f>
        <v> </v>
      </c>
      <c r="O214" s="334" t="str">
        <f aca="false">IF((E214="g"),G214," ")</f>
        <v> </v>
      </c>
      <c r="P214" s="334" t="str">
        <f aca="false">IF((E214="m"),G214," ")</f>
        <v> </v>
      </c>
      <c r="Q214" s="334" t="str">
        <f aca="false">IF((E214="t"),G214," ")</f>
        <v> </v>
      </c>
      <c r="R214" s="334" t="str">
        <f aca="false">IF((E214="a"),G214," ")</f>
        <v> </v>
      </c>
      <c r="S214" s="334" t="str">
        <f aca="false">IF((E214="l"),G214," ")</f>
        <v> </v>
      </c>
      <c r="T214" s="334" t="str">
        <f aca="false">IF((E214="b"),G214," ")</f>
        <v> </v>
      </c>
      <c r="U214" s="334" t="str">
        <f aca="false">IF((E214="i"),G214," ")</f>
        <v> </v>
      </c>
      <c r="V214" s="334" t="str">
        <f aca="false">IF((E214="o"),G214," ")</f>
        <v> </v>
      </c>
      <c r="W214" s="334" t="str">
        <f aca="false">IF((E214="f"),G214," ")</f>
        <v> </v>
      </c>
    </row>
    <row r="215" customFormat="false" ht="12.75" hidden="false" customHeight="false" outlineLevel="0" collapsed="false">
      <c r="A215" s="355"/>
      <c r="E215" s="365" t="str">
        <f aca="false">IF((G215&lt;&gt;0),"Enter Letter"," ")</f>
        <v> </v>
      </c>
      <c r="J215" s="334" t="str">
        <f aca="false">IF((E215="s"),G215," ")</f>
        <v> </v>
      </c>
      <c r="K215" s="334" t="str">
        <f aca="false">IF((E215="d"),G215," ")</f>
        <v> </v>
      </c>
      <c r="L215" s="334" t="str">
        <f aca="false">IF((E215="e"),G215," ")</f>
        <v> </v>
      </c>
      <c r="M215" s="334" t="str">
        <f aca="false">IF((E215="p"),G215," ")</f>
        <v> </v>
      </c>
      <c r="N215" s="334" t="str">
        <f aca="false">IF((E215="r"),G215," ")</f>
        <v> </v>
      </c>
      <c r="O215" s="334" t="str">
        <f aca="false">IF((E215="g"),G215," ")</f>
        <v> </v>
      </c>
      <c r="P215" s="334" t="str">
        <f aca="false">IF((E215="m"),G215," ")</f>
        <v> </v>
      </c>
      <c r="Q215" s="334" t="str">
        <f aca="false">IF((E215="t"),G215," ")</f>
        <v> </v>
      </c>
      <c r="R215" s="334" t="str">
        <f aca="false">IF((E215="a"),G215," ")</f>
        <v> </v>
      </c>
      <c r="S215" s="334" t="str">
        <f aca="false">IF((E215="l"),G215," ")</f>
        <v> </v>
      </c>
      <c r="T215" s="334" t="str">
        <f aca="false">IF((E215="b"),G215," ")</f>
        <v> </v>
      </c>
      <c r="U215" s="334" t="str">
        <f aca="false">IF((E215="i"),G215," ")</f>
        <v> </v>
      </c>
      <c r="V215" s="334" t="str">
        <f aca="false">IF((E215="o"),G215," ")</f>
        <v> </v>
      </c>
      <c r="W215" s="334" t="str">
        <f aca="false">IF((E215="f"),G215," ")</f>
        <v> </v>
      </c>
    </row>
    <row r="216" customFormat="false" ht="12.75" hidden="false" customHeight="false" outlineLevel="0" collapsed="false">
      <c r="A216" s="355"/>
      <c r="E216" s="365" t="str">
        <f aca="false">IF((G216&lt;&gt;0),"Enter Letter"," ")</f>
        <v> </v>
      </c>
      <c r="J216" s="334" t="str">
        <f aca="false">IF((E216="s"),G216," ")</f>
        <v> </v>
      </c>
      <c r="K216" s="334" t="str">
        <f aca="false">IF((E216="d"),G216," ")</f>
        <v> </v>
      </c>
      <c r="L216" s="334" t="str">
        <f aca="false">IF((E216="e"),G216," ")</f>
        <v> </v>
      </c>
      <c r="M216" s="334" t="str">
        <f aca="false">IF((E216="p"),G216," ")</f>
        <v> </v>
      </c>
      <c r="N216" s="334" t="str">
        <f aca="false">IF((E216="r"),G216," ")</f>
        <v> </v>
      </c>
      <c r="O216" s="334" t="str">
        <f aca="false">IF((E216="g"),G216," ")</f>
        <v> </v>
      </c>
      <c r="P216" s="334" t="str">
        <f aca="false">IF((E216="m"),G216," ")</f>
        <v> </v>
      </c>
      <c r="Q216" s="334" t="str">
        <f aca="false">IF((E216="t"),G216," ")</f>
        <v> </v>
      </c>
      <c r="R216" s="334" t="str">
        <f aca="false">IF((E216="a"),G216," ")</f>
        <v> </v>
      </c>
      <c r="S216" s="334" t="str">
        <f aca="false">IF((E216="l"),G216," ")</f>
        <v> </v>
      </c>
      <c r="T216" s="334" t="str">
        <f aca="false">IF((E216="b"),G216," ")</f>
        <v> </v>
      </c>
      <c r="U216" s="334" t="str">
        <f aca="false">IF((E216="i"),G216," ")</f>
        <v> </v>
      </c>
      <c r="V216" s="334" t="str">
        <f aca="false">IF((E216="o"),G216," ")</f>
        <v> </v>
      </c>
      <c r="W216" s="334" t="str">
        <f aca="false">IF((E216="f"),G216," ")</f>
        <v> </v>
      </c>
    </row>
    <row r="217" customFormat="false" ht="12.75" hidden="false" customHeight="false" outlineLevel="0" collapsed="false">
      <c r="A217" s="355"/>
      <c r="E217" s="365" t="str">
        <f aca="false">IF((G217&lt;&gt;0),"Enter Letter"," ")</f>
        <v> </v>
      </c>
      <c r="J217" s="334" t="str">
        <f aca="false">IF((E217="s"),G217," ")</f>
        <v> </v>
      </c>
      <c r="K217" s="334" t="str">
        <f aca="false">IF((E217="d"),G217," ")</f>
        <v> </v>
      </c>
      <c r="L217" s="334" t="str">
        <f aca="false">IF((E217="e"),G217," ")</f>
        <v> </v>
      </c>
      <c r="M217" s="334" t="str">
        <f aca="false">IF((E217="p"),G217," ")</f>
        <v> </v>
      </c>
      <c r="N217" s="334" t="str">
        <f aca="false">IF((E217="r"),G217," ")</f>
        <v> </v>
      </c>
      <c r="O217" s="334" t="str">
        <f aca="false">IF((E217="g"),G217," ")</f>
        <v> </v>
      </c>
      <c r="P217" s="334" t="str">
        <f aca="false">IF((E217="m"),G217," ")</f>
        <v> </v>
      </c>
      <c r="Q217" s="334" t="str">
        <f aca="false">IF((E217="t"),G217," ")</f>
        <v> </v>
      </c>
      <c r="R217" s="334" t="str">
        <f aca="false">IF((E217="a"),G217," ")</f>
        <v> </v>
      </c>
      <c r="S217" s="334" t="str">
        <f aca="false">IF((E217="l"),G217," ")</f>
        <v> </v>
      </c>
      <c r="T217" s="334" t="str">
        <f aca="false">IF((E217="b"),G217," ")</f>
        <v> </v>
      </c>
      <c r="U217" s="334" t="str">
        <f aca="false">IF((E217="i"),G217," ")</f>
        <v> </v>
      </c>
      <c r="V217" s="334" t="str">
        <f aca="false">IF((E217="o"),G217," ")</f>
        <v> </v>
      </c>
      <c r="W217" s="334" t="str">
        <f aca="false">IF((E217="f"),G217," ")</f>
        <v> </v>
      </c>
    </row>
    <row r="218" customFormat="false" ht="12.75" hidden="false" customHeight="false" outlineLevel="0" collapsed="false">
      <c r="A218" s="355"/>
      <c r="E218" s="365" t="str">
        <f aca="false">IF((G218&lt;&gt;0),"Enter Letter"," ")</f>
        <v> </v>
      </c>
      <c r="J218" s="334" t="str">
        <f aca="false">IF((E218="s"),G218," ")</f>
        <v> </v>
      </c>
      <c r="K218" s="334" t="str">
        <f aca="false">IF((E218="d"),G218," ")</f>
        <v> </v>
      </c>
      <c r="L218" s="334" t="str">
        <f aca="false">IF((E218="e"),G218," ")</f>
        <v> </v>
      </c>
      <c r="M218" s="334" t="str">
        <f aca="false">IF((E218="p"),G218," ")</f>
        <v> </v>
      </c>
      <c r="N218" s="334" t="str">
        <f aca="false">IF((E218="r"),G218," ")</f>
        <v> </v>
      </c>
      <c r="O218" s="334" t="str">
        <f aca="false">IF((E218="g"),G218," ")</f>
        <v> </v>
      </c>
      <c r="P218" s="334" t="str">
        <f aca="false">IF((E218="m"),G218," ")</f>
        <v> </v>
      </c>
      <c r="Q218" s="334" t="str">
        <f aca="false">IF((E218="t"),G218," ")</f>
        <v> </v>
      </c>
      <c r="R218" s="334" t="str">
        <f aca="false">IF((E218="a"),G218," ")</f>
        <v> </v>
      </c>
      <c r="S218" s="334" t="str">
        <f aca="false">IF((E218="l"),G218," ")</f>
        <v> </v>
      </c>
      <c r="T218" s="334" t="str">
        <f aca="false">IF((E218="b"),G218," ")</f>
        <v> </v>
      </c>
      <c r="U218" s="334" t="str">
        <f aca="false">IF((E218="i"),G218," ")</f>
        <v> </v>
      </c>
      <c r="V218" s="334" t="str">
        <f aca="false">IF((E218="o"),G218," ")</f>
        <v> </v>
      </c>
      <c r="W218" s="334" t="str">
        <f aca="false">IF((E218="f"),G218," ")</f>
        <v> </v>
      </c>
    </row>
    <row r="219" customFormat="false" ht="12.75" hidden="false" customHeight="false" outlineLevel="0" collapsed="false">
      <c r="A219" s="355"/>
      <c r="E219" s="365" t="str">
        <f aca="false">IF((G219&lt;&gt;0),"Enter Letter"," ")</f>
        <v> </v>
      </c>
      <c r="J219" s="334" t="str">
        <f aca="false">IF((E219="s"),G219," ")</f>
        <v> </v>
      </c>
      <c r="K219" s="334" t="str">
        <f aca="false">IF((E219="d"),G219," ")</f>
        <v> </v>
      </c>
      <c r="L219" s="334" t="str">
        <f aca="false">IF((E219="e"),G219," ")</f>
        <v> </v>
      </c>
      <c r="M219" s="334" t="str">
        <f aca="false">IF((E219="p"),G219," ")</f>
        <v> </v>
      </c>
      <c r="N219" s="334" t="str">
        <f aca="false">IF((E219="r"),G219," ")</f>
        <v> </v>
      </c>
      <c r="O219" s="334" t="str">
        <f aca="false">IF((E219="g"),G219," ")</f>
        <v> </v>
      </c>
      <c r="P219" s="334" t="str">
        <f aca="false">IF((E219="m"),G219," ")</f>
        <v> </v>
      </c>
      <c r="Q219" s="334" t="str">
        <f aca="false">IF((E219="t"),G219," ")</f>
        <v> </v>
      </c>
      <c r="R219" s="334" t="str">
        <f aca="false">IF((E219="a"),G219," ")</f>
        <v> </v>
      </c>
      <c r="S219" s="334" t="str">
        <f aca="false">IF((E219="l"),G219," ")</f>
        <v> </v>
      </c>
      <c r="T219" s="334" t="str">
        <f aca="false">IF((E219="b"),G219," ")</f>
        <v> </v>
      </c>
      <c r="U219" s="334" t="str">
        <f aca="false">IF((E219="i"),G219," ")</f>
        <v> </v>
      </c>
      <c r="V219" s="334" t="str">
        <f aca="false">IF((E219="o"),G219," ")</f>
        <v> </v>
      </c>
      <c r="W219" s="334" t="str">
        <f aca="false">IF((E219="f"),G219," ")</f>
        <v> </v>
      </c>
    </row>
    <row r="220" customFormat="false" ht="12.75" hidden="false" customHeight="false" outlineLevel="0" collapsed="false">
      <c r="A220" s="355"/>
      <c r="E220" s="365" t="str">
        <f aca="false">IF((G220&lt;&gt;0),"Enter Letter"," ")</f>
        <v> </v>
      </c>
      <c r="J220" s="334" t="str">
        <f aca="false">IF((E220="s"),G220," ")</f>
        <v> </v>
      </c>
      <c r="K220" s="334" t="str">
        <f aca="false">IF((E220="d"),G220," ")</f>
        <v> </v>
      </c>
      <c r="L220" s="334" t="str">
        <f aca="false">IF((E220="e"),G220," ")</f>
        <v> </v>
      </c>
      <c r="M220" s="334" t="str">
        <f aca="false">IF((E220="p"),G220," ")</f>
        <v> </v>
      </c>
      <c r="N220" s="334" t="str">
        <f aca="false">IF((E220="r"),G220," ")</f>
        <v> </v>
      </c>
      <c r="O220" s="334" t="str">
        <f aca="false">IF((E220="g"),G220," ")</f>
        <v> </v>
      </c>
      <c r="P220" s="334" t="str">
        <f aca="false">IF((E220="m"),G220," ")</f>
        <v> </v>
      </c>
      <c r="Q220" s="334" t="str">
        <f aca="false">IF((E220="t"),G220," ")</f>
        <v> </v>
      </c>
      <c r="R220" s="334" t="str">
        <f aca="false">IF((E220="a"),G220," ")</f>
        <v> </v>
      </c>
      <c r="S220" s="334" t="str">
        <f aca="false">IF((E220="l"),G220," ")</f>
        <v> </v>
      </c>
      <c r="T220" s="334" t="str">
        <f aca="false">IF((E220="b"),G220," ")</f>
        <v> </v>
      </c>
      <c r="U220" s="334" t="str">
        <f aca="false">IF((E220="i"),G220," ")</f>
        <v> </v>
      </c>
      <c r="V220" s="334" t="str">
        <f aca="false">IF((E220="o"),G220," ")</f>
        <v> </v>
      </c>
      <c r="W220" s="334" t="str">
        <f aca="false">IF((E220="f"),G220," ")</f>
        <v> </v>
      </c>
    </row>
    <row r="221" customFormat="false" ht="12.75" hidden="false" customHeight="false" outlineLevel="0" collapsed="false">
      <c r="A221" s="355"/>
      <c r="E221" s="365" t="str">
        <f aca="false">IF((G221&lt;&gt;0),"Enter Letter"," ")</f>
        <v> </v>
      </c>
      <c r="J221" s="334" t="str">
        <f aca="false">IF((E221="s"),G221," ")</f>
        <v> </v>
      </c>
      <c r="K221" s="334" t="str">
        <f aca="false">IF((E221="d"),G221," ")</f>
        <v> </v>
      </c>
      <c r="L221" s="334" t="str">
        <f aca="false">IF((E221="e"),G221," ")</f>
        <v> </v>
      </c>
      <c r="M221" s="334" t="str">
        <f aca="false">IF((E221="p"),G221," ")</f>
        <v> </v>
      </c>
      <c r="N221" s="334" t="str">
        <f aca="false">IF((E221="r"),G221," ")</f>
        <v> </v>
      </c>
      <c r="O221" s="334" t="str">
        <f aca="false">IF((E221="g"),G221," ")</f>
        <v> </v>
      </c>
      <c r="P221" s="334" t="str">
        <f aca="false">IF((E221="m"),G221," ")</f>
        <v> </v>
      </c>
      <c r="Q221" s="334" t="str">
        <f aca="false">IF((E221="t"),G221," ")</f>
        <v> </v>
      </c>
      <c r="R221" s="334" t="str">
        <f aca="false">IF((E221="a"),G221," ")</f>
        <v> </v>
      </c>
      <c r="S221" s="334" t="str">
        <f aca="false">IF((E221="l"),G221," ")</f>
        <v> </v>
      </c>
      <c r="T221" s="334" t="str">
        <f aca="false">IF((E221="b"),G221," ")</f>
        <v> </v>
      </c>
      <c r="U221" s="334" t="str">
        <f aca="false">IF((E221="i"),G221," ")</f>
        <v> </v>
      </c>
      <c r="V221" s="334" t="str">
        <f aca="false">IF((E221="o"),G221," ")</f>
        <v> </v>
      </c>
      <c r="W221" s="334" t="str">
        <f aca="false">IF((E221="f"),G221," ")</f>
        <v> </v>
      </c>
    </row>
    <row r="222" customFormat="false" ht="12.75" hidden="false" customHeight="false" outlineLevel="0" collapsed="false">
      <c r="A222" s="355"/>
      <c r="E222" s="365" t="str">
        <f aca="false">IF((G222&lt;&gt;0),"Enter Letter"," ")</f>
        <v> </v>
      </c>
      <c r="J222" s="334" t="str">
        <f aca="false">IF((E222="s"),G222," ")</f>
        <v> </v>
      </c>
      <c r="K222" s="334" t="str">
        <f aca="false">IF((E222="d"),G222," ")</f>
        <v> </v>
      </c>
      <c r="L222" s="334" t="str">
        <f aca="false">IF((E222="e"),G222," ")</f>
        <v> </v>
      </c>
      <c r="M222" s="334" t="str">
        <f aca="false">IF((E222="p"),G222," ")</f>
        <v> </v>
      </c>
      <c r="N222" s="334" t="str">
        <f aca="false">IF((E222="r"),G222," ")</f>
        <v> </v>
      </c>
      <c r="O222" s="334" t="str">
        <f aca="false">IF((E222="g"),G222," ")</f>
        <v> </v>
      </c>
      <c r="P222" s="334" t="str">
        <f aca="false">IF((E222="m"),G222," ")</f>
        <v> </v>
      </c>
      <c r="Q222" s="334" t="str">
        <f aca="false">IF((E222="t"),G222," ")</f>
        <v> </v>
      </c>
      <c r="R222" s="334" t="str">
        <f aca="false">IF((E222="a"),G222," ")</f>
        <v> </v>
      </c>
      <c r="S222" s="334" t="str">
        <f aca="false">IF((E222="l"),G222," ")</f>
        <v> </v>
      </c>
      <c r="T222" s="334" t="str">
        <f aca="false">IF((E222="b"),G222," ")</f>
        <v> </v>
      </c>
      <c r="U222" s="334" t="str">
        <f aca="false">IF((E222="i"),G222," ")</f>
        <v> </v>
      </c>
      <c r="V222" s="334" t="str">
        <f aca="false">IF((E222="o"),G222," ")</f>
        <v> </v>
      </c>
      <c r="W222" s="334" t="str">
        <f aca="false">IF((E222="f"),G222," ")</f>
        <v> </v>
      </c>
    </row>
    <row r="223" customFormat="false" ht="12.75" hidden="false" customHeight="false" outlineLevel="0" collapsed="false">
      <c r="A223" s="355"/>
      <c r="E223" s="365" t="str">
        <f aca="false">IF((G223&lt;&gt;0),"Enter Letter"," ")</f>
        <v> </v>
      </c>
      <c r="J223" s="334" t="str">
        <f aca="false">IF((E223="s"),G223," ")</f>
        <v> </v>
      </c>
      <c r="K223" s="334" t="str">
        <f aca="false">IF((E223="d"),G223," ")</f>
        <v> </v>
      </c>
      <c r="L223" s="334" t="str">
        <f aca="false">IF((E223="e"),G223," ")</f>
        <v> </v>
      </c>
      <c r="M223" s="334" t="str">
        <f aca="false">IF((E223="p"),G223," ")</f>
        <v> </v>
      </c>
      <c r="N223" s="334" t="str">
        <f aca="false">IF((E223="r"),G223," ")</f>
        <v> </v>
      </c>
      <c r="O223" s="334" t="str">
        <f aca="false">IF((E223="g"),G223," ")</f>
        <v> </v>
      </c>
      <c r="P223" s="334" t="str">
        <f aca="false">IF((E223="m"),G223," ")</f>
        <v> </v>
      </c>
      <c r="Q223" s="334" t="str">
        <f aca="false">IF((E223="t"),G223," ")</f>
        <v> </v>
      </c>
      <c r="R223" s="334" t="str">
        <f aca="false">IF((E223="a"),G223," ")</f>
        <v> </v>
      </c>
      <c r="S223" s="334" t="str">
        <f aca="false">IF((E223="l"),G223," ")</f>
        <v> </v>
      </c>
      <c r="T223" s="334" t="str">
        <f aca="false">IF((E223="b"),G223," ")</f>
        <v> </v>
      </c>
      <c r="U223" s="334" t="str">
        <f aca="false">IF((E223="i"),G223," ")</f>
        <v> </v>
      </c>
      <c r="V223" s="334" t="str">
        <f aca="false">IF((E223="o"),G223," ")</f>
        <v> </v>
      </c>
      <c r="W223" s="334" t="str">
        <f aca="false">IF((E223="f"),G223," ")</f>
        <v> </v>
      </c>
    </row>
    <row r="224" customFormat="false" ht="12.75" hidden="false" customHeight="false" outlineLevel="0" collapsed="false">
      <c r="A224" s="355"/>
      <c r="E224" s="365" t="str">
        <f aca="false">IF((G224&lt;&gt;0),"Enter Letter"," ")</f>
        <v> </v>
      </c>
      <c r="J224" s="334" t="str">
        <f aca="false">IF((E224="s"),G224," ")</f>
        <v> </v>
      </c>
      <c r="K224" s="334" t="str">
        <f aca="false">IF((E224="d"),G224," ")</f>
        <v> </v>
      </c>
      <c r="L224" s="334" t="str">
        <f aca="false">IF((E224="e"),G224," ")</f>
        <v> </v>
      </c>
      <c r="M224" s="334" t="str">
        <f aca="false">IF((E224="p"),G224," ")</f>
        <v> </v>
      </c>
      <c r="N224" s="334" t="str">
        <f aca="false">IF((E224="r"),G224," ")</f>
        <v> </v>
      </c>
      <c r="O224" s="334" t="str">
        <f aca="false">IF((E224="g"),G224," ")</f>
        <v> </v>
      </c>
      <c r="P224" s="334" t="str">
        <f aca="false">IF((E224="m"),G224," ")</f>
        <v> </v>
      </c>
      <c r="Q224" s="334" t="str">
        <f aca="false">IF((E224="t"),G224," ")</f>
        <v> </v>
      </c>
      <c r="R224" s="334" t="str">
        <f aca="false">IF((E224="a"),G224," ")</f>
        <v> </v>
      </c>
      <c r="S224" s="334" t="str">
        <f aca="false">IF((E224="l"),G224," ")</f>
        <v> </v>
      </c>
      <c r="T224" s="334" t="str">
        <f aca="false">IF((E224="b"),G224," ")</f>
        <v> </v>
      </c>
      <c r="U224" s="334" t="str">
        <f aca="false">IF((E224="i"),G224," ")</f>
        <v> </v>
      </c>
      <c r="V224" s="334" t="str">
        <f aca="false">IF((E224="o"),G224," ")</f>
        <v> </v>
      </c>
      <c r="W224" s="334" t="str">
        <f aca="false">IF((E224="f"),G224," ")</f>
        <v> </v>
      </c>
    </row>
    <row r="225" customFormat="false" ht="12.75" hidden="false" customHeight="false" outlineLevel="0" collapsed="false">
      <c r="A225" s="355"/>
      <c r="E225" s="365" t="str">
        <f aca="false">IF((G225&lt;&gt;0),"Enter Letter"," ")</f>
        <v> </v>
      </c>
      <c r="J225" s="334" t="str">
        <f aca="false">IF((E225="s"),G225," ")</f>
        <v> </v>
      </c>
      <c r="K225" s="334" t="str">
        <f aca="false">IF((E225="d"),G225," ")</f>
        <v> </v>
      </c>
      <c r="L225" s="334" t="str">
        <f aca="false">IF((E225="e"),G225," ")</f>
        <v> </v>
      </c>
      <c r="M225" s="334" t="str">
        <f aca="false">IF((E225="p"),G225," ")</f>
        <v> </v>
      </c>
      <c r="N225" s="334" t="str">
        <f aca="false">IF((E225="r"),G225," ")</f>
        <v> </v>
      </c>
      <c r="O225" s="334" t="str">
        <f aca="false">IF((E225="g"),G225," ")</f>
        <v> </v>
      </c>
      <c r="P225" s="334" t="str">
        <f aca="false">IF((E225="m"),G225," ")</f>
        <v> </v>
      </c>
      <c r="Q225" s="334" t="str">
        <f aca="false">IF((E225="t"),G225," ")</f>
        <v> </v>
      </c>
      <c r="R225" s="334" t="str">
        <f aca="false">IF((E225="a"),G225," ")</f>
        <v> </v>
      </c>
      <c r="S225" s="334" t="str">
        <f aca="false">IF((E225="l"),G225," ")</f>
        <v> </v>
      </c>
      <c r="T225" s="334" t="str">
        <f aca="false">IF((E225="b"),G225," ")</f>
        <v> </v>
      </c>
      <c r="U225" s="334" t="str">
        <f aca="false">IF((E225="i"),G225," ")</f>
        <v> </v>
      </c>
      <c r="V225" s="334" t="str">
        <f aca="false">IF((E225="o"),G225," ")</f>
        <v> </v>
      </c>
      <c r="W225" s="334" t="str">
        <f aca="false">IF((E225="f"),G225," ")</f>
        <v> </v>
      </c>
    </row>
    <row r="226" customFormat="false" ht="12.75" hidden="false" customHeight="false" outlineLevel="0" collapsed="false">
      <c r="A226" s="355"/>
      <c r="E226" s="365" t="str">
        <f aca="false">IF((G226&lt;&gt;0),"Enter Letter"," ")</f>
        <v> </v>
      </c>
      <c r="J226" s="334" t="str">
        <f aca="false">IF((E226="s"),G226," ")</f>
        <v> </v>
      </c>
      <c r="K226" s="334" t="str">
        <f aca="false">IF((E226="d"),G226," ")</f>
        <v> </v>
      </c>
      <c r="L226" s="334" t="str">
        <f aca="false">IF((E226="e"),G226," ")</f>
        <v> </v>
      </c>
      <c r="M226" s="334" t="str">
        <f aca="false">IF((E226="p"),G226," ")</f>
        <v> </v>
      </c>
      <c r="N226" s="334" t="str">
        <f aca="false">IF((E226="r"),G226," ")</f>
        <v> </v>
      </c>
      <c r="O226" s="334" t="str">
        <f aca="false">IF((E226="g"),G226," ")</f>
        <v> </v>
      </c>
      <c r="P226" s="334" t="str">
        <f aca="false">IF((E226="m"),G226," ")</f>
        <v> </v>
      </c>
      <c r="Q226" s="334" t="str">
        <f aca="false">IF((E226="t"),G226," ")</f>
        <v> </v>
      </c>
      <c r="R226" s="334" t="str">
        <f aca="false">IF((E226="a"),G226," ")</f>
        <v> </v>
      </c>
      <c r="S226" s="334" t="str">
        <f aca="false">IF((E226="l"),G226," ")</f>
        <v> </v>
      </c>
      <c r="T226" s="334" t="str">
        <f aca="false">IF((E226="b"),G226," ")</f>
        <v> </v>
      </c>
      <c r="U226" s="334" t="str">
        <f aca="false">IF((E226="i"),G226," ")</f>
        <v> </v>
      </c>
      <c r="V226" s="334" t="str">
        <f aca="false">IF((E226="o"),G226," ")</f>
        <v> </v>
      </c>
      <c r="W226" s="334" t="str">
        <f aca="false">IF((E226="f"),G226," ")</f>
        <v> </v>
      </c>
    </row>
    <row r="227" customFormat="false" ht="12.75" hidden="false" customHeight="false" outlineLevel="0" collapsed="false">
      <c r="A227" s="355"/>
      <c r="E227" s="365" t="str">
        <f aca="false">IF((G227&lt;&gt;0),"Enter Letter"," ")</f>
        <v> </v>
      </c>
      <c r="J227" s="334" t="str">
        <f aca="false">IF((E227="s"),G227," ")</f>
        <v> </v>
      </c>
      <c r="K227" s="334" t="str">
        <f aca="false">IF((E227="d"),G227," ")</f>
        <v> </v>
      </c>
      <c r="L227" s="334" t="str">
        <f aca="false">IF((E227="e"),G227," ")</f>
        <v> </v>
      </c>
      <c r="M227" s="334" t="str">
        <f aca="false">IF((E227="p"),G227," ")</f>
        <v> </v>
      </c>
      <c r="N227" s="334" t="str">
        <f aca="false">IF((E227="r"),G227," ")</f>
        <v> </v>
      </c>
      <c r="O227" s="334" t="str">
        <f aca="false">IF((E227="g"),G227," ")</f>
        <v> </v>
      </c>
      <c r="P227" s="334" t="str">
        <f aca="false">IF((E227="m"),G227," ")</f>
        <v> </v>
      </c>
      <c r="Q227" s="334" t="str">
        <f aca="false">IF((E227="t"),G227," ")</f>
        <v> </v>
      </c>
      <c r="R227" s="334" t="str">
        <f aca="false">IF((E227="a"),G227," ")</f>
        <v> </v>
      </c>
      <c r="S227" s="334" t="str">
        <f aca="false">IF((E227="l"),G227," ")</f>
        <v> </v>
      </c>
      <c r="T227" s="334" t="str">
        <f aca="false">IF((E227="b"),G227," ")</f>
        <v> </v>
      </c>
      <c r="U227" s="334" t="str">
        <f aca="false">IF((E227="i"),G227," ")</f>
        <v> </v>
      </c>
      <c r="V227" s="334" t="str">
        <f aca="false">IF((E227="o"),G227," ")</f>
        <v> </v>
      </c>
      <c r="W227" s="334" t="str">
        <f aca="false">IF((E227="f"),G227," ")</f>
        <v> </v>
      </c>
    </row>
    <row r="228" customFormat="false" ht="12.75" hidden="false" customHeight="false" outlineLevel="0" collapsed="false">
      <c r="A228" s="355"/>
      <c r="E228" s="365" t="str">
        <f aca="false">IF((G228&lt;&gt;0),"Enter Letter"," ")</f>
        <v> </v>
      </c>
      <c r="J228" s="334" t="str">
        <f aca="false">IF((E228="s"),G228," ")</f>
        <v> </v>
      </c>
      <c r="K228" s="334" t="str">
        <f aca="false">IF((E228="d"),G228," ")</f>
        <v> </v>
      </c>
      <c r="L228" s="334" t="str">
        <f aca="false">IF((E228="e"),G228," ")</f>
        <v> </v>
      </c>
      <c r="M228" s="334" t="str">
        <f aca="false">IF((E228="p"),G228," ")</f>
        <v> </v>
      </c>
      <c r="N228" s="334" t="str">
        <f aca="false">IF((E228="r"),G228," ")</f>
        <v> </v>
      </c>
      <c r="O228" s="334" t="str">
        <f aca="false">IF((E228="g"),G228," ")</f>
        <v> </v>
      </c>
      <c r="P228" s="334" t="str">
        <f aca="false">IF((E228="m"),G228," ")</f>
        <v> </v>
      </c>
      <c r="Q228" s="334" t="str">
        <f aca="false">IF((E228="t"),G228," ")</f>
        <v> </v>
      </c>
      <c r="R228" s="334" t="str">
        <f aca="false">IF((E228="a"),G228," ")</f>
        <v> </v>
      </c>
      <c r="S228" s="334" t="str">
        <f aca="false">IF((E228="l"),G228," ")</f>
        <v> </v>
      </c>
      <c r="T228" s="334" t="str">
        <f aca="false">IF((E228="b"),G228," ")</f>
        <v> </v>
      </c>
      <c r="U228" s="334" t="str">
        <f aca="false">IF((E228="i"),G228," ")</f>
        <v> </v>
      </c>
      <c r="V228" s="334" t="str">
        <f aca="false">IF((E228="o"),G228," ")</f>
        <v> </v>
      </c>
      <c r="W228" s="334" t="str">
        <f aca="false">IF((E228="f"),G228," ")</f>
        <v> </v>
      </c>
    </row>
    <row r="229" customFormat="false" ht="12.75" hidden="false" customHeight="false" outlineLevel="0" collapsed="false">
      <c r="A229" s="355"/>
      <c r="E229" s="365" t="str">
        <f aca="false">IF((G229&lt;&gt;0),"Enter Letter"," ")</f>
        <v> </v>
      </c>
      <c r="J229" s="334" t="str">
        <f aca="false">IF((E229="s"),G229," ")</f>
        <v> </v>
      </c>
      <c r="K229" s="334" t="str">
        <f aca="false">IF((E229="d"),G229," ")</f>
        <v> </v>
      </c>
      <c r="L229" s="334" t="str">
        <f aca="false">IF((E229="e"),G229," ")</f>
        <v> </v>
      </c>
      <c r="M229" s="334" t="str">
        <f aca="false">IF((E229="p"),G229," ")</f>
        <v> </v>
      </c>
      <c r="N229" s="334" t="str">
        <f aca="false">IF((E229="r"),G229," ")</f>
        <v> </v>
      </c>
      <c r="O229" s="334" t="str">
        <f aca="false">IF((E229="g"),G229," ")</f>
        <v> </v>
      </c>
      <c r="P229" s="334" t="str">
        <f aca="false">IF((E229="m"),G229," ")</f>
        <v> </v>
      </c>
      <c r="Q229" s="334" t="str">
        <f aca="false">IF((E229="t"),G229," ")</f>
        <v> </v>
      </c>
      <c r="R229" s="334" t="str">
        <f aca="false">IF((E229="a"),G229," ")</f>
        <v> </v>
      </c>
      <c r="S229" s="334" t="str">
        <f aca="false">IF((E229="l"),G229," ")</f>
        <v> </v>
      </c>
      <c r="T229" s="334" t="str">
        <f aca="false">IF((E229="b"),G229," ")</f>
        <v> </v>
      </c>
      <c r="U229" s="334" t="str">
        <f aca="false">IF((E229="i"),G229," ")</f>
        <v> </v>
      </c>
      <c r="V229" s="334" t="str">
        <f aca="false">IF((E229="o"),G229," ")</f>
        <v> </v>
      </c>
      <c r="W229" s="334" t="str">
        <f aca="false">IF((E229="f"),G229," ")</f>
        <v> </v>
      </c>
    </row>
    <row r="230" customFormat="false" ht="12.75" hidden="false" customHeight="false" outlineLevel="0" collapsed="false">
      <c r="A230" s="355"/>
      <c r="E230" s="365" t="str">
        <f aca="false">IF((G230&lt;&gt;0),"Enter Letter"," ")</f>
        <v> </v>
      </c>
      <c r="J230" s="334" t="str">
        <f aca="false">IF((E230="s"),G230," ")</f>
        <v> </v>
      </c>
      <c r="K230" s="334" t="str">
        <f aca="false">IF((E230="d"),G230," ")</f>
        <v> </v>
      </c>
      <c r="L230" s="334" t="str">
        <f aca="false">IF((E230="e"),G230," ")</f>
        <v> </v>
      </c>
      <c r="M230" s="334" t="str">
        <f aca="false">IF((E230="p"),G230," ")</f>
        <v> </v>
      </c>
      <c r="N230" s="334" t="str">
        <f aca="false">IF((E230="r"),G230," ")</f>
        <v> </v>
      </c>
      <c r="O230" s="334" t="str">
        <f aca="false">IF((E230="g"),G230," ")</f>
        <v> </v>
      </c>
      <c r="P230" s="334" t="str">
        <f aca="false">IF((E230="m"),G230," ")</f>
        <v> </v>
      </c>
      <c r="Q230" s="334" t="str">
        <f aca="false">IF((E230="t"),G230," ")</f>
        <v> </v>
      </c>
      <c r="R230" s="334" t="str">
        <f aca="false">IF((E230="a"),G230," ")</f>
        <v> </v>
      </c>
      <c r="S230" s="334" t="str">
        <f aca="false">IF((E230="l"),G230," ")</f>
        <v> </v>
      </c>
      <c r="T230" s="334" t="str">
        <f aca="false">IF((E230="b"),G230," ")</f>
        <v> </v>
      </c>
      <c r="U230" s="334" t="str">
        <f aca="false">IF((E230="i"),G230," ")</f>
        <v> </v>
      </c>
      <c r="V230" s="334" t="str">
        <f aca="false">IF((E230="o"),G230," ")</f>
        <v> </v>
      </c>
      <c r="W230" s="334" t="str">
        <f aca="false">IF((E230="f"),G230," ")</f>
        <v> </v>
      </c>
    </row>
    <row r="231" customFormat="false" ht="12.75" hidden="false" customHeight="false" outlineLevel="0" collapsed="false">
      <c r="A231" s="355"/>
      <c r="E231" s="365" t="str">
        <f aca="false">IF((G231&lt;&gt;0),"Enter Letter"," ")</f>
        <v> </v>
      </c>
      <c r="J231" s="334" t="str">
        <f aca="false">IF((E231="s"),G231," ")</f>
        <v> </v>
      </c>
      <c r="K231" s="334" t="str">
        <f aca="false">IF((E231="d"),G231," ")</f>
        <v> </v>
      </c>
      <c r="L231" s="334" t="str">
        <f aca="false">IF((E231="e"),G231," ")</f>
        <v> </v>
      </c>
      <c r="M231" s="334" t="str">
        <f aca="false">IF((E231="p"),G231," ")</f>
        <v> </v>
      </c>
      <c r="N231" s="334" t="str">
        <f aca="false">IF((E231="r"),G231," ")</f>
        <v> </v>
      </c>
      <c r="O231" s="334" t="str">
        <f aca="false">IF((E231="g"),G231," ")</f>
        <v> </v>
      </c>
      <c r="P231" s="334" t="str">
        <f aca="false">IF((E231="m"),G231," ")</f>
        <v> </v>
      </c>
      <c r="Q231" s="334" t="str">
        <f aca="false">IF((E231="t"),G231," ")</f>
        <v> </v>
      </c>
      <c r="R231" s="334" t="str">
        <f aca="false">IF((E231="a"),G231," ")</f>
        <v> </v>
      </c>
      <c r="S231" s="334" t="str">
        <f aca="false">IF((E231="l"),G231," ")</f>
        <v> </v>
      </c>
      <c r="T231" s="334" t="str">
        <f aca="false">IF((E231="b"),G231," ")</f>
        <v> </v>
      </c>
      <c r="U231" s="334" t="str">
        <f aca="false">IF((E231="i"),G231," ")</f>
        <v> </v>
      </c>
      <c r="V231" s="334" t="str">
        <f aca="false">IF((E231="o"),G231," ")</f>
        <v> </v>
      </c>
      <c r="W231" s="334" t="str">
        <f aca="false">IF((E231="f"),G231," ")</f>
        <v> </v>
      </c>
    </row>
    <row r="232" customFormat="false" ht="12.75" hidden="false" customHeight="false" outlineLevel="0" collapsed="false">
      <c r="A232" s="355"/>
      <c r="E232" s="365" t="str">
        <f aca="false">IF((G232&lt;&gt;0),"Enter Letter"," ")</f>
        <v> </v>
      </c>
      <c r="J232" s="334" t="str">
        <f aca="false">IF((E232="s"),G232," ")</f>
        <v> </v>
      </c>
      <c r="K232" s="334" t="str">
        <f aca="false">IF((E232="d"),G232," ")</f>
        <v> </v>
      </c>
      <c r="L232" s="334" t="str">
        <f aca="false">IF((E232="e"),G232," ")</f>
        <v> </v>
      </c>
      <c r="M232" s="334" t="str">
        <f aca="false">IF((E232="p"),G232," ")</f>
        <v> </v>
      </c>
      <c r="N232" s="334" t="str">
        <f aca="false">IF((E232="r"),G232," ")</f>
        <v> </v>
      </c>
      <c r="O232" s="334" t="str">
        <f aca="false">IF((E232="g"),G232," ")</f>
        <v> </v>
      </c>
      <c r="P232" s="334" t="str">
        <f aca="false">IF((E232="m"),G232," ")</f>
        <v> </v>
      </c>
      <c r="Q232" s="334" t="str">
        <f aca="false">IF((E232="t"),G232," ")</f>
        <v> </v>
      </c>
      <c r="R232" s="334" t="str">
        <f aca="false">IF((E232="a"),G232," ")</f>
        <v> </v>
      </c>
      <c r="S232" s="334" t="str">
        <f aca="false">IF((E232="l"),G232," ")</f>
        <v> </v>
      </c>
      <c r="T232" s="334" t="str">
        <f aca="false">IF((E232="b"),G232," ")</f>
        <v> </v>
      </c>
      <c r="U232" s="334" t="str">
        <f aca="false">IF((E232="i"),G232," ")</f>
        <v> </v>
      </c>
      <c r="V232" s="334" t="str">
        <f aca="false">IF((E232="o"),G232," ")</f>
        <v> </v>
      </c>
      <c r="W232" s="334" t="str">
        <f aca="false">IF((E232="f"),G232," ")</f>
        <v> </v>
      </c>
    </row>
    <row r="233" customFormat="false" ht="12.75" hidden="false" customHeight="false" outlineLevel="0" collapsed="false">
      <c r="A233" s="355"/>
      <c r="E233" s="365" t="str">
        <f aca="false">IF((G233&lt;&gt;0),"Enter Letter"," ")</f>
        <v> </v>
      </c>
      <c r="J233" s="334" t="str">
        <f aca="false">IF((E233="s"),G233," ")</f>
        <v> </v>
      </c>
      <c r="K233" s="334" t="str">
        <f aca="false">IF((E233="d"),G233," ")</f>
        <v> </v>
      </c>
      <c r="L233" s="334" t="str">
        <f aca="false">IF((E233="e"),G233," ")</f>
        <v> </v>
      </c>
      <c r="M233" s="334" t="str">
        <f aca="false">IF((E233="p"),G233," ")</f>
        <v> </v>
      </c>
      <c r="N233" s="334" t="str">
        <f aca="false">IF((E233="r"),G233," ")</f>
        <v> </v>
      </c>
      <c r="O233" s="334" t="str">
        <f aca="false">IF((E233="g"),G233," ")</f>
        <v> </v>
      </c>
      <c r="P233" s="334" t="str">
        <f aca="false">IF((E233="m"),G233," ")</f>
        <v> </v>
      </c>
      <c r="Q233" s="334" t="str">
        <f aca="false">IF((E233="t"),G233," ")</f>
        <v> </v>
      </c>
      <c r="R233" s="334" t="str">
        <f aca="false">IF((E233="a"),G233," ")</f>
        <v> </v>
      </c>
      <c r="S233" s="334" t="str">
        <f aca="false">IF((E233="l"),G233," ")</f>
        <v> </v>
      </c>
      <c r="T233" s="334" t="str">
        <f aca="false">IF((E233="b"),G233," ")</f>
        <v> </v>
      </c>
      <c r="U233" s="334" t="str">
        <f aca="false">IF((E233="i"),G233," ")</f>
        <v> </v>
      </c>
      <c r="V233" s="334" t="str">
        <f aca="false">IF((E233="o"),G233," ")</f>
        <v> </v>
      </c>
      <c r="W233" s="334" t="str">
        <f aca="false">IF((E233="f"),G233," ")</f>
        <v> </v>
      </c>
    </row>
    <row r="234" customFormat="false" ht="12.75" hidden="false" customHeight="false" outlineLevel="0" collapsed="false">
      <c r="A234" s="355"/>
      <c r="E234" s="365" t="str">
        <f aca="false">IF((G234&lt;&gt;0),"Enter Letter"," ")</f>
        <v> </v>
      </c>
      <c r="J234" s="334" t="str">
        <f aca="false">IF((E234="s"),G234," ")</f>
        <v> </v>
      </c>
      <c r="K234" s="334" t="str">
        <f aca="false">IF((E234="d"),G234," ")</f>
        <v> </v>
      </c>
      <c r="L234" s="334" t="str">
        <f aca="false">IF((E234="e"),G234," ")</f>
        <v> </v>
      </c>
      <c r="M234" s="334" t="str">
        <f aca="false">IF((E234="p"),G234," ")</f>
        <v> </v>
      </c>
      <c r="N234" s="334" t="str">
        <f aca="false">IF((E234="r"),G234," ")</f>
        <v> </v>
      </c>
      <c r="O234" s="334" t="str">
        <f aca="false">IF((E234="g"),G234," ")</f>
        <v> </v>
      </c>
      <c r="P234" s="334" t="str">
        <f aca="false">IF((E234="m"),G234," ")</f>
        <v> </v>
      </c>
      <c r="Q234" s="334" t="str">
        <f aca="false">IF((E234="t"),G234," ")</f>
        <v> </v>
      </c>
      <c r="R234" s="334" t="str">
        <f aca="false">IF((E234="a"),G234," ")</f>
        <v> </v>
      </c>
      <c r="S234" s="334" t="str">
        <f aca="false">IF((E234="l"),G234," ")</f>
        <v> </v>
      </c>
      <c r="T234" s="334" t="str">
        <f aca="false">IF((E234="b"),G234," ")</f>
        <v> </v>
      </c>
      <c r="U234" s="334" t="str">
        <f aca="false">IF((E234="i"),G234," ")</f>
        <v> </v>
      </c>
      <c r="V234" s="334" t="str">
        <f aca="false">IF((E234="o"),G234," ")</f>
        <v> </v>
      </c>
      <c r="W234" s="334" t="str">
        <f aca="false">IF((E234="f"),G234," ")</f>
        <v> </v>
      </c>
    </row>
    <row r="235" customFormat="false" ht="12.75" hidden="false" customHeight="false" outlineLevel="0" collapsed="false">
      <c r="A235" s="355"/>
      <c r="E235" s="365" t="str">
        <f aca="false">IF((G235&lt;&gt;0),"Enter Letter"," ")</f>
        <v> </v>
      </c>
      <c r="J235" s="334" t="str">
        <f aca="false">IF((E235="s"),G235," ")</f>
        <v> </v>
      </c>
      <c r="K235" s="334" t="str">
        <f aca="false">IF((E235="d"),G235," ")</f>
        <v> </v>
      </c>
      <c r="L235" s="334" t="str">
        <f aca="false">IF((E235="e"),G235," ")</f>
        <v> </v>
      </c>
      <c r="M235" s="334" t="str">
        <f aca="false">IF((E235="p"),G235," ")</f>
        <v> </v>
      </c>
      <c r="N235" s="334" t="str">
        <f aca="false">IF((E235="r"),G235," ")</f>
        <v> </v>
      </c>
      <c r="O235" s="334" t="str">
        <f aca="false">IF((E235="g"),G235," ")</f>
        <v> </v>
      </c>
      <c r="P235" s="334" t="str">
        <f aca="false">IF((E235="m"),G235," ")</f>
        <v> </v>
      </c>
      <c r="Q235" s="334" t="str">
        <f aca="false">IF((E235="t"),G235," ")</f>
        <v> </v>
      </c>
      <c r="R235" s="334" t="str">
        <f aca="false">IF((E235="a"),G235," ")</f>
        <v> </v>
      </c>
      <c r="S235" s="334" t="str">
        <f aca="false">IF((E235="l"),G235," ")</f>
        <v> </v>
      </c>
      <c r="T235" s="334" t="str">
        <f aca="false">IF((E235="b"),G235," ")</f>
        <v> </v>
      </c>
      <c r="U235" s="334" t="str">
        <f aca="false">IF((E235="i"),G235," ")</f>
        <v> </v>
      </c>
      <c r="V235" s="334" t="str">
        <f aca="false">IF((E235="o"),G235," ")</f>
        <v> </v>
      </c>
      <c r="W235" s="334" t="str">
        <f aca="false">IF((E235="f"),G235," ")</f>
        <v> </v>
      </c>
    </row>
    <row r="236" customFormat="false" ht="12.75" hidden="false" customHeight="false" outlineLevel="0" collapsed="false">
      <c r="A236" s="355"/>
      <c r="E236" s="365" t="str">
        <f aca="false">IF((G236&lt;&gt;0),"Enter Letter"," ")</f>
        <v> </v>
      </c>
      <c r="J236" s="334" t="str">
        <f aca="false">IF((E236="s"),G236," ")</f>
        <v> </v>
      </c>
      <c r="K236" s="334" t="str">
        <f aca="false">IF((E236="d"),G236," ")</f>
        <v> </v>
      </c>
      <c r="L236" s="334" t="str">
        <f aca="false">IF((E236="e"),G236," ")</f>
        <v> </v>
      </c>
      <c r="M236" s="334" t="str">
        <f aca="false">IF((E236="p"),G236," ")</f>
        <v> </v>
      </c>
      <c r="N236" s="334" t="str">
        <f aca="false">IF((E236="r"),G236," ")</f>
        <v> </v>
      </c>
      <c r="O236" s="334" t="str">
        <f aca="false">IF((E236="g"),G236," ")</f>
        <v> </v>
      </c>
      <c r="P236" s="334" t="str">
        <f aca="false">IF((E236="m"),G236," ")</f>
        <v> </v>
      </c>
      <c r="Q236" s="334" t="str">
        <f aca="false">IF((E236="t"),G236," ")</f>
        <v> </v>
      </c>
      <c r="R236" s="334" t="str">
        <f aca="false">IF((E236="a"),G236," ")</f>
        <v> </v>
      </c>
      <c r="S236" s="334" t="str">
        <f aca="false">IF((E236="l"),G236," ")</f>
        <v> </v>
      </c>
      <c r="T236" s="334" t="str">
        <f aca="false">IF((E236="b"),G236," ")</f>
        <v> </v>
      </c>
      <c r="U236" s="334" t="str">
        <f aca="false">IF((E236="i"),G236," ")</f>
        <v> </v>
      </c>
      <c r="V236" s="334" t="str">
        <f aca="false">IF((E236="o"),G236," ")</f>
        <v> </v>
      </c>
      <c r="W236" s="334" t="str">
        <f aca="false">IF((E236="f"),G236," ")</f>
        <v> </v>
      </c>
    </row>
    <row r="237" customFormat="false" ht="12.75" hidden="false" customHeight="false" outlineLevel="0" collapsed="false">
      <c r="A237" s="355"/>
      <c r="E237" s="365" t="str">
        <f aca="false">IF((G237&lt;&gt;0),"Enter Letter"," ")</f>
        <v> </v>
      </c>
      <c r="J237" s="334" t="str">
        <f aca="false">IF((E237="s"),G237," ")</f>
        <v> </v>
      </c>
      <c r="K237" s="334" t="str">
        <f aca="false">IF((E237="d"),G237," ")</f>
        <v> </v>
      </c>
      <c r="L237" s="334" t="str">
        <f aca="false">IF((E237="e"),G237," ")</f>
        <v> </v>
      </c>
      <c r="M237" s="334" t="str">
        <f aca="false">IF((E237="p"),G237," ")</f>
        <v> </v>
      </c>
      <c r="N237" s="334" t="str">
        <f aca="false">IF((E237="r"),G237," ")</f>
        <v> </v>
      </c>
      <c r="O237" s="334" t="str">
        <f aca="false">IF((E237="g"),G237," ")</f>
        <v> </v>
      </c>
      <c r="P237" s="334" t="str">
        <f aca="false">IF((E237="m"),G237," ")</f>
        <v> </v>
      </c>
      <c r="Q237" s="334" t="str">
        <f aca="false">IF((E237="t"),G237," ")</f>
        <v> </v>
      </c>
      <c r="R237" s="334" t="str">
        <f aca="false">IF((E237="a"),G237," ")</f>
        <v> </v>
      </c>
      <c r="S237" s="334" t="str">
        <f aca="false">IF((E237="l"),G237," ")</f>
        <v> </v>
      </c>
      <c r="T237" s="334" t="str">
        <f aca="false">IF((E237="b"),G237," ")</f>
        <v> </v>
      </c>
      <c r="U237" s="334" t="str">
        <f aca="false">IF((E237="i"),G237," ")</f>
        <v> </v>
      </c>
      <c r="V237" s="334" t="str">
        <f aca="false">IF((E237="o"),G237," ")</f>
        <v> </v>
      </c>
      <c r="W237" s="334" t="str">
        <f aca="false">IF((E237="f"),G237," ")</f>
        <v> </v>
      </c>
    </row>
    <row r="238" customFormat="false" ht="12.75" hidden="false" customHeight="false" outlineLevel="0" collapsed="false">
      <c r="A238" s="355"/>
      <c r="E238" s="365" t="str">
        <f aca="false">IF((G238&lt;&gt;0),"Enter Letter"," ")</f>
        <v> </v>
      </c>
      <c r="J238" s="334" t="str">
        <f aca="false">IF((E238="s"),G238," ")</f>
        <v> </v>
      </c>
      <c r="K238" s="334" t="str">
        <f aca="false">IF((E238="d"),G238," ")</f>
        <v> </v>
      </c>
      <c r="L238" s="334" t="str">
        <f aca="false">IF((E238="e"),G238," ")</f>
        <v> </v>
      </c>
      <c r="M238" s="334" t="str">
        <f aca="false">IF((E238="p"),G238," ")</f>
        <v> </v>
      </c>
      <c r="N238" s="334" t="str">
        <f aca="false">IF((E238="r"),G238," ")</f>
        <v> </v>
      </c>
      <c r="O238" s="334" t="str">
        <f aca="false">IF((E238="g"),G238," ")</f>
        <v> </v>
      </c>
      <c r="P238" s="334" t="str">
        <f aca="false">IF((E238="m"),G238," ")</f>
        <v> </v>
      </c>
      <c r="Q238" s="334" t="str">
        <f aca="false">IF((E238="t"),G238," ")</f>
        <v> </v>
      </c>
      <c r="R238" s="334" t="str">
        <f aca="false">IF((E238="a"),G238," ")</f>
        <v> </v>
      </c>
      <c r="S238" s="334" t="str">
        <f aca="false">IF((E238="l"),G238," ")</f>
        <v> </v>
      </c>
      <c r="T238" s="334" t="str">
        <f aca="false">IF((E238="b"),G238," ")</f>
        <v> </v>
      </c>
      <c r="U238" s="334" t="str">
        <f aca="false">IF((E238="i"),G238," ")</f>
        <v> </v>
      </c>
      <c r="V238" s="334" t="str">
        <f aca="false">IF((E238="o"),G238," ")</f>
        <v> </v>
      </c>
      <c r="W238" s="334" t="str">
        <f aca="false">IF((E238="f"),G238," ")</f>
        <v> </v>
      </c>
    </row>
    <row r="239" customFormat="false" ht="12.75" hidden="false" customHeight="false" outlineLevel="0" collapsed="false">
      <c r="A239" s="355"/>
      <c r="E239" s="365" t="str">
        <f aca="false">IF((G239&lt;&gt;0),"Enter Letter"," ")</f>
        <v> </v>
      </c>
      <c r="J239" s="334" t="str">
        <f aca="false">IF((E239="s"),G239," ")</f>
        <v> </v>
      </c>
      <c r="K239" s="334" t="str">
        <f aca="false">IF((E239="d"),G239," ")</f>
        <v> </v>
      </c>
      <c r="L239" s="334" t="str">
        <f aca="false">IF((E239="e"),G239," ")</f>
        <v> </v>
      </c>
      <c r="M239" s="334" t="str">
        <f aca="false">IF((E239="p"),G239," ")</f>
        <v> </v>
      </c>
      <c r="N239" s="334" t="str">
        <f aca="false">IF((E239="r"),G239," ")</f>
        <v> </v>
      </c>
      <c r="O239" s="334" t="str">
        <f aca="false">IF((E239="g"),G239," ")</f>
        <v> </v>
      </c>
      <c r="P239" s="334" t="str">
        <f aca="false">IF((E239="m"),G239," ")</f>
        <v> </v>
      </c>
      <c r="Q239" s="334" t="str">
        <f aca="false">IF((E239="t"),G239," ")</f>
        <v> </v>
      </c>
      <c r="R239" s="334" t="str">
        <f aca="false">IF((E239="a"),G239," ")</f>
        <v> </v>
      </c>
      <c r="S239" s="334" t="str">
        <f aca="false">IF((E239="l"),G239," ")</f>
        <v> </v>
      </c>
      <c r="T239" s="334" t="str">
        <f aca="false">IF((E239="b"),G239," ")</f>
        <v> </v>
      </c>
      <c r="U239" s="334" t="str">
        <f aca="false">IF((E239="i"),G239," ")</f>
        <v> </v>
      </c>
      <c r="V239" s="334" t="str">
        <f aca="false">IF((E239="o"),G239," ")</f>
        <v> </v>
      </c>
      <c r="W239" s="334" t="str">
        <f aca="false">IF((E239="f"),G239," ")</f>
        <v> </v>
      </c>
    </row>
    <row r="240" customFormat="false" ht="12.75" hidden="false" customHeight="false" outlineLevel="0" collapsed="false">
      <c r="A240" s="355"/>
      <c r="E240" s="365" t="str">
        <f aca="false">IF((G240&lt;&gt;0),"Enter Letter"," ")</f>
        <v> </v>
      </c>
      <c r="J240" s="334" t="str">
        <f aca="false">IF((E240="s"),G240," ")</f>
        <v> </v>
      </c>
      <c r="K240" s="334" t="str">
        <f aca="false">IF((E240="d"),G240," ")</f>
        <v> </v>
      </c>
      <c r="L240" s="334" t="str">
        <f aca="false">IF((E240="e"),G240," ")</f>
        <v> </v>
      </c>
      <c r="M240" s="334" t="str">
        <f aca="false">IF((E240="p"),G240," ")</f>
        <v> </v>
      </c>
      <c r="N240" s="334" t="str">
        <f aca="false">IF((E240="r"),G240," ")</f>
        <v> </v>
      </c>
      <c r="O240" s="334" t="str">
        <f aca="false">IF((E240="g"),G240," ")</f>
        <v> </v>
      </c>
      <c r="P240" s="334" t="str">
        <f aca="false">IF((E240="m"),G240," ")</f>
        <v> </v>
      </c>
      <c r="Q240" s="334" t="str">
        <f aca="false">IF((E240="t"),G240," ")</f>
        <v> </v>
      </c>
      <c r="R240" s="334" t="str">
        <f aca="false">IF((E240="a"),G240," ")</f>
        <v> </v>
      </c>
      <c r="S240" s="334" t="str">
        <f aca="false">IF((E240="l"),G240," ")</f>
        <v> </v>
      </c>
      <c r="T240" s="334" t="str">
        <f aca="false">IF((E240="b"),G240," ")</f>
        <v> </v>
      </c>
      <c r="U240" s="334" t="str">
        <f aca="false">IF((E240="i"),G240," ")</f>
        <v> </v>
      </c>
      <c r="V240" s="334" t="str">
        <f aca="false">IF((E240="o"),G240," ")</f>
        <v> </v>
      </c>
      <c r="W240" s="334" t="str">
        <f aca="false">IF((E240="f"),G240," ")</f>
        <v> </v>
      </c>
    </row>
    <row r="241" customFormat="false" ht="12.75" hidden="false" customHeight="false" outlineLevel="0" collapsed="false">
      <c r="A241" s="355"/>
      <c r="E241" s="365" t="str">
        <f aca="false">IF((G241&lt;&gt;0),"Enter Letter"," ")</f>
        <v> </v>
      </c>
      <c r="J241" s="334" t="str">
        <f aca="false">IF((E241="s"),G241," ")</f>
        <v> </v>
      </c>
      <c r="K241" s="334" t="str">
        <f aca="false">IF((E241="d"),G241," ")</f>
        <v> </v>
      </c>
      <c r="L241" s="334" t="str">
        <f aca="false">IF((E241="e"),G241," ")</f>
        <v> </v>
      </c>
      <c r="M241" s="334" t="str">
        <f aca="false">IF((E241="p"),G241," ")</f>
        <v> </v>
      </c>
      <c r="N241" s="334" t="str">
        <f aca="false">IF((E241="r"),G241," ")</f>
        <v> </v>
      </c>
      <c r="O241" s="334" t="str">
        <f aca="false">IF((E241="g"),G241," ")</f>
        <v> </v>
      </c>
      <c r="P241" s="334" t="str">
        <f aca="false">IF((E241="m"),G241," ")</f>
        <v> </v>
      </c>
      <c r="Q241" s="334" t="str">
        <f aca="false">IF((E241="t"),G241," ")</f>
        <v> </v>
      </c>
      <c r="R241" s="334" t="str">
        <f aca="false">IF((E241="a"),G241," ")</f>
        <v> </v>
      </c>
      <c r="S241" s="334" t="str">
        <f aca="false">IF((E241="l"),G241," ")</f>
        <v> </v>
      </c>
      <c r="T241" s="334" t="str">
        <f aca="false">IF((E241="b"),G241," ")</f>
        <v> </v>
      </c>
      <c r="U241" s="334" t="str">
        <f aca="false">IF((E241="i"),G241," ")</f>
        <v> </v>
      </c>
      <c r="V241" s="334" t="str">
        <f aca="false">IF((E241="o"),G241," ")</f>
        <v> </v>
      </c>
      <c r="W241" s="334" t="str">
        <f aca="false">IF((E241="f"),G241," ")</f>
        <v> </v>
      </c>
    </row>
    <row r="242" customFormat="false" ht="12.75" hidden="false" customHeight="false" outlineLevel="0" collapsed="false">
      <c r="A242" s="355"/>
      <c r="E242" s="365" t="str">
        <f aca="false">IF((G242&lt;&gt;0),"Enter Letter"," ")</f>
        <v> </v>
      </c>
      <c r="J242" s="334" t="str">
        <f aca="false">IF((E242="s"),G242," ")</f>
        <v> </v>
      </c>
      <c r="K242" s="334" t="str">
        <f aca="false">IF((E242="d"),G242," ")</f>
        <v> </v>
      </c>
      <c r="L242" s="334" t="str">
        <f aca="false">IF((E242="e"),G242," ")</f>
        <v> </v>
      </c>
      <c r="M242" s="334" t="str">
        <f aca="false">IF((E242="p"),G242," ")</f>
        <v> </v>
      </c>
      <c r="N242" s="334" t="str">
        <f aca="false">IF((E242="r"),G242," ")</f>
        <v> </v>
      </c>
      <c r="O242" s="334" t="str">
        <f aca="false">IF((E242="g"),G242," ")</f>
        <v> </v>
      </c>
      <c r="P242" s="334" t="str">
        <f aca="false">IF((E242="m"),G242," ")</f>
        <v> </v>
      </c>
      <c r="Q242" s="334" t="str">
        <f aca="false">IF((E242="t"),G242," ")</f>
        <v> </v>
      </c>
      <c r="R242" s="334" t="str">
        <f aca="false">IF((E242="a"),G242," ")</f>
        <v> </v>
      </c>
      <c r="S242" s="334" t="str">
        <f aca="false">IF((E242="l"),G242," ")</f>
        <v> </v>
      </c>
      <c r="T242" s="334" t="str">
        <f aca="false">IF((E242="b"),G242," ")</f>
        <v> </v>
      </c>
      <c r="U242" s="334" t="str">
        <f aca="false">IF((E242="i"),G242," ")</f>
        <v> </v>
      </c>
      <c r="V242" s="334" t="str">
        <f aca="false">IF((E242="o"),G242," ")</f>
        <v> </v>
      </c>
      <c r="W242" s="334" t="str">
        <f aca="false">IF((E242="f"),G242," ")</f>
        <v> </v>
      </c>
    </row>
    <row r="243" customFormat="false" ht="12.75" hidden="false" customHeight="false" outlineLevel="0" collapsed="false">
      <c r="A243" s="355"/>
      <c r="E243" s="365" t="str">
        <f aca="false">IF((G243&lt;&gt;0),"Enter Letter"," ")</f>
        <v> </v>
      </c>
      <c r="J243" s="334" t="str">
        <f aca="false">IF((E243="s"),G243," ")</f>
        <v> </v>
      </c>
      <c r="K243" s="334" t="str">
        <f aca="false">IF((E243="d"),G243," ")</f>
        <v> </v>
      </c>
      <c r="L243" s="334" t="str">
        <f aca="false">IF((E243="e"),G243," ")</f>
        <v> </v>
      </c>
      <c r="M243" s="334" t="str">
        <f aca="false">IF((E243="p"),G243," ")</f>
        <v> </v>
      </c>
      <c r="N243" s="334" t="str">
        <f aca="false">IF((E243="r"),G243," ")</f>
        <v> </v>
      </c>
      <c r="O243" s="334" t="str">
        <f aca="false">IF((E243="g"),G243," ")</f>
        <v> </v>
      </c>
      <c r="P243" s="334" t="str">
        <f aca="false">IF((E243="m"),G243," ")</f>
        <v> </v>
      </c>
      <c r="Q243" s="334" t="str">
        <f aca="false">IF((E243="t"),G243," ")</f>
        <v> </v>
      </c>
      <c r="R243" s="334" t="str">
        <f aca="false">IF((E243="a"),G243," ")</f>
        <v> </v>
      </c>
      <c r="S243" s="334" t="str">
        <f aca="false">IF((E243="l"),G243," ")</f>
        <v> </v>
      </c>
      <c r="T243" s="334" t="str">
        <f aca="false">IF((E243="b"),G243," ")</f>
        <v> </v>
      </c>
      <c r="U243" s="334" t="str">
        <f aca="false">IF((E243="i"),G243," ")</f>
        <v> </v>
      </c>
      <c r="V243" s="334" t="str">
        <f aca="false">IF((E243="o"),G243," ")</f>
        <v> </v>
      </c>
      <c r="W243" s="334" t="str">
        <f aca="false">IF((E243="f"),G243," ")</f>
        <v> </v>
      </c>
    </row>
    <row r="244" customFormat="false" ht="12.75" hidden="false" customHeight="false" outlineLevel="0" collapsed="false">
      <c r="A244" s="355"/>
      <c r="E244" s="365" t="str">
        <f aca="false">IF((G244&lt;&gt;0),"Enter Letter"," ")</f>
        <v> </v>
      </c>
      <c r="J244" s="334" t="str">
        <f aca="false">IF((E244="s"),G244," ")</f>
        <v> </v>
      </c>
      <c r="K244" s="334" t="str">
        <f aca="false">IF((E244="d"),G244," ")</f>
        <v> </v>
      </c>
      <c r="L244" s="334" t="str">
        <f aca="false">IF((E244="e"),G244," ")</f>
        <v> </v>
      </c>
      <c r="M244" s="334" t="str">
        <f aca="false">IF((E244="p"),G244," ")</f>
        <v> </v>
      </c>
      <c r="N244" s="334" t="str">
        <f aca="false">IF((E244="r"),G244," ")</f>
        <v> </v>
      </c>
      <c r="O244" s="334" t="str">
        <f aca="false">IF((E244="g"),G244," ")</f>
        <v> </v>
      </c>
      <c r="P244" s="334" t="str">
        <f aca="false">IF((E244="m"),G244," ")</f>
        <v> </v>
      </c>
      <c r="Q244" s="334" t="str">
        <f aca="false">IF((E244="t"),G244," ")</f>
        <v> </v>
      </c>
      <c r="R244" s="334" t="str">
        <f aca="false">IF((E244="a"),G244," ")</f>
        <v> </v>
      </c>
      <c r="S244" s="334" t="str">
        <f aca="false">IF((E244="l"),G244," ")</f>
        <v> </v>
      </c>
      <c r="T244" s="334" t="str">
        <f aca="false">IF((E244="b"),G244," ")</f>
        <v> </v>
      </c>
      <c r="U244" s="334" t="str">
        <f aca="false">IF((E244="i"),G244," ")</f>
        <v> </v>
      </c>
      <c r="V244" s="334" t="str">
        <f aca="false">IF((E244="o"),G244," ")</f>
        <v> </v>
      </c>
      <c r="W244" s="334" t="str">
        <f aca="false">IF((E244="f"),G244," ")</f>
        <v> </v>
      </c>
    </row>
    <row r="245" customFormat="false" ht="12.75" hidden="false" customHeight="false" outlineLevel="0" collapsed="false">
      <c r="A245" s="355"/>
      <c r="E245" s="365" t="str">
        <f aca="false">IF((G245&lt;&gt;0),"Enter Letter"," ")</f>
        <v> </v>
      </c>
      <c r="J245" s="334" t="str">
        <f aca="false">IF((E245="s"),G245," ")</f>
        <v> </v>
      </c>
      <c r="K245" s="334" t="str">
        <f aca="false">IF((E245="d"),G245," ")</f>
        <v> </v>
      </c>
      <c r="L245" s="334" t="str">
        <f aca="false">IF((E245="e"),G245," ")</f>
        <v> </v>
      </c>
      <c r="M245" s="334" t="str">
        <f aca="false">IF((E245="p"),G245," ")</f>
        <v> </v>
      </c>
      <c r="N245" s="334" t="str">
        <f aca="false">IF((E245="r"),G245," ")</f>
        <v> </v>
      </c>
      <c r="O245" s="334" t="str">
        <f aca="false">IF((E245="g"),G245," ")</f>
        <v> </v>
      </c>
      <c r="P245" s="334" t="str">
        <f aca="false">IF((E245="m"),G245," ")</f>
        <v> </v>
      </c>
      <c r="Q245" s="334" t="str">
        <f aca="false">IF((E245="t"),G245," ")</f>
        <v> </v>
      </c>
      <c r="R245" s="334" t="str">
        <f aca="false">IF((E245="a"),G245," ")</f>
        <v> </v>
      </c>
      <c r="S245" s="334" t="str">
        <f aca="false">IF((E245="l"),G245," ")</f>
        <v> </v>
      </c>
      <c r="T245" s="334" t="str">
        <f aca="false">IF((E245="b"),G245," ")</f>
        <v> </v>
      </c>
      <c r="U245" s="334" t="str">
        <f aca="false">IF((E245="i"),G245," ")</f>
        <v> </v>
      </c>
      <c r="V245" s="334" t="str">
        <f aca="false">IF((E245="o"),G245," ")</f>
        <v> </v>
      </c>
      <c r="W245" s="334" t="str">
        <f aca="false">IF((E245="f"),G245," ")</f>
        <v> </v>
      </c>
    </row>
    <row r="246" customFormat="false" ht="12.75" hidden="false" customHeight="false" outlineLevel="0" collapsed="false">
      <c r="A246" s="355"/>
      <c r="E246" s="365" t="str">
        <f aca="false">IF((G246&lt;&gt;0),"Enter Letter"," ")</f>
        <v> </v>
      </c>
      <c r="J246" s="334" t="str">
        <f aca="false">IF((E246="s"),G246," ")</f>
        <v> </v>
      </c>
      <c r="K246" s="334" t="str">
        <f aca="false">IF((E246="d"),G246," ")</f>
        <v> </v>
      </c>
      <c r="L246" s="334" t="str">
        <f aca="false">IF((E246="e"),G246," ")</f>
        <v> </v>
      </c>
      <c r="M246" s="334" t="str">
        <f aca="false">IF((E246="p"),G246," ")</f>
        <v> </v>
      </c>
      <c r="N246" s="334" t="str">
        <f aca="false">IF((E246="r"),G246," ")</f>
        <v> </v>
      </c>
      <c r="O246" s="334" t="str">
        <f aca="false">IF((E246="g"),G246," ")</f>
        <v> </v>
      </c>
      <c r="P246" s="334" t="str">
        <f aca="false">IF((E246="m"),G246," ")</f>
        <v> </v>
      </c>
      <c r="Q246" s="334" t="str">
        <f aca="false">IF((E246="t"),G246," ")</f>
        <v> </v>
      </c>
      <c r="R246" s="334" t="str">
        <f aca="false">IF((E246="a"),G246," ")</f>
        <v> </v>
      </c>
      <c r="S246" s="334" t="str">
        <f aca="false">IF((E246="l"),G246," ")</f>
        <v> </v>
      </c>
      <c r="T246" s="334" t="str">
        <f aca="false">IF((E246="b"),G246," ")</f>
        <v> </v>
      </c>
      <c r="U246" s="334" t="str">
        <f aca="false">IF((E246="i"),G246," ")</f>
        <v> </v>
      </c>
      <c r="V246" s="334" t="str">
        <f aca="false">IF((E246="o"),G246," ")</f>
        <v> </v>
      </c>
      <c r="W246" s="334" t="str">
        <f aca="false">IF((E246="f"),G246," ")</f>
        <v> </v>
      </c>
    </row>
    <row r="247" customFormat="false" ht="12.75" hidden="false" customHeight="false" outlineLevel="0" collapsed="false">
      <c r="A247" s="355"/>
      <c r="E247" s="365" t="str">
        <f aca="false">IF((G247&lt;&gt;0),"Enter Letter"," ")</f>
        <v> </v>
      </c>
      <c r="J247" s="334" t="str">
        <f aca="false">IF((E247="s"),G247," ")</f>
        <v> </v>
      </c>
      <c r="K247" s="334" t="str">
        <f aca="false">IF((E247="d"),G247," ")</f>
        <v> </v>
      </c>
      <c r="L247" s="334" t="str">
        <f aca="false">IF((E247="e"),G247," ")</f>
        <v> </v>
      </c>
      <c r="M247" s="334" t="str">
        <f aca="false">IF((E247="p"),G247," ")</f>
        <v> </v>
      </c>
      <c r="N247" s="334" t="str">
        <f aca="false">IF((E247="r"),G247," ")</f>
        <v> </v>
      </c>
      <c r="O247" s="334" t="str">
        <f aca="false">IF((E247="g"),G247," ")</f>
        <v> </v>
      </c>
      <c r="P247" s="334" t="str">
        <f aca="false">IF((E247="m"),G247," ")</f>
        <v> </v>
      </c>
      <c r="Q247" s="334" t="str">
        <f aca="false">IF((E247="t"),G247," ")</f>
        <v> </v>
      </c>
      <c r="R247" s="334" t="str">
        <f aca="false">IF((E247="a"),G247," ")</f>
        <v> </v>
      </c>
      <c r="S247" s="334" t="str">
        <f aca="false">IF((E247="l"),G247," ")</f>
        <v> </v>
      </c>
      <c r="T247" s="334" t="str">
        <f aca="false">IF((E247="b"),G247," ")</f>
        <v> </v>
      </c>
      <c r="U247" s="334" t="str">
        <f aca="false">IF((E247="i"),G247," ")</f>
        <v> </v>
      </c>
      <c r="V247" s="334" t="str">
        <f aca="false">IF((E247="o"),G247," ")</f>
        <v> </v>
      </c>
      <c r="W247" s="334" t="str">
        <f aca="false">IF((E247="f"),G247," ")</f>
        <v> </v>
      </c>
    </row>
    <row r="248" customFormat="false" ht="12.75" hidden="false" customHeight="false" outlineLevel="0" collapsed="false">
      <c r="A248" s="355"/>
      <c r="E248" s="365" t="str">
        <f aca="false">IF((G248&lt;&gt;0),"Enter Letter"," ")</f>
        <v> </v>
      </c>
      <c r="J248" s="334" t="str">
        <f aca="false">IF((E248="s"),G248," ")</f>
        <v> </v>
      </c>
      <c r="K248" s="334" t="str">
        <f aca="false">IF((E248="d"),G248," ")</f>
        <v> </v>
      </c>
      <c r="L248" s="334" t="str">
        <f aca="false">IF((E248="e"),G248," ")</f>
        <v> </v>
      </c>
      <c r="M248" s="334" t="str">
        <f aca="false">IF((E248="p"),G248," ")</f>
        <v> </v>
      </c>
      <c r="N248" s="334" t="str">
        <f aca="false">IF((E248="r"),G248," ")</f>
        <v> </v>
      </c>
      <c r="O248" s="334" t="str">
        <f aca="false">IF((E248="g"),G248," ")</f>
        <v> </v>
      </c>
      <c r="P248" s="334" t="str">
        <f aca="false">IF((E248="m"),G248," ")</f>
        <v> </v>
      </c>
      <c r="Q248" s="334" t="str">
        <f aca="false">IF((E248="t"),G248," ")</f>
        <v> </v>
      </c>
      <c r="R248" s="334" t="str">
        <f aca="false">IF((E248="a"),G248," ")</f>
        <v> </v>
      </c>
      <c r="S248" s="334" t="str">
        <f aca="false">IF((E248="l"),G248," ")</f>
        <v> </v>
      </c>
      <c r="T248" s="334" t="str">
        <f aca="false">IF((E248="b"),G248," ")</f>
        <v> </v>
      </c>
      <c r="U248" s="334" t="str">
        <f aca="false">IF((E248="i"),G248," ")</f>
        <v> </v>
      </c>
      <c r="V248" s="334" t="str">
        <f aca="false">IF((E248="o"),G248," ")</f>
        <v> </v>
      </c>
      <c r="W248" s="334" t="str">
        <f aca="false">IF((E248="f"),G248," ")</f>
        <v> </v>
      </c>
    </row>
    <row r="249" customFormat="false" ht="12.75" hidden="false" customHeight="false" outlineLevel="0" collapsed="false">
      <c r="A249" s="355"/>
      <c r="E249" s="365" t="str">
        <f aca="false">IF((G249&lt;&gt;0),"Enter Letter"," ")</f>
        <v> </v>
      </c>
      <c r="J249" s="334" t="str">
        <f aca="false">IF((E249="s"),G249," ")</f>
        <v> </v>
      </c>
      <c r="K249" s="334" t="str">
        <f aca="false">IF((E249="d"),G249," ")</f>
        <v> </v>
      </c>
      <c r="L249" s="334" t="str">
        <f aca="false">IF((E249="e"),G249," ")</f>
        <v> </v>
      </c>
      <c r="M249" s="334" t="str">
        <f aca="false">IF((E249="p"),G249," ")</f>
        <v> </v>
      </c>
      <c r="N249" s="334" t="str">
        <f aca="false">IF((E249="r"),G249," ")</f>
        <v> </v>
      </c>
      <c r="O249" s="334" t="str">
        <f aca="false">IF((E249="g"),G249," ")</f>
        <v> </v>
      </c>
      <c r="P249" s="334" t="str">
        <f aca="false">IF((E249="m"),G249," ")</f>
        <v> </v>
      </c>
      <c r="Q249" s="334" t="str">
        <f aca="false">IF((E249="t"),G249," ")</f>
        <v> </v>
      </c>
      <c r="R249" s="334" t="str">
        <f aca="false">IF((E249="a"),G249," ")</f>
        <v> </v>
      </c>
      <c r="S249" s="334" t="str">
        <f aca="false">IF((E249="l"),G249," ")</f>
        <v> </v>
      </c>
      <c r="T249" s="334" t="str">
        <f aca="false">IF((E249="b"),G249," ")</f>
        <v> </v>
      </c>
      <c r="U249" s="334" t="str">
        <f aca="false">IF((E249="i"),G249," ")</f>
        <v> </v>
      </c>
      <c r="V249" s="334" t="str">
        <f aca="false">IF((E249="o"),G249," ")</f>
        <v> </v>
      </c>
      <c r="W249" s="334" t="str">
        <f aca="false">IF((E249="f"),G249," ")</f>
        <v> </v>
      </c>
    </row>
    <row r="250" customFormat="false" ht="12.75" hidden="false" customHeight="false" outlineLevel="0" collapsed="false">
      <c r="A250" s="355"/>
      <c r="E250" s="365" t="str">
        <f aca="false">IF((G250&lt;&gt;0),"Enter Letter"," ")</f>
        <v> </v>
      </c>
      <c r="J250" s="334" t="str">
        <f aca="false">IF((E250="s"),G250," ")</f>
        <v> </v>
      </c>
      <c r="K250" s="334" t="str">
        <f aca="false">IF((E250="d"),G250," ")</f>
        <v> </v>
      </c>
      <c r="L250" s="334" t="str">
        <f aca="false">IF((E250="e"),G250," ")</f>
        <v> </v>
      </c>
      <c r="M250" s="334" t="str">
        <f aca="false">IF((E250="p"),G250," ")</f>
        <v> </v>
      </c>
      <c r="N250" s="334" t="str">
        <f aca="false">IF((E250="r"),G250," ")</f>
        <v> </v>
      </c>
      <c r="O250" s="334" t="str">
        <f aca="false">IF((E250="g"),G250," ")</f>
        <v> </v>
      </c>
      <c r="P250" s="334" t="str">
        <f aca="false">IF((E250="m"),G250," ")</f>
        <v> </v>
      </c>
      <c r="Q250" s="334" t="str">
        <f aca="false">IF((E250="t"),G250," ")</f>
        <v> </v>
      </c>
      <c r="R250" s="334" t="str">
        <f aca="false">IF((E250="a"),G250," ")</f>
        <v> </v>
      </c>
      <c r="S250" s="334" t="str">
        <f aca="false">IF((E250="l"),G250," ")</f>
        <v> </v>
      </c>
      <c r="T250" s="334" t="str">
        <f aca="false">IF((E250="b"),G250," ")</f>
        <v> </v>
      </c>
      <c r="U250" s="334" t="str">
        <f aca="false">IF((E250="i"),G250," ")</f>
        <v> </v>
      </c>
      <c r="V250" s="334" t="str">
        <f aca="false">IF((E250="o"),G250," ")</f>
        <v> </v>
      </c>
      <c r="W250" s="334" t="str">
        <f aca="false">IF((E250="f"),G250," ")</f>
        <v> </v>
      </c>
    </row>
    <row r="251" customFormat="false" ht="12.75" hidden="false" customHeight="false" outlineLevel="0" collapsed="false">
      <c r="A251" s="355"/>
      <c r="E251" s="365" t="str">
        <f aca="false">IF((G251&lt;&gt;0),"Enter Letter"," ")</f>
        <v> </v>
      </c>
      <c r="J251" s="334" t="str">
        <f aca="false">IF((E251="s"),G251," ")</f>
        <v> </v>
      </c>
      <c r="K251" s="334" t="str">
        <f aca="false">IF((E251="d"),G251," ")</f>
        <v> </v>
      </c>
      <c r="L251" s="334" t="str">
        <f aca="false">IF((E251="e"),G251," ")</f>
        <v> </v>
      </c>
      <c r="M251" s="334" t="str">
        <f aca="false">IF((E251="p"),G251," ")</f>
        <v> </v>
      </c>
      <c r="N251" s="334" t="str">
        <f aca="false">IF((E251="r"),G251," ")</f>
        <v> </v>
      </c>
      <c r="O251" s="334" t="str">
        <f aca="false">IF((E251="g"),G251," ")</f>
        <v> </v>
      </c>
      <c r="P251" s="334" t="str">
        <f aca="false">IF((E251="m"),G251," ")</f>
        <v> </v>
      </c>
      <c r="Q251" s="334" t="str">
        <f aca="false">IF((E251="t"),G251," ")</f>
        <v> </v>
      </c>
      <c r="R251" s="334" t="str">
        <f aca="false">IF((E251="a"),G251," ")</f>
        <v> </v>
      </c>
      <c r="S251" s="334" t="str">
        <f aca="false">IF((E251="l"),G251," ")</f>
        <v> </v>
      </c>
      <c r="T251" s="334" t="str">
        <f aca="false">IF((E251="b"),G251," ")</f>
        <v> </v>
      </c>
      <c r="U251" s="334" t="str">
        <f aca="false">IF((E251="i"),G251," ")</f>
        <v> </v>
      </c>
      <c r="V251" s="334" t="str">
        <f aca="false">IF((E251="o"),G251," ")</f>
        <v> </v>
      </c>
      <c r="W251" s="334" t="str">
        <f aca="false">IF((E251="f"),G251," ")</f>
        <v> </v>
      </c>
    </row>
    <row r="252" customFormat="false" ht="12.75" hidden="false" customHeight="false" outlineLevel="0" collapsed="false">
      <c r="A252" s="355"/>
      <c r="E252" s="365" t="str">
        <f aca="false">IF((G252&lt;&gt;0),"Enter Letter"," ")</f>
        <v> </v>
      </c>
      <c r="J252" s="334" t="str">
        <f aca="false">IF((E252="s"),G252," ")</f>
        <v> </v>
      </c>
      <c r="K252" s="334" t="str">
        <f aca="false">IF((E252="d"),G252," ")</f>
        <v> </v>
      </c>
      <c r="L252" s="334" t="str">
        <f aca="false">IF((E252="e"),G252," ")</f>
        <v> </v>
      </c>
      <c r="M252" s="334" t="str">
        <f aca="false">IF((E252="p"),G252," ")</f>
        <v> </v>
      </c>
      <c r="N252" s="334" t="str">
        <f aca="false">IF((E252="r"),G252," ")</f>
        <v> </v>
      </c>
      <c r="O252" s="334" t="str">
        <f aca="false">IF((E252="g"),G252," ")</f>
        <v> </v>
      </c>
      <c r="P252" s="334" t="str">
        <f aca="false">IF((E252="m"),G252," ")</f>
        <v> </v>
      </c>
      <c r="Q252" s="334" t="str">
        <f aca="false">IF((E252="t"),G252," ")</f>
        <v> </v>
      </c>
      <c r="R252" s="334" t="str">
        <f aca="false">IF((E252="a"),G252," ")</f>
        <v> </v>
      </c>
      <c r="S252" s="334" t="str">
        <f aca="false">IF((E252="l"),G252," ")</f>
        <v> </v>
      </c>
      <c r="T252" s="334" t="str">
        <f aca="false">IF((E252="b"),G252," ")</f>
        <v> </v>
      </c>
      <c r="U252" s="334" t="str">
        <f aca="false">IF((E252="i"),G252," ")</f>
        <v> </v>
      </c>
      <c r="V252" s="334" t="str">
        <f aca="false">IF((E252="o"),G252," ")</f>
        <v> </v>
      </c>
      <c r="W252" s="334" t="str">
        <f aca="false">IF((E252="f"),G252," ")</f>
        <v> </v>
      </c>
    </row>
    <row r="253" customFormat="false" ht="12.75" hidden="false" customHeight="false" outlineLevel="0" collapsed="false">
      <c r="A253" s="355"/>
      <c r="E253" s="365" t="str">
        <f aca="false">IF((G253&lt;&gt;0),"Enter Letter"," ")</f>
        <v> </v>
      </c>
      <c r="J253" s="334" t="str">
        <f aca="false">IF((E253="s"),G253," ")</f>
        <v> </v>
      </c>
      <c r="K253" s="334" t="str">
        <f aca="false">IF((E253="d"),G253," ")</f>
        <v> </v>
      </c>
      <c r="L253" s="334" t="str">
        <f aca="false">IF((E253="e"),G253," ")</f>
        <v> </v>
      </c>
      <c r="M253" s="334" t="str">
        <f aca="false">IF((E253="p"),G253," ")</f>
        <v> </v>
      </c>
      <c r="N253" s="334" t="str">
        <f aca="false">IF((E253="r"),G253," ")</f>
        <v> </v>
      </c>
      <c r="O253" s="334" t="str">
        <f aca="false">IF((E253="g"),G253," ")</f>
        <v> </v>
      </c>
      <c r="P253" s="334" t="str">
        <f aca="false">IF((E253="m"),G253," ")</f>
        <v> </v>
      </c>
      <c r="Q253" s="334" t="str">
        <f aca="false">IF((E253="t"),G253," ")</f>
        <v> </v>
      </c>
      <c r="R253" s="334" t="str">
        <f aca="false">IF((E253="a"),G253," ")</f>
        <v> </v>
      </c>
      <c r="S253" s="334" t="str">
        <f aca="false">IF((E253="l"),G253," ")</f>
        <v> </v>
      </c>
      <c r="T253" s="334" t="str">
        <f aca="false">IF((E253="b"),G253," ")</f>
        <v> </v>
      </c>
      <c r="U253" s="334" t="str">
        <f aca="false">IF((E253="i"),G253," ")</f>
        <v> </v>
      </c>
      <c r="V253" s="334" t="str">
        <f aca="false">IF((E253="o"),G253," ")</f>
        <v> </v>
      </c>
      <c r="W253" s="334" t="str">
        <f aca="false">IF((E253="f"),G253," ")</f>
        <v> </v>
      </c>
    </row>
    <row r="254" customFormat="false" ht="12.75" hidden="false" customHeight="false" outlineLevel="0" collapsed="false">
      <c r="A254" s="355"/>
      <c r="E254" s="365" t="str">
        <f aca="false">IF((G254&lt;&gt;0),"Enter Letter"," ")</f>
        <v> </v>
      </c>
      <c r="J254" s="334" t="str">
        <f aca="false">IF((E254="s"),G254," ")</f>
        <v> </v>
      </c>
      <c r="K254" s="334" t="str">
        <f aca="false">IF((E254="d"),G254," ")</f>
        <v> </v>
      </c>
      <c r="L254" s="334" t="str">
        <f aca="false">IF((E254="e"),G254," ")</f>
        <v> </v>
      </c>
      <c r="M254" s="334" t="str">
        <f aca="false">IF((E254="p"),G254," ")</f>
        <v> </v>
      </c>
      <c r="N254" s="334" t="str">
        <f aca="false">IF((E254="r"),G254," ")</f>
        <v> </v>
      </c>
      <c r="O254" s="334" t="str">
        <f aca="false">IF((E254="g"),G254," ")</f>
        <v> </v>
      </c>
      <c r="P254" s="334" t="str">
        <f aca="false">IF((E254="m"),G254," ")</f>
        <v> </v>
      </c>
      <c r="Q254" s="334" t="str">
        <f aca="false">IF((E254="t"),G254," ")</f>
        <v> </v>
      </c>
      <c r="R254" s="334" t="str">
        <f aca="false">IF((E254="a"),G254," ")</f>
        <v> </v>
      </c>
      <c r="S254" s="334" t="str">
        <f aca="false">IF((E254="l"),G254," ")</f>
        <v> </v>
      </c>
      <c r="T254" s="334" t="str">
        <f aca="false">IF((E254="b"),G254," ")</f>
        <v> </v>
      </c>
      <c r="U254" s="334" t="str">
        <f aca="false">IF((E254="i"),G254," ")</f>
        <v> </v>
      </c>
      <c r="V254" s="334" t="str">
        <f aca="false">IF((E254="o"),G254," ")</f>
        <v> </v>
      </c>
      <c r="W254" s="334" t="str">
        <f aca="false">IF((E254="f"),G254," ")</f>
        <v> </v>
      </c>
    </row>
    <row r="255" customFormat="false" ht="12.75" hidden="false" customHeight="false" outlineLevel="0" collapsed="false">
      <c r="A255" s="355"/>
      <c r="E255" s="365" t="str">
        <f aca="false">IF((G255&lt;&gt;0),"Enter Letter"," ")</f>
        <v> </v>
      </c>
      <c r="J255" s="334" t="str">
        <f aca="false">IF((E255="s"),G255," ")</f>
        <v> </v>
      </c>
      <c r="K255" s="334" t="str">
        <f aca="false">IF((E255="d"),G255," ")</f>
        <v> </v>
      </c>
      <c r="L255" s="334" t="str">
        <f aca="false">IF((E255="e"),G255," ")</f>
        <v> </v>
      </c>
      <c r="M255" s="334" t="str">
        <f aca="false">IF((E255="p"),G255," ")</f>
        <v> </v>
      </c>
      <c r="N255" s="334" t="str">
        <f aca="false">IF((E255="r"),G255," ")</f>
        <v> </v>
      </c>
      <c r="O255" s="334" t="str">
        <f aca="false">IF((E255="g"),G255," ")</f>
        <v> </v>
      </c>
      <c r="P255" s="334" t="str">
        <f aca="false">IF((E255="m"),G255," ")</f>
        <v> </v>
      </c>
      <c r="Q255" s="334" t="str">
        <f aca="false">IF((E255="t"),G255," ")</f>
        <v> </v>
      </c>
      <c r="R255" s="334" t="str">
        <f aca="false">IF((E255="a"),G255," ")</f>
        <v> </v>
      </c>
      <c r="S255" s="334" t="str">
        <f aca="false">IF((E255="l"),G255," ")</f>
        <v> </v>
      </c>
      <c r="T255" s="334" t="str">
        <f aca="false">IF((E255="b"),G255," ")</f>
        <v> </v>
      </c>
      <c r="U255" s="334" t="str">
        <f aca="false">IF((E255="i"),G255," ")</f>
        <v> </v>
      </c>
      <c r="V255" s="334" t="str">
        <f aca="false">IF((E255="o"),G255," ")</f>
        <v> </v>
      </c>
      <c r="W255" s="334" t="str">
        <f aca="false">IF((E255="f"),G255," ")</f>
        <v> </v>
      </c>
    </row>
    <row r="256" customFormat="false" ht="12.75" hidden="false" customHeight="false" outlineLevel="0" collapsed="false">
      <c r="A256" s="355"/>
      <c r="E256" s="365" t="str">
        <f aca="false">IF((G256&lt;&gt;0),"Enter Letter"," ")</f>
        <v> </v>
      </c>
      <c r="J256" s="334" t="str">
        <f aca="false">IF((E256="s"),G256," ")</f>
        <v> </v>
      </c>
      <c r="K256" s="334" t="str">
        <f aca="false">IF((E256="d"),G256," ")</f>
        <v> </v>
      </c>
      <c r="L256" s="334" t="str">
        <f aca="false">IF((E256="e"),G256," ")</f>
        <v> </v>
      </c>
      <c r="M256" s="334" t="str">
        <f aca="false">IF((E256="p"),G256," ")</f>
        <v> </v>
      </c>
      <c r="N256" s="334" t="str">
        <f aca="false">IF((E256="r"),G256," ")</f>
        <v> </v>
      </c>
      <c r="O256" s="334" t="str">
        <f aca="false">IF((E256="g"),G256," ")</f>
        <v> </v>
      </c>
      <c r="P256" s="334" t="str">
        <f aca="false">IF((E256="m"),G256," ")</f>
        <v> </v>
      </c>
      <c r="Q256" s="334" t="str">
        <f aca="false">IF((E256="t"),G256," ")</f>
        <v> </v>
      </c>
      <c r="R256" s="334" t="str">
        <f aca="false">IF((E256="a"),G256," ")</f>
        <v> </v>
      </c>
      <c r="S256" s="334" t="str">
        <f aca="false">IF((E256="l"),G256," ")</f>
        <v> </v>
      </c>
      <c r="T256" s="334" t="str">
        <f aca="false">IF((E256="b"),G256," ")</f>
        <v> </v>
      </c>
      <c r="U256" s="334" t="str">
        <f aca="false">IF((E256="i"),G256," ")</f>
        <v> </v>
      </c>
      <c r="V256" s="334" t="str">
        <f aca="false">IF((E256="o"),G256," ")</f>
        <v> </v>
      </c>
      <c r="W256" s="334" t="str">
        <f aca="false">IF((E256="f"),G256," ")</f>
        <v> </v>
      </c>
    </row>
    <row r="257" customFormat="false" ht="12.75" hidden="false" customHeight="false" outlineLevel="0" collapsed="false">
      <c r="A257" s="355"/>
      <c r="E257" s="365" t="str">
        <f aca="false">IF((G257&lt;&gt;0),"Enter Letter"," ")</f>
        <v> </v>
      </c>
      <c r="J257" s="334" t="str">
        <f aca="false">IF((E257="s"),G257," ")</f>
        <v> </v>
      </c>
      <c r="K257" s="334" t="str">
        <f aca="false">IF((E257="d"),G257," ")</f>
        <v> </v>
      </c>
      <c r="L257" s="334" t="str">
        <f aca="false">IF((E257="e"),G257," ")</f>
        <v> </v>
      </c>
      <c r="M257" s="334" t="str">
        <f aca="false">IF((E257="p"),G257," ")</f>
        <v> </v>
      </c>
      <c r="N257" s="334" t="str">
        <f aca="false">IF((E257="r"),G257," ")</f>
        <v> </v>
      </c>
      <c r="O257" s="334" t="str">
        <f aca="false">IF((E257="g"),G257," ")</f>
        <v> </v>
      </c>
      <c r="P257" s="334" t="str">
        <f aca="false">IF((E257="m"),G257," ")</f>
        <v> </v>
      </c>
      <c r="Q257" s="334" t="str">
        <f aca="false">IF((E257="t"),G257," ")</f>
        <v> </v>
      </c>
      <c r="R257" s="334" t="str">
        <f aca="false">IF((E257="a"),G257," ")</f>
        <v> </v>
      </c>
      <c r="S257" s="334" t="str">
        <f aca="false">IF((E257="l"),G257," ")</f>
        <v> </v>
      </c>
      <c r="T257" s="334" t="str">
        <f aca="false">IF((E257="b"),G257," ")</f>
        <v> </v>
      </c>
      <c r="U257" s="334" t="str">
        <f aca="false">IF((E257="i"),G257," ")</f>
        <v> </v>
      </c>
      <c r="V257" s="334" t="str">
        <f aca="false">IF((E257="o"),G257," ")</f>
        <v> </v>
      </c>
      <c r="W257" s="334" t="str">
        <f aca="false">IF((E257="f"),G257," ")</f>
        <v> </v>
      </c>
    </row>
    <row r="258" customFormat="false" ht="12.75" hidden="false" customHeight="false" outlineLevel="0" collapsed="false">
      <c r="A258" s="355"/>
      <c r="E258" s="365" t="str">
        <f aca="false">IF((G258&lt;&gt;0),"Enter Letter"," ")</f>
        <v> </v>
      </c>
      <c r="J258" s="334" t="str">
        <f aca="false">IF((E258="s"),G258," ")</f>
        <v> </v>
      </c>
      <c r="K258" s="334" t="str">
        <f aca="false">IF((E258="d"),G258," ")</f>
        <v> </v>
      </c>
      <c r="L258" s="334" t="str">
        <f aca="false">IF((E258="e"),G258," ")</f>
        <v> </v>
      </c>
      <c r="M258" s="334" t="str">
        <f aca="false">IF((E258="p"),G258," ")</f>
        <v> </v>
      </c>
      <c r="N258" s="334" t="str">
        <f aca="false">IF((E258="r"),G258," ")</f>
        <v> </v>
      </c>
      <c r="O258" s="334" t="str">
        <f aca="false">IF((E258="g"),G258," ")</f>
        <v> </v>
      </c>
      <c r="P258" s="334" t="str">
        <f aca="false">IF((E258="m"),G258," ")</f>
        <v> </v>
      </c>
      <c r="Q258" s="334" t="str">
        <f aca="false">IF((E258="t"),G258," ")</f>
        <v> </v>
      </c>
      <c r="R258" s="334" t="str">
        <f aca="false">IF((E258="a"),G258," ")</f>
        <v> </v>
      </c>
      <c r="S258" s="334" t="str">
        <f aca="false">IF((E258="l"),G258," ")</f>
        <v> </v>
      </c>
      <c r="T258" s="334" t="str">
        <f aca="false">IF((E258="b"),G258," ")</f>
        <v> </v>
      </c>
      <c r="U258" s="334" t="str">
        <f aca="false">IF((E258="i"),G258," ")</f>
        <v> </v>
      </c>
      <c r="V258" s="334" t="str">
        <f aca="false">IF((E258="o"),G258," ")</f>
        <v> </v>
      </c>
      <c r="W258" s="334" t="str">
        <f aca="false">IF((E258="f"),G258," ")</f>
        <v> </v>
      </c>
    </row>
    <row r="259" customFormat="false" ht="12.75" hidden="false" customHeight="false" outlineLevel="0" collapsed="false">
      <c r="A259" s="355"/>
      <c r="E259" s="365" t="str">
        <f aca="false">IF((G259&lt;&gt;0),"Enter Letter"," ")</f>
        <v> </v>
      </c>
      <c r="J259" s="334" t="str">
        <f aca="false">IF((E259="s"),G259," ")</f>
        <v> </v>
      </c>
      <c r="K259" s="334" t="str">
        <f aca="false">IF((E259="d"),G259," ")</f>
        <v> </v>
      </c>
      <c r="L259" s="334" t="str">
        <f aca="false">IF((E259="e"),G259," ")</f>
        <v> </v>
      </c>
      <c r="M259" s="334" t="str">
        <f aca="false">IF((E259="p"),G259," ")</f>
        <v> </v>
      </c>
      <c r="N259" s="334" t="str">
        <f aca="false">IF((E259="r"),G259," ")</f>
        <v> </v>
      </c>
      <c r="O259" s="334" t="str">
        <f aca="false">IF((E259="g"),G259," ")</f>
        <v> </v>
      </c>
      <c r="P259" s="334" t="str">
        <f aca="false">IF((E259="m"),G259," ")</f>
        <v> </v>
      </c>
      <c r="Q259" s="334" t="str">
        <f aca="false">IF((E259="t"),G259," ")</f>
        <v> </v>
      </c>
      <c r="R259" s="334" t="str">
        <f aca="false">IF((E259="a"),G259," ")</f>
        <v> </v>
      </c>
      <c r="S259" s="334" t="str">
        <f aca="false">IF((E259="l"),G259," ")</f>
        <v> </v>
      </c>
      <c r="T259" s="334" t="str">
        <f aca="false">IF((E259="b"),G259," ")</f>
        <v> </v>
      </c>
      <c r="U259" s="334" t="str">
        <f aca="false">IF((E259="i"),G259," ")</f>
        <v> </v>
      </c>
      <c r="V259" s="334" t="str">
        <f aca="false">IF((E259="o"),G259," ")</f>
        <v> </v>
      </c>
      <c r="W259" s="334" t="str">
        <f aca="false">IF((E259="f"),G259," ")</f>
        <v> </v>
      </c>
    </row>
    <row r="260" customFormat="false" ht="12.75" hidden="false" customHeight="false" outlineLevel="0" collapsed="false">
      <c r="A260" s="355"/>
      <c r="E260" s="365" t="str">
        <f aca="false">IF((G260&lt;&gt;0),"Enter Letter"," ")</f>
        <v> </v>
      </c>
      <c r="J260" s="334" t="str">
        <f aca="false">IF((E260="s"),G260," ")</f>
        <v> </v>
      </c>
      <c r="K260" s="334" t="str">
        <f aca="false">IF((E260="d"),G260," ")</f>
        <v> </v>
      </c>
      <c r="L260" s="334" t="str">
        <f aca="false">IF((E260="e"),G260," ")</f>
        <v> </v>
      </c>
      <c r="M260" s="334" t="str">
        <f aca="false">IF((E260="p"),G260," ")</f>
        <v> </v>
      </c>
      <c r="N260" s="334" t="str">
        <f aca="false">IF((E260="r"),G260," ")</f>
        <v> </v>
      </c>
      <c r="O260" s="334" t="str">
        <f aca="false">IF((E260="g"),G260," ")</f>
        <v> </v>
      </c>
      <c r="P260" s="334" t="str">
        <f aca="false">IF((E260="m"),G260," ")</f>
        <v> </v>
      </c>
      <c r="Q260" s="334" t="str">
        <f aca="false">IF((E260="t"),G260," ")</f>
        <v> </v>
      </c>
      <c r="R260" s="334" t="str">
        <f aca="false">IF((E260="a"),G260," ")</f>
        <v> </v>
      </c>
      <c r="S260" s="334" t="str">
        <f aca="false">IF((E260="l"),G260," ")</f>
        <v> </v>
      </c>
      <c r="T260" s="334" t="str">
        <f aca="false">IF((E260="b"),G260," ")</f>
        <v> </v>
      </c>
      <c r="U260" s="334" t="str">
        <f aca="false">IF((E260="i"),G260," ")</f>
        <v> </v>
      </c>
      <c r="V260" s="334" t="str">
        <f aca="false">IF((E260="o"),G260," ")</f>
        <v> </v>
      </c>
      <c r="W260" s="334" t="str">
        <f aca="false">IF((E260="f"),G260," ")</f>
        <v> </v>
      </c>
    </row>
    <row r="261" customFormat="false" ht="12.75" hidden="false" customHeight="false" outlineLevel="0" collapsed="false">
      <c r="A261" s="355"/>
      <c r="E261" s="365" t="str">
        <f aca="false">IF((G261&lt;&gt;0),"Enter Letter"," ")</f>
        <v> </v>
      </c>
      <c r="J261" s="334" t="str">
        <f aca="false">IF((E261="s"),G261," ")</f>
        <v> </v>
      </c>
      <c r="K261" s="334" t="str">
        <f aca="false">IF((E261="d"),G261," ")</f>
        <v> </v>
      </c>
      <c r="L261" s="334" t="str">
        <f aca="false">IF((E261="e"),G261," ")</f>
        <v> </v>
      </c>
      <c r="M261" s="334" t="str">
        <f aca="false">IF((E261="p"),G261," ")</f>
        <v> </v>
      </c>
      <c r="N261" s="334" t="str">
        <f aca="false">IF((E261="r"),G261," ")</f>
        <v> </v>
      </c>
      <c r="O261" s="334" t="str">
        <f aca="false">IF((E261="g"),G261," ")</f>
        <v> </v>
      </c>
      <c r="P261" s="334" t="str">
        <f aca="false">IF((E261="m"),G261," ")</f>
        <v> </v>
      </c>
      <c r="Q261" s="334" t="str">
        <f aca="false">IF((E261="t"),G261," ")</f>
        <v> </v>
      </c>
      <c r="R261" s="334" t="str">
        <f aca="false">IF((E261="a"),G261," ")</f>
        <v> </v>
      </c>
      <c r="S261" s="334" t="str">
        <f aca="false">IF((E261="l"),G261," ")</f>
        <v> </v>
      </c>
      <c r="T261" s="334" t="str">
        <f aca="false">IF((E261="b"),G261," ")</f>
        <v> </v>
      </c>
      <c r="U261" s="334" t="str">
        <f aca="false">IF((E261="i"),G261," ")</f>
        <v> </v>
      </c>
      <c r="V261" s="334" t="str">
        <f aca="false">IF((E261="o"),G261," ")</f>
        <v> </v>
      </c>
      <c r="W261" s="334" t="str">
        <f aca="false">IF((E261="f"),G261," ")</f>
        <v> </v>
      </c>
    </row>
    <row r="262" customFormat="false" ht="12.75" hidden="false" customHeight="false" outlineLevel="0" collapsed="false">
      <c r="A262" s="355"/>
      <c r="E262" s="365" t="str">
        <f aca="false">IF((G262&lt;&gt;0),"Enter Letter"," ")</f>
        <v> </v>
      </c>
      <c r="J262" s="334" t="str">
        <f aca="false">IF((E262="s"),G262," ")</f>
        <v> </v>
      </c>
      <c r="K262" s="334" t="str">
        <f aca="false">IF((E262="d"),G262," ")</f>
        <v> </v>
      </c>
      <c r="L262" s="334" t="str">
        <f aca="false">IF((E262="e"),G262," ")</f>
        <v> </v>
      </c>
      <c r="M262" s="334" t="str">
        <f aca="false">IF((E262="p"),G262," ")</f>
        <v> </v>
      </c>
      <c r="N262" s="334" t="str">
        <f aca="false">IF((E262="r"),G262," ")</f>
        <v> </v>
      </c>
      <c r="O262" s="334" t="str">
        <f aca="false">IF((E262="g"),G262," ")</f>
        <v> </v>
      </c>
      <c r="P262" s="334" t="str">
        <f aca="false">IF((E262="m"),G262," ")</f>
        <v> </v>
      </c>
      <c r="Q262" s="334" t="str">
        <f aca="false">IF((E262="t"),G262," ")</f>
        <v> </v>
      </c>
      <c r="R262" s="334" t="str">
        <f aca="false">IF((E262="a"),G262," ")</f>
        <v> </v>
      </c>
      <c r="S262" s="334" t="str">
        <f aca="false">IF((E262="l"),G262," ")</f>
        <v> </v>
      </c>
      <c r="T262" s="334" t="str">
        <f aca="false">IF((E262="b"),G262," ")</f>
        <v> </v>
      </c>
      <c r="U262" s="334" t="str">
        <f aca="false">IF((E262="i"),G262," ")</f>
        <v> </v>
      </c>
      <c r="V262" s="334" t="str">
        <f aca="false">IF((E262="o"),G262," ")</f>
        <v> </v>
      </c>
      <c r="W262" s="334" t="str">
        <f aca="false">IF((E262="f"),G262," ")</f>
        <v> </v>
      </c>
    </row>
    <row r="263" customFormat="false" ht="12.75" hidden="false" customHeight="false" outlineLevel="0" collapsed="false">
      <c r="A263" s="355"/>
      <c r="E263" s="365" t="str">
        <f aca="false">IF((G263&lt;&gt;0),"Enter Letter"," ")</f>
        <v> </v>
      </c>
      <c r="J263" s="334" t="str">
        <f aca="false">IF((E263="s"),G263," ")</f>
        <v> </v>
      </c>
      <c r="K263" s="334" t="str">
        <f aca="false">IF((E263="d"),G263," ")</f>
        <v> </v>
      </c>
      <c r="L263" s="334" t="str">
        <f aca="false">IF((E263="e"),G263," ")</f>
        <v> </v>
      </c>
      <c r="M263" s="334" t="str">
        <f aca="false">IF((E263="p"),G263," ")</f>
        <v> </v>
      </c>
      <c r="N263" s="334" t="str">
        <f aca="false">IF((E263="r"),G263," ")</f>
        <v> </v>
      </c>
      <c r="O263" s="334" t="str">
        <f aca="false">IF((E263="g"),G263," ")</f>
        <v> </v>
      </c>
      <c r="P263" s="334" t="str">
        <f aca="false">IF((E263="m"),G263," ")</f>
        <v> </v>
      </c>
      <c r="Q263" s="334" t="str">
        <f aca="false">IF((E263="t"),G263," ")</f>
        <v> </v>
      </c>
      <c r="R263" s="334" t="str">
        <f aca="false">IF((E263="a"),G263," ")</f>
        <v> </v>
      </c>
      <c r="S263" s="334" t="str">
        <f aca="false">IF((E263="l"),G263," ")</f>
        <v> </v>
      </c>
      <c r="T263" s="334" t="str">
        <f aca="false">IF((E263="b"),G263," ")</f>
        <v> </v>
      </c>
      <c r="U263" s="334" t="str">
        <f aca="false">IF((E263="i"),G263," ")</f>
        <v> </v>
      </c>
      <c r="V263" s="334" t="str">
        <f aca="false">IF((E263="o"),G263," ")</f>
        <v> </v>
      </c>
      <c r="W263" s="334" t="str">
        <f aca="false">IF((E263="f"),G263," ")</f>
        <v> </v>
      </c>
    </row>
    <row r="264" customFormat="false" ht="12.75" hidden="false" customHeight="false" outlineLevel="0" collapsed="false">
      <c r="A264" s="355"/>
      <c r="E264" s="365" t="str">
        <f aca="false">IF((G264&lt;&gt;0),"Enter Letter"," ")</f>
        <v> </v>
      </c>
      <c r="J264" s="334" t="str">
        <f aca="false">IF((E264="s"),G264," ")</f>
        <v> </v>
      </c>
      <c r="K264" s="334" t="str">
        <f aca="false">IF((E264="d"),G264," ")</f>
        <v> </v>
      </c>
      <c r="L264" s="334" t="str">
        <f aca="false">IF((E264="e"),G264," ")</f>
        <v> </v>
      </c>
      <c r="M264" s="334" t="str">
        <f aca="false">IF((E264="p"),G264," ")</f>
        <v> </v>
      </c>
      <c r="N264" s="334" t="str">
        <f aca="false">IF((E264="r"),G264," ")</f>
        <v> </v>
      </c>
      <c r="O264" s="334" t="str">
        <f aca="false">IF((E264="g"),G264," ")</f>
        <v> </v>
      </c>
      <c r="P264" s="334" t="str">
        <f aca="false">IF((E264="m"),G264," ")</f>
        <v> </v>
      </c>
      <c r="Q264" s="334" t="str">
        <f aca="false">IF((E264="t"),G264," ")</f>
        <v> </v>
      </c>
      <c r="R264" s="334" t="str">
        <f aca="false">IF((E264="a"),G264," ")</f>
        <v> </v>
      </c>
      <c r="S264" s="334" t="str">
        <f aca="false">IF((E264="l"),G264," ")</f>
        <v> </v>
      </c>
      <c r="T264" s="334" t="str">
        <f aca="false">IF((E264="b"),G264," ")</f>
        <v> </v>
      </c>
      <c r="U264" s="334" t="str">
        <f aca="false">IF((E264="i"),G264," ")</f>
        <v> </v>
      </c>
      <c r="V264" s="334" t="str">
        <f aca="false">IF((E264="o"),G264," ")</f>
        <v> </v>
      </c>
      <c r="W264" s="334" t="str">
        <f aca="false">IF((E264="f"),G264," ")</f>
        <v> </v>
      </c>
    </row>
    <row r="265" customFormat="false" ht="12.75" hidden="false" customHeight="false" outlineLevel="0" collapsed="false">
      <c r="A265" s="355"/>
      <c r="E265" s="365" t="str">
        <f aca="false">IF((G265&lt;&gt;0),"Enter Letter"," ")</f>
        <v> </v>
      </c>
      <c r="J265" s="334" t="str">
        <f aca="false">IF((E265="s"),G265," ")</f>
        <v> </v>
      </c>
      <c r="K265" s="334" t="str">
        <f aca="false">IF((E265="d"),G265," ")</f>
        <v> </v>
      </c>
      <c r="L265" s="334" t="str">
        <f aca="false">IF((E265="e"),G265," ")</f>
        <v> </v>
      </c>
      <c r="M265" s="334" t="str">
        <f aca="false">IF((E265="p"),G265," ")</f>
        <v> </v>
      </c>
      <c r="N265" s="334" t="str">
        <f aca="false">IF((E265="r"),G265," ")</f>
        <v> </v>
      </c>
      <c r="O265" s="334" t="str">
        <f aca="false">IF((E265="g"),G265," ")</f>
        <v> </v>
      </c>
      <c r="P265" s="334" t="str">
        <f aca="false">IF((E265="m"),G265," ")</f>
        <v> </v>
      </c>
      <c r="Q265" s="334" t="str">
        <f aca="false">IF((E265="t"),G265," ")</f>
        <v> </v>
      </c>
      <c r="R265" s="334" t="str">
        <f aca="false">IF((E265="a"),G265," ")</f>
        <v> </v>
      </c>
      <c r="S265" s="334" t="str">
        <f aca="false">IF((E265="l"),G265," ")</f>
        <v> </v>
      </c>
      <c r="T265" s="334" t="str">
        <f aca="false">IF((E265="b"),G265," ")</f>
        <v> </v>
      </c>
      <c r="U265" s="334" t="str">
        <f aca="false">IF((E265="i"),G265," ")</f>
        <v> </v>
      </c>
      <c r="V265" s="334" t="str">
        <f aca="false">IF((E265="o"),G265," ")</f>
        <v> </v>
      </c>
      <c r="W265" s="334" t="str">
        <f aca="false">IF((E265="f"),G265," ")</f>
        <v> </v>
      </c>
    </row>
    <row r="266" customFormat="false" ht="12.75" hidden="false" customHeight="false" outlineLevel="0" collapsed="false">
      <c r="A266" s="355"/>
      <c r="E266" s="365" t="str">
        <f aca="false">IF((G266&lt;&gt;0),"Enter Letter"," ")</f>
        <v> </v>
      </c>
      <c r="J266" s="334" t="str">
        <f aca="false">IF((E266="s"),G266," ")</f>
        <v> </v>
      </c>
      <c r="K266" s="334" t="str">
        <f aca="false">IF((E266="d"),G266," ")</f>
        <v> </v>
      </c>
      <c r="L266" s="334" t="str">
        <f aca="false">IF((E266="e"),G266," ")</f>
        <v> </v>
      </c>
      <c r="M266" s="334" t="str">
        <f aca="false">IF((E266="p"),G266," ")</f>
        <v> </v>
      </c>
      <c r="N266" s="334" t="str">
        <f aca="false">IF((E266="r"),G266," ")</f>
        <v> </v>
      </c>
      <c r="O266" s="334" t="str">
        <f aca="false">IF((E266="g"),G266," ")</f>
        <v> </v>
      </c>
      <c r="P266" s="334" t="str">
        <f aca="false">IF((E266="m"),G266," ")</f>
        <v> </v>
      </c>
      <c r="Q266" s="334" t="str">
        <f aca="false">IF((E266="t"),G266," ")</f>
        <v> </v>
      </c>
      <c r="R266" s="334" t="str">
        <f aca="false">IF((E266="a"),G266," ")</f>
        <v> </v>
      </c>
      <c r="S266" s="334" t="str">
        <f aca="false">IF((E266="l"),G266," ")</f>
        <v> </v>
      </c>
      <c r="T266" s="334" t="str">
        <f aca="false">IF((E266="b"),G266," ")</f>
        <v> </v>
      </c>
      <c r="U266" s="334" t="str">
        <f aca="false">IF((E266="i"),G266," ")</f>
        <v> </v>
      </c>
      <c r="V266" s="334" t="str">
        <f aca="false">IF((E266="o"),G266," ")</f>
        <v> </v>
      </c>
      <c r="W266" s="334" t="str">
        <f aca="false">IF((E266="f"),G266," ")</f>
        <v> </v>
      </c>
    </row>
    <row r="267" customFormat="false" ht="12.75" hidden="false" customHeight="false" outlineLevel="0" collapsed="false">
      <c r="A267" s="355"/>
      <c r="E267" s="365" t="str">
        <f aca="false">IF((G267&lt;&gt;0),"Enter Letter"," ")</f>
        <v> </v>
      </c>
      <c r="J267" s="334" t="str">
        <f aca="false">IF((E267="s"),G267," ")</f>
        <v> </v>
      </c>
      <c r="K267" s="334" t="str">
        <f aca="false">IF((E267="d"),G267," ")</f>
        <v> </v>
      </c>
      <c r="L267" s="334" t="str">
        <f aca="false">IF((E267="e"),G267," ")</f>
        <v> </v>
      </c>
      <c r="M267" s="334" t="str">
        <f aca="false">IF((E267="p"),G267," ")</f>
        <v> </v>
      </c>
      <c r="N267" s="334" t="str">
        <f aca="false">IF((E267="r"),G267," ")</f>
        <v> </v>
      </c>
      <c r="O267" s="334" t="str">
        <f aca="false">IF((E267="g"),G267," ")</f>
        <v> </v>
      </c>
      <c r="P267" s="334" t="str">
        <f aca="false">IF((E267="m"),G267," ")</f>
        <v> </v>
      </c>
      <c r="Q267" s="334" t="str">
        <f aca="false">IF((E267="t"),G267," ")</f>
        <v> </v>
      </c>
      <c r="R267" s="334" t="str">
        <f aca="false">IF((E267="a"),G267," ")</f>
        <v> </v>
      </c>
      <c r="S267" s="334" t="str">
        <f aca="false">IF((E267="l"),G267," ")</f>
        <v> </v>
      </c>
      <c r="T267" s="334" t="str">
        <f aca="false">IF((E267="b"),G267," ")</f>
        <v> </v>
      </c>
      <c r="U267" s="334" t="str">
        <f aca="false">IF((E267="i"),G267," ")</f>
        <v> </v>
      </c>
      <c r="V267" s="334" t="str">
        <f aca="false">IF((E267="o"),G267," ")</f>
        <v> </v>
      </c>
      <c r="W267" s="334" t="str">
        <f aca="false">IF((E267="f"),G267," ")</f>
        <v> </v>
      </c>
    </row>
    <row r="268" customFormat="false" ht="12.75" hidden="false" customHeight="false" outlineLevel="0" collapsed="false">
      <c r="A268" s="355"/>
      <c r="E268" s="365" t="str">
        <f aca="false">IF((G268&lt;&gt;0),"Enter Letter"," ")</f>
        <v> </v>
      </c>
      <c r="J268" s="334" t="str">
        <f aca="false">IF((E268="s"),G268," ")</f>
        <v> </v>
      </c>
      <c r="K268" s="334" t="str">
        <f aca="false">IF((E268="d"),G268," ")</f>
        <v> </v>
      </c>
      <c r="L268" s="334" t="str">
        <f aca="false">IF((E268="e"),G268," ")</f>
        <v> </v>
      </c>
      <c r="M268" s="334" t="str">
        <f aca="false">IF((E268="p"),G268," ")</f>
        <v> </v>
      </c>
      <c r="N268" s="334" t="str">
        <f aca="false">IF((E268="r"),G268," ")</f>
        <v> </v>
      </c>
      <c r="O268" s="334" t="str">
        <f aca="false">IF((E268="g"),G268," ")</f>
        <v> </v>
      </c>
      <c r="P268" s="334" t="str">
        <f aca="false">IF((E268="m"),G268," ")</f>
        <v> </v>
      </c>
      <c r="Q268" s="334" t="str">
        <f aca="false">IF((E268="t"),G268," ")</f>
        <v> </v>
      </c>
      <c r="R268" s="334" t="str">
        <f aca="false">IF((E268="a"),G268," ")</f>
        <v> </v>
      </c>
      <c r="S268" s="334" t="str">
        <f aca="false">IF((E268="l"),G268," ")</f>
        <v> </v>
      </c>
      <c r="T268" s="334" t="str">
        <f aca="false">IF((E268="b"),G268," ")</f>
        <v> </v>
      </c>
      <c r="U268" s="334" t="str">
        <f aca="false">IF((E268="i"),G268," ")</f>
        <v> </v>
      </c>
      <c r="V268" s="334" t="str">
        <f aca="false">IF((E268="o"),G268," ")</f>
        <v> </v>
      </c>
      <c r="W268" s="334" t="str">
        <f aca="false">IF((E268="f"),G268," ")</f>
        <v> </v>
      </c>
    </row>
    <row r="269" customFormat="false" ht="12.75" hidden="false" customHeight="false" outlineLevel="0" collapsed="false">
      <c r="A269" s="355"/>
      <c r="E269" s="365" t="str">
        <f aca="false">IF((G269&lt;&gt;0),"Enter Letter"," ")</f>
        <v> </v>
      </c>
      <c r="J269" s="334" t="str">
        <f aca="false">IF((E269="s"),G269," ")</f>
        <v> </v>
      </c>
      <c r="K269" s="334" t="str">
        <f aca="false">IF((E269="d"),G269," ")</f>
        <v> </v>
      </c>
      <c r="L269" s="334" t="str">
        <f aca="false">IF((E269="e"),G269," ")</f>
        <v> </v>
      </c>
      <c r="M269" s="334" t="str">
        <f aca="false">IF((E269="p"),G269," ")</f>
        <v> </v>
      </c>
      <c r="N269" s="334" t="str">
        <f aca="false">IF((E269="r"),G269," ")</f>
        <v> </v>
      </c>
      <c r="O269" s="334" t="str">
        <f aca="false">IF((E269="g"),G269," ")</f>
        <v> </v>
      </c>
      <c r="P269" s="334" t="str">
        <f aca="false">IF((E269="m"),G269," ")</f>
        <v> </v>
      </c>
      <c r="Q269" s="334" t="str">
        <f aca="false">IF((E269="t"),G269," ")</f>
        <v> </v>
      </c>
      <c r="R269" s="334" t="str">
        <f aca="false">IF((E269="a"),G269," ")</f>
        <v> </v>
      </c>
      <c r="S269" s="334" t="str">
        <f aca="false">IF((E269="l"),G269," ")</f>
        <v> </v>
      </c>
      <c r="T269" s="334" t="str">
        <f aca="false">IF((E269="b"),G269," ")</f>
        <v> </v>
      </c>
      <c r="U269" s="334" t="str">
        <f aca="false">IF((E269="i"),G269," ")</f>
        <v> </v>
      </c>
      <c r="V269" s="334" t="str">
        <f aca="false">IF((E269="o"),G269," ")</f>
        <v> </v>
      </c>
      <c r="W269" s="334" t="str">
        <f aca="false">IF((E269="f"),G269," ")</f>
        <v> </v>
      </c>
    </row>
    <row r="270" customFormat="false" ht="12.75" hidden="false" customHeight="false" outlineLevel="0" collapsed="false">
      <c r="A270" s="355"/>
      <c r="E270" s="365" t="str">
        <f aca="false">IF((G270&lt;&gt;0),"Enter Letter"," ")</f>
        <v> </v>
      </c>
      <c r="J270" s="334" t="str">
        <f aca="false">IF((E270="s"),G270," ")</f>
        <v> </v>
      </c>
      <c r="K270" s="334" t="str">
        <f aca="false">IF((E270="d"),G270," ")</f>
        <v> </v>
      </c>
      <c r="L270" s="334" t="str">
        <f aca="false">IF((E270="e"),G270," ")</f>
        <v> </v>
      </c>
      <c r="M270" s="334" t="str">
        <f aca="false">IF((E270="p"),G270," ")</f>
        <v> </v>
      </c>
      <c r="N270" s="334" t="str">
        <f aca="false">IF((E270="r"),G270," ")</f>
        <v> </v>
      </c>
      <c r="O270" s="334" t="str">
        <f aca="false">IF((E270="g"),G270," ")</f>
        <v> </v>
      </c>
      <c r="P270" s="334" t="str">
        <f aca="false">IF((E270="m"),G270," ")</f>
        <v> </v>
      </c>
      <c r="Q270" s="334" t="str">
        <f aca="false">IF((E270="t"),G270," ")</f>
        <v> </v>
      </c>
      <c r="R270" s="334" t="str">
        <f aca="false">IF((E270="a"),G270," ")</f>
        <v> </v>
      </c>
      <c r="S270" s="334" t="str">
        <f aca="false">IF((E270="l"),G270," ")</f>
        <v> </v>
      </c>
      <c r="T270" s="334" t="str">
        <f aca="false">IF((E270="b"),G270," ")</f>
        <v> </v>
      </c>
      <c r="U270" s="334" t="str">
        <f aca="false">IF((E270="i"),G270," ")</f>
        <v> </v>
      </c>
      <c r="V270" s="334" t="str">
        <f aca="false">IF((E270="o"),G270," ")</f>
        <v> </v>
      </c>
      <c r="W270" s="334" t="str">
        <f aca="false">IF((E270="f"),G270," ")</f>
        <v> </v>
      </c>
    </row>
    <row r="271" customFormat="false" ht="12.75" hidden="false" customHeight="false" outlineLevel="0" collapsed="false">
      <c r="A271" s="355"/>
      <c r="E271" s="365" t="str">
        <f aca="false">IF((G271&lt;&gt;0),"Enter Letter"," ")</f>
        <v> </v>
      </c>
      <c r="J271" s="334" t="str">
        <f aca="false">IF((E271="s"),G271," ")</f>
        <v> </v>
      </c>
      <c r="K271" s="334" t="str">
        <f aca="false">IF((E271="d"),G271," ")</f>
        <v> </v>
      </c>
      <c r="L271" s="334" t="str">
        <f aca="false">IF((E271="e"),G271," ")</f>
        <v> </v>
      </c>
      <c r="M271" s="334" t="str">
        <f aca="false">IF((E271="p"),G271," ")</f>
        <v> </v>
      </c>
      <c r="N271" s="334" t="str">
        <f aca="false">IF((E271="r"),G271," ")</f>
        <v> </v>
      </c>
      <c r="O271" s="334" t="str">
        <f aca="false">IF((E271="g"),G271," ")</f>
        <v> </v>
      </c>
      <c r="P271" s="334" t="str">
        <f aca="false">IF((E271="m"),G271," ")</f>
        <v> </v>
      </c>
      <c r="Q271" s="334" t="str">
        <f aca="false">IF((E271="t"),G271," ")</f>
        <v> </v>
      </c>
      <c r="R271" s="334" t="str">
        <f aca="false">IF((E271="a"),G271," ")</f>
        <v> </v>
      </c>
      <c r="S271" s="334" t="str">
        <f aca="false">IF((E271="l"),G271," ")</f>
        <v> </v>
      </c>
      <c r="T271" s="334" t="str">
        <f aca="false">IF((E271="b"),G271," ")</f>
        <v> </v>
      </c>
      <c r="U271" s="334" t="str">
        <f aca="false">IF((E271="i"),G271," ")</f>
        <v> </v>
      </c>
      <c r="V271" s="334" t="str">
        <f aca="false">IF((E271="o"),G271," ")</f>
        <v> </v>
      </c>
      <c r="W271" s="334" t="str">
        <f aca="false">IF((E271="f"),G271," ")</f>
        <v> </v>
      </c>
    </row>
    <row r="272" customFormat="false" ht="12.75" hidden="false" customHeight="false" outlineLevel="0" collapsed="false">
      <c r="A272" s="355"/>
      <c r="E272" s="365" t="str">
        <f aca="false">IF((G272&lt;&gt;0),"Enter Letter"," ")</f>
        <v> </v>
      </c>
      <c r="J272" s="334" t="str">
        <f aca="false">IF((E272="s"),G272," ")</f>
        <v> </v>
      </c>
      <c r="K272" s="334" t="str">
        <f aca="false">IF((E272="d"),G272," ")</f>
        <v> </v>
      </c>
      <c r="L272" s="334" t="str">
        <f aca="false">IF((E272="e"),G272," ")</f>
        <v> </v>
      </c>
      <c r="M272" s="334" t="str">
        <f aca="false">IF((E272="p"),G272," ")</f>
        <v> </v>
      </c>
      <c r="N272" s="334" t="str">
        <f aca="false">IF((E272="r"),G272," ")</f>
        <v> </v>
      </c>
      <c r="O272" s="334" t="str">
        <f aca="false">IF((E272="g"),G272," ")</f>
        <v> </v>
      </c>
      <c r="P272" s="334" t="str">
        <f aca="false">IF((E272="m"),G272," ")</f>
        <v> </v>
      </c>
      <c r="Q272" s="334" t="str">
        <f aca="false">IF((E272="t"),G272," ")</f>
        <v> </v>
      </c>
      <c r="R272" s="334" t="str">
        <f aca="false">IF((E272="a"),G272," ")</f>
        <v> </v>
      </c>
      <c r="S272" s="334" t="str">
        <f aca="false">IF((E272="l"),G272," ")</f>
        <v> </v>
      </c>
      <c r="T272" s="334" t="str">
        <f aca="false">IF((E272="b"),G272," ")</f>
        <v> </v>
      </c>
      <c r="U272" s="334" t="str">
        <f aca="false">IF((E272="i"),G272," ")</f>
        <v> </v>
      </c>
      <c r="V272" s="334" t="str">
        <f aca="false">IF((E272="o"),G272," ")</f>
        <v> </v>
      </c>
      <c r="W272" s="334" t="str">
        <f aca="false">IF((E272="f"),G272," ")</f>
        <v> </v>
      </c>
    </row>
    <row r="273" customFormat="false" ht="12.75" hidden="false" customHeight="false" outlineLevel="0" collapsed="false">
      <c r="A273" s="355"/>
      <c r="E273" s="365" t="str">
        <f aca="false">IF((G273&lt;&gt;0),"Enter Letter"," ")</f>
        <v> </v>
      </c>
      <c r="J273" s="334" t="str">
        <f aca="false">IF((E273="s"),G273," ")</f>
        <v> </v>
      </c>
      <c r="K273" s="334" t="str">
        <f aca="false">IF((E273="d"),G273," ")</f>
        <v> </v>
      </c>
      <c r="L273" s="334" t="str">
        <f aca="false">IF((E273="e"),G273," ")</f>
        <v> </v>
      </c>
      <c r="M273" s="334" t="str">
        <f aca="false">IF((E273="p"),G273," ")</f>
        <v> </v>
      </c>
      <c r="N273" s="334" t="str">
        <f aca="false">IF((E273="r"),G273," ")</f>
        <v> </v>
      </c>
      <c r="O273" s="334" t="str">
        <f aca="false">IF((E273="g"),G273," ")</f>
        <v> </v>
      </c>
      <c r="P273" s="334" t="str">
        <f aca="false">IF((E273="m"),G273," ")</f>
        <v> </v>
      </c>
      <c r="Q273" s="334" t="str">
        <f aca="false">IF((E273="t"),G273," ")</f>
        <v> </v>
      </c>
      <c r="R273" s="334" t="str">
        <f aca="false">IF((E273="a"),G273," ")</f>
        <v> </v>
      </c>
      <c r="S273" s="334" t="str">
        <f aca="false">IF((E273="l"),G273," ")</f>
        <v> </v>
      </c>
      <c r="T273" s="334" t="str">
        <f aca="false">IF((E273="b"),G273," ")</f>
        <v> </v>
      </c>
      <c r="U273" s="334" t="str">
        <f aca="false">IF((E273="i"),G273," ")</f>
        <v> </v>
      </c>
      <c r="V273" s="334" t="str">
        <f aca="false">IF((E273="o"),G273," ")</f>
        <v> </v>
      </c>
      <c r="W273" s="334" t="str">
        <f aca="false">IF((E273="f"),G273," ")</f>
        <v> </v>
      </c>
    </row>
    <row r="274" customFormat="false" ht="12.75" hidden="false" customHeight="false" outlineLevel="0" collapsed="false">
      <c r="A274" s="355"/>
      <c r="E274" s="365" t="str">
        <f aca="false">IF((G274&lt;&gt;0),"Enter Letter"," ")</f>
        <v> </v>
      </c>
      <c r="J274" s="334" t="str">
        <f aca="false">IF((E274="s"),G274," ")</f>
        <v> </v>
      </c>
      <c r="K274" s="334" t="str">
        <f aca="false">IF((E274="d"),G274," ")</f>
        <v> </v>
      </c>
      <c r="L274" s="334" t="str">
        <f aca="false">IF((E274="e"),G274," ")</f>
        <v> </v>
      </c>
      <c r="M274" s="334" t="str">
        <f aca="false">IF((E274="p"),G274," ")</f>
        <v> </v>
      </c>
      <c r="N274" s="334" t="str">
        <f aca="false">IF((E274="r"),G274," ")</f>
        <v> </v>
      </c>
      <c r="O274" s="334" t="str">
        <f aca="false">IF((E274="g"),G274," ")</f>
        <v> </v>
      </c>
      <c r="P274" s="334" t="str">
        <f aca="false">IF((E274="m"),G274," ")</f>
        <v> </v>
      </c>
      <c r="Q274" s="334" t="str">
        <f aca="false">IF((E274="t"),G274," ")</f>
        <v> </v>
      </c>
      <c r="R274" s="334" t="str">
        <f aca="false">IF((E274="a"),G274," ")</f>
        <v> </v>
      </c>
      <c r="S274" s="334" t="str">
        <f aca="false">IF((E274="l"),G274," ")</f>
        <v> </v>
      </c>
      <c r="T274" s="334" t="str">
        <f aca="false">IF((E274="b"),G274," ")</f>
        <v> </v>
      </c>
      <c r="U274" s="334" t="str">
        <f aca="false">IF((E274="i"),G274," ")</f>
        <v> </v>
      </c>
      <c r="V274" s="334" t="str">
        <f aca="false">IF((E274="o"),G274," ")</f>
        <v> </v>
      </c>
      <c r="W274" s="334" t="str">
        <f aca="false">IF((E274="f"),G274," ")</f>
        <v> </v>
      </c>
    </row>
    <row r="275" customFormat="false" ht="12.75" hidden="false" customHeight="false" outlineLevel="0" collapsed="false">
      <c r="A275" s="355"/>
      <c r="E275" s="365" t="str">
        <f aca="false">IF((G275&lt;&gt;0),"Enter Letter"," ")</f>
        <v> </v>
      </c>
      <c r="J275" s="334" t="str">
        <f aca="false">IF((E275="s"),G275," ")</f>
        <v> </v>
      </c>
      <c r="K275" s="334" t="str">
        <f aca="false">IF((E275="d"),G275," ")</f>
        <v> </v>
      </c>
      <c r="L275" s="334" t="str">
        <f aca="false">IF((E275="e"),G275," ")</f>
        <v> </v>
      </c>
      <c r="M275" s="334" t="str">
        <f aca="false">IF((E275="p"),G275," ")</f>
        <v> </v>
      </c>
      <c r="N275" s="334" t="str">
        <f aca="false">IF((E275="r"),G275," ")</f>
        <v> </v>
      </c>
      <c r="O275" s="334" t="str">
        <f aca="false">IF((E275="g"),G275," ")</f>
        <v> </v>
      </c>
      <c r="P275" s="334" t="str">
        <f aca="false">IF((E275="m"),G275," ")</f>
        <v> </v>
      </c>
      <c r="Q275" s="334" t="str">
        <f aca="false">IF((E275="t"),G275," ")</f>
        <v> </v>
      </c>
      <c r="R275" s="334" t="str">
        <f aca="false">IF((E275="a"),G275," ")</f>
        <v> </v>
      </c>
      <c r="S275" s="334" t="str">
        <f aca="false">IF((E275="l"),G275," ")</f>
        <v> </v>
      </c>
      <c r="T275" s="334" t="str">
        <f aca="false">IF((E275="b"),G275," ")</f>
        <v> </v>
      </c>
      <c r="U275" s="334" t="str">
        <f aca="false">IF((E275="i"),G275," ")</f>
        <v> </v>
      </c>
      <c r="V275" s="334" t="str">
        <f aca="false">IF((E275="o"),G275," ")</f>
        <v> </v>
      </c>
      <c r="W275" s="334" t="str">
        <f aca="false">IF((E275="f"),G275," ")</f>
        <v> </v>
      </c>
    </row>
    <row r="276" customFormat="false" ht="12.75" hidden="false" customHeight="false" outlineLevel="0" collapsed="false">
      <c r="A276" s="355"/>
      <c r="E276" s="365" t="str">
        <f aca="false">IF((G276&lt;&gt;0),"Enter Letter"," ")</f>
        <v> </v>
      </c>
      <c r="J276" s="334" t="str">
        <f aca="false">IF((E276="s"),G276," ")</f>
        <v> </v>
      </c>
      <c r="K276" s="334" t="str">
        <f aca="false">IF((E276="d"),G276," ")</f>
        <v> </v>
      </c>
      <c r="L276" s="334" t="str">
        <f aca="false">IF((E276="e"),G276," ")</f>
        <v> </v>
      </c>
      <c r="M276" s="334" t="str">
        <f aca="false">IF((E276="p"),G276," ")</f>
        <v> </v>
      </c>
      <c r="N276" s="334" t="str">
        <f aca="false">IF((E276="r"),G276," ")</f>
        <v> </v>
      </c>
      <c r="O276" s="334" t="str">
        <f aca="false">IF((E276="g"),G276," ")</f>
        <v> </v>
      </c>
      <c r="P276" s="334" t="str">
        <f aca="false">IF((E276="m"),G276," ")</f>
        <v> </v>
      </c>
      <c r="Q276" s="334" t="str">
        <f aca="false">IF((E276="t"),G276," ")</f>
        <v> </v>
      </c>
      <c r="R276" s="334" t="str">
        <f aca="false">IF((E276="a"),G276," ")</f>
        <v> </v>
      </c>
      <c r="S276" s="334" t="str">
        <f aca="false">IF((E276="l"),G276," ")</f>
        <v> </v>
      </c>
      <c r="T276" s="334" t="str">
        <f aca="false">IF((E276="b"),G276," ")</f>
        <v> </v>
      </c>
      <c r="U276" s="334" t="str">
        <f aca="false">IF((E276="i"),G276," ")</f>
        <v> </v>
      </c>
      <c r="V276" s="334" t="str">
        <f aca="false">IF((E276="o"),G276," ")</f>
        <v> </v>
      </c>
      <c r="W276" s="334" t="str">
        <f aca="false">IF((E276="f"),G276," ")</f>
        <v> </v>
      </c>
    </row>
    <row r="277" customFormat="false" ht="12.75" hidden="false" customHeight="false" outlineLevel="0" collapsed="false">
      <c r="A277" s="355"/>
      <c r="E277" s="365" t="str">
        <f aca="false">IF((G277&lt;&gt;0),"Enter Letter"," ")</f>
        <v> </v>
      </c>
      <c r="J277" s="334" t="str">
        <f aca="false">IF((E277="s"),G277," ")</f>
        <v> </v>
      </c>
      <c r="K277" s="334" t="str">
        <f aca="false">IF((E277="d"),G277," ")</f>
        <v> </v>
      </c>
      <c r="L277" s="334" t="str">
        <f aca="false">IF((E277="e"),G277," ")</f>
        <v> </v>
      </c>
      <c r="M277" s="334" t="str">
        <f aca="false">IF((E277="p"),G277," ")</f>
        <v> </v>
      </c>
      <c r="N277" s="334" t="str">
        <f aca="false">IF((E277="r"),G277," ")</f>
        <v> </v>
      </c>
      <c r="O277" s="334" t="str">
        <f aca="false">IF((E277="g"),G277," ")</f>
        <v> </v>
      </c>
      <c r="P277" s="334" t="str">
        <f aca="false">IF((E277="m"),G277," ")</f>
        <v> </v>
      </c>
      <c r="Q277" s="334" t="str">
        <f aca="false">IF((E277="t"),G277," ")</f>
        <v> </v>
      </c>
      <c r="R277" s="334" t="str">
        <f aca="false">IF((E277="a"),G277," ")</f>
        <v> </v>
      </c>
      <c r="S277" s="334" t="str">
        <f aca="false">IF((E277="l"),G277," ")</f>
        <v> </v>
      </c>
      <c r="T277" s="334" t="str">
        <f aca="false">IF((E277="b"),G277," ")</f>
        <v> </v>
      </c>
      <c r="U277" s="334" t="str">
        <f aca="false">IF((E277="i"),G277," ")</f>
        <v> </v>
      </c>
      <c r="V277" s="334" t="str">
        <f aca="false">IF((E277="o"),G277," ")</f>
        <v> </v>
      </c>
      <c r="W277" s="334" t="str">
        <f aca="false">IF((E277="f"),G277," ")</f>
        <v> </v>
      </c>
    </row>
    <row r="278" customFormat="false" ht="12.75" hidden="false" customHeight="false" outlineLevel="0" collapsed="false">
      <c r="A278" s="355"/>
      <c r="E278" s="365" t="str">
        <f aca="false">IF((G278&lt;&gt;0),"Enter Letter"," ")</f>
        <v> </v>
      </c>
      <c r="J278" s="334" t="str">
        <f aca="false">IF((E278="s"),G278," ")</f>
        <v> </v>
      </c>
      <c r="K278" s="334" t="str">
        <f aca="false">IF((E278="d"),G278," ")</f>
        <v> </v>
      </c>
      <c r="L278" s="334" t="str">
        <f aca="false">IF((E278="e"),G278," ")</f>
        <v> </v>
      </c>
      <c r="M278" s="334" t="str">
        <f aca="false">IF((E278="p"),G278," ")</f>
        <v> </v>
      </c>
      <c r="N278" s="334" t="str">
        <f aca="false">IF((E278="r"),G278," ")</f>
        <v> </v>
      </c>
      <c r="O278" s="334" t="str">
        <f aca="false">IF((E278="g"),G278," ")</f>
        <v> </v>
      </c>
      <c r="P278" s="334" t="str">
        <f aca="false">IF((E278="m"),G278," ")</f>
        <v> </v>
      </c>
      <c r="Q278" s="334" t="str">
        <f aca="false">IF((E278="t"),G278," ")</f>
        <v> </v>
      </c>
      <c r="R278" s="334" t="str">
        <f aca="false">IF((E278="a"),G278," ")</f>
        <v> </v>
      </c>
      <c r="S278" s="334" t="str">
        <f aca="false">IF((E278="l"),G278," ")</f>
        <v> </v>
      </c>
      <c r="T278" s="334" t="str">
        <f aca="false">IF((E278="b"),G278," ")</f>
        <v> </v>
      </c>
      <c r="U278" s="334" t="str">
        <f aca="false">IF((E278="i"),G278," ")</f>
        <v> </v>
      </c>
      <c r="V278" s="334" t="str">
        <f aca="false">IF((E278="o"),G278," ")</f>
        <v> </v>
      </c>
      <c r="W278" s="334" t="str">
        <f aca="false">IF((E278="f"),G278," ")</f>
        <v> </v>
      </c>
    </row>
    <row r="279" customFormat="false" ht="12.75" hidden="false" customHeight="false" outlineLevel="0" collapsed="false">
      <c r="A279" s="355"/>
      <c r="E279" s="365" t="str">
        <f aca="false">IF((G279&lt;&gt;0),"Enter Letter"," ")</f>
        <v> </v>
      </c>
      <c r="J279" s="334" t="str">
        <f aca="false">IF((E279="s"),G279," ")</f>
        <v> </v>
      </c>
      <c r="K279" s="334" t="str">
        <f aca="false">IF((E279="d"),G279," ")</f>
        <v> </v>
      </c>
      <c r="L279" s="334" t="str">
        <f aca="false">IF((E279="e"),G279," ")</f>
        <v> </v>
      </c>
      <c r="M279" s="334" t="str">
        <f aca="false">IF((E279="p"),G279," ")</f>
        <v> </v>
      </c>
      <c r="N279" s="334" t="str">
        <f aca="false">IF((E279="r"),G279," ")</f>
        <v> </v>
      </c>
      <c r="O279" s="334" t="str">
        <f aca="false">IF((E279="g"),G279," ")</f>
        <v> </v>
      </c>
      <c r="P279" s="334" t="str">
        <f aca="false">IF((E279="m"),G279," ")</f>
        <v> </v>
      </c>
      <c r="Q279" s="334" t="str">
        <f aca="false">IF((E279="t"),G279," ")</f>
        <v> </v>
      </c>
      <c r="R279" s="334" t="str">
        <f aca="false">IF((E279="a"),G279," ")</f>
        <v> </v>
      </c>
      <c r="S279" s="334" t="str">
        <f aca="false">IF((E279="l"),G279," ")</f>
        <v> </v>
      </c>
      <c r="T279" s="334" t="str">
        <f aca="false">IF((E279="b"),G279," ")</f>
        <v> </v>
      </c>
      <c r="U279" s="334" t="str">
        <f aca="false">IF((E279="i"),G279," ")</f>
        <v> </v>
      </c>
      <c r="V279" s="334" t="str">
        <f aca="false">IF((E279="o"),G279," ")</f>
        <v> </v>
      </c>
      <c r="W279" s="334" t="str">
        <f aca="false">IF((E279="f"),G279," ")</f>
        <v> </v>
      </c>
    </row>
    <row r="280" customFormat="false" ht="12.75" hidden="false" customHeight="false" outlineLevel="0" collapsed="false">
      <c r="A280" s="355"/>
      <c r="E280" s="365" t="str">
        <f aca="false">IF((G280&lt;&gt;0),"Enter Letter"," ")</f>
        <v> </v>
      </c>
      <c r="J280" s="334" t="str">
        <f aca="false">IF((E280="s"),G280," ")</f>
        <v> </v>
      </c>
      <c r="K280" s="334" t="str">
        <f aca="false">IF((E280="d"),G280," ")</f>
        <v> </v>
      </c>
      <c r="L280" s="334" t="str">
        <f aca="false">IF((E280="e"),G280," ")</f>
        <v> </v>
      </c>
      <c r="M280" s="334" t="str">
        <f aca="false">IF((E280="p"),G280," ")</f>
        <v> </v>
      </c>
      <c r="N280" s="334" t="str">
        <f aca="false">IF((E280="r"),G280," ")</f>
        <v> </v>
      </c>
      <c r="O280" s="334" t="str">
        <f aca="false">IF((E280="g"),G280," ")</f>
        <v> </v>
      </c>
      <c r="P280" s="334" t="str">
        <f aca="false">IF((E280="m"),G280," ")</f>
        <v> </v>
      </c>
      <c r="Q280" s="334" t="str">
        <f aca="false">IF((E280="t"),G280," ")</f>
        <v> </v>
      </c>
      <c r="R280" s="334" t="str">
        <f aca="false">IF((E280="a"),G280," ")</f>
        <v> </v>
      </c>
      <c r="S280" s="334" t="str">
        <f aca="false">IF((E280="l"),G280," ")</f>
        <v> </v>
      </c>
      <c r="T280" s="334" t="str">
        <f aca="false">IF((E280="b"),G280," ")</f>
        <v> </v>
      </c>
      <c r="U280" s="334" t="str">
        <f aca="false">IF((E280="i"),G280," ")</f>
        <v> </v>
      </c>
      <c r="V280" s="334" t="str">
        <f aca="false">IF((E280="o"),G280," ")</f>
        <v> </v>
      </c>
      <c r="W280" s="334" t="str">
        <f aca="false">IF((E280="f"),G280," ")</f>
        <v> </v>
      </c>
    </row>
    <row r="281" customFormat="false" ht="12.75" hidden="false" customHeight="false" outlineLevel="0" collapsed="false">
      <c r="A281" s="355"/>
      <c r="E281" s="365" t="str">
        <f aca="false">IF((G281&lt;&gt;0),"Enter Letter"," ")</f>
        <v> </v>
      </c>
      <c r="J281" s="334" t="str">
        <f aca="false">IF((E281="s"),G281," ")</f>
        <v> </v>
      </c>
      <c r="K281" s="334" t="str">
        <f aca="false">IF((E281="d"),G281," ")</f>
        <v> </v>
      </c>
      <c r="L281" s="334" t="str">
        <f aca="false">IF((E281="e"),G281," ")</f>
        <v> </v>
      </c>
      <c r="M281" s="334" t="str">
        <f aca="false">IF((E281="p"),G281," ")</f>
        <v> </v>
      </c>
      <c r="N281" s="334" t="str">
        <f aca="false">IF((E281="r"),G281," ")</f>
        <v> </v>
      </c>
      <c r="O281" s="334" t="str">
        <f aca="false">IF((E281="g"),G281," ")</f>
        <v> </v>
      </c>
      <c r="P281" s="334" t="str">
        <f aca="false">IF((E281="m"),G281," ")</f>
        <v> </v>
      </c>
      <c r="Q281" s="334" t="str">
        <f aca="false">IF((E281="t"),G281," ")</f>
        <v> </v>
      </c>
      <c r="R281" s="334" t="str">
        <f aca="false">IF((E281="a"),G281," ")</f>
        <v> </v>
      </c>
      <c r="S281" s="334" t="str">
        <f aca="false">IF((E281="l"),G281," ")</f>
        <v> </v>
      </c>
      <c r="T281" s="334" t="str">
        <f aca="false">IF((E281="b"),G281," ")</f>
        <v> </v>
      </c>
      <c r="U281" s="334" t="str">
        <f aca="false">IF((E281="i"),G281," ")</f>
        <v> </v>
      </c>
      <c r="V281" s="334" t="str">
        <f aca="false">IF((E281="o"),G281," ")</f>
        <v> </v>
      </c>
      <c r="W281" s="334" t="str">
        <f aca="false">IF((E281="f"),G281," ")</f>
        <v> </v>
      </c>
    </row>
    <row r="282" customFormat="false" ht="12.75" hidden="false" customHeight="false" outlineLevel="0" collapsed="false">
      <c r="A282" s="355"/>
      <c r="E282" s="365" t="str">
        <f aca="false">IF((G282&lt;&gt;0),"Enter Letter"," ")</f>
        <v> </v>
      </c>
      <c r="J282" s="334" t="str">
        <f aca="false">IF((E282="s"),G282," ")</f>
        <v> </v>
      </c>
      <c r="K282" s="334" t="str">
        <f aca="false">IF((E282="d"),G282," ")</f>
        <v> </v>
      </c>
      <c r="L282" s="334" t="str">
        <f aca="false">IF((E282="e"),G282," ")</f>
        <v> </v>
      </c>
      <c r="M282" s="334" t="str">
        <f aca="false">IF((E282="p"),G282," ")</f>
        <v> </v>
      </c>
      <c r="N282" s="334" t="str">
        <f aca="false">IF((E282="r"),G282," ")</f>
        <v> </v>
      </c>
      <c r="O282" s="334" t="str">
        <f aca="false">IF((E282="g"),G282," ")</f>
        <v> </v>
      </c>
      <c r="P282" s="334" t="str">
        <f aca="false">IF((E282="m"),G282," ")</f>
        <v> </v>
      </c>
      <c r="Q282" s="334" t="str">
        <f aca="false">IF((E282="t"),G282," ")</f>
        <v> </v>
      </c>
      <c r="R282" s="334" t="str">
        <f aca="false">IF((E282="a"),G282," ")</f>
        <v> </v>
      </c>
      <c r="S282" s="334" t="str">
        <f aca="false">IF((E282="l"),G282," ")</f>
        <v> </v>
      </c>
      <c r="T282" s="334" t="str">
        <f aca="false">IF((E282="b"),G282," ")</f>
        <v> </v>
      </c>
      <c r="U282" s="334" t="str">
        <f aca="false">IF((E282="i"),G282," ")</f>
        <v> </v>
      </c>
      <c r="V282" s="334" t="str">
        <f aca="false">IF((E282="o"),G282," ")</f>
        <v> </v>
      </c>
      <c r="W282" s="334" t="str">
        <f aca="false">IF((E282="f"),G282," ")</f>
        <v> </v>
      </c>
    </row>
    <row r="283" customFormat="false" ht="12.75" hidden="false" customHeight="false" outlineLevel="0" collapsed="false">
      <c r="A283" s="355"/>
      <c r="E283" s="365" t="str">
        <f aca="false">IF((G283&lt;&gt;0),"Enter Letter"," ")</f>
        <v> </v>
      </c>
      <c r="J283" s="334" t="str">
        <f aca="false">IF((E283="s"),G283," ")</f>
        <v> </v>
      </c>
      <c r="K283" s="334" t="str">
        <f aca="false">IF((E283="d"),G283," ")</f>
        <v> </v>
      </c>
      <c r="L283" s="334" t="str">
        <f aca="false">IF((E283="e"),G283," ")</f>
        <v> </v>
      </c>
      <c r="M283" s="334" t="str">
        <f aca="false">IF((E283="p"),G283," ")</f>
        <v> </v>
      </c>
      <c r="N283" s="334" t="str">
        <f aca="false">IF((E283="r"),G283," ")</f>
        <v> </v>
      </c>
      <c r="O283" s="334" t="str">
        <f aca="false">IF((E283="g"),G283," ")</f>
        <v> </v>
      </c>
      <c r="P283" s="334" t="str">
        <f aca="false">IF((E283="m"),G283," ")</f>
        <v> </v>
      </c>
      <c r="Q283" s="334" t="str">
        <f aca="false">IF((E283="t"),G283," ")</f>
        <v> </v>
      </c>
      <c r="R283" s="334" t="str">
        <f aca="false">IF((E283="a"),G283," ")</f>
        <v> </v>
      </c>
      <c r="S283" s="334" t="str">
        <f aca="false">IF((E283="l"),G283," ")</f>
        <v> </v>
      </c>
      <c r="T283" s="334" t="str">
        <f aca="false">IF((E283="b"),G283," ")</f>
        <v> </v>
      </c>
      <c r="U283" s="334" t="str">
        <f aca="false">IF((E283="i"),G283," ")</f>
        <v> </v>
      </c>
      <c r="V283" s="334" t="str">
        <f aca="false">IF((E283="o"),G283," ")</f>
        <v> </v>
      </c>
      <c r="W283" s="334" t="str">
        <f aca="false">IF((E283="f"),G283," ")</f>
        <v> </v>
      </c>
    </row>
    <row r="284" customFormat="false" ht="12.75" hidden="false" customHeight="false" outlineLevel="0" collapsed="false">
      <c r="A284" s="355"/>
      <c r="E284" s="365" t="str">
        <f aca="false">IF((G284&lt;&gt;0),"Enter Letter"," ")</f>
        <v> </v>
      </c>
      <c r="J284" s="334" t="str">
        <f aca="false">IF((E284="s"),G284," ")</f>
        <v> </v>
      </c>
      <c r="K284" s="334" t="str">
        <f aca="false">IF((E284="d"),G284," ")</f>
        <v> </v>
      </c>
      <c r="L284" s="334" t="str">
        <f aca="false">IF((E284="e"),G284," ")</f>
        <v> </v>
      </c>
      <c r="M284" s="334" t="str">
        <f aca="false">IF((E284="p"),G284," ")</f>
        <v> </v>
      </c>
      <c r="N284" s="334" t="str">
        <f aca="false">IF((E284="r"),G284," ")</f>
        <v> </v>
      </c>
      <c r="O284" s="334" t="str">
        <f aca="false">IF((E284="g"),G284," ")</f>
        <v> </v>
      </c>
      <c r="P284" s="334" t="str">
        <f aca="false">IF((E284="m"),G284," ")</f>
        <v> </v>
      </c>
      <c r="Q284" s="334" t="str">
        <f aca="false">IF((E284="t"),G284," ")</f>
        <v> </v>
      </c>
      <c r="R284" s="334" t="str">
        <f aca="false">IF((E284="a"),G284," ")</f>
        <v> </v>
      </c>
      <c r="S284" s="334" t="str">
        <f aca="false">IF((E284="l"),G284," ")</f>
        <v> </v>
      </c>
      <c r="T284" s="334" t="str">
        <f aca="false">IF((E284="b"),G284," ")</f>
        <v> </v>
      </c>
      <c r="U284" s="334" t="str">
        <f aca="false">IF((E284="i"),G284," ")</f>
        <v> </v>
      </c>
      <c r="V284" s="334" t="str">
        <f aca="false">IF((E284="o"),G284," ")</f>
        <v> </v>
      </c>
      <c r="W284" s="334" t="str">
        <f aca="false">IF((E284="f"),G284," ")</f>
        <v> </v>
      </c>
    </row>
    <row r="285" customFormat="false" ht="12.75" hidden="false" customHeight="false" outlineLevel="0" collapsed="false">
      <c r="A285" s="355"/>
      <c r="E285" s="365" t="str">
        <f aca="false">IF((G285&lt;&gt;0),"Enter Letter"," ")</f>
        <v> </v>
      </c>
      <c r="J285" s="334" t="str">
        <f aca="false">IF((E285="s"),G285," ")</f>
        <v> </v>
      </c>
      <c r="K285" s="334" t="str">
        <f aca="false">IF((E285="d"),G285," ")</f>
        <v> </v>
      </c>
      <c r="L285" s="334" t="str">
        <f aca="false">IF((E285="e"),G285," ")</f>
        <v> </v>
      </c>
      <c r="M285" s="334" t="str">
        <f aca="false">IF((E285="p"),G285," ")</f>
        <v> </v>
      </c>
      <c r="N285" s="334" t="str">
        <f aca="false">IF((E285="r"),G285," ")</f>
        <v> </v>
      </c>
      <c r="O285" s="334" t="str">
        <f aca="false">IF((E285="g"),G285," ")</f>
        <v> </v>
      </c>
      <c r="P285" s="334" t="str">
        <f aca="false">IF((E285="m"),G285," ")</f>
        <v> </v>
      </c>
      <c r="Q285" s="334" t="str">
        <f aca="false">IF((E285="t"),G285," ")</f>
        <v> </v>
      </c>
      <c r="R285" s="334" t="str">
        <f aca="false">IF((E285="a"),G285," ")</f>
        <v> </v>
      </c>
      <c r="S285" s="334" t="str">
        <f aca="false">IF((E285="l"),G285," ")</f>
        <v> </v>
      </c>
      <c r="T285" s="334" t="str">
        <f aca="false">IF((E285="b"),G285," ")</f>
        <v> </v>
      </c>
      <c r="U285" s="334" t="str">
        <f aca="false">IF((E285="i"),G285," ")</f>
        <v> </v>
      </c>
      <c r="V285" s="334" t="str">
        <f aca="false">IF((E285="o"),G285," ")</f>
        <v> </v>
      </c>
      <c r="W285" s="334" t="str">
        <f aca="false">IF((E285="f"),G285," ")</f>
        <v> </v>
      </c>
    </row>
    <row r="286" customFormat="false" ht="12.75" hidden="false" customHeight="false" outlineLevel="0" collapsed="false">
      <c r="A286" s="355"/>
      <c r="E286" s="365" t="str">
        <f aca="false">IF((G286&lt;&gt;0),"Enter Letter"," ")</f>
        <v> </v>
      </c>
      <c r="J286" s="334" t="str">
        <f aca="false">IF((E286="s"),G286," ")</f>
        <v> </v>
      </c>
      <c r="K286" s="334" t="str">
        <f aca="false">IF((E286="d"),G286," ")</f>
        <v> </v>
      </c>
      <c r="L286" s="334" t="str">
        <f aca="false">IF((E286="e"),G286," ")</f>
        <v> </v>
      </c>
      <c r="M286" s="334" t="str">
        <f aca="false">IF((E286="p"),G286," ")</f>
        <v> </v>
      </c>
      <c r="N286" s="334" t="str">
        <f aca="false">IF((E286="r"),G286," ")</f>
        <v> </v>
      </c>
      <c r="O286" s="334" t="str">
        <f aca="false">IF((E286="g"),G286," ")</f>
        <v> </v>
      </c>
      <c r="P286" s="334" t="str">
        <f aca="false">IF((E286="m"),G286," ")</f>
        <v> </v>
      </c>
      <c r="Q286" s="334" t="str">
        <f aca="false">IF((E286="t"),G286," ")</f>
        <v> </v>
      </c>
      <c r="R286" s="334" t="str">
        <f aca="false">IF((E286="a"),G286," ")</f>
        <v> </v>
      </c>
      <c r="S286" s="334" t="str">
        <f aca="false">IF((E286="l"),G286," ")</f>
        <v> </v>
      </c>
      <c r="T286" s="334" t="str">
        <f aca="false">IF((E286="b"),G286," ")</f>
        <v> </v>
      </c>
      <c r="U286" s="334" t="str">
        <f aca="false">IF((E286="i"),G286," ")</f>
        <v> </v>
      </c>
      <c r="V286" s="334" t="str">
        <f aca="false">IF((E286="o"),G286," ")</f>
        <v> </v>
      </c>
      <c r="W286" s="334" t="str">
        <f aca="false">IF((E286="f"),G286," ")</f>
        <v> </v>
      </c>
    </row>
    <row r="287" customFormat="false" ht="12.75" hidden="false" customHeight="false" outlineLevel="0" collapsed="false">
      <c r="A287" s="355"/>
      <c r="E287" s="365" t="str">
        <f aca="false">IF((G287&lt;&gt;0),"Enter Letter"," ")</f>
        <v> </v>
      </c>
      <c r="J287" s="334" t="str">
        <f aca="false">IF((E287="s"),G287," ")</f>
        <v> </v>
      </c>
      <c r="K287" s="334" t="str">
        <f aca="false">IF((E287="d"),G287," ")</f>
        <v> </v>
      </c>
      <c r="L287" s="334" t="str">
        <f aca="false">IF((E287="e"),G287," ")</f>
        <v> </v>
      </c>
      <c r="M287" s="334" t="str">
        <f aca="false">IF((E287="p"),G287," ")</f>
        <v> </v>
      </c>
      <c r="N287" s="334" t="str">
        <f aca="false">IF((E287="r"),G287," ")</f>
        <v> </v>
      </c>
      <c r="O287" s="334" t="str">
        <f aca="false">IF((E287="g"),G287," ")</f>
        <v> </v>
      </c>
      <c r="P287" s="334" t="str">
        <f aca="false">IF((E287="m"),G287," ")</f>
        <v> </v>
      </c>
      <c r="Q287" s="334" t="str">
        <f aca="false">IF((E287="t"),G287," ")</f>
        <v> </v>
      </c>
      <c r="R287" s="334" t="str">
        <f aca="false">IF((E287="a"),G287," ")</f>
        <v> </v>
      </c>
      <c r="S287" s="334" t="str">
        <f aca="false">IF((E287="l"),G287," ")</f>
        <v> </v>
      </c>
      <c r="T287" s="334" t="str">
        <f aca="false">IF((E287="b"),G287," ")</f>
        <v> </v>
      </c>
      <c r="U287" s="334" t="str">
        <f aca="false">IF((E287="i"),G287," ")</f>
        <v> </v>
      </c>
      <c r="V287" s="334" t="str">
        <f aca="false">IF((E287="o"),G287," ")</f>
        <v> </v>
      </c>
      <c r="W287" s="334" t="str">
        <f aca="false">IF((E287="f"),G287," ")</f>
        <v> </v>
      </c>
    </row>
    <row r="288" customFormat="false" ht="12.75" hidden="false" customHeight="false" outlineLevel="0" collapsed="false">
      <c r="A288" s="355"/>
      <c r="E288" s="365" t="str">
        <f aca="false">IF((G288&lt;&gt;0),"Enter Letter"," ")</f>
        <v> </v>
      </c>
      <c r="J288" s="334" t="str">
        <f aca="false">IF((E288="s"),G288," ")</f>
        <v> </v>
      </c>
      <c r="K288" s="334" t="str">
        <f aca="false">IF((E288="d"),G288," ")</f>
        <v> </v>
      </c>
      <c r="L288" s="334" t="str">
        <f aca="false">IF((E288="e"),G288," ")</f>
        <v> </v>
      </c>
      <c r="M288" s="334" t="str">
        <f aca="false">IF((E288="p"),G288," ")</f>
        <v> </v>
      </c>
      <c r="N288" s="334" t="str">
        <f aca="false">IF((E288="r"),G288," ")</f>
        <v> </v>
      </c>
      <c r="O288" s="334" t="str">
        <f aca="false">IF((E288="g"),G288," ")</f>
        <v> </v>
      </c>
      <c r="P288" s="334" t="str">
        <f aca="false">IF((E288="m"),G288," ")</f>
        <v> </v>
      </c>
      <c r="Q288" s="334" t="str">
        <f aca="false">IF((E288="t"),G288," ")</f>
        <v> </v>
      </c>
      <c r="R288" s="334" t="str">
        <f aca="false">IF((E288="a"),G288," ")</f>
        <v> </v>
      </c>
      <c r="S288" s="334" t="str">
        <f aca="false">IF((E288="l"),G288," ")</f>
        <v> </v>
      </c>
      <c r="T288" s="334" t="str">
        <f aca="false">IF((E288="b"),G288," ")</f>
        <v> </v>
      </c>
      <c r="U288" s="334" t="str">
        <f aca="false">IF((E288="i"),G288," ")</f>
        <v> </v>
      </c>
      <c r="V288" s="334" t="str">
        <f aca="false">IF((E288="o"),G288," ")</f>
        <v> </v>
      </c>
      <c r="W288" s="334" t="str">
        <f aca="false">IF((E288="f"),G288," ")</f>
        <v> </v>
      </c>
    </row>
    <row r="289" customFormat="false" ht="12.75" hidden="false" customHeight="false" outlineLevel="0" collapsed="false">
      <c r="A289" s="355"/>
      <c r="E289" s="365" t="str">
        <f aca="false">IF((G289&lt;&gt;0),"Enter Letter"," ")</f>
        <v> </v>
      </c>
      <c r="J289" s="334" t="str">
        <f aca="false">IF((E289="s"),G289," ")</f>
        <v> </v>
      </c>
      <c r="K289" s="334" t="str">
        <f aca="false">IF((E289="d"),G289," ")</f>
        <v> </v>
      </c>
      <c r="L289" s="334" t="str">
        <f aca="false">IF((E289="e"),G289," ")</f>
        <v> </v>
      </c>
      <c r="M289" s="334" t="str">
        <f aca="false">IF((E289="p"),G289," ")</f>
        <v> </v>
      </c>
      <c r="N289" s="334" t="str">
        <f aca="false">IF((E289="r"),G289," ")</f>
        <v> </v>
      </c>
      <c r="O289" s="334" t="str">
        <f aca="false">IF((E289="g"),G289," ")</f>
        <v> </v>
      </c>
      <c r="P289" s="334" t="str">
        <f aca="false">IF((E289="m"),G289," ")</f>
        <v> </v>
      </c>
      <c r="Q289" s="334" t="str">
        <f aca="false">IF((E289="t"),G289," ")</f>
        <v> </v>
      </c>
      <c r="R289" s="334" t="str">
        <f aca="false">IF((E289="a"),G289," ")</f>
        <v> </v>
      </c>
      <c r="S289" s="334" t="str">
        <f aca="false">IF((E289="l"),G289," ")</f>
        <v> </v>
      </c>
      <c r="T289" s="334" t="str">
        <f aca="false">IF((E289="b"),G289," ")</f>
        <v> </v>
      </c>
      <c r="U289" s="334" t="str">
        <f aca="false">IF((E289="i"),G289," ")</f>
        <v> </v>
      </c>
      <c r="V289" s="334" t="str">
        <f aca="false">IF((E289="o"),G289," ")</f>
        <v> </v>
      </c>
      <c r="W289" s="334" t="str">
        <f aca="false">IF((E289="f"),G289," ")</f>
        <v> </v>
      </c>
    </row>
    <row r="290" customFormat="false" ht="12.75" hidden="false" customHeight="false" outlineLevel="0" collapsed="false">
      <c r="A290" s="355"/>
      <c r="E290" s="365" t="str">
        <f aca="false">IF((G290&lt;&gt;0),"Enter Letter"," ")</f>
        <v> </v>
      </c>
      <c r="J290" s="334" t="str">
        <f aca="false">IF((E290="s"),G290," ")</f>
        <v> </v>
      </c>
      <c r="K290" s="334" t="str">
        <f aca="false">IF((E290="d"),G290," ")</f>
        <v> </v>
      </c>
      <c r="L290" s="334" t="str">
        <f aca="false">IF((E290="e"),G290," ")</f>
        <v> </v>
      </c>
      <c r="M290" s="334" t="str">
        <f aca="false">IF((E290="p"),G290," ")</f>
        <v> </v>
      </c>
      <c r="N290" s="334" t="str">
        <f aca="false">IF((E290="r"),G290," ")</f>
        <v> </v>
      </c>
      <c r="O290" s="334" t="str">
        <f aca="false">IF((E290="g"),G290," ")</f>
        <v> </v>
      </c>
      <c r="P290" s="334" t="str">
        <f aca="false">IF((E290="m"),G290," ")</f>
        <v> </v>
      </c>
      <c r="Q290" s="334" t="str">
        <f aca="false">IF((E290="t"),G290," ")</f>
        <v> </v>
      </c>
      <c r="R290" s="334" t="str">
        <f aca="false">IF((E290="a"),G290," ")</f>
        <v> </v>
      </c>
      <c r="S290" s="334" t="str">
        <f aca="false">IF((E290="l"),G290," ")</f>
        <v> </v>
      </c>
      <c r="T290" s="334" t="str">
        <f aca="false">IF((E290="b"),G290," ")</f>
        <v> </v>
      </c>
      <c r="U290" s="334" t="str">
        <f aca="false">IF((E290="i"),G290," ")</f>
        <v> </v>
      </c>
      <c r="V290" s="334" t="str">
        <f aca="false">IF((E290="o"),G290," ")</f>
        <v> </v>
      </c>
      <c r="W290" s="334" t="str">
        <f aca="false">IF((E290="f"),G290," ")</f>
        <v> </v>
      </c>
    </row>
    <row r="291" customFormat="false" ht="12.75" hidden="false" customHeight="false" outlineLevel="0" collapsed="false">
      <c r="A291" s="355"/>
      <c r="E291" s="365" t="str">
        <f aca="false">IF((G291&lt;&gt;0),"Enter Letter"," ")</f>
        <v> </v>
      </c>
      <c r="J291" s="334" t="str">
        <f aca="false">IF((E291="s"),G291," ")</f>
        <v> </v>
      </c>
      <c r="K291" s="334" t="str">
        <f aca="false">IF((E291="d"),G291," ")</f>
        <v> </v>
      </c>
      <c r="L291" s="334" t="str">
        <f aca="false">IF((E291="e"),G291," ")</f>
        <v> </v>
      </c>
      <c r="M291" s="334" t="str">
        <f aca="false">IF((E291="p"),G291," ")</f>
        <v> </v>
      </c>
      <c r="N291" s="334" t="str">
        <f aca="false">IF((E291="r"),G291," ")</f>
        <v> </v>
      </c>
      <c r="O291" s="334" t="str">
        <f aca="false">IF((E291="g"),G291," ")</f>
        <v> </v>
      </c>
      <c r="P291" s="334" t="str">
        <f aca="false">IF((E291="m"),G291," ")</f>
        <v> </v>
      </c>
      <c r="Q291" s="334" t="str">
        <f aca="false">IF((E291="t"),G291," ")</f>
        <v> </v>
      </c>
      <c r="R291" s="334" t="str">
        <f aca="false">IF((E291="a"),G291," ")</f>
        <v> </v>
      </c>
      <c r="S291" s="334" t="str">
        <f aca="false">IF((E291="l"),G291," ")</f>
        <v> </v>
      </c>
      <c r="T291" s="334" t="str">
        <f aca="false">IF((E291="b"),G291," ")</f>
        <v> </v>
      </c>
      <c r="U291" s="334" t="str">
        <f aca="false">IF((E291="i"),G291," ")</f>
        <v> </v>
      </c>
      <c r="V291" s="334" t="str">
        <f aca="false">IF((E291="o"),G291," ")</f>
        <v> </v>
      </c>
      <c r="W291" s="334" t="str">
        <f aca="false">IF((E291="f"),G291," ")</f>
        <v> </v>
      </c>
    </row>
    <row r="292" customFormat="false" ht="12.75" hidden="false" customHeight="false" outlineLevel="0" collapsed="false">
      <c r="A292" s="355"/>
      <c r="E292" s="365" t="str">
        <f aca="false">IF((G292&lt;&gt;0),"Enter Letter"," ")</f>
        <v> </v>
      </c>
      <c r="J292" s="334" t="str">
        <f aca="false">IF((E292="s"),G292," ")</f>
        <v> </v>
      </c>
      <c r="K292" s="334" t="str">
        <f aca="false">IF((E292="d"),G292," ")</f>
        <v> </v>
      </c>
      <c r="L292" s="334" t="str">
        <f aca="false">IF((E292="e"),G292," ")</f>
        <v> </v>
      </c>
      <c r="M292" s="334" t="str">
        <f aca="false">IF((E292="p"),G292," ")</f>
        <v> </v>
      </c>
      <c r="N292" s="334" t="str">
        <f aca="false">IF((E292="r"),G292," ")</f>
        <v> </v>
      </c>
      <c r="O292" s="334" t="str">
        <f aca="false">IF((E292="g"),G292," ")</f>
        <v> </v>
      </c>
      <c r="P292" s="334" t="str">
        <f aca="false">IF((E292="m"),G292," ")</f>
        <v> </v>
      </c>
      <c r="Q292" s="334" t="str">
        <f aca="false">IF((E292="t"),G292," ")</f>
        <v> </v>
      </c>
      <c r="R292" s="334" t="str">
        <f aca="false">IF((E292="a"),G292," ")</f>
        <v> </v>
      </c>
      <c r="S292" s="334" t="str">
        <f aca="false">IF((E292="l"),G292," ")</f>
        <v> </v>
      </c>
      <c r="T292" s="334" t="str">
        <f aca="false">IF((E292="b"),G292," ")</f>
        <v> </v>
      </c>
      <c r="U292" s="334" t="str">
        <f aca="false">IF((E292="i"),G292," ")</f>
        <v> </v>
      </c>
      <c r="V292" s="334" t="str">
        <f aca="false">IF((E292="o"),G292," ")</f>
        <v> </v>
      </c>
      <c r="W292" s="334" t="str">
        <f aca="false">IF((E292="f"),G292," ")</f>
        <v> </v>
      </c>
    </row>
    <row r="293" customFormat="false" ht="12.75" hidden="false" customHeight="false" outlineLevel="0" collapsed="false">
      <c r="A293" s="355"/>
      <c r="E293" s="365" t="str">
        <f aca="false">IF((G293&lt;&gt;0),"Enter Letter"," ")</f>
        <v> </v>
      </c>
      <c r="J293" s="334" t="str">
        <f aca="false">IF((E293="s"),G293," ")</f>
        <v> </v>
      </c>
      <c r="K293" s="334" t="str">
        <f aca="false">IF((E293="d"),G293," ")</f>
        <v> </v>
      </c>
      <c r="L293" s="334" t="str">
        <f aca="false">IF((E293="e"),G293," ")</f>
        <v> </v>
      </c>
      <c r="M293" s="334" t="str">
        <f aca="false">IF((E293="p"),G293," ")</f>
        <v> </v>
      </c>
      <c r="N293" s="334" t="str">
        <f aca="false">IF((E293="r"),G293," ")</f>
        <v> </v>
      </c>
      <c r="O293" s="334" t="str">
        <f aca="false">IF((E293="g"),G293," ")</f>
        <v> </v>
      </c>
      <c r="P293" s="334" t="str">
        <f aca="false">IF((E293="m"),G293," ")</f>
        <v> </v>
      </c>
      <c r="Q293" s="334" t="str">
        <f aca="false">IF((E293="t"),G293," ")</f>
        <v> </v>
      </c>
      <c r="R293" s="334" t="str">
        <f aca="false">IF((E293="a"),G293," ")</f>
        <v> </v>
      </c>
      <c r="S293" s="334" t="str">
        <f aca="false">IF((E293="l"),G293," ")</f>
        <v> </v>
      </c>
      <c r="T293" s="334" t="str">
        <f aca="false">IF((E293="b"),G293," ")</f>
        <v> </v>
      </c>
      <c r="U293" s="334" t="str">
        <f aca="false">IF((E293="i"),G293," ")</f>
        <v> </v>
      </c>
      <c r="V293" s="334" t="str">
        <f aca="false">IF((E293="o"),G293," ")</f>
        <v> </v>
      </c>
      <c r="W293" s="334" t="str">
        <f aca="false">IF((E293="f"),G293," ")</f>
        <v> </v>
      </c>
    </row>
    <row r="294" customFormat="false" ht="12.75" hidden="false" customHeight="false" outlineLevel="0" collapsed="false">
      <c r="A294" s="355"/>
      <c r="E294" s="365" t="str">
        <f aca="false">IF((G294&lt;&gt;0),"Enter Letter"," ")</f>
        <v> </v>
      </c>
      <c r="J294" s="334" t="str">
        <f aca="false">IF((E294="s"),G294," ")</f>
        <v> </v>
      </c>
      <c r="K294" s="334" t="str">
        <f aca="false">IF((E294="d"),G294," ")</f>
        <v> </v>
      </c>
      <c r="L294" s="334" t="str">
        <f aca="false">IF((E294="e"),G294," ")</f>
        <v> </v>
      </c>
      <c r="M294" s="334" t="str">
        <f aca="false">IF((E294="p"),G294," ")</f>
        <v> </v>
      </c>
      <c r="N294" s="334" t="str">
        <f aca="false">IF((E294="r"),G294," ")</f>
        <v> </v>
      </c>
      <c r="O294" s="334" t="str">
        <f aca="false">IF((E294="g"),G294," ")</f>
        <v> </v>
      </c>
      <c r="P294" s="334" t="str">
        <f aca="false">IF((E294="m"),G294," ")</f>
        <v> </v>
      </c>
      <c r="Q294" s="334" t="str">
        <f aca="false">IF((E294="t"),G294," ")</f>
        <v> </v>
      </c>
      <c r="R294" s="334" t="str">
        <f aca="false">IF((E294="a"),G294," ")</f>
        <v> </v>
      </c>
      <c r="S294" s="334" t="str">
        <f aca="false">IF((E294="l"),G294," ")</f>
        <v> </v>
      </c>
      <c r="T294" s="334" t="str">
        <f aca="false">IF((E294="b"),G294," ")</f>
        <v> </v>
      </c>
      <c r="U294" s="334" t="str">
        <f aca="false">IF((E294="i"),G294," ")</f>
        <v> </v>
      </c>
      <c r="V294" s="334" t="str">
        <f aca="false">IF((E294="o"),G294," ")</f>
        <v> </v>
      </c>
      <c r="W294" s="334" t="str">
        <f aca="false">IF((E294="f"),G294," ")</f>
        <v> </v>
      </c>
    </row>
    <row r="295" customFormat="false" ht="12.75" hidden="false" customHeight="false" outlineLevel="0" collapsed="false">
      <c r="A295" s="355"/>
      <c r="E295" s="365" t="str">
        <f aca="false">IF((G295&lt;&gt;0),"Enter Letter"," ")</f>
        <v> </v>
      </c>
      <c r="J295" s="334" t="str">
        <f aca="false">IF((E295="s"),G295," ")</f>
        <v> </v>
      </c>
      <c r="K295" s="334" t="str">
        <f aca="false">IF((E295="d"),G295," ")</f>
        <v> </v>
      </c>
      <c r="L295" s="334" t="str">
        <f aca="false">IF((E295="e"),G295," ")</f>
        <v> </v>
      </c>
      <c r="M295" s="334" t="str">
        <f aca="false">IF((E295="p"),G295," ")</f>
        <v> </v>
      </c>
      <c r="N295" s="334" t="str">
        <f aca="false">IF((E295="r"),G295," ")</f>
        <v> </v>
      </c>
      <c r="O295" s="334" t="str">
        <f aca="false">IF((E295="g"),G295," ")</f>
        <v> </v>
      </c>
      <c r="P295" s="334" t="str">
        <f aca="false">IF((E295="m"),G295," ")</f>
        <v> </v>
      </c>
      <c r="Q295" s="334" t="str">
        <f aca="false">IF((E295="t"),G295," ")</f>
        <v> </v>
      </c>
      <c r="R295" s="334" t="str">
        <f aca="false">IF((E295="a"),G295," ")</f>
        <v> </v>
      </c>
      <c r="S295" s="334" t="str">
        <f aca="false">IF((E295="l"),G295," ")</f>
        <v> </v>
      </c>
      <c r="T295" s="334" t="str">
        <f aca="false">IF((E295="b"),G295," ")</f>
        <v> </v>
      </c>
      <c r="U295" s="334" t="str">
        <f aca="false">IF((E295="i"),G295," ")</f>
        <v> </v>
      </c>
      <c r="V295" s="334" t="str">
        <f aca="false">IF((E295="o"),G295," ")</f>
        <v> </v>
      </c>
      <c r="W295" s="334" t="str">
        <f aca="false">IF((E295="f"),G295," ")</f>
        <v> </v>
      </c>
    </row>
    <row r="296" customFormat="false" ht="12.75" hidden="false" customHeight="false" outlineLevel="0" collapsed="false">
      <c r="A296" s="355"/>
      <c r="E296" s="365" t="str">
        <f aca="false">IF((G296&lt;&gt;0),"Enter Letter"," ")</f>
        <v> </v>
      </c>
      <c r="J296" s="334" t="str">
        <f aca="false">IF((E296="s"),G296," ")</f>
        <v> </v>
      </c>
      <c r="K296" s="334" t="str">
        <f aca="false">IF((E296="d"),G296," ")</f>
        <v> </v>
      </c>
      <c r="L296" s="334" t="str">
        <f aca="false">IF((E296="e"),G296," ")</f>
        <v> </v>
      </c>
      <c r="M296" s="334" t="str">
        <f aca="false">IF((E296="p"),G296," ")</f>
        <v> </v>
      </c>
      <c r="N296" s="334" t="str">
        <f aca="false">IF((E296="r"),G296," ")</f>
        <v> </v>
      </c>
      <c r="O296" s="334" t="str">
        <f aca="false">IF((E296="g"),G296," ")</f>
        <v> </v>
      </c>
      <c r="P296" s="334" t="str">
        <f aca="false">IF((E296="m"),G296," ")</f>
        <v> </v>
      </c>
      <c r="Q296" s="334" t="str">
        <f aca="false">IF((E296="t"),G296," ")</f>
        <v> </v>
      </c>
      <c r="R296" s="334" t="str">
        <f aca="false">IF((E296="a"),G296," ")</f>
        <v> </v>
      </c>
      <c r="S296" s="334" t="str">
        <f aca="false">IF((E296="l"),G296," ")</f>
        <v> </v>
      </c>
      <c r="T296" s="334" t="str">
        <f aca="false">IF((E296="b"),G296," ")</f>
        <v> </v>
      </c>
      <c r="U296" s="334" t="str">
        <f aca="false">IF((E296="i"),G296," ")</f>
        <v> </v>
      </c>
      <c r="V296" s="334" t="str">
        <f aca="false">IF((E296="o"),G296," ")</f>
        <v> </v>
      </c>
      <c r="W296" s="334" t="str">
        <f aca="false">IF((E296="f"),G296," ")</f>
        <v> </v>
      </c>
    </row>
    <row r="297" customFormat="false" ht="12.75" hidden="false" customHeight="false" outlineLevel="0" collapsed="false">
      <c r="A297" s="355"/>
      <c r="E297" s="365" t="str">
        <f aca="false">IF((G297&lt;&gt;0),"Enter Letter"," ")</f>
        <v> </v>
      </c>
      <c r="J297" s="334" t="str">
        <f aca="false">IF((E297="s"),G297," ")</f>
        <v> </v>
      </c>
      <c r="K297" s="334" t="str">
        <f aca="false">IF((E297="d"),G297," ")</f>
        <v> </v>
      </c>
      <c r="L297" s="334" t="str">
        <f aca="false">IF((E297="e"),G297," ")</f>
        <v> </v>
      </c>
      <c r="M297" s="334" t="str">
        <f aca="false">IF((E297="p"),G297," ")</f>
        <v> </v>
      </c>
      <c r="N297" s="334" t="str">
        <f aca="false">IF((E297="r"),G297," ")</f>
        <v> </v>
      </c>
      <c r="O297" s="334" t="str">
        <f aca="false">IF((E297="g"),G297," ")</f>
        <v> </v>
      </c>
      <c r="P297" s="334" t="str">
        <f aca="false">IF((E297="m"),G297," ")</f>
        <v> </v>
      </c>
      <c r="Q297" s="334" t="str">
        <f aca="false">IF((E297="t"),G297," ")</f>
        <v> </v>
      </c>
      <c r="R297" s="334" t="str">
        <f aca="false">IF((E297="a"),G297," ")</f>
        <v> </v>
      </c>
      <c r="S297" s="334" t="str">
        <f aca="false">IF((E297="l"),G297," ")</f>
        <v> </v>
      </c>
      <c r="T297" s="334" t="str">
        <f aca="false">IF((E297="b"),G297," ")</f>
        <v> </v>
      </c>
      <c r="U297" s="334" t="str">
        <f aca="false">IF((E297="i"),G297," ")</f>
        <v> </v>
      </c>
      <c r="V297" s="334" t="str">
        <f aca="false">IF((E297="o"),G297," ")</f>
        <v> </v>
      </c>
      <c r="W297" s="334" t="str">
        <f aca="false">IF((E297="f"),G297," ")</f>
        <v> </v>
      </c>
    </row>
    <row r="298" customFormat="false" ht="12.75" hidden="false" customHeight="false" outlineLevel="0" collapsed="false">
      <c r="A298" s="355"/>
      <c r="E298" s="365" t="str">
        <f aca="false">IF((G298&lt;&gt;0),"Enter Letter"," ")</f>
        <v> </v>
      </c>
      <c r="J298" s="334" t="str">
        <f aca="false">IF((E298="s"),G298," ")</f>
        <v> </v>
      </c>
      <c r="K298" s="334" t="str">
        <f aca="false">IF((E298="d"),G298," ")</f>
        <v> </v>
      </c>
      <c r="L298" s="334" t="str">
        <f aca="false">IF((E298="e"),G298," ")</f>
        <v> </v>
      </c>
      <c r="M298" s="334" t="str">
        <f aca="false">IF((E298="p"),G298," ")</f>
        <v> </v>
      </c>
      <c r="N298" s="334" t="str">
        <f aca="false">IF((E298="r"),G298," ")</f>
        <v> </v>
      </c>
      <c r="O298" s="334" t="str">
        <f aca="false">IF((E298="g"),G298," ")</f>
        <v> </v>
      </c>
      <c r="P298" s="334" t="str">
        <f aca="false">IF((E298="m"),G298," ")</f>
        <v> </v>
      </c>
      <c r="Q298" s="334" t="str">
        <f aca="false">IF((E298="t"),G298," ")</f>
        <v> </v>
      </c>
      <c r="R298" s="334" t="str">
        <f aca="false">IF((E298="a"),G298," ")</f>
        <v> </v>
      </c>
      <c r="S298" s="334" t="str">
        <f aca="false">IF((E298="l"),G298," ")</f>
        <v> </v>
      </c>
      <c r="T298" s="334" t="str">
        <f aca="false">IF((E298="b"),G298," ")</f>
        <v> </v>
      </c>
      <c r="U298" s="334" t="str">
        <f aca="false">IF((E298="i"),G298," ")</f>
        <v> </v>
      </c>
      <c r="V298" s="334" t="str">
        <f aca="false">IF((E298="o"),G298," ")</f>
        <v> </v>
      </c>
      <c r="W298" s="334" t="str">
        <f aca="false">IF((E298="f"),G298," ")</f>
        <v> </v>
      </c>
    </row>
    <row r="299" customFormat="false" ht="12.75" hidden="false" customHeight="false" outlineLevel="0" collapsed="false">
      <c r="A299" s="355"/>
      <c r="E299" s="365" t="str">
        <f aca="false">IF((G299&lt;&gt;0),"Enter Letter"," ")</f>
        <v> </v>
      </c>
      <c r="J299" s="334" t="str">
        <f aca="false">IF((E299="s"),G299," ")</f>
        <v> </v>
      </c>
      <c r="K299" s="334" t="str">
        <f aca="false">IF((E299="d"),G299," ")</f>
        <v> </v>
      </c>
      <c r="L299" s="334" t="str">
        <f aca="false">IF((E299="e"),G299," ")</f>
        <v> </v>
      </c>
      <c r="M299" s="334" t="str">
        <f aca="false">IF((E299="p"),G299," ")</f>
        <v> </v>
      </c>
      <c r="N299" s="334" t="str">
        <f aca="false">IF((E299="r"),G299," ")</f>
        <v> </v>
      </c>
      <c r="O299" s="334" t="str">
        <f aca="false">IF((E299="g"),G299," ")</f>
        <v> </v>
      </c>
      <c r="P299" s="334" t="str">
        <f aca="false">IF((E299="m"),G299," ")</f>
        <v> </v>
      </c>
      <c r="Q299" s="334" t="str">
        <f aca="false">IF((E299="t"),G299," ")</f>
        <v> </v>
      </c>
      <c r="R299" s="334" t="str">
        <f aca="false">IF((E299="a"),G299," ")</f>
        <v> </v>
      </c>
      <c r="S299" s="334" t="str">
        <f aca="false">IF((E299="l"),G299," ")</f>
        <v> </v>
      </c>
      <c r="T299" s="334" t="str">
        <f aca="false">IF((E299="b"),G299," ")</f>
        <v> </v>
      </c>
      <c r="U299" s="334" t="str">
        <f aca="false">IF((E299="i"),G299," ")</f>
        <v> </v>
      </c>
      <c r="V299" s="334" t="str">
        <f aca="false">IF((E299="o"),G299," ")</f>
        <v> </v>
      </c>
      <c r="W299" s="334" t="str">
        <f aca="false">IF((E299="f"),G299," ")</f>
        <v> </v>
      </c>
    </row>
    <row r="300" customFormat="false" ht="12.75" hidden="false" customHeight="false" outlineLevel="0" collapsed="false">
      <c r="A300" s="355"/>
      <c r="B300" s="393"/>
      <c r="C300" s="393"/>
      <c r="D300" s="394"/>
      <c r="E300" s="395" t="str">
        <f aca="false">IF((G300&lt;&gt;0),"Enter Letter"," ")</f>
        <v> </v>
      </c>
      <c r="F300" s="396"/>
      <c r="G300" s="397"/>
      <c r="H300" s="360"/>
      <c r="I300" s="398"/>
      <c r="J300" s="356" t="str">
        <f aca="false">IF((E300="s"),G300," ")</f>
        <v> </v>
      </c>
      <c r="K300" s="356" t="str">
        <f aca="false">IF((E300="d"),G300," ")</f>
        <v> </v>
      </c>
      <c r="L300" s="356" t="str">
        <f aca="false">IF((E300="e"),G300," ")</f>
        <v> </v>
      </c>
      <c r="M300" s="356" t="str">
        <f aca="false">IF((E300="p"),G300," ")</f>
        <v> </v>
      </c>
      <c r="N300" s="356" t="str">
        <f aca="false">IF((E300="r"),G300," ")</f>
        <v> </v>
      </c>
      <c r="O300" s="356" t="str">
        <f aca="false">IF((E300="g"),G300," ")</f>
        <v> </v>
      </c>
      <c r="P300" s="356" t="str">
        <f aca="false">IF((E300="m"),G300," ")</f>
        <v> </v>
      </c>
      <c r="Q300" s="356" t="str">
        <f aca="false">IF((E300="t"),G300," ")</f>
        <v> </v>
      </c>
      <c r="R300" s="356" t="str">
        <f aca="false">IF((E300="a"),G300," ")</f>
        <v> </v>
      </c>
      <c r="S300" s="356" t="str">
        <f aca="false">IF((E300="l"),G300," ")</f>
        <v> </v>
      </c>
      <c r="T300" s="356" t="str">
        <f aca="false">IF((E300="b"),G300," ")</f>
        <v> </v>
      </c>
      <c r="U300" s="356" t="str">
        <f aca="false">IF((E300="i"),G300," ")</f>
        <v> </v>
      </c>
      <c r="V300" s="356" t="str">
        <f aca="false">IF((E300="o"),G300," ")</f>
        <v> </v>
      </c>
      <c r="W300" s="356" t="str">
        <f aca="false">IF((E300="f"),G300," ")</f>
        <v> </v>
      </c>
    </row>
  </sheetData>
  <mergeCells count="25">
    <mergeCell ref="A2:A4"/>
    <mergeCell ref="B2:B4"/>
    <mergeCell ref="C2:C4"/>
    <mergeCell ref="D2:D4"/>
    <mergeCell ref="E2:E3"/>
    <mergeCell ref="F2:F4"/>
    <mergeCell ref="G2:G3"/>
    <mergeCell ref="H2:H4"/>
    <mergeCell ref="I2:I4"/>
    <mergeCell ref="J2:J3"/>
    <mergeCell ref="K2:K3"/>
    <mergeCell ref="L2:L3"/>
    <mergeCell ref="M2:M3"/>
    <mergeCell ref="N2:N3"/>
    <mergeCell ref="O2:O3"/>
    <mergeCell ref="Q2:Q3"/>
    <mergeCell ref="R2:R3"/>
    <mergeCell ref="S2:S3"/>
    <mergeCell ref="T2:T3"/>
    <mergeCell ref="U2:U3"/>
    <mergeCell ref="V2:V3"/>
    <mergeCell ref="W2:W3"/>
    <mergeCell ref="X2:X4"/>
    <mergeCell ref="Y2:Z2"/>
    <mergeCell ref="Y3:Z3"/>
  </mergeCells>
  <dataValidations count="3">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5:A300" type="date">
      <formula1>38353</formula1>
      <formula2>53327</formula2>
    </dataValidation>
    <dataValidation allowBlank="true" errorStyle="stop" operator="between" prompt="An amount in this cell shows the total purchases in cell G1 does not agree with the totals in the analysis columns cells J1 to W&#10;&#10;CHECK all expense code letters have been entered correctly or any manual entries in the analysis correct&#10;" promptTitle="ERROR ALERT" showDropDown="false" showErrorMessage="true" showInputMessage="true" sqref="E1" type="none">
      <formula1>0</formula1>
      <formula2>0</formula2>
    </dataValidation>
    <dataValidation allowBlank="true" errorStyle="stop" operator="between" showDropDown="false" showErrorMessage="true" showInputMessage="false" sqref="E5:E300" type="list">
      <formula1>$J$4:$W$4</formula1>
      <formula2>0</formula2>
    </dataValidation>
  </dataValidations>
  <printOptions headings="false" gridLines="true" gridLinesSet="true" horizontalCentered="false" verticalCentered="false"/>
  <pageMargins left="0.315277777777778" right="0.472222222222222"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&amp;C&amp;"Arial,Bold"&amp;12Costs and Expenses</oddHeader>
    <oddFooter>&amp;L&amp;D  &amp;T&amp;C&amp;P  of  &amp;N&amp;R&amp;F  &amp;A</oddFooter>
  </headerFooter>
  <colBreaks count="2" manualBreakCount="2">
    <brk id="9" man="true" max="65535" min="0"/>
    <brk id="22" man="true" max="65535" min="0"/>
  </colBreak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false" hidden="false" outlineLevel="0" max="1" min="1" style="333" width="9.15"/>
    <col collapsed="false" customWidth="true" hidden="false" outlineLevel="0" max="2" min="2" style="334" width="17.66"/>
    <col collapsed="false" customWidth="true" hidden="false" outlineLevel="0" max="3" min="3" style="335" width="11.32"/>
    <col collapsed="false" customWidth="true" hidden="false" outlineLevel="0" max="4" min="4" style="336" width="14.49"/>
    <col collapsed="false" customWidth="true" hidden="false" outlineLevel="0" max="5" min="5" style="337" width="7.66"/>
    <col collapsed="false" customWidth="true" hidden="false" outlineLevel="0" max="7" min="6" style="334" width="9.66"/>
    <col collapsed="false" customWidth="true" hidden="false" outlineLevel="0" max="8" min="8" style="338" width="9.66"/>
    <col collapsed="false" customWidth="true" hidden="false" outlineLevel="0" max="9" min="9" style="339" width="10.5"/>
    <col collapsed="false" customWidth="false" hidden="false" outlineLevel="0" max="257" min="10" style="334" width="9.15"/>
  </cols>
  <sheetData>
    <row r="1" s="348" customFormat="true" ht="12.75" hidden="false" customHeight="true" outlineLevel="0" collapsed="false">
      <c r="A1" s="340" t="s">
        <v>246</v>
      </c>
      <c r="B1" s="341" t="s">
        <v>247</v>
      </c>
      <c r="C1" s="342"/>
      <c r="D1" s="343" t="s">
        <v>248</v>
      </c>
      <c r="E1" s="344" t="n">
        <f aca="false">SUM(E4:E300)</f>
        <v>0</v>
      </c>
      <c r="F1" s="343" t="n">
        <f aca="false">SUM(F4:F300)</f>
        <v>35200</v>
      </c>
      <c r="G1" s="343" t="n">
        <f aca="false">SUM(G4:G300)</f>
        <v>0</v>
      </c>
      <c r="H1" s="345" t="n">
        <f aca="false">SUM(H4:H300)</f>
        <v>0</v>
      </c>
      <c r="I1" s="346" t="n">
        <f aca="true">TODAY()</f>
        <v>46138</v>
      </c>
      <c r="J1" s="343" t="n">
        <f aca="false">SUM(J4:J300)</f>
        <v>0</v>
      </c>
      <c r="K1" s="347" t="n">
        <f aca="false">J1+SalesMay!K1</f>
        <v>0</v>
      </c>
    </row>
    <row r="2" s="348" customFormat="true" ht="12.75" hidden="false" customHeight="true" outlineLevel="0" collapsed="false">
      <c r="A2" s="340"/>
      <c r="B2" s="341"/>
      <c r="C2" s="349" t="s">
        <v>249</v>
      </c>
      <c r="D2" s="350" t="s">
        <v>250</v>
      </c>
      <c r="E2" s="351" t="s">
        <v>251</v>
      </c>
      <c r="F2" s="341" t="s">
        <v>252</v>
      </c>
      <c r="G2" s="341" t="s">
        <v>253</v>
      </c>
      <c r="H2" s="352" t="s">
        <v>254</v>
      </c>
      <c r="I2" s="353" t="s">
        <v>255</v>
      </c>
      <c r="J2" s="341" t="s">
        <v>256</v>
      </c>
      <c r="K2" s="341"/>
    </row>
    <row r="3" s="354" customFormat="true" ht="38.25" hidden="false" customHeight="true" outlineLevel="0" collapsed="false">
      <c r="A3" s="340"/>
      <c r="B3" s="341"/>
      <c r="C3" s="349"/>
      <c r="D3" s="350"/>
      <c r="E3" s="351"/>
      <c r="F3" s="351"/>
      <c r="G3" s="351"/>
      <c r="H3" s="352"/>
      <c r="I3" s="353"/>
      <c r="J3" s="341" t="s">
        <v>257</v>
      </c>
      <c r="K3" s="341" t="s">
        <v>258</v>
      </c>
    </row>
    <row r="4" customFormat="false" ht="12.75" hidden="false" customHeight="false" outlineLevel="0" collapsed="false">
      <c r="A4" s="355" t="n">
        <v>45811</v>
      </c>
      <c r="B4" s="334" t="s">
        <v>259</v>
      </c>
      <c r="F4" s="334" t="n">
        <v>360</v>
      </c>
      <c r="I4" s="339" t="n">
        <f aca="false">IF((F4&lt;&gt;0),IF((D4&gt;0)," ",(I$1-A4))," ")</f>
        <v>327</v>
      </c>
    </row>
    <row r="5" customFormat="false" ht="12.75" hidden="false" customHeight="false" outlineLevel="0" collapsed="false">
      <c r="A5" s="355" t="n">
        <v>45813</v>
      </c>
      <c r="B5" s="334" t="s">
        <v>260</v>
      </c>
      <c r="F5" s="334" t="n">
        <v>600</v>
      </c>
      <c r="I5" s="339" t="n">
        <f aca="false">IF((F5&lt;&gt;0),IF((D5&gt;0)," ",(I$1-A5))," ")</f>
        <v>325</v>
      </c>
    </row>
    <row r="6" customFormat="false" ht="12.75" hidden="false" customHeight="false" outlineLevel="0" collapsed="false">
      <c r="A6" s="355" t="n">
        <v>45816</v>
      </c>
      <c r="B6" s="334" t="s">
        <v>261</v>
      </c>
      <c r="F6" s="334" t="n">
        <v>480</v>
      </c>
      <c r="I6" s="339" t="n">
        <f aca="false">IF((F6&lt;&gt;0),IF((D6&gt;0)," ",(I$1-A6))," ")</f>
        <v>322</v>
      </c>
    </row>
    <row r="7" customFormat="false" ht="12.75" hidden="false" customHeight="false" outlineLevel="0" collapsed="false">
      <c r="A7" s="355" t="n">
        <v>45818</v>
      </c>
      <c r="B7" s="334" t="s">
        <v>262</v>
      </c>
      <c r="F7" s="334" t="n">
        <v>720</v>
      </c>
      <c r="I7" s="339" t="n">
        <f aca="false">IF((F7&lt;&gt;0),IF((D7&gt;0)," ",(I$1-A7))," ")</f>
        <v>320</v>
      </c>
    </row>
    <row r="8" customFormat="false" ht="12.75" hidden="false" customHeight="false" outlineLevel="0" collapsed="false">
      <c r="A8" s="355" t="n">
        <v>45823</v>
      </c>
      <c r="B8" s="334" t="s">
        <v>235</v>
      </c>
      <c r="F8" s="334" t="n">
        <v>25000</v>
      </c>
      <c r="I8" s="339" t="n">
        <f aca="false">IF((F8&lt;&gt;0),IF((D8&gt;0)," ",(I$1-A8))," ")</f>
        <v>315</v>
      </c>
    </row>
    <row r="9" customFormat="false" ht="12.75" hidden="false" customHeight="false" outlineLevel="0" collapsed="false">
      <c r="A9" s="355" t="n">
        <v>45826</v>
      </c>
      <c r="B9" s="334" t="s">
        <v>237</v>
      </c>
      <c r="F9" s="334" t="n">
        <v>2400</v>
      </c>
      <c r="I9" s="339" t="n">
        <f aca="false">IF((F9&lt;&gt;0),IF((D9&gt;0)," ",(I$1-A9))," ")</f>
        <v>312</v>
      </c>
    </row>
    <row r="10" customFormat="false" ht="12.75" hidden="false" customHeight="false" outlineLevel="0" collapsed="false">
      <c r="A10" s="355" t="n">
        <v>45828</v>
      </c>
      <c r="B10" s="334" t="s">
        <v>263</v>
      </c>
      <c r="F10" s="334" t="n">
        <v>1800</v>
      </c>
      <c r="I10" s="339" t="n">
        <f aca="false">IF((F10&lt;&gt;0),IF((D10&gt;0)," ",(I$1-A10))," ")</f>
        <v>310</v>
      </c>
    </row>
    <row r="11" customFormat="false" ht="12.75" hidden="false" customHeight="false" outlineLevel="0" collapsed="false">
      <c r="A11" s="355" t="n">
        <v>45828</v>
      </c>
      <c r="B11" s="334" t="s">
        <v>238</v>
      </c>
      <c r="F11" s="334" t="n">
        <v>2400</v>
      </c>
      <c r="I11" s="339" t="n">
        <f aca="false">IF((F11&lt;&gt;0),IF((D11&gt;0)," ",(I$1-A11))," ")</f>
        <v>310</v>
      </c>
    </row>
    <row r="12" customFormat="false" ht="12.75" hidden="false" customHeight="false" outlineLevel="0" collapsed="false">
      <c r="A12" s="355" t="n">
        <v>45830</v>
      </c>
      <c r="B12" s="334" t="s">
        <v>356</v>
      </c>
      <c r="F12" s="334" t="n">
        <v>1440</v>
      </c>
      <c r="I12" s="339" t="n">
        <f aca="false">IF((F12&lt;&gt;0),IF((D12&gt;0)," ",(I$1-A12))," ")</f>
        <v>308</v>
      </c>
    </row>
    <row r="13" customFormat="false" ht="12.75" hidden="false" customHeight="false" outlineLevel="0" collapsed="false">
      <c r="A13" s="355"/>
      <c r="I13" s="339" t="str">
        <f aca="false">IF((F13&lt;&gt;0),IF((D13&gt;0)," ",(I$1-A13))," ")</f>
        <v> </v>
      </c>
    </row>
    <row r="14" customFormat="false" ht="12.75" hidden="false" customHeight="false" outlineLevel="0" collapsed="false">
      <c r="A14" s="355"/>
      <c r="I14" s="339" t="str">
        <f aca="false">IF((F14&lt;&gt;0),IF((D14&gt;0)," ",(I$1-A14))," ")</f>
        <v> </v>
      </c>
    </row>
    <row r="15" customFormat="false" ht="12.75" hidden="false" customHeight="false" outlineLevel="0" collapsed="false">
      <c r="A15" s="355"/>
      <c r="I15" s="339" t="str">
        <f aca="false">IF((F15&lt;&gt;0),IF((D15&gt;0)," ",(I$1-A15))," ")</f>
        <v> </v>
      </c>
    </row>
    <row r="16" customFormat="false" ht="12.75" hidden="false" customHeight="false" outlineLevel="0" collapsed="false">
      <c r="A16" s="355"/>
      <c r="I16" s="339" t="str">
        <f aca="false">IF((F16&lt;&gt;0),IF((D16&gt;0)," ",(I$1-A16))," ")</f>
        <v> </v>
      </c>
    </row>
    <row r="17" customFormat="false" ht="12.75" hidden="false" customHeight="false" outlineLevel="0" collapsed="false">
      <c r="A17" s="355"/>
      <c r="I17" s="339" t="str">
        <f aca="false">IF((F17&lt;&gt;0),IF((D17&gt;0)," ",(I$1-A17))," ")</f>
        <v> </v>
      </c>
    </row>
    <row r="18" customFormat="false" ht="12.75" hidden="false" customHeight="false" outlineLevel="0" collapsed="false">
      <c r="A18" s="355"/>
      <c r="I18" s="339" t="str">
        <f aca="false">IF((F18&lt;&gt;0),IF((D18&gt;0)," ",(I$1-A18))," ")</f>
        <v> </v>
      </c>
    </row>
    <row r="19" customFormat="false" ht="12.75" hidden="false" customHeight="false" outlineLevel="0" collapsed="false">
      <c r="A19" s="355"/>
      <c r="I19" s="339" t="str">
        <f aca="false">IF((F19&lt;&gt;0),IF((D19&gt;0)," ",(I$1-A19))," ")</f>
        <v> </v>
      </c>
    </row>
    <row r="20" customFormat="false" ht="12.75" hidden="false" customHeight="false" outlineLevel="0" collapsed="false">
      <c r="A20" s="355"/>
      <c r="I20" s="339" t="str">
        <f aca="false">IF((F20&lt;&gt;0),IF((D20&gt;0)," ",(I$1-A20))," ")</f>
        <v> </v>
      </c>
    </row>
    <row r="21" customFormat="false" ht="12.75" hidden="false" customHeight="false" outlineLevel="0" collapsed="false">
      <c r="A21" s="355"/>
      <c r="I21" s="339" t="str">
        <f aca="false">IF((F21&lt;&gt;0),IF((D21&gt;0)," ",(I$1-A21))," ")</f>
        <v> </v>
      </c>
    </row>
    <row r="22" customFormat="false" ht="12.75" hidden="false" customHeight="false" outlineLevel="0" collapsed="false">
      <c r="A22" s="355"/>
      <c r="I22" s="339" t="str">
        <f aca="false">IF((F22&lt;&gt;0),IF((D22&gt;0)," ",(I$1-A22))," ")</f>
        <v> </v>
      </c>
    </row>
    <row r="23" customFormat="false" ht="12.75" hidden="false" customHeight="false" outlineLevel="0" collapsed="false">
      <c r="A23" s="355"/>
      <c r="I23" s="339" t="str">
        <f aca="false">IF((F23&lt;&gt;0),IF((D23&gt;0)," ",(I$1-A23))," ")</f>
        <v> </v>
      </c>
    </row>
    <row r="24" customFormat="false" ht="12.75" hidden="false" customHeight="false" outlineLevel="0" collapsed="false">
      <c r="A24" s="355"/>
      <c r="I24" s="339" t="str">
        <f aca="false">IF((F24&lt;&gt;0),IF((D24&gt;0)," ",(I$1-A24))," ")</f>
        <v> </v>
      </c>
    </row>
    <row r="25" customFormat="false" ht="12.75" hidden="false" customHeight="false" outlineLevel="0" collapsed="false">
      <c r="A25" s="355"/>
      <c r="I25" s="339" t="str">
        <f aca="false">IF((F25&lt;&gt;0),IF((D25&gt;0)," ",(I$1-A25))," ")</f>
        <v> </v>
      </c>
    </row>
    <row r="26" customFormat="false" ht="12.75" hidden="false" customHeight="false" outlineLevel="0" collapsed="false">
      <c r="A26" s="355"/>
      <c r="I26" s="339" t="str">
        <f aca="false">IF((F26&lt;&gt;0),IF((D26&gt;0)," ",(I$1-A26))," ")</f>
        <v> </v>
      </c>
    </row>
    <row r="27" customFormat="false" ht="12.75" hidden="false" customHeight="false" outlineLevel="0" collapsed="false">
      <c r="A27" s="355"/>
      <c r="I27" s="339" t="str">
        <f aca="false">IF((F27&lt;&gt;0),IF((D27&gt;0)," ",(I$1-A27))," ")</f>
        <v> </v>
      </c>
    </row>
    <row r="28" customFormat="false" ht="12.75" hidden="false" customHeight="false" outlineLevel="0" collapsed="false">
      <c r="A28" s="355"/>
      <c r="I28" s="339" t="str">
        <f aca="false">IF((F28&lt;&gt;0),IF((D28&gt;0)," ",(I$1-A28))," ")</f>
        <v> </v>
      </c>
    </row>
    <row r="29" customFormat="false" ht="12.75" hidden="false" customHeight="false" outlineLevel="0" collapsed="false">
      <c r="A29" s="355"/>
      <c r="I29" s="339" t="str">
        <f aca="false">IF((F29&lt;&gt;0),IF((D29&gt;0)," ",(I$1-A29))," ")</f>
        <v> </v>
      </c>
    </row>
    <row r="30" customFormat="false" ht="12.75" hidden="false" customHeight="false" outlineLevel="0" collapsed="false">
      <c r="A30" s="355"/>
      <c r="I30" s="339" t="str">
        <f aca="false">IF((F30&lt;&gt;0),IF((D30&gt;0)," ",(I$1-A30))," ")</f>
        <v> </v>
      </c>
    </row>
    <row r="31" customFormat="false" ht="12.75" hidden="false" customHeight="false" outlineLevel="0" collapsed="false">
      <c r="A31" s="355"/>
      <c r="I31" s="339" t="str">
        <f aca="false">IF((F31&lt;&gt;0),IF((D31&gt;0)," ",(I$1-A31))," ")</f>
        <v> </v>
      </c>
    </row>
    <row r="32" customFormat="false" ht="12.75" hidden="false" customHeight="false" outlineLevel="0" collapsed="false">
      <c r="A32" s="355"/>
      <c r="I32" s="339" t="str">
        <f aca="false">IF((F32&lt;&gt;0),IF((D32&gt;0)," ",(I$1-A32))," ")</f>
        <v> </v>
      </c>
    </row>
    <row r="33" customFormat="false" ht="12.75" hidden="false" customHeight="false" outlineLevel="0" collapsed="false">
      <c r="A33" s="355"/>
      <c r="I33" s="339" t="str">
        <f aca="false">IF((F33&lt;&gt;0),IF((D33&gt;0)," ",(I$1-A33))," ")</f>
        <v> </v>
      </c>
    </row>
    <row r="34" customFormat="false" ht="12.75" hidden="false" customHeight="false" outlineLevel="0" collapsed="false">
      <c r="A34" s="355"/>
      <c r="I34" s="339" t="str">
        <f aca="false">IF((F34&lt;&gt;0),IF((D34&gt;0)," ",(I$1-A34))," ")</f>
        <v> </v>
      </c>
    </row>
    <row r="35" customFormat="false" ht="12.75" hidden="false" customHeight="false" outlineLevel="0" collapsed="false">
      <c r="A35" s="355"/>
      <c r="I35" s="339" t="str">
        <f aca="false">IF((F35&lt;&gt;0),IF((D35&gt;0)," ",(I$1-A35))," ")</f>
        <v> </v>
      </c>
    </row>
    <row r="36" customFormat="false" ht="12.75" hidden="false" customHeight="false" outlineLevel="0" collapsed="false">
      <c r="A36" s="355"/>
      <c r="I36" s="339" t="str">
        <f aca="false">IF((F36&lt;&gt;0),IF((D36&gt;0)," ",(I$1-A36))," ")</f>
        <v> </v>
      </c>
    </row>
    <row r="37" customFormat="false" ht="12.75" hidden="false" customHeight="false" outlineLevel="0" collapsed="false">
      <c r="A37" s="355"/>
      <c r="I37" s="339" t="str">
        <f aca="false">IF((F37&lt;&gt;0),IF((D37&gt;0)," ",(I$1-A37))," ")</f>
        <v> </v>
      </c>
    </row>
    <row r="38" customFormat="false" ht="12.75" hidden="false" customHeight="false" outlineLevel="0" collapsed="false">
      <c r="A38" s="355"/>
      <c r="I38" s="339" t="str">
        <f aca="false">IF((F38&lt;&gt;0),IF((D38&gt;0)," ",(I$1-A38))," ")</f>
        <v> </v>
      </c>
    </row>
    <row r="39" customFormat="false" ht="12.75" hidden="false" customHeight="false" outlineLevel="0" collapsed="false">
      <c r="A39" s="355"/>
      <c r="I39" s="339" t="str">
        <f aca="false">IF((F39&lt;&gt;0),IF((D39&gt;0)," ",(I$1-A39))," ")</f>
        <v> </v>
      </c>
    </row>
    <row r="40" customFormat="false" ht="12.75" hidden="false" customHeight="false" outlineLevel="0" collapsed="false">
      <c r="A40" s="355"/>
      <c r="I40" s="339" t="str">
        <f aca="false">IF((F40&lt;&gt;0),IF((D40&gt;0)," ",(I$1-A40))," ")</f>
        <v> </v>
      </c>
    </row>
    <row r="41" customFormat="false" ht="12.75" hidden="false" customHeight="false" outlineLevel="0" collapsed="false">
      <c r="A41" s="355"/>
      <c r="I41" s="339" t="str">
        <f aca="false">IF((F41&lt;&gt;0),IF((D41&gt;0)," ",(I$1-A41))," ")</f>
        <v> </v>
      </c>
    </row>
    <row r="42" customFormat="false" ht="12.75" hidden="false" customHeight="false" outlineLevel="0" collapsed="false">
      <c r="A42" s="355"/>
      <c r="I42" s="339" t="str">
        <f aca="false">IF((F42&lt;&gt;0),IF((D42&gt;0)," ",(I$1-A42))," ")</f>
        <v> </v>
      </c>
    </row>
    <row r="43" customFormat="false" ht="12.75" hidden="false" customHeight="false" outlineLevel="0" collapsed="false">
      <c r="A43" s="355"/>
      <c r="I43" s="339" t="str">
        <f aca="false">IF((F43&lt;&gt;0),IF((D43&gt;0)," ",(I$1-A43))," ")</f>
        <v> </v>
      </c>
    </row>
    <row r="44" customFormat="false" ht="12.75" hidden="false" customHeight="false" outlineLevel="0" collapsed="false">
      <c r="A44" s="355"/>
      <c r="I44" s="339" t="str">
        <f aca="false">IF((F44&lt;&gt;0),IF((D44&gt;0)," ",(I$1-A44))," ")</f>
        <v> </v>
      </c>
    </row>
    <row r="45" customFormat="false" ht="12.75" hidden="false" customHeight="false" outlineLevel="0" collapsed="false">
      <c r="A45" s="355"/>
      <c r="I45" s="339" t="str">
        <f aca="false">IF((F45&lt;&gt;0),IF((D45&gt;0)," ",(I$1-A45))," ")</f>
        <v> </v>
      </c>
    </row>
    <row r="46" customFormat="false" ht="12.75" hidden="false" customHeight="false" outlineLevel="0" collapsed="false">
      <c r="A46" s="355"/>
      <c r="I46" s="339" t="str">
        <f aca="false">IF((F46&lt;&gt;0),IF((D46&gt;0)," ",(I$1-A46))," ")</f>
        <v> </v>
      </c>
    </row>
    <row r="47" customFormat="false" ht="12.75" hidden="false" customHeight="false" outlineLevel="0" collapsed="false">
      <c r="A47" s="355"/>
      <c r="I47" s="339" t="str">
        <f aca="false">IF((F47&lt;&gt;0),IF((D47&gt;0)," ",(I$1-A47))," ")</f>
        <v> </v>
      </c>
    </row>
    <row r="48" customFormat="false" ht="12.75" hidden="false" customHeight="false" outlineLevel="0" collapsed="false">
      <c r="A48" s="355"/>
      <c r="I48" s="339" t="str">
        <f aca="false">IF((F48&lt;&gt;0),IF((D48&gt;0)," ",(I$1-A48))," ")</f>
        <v> </v>
      </c>
    </row>
    <row r="49" customFormat="false" ht="12.75" hidden="false" customHeight="false" outlineLevel="0" collapsed="false">
      <c r="A49" s="355"/>
      <c r="I49" s="339" t="str">
        <f aca="false">IF((F49&lt;&gt;0),IF((D49&gt;0)," ",(I$1-A49))," ")</f>
        <v> </v>
      </c>
    </row>
    <row r="50" customFormat="false" ht="12.75" hidden="false" customHeight="false" outlineLevel="0" collapsed="false">
      <c r="A50" s="355"/>
      <c r="I50" s="339" t="str">
        <f aca="false">IF((F50&lt;&gt;0),IF((D50&gt;0)," ",(I$1-A50))," ")</f>
        <v> </v>
      </c>
    </row>
    <row r="51" customFormat="false" ht="12.75" hidden="false" customHeight="false" outlineLevel="0" collapsed="false">
      <c r="A51" s="355"/>
      <c r="I51" s="339" t="str">
        <f aca="false">IF((F51&lt;&gt;0),IF((D51&gt;0)," ",(I$1-A51))," ")</f>
        <v> </v>
      </c>
    </row>
    <row r="52" customFormat="false" ht="12.75" hidden="false" customHeight="false" outlineLevel="0" collapsed="false">
      <c r="A52" s="355"/>
      <c r="I52" s="339" t="str">
        <f aca="false">IF((F52&lt;&gt;0),IF((D52&gt;0)," ",(I$1-A52))," ")</f>
        <v> </v>
      </c>
    </row>
    <row r="53" customFormat="false" ht="12.75" hidden="false" customHeight="false" outlineLevel="0" collapsed="false">
      <c r="A53" s="355"/>
      <c r="I53" s="339" t="str">
        <f aca="false">IF((F53&lt;&gt;0),IF((D53&gt;0)," ",(I$1-A53))," ")</f>
        <v> </v>
      </c>
    </row>
    <row r="54" customFormat="false" ht="12.75" hidden="false" customHeight="false" outlineLevel="0" collapsed="false">
      <c r="A54" s="355"/>
      <c r="I54" s="339" t="str">
        <f aca="false">IF((F54&lt;&gt;0),IF((D54&gt;0)," ",(I$1-A54))," ")</f>
        <v> </v>
      </c>
    </row>
    <row r="55" customFormat="false" ht="12.75" hidden="false" customHeight="false" outlineLevel="0" collapsed="false">
      <c r="A55" s="355"/>
      <c r="I55" s="339" t="str">
        <f aca="false">IF((F55&lt;&gt;0),IF((D55&gt;0)," ",(I$1-A55))," ")</f>
        <v> </v>
      </c>
    </row>
    <row r="56" customFormat="false" ht="12.75" hidden="false" customHeight="false" outlineLevel="0" collapsed="false">
      <c r="A56" s="355"/>
      <c r="I56" s="339" t="str">
        <f aca="false">IF((F56&lt;&gt;0),IF((D56&gt;0)," ",(I$1-A56))," ")</f>
        <v> </v>
      </c>
    </row>
    <row r="57" customFormat="false" ht="12.75" hidden="false" customHeight="false" outlineLevel="0" collapsed="false">
      <c r="A57" s="355"/>
      <c r="I57" s="339" t="str">
        <f aca="false">IF((F57&lt;&gt;0),IF((D57&gt;0)," ",(I$1-A57))," ")</f>
        <v> </v>
      </c>
    </row>
    <row r="58" customFormat="false" ht="12.75" hidden="false" customHeight="false" outlineLevel="0" collapsed="false">
      <c r="A58" s="355"/>
      <c r="I58" s="339" t="str">
        <f aca="false">IF((F58&lt;&gt;0),IF((D58&gt;0)," ",(I$1-A58))," ")</f>
        <v> </v>
      </c>
    </row>
    <row r="59" customFormat="false" ht="12.75" hidden="false" customHeight="false" outlineLevel="0" collapsed="false">
      <c r="A59" s="355"/>
      <c r="I59" s="339" t="str">
        <f aca="false">IF((F59&lt;&gt;0),IF((D59&gt;0)," ",(I$1-A59))," ")</f>
        <v> </v>
      </c>
    </row>
    <row r="60" customFormat="false" ht="12.75" hidden="false" customHeight="false" outlineLevel="0" collapsed="false">
      <c r="A60" s="355"/>
      <c r="I60" s="339" t="str">
        <f aca="false">IF((F60&lt;&gt;0),IF((D60&gt;0)," ",(I$1-A60))," ")</f>
        <v> </v>
      </c>
    </row>
    <row r="61" customFormat="false" ht="12.75" hidden="false" customHeight="false" outlineLevel="0" collapsed="false">
      <c r="A61" s="355"/>
      <c r="I61" s="339" t="str">
        <f aca="false">IF((F61&lt;&gt;0),IF((D61&gt;0)," ",(I$1-A61))," ")</f>
        <v> </v>
      </c>
    </row>
    <row r="62" customFormat="false" ht="12.75" hidden="false" customHeight="false" outlineLevel="0" collapsed="false">
      <c r="A62" s="355"/>
      <c r="I62" s="339" t="str">
        <f aca="false">IF((F62&lt;&gt;0),IF((D62&gt;0)," ",(I$1-A62))," ")</f>
        <v> </v>
      </c>
    </row>
    <row r="63" customFormat="false" ht="12.75" hidden="false" customHeight="false" outlineLevel="0" collapsed="false">
      <c r="A63" s="355"/>
      <c r="I63" s="339" t="str">
        <f aca="false">IF((F63&lt;&gt;0),IF((D63&gt;0)," ",(I$1-A63))," ")</f>
        <v> </v>
      </c>
    </row>
    <row r="64" customFormat="false" ht="12.75" hidden="false" customHeight="false" outlineLevel="0" collapsed="false">
      <c r="A64" s="355"/>
      <c r="I64" s="339" t="str">
        <f aca="false">IF((F64&lt;&gt;0),IF((D64&gt;0)," ",(I$1-A64))," ")</f>
        <v> </v>
      </c>
    </row>
    <row r="65" customFormat="false" ht="12.75" hidden="false" customHeight="false" outlineLevel="0" collapsed="false">
      <c r="A65" s="355"/>
      <c r="I65" s="339" t="str">
        <f aca="false">IF((F65&lt;&gt;0),IF((D65&gt;0)," ",(I$1-A65))," ")</f>
        <v> </v>
      </c>
    </row>
    <row r="66" customFormat="false" ht="12.75" hidden="false" customHeight="false" outlineLevel="0" collapsed="false">
      <c r="A66" s="355"/>
      <c r="I66" s="339" t="str">
        <f aca="false">IF((F66&lt;&gt;0),IF((D66&gt;0)," ",(I$1-A66))," ")</f>
        <v> </v>
      </c>
    </row>
    <row r="67" customFormat="false" ht="12.75" hidden="false" customHeight="false" outlineLevel="0" collapsed="false">
      <c r="A67" s="355"/>
      <c r="I67" s="339" t="str">
        <f aca="false">IF((F67&lt;&gt;0),IF((D67&gt;0)," ",(I$1-A67))," ")</f>
        <v> </v>
      </c>
    </row>
    <row r="68" customFormat="false" ht="12.75" hidden="false" customHeight="false" outlineLevel="0" collapsed="false">
      <c r="A68" s="355"/>
      <c r="H68" s="338" t="str">
        <f aca="false">IF((F68&lt;&gt;0),IF((D68&gt;0)," ",F68)," ")</f>
        <v> </v>
      </c>
      <c r="I68" s="339" t="str">
        <f aca="false">IF((F68&lt;&gt;0),IF((D68&gt;0)," ",(I$1-A68))," ")</f>
        <v> </v>
      </c>
    </row>
    <row r="69" customFormat="false" ht="12.75" hidden="false" customHeight="false" outlineLevel="0" collapsed="false">
      <c r="A69" s="355"/>
      <c r="H69" s="338" t="str">
        <f aca="false">IF((F69&lt;&gt;0),IF((D69&gt;0)," ",F69)," ")</f>
        <v> </v>
      </c>
      <c r="I69" s="339" t="str">
        <f aca="false">IF((F69&lt;&gt;0),IF((D69&gt;0)," ",(I$1-A69))," ")</f>
        <v> </v>
      </c>
    </row>
    <row r="70" customFormat="false" ht="12.75" hidden="false" customHeight="false" outlineLevel="0" collapsed="false">
      <c r="A70" s="355"/>
      <c r="H70" s="338" t="str">
        <f aca="false">IF((F70&lt;&gt;0),IF((D70&gt;0)," ",F70)," ")</f>
        <v> </v>
      </c>
      <c r="I70" s="339" t="str">
        <f aca="false">IF((F70&lt;&gt;0),IF((D70&gt;0)," ",(I$1-A70))," ")</f>
        <v> </v>
      </c>
    </row>
    <row r="71" customFormat="false" ht="12.75" hidden="false" customHeight="false" outlineLevel="0" collapsed="false">
      <c r="A71" s="355"/>
      <c r="H71" s="338" t="str">
        <f aca="false">IF((F71&lt;&gt;0),IF((D71&gt;0)," ",F71)," ")</f>
        <v> </v>
      </c>
      <c r="I71" s="339" t="str">
        <f aca="false">IF((F71&lt;&gt;0),IF((D71&gt;0)," ",(I$1-A71))," ")</f>
        <v> </v>
      </c>
    </row>
    <row r="72" customFormat="false" ht="12.75" hidden="false" customHeight="false" outlineLevel="0" collapsed="false">
      <c r="A72" s="355"/>
      <c r="H72" s="338" t="str">
        <f aca="false">IF((F72&lt;&gt;0),IF((D72&gt;0)," ",F72)," ")</f>
        <v> </v>
      </c>
      <c r="I72" s="339" t="str">
        <f aca="false">IF((F72&lt;&gt;0),IF((D72&gt;0)," ",(I$1-A72))," ")</f>
        <v> </v>
      </c>
    </row>
    <row r="73" customFormat="false" ht="12.75" hidden="false" customHeight="false" outlineLevel="0" collapsed="false">
      <c r="A73" s="355"/>
      <c r="H73" s="338" t="str">
        <f aca="false">IF((F73&lt;&gt;0),IF((D73&gt;0)," ",F73)," ")</f>
        <v> </v>
      </c>
      <c r="I73" s="339" t="str">
        <f aca="false">IF((F73&lt;&gt;0),IF((D73&gt;0)," ",(I$1-A73))," ")</f>
        <v> </v>
      </c>
    </row>
    <row r="74" customFormat="false" ht="12.75" hidden="false" customHeight="false" outlineLevel="0" collapsed="false">
      <c r="A74" s="355"/>
      <c r="H74" s="338" t="str">
        <f aca="false">IF((F74&lt;&gt;0),IF((D74&gt;0)," ",F74)," ")</f>
        <v> </v>
      </c>
      <c r="I74" s="339" t="str">
        <f aca="false">IF((F74&lt;&gt;0),IF((D74&gt;0)," ",(I$1-A74))," ")</f>
        <v> </v>
      </c>
    </row>
    <row r="75" customFormat="false" ht="12.75" hidden="false" customHeight="false" outlineLevel="0" collapsed="false">
      <c r="A75" s="355"/>
      <c r="H75" s="338" t="str">
        <f aca="false">IF((F75&lt;&gt;0),IF((D75&gt;0)," ",F75)," ")</f>
        <v> </v>
      </c>
      <c r="I75" s="339" t="str">
        <f aca="false">IF((F75&lt;&gt;0),IF((D75&gt;0)," ",(I$1-A75))," ")</f>
        <v> </v>
      </c>
    </row>
    <row r="76" customFormat="false" ht="12.75" hidden="false" customHeight="false" outlineLevel="0" collapsed="false">
      <c r="A76" s="355"/>
      <c r="H76" s="338" t="str">
        <f aca="false">IF((F76&lt;&gt;0),IF((D76&gt;0)," ",F76)," ")</f>
        <v> </v>
      </c>
      <c r="I76" s="339" t="str">
        <f aca="false">IF((F76&lt;&gt;0),IF((D76&gt;0)," ",(I$1-A76))," ")</f>
        <v> </v>
      </c>
    </row>
    <row r="77" customFormat="false" ht="12.75" hidden="false" customHeight="false" outlineLevel="0" collapsed="false">
      <c r="A77" s="355"/>
      <c r="H77" s="338" t="str">
        <f aca="false">IF((F77&lt;&gt;0),IF((D77&gt;0)," ",F77)," ")</f>
        <v> </v>
      </c>
      <c r="I77" s="339" t="str">
        <f aca="false">IF((F77&lt;&gt;0),IF((D77&gt;0)," ",(I$1-A77))," ")</f>
        <v> </v>
      </c>
    </row>
    <row r="78" customFormat="false" ht="12.75" hidden="false" customHeight="false" outlineLevel="0" collapsed="false">
      <c r="A78" s="355"/>
      <c r="H78" s="338" t="str">
        <f aca="false">IF((F78&lt;&gt;0),IF((D78&gt;0)," ",F78)," ")</f>
        <v> </v>
      </c>
      <c r="I78" s="339" t="str">
        <f aca="false">IF((F78&lt;&gt;0),IF((D78&gt;0)," ",(I$1-A78))," ")</f>
        <v> </v>
      </c>
    </row>
    <row r="79" customFormat="false" ht="12.75" hidden="false" customHeight="false" outlineLevel="0" collapsed="false">
      <c r="A79" s="355"/>
      <c r="H79" s="338" t="str">
        <f aca="false">IF((F79&lt;&gt;0),IF((D79&gt;0)," ",F79)," ")</f>
        <v> </v>
      </c>
      <c r="I79" s="339" t="str">
        <f aca="false">IF((F79&lt;&gt;0),IF((D79&gt;0)," ",(I$1-A79))," ")</f>
        <v> </v>
      </c>
    </row>
    <row r="80" customFormat="false" ht="12.75" hidden="false" customHeight="false" outlineLevel="0" collapsed="false">
      <c r="A80" s="355"/>
      <c r="H80" s="338" t="str">
        <f aca="false">IF((F80&lt;&gt;0),IF((D80&gt;0)," ",F80)," ")</f>
        <v> </v>
      </c>
      <c r="I80" s="339" t="str">
        <f aca="false">IF((F80&lt;&gt;0),IF((D80&gt;0)," ",(I$1-A80))," ")</f>
        <v> </v>
      </c>
    </row>
    <row r="81" customFormat="false" ht="12.75" hidden="false" customHeight="false" outlineLevel="0" collapsed="false">
      <c r="A81" s="355"/>
      <c r="H81" s="338" t="str">
        <f aca="false">IF((F81&lt;&gt;0),IF((D81&gt;0)," ",F81)," ")</f>
        <v> </v>
      </c>
      <c r="I81" s="339" t="str">
        <f aca="false">IF((F81&lt;&gt;0),IF((D81&gt;0)," ",(I$1-A81))," ")</f>
        <v> </v>
      </c>
    </row>
    <row r="82" customFormat="false" ht="12.75" hidden="false" customHeight="false" outlineLevel="0" collapsed="false">
      <c r="A82" s="355"/>
      <c r="H82" s="338" t="str">
        <f aca="false">IF((F82&lt;&gt;0),IF((D82&gt;0)," ",F82)," ")</f>
        <v> </v>
      </c>
      <c r="I82" s="339" t="str">
        <f aca="false">IF((F82&lt;&gt;0),IF((D82&gt;0)," ",(I$1-A82))," ")</f>
        <v> </v>
      </c>
    </row>
    <row r="83" customFormat="false" ht="12.75" hidden="false" customHeight="false" outlineLevel="0" collapsed="false">
      <c r="A83" s="355"/>
      <c r="H83" s="338" t="str">
        <f aca="false">IF((F83&lt;&gt;0),IF((D83&gt;0)," ",F83)," ")</f>
        <v> </v>
      </c>
      <c r="I83" s="339" t="str">
        <f aca="false">IF((F83&lt;&gt;0),IF((D83&gt;0)," ",(I$1-A83))," ")</f>
        <v> </v>
      </c>
    </row>
    <row r="84" customFormat="false" ht="12.75" hidden="false" customHeight="false" outlineLevel="0" collapsed="false">
      <c r="A84" s="355"/>
      <c r="H84" s="338" t="str">
        <f aca="false">IF((F84&lt;&gt;0),IF((D84&gt;0)," ",F84)," ")</f>
        <v> </v>
      </c>
      <c r="I84" s="339" t="str">
        <f aca="false">IF((F84&lt;&gt;0),IF((D84&gt;0)," ",(I$1-A84))," ")</f>
        <v> </v>
      </c>
    </row>
    <row r="85" customFormat="false" ht="12.75" hidden="false" customHeight="false" outlineLevel="0" collapsed="false">
      <c r="A85" s="355"/>
      <c r="H85" s="338" t="str">
        <f aca="false">IF((F85&lt;&gt;0),IF((D85&gt;0)," ",F85)," ")</f>
        <v> </v>
      </c>
      <c r="I85" s="339" t="str">
        <f aca="false">IF((F85&lt;&gt;0),IF((D85&gt;0)," ",(I$1-A85))," ")</f>
        <v> </v>
      </c>
    </row>
    <row r="86" customFormat="false" ht="12.75" hidden="false" customHeight="false" outlineLevel="0" collapsed="false">
      <c r="A86" s="355"/>
      <c r="H86" s="338" t="str">
        <f aca="false">IF((F86&lt;&gt;0),IF((D86&gt;0)," ",F86)," ")</f>
        <v> </v>
      </c>
      <c r="I86" s="339" t="str">
        <f aca="false">IF((F86&lt;&gt;0),IF((D86&gt;0)," ",(I$1-A86))," ")</f>
        <v> </v>
      </c>
    </row>
    <row r="87" customFormat="false" ht="12.75" hidden="false" customHeight="false" outlineLevel="0" collapsed="false">
      <c r="A87" s="355"/>
      <c r="H87" s="338" t="str">
        <f aca="false">IF((F87&lt;&gt;0),IF((D87&gt;0)," ",F87)," ")</f>
        <v> </v>
      </c>
      <c r="I87" s="339" t="str">
        <f aca="false">IF((F87&lt;&gt;0),IF((D87&gt;0)," ",(I$1-A87))," ")</f>
        <v> </v>
      </c>
    </row>
    <row r="88" customFormat="false" ht="12.75" hidden="false" customHeight="false" outlineLevel="0" collapsed="false">
      <c r="A88" s="355"/>
      <c r="H88" s="338" t="str">
        <f aca="false">IF((F88&lt;&gt;0),IF((D88&gt;0)," ",F88)," ")</f>
        <v> </v>
      </c>
      <c r="I88" s="339" t="str">
        <f aca="false">IF((F88&lt;&gt;0),IF((D88&gt;0)," ",(I$1-A88))," ")</f>
        <v> </v>
      </c>
    </row>
    <row r="89" customFormat="false" ht="12.75" hidden="false" customHeight="false" outlineLevel="0" collapsed="false">
      <c r="A89" s="355"/>
      <c r="H89" s="338" t="str">
        <f aca="false">IF((F89&lt;&gt;0),IF((D89&gt;0)," ",F89)," ")</f>
        <v> </v>
      </c>
      <c r="I89" s="339" t="str">
        <f aca="false">IF((F89&lt;&gt;0),IF((D89&gt;0)," ",(I$1-A89))," ")</f>
        <v> </v>
      </c>
    </row>
    <row r="90" customFormat="false" ht="12.75" hidden="false" customHeight="false" outlineLevel="0" collapsed="false">
      <c r="A90" s="355"/>
      <c r="H90" s="338" t="str">
        <f aca="false">IF((F90&lt;&gt;0),IF((D90&gt;0)," ",F90)," ")</f>
        <v> </v>
      </c>
      <c r="I90" s="339" t="str">
        <f aca="false">IF((F90&lt;&gt;0),IF((D90&gt;0)," ",(I$1-A90))," ")</f>
        <v> </v>
      </c>
    </row>
    <row r="91" customFormat="false" ht="12.75" hidden="false" customHeight="false" outlineLevel="0" collapsed="false">
      <c r="A91" s="355"/>
      <c r="H91" s="338" t="str">
        <f aca="false">IF((F91&lt;&gt;0),IF((D91&gt;0)," ",F91)," ")</f>
        <v> </v>
      </c>
      <c r="I91" s="339" t="str">
        <f aca="false">IF((F91&lt;&gt;0),IF((D91&gt;0)," ",(I$1-A91))," ")</f>
        <v> </v>
      </c>
    </row>
    <row r="92" customFormat="false" ht="12.75" hidden="false" customHeight="false" outlineLevel="0" collapsed="false">
      <c r="A92" s="355"/>
      <c r="H92" s="338" t="str">
        <f aca="false">IF((F92&lt;&gt;0),IF((D92&gt;0)," ",F92)," ")</f>
        <v> </v>
      </c>
      <c r="I92" s="339" t="str">
        <f aca="false">IF((F92&lt;&gt;0),IF((D92&gt;0)," ",(I$1-A92))," ")</f>
        <v> </v>
      </c>
    </row>
    <row r="93" customFormat="false" ht="12.75" hidden="false" customHeight="false" outlineLevel="0" collapsed="false">
      <c r="A93" s="355"/>
      <c r="H93" s="338" t="str">
        <f aca="false">IF((F93&lt;&gt;0),IF((D93&gt;0)," ",F93)," ")</f>
        <v> </v>
      </c>
      <c r="I93" s="339" t="str">
        <f aca="false">IF((F93&lt;&gt;0),IF((D93&gt;0)," ",(I$1-A93))," ")</f>
        <v> </v>
      </c>
    </row>
    <row r="94" customFormat="false" ht="12.75" hidden="false" customHeight="false" outlineLevel="0" collapsed="false">
      <c r="A94" s="355"/>
      <c r="H94" s="338" t="str">
        <f aca="false">IF((F94&lt;&gt;0),IF((D94&gt;0)," ",F94)," ")</f>
        <v> </v>
      </c>
      <c r="I94" s="339" t="str">
        <f aca="false">IF((F94&lt;&gt;0),IF((D94&gt;0)," ",(I$1-A94))," ")</f>
        <v> </v>
      </c>
    </row>
    <row r="95" customFormat="false" ht="12.75" hidden="false" customHeight="false" outlineLevel="0" collapsed="false">
      <c r="A95" s="355"/>
      <c r="H95" s="338" t="str">
        <f aca="false">IF((F95&lt;&gt;0),IF((D95&gt;0)," ",F95)," ")</f>
        <v> </v>
      </c>
      <c r="I95" s="339" t="str">
        <f aca="false">IF((F95&lt;&gt;0),IF((D95&gt;0)," ",(I$1-A95))," ")</f>
        <v> </v>
      </c>
    </row>
    <row r="96" customFormat="false" ht="12.75" hidden="false" customHeight="false" outlineLevel="0" collapsed="false">
      <c r="A96" s="355"/>
      <c r="H96" s="338" t="str">
        <f aca="false">IF((F96&lt;&gt;0),IF((D96&gt;0)," ",F96)," ")</f>
        <v> </v>
      </c>
      <c r="I96" s="339" t="str">
        <f aca="false">IF((F96&lt;&gt;0),IF((D96&gt;0)," ",(I$1-A96))," ")</f>
        <v> </v>
      </c>
    </row>
    <row r="97" customFormat="false" ht="12.75" hidden="false" customHeight="false" outlineLevel="0" collapsed="false">
      <c r="A97" s="355"/>
      <c r="H97" s="338" t="str">
        <f aca="false">IF((F97&lt;&gt;0),IF((D97&gt;0)," ",F97)," ")</f>
        <v> </v>
      </c>
      <c r="I97" s="339" t="str">
        <f aca="false">IF((F97&lt;&gt;0),IF((D97&gt;0)," ",(I$1-A97))," ")</f>
        <v> </v>
      </c>
    </row>
    <row r="98" customFormat="false" ht="12.75" hidden="false" customHeight="false" outlineLevel="0" collapsed="false">
      <c r="A98" s="355"/>
      <c r="H98" s="338" t="str">
        <f aca="false">IF((F98&lt;&gt;0),IF((D98&gt;0)," ",F98)," ")</f>
        <v> </v>
      </c>
      <c r="I98" s="339" t="str">
        <f aca="false">IF((F98&lt;&gt;0),IF((D98&gt;0)," ",(I$1-A98))," ")</f>
        <v> </v>
      </c>
    </row>
    <row r="99" customFormat="false" ht="12.75" hidden="false" customHeight="false" outlineLevel="0" collapsed="false">
      <c r="A99" s="355"/>
      <c r="H99" s="338" t="str">
        <f aca="false">IF((F99&lt;&gt;0),IF((D99&gt;0)," ",F99)," ")</f>
        <v> </v>
      </c>
      <c r="I99" s="339" t="str">
        <f aca="false">IF((F99&lt;&gt;0),IF((D99&gt;0)," ",(I$1-A99))," ")</f>
        <v> </v>
      </c>
    </row>
    <row r="100" customFormat="false" ht="12.75" hidden="false" customHeight="false" outlineLevel="0" collapsed="false">
      <c r="A100" s="355"/>
      <c r="H100" s="338" t="str">
        <f aca="false">IF((F100&lt;&gt;0),IF((D100&gt;0)," ",F100)," ")</f>
        <v> </v>
      </c>
      <c r="I100" s="339" t="str">
        <f aca="false">IF((F100&lt;&gt;0),IF((D100&gt;0)," ",(I$1-A100))," ")</f>
        <v> </v>
      </c>
    </row>
    <row r="101" customFormat="false" ht="12.75" hidden="false" customHeight="false" outlineLevel="0" collapsed="false">
      <c r="A101" s="355"/>
      <c r="H101" s="338" t="str">
        <f aca="false">IF((F101&lt;&gt;0),IF((D101&gt;0)," ",F101)," ")</f>
        <v> </v>
      </c>
      <c r="I101" s="339" t="str">
        <f aca="false">IF((F101&lt;&gt;0),IF((D101&gt;0)," ",(I$1-A101))," ")</f>
        <v> </v>
      </c>
    </row>
    <row r="102" customFormat="false" ht="12.75" hidden="false" customHeight="false" outlineLevel="0" collapsed="false">
      <c r="A102" s="355"/>
      <c r="H102" s="338" t="str">
        <f aca="false">IF((F102&lt;&gt;0),IF((D102&gt;0)," ",F102)," ")</f>
        <v> </v>
      </c>
      <c r="I102" s="339" t="str">
        <f aca="false">IF((F102&lt;&gt;0),IF((D102&gt;0)," ",(I$1-A102))," ")</f>
        <v> </v>
      </c>
    </row>
    <row r="103" customFormat="false" ht="12.75" hidden="false" customHeight="false" outlineLevel="0" collapsed="false">
      <c r="A103" s="355"/>
      <c r="H103" s="338" t="str">
        <f aca="false">IF((F103&lt;&gt;0),IF((D103&gt;0)," ",F103)," ")</f>
        <v> </v>
      </c>
      <c r="I103" s="339" t="str">
        <f aca="false">IF((F103&lt;&gt;0),IF((D103&gt;0)," ",(I$1-A103))," ")</f>
        <v> </v>
      </c>
    </row>
    <row r="104" customFormat="false" ht="12.75" hidden="false" customHeight="false" outlineLevel="0" collapsed="false">
      <c r="A104" s="355"/>
      <c r="H104" s="338" t="str">
        <f aca="false">IF((F104&lt;&gt;0),IF((D104&gt;0)," ",F104)," ")</f>
        <v> </v>
      </c>
      <c r="I104" s="339" t="str">
        <f aca="false">IF((F104&lt;&gt;0),IF((D104&gt;0)," ",(I$1-A104))," ")</f>
        <v> </v>
      </c>
    </row>
    <row r="105" customFormat="false" ht="12.75" hidden="false" customHeight="false" outlineLevel="0" collapsed="false">
      <c r="A105" s="355"/>
      <c r="H105" s="338" t="str">
        <f aca="false">IF((F105&lt;&gt;0),IF((D105&gt;0)," ",F105)," ")</f>
        <v> </v>
      </c>
      <c r="I105" s="339" t="str">
        <f aca="false">IF((F105&lt;&gt;0),IF((D105&gt;0)," ",(I$1-A105))," ")</f>
        <v> </v>
      </c>
    </row>
    <row r="106" customFormat="false" ht="12.75" hidden="false" customHeight="false" outlineLevel="0" collapsed="false">
      <c r="A106" s="355"/>
      <c r="H106" s="338" t="str">
        <f aca="false">IF((F106&lt;&gt;0),IF((D106&gt;0)," ",F106)," ")</f>
        <v> </v>
      </c>
      <c r="I106" s="339" t="str">
        <f aca="false">IF((F106&lt;&gt;0),IF((D106&gt;0)," ",(I$1-A106))," ")</f>
        <v> </v>
      </c>
    </row>
    <row r="107" customFormat="false" ht="12.75" hidden="false" customHeight="false" outlineLevel="0" collapsed="false">
      <c r="A107" s="355"/>
      <c r="H107" s="338" t="str">
        <f aca="false">IF((F107&lt;&gt;0),IF((D107&gt;0)," ",F107)," ")</f>
        <v> </v>
      </c>
      <c r="I107" s="339" t="str">
        <f aca="false">IF((F107&lt;&gt;0),IF((D107&gt;0)," ",(I$1-A107))," ")</f>
        <v> </v>
      </c>
    </row>
    <row r="108" customFormat="false" ht="12.75" hidden="false" customHeight="false" outlineLevel="0" collapsed="false">
      <c r="A108" s="355"/>
      <c r="H108" s="338" t="str">
        <f aca="false">IF((F108&lt;&gt;0),IF((D108&gt;0)," ",F108)," ")</f>
        <v> </v>
      </c>
      <c r="I108" s="339" t="str">
        <f aca="false">IF((F108&lt;&gt;0),IF((D108&gt;0)," ",(I$1-A108))," ")</f>
        <v> </v>
      </c>
    </row>
    <row r="109" customFormat="false" ht="12.75" hidden="false" customHeight="false" outlineLevel="0" collapsed="false">
      <c r="A109" s="355"/>
      <c r="H109" s="338" t="str">
        <f aca="false">IF((F109&lt;&gt;0),IF((D109&gt;0)," ",F109)," ")</f>
        <v> </v>
      </c>
      <c r="I109" s="339" t="str">
        <f aca="false">IF((F109&lt;&gt;0),IF((D109&gt;0)," ",(I$1-A109))," ")</f>
        <v> </v>
      </c>
    </row>
    <row r="110" customFormat="false" ht="12.75" hidden="false" customHeight="false" outlineLevel="0" collapsed="false">
      <c r="A110" s="355"/>
      <c r="H110" s="338" t="str">
        <f aca="false">IF((F110&lt;&gt;0),IF((D110&gt;0)," ",F110)," ")</f>
        <v> </v>
      </c>
      <c r="I110" s="339" t="str">
        <f aca="false">IF((F110&lt;&gt;0),IF((D110&gt;0)," ",(I$1-A110))," ")</f>
        <v> </v>
      </c>
    </row>
    <row r="111" customFormat="false" ht="12.75" hidden="false" customHeight="false" outlineLevel="0" collapsed="false">
      <c r="A111" s="355"/>
      <c r="H111" s="338" t="str">
        <f aca="false">IF((F111&lt;&gt;0),IF((D111&gt;0)," ",F111)," ")</f>
        <v> </v>
      </c>
      <c r="I111" s="339" t="str">
        <f aca="false">IF((F111&lt;&gt;0),IF((D111&gt;0)," ",(I$1-A111))," ")</f>
        <v> </v>
      </c>
    </row>
    <row r="112" customFormat="false" ht="12.75" hidden="false" customHeight="false" outlineLevel="0" collapsed="false">
      <c r="A112" s="355"/>
      <c r="H112" s="338" t="str">
        <f aca="false">IF((F112&lt;&gt;0),IF((D112&gt;0)," ",F112)," ")</f>
        <v> </v>
      </c>
      <c r="I112" s="339" t="str">
        <f aca="false">IF((F112&lt;&gt;0),IF((D112&gt;0)," ",(I$1-A112))," ")</f>
        <v> </v>
      </c>
    </row>
    <row r="113" customFormat="false" ht="12.75" hidden="false" customHeight="false" outlineLevel="0" collapsed="false">
      <c r="A113" s="355"/>
      <c r="H113" s="338" t="str">
        <f aca="false">IF((F113&lt;&gt;0),IF((D113&gt;0)," ",F113)," ")</f>
        <v> </v>
      </c>
      <c r="I113" s="339" t="str">
        <f aca="false">IF((F113&lt;&gt;0),IF((D113&gt;0)," ",(I$1-A113))," ")</f>
        <v> </v>
      </c>
    </row>
    <row r="114" customFormat="false" ht="12.75" hidden="false" customHeight="false" outlineLevel="0" collapsed="false">
      <c r="A114" s="355"/>
      <c r="H114" s="338" t="str">
        <f aca="false">IF((F114&lt;&gt;0),IF((D114&gt;0)," ",F114)," ")</f>
        <v> </v>
      </c>
      <c r="I114" s="339" t="str">
        <f aca="false">IF((F114&lt;&gt;0),IF((D114&gt;0)," ",(I$1-A114))," ")</f>
        <v> </v>
      </c>
    </row>
    <row r="115" customFormat="false" ht="12.75" hidden="false" customHeight="false" outlineLevel="0" collapsed="false">
      <c r="A115" s="355"/>
      <c r="H115" s="338" t="str">
        <f aca="false">IF((F115&lt;&gt;0),IF((D115&gt;0)," ",F115)," ")</f>
        <v> </v>
      </c>
      <c r="I115" s="339" t="str">
        <f aca="false">IF((F115&lt;&gt;0),IF((D115&gt;0)," ",(I$1-A115))," ")</f>
        <v> </v>
      </c>
    </row>
    <row r="116" customFormat="false" ht="12.75" hidden="false" customHeight="false" outlineLevel="0" collapsed="false">
      <c r="A116" s="355"/>
      <c r="H116" s="338" t="str">
        <f aca="false">IF((F116&lt;&gt;0),IF((D116&gt;0)," ",F116)," ")</f>
        <v> </v>
      </c>
      <c r="I116" s="339" t="str">
        <f aca="false">IF((F116&lt;&gt;0),IF((D116&gt;0)," ",(I$1-A116))," ")</f>
        <v> </v>
      </c>
    </row>
    <row r="117" customFormat="false" ht="12.75" hidden="false" customHeight="false" outlineLevel="0" collapsed="false">
      <c r="A117" s="355"/>
      <c r="H117" s="338" t="str">
        <f aca="false">IF((F117&lt;&gt;0),IF((D117&gt;0)," ",F117)," ")</f>
        <v> </v>
      </c>
      <c r="I117" s="339" t="str">
        <f aca="false">IF((F117&lt;&gt;0),IF((D117&gt;0)," ",(I$1-A117))," ")</f>
        <v> </v>
      </c>
    </row>
    <row r="118" customFormat="false" ht="12.75" hidden="false" customHeight="false" outlineLevel="0" collapsed="false">
      <c r="A118" s="355"/>
      <c r="H118" s="338" t="str">
        <f aca="false">IF((F118&lt;&gt;0),IF((D118&gt;0)," ",F118)," ")</f>
        <v> </v>
      </c>
      <c r="I118" s="339" t="str">
        <f aca="false">IF((F118&lt;&gt;0),IF((D118&gt;0)," ",(I$1-A118))," ")</f>
        <v> </v>
      </c>
    </row>
    <row r="119" customFormat="false" ht="12.75" hidden="false" customHeight="false" outlineLevel="0" collapsed="false">
      <c r="A119" s="355"/>
      <c r="H119" s="338" t="str">
        <f aca="false">IF((F119&lt;&gt;0),IF((D119&gt;0)," ",F119)," ")</f>
        <v> </v>
      </c>
      <c r="I119" s="339" t="str">
        <f aca="false">IF((F119&lt;&gt;0),IF((D119&gt;0)," ",(I$1-A119))," ")</f>
        <v> </v>
      </c>
    </row>
    <row r="120" customFormat="false" ht="12.75" hidden="false" customHeight="false" outlineLevel="0" collapsed="false">
      <c r="A120" s="355"/>
      <c r="H120" s="338" t="str">
        <f aca="false">IF((F120&lt;&gt;0),IF((D120&gt;0)," ",F120)," ")</f>
        <v> </v>
      </c>
      <c r="I120" s="339" t="str">
        <f aca="false">IF((F120&lt;&gt;0),IF((D120&gt;0)," ",(I$1-A120))," ")</f>
        <v> </v>
      </c>
    </row>
    <row r="121" customFormat="false" ht="12.75" hidden="false" customHeight="false" outlineLevel="0" collapsed="false">
      <c r="A121" s="355"/>
      <c r="H121" s="338" t="str">
        <f aca="false">IF((F121&lt;&gt;0),IF((D121&gt;0)," ",F121)," ")</f>
        <v> </v>
      </c>
      <c r="I121" s="339" t="str">
        <f aca="false">IF((F121&lt;&gt;0),IF((D121&gt;0)," ",(I$1-A121))," ")</f>
        <v> </v>
      </c>
    </row>
    <row r="122" customFormat="false" ht="12.75" hidden="false" customHeight="false" outlineLevel="0" collapsed="false">
      <c r="A122" s="355"/>
      <c r="H122" s="338" t="str">
        <f aca="false">IF((F122&lt;&gt;0),IF((D122&gt;0)," ",F122)," ")</f>
        <v> </v>
      </c>
      <c r="I122" s="339" t="str">
        <f aca="false">IF((F122&lt;&gt;0),IF((D122&gt;0)," ",(I$1-A122))," ")</f>
        <v> </v>
      </c>
    </row>
    <row r="123" customFormat="false" ht="12.75" hidden="false" customHeight="false" outlineLevel="0" collapsed="false">
      <c r="A123" s="355"/>
      <c r="H123" s="338" t="str">
        <f aca="false">IF((F123&lt;&gt;0),IF((D123&gt;0)," ",F123)," ")</f>
        <v> </v>
      </c>
      <c r="I123" s="339" t="str">
        <f aca="false">IF((F123&lt;&gt;0),IF((D123&gt;0)," ",(I$1-A123))," ")</f>
        <v> </v>
      </c>
    </row>
    <row r="124" customFormat="false" ht="12.75" hidden="false" customHeight="false" outlineLevel="0" collapsed="false">
      <c r="A124" s="355"/>
      <c r="H124" s="338" t="str">
        <f aca="false">IF((F124&lt;&gt;0),IF((D124&gt;0)," ",F124)," ")</f>
        <v> </v>
      </c>
      <c r="I124" s="339" t="str">
        <f aca="false">IF((F124&lt;&gt;0),IF((D124&gt;0)," ",(I$1-A124))," ")</f>
        <v> </v>
      </c>
    </row>
    <row r="125" customFormat="false" ht="12.75" hidden="false" customHeight="false" outlineLevel="0" collapsed="false">
      <c r="A125" s="355"/>
      <c r="H125" s="338" t="str">
        <f aca="false">IF((F125&lt;&gt;0),IF((D125&gt;0)," ",F125)," ")</f>
        <v> </v>
      </c>
      <c r="I125" s="339" t="str">
        <f aca="false">IF((F125&lt;&gt;0),IF((D125&gt;0)," ",(I$1-A125))," ")</f>
        <v> </v>
      </c>
    </row>
    <row r="126" customFormat="false" ht="12.75" hidden="false" customHeight="false" outlineLevel="0" collapsed="false">
      <c r="A126" s="355"/>
      <c r="H126" s="338" t="str">
        <f aca="false">IF((F126&lt;&gt;0),IF((D126&gt;0)," ",F126)," ")</f>
        <v> </v>
      </c>
      <c r="I126" s="339" t="str">
        <f aca="false">IF((F126&lt;&gt;0),IF((D126&gt;0)," ",(I$1-A126))," ")</f>
        <v> </v>
      </c>
    </row>
    <row r="127" customFormat="false" ht="12.75" hidden="false" customHeight="false" outlineLevel="0" collapsed="false">
      <c r="A127" s="355"/>
      <c r="H127" s="338" t="str">
        <f aca="false">IF((F127&lt;&gt;0),IF((D127&gt;0)," ",F127)," ")</f>
        <v> </v>
      </c>
      <c r="I127" s="339" t="str">
        <f aca="false">IF((F127&lt;&gt;0),IF((D127&gt;0)," ",(I$1-A127))," ")</f>
        <v> </v>
      </c>
    </row>
    <row r="128" customFormat="false" ht="12.75" hidden="false" customHeight="false" outlineLevel="0" collapsed="false">
      <c r="A128" s="355"/>
      <c r="H128" s="338" t="str">
        <f aca="false">IF((F128&lt;&gt;0),IF((D128&gt;0)," ",F128)," ")</f>
        <v> </v>
      </c>
      <c r="I128" s="339" t="str">
        <f aca="false">IF((F128&lt;&gt;0),IF((D128&gt;0)," ",(I$1-A128))," ")</f>
        <v> </v>
      </c>
    </row>
    <row r="129" customFormat="false" ht="12.75" hidden="false" customHeight="false" outlineLevel="0" collapsed="false">
      <c r="A129" s="355"/>
      <c r="H129" s="338" t="str">
        <f aca="false">IF((F129&lt;&gt;0),IF((D129&gt;0)," ",F129)," ")</f>
        <v> </v>
      </c>
      <c r="I129" s="339" t="str">
        <f aca="false">IF((F129&lt;&gt;0),IF((D129&gt;0)," ",(I$1-A129))," ")</f>
        <v> </v>
      </c>
    </row>
    <row r="130" customFormat="false" ht="12.75" hidden="false" customHeight="false" outlineLevel="0" collapsed="false">
      <c r="A130" s="355"/>
      <c r="H130" s="338" t="str">
        <f aca="false">IF((F130&lt;&gt;0),IF((D130&gt;0)," ",F130)," ")</f>
        <v> </v>
      </c>
      <c r="I130" s="339" t="str">
        <f aca="false">IF((F130&lt;&gt;0),IF((D130&gt;0)," ",(I$1-A130))," ")</f>
        <v> </v>
      </c>
    </row>
    <row r="131" customFormat="false" ht="12.75" hidden="false" customHeight="false" outlineLevel="0" collapsed="false">
      <c r="A131" s="355"/>
      <c r="H131" s="338" t="str">
        <f aca="false">IF((F131&lt;&gt;0),IF((D131&gt;0)," ",F131)," ")</f>
        <v> </v>
      </c>
      <c r="I131" s="339" t="str">
        <f aca="false">IF((F131&lt;&gt;0),IF((D131&gt;0)," ",(I$1-A131))," ")</f>
        <v> </v>
      </c>
    </row>
    <row r="132" customFormat="false" ht="12.75" hidden="false" customHeight="false" outlineLevel="0" collapsed="false">
      <c r="A132" s="355"/>
      <c r="H132" s="338" t="str">
        <f aca="false">IF((F132&lt;&gt;0),IF((D132&gt;0)," ",F132)," ")</f>
        <v> </v>
      </c>
      <c r="I132" s="339" t="str">
        <f aca="false">IF((F132&lt;&gt;0),IF((D132&gt;0)," ",(I$1-A132))," ")</f>
        <v> </v>
      </c>
    </row>
    <row r="133" customFormat="false" ht="12.75" hidden="false" customHeight="false" outlineLevel="0" collapsed="false">
      <c r="A133" s="355"/>
      <c r="H133" s="338" t="str">
        <f aca="false">IF((F133&lt;&gt;0),IF((D133&gt;0)," ",F133)," ")</f>
        <v> </v>
      </c>
      <c r="I133" s="339" t="str">
        <f aca="false">IF((F133&lt;&gt;0),IF((D133&gt;0)," ",(I$1-A133))," ")</f>
        <v> </v>
      </c>
    </row>
    <row r="134" customFormat="false" ht="12.75" hidden="false" customHeight="false" outlineLevel="0" collapsed="false">
      <c r="A134" s="355"/>
      <c r="H134" s="338" t="str">
        <f aca="false">IF((F134&lt;&gt;0),IF((D134&gt;0)," ",F134)," ")</f>
        <v> </v>
      </c>
      <c r="I134" s="339" t="str">
        <f aca="false">IF((F134&lt;&gt;0),IF((D134&gt;0)," ",(I$1-A134))," ")</f>
        <v> </v>
      </c>
    </row>
    <row r="135" customFormat="false" ht="12.75" hidden="false" customHeight="false" outlineLevel="0" collapsed="false">
      <c r="A135" s="355"/>
      <c r="H135" s="338" t="str">
        <f aca="false">IF((F135&lt;&gt;0),IF((D135&gt;0)," ",F135)," ")</f>
        <v> </v>
      </c>
      <c r="I135" s="339" t="str">
        <f aca="false">IF((F135&lt;&gt;0),IF((D135&gt;0)," ",(I$1-A135))," ")</f>
        <v> </v>
      </c>
    </row>
    <row r="136" customFormat="false" ht="12.75" hidden="false" customHeight="false" outlineLevel="0" collapsed="false">
      <c r="A136" s="355"/>
      <c r="H136" s="338" t="str">
        <f aca="false">IF((F136&lt;&gt;0),IF((D136&gt;0)," ",F136)," ")</f>
        <v> </v>
      </c>
      <c r="I136" s="339" t="str">
        <f aca="false">IF((F136&lt;&gt;0),IF((D136&gt;0)," ",(I$1-A136))," ")</f>
        <v> </v>
      </c>
    </row>
    <row r="137" customFormat="false" ht="12.75" hidden="false" customHeight="false" outlineLevel="0" collapsed="false">
      <c r="A137" s="355"/>
      <c r="H137" s="338" t="str">
        <f aca="false">IF((F137&lt;&gt;0),IF((D137&gt;0)," ",F137)," ")</f>
        <v> </v>
      </c>
      <c r="I137" s="339" t="str">
        <f aca="false">IF((F137&lt;&gt;0),IF((D137&gt;0)," ",(I$1-A137))," ")</f>
        <v> </v>
      </c>
    </row>
    <row r="138" customFormat="false" ht="12.75" hidden="false" customHeight="false" outlineLevel="0" collapsed="false">
      <c r="A138" s="355"/>
      <c r="H138" s="338" t="str">
        <f aca="false">IF((F138&lt;&gt;0),IF((D138&gt;0)," ",F138)," ")</f>
        <v> </v>
      </c>
      <c r="I138" s="339" t="str">
        <f aca="false">IF((F138&lt;&gt;0),IF((D138&gt;0)," ",(I$1-A138))," ")</f>
        <v> </v>
      </c>
    </row>
    <row r="139" customFormat="false" ht="12.75" hidden="false" customHeight="false" outlineLevel="0" collapsed="false">
      <c r="A139" s="355"/>
      <c r="H139" s="338" t="str">
        <f aca="false">IF((F139&lt;&gt;0),IF((D139&gt;0)," ",F139)," ")</f>
        <v> </v>
      </c>
      <c r="I139" s="339" t="str">
        <f aca="false">IF((F139&lt;&gt;0),IF((D139&gt;0)," ",(I$1-A139))," ")</f>
        <v> </v>
      </c>
    </row>
    <row r="140" customFormat="false" ht="12.75" hidden="false" customHeight="false" outlineLevel="0" collapsed="false">
      <c r="A140" s="355"/>
      <c r="H140" s="338" t="str">
        <f aca="false">IF((F140&lt;&gt;0),IF((D140&gt;0)," ",F140)," ")</f>
        <v> </v>
      </c>
      <c r="I140" s="339" t="str">
        <f aca="false">IF((F140&lt;&gt;0),IF((D140&gt;0)," ",(I$1-A140))," ")</f>
        <v> </v>
      </c>
    </row>
    <row r="141" customFormat="false" ht="12.75" hidden="false" customHeight="false" outlineLevel="0" collapsed="false">
      <c r="A141" s="355"/>
      <c r="H141" s="338" t="str">
        <f aca="false">IF((F141&lt;&gt;0),IF((D141&gt;0)," ",F141)," ")</f>
        <v> </v>
      </c>
      <c r="I141" s="339" t="str">
        <f aca="false">IF((F141&lt;&gt;0),IF((D141&gt;0)," ",(I$1-A141))," ")</f>
        <v> </v>
      </c>
    </row>
    <row r="142" customFormat="false" ht="12.75" hidden="false" customHeight="false" outlineLevel="0" collapsed="false">
      <c r="A142" s="355"/>
      <c r="H142" s="338" t="str">
        <f aca="false">IF((F142&lt;&gt;0),IF((D142&gt;0)," ",F142)," ")</f>
        <v> </v>
      </c>
      <c r="I142" s="339" t="str">
        <f aca="false">IF((F142&lt;&gt;0),IF((D142&gt;0)," ",(I$1-A142))," ")</f>
        <v> </v>
      </c>
    </row>
    <row r="143" customFormat="false" ht="12.75" hidden="false" customHeight="false" outlineLevel="0" collapsed="false">
      <c r="A143" s="355"/>
      <c r="H143" s="338" t="str">
        <f aca="false">IF((F143&lt;&gt;0),IF((D143&gt;0)," ",F143)," ")</f>
        <v> </v>
      </c>
      <c r="I143" s="339" t="str">
        <f aca="false">IF((F143&lt;&gt;0),IF((D143&gt;0)," ",(I$1-A143))," ")</f>
        <v> </v>
      </c>
    </row>
    <row r="144" customFormat="false" ht="12.75" hidden="false" customHeight="false" outlineLevel="0" collapsed="false">
      <c r="A144" s="355"/>
      <c r="H144" s="338" t="str">
        <f aca="false">IF((F144&lt;&gt;0),IF((D144&gt;0)," ",F144)," ")</f>
        <v> </v>
      </c>
      <c r="I144" s="339" t="str">
        <f aca="false">IF((F144&lt;&gt;0),IF((D144&gt;0)," ",(I$1-A144))," ")</f>
        <v> </v>
      </c>
    </row>
    <row r="145" customFormat="false" ht="12.75" hidden="false" customHeight="false" outlineLevel="0" collapsed="false">
      <c r="A145" s="355"/>
      <c r="H145" s="338" t="str">
        <f aca="false">IF((F145&lt;&gt;0),IF((D145&gt;0)," ",F145)," ")</f>
        <v> </v>
      </c>
      <c r="I145" s="339" t="str">
        <f aca="false">IF((F145&lt;&gt;0),IF((D145&gt;0)," ",(I$1-A145))," ")</f>
        <v> </v>
      </c>
    </row>
    <row r="146" customFormat="false" ht="12.75" hidden="false" customHeight="false" outlineLevel="0" collapsed="false">
      <c r="A146" s="355"/>
      <c r="H146" s="338" t="str">
        <f aca="false">IF((F146&lt;&gt;0),IF((D146&gt;0)," ",F146)," ")</f>
        <v> </v>
      </c>
      <c r="I146" s="339" t="str">
        <f aca="false">IF((F146&lt;&gt;0),IF((D146&gt;0)," ",(I$1-A146))," ")</f>
        <v> </v>
      </c>
    </row>
    <row r="147" customFormat="false" ht="12.75" hidden="false" customHeight="false" outlineLevel="0" collapsed="false">
      <c r="A147" s="355"/>
      <c r="H147" s="338" t="str">
        <f aca="false">IF((F147&lt;&gt;0),IF((D147&gt;0)," ",F147)," ")</f>
        <v> </v>
      </c>
      <c r="I147" s="339" t="str">
        <f aca="false">IF((F147&lt;&gt;0),IF((D147&gt;0)," ",(I$1-A147))," ")</f>
        <v> </v>
      </c>
    </row>
    <row r="148" customFormat="false" ht="12.75" hidden="false" customHeight="false" outlineLevel="0" collapsed="false">
      <c r="A148" s="355"/>
      <c r="H148" s="338" t="str">
        <f aca="false">IF((F148&lt;&gt;0),IF((D148&gt;0)," ",F148)," ")</f>
        <v> </v>
      </c>
      <c r="I148" s="339" t="str">
        <f aca="false">IF((F148&lt;&gt;0),IF((D148&gt;0)," ",(I$1-A148))," ")</f>
        <v> </v>
      </c>
    </row>
    <row r="149" customFormat="false" ht="12.75" hidden="false" customHeight="false" outlineLevel="0" collapsed="false">
      <c r="A149" s="355"/>
      <c r="H149" s="338" t="str">
        <f aca="false">IF((F149&lt;&gt;0),IF((D149&gt;0)," ",F149)," ")</f>
        <v> </v>
      </c>
      <c r="I149" s="339" t="str">
        <f aca="false">IF((F149&lt;&gt;0),IF((D149&gt;0)," ",(I$1-A149))," ")</f>
        <v> </v>
      </c>
    </row>
    <row r="150" customFormat="false" ht="12.75" hidden="false" customHeight="false" outlineLevel="0" collapsed="false">
      <c r="A150" s="355"/>
      <c r="H150" s="338" t="str">
        <f aca="false">IF((F150&lt;&gt;0),IF((D150&gt;0)," ",F150)," ")</f>
        <v> </v>
      </c>
      <c r="I150" s="339" t="str">
        <f aca="false">IF((F150&lt;&gt;0),IF((D150&gt;0)," ",(I$1-A150))," ")</f>
        <v> </v>
      </c>
    </row>
    <row r="151" customFormat="false" ht="12.75" hidden="false" customHeight="false" outlineLevel="0" collapsed="false">
      <c r="A151" s="355"/>
      <c r="H151" s="338" t="str">
        <f aca="false">IF((F151&lt;&gt;0),IF((D151&gt;0)," ",F151)," ")</f>
        <v> </v>
      </c>
      <c r="I151" s="339" t="str">
        <f aca="false">IF((F151&lt;&gt;0),IF((D151&gt;0)," ",(I$1-A151))," ")</f>
        <v> </v>
      </c>
    </row>
    <row r="152" customFormat="false" ht="12.75" hidden="false" customHeight="false" outlineLevel="0" collapsed="false">
      <c r="A152" s="355"/>
      <c r="H152" s="338" t="str">
        <f aca="false">IF((F152&lt;&gt;0),IF((D152&gt;0)," ",F152)," ")</f>
        <v> </v>
      </c>
      <c r="I152" s="339" t="str">
        <f aca="false">IF((F152&lt;&gt;0),IF((D152&gt;0)," ",(I$1-A152))," ")</f>
        <v> </v>
      </c>
    </row>
    <row r="153" customFormat="false" ht="12.75" hidden="false" customHeight="false" outlineLevel="0" collapsed="false">
      <c r="A153" s="355"/>
      <c r="H153" s="338" t="str">
        <f aca="false">IF((F153&lt;&gt;0),IF((D153&gt;0)," ",F153)," ")</f>
        <v> </v>
      </c>
      <c r="I153" s="339" t="str">
        <f aca="false">IF((F153&lt;&gt;0),IF((D153&gt;0)," ",(I$1-A153))," ")</f>
        <v> </v>
      </c>
    </row>
    <row r="154" customFormat="false" ht="12.75" hidden="false" customHeight="false" outlineLevel="0" collapsed="false">
      <c r="A154" s="355"/>
      <c r="H154" s="338" t="str">
        <f aca="false">IF((F154&lt;&gt;0),IF((D154&gt;0)," ",F154)," ")</f>
        <v> </v>
      </c>
      <c r="I154" s="339" t="str">
        <f aca="false">IF((F154&lt;&gt;0),IF((D154&gt;0)," ",(I$1-A154))," ")</f>
        <v> </v>
      </c>
    </row>
    <row r="155" customFormat="false" ht="12.75" hidden="false" customHeight="false" outlineLevel="0" collapsed="false">
      <c r="A155" s="355"/>
      <c r="H155" s="338" t="str">
        <f aca="false">IF((F155&lt;&gt;0),IF((D155&gt;0)," ",F155)," ")</f>
        <v> </v>
      </c>
      <c r="I155" s="339" t="str">
        <f aca="false">IF((F155&lt;&gt;0),IF((D155&gt;0)," ",(I$1-A155))," ")</f>
        <v> </v>
      </c>
    </row>
    <row r="156" customFormat="false" ht="12.75" hidden="false" customHeight="false" outlineLevel="0" collapsed="false">
      <c r="A156" s="355"/>
      <c r="H156" s="338" t="str">
        <f aca="false">IF((F156&lt;&gt;0),IF((D156&gt;0)," ",F156)," ")</f>
        <v> </v>
      </c>
      <c r="I156" s="339" t="str">
        <f aca="false">IF((F156&lt;&gt;0),IF((D156&gt;0)," ",(I$1-A156))," ")</f>
        <v> </v>
      </c>
    </row>
    <row r="157" customFormat="false" ht="12.75" hidden="false" customHeight="false" outlineLevel="0" collapsed="false">
      <c r="A157" s="355"/>
      <c r="H157" s="338" t="str">
        <f aca="false">IF((F157&lt;&gt;0),IF((D157&gt;0)," ",F157)," ")</f>
        <v> </v>
      </c>
      <c r="I157" s="339" t="str">
        <f aca="false">IF((F157&lt;&gt;0),IF((D157&gt;0)," ",(I$1-A157))," ")</f>
        <v> </v>
      </c>
    </row>
    <row r="158" customFormat="false" ht="12.75" hidden="false" customHeight="false" outlineLevel="0" collapsed="false">
      <c r="A158" s="355"/>
      <c r="H158" s="338" t="str">
        <f aca="false">IF((F158&lt;&gt;0),IF((D158&gt;0)," ",F158)," ")</f>
        <v> </v>
      </c>
      <c r="I158" s="339" t="str">
        <f aca="false">IF((F158&lt;&gt;0),IF((D158&gt;0)," ",(I$1-A158))," ")</f>
        <v> </v>
      </c>
    </row>
    <row r="159" customFormat="false" ht="12.75" hidden="false" customHeight="false" outlineLevel="0" collapsed="false">
      <c r="A159" s="355"/>
      <c r="H159" s="338" t="str">
        <f aca="false">IF((F159&lt;&gt;0),IF((D159&gt;0)," ",F159)," ")</f>
        <v> </v>
      </c>
      <c r="I159" s="339" t="str">
        <f aca="false">IF((F159&lt;&gt;0),IF((D159&gt;0)," ",(I$1-A159))," ")</f>
        <v> </v>
      </c>
    </row>
    <row r="160" customFormat="false" ht="12.75" hidden="false" customHeight="false" outlineLevel="0" collapsed="false">
      <c r="A160" s="355"/>
      <c r="H160" s="338" t="str">
        <f aca="false">IF((F160&lt;&gt;0),IF((D160&gt;0)," ",F160)," ")</f>
        <v> </v>
      </c>
      <c r="I160" s="339" t="str">
        <f aca="false">IF((F160&lt;&gt;0),IF((D160&gt;0)," ",(I$1-A160))," ")</f>
        <v> </v>
      </c>
    </row>
    <row r="161" customFormat="false" ht="12.75" hidden="false" customHeight="false" outlineLevel="0" collapsed="false">
      <c r="A161" s="355"/>
      <c r="H161" s="338" t="str">
        <f aca="false">IF((F161&lt;&gt;0),IF((D161&gt;0)," ",F161)," ")</f>
        <v> </v>
      </c>
      <c r="I161" s="339" t="str">
        <f aca="false">IF((F161&lt;&gt;0),IF((D161&gt;0)," ",(I$1-A161))," ")</f>
        <v> </v>
      </c>
    </row>
    <row r="162" customFormat="false" ht="12.75" hidden="false" customHeight="false" outlineLevel="0" collapsed="false">
      <c r="A162" s="355"/>
      <c r="H162" s="338" t="str">
        <f aca="false">IF((F162&lt;&gt;0),IF((D162&gt;0)," ",F162)," ")</f>
        <v> </v>
      </c>
      <c r="I162" s="339" t="str">
        <f aca="false">IF((F162&lt;&gt;0),IF((D162&gt;0)," ",(I$1-A162))," ")</f>
        <v> </v>
      </c>
    </row>
    <row r="163" customFormat="false" ht="12.75" hidden="false" customHeight="false" outlineLevel="0" collapsed="false">
      <c r="A163" s="355"/>
      <c r="H163" s="338" t="str">
        <f aca="false">IF((F163&lt;&gt;0),IF((D163&gt;0)," ",F163)," ")</f>
        <v> </v>
      </c>
      <c r="I163" s="339" t="str">
        <f aca="false">IF((F163&lt;&gt;0),IF((D163&gt;0)," ",(I$1-A163))," ")</f>
        <v> </v>
      </c>
    </row>
    <row r="164" customFormat="false" ht="12.75" hidden="false" customHeight="false" outlineLevel="0" collapsed="false">
      <c r="A164" s="355"/>
      <c r="H164" s="338" t="str">
        <f aca="false">IF((F164&lt;&gt;0),IF((D164&gt;0)," ",F164)," ")</f>
        <v> </v>
      </c>
      <c r="I164" s="339" t="str">
        <f aca="false">IF((F164&lt;&gt;0),IF((D164&gt;0)," ",(I$1-A164))," ")</f>
        <v> </v>
      </c>
    </row>
    <row r="165" customFormat="false" ht="12.75" hidden="false" customHeight="false" outlineLevel="0" collapsed="false">
      <c r="A165" s="355"/>
      <c r="H165" s="338" t="str">
        <f aca="false">IF((F165&lt;&gt;0),IF((D165&gt;0)," ",F165)," ")</f>
        <v> </v>
      </c>
      <c r="I165" s="339" t="str">
        <f aca="false">IF((F165&lt;&gt;0),IF((D165&gt;0)," ",(I$1-A165))," ")</f>
        <v> </v>
      </c>
    </row>
    <row r="166" customFormat="false" ht="12.75" hidden="false" customHeight="false" outlineLevel="0" collapsed="false">
      <c r="A166" s="355"/>
      <c r="H166" s="338" t="str">
        <f aca="false">IF((F166&lt;&gt;0),IF((D166&gt;0)," ",F166)," ")</f>
        <v> </v>
      </c>
      <c r="I166" s="339" t="str">
        <f aca="false">IF((F166&lt;&gt;0),IF((D166&gt;0)," ",(I$1-A166))," ")</f>
        <v> </v>
      </c>
    </row>
    <row r="167" customFormat="false" ht="12.75" hidden="false" customHeight="false" outlineLevel="0" collapsed="false">
      <c r="A167" s="355"/>
      <c r="H167" s="338" t="str">
        <f aca="false">IF((F167&lt;&gt;0),IF((D167&gt;0)," ",F167)," ")</f>
        <v> </v>
      </c>
      <c r="I167" s="339" t="str">
        <f aca="false">IF((F167&lt;&gt;0),IF((D167&gt;0)," ",(I$1-A167))," ")</f>
        <v> </v>
      </c>
    </row>
    <row r="168" customFormat="false" ht="12.75" hidden="false" customHeight="false" outlineLevel="0" collapsed="false">
      <c r="A168" s="355"/>
      <c r="H168" s="338" t="str">
        <f aca="false">IF((F168&lt;&gt;0),IF((D168&gt;0)," ",F168)," ")</f>
        <v> </v>
      </c>
      <c r="I168" s="339" t="str">
        <f aca="false">IF((F168&lt;&gt;0),IF((D168&gt;0)," ",(I$1-A168))," ")</f>
        <v> </v>
      </c>
    </row>
    <row r="169" customFormat="false" ht="12.75" hidden="false" customHeight="false" outlineLevel="0" collapsed="false">
      <c r="A169" s="355"/>
      <c r="H169" s="338" t="str">
        <f aca="false">IF((F169&lt;&gt;0),IF((D169&gt;0)," ",F169)," ")</f>
        <v> </v>
      </c>
      <c r="I169" s="339" t="str">
        <f aca="false">IF((F169&lt;&gt;0),IF((D169&gt;0)," ",(I$1-A169))," ")</f>
        <v> </v>
      </c>
    </row>
    <row r="170" customFormat="false" ht="12.75" hidden="false" customHeight="false" outlineLevel="0" collapsed="false">
      <c r="A170" s="355"/>
      <c r="H170" s="338" t="str">
        <f aca="false">IF((F170&lt;&gt;0),IF((D170&gt;0)," ",F170)," ")</f>
        <v> </v>
      </c>
      <c r="I170" s="339" t="str">
        <f aca="false">IF((F170&lt;&gt;0),IF((D170&gt;0)," ",(I$1-A170))," ")</f>
        <v> </v>
      </c>
    </row>
    <row r="171" customFormat="false" ht="12.75" hidden="false" customHeight="false" outlineLevel="0" collapsed="false">
      <c r="A171" s="355"/>
      <c r="H171" s="338" t="str">
        <f aca="false">IF((F171&lt;&gt;0),IF((D171&gt;0)," ",F171)," ")</f>
        <v> </v>
      </c>
      <c r="I171" s="339" t="str">
        <f aca="false">IF((F171&lt;&gt;0),IF((D171&gt;0)," ",(I$1-A171))," ")</f>
        <v> </v>
      </c>
    </row>
    <row r="172" customFormat="false" ht="12.75" hidden="false" customHeight="false" outlineLevel="0" collapsed="false">
      <c r="A172" s="355"/>
      <c r="H172" s="338" t="str">
        <f aca="false">IF((F172&lt;&gt;0),IF((D172&gt;0)," ",F172)," ")</f>
        <v> </v>
      </c>
      <c r="I172" s="339" t="str">
        <f aca="false">IF((F172&lt;&gt;0),IF((D172&gt;0)," ",(I$1-A172))," ")</f>
        <v> </v>
      </c>
    </row>
    <row r="173" customFormat="false" ht="12.75" hidden="false" customHeight="false" outlineLevel="0" collapsed="false">
      <c r="A173" s="355"/>
      <c r="H173" s="338" t="str">
        <f aca="false">IF((F173&lt;&gt;0),IF((D173&gt;0)," ",F173)," ")</f>
        <v> </v>
      </c>
      <c r="I173" s="339" t="str">
        <f aca="false">IF((F173&lt;&gt;0),IF((D173&gt;0)," ",(I$1-A173))," ")</f>
        <v> </v>
      </c>
    </row>
    <row r="174" customFormat="false" ht="12.75" hidden="false" customHeight="false" outlineLevel="0" collapsed="false">
      <c r="A174" s="355"/>
      <c r="H174" s="338" t="str">
        <f aca="false">IF((F174&lt;&gt;0),IF((D174&gt;0)," ",F174)," ")</f>
        <v> </v>
      </c>
      <c r="I174" s="339" t="str">
        <f aca="false">IF((F174&lt;&gt;0),IF((D174&gt;0)," ",(I$1-A174))," ")</f>
        <v> </v>
      </c>
    </row>
    <row r="175" customFormat="false" ht="12.75" hidden="false" customHeight="false" outlineLevel="0" collapsed="false">
      <c r="A175" s="355"/>
      <c r="H175" s="338" t="str">
        <f aca="false">IF((F175&lt;&gt;0),IF((D175&gt;0)," ",F175)," ")</f>
        <v> </v>
      </c>
      <c r="I175" s="339" t="str">
        <f aca="false">IF((F175&lt;&gt;0),IF((D175&gt;0)," ",(I$1-A175))," ")</f>
        <v> </v>
      </c>
    </row>
    <row r="176" customFormat="false" ht="12.75" hidden="false" customHeight="false" outlineLevel="0" collapsed="false">
      <c r="A176" s="355"/>
      <c r="H176" s="338" t="str">
        <f aca="false">IF((F176&lt;&gt;0),IF((D176&gt;0)," ",F176)," ")</f>
        <v> </v>
      </c>
      <c r="I176" s="339" t="str">
        <f aca="false">IF((F176&lt;&gt;0),IF((D176&gt;0)," ",(I$1-A176))," ")</f>
        <v> </v>
      </c>
    </row>
    <row r="177" customFormat="false" ht="12.75" hidden="false" customHeight="false" outlineLevel="0" collapsed="false">
      <c r="A177" s="355"/>
      <c r="H177" s="338" t="str">
        <f aca="false">IF((F177&lt;&gt;0),IF((D177&gt;0)," ",F177)," ")</f>
        <v> </v>
      </c>
      <c r="I177" s="339" t="str">
        <f aca="false">IF((F177&lt;&gt;0),IF((D177&gt;0)," ",(I$1-A177))," ")</f>
        <v> </v>
      </c>
    </row>
    <row r="178" customFormat="false" ht="12.75" hidden="false" customHeight="false" outlineLevel="0" collapsed="false">
      <c r="A178" s="355"/>
      <c r="H178" s="338" t="str">
        <f aca="false">IF((F178&lt;&gt;0),IF((D178&gt;0)," ",F178)," ")</f>
        <v> </v>
      </c>
      <c r="I178" s="339" t="str">
        <f aca="false">IF((F178&lt;&gt;0),IF((D178&gt;0)," ",(I$1-A178))," ")</f>
        <v> </v>
      </c>
    </row>
    <row r="179" customFormat="false" ht="12.75" hidden="false" customHeight="false" outlineLevel="0" collapsed="false">
      <c r="A179" s="355"/>
      <c r="H179" s="338" t="str">
        <f aca="false">IF((F179&lt;&gt;0),IF((D179&gt;0)," ",F179)," ")</f>
        <v> </v>
      </c>
      <c r="I179" s="339" t="str">
        <f aca="false">IF((F179&lt;&gt;0),IF((D179&gt;0)," ",(I$1-A179))," ")</f>
        <v> </v>
      </c>
    </row>
    <row r="180" customFormat="false" ht="12.75" hidden="false" customHeight="false" outlineLevel="0" collapsed="false">
      <c r="A180" s="355"/>
      <c r="H180" s="338" t="str">
        <f aca="false">IF((F180&lt;&gt;0),IF((D180&gt;0)," ",F180)," ")</f>
        <v> </v>
      </c>
      <c r="I180" s="339" t="str">
        <f aca="false">IF((F180&lt;&gt;0),IF((D180&gt;0)," ",(I$1-A180))," ")</f>
        <v> </v>
      </c>
    </row>
    <row r="181" customFormat="false" ht="12.75" hidden="false" customHeight="false" outlineLevel="0" collapsed="false">
      <c r="A181" s="355"/>
      <c r="H181" s="338" t="str">
        <f aca="false">IF((F181&lt;&gt;0),IF((D181&gt;0)," ",F181)," ")</f>
        <v> </v>
      </c>
      <c r="I181" s="339" t="str">
        <f aca="false">IF((F181&lt;&gt;0),IF((D181&gt;0)," ",(I$1-A181))," ")</f>
        <v> </v>
      </c>
    </row>
    <row r="182" customFormat="false" ht="12.75" hidden="false" customHeight="false" outlineLevel="0" collapsed="false">
      <c r="A182" s="355"/>
      <c r="H182" s="338" t="str">
        <f aca="false">IF((F182&lt;&gt;0),IF((D182&gt;0)," ",F182)," ")</f>
        <v> </v>
      </c>
      <c r="I182" s="339" t="str">
        <f aca="false">IF((F182&lt;&gt;0),IF((D182&gt;0)," ",(I$1-A182))," ")</f>
        <v> </v>
      </c>
    </row>
    <row r="183" customFormat="false" ht="12.75" hidden="false" customHeight="false" outlineLevel="0" collapsed="false">
      <c r="A183" s="355"/>
      <c r="H183" s="338" t="str">
        <f aca="false">IF((F183&lt;&gt;0),IF((D183&gt;0)," ",F183)," ")</f>
        <v> </v>
      </c>
      <c r="I183" s="339" t="str">
        <f aca="false">IF((F183&lt;&gt;0),IF((D183&gt;0)," ",(I$1-A183))," ")</f>
        <v> </v>
      </c>
    </row>
    <row r="184" customFormat="false" ht="12.75" hidden="false" customHeight="false" outlineLevel="0" collapsed="false">
      <c r="A184" s="355"/>
      <c r="H184" s="338" t="str">
        <f aca="false">IF((F184&lt;&gt;0),IF((D184&gt;0)," ",F184)," ")</f>
        <v> </v>
      </c>
      <c r="I184" s="339" t="str">
        <f aca="false">IF((F184&lt;&gt;0),IF((D184&gt;0)," ",(I$1-A184))," ")</f>
        <v> </v>
      </c>
    </row>
    <row r="185" customFormat="false" ht="12.75" hidden="false" customHeight="false" outlineLevel="0" collapsed="false">
      <c r="A185" s="355"/>
      <c r="H185" s="338" t="str">
        <f aca="false">IF((F185&lt;&gt;0),IF((D185&gt;0)," ",F185)," ")</f>
        <v> </v>
      </c>
      <c r="I185" s="339" t="str">
        <f aca="false">IF((F185&lt;&gt;0),IF((D185&gt;0)," ",(I$1-A185))," ")</f>
        <v> </v>
      </c>
    </row>
    <row r="186" customFormat="false" ht="12.75" hidden="false" customHeight="false" outlineLevel="0" collapsed="false">
      <c r="A186" s="355"/>
      <c r="H186" s="338" t="str">
        <f aca="false">IF((F186&lt;&gt;0),IF((D186&gt;0)," ",F186)," ")</f>
        <v> </v>
      </c>
      <c r="I186" s="339" t="str">
        <f aca="false">IF((F186&lt;&gt;0),IF((D186&gt;0)," ",(I$1-A186))," ")</f>
        <v> </v>
      </c>
    </row>
    <row r="187" customFormat="false" ht="12.75" hidden="false" customHeight="false" outlineLevel="0" collapsed="false">
      <c r="A187" s="355"/>
      <c r="H187" s="338" t="str">
        <f aca="false">IF((F187&lt;&gt;0),IF((D187&gt;0)," ",F187)," ")</f>
        <v> </v>
      </c>
      <c r="I187" s="339" t="str">
        <f aca="false">IF((F187&lt;&gt;0),IF((D187&gt;0)," ",(I$1-A187))," ")</f>
        <v> </v>
      </c>
    </row>
    <row r="188" customFormat="false" ht="12.75" hidden="false" customHeight="false" outlineLevel="0" collapsed="false">
      <c r="A188" s="355"/>
      <c r="H188" s="338" t="str">
        <f aca="false">IF((F188&lt;&gt;0),IF((D188&gt;0)," ",F188)," ")</f>
        <v> </v>
      </c>
      <c r="I188" s="339" t="str">
        <f aca="false">IF((F188&lt;&gt;0),IF((D188&gt;0)," ",(I$1-A188))," ")</f>
        <v> </v>
      </c>
    </row>
    <row r="189" customFormat="false" ht="12.75" hidden="false" customHeight="false" outlineLevel="0" collapsed="false">
      <c r="A189" s="355"/>
      <c r="H189" s="338" t="str">
        <f aca="false">IF((F189&lt;&gt;0),IF((D189&gt;0)," ",F189)," ")</f>
        <v> </v>
      </c>
      <c r="I189" s="339" t="str">
        <f aca="false">IF((F189&lt;&gt;0),IF((D189&gt;0)," ",(I$1-A189))," ")</f>
        <v> </v>
      </c>
    </row>
    <row r="190" customFormat="false" ht="12.75" hidden="false" customHeight="false" outlineLevel="0" collapsed="false">
      <c r="A190" s="355"/>
      <c r="H190" s="338" t="str">
        <f aca="false">IF((F190&lt;&gt;0),IF((D190&gt;0)," ",F190)," ")</f>
        <v> </v>
      </c>
      <c r="I190" s="339" t="str">
        <f aca="false">IF((F190&lt;&gt;0),IF((D190&gt;0)," ",(I$1-A190))," ")</f>
        <v> </v>
      </c>
    </row>
    <row r="191" customFormat="false" ht="12.75" hidden="false" customHeight="false" outlineLevel="0" collapsed="false">
      <c r="A191" s="355"/>
      <c r="H191" s="338" t="str">
        <f aca="false">IF((F191&lt;&gt;0),IF((D191&gt;0)," ",F191)," ")</f>
        <v> </v>
      </c>
      <c r="I191" s="339" t="str">
        <f aca="false">IF((F191&lt;&gt;0),IF((D191&gt;0)," ",(I$1-A191))," ")</f>
        <v> </v>
      </c>
    </row>
    <row r="192" customFormat="false" ht="12.75" hidden="false" customHeight="false" outlineLevel="0" collapsed="false">
      <c r="A192" s="355"/>
      <c r="H192" s="338" t="str">
        <f aca="false">IF((F192&lt;&gt;0),IF((D192&gt;0)," ",F192)," ")</f>
        <v> </v>
      </c>
      <c r="I192" s="339" t="str">
        <f aca="false">IF((F192&lt;&gt;0),IF((D192&gt;0)," ",(I$1-A192))," ")</f>
        <v> </v>
      </c>
    </row>
    <row r="193" customFormat="false" ht="12.75" hidden="false" customHeight="false" outlineLevel="0" collapsed="false">
      <c r="A193" s="355"/>
      <c r="H193" s="338" t="str">
        <f aca="false">IF((F193&lt;&gt;0),IF((D193&gt;0)," ",F193)," ")</f>
        <v> </v>
      </c>
      <c r="I193" s="339" t="str">
        <f aca="false">IF((F193&lt;&gt;0),IF((D193&gt;0)," ",(I$1-A193))," ")</f>
        <v> </v>
      </c>
    </row>
    <row r="194" customFormat="false" ht="12.75" hidden="false" customHeight="false" outlineLevel="0" collapsed="false">
      <c r="A194" s="355"/>
      <c r="H194" s="338" t="str">
        <f aca="false">IF((F194&lt;&gt;0),IF((D194&gt;0)," ",F194)," ")</f>
        <v> </v>
      </c>
      <c r="I194" s="339" t="str">
        <f aca="false">IF((F194&lt;&gt;0),IF((D194&gt;0)," ",(I$1-A194))," ")</f>
        <v> </v>
      </c>
    </row>
    <row r="195" customFormat="false" ht="12.75" hidden="false" customHeight="false" outlineLevel="0" collapsed="false">
      <c r="A195" s="355"/>
      <c r="H195" s="338" t="str">
        <f aca="false">IF((F195&lt;&gt;0),IF((D195&gt;0)," ",F195)," ")</f>
        <v> </v>
      </c>
      <c r="I195" s="339" t="str">
        <f aca="false">IF((F195&lt;&gt;0),IF((D195&gt;0)," ",(I$1-A195))," ")</f>
        <v> </v>
      </c>
    </row>
    <row r="196" customFormat="false" ht="12.75" hidden="false" customHeight="false" outlineLevel="0" collapsed="false">
      <c r="A196" s="355"/>
      <c r="H196" s="338" t="str">
        <f aca="false">IF((F196&lt;&gt;0),IF((D196&gt;0)," ",F196)," ")</f>
        <v> </v>
      </c>
      <c r="I196" s="339" t="str">
        <f aca="false">IF((F196&lt;&gt;0),IF((D196&gt;0)," ",(I$1-A196))," ")</f>
        <v> </v>
      </c>
    </row>
    <row r="197" customFormat="false" ht="12.75" hidden="false" customHeight="false" outlineLevel="0" collapsed="false">
      <c r="A197" s="355"/>
      <c r="H197" s="338" t="str">
        <f aca="false">IF((F197&lt;&gt;0),IF((D197&gt;0)," ",F197)," ")</f>
        <v> </v>
      </c>
      <c r="I197" s="339" t="str">
        <f aca="false">IF((F197&lt;&gt;0),IF((D197&gt;0)," ",(I$1-A197))," ")</f>
        <v> </v>
      </c>
    </row>
    <row r="198" customFormat="false" ht="12.75" hidden="false" customHeight="false" outlineLevel="0" collapsed="false">
      <c r="A198" s="355"/>
      <c r="H198" s="338" t="str">
        <f aca="false">IF((F198&lt;&gt;0),IF((D198&gt;0)," ",F198)," ")</f>
        <v> </v>
      </c>
      <c r="I198" s="339" t="str">
        <f aca="false">IF((F198&lt;&gt;0),IF((D198&gt;0)," ",(I$1-A198))," ")</f>
        <v> </v>
      </c>
    </row>
    <row r="199" customFormat="false" ht="12.75" hidden="false" customHeight="false" outlineLevel="0" collapsed="false">
      <c r="A199" s="355"/>
      <c r="H199" s="338" t="str">
        <f aca="false">IF((F199&lt;&gt;0),IF((D199&gt;0)," ",F199)," ")</f>
        <v> </v>
      </c>
      <c r="I199" s="339" t="str">
        <f aca="false">IF((F199&lt;&gt;0),IF((D199&gt;0)," ",(I$1-A199))," ")</f>
        <v> </v>
      </c>
    </row>
    <row r="200" customFormat="false" ht="12.75" hidden="false" customHeight="false" outlineLevel="0" collapsed="false">
      <c r="A200" s="355"/>
      <c r="H200" s="338" t="str">
        <f aca="false">IF((F200&lt;&gt;0),IF((D200&gt;0)," ",F200)," ")</f>
        <v> </v>
      </c>
      <c r="I200" s="339" t="str">
        <f aca="false">IF((F200&lt;&gt;0),IF((D200&gt;0)," ",(I$1-A200))," ")</f>
        <v> </v>
      </c>
    </row>
    <row r="201" customFormat="false" ht="12.75" hidden="false" customHeight="false" outlineLevel="0" collapsed="false">
      <c r="A201" s="355"/>
      <c r="H201" s="338" t="str">
        <f aca="false">IF((F201&lt;&gt;0),IF((D201&gt;0)," ",F201)," ")</f>
        <v> </v>
      </c>
      <c r="I201" s="339" t="str">
        <f aca="false">IF((F201&lt;&gt;0),IF((D201&gt;0)," ",(I$1-A201))," ")</f>
        <v> </v>
      </c>
    </row>
    <row r="202" customFormat="false" ht="12.75" hidden="false" customHeight="false" outlineLevel="0" collapsed="false">
      <c r="A202" s="355"/>
      <c r="H202" s="338" t="str">
        <f aca="false">IF((F202&lt;&gt;0),IF((D202&gt;0)," ",F202)," ")</f>
        <v> </v>
      </c>
      <c r="I202" s="339" t="str">
        <f aca="false">IF((F202&lt;&gt;0),IF((D202&gt;0)," ",(I$1-A202))," ")</f>
        <v> </v>
      </c>
    </row>
    <row r="203" customFormat="false" ht="12.75" hidden="false" customHeight="false" outlineLevel="0" collapsed="false">
      <c r="A203" s="355"/>
      <c r="H203" s="338" t="str">
        <f aca="false">IF((F203&lt;&gt;0),IF((D203&gt;0)," ",F203)," ")</f>
        <v> </v>
      </c>
      <c r="I203" s="339" t="str">
        <f aca="false">IF((F203&lt;&gt;0),IF((D203&gt;0)," ",(I$1-A203))," ")</f>
        <v> </v>
      </c>
    </row>
    <row r="204" customFormat="false" ht="12.75" hidden="false" customHeight="false" outlineLevel="0" collapsed="false">
      <c r="A204" s="355"/>
      <c r="H204" s="338" t="str">
        <f aca="false">IF((F204&lt;&gt;0),IF((D204&gt;0)," ",F204)," ")</f>
        <v> </v>
      </c>
      <c r="I204" s="339" t="str">
        <f aca="false">IF((F204&lt;&gt;0),IF((D204&gt;0)," ",(I$1-A204))," ")</f>
        <v> </v>
      </c>
    </row>
    <row r="205" customFormat="false" ht="12.75" hidden="false" customHeight="false" outlineLevel="0" collapsed="false">
      <c r="A205" s="355"/>
    </row>
    <row r="206" customFormat="false" ht="12.75" hidden="false" customHeight="false" outlineLevel="0" collapsed="false">
      <c r="A206" s="355"/>
    </row>
    <row r="207" customFormat="false" ht="12.75" hidden="false" customHeight="false" outlineLevel="0" collapsed="false">
      <c r="A207" s="355"/>
    </row>
    <row r="208" customFormat="false" ht="12.75" hidden="false" customHeight="false" outlineLevel="0" collapsed="false">
      <c r="A208" s="355"/>
    </row>
    <row r="209" customFormat="false" ht="12.75" hidden="false" customHeight="false" outlineLevel="0" collapsed="false">
      <c r="A209" s="355"/>
    </row>
    <row r="210" customFormat="false" ht="12.75" hidden="false" customHeight="false" outlineLevel="0" collapsed="false">
      <c r="A210" s="355"/>
    </row>
    <row r="211" customFormat="false" ht="12.75" hidden="false" customHeight="false" outlineLevel="0" collapsed="false">
      <c r="A211" s="355"/>
    </row>
    <row r="212" customFormat="false" ht="12.75" hidden="false" customHeight="false" outlineLevel="0" collapsed="false">
      <c r="A212" s="355"/>
    </row>
    <row r="213" customFormat="false" ht="12.75" hidden="false" customHeight="false" outlineLevel="0" collapsed="false">
      <c r="A213" s="355"/>
    </row>
    <row r="214" customFormat="false" ht="12.75" hidden="false" customHeight="false" outlineLevel="0" collapsed="false">
      <c r="A214" s="355"/>
    </row>
    <row r="215" customFormat="false" ht="12.75" hidden="false" customHeight="false" outlineLevel="0" collapsed="false">
      <c r="A215" s="355"/>
    </row>
    <row r="216" customFormat="false" ht="12.75" hidden="false" customHeight="false" outlineLevel="0" collapsed="false">
      <c r="A216" s="355"/>
    </row>
    <row r="217" customFormat="false" ht="12.75" hidden="false" customHeight="false" outlineLevel="0" collapsed="false">
      <c r="A217" s="355"/>
    </row>
    <row r="218" customFormat="false" ht="12.75" hidden="false" customHeight="false" outlineLevel="0" collapsed="false">
      <c r="A218" s="355"/>
    </row>
    <row r="219" customFormat="false" ht="12.75" hidden="false" customHeight="false" outlineLevel="0" collapsed="false">
      <c r="A219" s="355"/>
    </row>
    <row r="220" customFormat="false" ht="12.75" hidden="false" customHeight="false" outlineLevel="0" collapsed="false">
      <c r="A220" s="355"/>
    </row>
    <row r="221" customFormat="false" ht="12.75" hidden="false" customHeight="false" outlineLevel="0" collapsed="false">
      <c r="A221" s="355"/>
    </row>
    <row r="222" customFormat="false" ht="12.75" hidden="false" customHeight="false" outlineLevel="0" collapsed="false">
      <c r="A222" s="355"/>
    </row>
    <row r="223" customFormat="false" ht="12.75" hidden="false" customHeight="false" outlineLevel="0" collapsed="false">
      <c r="A223" s="355"/>
    </row>
    <row r="224" customFormat="false" ht="12.75" hidden="false" customHeight="false" outlineLevel="0" collapsed="false">
      <c r="A224" s="355"/>
    </row>
    <row r="225" customFormat="false" ht="12.75" hidden="false" customHeight="false" outlineLevel="0" collapsed="false">
      <c r="A225" s="355"/>
    </row>
    <row r="226" customFormat="false" ht="12.75" hidden="false" customHeight="false" outlineLevel="0" collapsed="false">
      <c r="A226" s="355"/>
    </row>
    <row r="227" customFormat="false" ht="12.75" hidden="false" customHeight="false" outlineLevel="0" collapsed="false">
      <c r="A227" s="355"/>
    </row>
    <row r="228" customFormat="false" ht="12.75" hidden="false" customHeight="false" outlineLevel="0" collapsed="false">
      <c r="A228" s="355"/>
    </row>
    <row r="229" customFormat="false" ht="12.75" hidden="false" customHeight="false" outlineLevel="0" collapsed="false">
      <c r="A229" s="355"/>
    </row>
    <row r="230" customFormat="false" ht="12.75" hidden="false" customHeight="false" outlineLevel="0" collapsed="false">
      <c r="A230" s="355"/>
    </row>
    <row r="231" customFormat="false" ht="12.75" hidden="false" customHeight="false" outlineLevel="0" collapsed="false">
      <c r="A231" s="355"/>
    </row>
    <row r="232" customFormat="false" ht="12.75" hidden="false" customHeight="false" outlineLevel="0" collapsed="false">
      <c r="A232" s="355"/>
    </row>
    <row r="233" customFormat="false" ht="12.75" hidden="false" customHeight="false" outlineLevel="0" collapsed="false">
      <c r="A233" s="355"/>
    </row>
    <row r="234" customFormat="false" ht="12.75" hidden="false" customHeight="false" outlineLevel="0" collapsed="false">
      <c r="A234" s="355"/>
    </row>
    <row r="235" customFormat="false" ht="12.75" hidden="false" customHeight="false" outlineLevel="0" collapsed="false">
      <c r="A235" s="355"/>
    </row>
    <row r="236" customFormat="false" ht="12.75" hidden="false" customHeight="false" outlineLevel="0" collapsed="false">
      <c r="A236" s="355"/>
    </row>
    <row r="237" customFormat="false" ht="12.75" hidden="false" customHeight="false" outlineLevel="0" collapsed="false">
      <c r="A237" s="355"/>
    </row>
    <row r="238" customFormat="false" ht="12.75" hidden="false" customHeight="false" outlineLevel="0" collapsed="false">
      <c r="A238" s="355"/>
    </row>
    <row r="239" customFormat="false" ht="12.75" hidden="false" customHeight="false" outlineLevel="0" collapsed="false">
      <c r="A239" s="355"/>
    </row>
    <row r="240" customFormat="false" ht="12.75" hidden="false" customHeight="false" outlineLevel="0" collapsed="false">
      <c r="A240" s="355"/>
    </row>
    <row r="241" customFormat="false" ht="12.75" hidden="false" customHeight="false" outlineLevel="0" collapsed="false">
      <c r="A241" s="355"/>
    </row>
    <row r="242" customFormat="false" ht="12.75" hidden="false" customHeight="false" outlineLevel="0" collapsed="false">
      <c r="A242" s="355"/>
    </row>
    <row r="243" customFormat="false" ht="12.75" hidden="false" customHeight="false" outlineLevel="0" collapsed="false">
      <c r="A243" s="355"/>
    </row>
    <row r="244" customFormat="false" ht="12.75" hidden="false" customHeight="false" outlineLevel="0" collapsed="false">
      <c r="A244" s="355"/>
    </row>
    <row r="245" customFormat="false" ht="12.75" hidden="false" customHeight="false" outlineLevel="0" collapsed="false">
      <c r="A245" s="355"/>
    </row>
    <row r="246" customFormat="false" ht="12.75" hidden="false" customHeight="false" outlineLevel="0" collapsed="false">
      <c r="A246" s="355"/>
    </row>
    <row r="247" customFormat="false" ht="12.75" hidden="false" customHeight="false" outlineLevel="0" collapsed="false">
      <c r="A247" s="355"/>
    </row>
    <row r="248" customFormat="false" ht="12.75" hidden="false" customHeight="false" outlineLevel="0" collapsed="false">
      <c r="A248" s="355"/>
    </row>
    <row r="249" customFormat="false" ht="12.75" hidden="false" customHeight="false" outlineLevel="0" collapsed="false">
      <c r="A249" s="355"/>
    </row>
    <row r="250" customFormat="false" ht="12.75" hidden="false" customHeight="false" outlineLevel="0" collapsed="false">
      <c r="A250" s="355"/>
    </row>
    <row r="251" customFormat="false" ht="12.75" hidden="false" customHeight="false" outlineLevel="0" collapsed="false">
      <c r="A251" s="355"/>
    </row>
    <row r="252" customFormat="false" ht="12.75" hidden="false" customHeight="false" outlineLevel="0" collapsed="false">
      <c r="A252" s="355"/>
    </row>
    <row r="253" customFormat="false" ht="12.75" hidden="false" customHeight="false" outlineLevel="0" collapsed="false">
      <c r="A253" s="355"/>
    </row>
    <row r="254" customFormat="false" ht="12.75" hidden="false" customHeight="false" outlineLevel="0" collapsed="false">
      <c r="A254" s="355"/>
    </row>
    <row r="255" customFormat="false" ht="12.75" hidden="false" customHeight="false" outlineLevel="0" collapsed="false">
      <c r="A255" s="355"/>
    </row>
    <row r="256" customFormat="false" ht="12.75" hidden="false" customHeight="false" outlineLevel="0" collapsed="false">
      <c r="A256" s="355"/>
    </row>
    <row r="257" customFormat="false" ht="12.75" hidden="false" customHeight="false" outlineLevel="0" collapsed="false">
      <c r="A257" s="355"/>
    </row>
    <row r="258" customFormat="false" ht="12.75" hidden="false" customHeight="false" outlineLevel="0" collapsed="false">
      <c r="A258" s="355"/>
    </row>
    <row r="259" customFormat="false" ht="12.75" hidden="false" customHeight="false" outlineLevel="0" collapsed="false">
      <c r="A259" s="355"/>
    </row>
    <row r="260" customFormat="false" ht="12.75" hidden="false" customHeight="false" outlineLevel="0" collapsed="false">
      <c r="A260" s="355"/>
    </row>
    <row r="261" customFormat="false" ht="12.75" hidden="false" customHeight="false" outlineLevel="0" collapsed="false">
      <c r="A261" s="355"/>
    </row>
    <row r="262" customFormat="false" ht="12.75" hidden="false" customHeight="false" outlineLevel="0" collapsed="false">
      <c r="A262" s="355"/>
    </row>
    <row r="263" customFormat="false" ht="12.75" hidden="false" customHeight="false" outlineLevel="0" collapsed="false">
      <c r="A263" s="355"/>
    </row>
    <row r="264" customFormat="false" ht="12.75" hidden="false" customHeight="false" outlineLevel="0" collapsed="false">
      <c r="A264" s="355"/>
    </row>
    <row r="265" customFormat="false" ht="12.75" hidden="false" customHeight="false" outlineLevel="0" collapsed="false">
      <c r="A265" s="355"/>
    </row>
    <row r="266" customFormat="false" ht="12.75" hidden="false" customHeight="false" outlineLevel="0" collapsed="false">
      <c r="A266" s="355"/>
    </row>
    <row r="267" customFormat="false" ht="12.75" hidden="false" customHeight="false" outlineLevel="0" collapsed="false">
      <c r="A267" s="355"/>
    </row>
    <row r="268" customFormat="false" ht="12.75" hidden="false" customHeight="false" outlineLevel="0" collapsed="false">
      <c r="A268" s="355"/>
    </row>
    <row r="269" customFormat="false" ht="12.75" hidden="false" customHeight="false" outlineLevel="0" collapsed="false">
      <c r="A269" s="355"/>
    </row>
    <row r="270" customFormat="false" ht="12.75" hidden="false" customHeight="false" outlineLevel="0" collapsed="false">
      <c r="A270" s="355"/>
    </row>
    <row r="271" customFormat="false" ht="12.75" hidden="false" customHeight="false" outlineLevel="0" collapsed="false">
      <c r="A271" s="355"/>
    </row>
    <row r="272" customFormat="false" ht="12.75" hidden="false" customHeight="false" outlineLevel="0" collapsed="false">
      <c r="A272" s="355"/>
    </row>
    <row r="273" customFormat="false" ht="12.75" hidden="false" customHeight="false" outlineLevel="0" collapsed="false">
      <c r="A273" s="355"/>
    </row>
    <row r="274" customFormat="false" ht="12.75" hidden="false" customHeight="false" outlineLevel="0" collapsed="false">
      <c r="A274" s="355"/>
    </row>
    <row r="275" customFormat="false" ht="12.75" hidden="false" customHeight="false" outlineLevel="0" collapsed="false">
      <c r="A275" s="355"/>
    </row>
    <row r="276" customFormat="false" ht="12.75" hidden="false" customHeight="false" outlineLevel="0" collapsed="false">
      <c r="A276" s="355"/>
    </row>
    <row r="277" customFormat="false" ht="12.75" hidden="false" customHeight="false" outlineLevel="0" collapsed="false">
      <c r="A277" s="355"/>
    </row>
    <row r="278" customFormat="false" ht="12.75" hidden="false" customHeight="false" outlineLevel="0" collapsed="false">
      <c r="A278" s="355"/>
    </row>
    <row r="279" customFormat="false" ht="12.75" hidden="false" customHeight="false" outlineLevel="0" collapsed="false">
      <c r="A279" s="355"/>
    </row>
    <row r="280" customFormat="false" ht="12.75" hidden="false" customHeight="false" outlineLevel="0" collapsed="false">
      <c r="A280" s="355"/>
    </row>
    <row r="281" customFormat="false" ht="12.75" hidden="false" customHeight="false" outlineLevel="0" collapsed="false">
      <c r="A281" s="355"/>
    </row>
    <row r="282" customFormat="false" ht="12.75" hidden="false" customHeight="false" outlineLevel="0" collapsed="false">
      <c r="A282" s="355"/>
    </row>
    <row r="283" customFormat="false" ht="12.75" hidden="false" customHeight="false" outlineLevel="0" collapsed="false">
      <c r="A283" s="355"/>
    </row>
    <row r="284" customFormat="false" ht="12.75" hidden="false" customHeight="false" outlineLevel="0" collapsed="false">
      <c r="A284" s="355"/>
    </row>
    <row r="285" customFormat="false" ht="12.75" hidden="false" customHeight="false" outlineLevel="0" collapsed="false">
      <c r="A285" s="355"/>
    </row>
    <row r="286" customFormat="false" ht="12.75" hidden="false" customHeight="false" outlineLevel="0" collapsed="false">
      <c r="A286" s="355"/>
    </row>
    <row r="287" customFormat="false" ht="12.75" hidden="false" customHeight="false" outlineLevel="0" collapsed="false">
      <c r="A287" s="355"/>
    </row>
    <row r="288" customFormat="false" ht="12.75" hidden="false" customHeight="false" outlineLevel="0" collapsed="false">
      <c r="A288" s="355"/>
    </row>
    <row r="289" customFormat="false" ht="12.75" hidden="false" customHeight="false" outlineLevel="0" collapsed="false">
      <c r="A289" s="355"/>
    </row>
    <row r="290" customFormat="false" ht="12.75" hidden="false" customHeight="false" outlineLevel="0" collapsed="false">
      <c r="A290" s="355"/>
    </row>
    <row r="291" customFormat="false" ht="12.75" hidden="false" customHeight="false" outlineLevel="0" collapsed="false">
      <c r="A291" s="355"/>
    </row>
    <row r="292" customFormat="false" ht="12.75" hidden="false" customHeight="false" outlineLevel="0" collapsed="false">
      <c r="A292" s="355"/>
    </row>
    <row r="293" customFormat="false" ht="12.75" hidden="false" customHeight="false" outlineLevel="0" collapsed="false">
      <c r="A293" s="355"/>
    </row>
    <row r="294" customFormat="false" ht="12.75" hidden="false" customHeight="false" outlineLevel="0" collapsed="false">
      <c r="A294" s="355"/>
    </row>
    <row r="295" customFormat="false" ht="12.75" hidden="false" customHeight="false" outlineLevel="0" collapsed="false">
      <c r="A295" s="355"/>
    </row>
    <row r="296" customFormat="false" ht="12.75" hidden="false" customHeight="false" outlineLevel="0" collapsed="false">
      <c r="A296" s="355"/>
    </row>
    <row r="297" customFormat="false" ht="12.75" hidden="false" customHeight="false" outlineLevel="0" collapsed="false">
      <c r="A297" s="355"/>
    </row>
    <row r="298" customFormat="false" ht="12.75" hidden="false" customHeight="false" outlineLevel="0" collapsed="false">
      <c r="A298" s="355"/>
    </row>
    <row r="299" customFormat="false" ht="12.75" hidden="false" customHeight="false" outlineLevel="0" collapsed="false">
      <c r="A299" s="355"/>
    </row>
    <row r="300" customFormat="false" ht="12.75" hidden="false" customHeight="false" outlineLevel="0" collapsed="false">
      <c r="A300" s="355"/>
      <c r="B300" s="356"/>
      <c r="C300" s="357"/>
      <c r="D300" s="358"/>
      <c r="E300" s="359"/>
      <c r="F300" s="356"/>
      <c r="G300" s="356"/>
      <c r="H300" s="360"/>
      <c r="I300" s="361"/>
      <c r="J300" s="356"/>
    </row>
    <row r="301" customFormat="false" ht="12.75" hidden="false" customHeight="false" outlineLevel="0" collapsed="false">
      <c r="A301" s="333" t="s">
        <v>265</v>
      </c>
    </row>
  </sheetData>
  <mergeCells count="10">
    <mergeCell ref="A1:A3"/>
    <mergeCell ref="B1:B3"/>
    <mergeCell ref="C2:C3"/>
    <mergeCell ref="D2:D3"/>
    <mergeCell ref="E2:E3"/>
    <mergeCell ref="F2:F3"/>
    <mergeCell ref="G2:G3"/>
    <mergeCell ref="H2:H3"/>
    <mergeCell ref="I2:I3"/>
    <mergeCell ref="J2:K2"/>
  </mergeCells>
  <dataValidations count="1">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4:A300" type="date">
      <formula1>38353</formula1>
      <formula2>53327</formula2>
    </dataValidation>
  </dataValidations>
  <printOptions headings="false" gridLines="true" gridLinesSet="true" horizontalCentered="false" verticalCentered="false"/>
  <pageMargins left="0.196527777777778" right="0.39375" top="0.590972222222222" bottom="0.590972222222222"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&amp;C&amp;"Arial,Bold"&amp;11Sales Turnover</oddHeader>
    <oddFooter>&amp;L&amp;D  &amp;T&amp;C&amp;P  of  &amp;N&amp;R&amp;F  &amp;A</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62" width="9.66"/>
    <col collapsed="false" customWidth="true" hidden="false" outlineLevel="0" max="2" min="2" style="363" width="23.99"/>
    <col collapsed="false" customWidth="true" hidden="false" outlineLevel="0" max="3" min="3" style="363" width="15.99"/>
    <col collapsed="false" customWidth="true" hidden="false" outlineLevel="0" max="4" min="4" style="364" width="16.15"/>
    <col collapsed="false" customWidth="true" hidden="false" outlineLevel="0" max="5" min="5" style="365" width="9.49"/>
    <col collapsed="false" customWidth="true" hidden="false" outlineLevel="0" max="6" min="6" style="365" width="8.66"/>
    <col collapsed="false" customWidth="true" hidden="false" outlineLevel="0" max="7" min="7" style="366" width="12.66"/>
    <col collapsed="false" customWidth="true" hidden="false" outlineLevel="0" max="8" min="8" style="338" width="11.5"/>
    <col collapsed="false" customWidth="true" hidden="false" outlineLevel="0" max="9" min="9" style="367" width="10.5"/>
    <col collapsed="false" customWidth="true" hidden="false" outlineLevel="0" max="19" min="10" style="334" width="9.66"/>
    <col collapsed="false" customWidth="true" hidden="false" outlineLevel="0" max="22" min="20" style="334" width="7.66"/>
    <col collapsed="false" customWidth="true" hidden="false" outlineLevel="0" max="23" min="23" style="334" width="9.66"/>
    <col collapsed="false" customWidth="true" hidden="false" outlineLevel="0" max="24" min="24" style="363" width="24.66"/>
    <col collapsed="false" customWidth="false" hidden="false" outlineLevel="0" max="25" min="25" style="368" width="9.15"/>
    <col collapsed="false" customWidth="true" hidden="false" outlineLevel="0" max="26" min="26" style="368" width="12.66"/>
    <col collapsed="false" customWidth="false" hidden="false" outlineLevel="0" max="257" min="27" style="363" width="9.15"/>
  </cols>
  <sheetData>
    <row r="1" s="334" customFormat="true" ht="13.5" hidden="false" customHeight="true" outlineLevel="0" collapsed="false">
      <c r="A1" s="401" t="n">
        <f aca="false">G4+PurchasesMay!A1</f>
        <v>0</v>
      </c>
      <c r="B1" s="370" t="s">
        <v>266</v>
      </c>
      <c r="C1" s="344" t="n">
        <f aca="false">PurchasesMay!C1+PurchasesJun!F1+SalesJun!$E$1</f>
        <v>0</v>
      </c>
      <c r="D1" s="369" t="s">
        <v>248</v>
      </c>
      <c r="E1" s="371" t="str">
        <f aca="false">IF((G1-SUM(J1:W1)&lt;&gt;0),(G1-SUM(J1:W1))," ")</f>
        <v> </v>
      </c>
      <c r="F1" s="344" t="n">
        <f aca="false">SUM(F5:F300)</f>
        <v>0</v>
      </c>
      <c r="G1" s="343" t="n">
        <f aca="false">SUM(G4:G300)</f>
        <v>9057</v>
      </c>
      <c r="H1" s="372" t="n">
        <f aca="false">SUM(H5:H300)</f>
        <v>9057</v>
      </c>
      <c r="I1" s="373" t="n">
        <f aca="true">TODAY()</f>
        <v>46138</v>
      </c>
      <c r="J1" s="343" t="n">
        <f aca="false">SUM(J5:J300)</f>
        <v>360</v>
      </c>
      <c r="K1" s="343" t="n">
        <f aca="false">SUM(K5:K300)</f>
        <v>5000</v>
      </c>
      <c r="L1" s="343" t="n">
        <f aca="false">SUM(L5:L300)</f>
        <v>0</v>
      </c>
      <c r="M1" s="343" t="n">
        <f aca="false">SUM(M5:M300)</f>
        <v>1560</v>
      </c>
      <c r="N1" s="343" t="n">
        <f aca="false">SUM(N5:N300)</f>
        <v>0</v>
      </c>
      <c r="O1" s="343" t="n">
        <f aca="false">SUM(O5:O300)</f>
        <v>231</v>
      </c>
      <c r="P1" s="343" t="n">
        <f aca="false">SUM(P3:P300)</f>
        <v>654</v>
      </c>
      <c r="Q1" s="343" t="n">
        <f aca="false">SUM(Q5:Q300)</f>
        <v>272</v>
      </c>
      <c r="R1" s="343" t="n">
        <f aca="false">SUM(R5:R300)</f>
        <v>0</v>
      </c>
      <c r="S1" s="343" t="n">
        <f aca="false">SUM(S5:S300)</f>
        <v>300</v>
      </c>
      <c r="T1" s="343" t="n">
        <f aca="false">SUM(T5:T300)</f>
        <v>0</v>
      </c>
      <c r="U1" s="343" t="n">
        <f aca="false">SUM(U5:U300)</f>
        <v>250</v>
      </c>
      <c r="V1" s="343" t="n">
        <f aca="false">SUM(V5:V300)</f>
        <v>430</v>
      </c>
      <c r="W1" s="345" t="n">
        <f aca="false">SUM(W5:W300)</f>
        <v>0</v>
      </c>
      <c r="X1" s="374" t="n">
        <f aca="false">W1+PurchasesMay!X1</f>
        <v>1800</v>
      </c>
      <c r="Y1" s="375" t="n">
        <f aca="false">SUM(Y5:Y200)</f>
        <v>0</v>
      </c>
      <c r="Z1" s="376" t="n">
        <f aca="false">Y1+PurchasesMay!Z1</f>
        <v>0</v>
      </c>
    </row>
    <row r="2" s="384" customFormat="true" ht="24" hidden="false" customHeight="true" outlineLevel="0" collapsed="false">
      <c r="A2" s="377" t="s">
        <v>267</v>
      </c>
      <c r="B2" s="378" t="str">
        <f aca="false">IF((G1-SUM(J1:W1)&lt;&gt;0),"COMPLETE EXPENSE ANALYSIS by inserting expense letter in col E","Supplier")</f>
        <v>Supplier</v>
      </c>
      <c r="C2" s="379" t="s">
        <v>268</v>
      </c>
      <c r="D2" s="379" t="s">
        <v>269</v>
      </c>
      <c r="E2" s="379" t="s">
        <v>270</v>
      </c>
      <c r="F2" s="379" t="s">
        <v>344</v>
      </c>
      <c r="G2" s="380" t="s">
        <v>272</v>
      </c>
      <c r="H2" s="381" t="s">
        <v>273</v>
      </c>
      <c r="I2" s="382" t="s">
        <v>274</v>
      </c>
      <c r="J2" s="380" t="s">
        <v>275</v>
      </c>
      <c r="K2" s="380" t="s">
        <v>276</v>
      </c>
      <c r="L2" s="380" t="s">
        <v>277</v>
      </c>
      <c r="M2" s="380" t="s">
        <v>278</v>
      </c>
      <c r="N2" s="380" t="s">
        <v>279</v>
      </c>
      <c r="O2" s="380" t="s">
        <v>280</v>
      </c>
      <c r="P2" s="380" t="s">
        <v>281</v>
      </c>
      <c r="Q2" s="380" t="s">
        <v>282</v>
      </c>
      <c r="R2" s="380" t="s">
        <v>283</v>
      </c>
      <c r="S2" s="380" t="s">
        <v>284</v>
      </c>
      <c r="T2" s="380" t="s">
        <v>285</v>
      </c>
      <c r="U2" s="380" t="s">
        <v>286</v>
      </c>
      <c r="V2" s="380" t="s">
        <v>287</v>
      </c>
      <c r="W2" s="381" t="s">
        <v>288</v>
      </c>
      <c r="X2" s="383" t="str">
        <f aca="false">IF(X1&gt;('Fixed Assets'!$E$110),"FIXED ASSETS requires updating with new additions","Fixed Assets Description  (Vehicles: make, model, date reg. and reg. mark)")</f>
        <v>FIXED ASSETS requires updating with new additions</v>
      </c>
      <c r="Y2" s="380" t="s">
        <v>289</v>
      </c>
      <c r="Z2" s="380"/>
    </row>
    <row r="3" s="386" customFormat="true" ht="12" hidden="false" customHeight="true" outlineLevel="0" collapsed="false">
      <c r="A3" s="377"/>
      <c r="B3" s="377"/>
      <c r="C3" s="377"/>
      <c r="D3" s="377"/>
      <c r="E3" s="379"/>
      <c r="F3" s="379"/>
      <c r="G3" s="380"/>
      <c r="H3" s="381"/>
      <c r="I3" s="381"/>
      <c r="J3" s="380"/>
      <c r="K3" s="380"/>
      <c r="L3" s="380"/>
      <c r="M3" s="380"/>
      <c r="N3" s="380"/>
      <c r="O3" s="380"/>
      <c r="P3" s="385" t="n">
        <f aca="false">IF((E$4="m"),G$4," ")</f>
        <v>0</v>
      </c>
      <c r="Q3" s="380"/>
      <c r="R3" s="380"/>
      <c r="S3" s="380"/>
      <c r="T3" s="380"/>
      <c r="U3" s="380"/>
      <c r="V3" s="380"/>
      <c r="W3" s="381"/>
      <c r="X3" s="383"/>
      <c r="Y3" s="380" t="s">
        <v>290</v>
      </c>
      <c r="Z3" s="380"/>
    </row>
    <row r="4" s="365" customFormat="true" ht="12.75" hidden="false" customHeight="false" outlineLevel="0" collapsed="false">
      <c r="A4" s="377"/>
      <c r="B4" s="377"/>
      <c r="C4" s="377"/>
      <c r="D4" s="377"/>
      <c r="E4" s="387" t="s">
        <v>291</v>
      </c>
      <c r="F4" s="379"/>
      <c r="G4" s="400" t="n">
        <f aca="false">IF((C1&lt;Admin!$F$22),((C1-PurchasesMay!C1)*Admin!$G$21),(C1*Admin!$G$21-(C1-Admin!$F$21)*(Admin!$G$21-Admin!$G$22)-PurchasesMay!A1))</f>
        <v>0</v>
      </c>
      <c r="H4" s="381"/>
      <c r="I4" s="381"/>
      <c r="J4" s="389" t="s">
        <v>292</v>
      </c>
      <c r="K4" s="390" t="s">
        <v>293</v>
      </c>
      <c r="L4" s="390" t="s">
        <v>294</v>
      </c>
      <c r="M4" s="390" t="s">
        <v>295</v>
      </c>
      <c r="N4" s="390" t="s">
        <v>296</v>
      </c>
      <c r="O4" s="390" t="s">
        <v>297</v>
      </c>
      <c r="P4" s="391" t="s">
        <v>298</v>
      </c>
      <c r="Q4" s="390" t="s">
        <v>299</v>
      </c>
      <c r="R4" s="390" t="s">
        <v>300</v>
      </c>
      <c r="S4" s="390" t="s">
        <v>301</v>
      </c>
      <c r="T4" s="390" t="s">
        <v>302</v>
      </c>
      <c r="U4" s="390" t="s">
        <v>303</v>
      </c>
      <c r="V4" s="390" t="s">
        <v>304</v>
      </c>
      <c r="W4" s="392" t="s">
        <v>305</v>
      </c>
      <c r="X4" s="383"/>
      <c r="Y4" s="380" t="s">
        <v>306</v>
      </c>
      <c r="Z4" s="380" t="s">
        <v>307</v>
      </c>
    </row>
    <row r="5" customFormat="false" ht="12.75" hidden="false" customHeight="false" outlineLevel="0" collapsed="false">
      <c r="A5" s="355" t="n">
        <v>45809</v>
      </c>
      <c r="B5" s="363" t="s">
        <v>239</v>
      </c>
      <c r="E5" s="365" t="s">
        <v>308</v>
      </c>
      <c r="G5" s="366" t="n">
        <v>1200</v>
      </c>
      <c r="H5" s="338" t="n">
        <f aca="false">IF((G5&lt;&gt;0),IF((D5&gt;0)," ",G5)," ")</f>
        <v>1200</v>
      </c>
      <c r="I5" s="367" t="n">
        <f aca="false">IF((G5&lt;&gt;0),IF((D5&gt;0)," ",(I$1-A5))," ")</f>
        <v>329</v>
      </c>
      <c r="J5" s="334" t="str">
        <f aca="false">IF((E5="s"),G5," ")</f>
        <v> </v>
      </c>
      <c r="K5" s="334" t="str">
        <f aca="false">IF((E5="d"),G5," ")</f>
        <v> </v>
      </c>
      <c r="L5" s="334" t="str">
        <f aca="false">IF((E5="e"),G5," ")</f>
        <v> </v>
      </c>
      <c r="M5" s="334" t="n">
        <f aca="false">IF((E5="p"),G5," ")</f>
        <v>1200</v>
      </c>
      <c r="N5" s="334" t="str">
        <f aca="false">IF((E5="r"),G5," ")</f>
        <v> </v>
      </c>
      <c r="O5" s="334" t="str">
        <f aca="false">IF((E5="g"),G5," ")</f>
        <v> </v>
      </c>
      <c r="P5" s="334" t="str">
        <f aca="false">IF((E5="m"),G5," ")</f>
        <v> </v>
      </c>
      <c r="Q5" s="334" t="str">
        <f aca="false">IF((E5="t"),G5," ")</f>
        <v> </v>
      </c>
      <c r="R5" s="334" t="str">
        <f aca="false">IF((E5="a"),G5," ")</f>
        <v> </v>
      </c>
      <c r="S5" s="334" t="str">
        <f aca="false">IF((E5="l"),G5," ")</f>
        <v> </v>
      </c>
      <c r="T5" s="334" t="str">
        <f aca="false">IF((E5="b"),G5," ")</f>
        <v> </v>
      </c>
      <c r="U5" s="334" t="str">
        <f aca="false">IF((E5="i"),G5," ")</f>
        <v> </v>
      </c>
      <c r="V5" s="334" t="str">
        <f aca="false">IF((E5="o"),G5," ")</f>
        <v> </v>
      </c>
      <c r="W5" s="334" t="str">
        <f aca="false">IF((E5="f"),G5," ")</f>
        <v> </v>
      </c>
    </row>
    <row r="6" customFormat="false" ht="12.75" hidden="false" customHeight="false" outlineLevel="0" collapsed="false">
      <c r="A6" s="355" t="n">
        <v>45809</v>
      </c>
      <c r="B6" s="363" t="s">
        <v>309</v>
      </c>
      <c r="E6" s="365" t="s">
        <v>310</v>
      </c>
      <c r="G6" s="366" t="n">
        <v>30</v>
      </c>
      <c r="H6" s="338" t="n">
        <f aca="false">IF((G6&lt;&gt;0),IF((D6&gt;0)," ",G6)," ")</f>
        <v>30</v>
      </c>
      <c r="I6" s="367" t="n">
        <f aca="false">IF((G6&lt;&gt;0),IF((D6&gt;0)," ",(I$1-A6))," ")</f>
        <v>329</v>
      </c>
      <c r="J6" s="334" t="str">
        <f aca="false">IF((E6="s"),G6," ")</f>
        <v> </v>
      </c>
      <c r="K6" s="334" t="str">
        <f aca="false">IF((E6="d"),G6," ")</f>
        <v> </v>
      </c>
      <c r="L6" s="334" t="str">
        <f aca="false">IF((E6="e"),G6," ")</f>
        <v> </v>
      </c>
      <c r="M6" s="334" t="str">
        <f aca="false">IF((E6="p"),G6," ")</f>
        <v> </v>
      </c>
      <c r="N6" s="334" t="str">
        <f aca="false">IF((E6="r"),G6," ")</f>
        <v> </v>
      </c>
      <c r="O6" s="334" t="n">
        <f aca="false">IF((E6="g"),G6," ")</f>
        <v>30</v>
      </c>
      <c r="P6" s="334" t="str">
        <f aca="false">IF((E6="m"),G6," ")</f>
        <v> </v>
      </c>
      <c r="Q6" s="334" t="str">
        <f aca="false">IF((E6="t"),G6," ")</f>
        <v> </v>
      </c>
      <c r="R6" s="334" t="str">
        <f aca="false">IF((E6="a"),G6," ")</f>
        <v> </v>
      </c>
      <c r="S6" s="334" t="str">
        <f aca="false">IF((E6="l"),G6," ")</f>
        <v> </v>
      </c>
      <c r="T6" s="334" t="str">
        <f aca="false">IF((E6="b"),G6," ")</f>
        <v> </v>
      </c>
      <c r="U6" s="334" t="str">
        <f aca="false">IF((E6="i"),G6," ")</f>
        <v> </v>
      </c>
      <c r="V6" s="334" t="str">
        <f aca="false">IF((E6="o"),G6," ")</f>
        <v> </v>
      </c>
      <c r="W6" s="334" t="str">
        <f aca="false">IF((E6="f"),G6," ")</f>
        <v> </v>
      </c>
    </row>
    <row r="7" customFormat="false" ht="12.75" hidden="false" customHeight="false" outlineLevel="0" collapsed="false">
      <c r="A7" s="355" t="n">
        <v>45809</v>
      </c>
      <c r="B7" s="363" t="s">
        <v>311</v>
      </c>
      <c r="E7" s="365" t="s">
        <v>310</v>
      </c>
      <c r="G7" s="366" t="n">
        <v>15</v>
      </c>
      <c r="H7" s="338" t="n">
        <f aca="false">IF((G7&lt;&gt;0),IF((D7&gt;0)," ",G7)," ")</f>
        <v>15</v>
      </c>
      <c r="I7" s="367" t="n">
        <f aca="false">IF((G7&lt;&gt;0),IF((D7&gt;0)," ",(I$1-A7))," ")</f>
        <v>329</v>
      </c>
      <c r="J7" s="334" t="str">
        <f aca="false">IF((E7="s"),G7," ")</f>
        <v> </v>
      </c>
      <c r="K7" s="334" t="str">
        <f aca="false">IF((E7="d"),G7," ")</f>
        <v> </v>
      </c>
      <c r="L7" s="334" t="str">
        <f aca="false">IF((E7="e"),G7," ")</f>
        <v> </v>
      </c>
      <c r="M7" s="334" t="str">
        <f aca="false">IF((E7="p"),G7," ")</f>
        <v> </v>
      </c>
      <c r="N7" s="334" t="str">
        <f aca="false">IF((E7="r"),G7," ")</f>
        <v> </v>
      </c>
      <c r="O7" s="334" t="n">
        <f aca="false">IF((E7="g"),G7," ")</f>
        <v>15</v>
      </c>
      <c r="P7" s="334" t="str">
        <f aca="false">IF((E7="m"),G7," ")</f>
        <v> </v>
      </c>
      <c r="Q7" s="334" t="str">
        <f aca="false">IF((E7="t"),G7," ")</f>
        <v> </v>
      </c>
      <c r="R7" s="334" t="str">
        <f aca="false">IF((E7="a"),G7," ")</f>
        <v> </v>
      </c>
      <c r="S7" s="334" t="str">
        <f aca="false">IF((E7="l"),G7," ")</f>
        <v> </v>
      </c>
      <c r="T7" s="334" t="str">
        <f aca="false">IF((E7="b"),G7," ")</f>
        <v> </v>
      </c>
      <c r="U7" s="334" t="str">
        <f aca="false">IF((E7="i"),G7," ")</f>
        <v> </v>
      </c>
      <c r="V7" s="334" t="str">
        <f aca="false">IF((E7="o"),G7," ")</f>
        <v> </v>
      </c>
      <c r="W7" s="334" t="str">
        <f aca="false">IF((E7="f"),G7," ")</f>
        <v> </v>
      </c>
    </row>
    <row r="8" customFormat="false" ht="12.75" hidden="false" customHeight="false" outlineLevel="0" collapsed="false">
      <c r="A8" s="355" t="n">
        <v>45809</v>
      </c>
      <c r="B8" s="363" t="s">
        <v>312</v>
      </c>
      <c r="E8" s="365" t="s">
        <v>313</v>
      </c>
      <c r="G8" s="366" t="n">
        <v>45</v>
      </c>
      <c r="H8" s="338" t="n">
        <f aca="false">IF((G8&lt;&gt;0),IF((D8&gt;0)," ",G8)," ")</f>
        <v>45</v>
      </c>
      <c r="I8" s="367" t="n">
        <f aca="false">IF((G8&lt;&gt;0),IF((D8&gt;0)," ",(I$1-A8))," ")</f>
        <v>329</v>
      </c>
      <c r="J8" s="334" t="str">
        <f aca="false">IF((E8="s"),G8," ")</f>
        <v> </v>
      </c>
      <c r="K8" s="334" t="str">
        <f aca="false">IF((E8="d"),G8," ")</f>
        <v> </v>
      </c>
      <c r="L8" s="334" t="str">
        <f aca="false">IF((E8="e"),G8," ")</f>
        <v> </v>
      </c>
      <c r="M8" s="334" t="str">
        <f aca="false">IF((E8="p"),G8," ")</f>
        <v> </v>
      </c>
      <c r="N8" s="334" t="str">
        <f aca="false">IF((E8="r"),G8," ")</f>
        <v> </v>
      </c>
      <c r="O8" s="334" t="str">
        <f aca="false">IF((E8="g"),G8," ")</f>
        <v> </v>
      </c>
      <c r="P8" s="334" t="str">
        <f aca="false">IF((E8="m"),G8," ")</f>
        <v> </v>
      </c>
      <c r="Q8" s="334" t="str">
        <f aca="false">IF((E8="t"),G8," ")</f>
        <v> </v>
      </c>
      <c r="R8" s="334" t="str">
        <f aca="false">IF((E8="a"),G8," ")</f>
        <v> </v>
      </c>
      <c r="S8" s="334" t="str">
        <f aca="false">IF((E8="l"),G8," ")</f>
        <v> </v>
      </c>
      <c r="T8" s="334" t="str">
        <f aca="false">IF((E8="b"),G8," ")</f>
        <v> </v>
      </c>
      <c r="U8" s="334" t="str">
        <f aca="false">IF((E8="i"),G8," ")</f>
        <v> </v>
      </c>
      <c r="V8" s="334" t="n">
        <f aca="false">IF((E8="o"),G8," ")</f>
        <v>45</v>
      </c>
      <c r="W8" s="334" t="str">
        <f aca="false">IF((E8="f"),G8," ")</f>
        <v> </v>
      </c>
    </row>
    <row r="9" customFormat="false" ht="12.75" hidden="false" customHeight="false" outlineLevel="0" collapsed="false">
      <c r="A9" s="355" t="n">
        <v>45809</v>
      </c>
      <c r="B9" s="363" t="s">
        <v>315</v>
      </c>
      <c r="E9" s="365" t="s">
        <v>313</v>
      </c>
      <c r="G9" s="366" t="n">
        <v>24</v>
      </c>
      <c r="H9" s="338" t="n">
        <f aca="false">IF((G9&lt;&gt;0),IF((D9&gt;0)," ",G9)," ")</f>
        <v>24</v>
      </c>
      <c r="I9" s="367" t="n">
        <f aca="false">IF((G9&lt;&gt;0),IF((D9&gt;0)," ",(I$1-A9))," ")</f>
        <v>329</v>
      </c>
      <c r="J9" s="334" t="str">
        <f aca="false">IF((E9="s"),G9," ")</f>
        <v> </v>
      </c>
      <c r="K9" s="334" t="str">
        <f aca="false">IF((E9="d"),G9," ")</f>
        <v> </v>
      </c>
      <c r="L9" s="334" t="str">
        <f aca="false">IF((E9="e"),G9," ")</f>
        <v> </v>
      </c>
      <c r="M9" s="334" t="str">
        <f aca="false">IF((E9="p"),G9," ")</f>
        <v> </v>
      </c>
      <c r="N9" s="334" t="str">
        <f aca="false">IF((E9="r"),G9," ")</f>
        <v> </v>
      </c>
      <c r="O9" s="334" t="str">
        <f aca="false">IF((E9="g"),G9," ")</f>
        <v> </v>
      </c>
      <c r="P9" s="334" t="str">
        <f aca="false">IF((E9="m"),G9," ")</f>
        <v> </v>
      </c>
      <c r="Q9" s="334" t="str">
        <f aca="false">IF((E9="t"),G9," ")</f>
        <v> </v>
      </c>
      <c r="R9" s="334" t="str">
        <f aca="false">IF((E9="a"),G9," ")</f>
        <v> </v>
      </c>
      <c r="S9" s="334" t="str">
        <f aca="false">IF((E9="l"),G9," ")</f>
        <v> </v>
      </c>
      <c r="T9" s="334" t="str">
        <f aca="false">IF((E9="b"),G9," ")</f>
        <v> </v>
      </c>
      <c r="U9" s="334" t="str">
        <f aca="false">IF((E9="i"),G9," ")</f>
        <v> </v>
      </c>
      <c r="V9" s="334" t="n">
        <f aca="false">IF((E9="o"),G9," ")</f>
        <v>24</v>
      </c>
      <c r="W9" s="334" t="str">
        <f aca="false">IF((E9="f"),G9," ")</f>
        <v> </v>
      </c>
    </row>
    <row r="10" customFormat="false" ht="12.75" hidden="false" customHeight="false" outlineLevel="0" collapsed="false">
      <c r="A10" s="355" t="n">
        <v>45809</v>
      </c>
      <c r="B10" s="363" t="s">
        <v>316</v>
      </c>
      <c r="E10" s="365" t="s">
        <v>310</v>
      </c>
      <c r="G10" s="366" t="n">
        <v>18</v>
      </c>
      <c r="H10" s="338" t="n">
        <f aca="false">IF((G10&lt;&gt;0),IF((D10&gt;0)," ",G10)," ")</f>
        <v>18</v>
      </c>
      <c r="I10" s="367" t="n">
        <f aca="false">IF((G10&lt;&gt;0),IF((D10&gt;0)," ",(I$1-A10))," ")</f>
        <v>329</v>
      </c>
      <c r="J10" s="334" t="str">
        <f aca="false">IF((E10="s"),G10," ")</f>
        <v> </v>
      </c>
      <c r="K10" s="334" t="str">
        <f aca="false">IF((E10="d"),G10," ")</f>
        <v> </v>
      </c>
      <c r="L10" s="334" t="str">
        <f aca="false">IF((E10="e"),G10," ")</f>
        <v> </v>
      </c>
      <c r="M10" s="334" t="str">
        <f aca="false">IF((E10="p"),G10," ")</f>
        <v> </v>
      </c>
      <c r="N10" s="334" t="str">
        <f aca="false">IF((E10="r"),G10," ")</f>
        <v> </v>
      </c>
      <c r="O10" s="334" t="n">
        <f aca="false">IF((E10="g"),G10," ")</f>
        <v>18</v>
      </c>
      <c r="P10" s="334" t="str">
        <f aca="false">IF((E10="m"),G10," ")</f>
        <v> </v>
      </c>
      <c r="Q10" s="334" t="str">
        <f aca="false">IF((E10="t"),G10," ")</f>
        <v> </v>
      </c>
      <c r="R10" s="334" t="str">
        <f aca="false">IF((E10="a"),G10," ")</f>
        <v> </v>
      </c>
      <c r="S10" s="334" t="str">
        <f aca="false">IF((E10="l"),G10," ")</f>
        <v> </v>
      </c>
      <c r="T10" s="334" t="str">
        <f aca="false">IF((E10="b"),G10," ")</f>
        <v> </v>
      </c>
      <c r="U10" s="334" t="str">
        <f aca="false">IF((E10="i"),G10," ")</f>
        <v> </v>
      </c>
      <c r="V10" s="334" t="str">
        <f aca="false">IF((E10="o"),G10," ")</f>
        <v> </v>
      </c>
      <c r="W10" s="334" t="str">
        <f aca="false">IF((E10="f"),G10," ")</f>
        <v> </v>
      </c>
    </row>
    <row r="11" customFormat="false" ht="12.75" hidden="false" customHeight="false" outlineLevel="0" collapsed="false">
      <c r="A11" s="355" t="n">
        <v>45811</v>
      </c>
      <c r="B11" s="363" t="s">
        <v>317</v>
      </c>
      <c r="E11" s="365" t="s">
        <v>313</v>
      </c>
      <c r="G11" s="366" t="n">
        <v>180</v>
      </c>
      <c r="H11" s="338" t="n">
        <f aca="false">IF((G11&lt;&gt;0),IF((D11&gt;0)," ",G11)," ")</f>
        <v>180</v>
      </c>
      <c r="I11" s="367" t="n">
        <f aca="false">IF((G11&lt;&gt;0),IF((D11&gt;0)," ",(I$1-A11))," ")</f>
        <v>327</v>
      </c>
      <c r="J11" s="334" t="str">
        <f aca="false">IF((E11="s"),G11," ")</f>
        <v> </v>
      </c>
      <c r="K11" s="334" t="str">
        <f aca="false">IF((E11="d"),G11," ")</f>
        <v> </v>
      </c>
      <c r="L11" s="334" t="str">
        <f aca="false">IF((E11="e"),G11," ")</f>
        <v> </v>
      </c>
      <c r="M11" s="334" t="str">
        <f aca="false">IF((E11="p"),G11," ")</f>
        <v> </v>
      </c>
      <c r="N11" s="334" t="str">
        <f aca="false">IF((E11="r"),G11," ")</f>
        <v> </v>
      </c>
      <c r="O11" s="334" t="str">
        <f aca="false">IF((E11="g"),G11," ")</f>
        <v> </v>
      </c>
      <c r="P11" s="334" t="str">
        <f aca="false">IF((E11="m"),G11," ")</f>
        <v> </v>
      </c>
      <c r="Q11" s="334" t="str">
        <f aca="false">IF((E11="t"),G11," ")</f>
        <v> </v>
      </c>
      <c r="R11" s="334" t="str">
        <f aca="false">IF((E11="a"),G11," ")</f>
        <v> </v>
      </c>
      <c r="S11" s="334" t="str">
        <f aca="false">IF((E11="l"),G11," ")</f>
        <v> </v>
      </c>
      <c r="T11" s="334" t="str">
        <f aca="false">IF((E11="b"),G11," ")</f>
        <v> </v>
      </c>
      <c r="U11" s="334" t="str">
        <f aca="false">IF((E11="i"),G11," ")</f>
        <v> </v>
      </c>
      <c r="V11" s="334" t="n">
        <f aca="false">IF((E11="o"),G11," ")</f>
        <v>180</v>
      </c>
      <c r="W11" s="334" t="str">
        <f aca="false">IF((E11="f"),G11," ")</f>
        <v> </v>
      </c>
    </row>
    <row r="12" customFormat="false" ht="12.75" hidden="false" customHeight="false" outlineLevel="0" collapsed="false">
      <c r="A12" s="355" t="n">
        <v>45811</v>
      </c>
      <c r="B12" s="363" t="s">
        <v>318</v>
      </c>
      <c r="E12" s="365" t="s">
        <v>313</v>
      </c>
      <c r="G12" s="366" t="n">
        <v>22</v>
      </c>
      <c r="H12" s="338" t="n">
        <f aca="false">IF((G12&lt;&gt;0),IF((D12&gt;0)," ",G12)," ")</f>
        <v>22</v>
      </c>
      <c r="I12" s="367" t="n">
        <f aca="false">IF((G12&lt;&gt;0),IF((D12&gt;0)," ",(I$1-A12))," ")</f>
        <v>327</v>
      </c>
      <c r="J12" s="334" t="str">
        <f aca="false">IF((E12="s"),G12," ")</f>
        <v> </v>
      </c>
      <c r="K12" s="334" t="str">
        <f aca="false">IF((E12="d"),G12," ")</f>
        <v> </v>
      </c>
      <c r="L12" s="334" t="str">
        <f aca="false">IF((E12="e"),G12," ")</f>
        <v> </v>
      </c>
      <c r="M12" s="334" t="str">
        <f aca="false">IF((E12="p"),G12," ")</f>
        <v> </v>
      </c>
      <c r="N12" s="334" t="str">
        <f aca="false">IF((E12="r"),G12," ")</f>
        <v> </v>
      </c>
      <c r="O12" s="334" t="str">
        <f aca="false">IF((E12="g"),G12," ")</f>
        <v> </v>
      </c>
      <c r="P12" s="334" t="str">
        <f aca="false">IF((E12="m"),G12," ")</f>
        <v> </v>
      </c>
      <c r="Q12" s="334" t="str">
        <f aca="false">IF((E12="t"),G12," ")</f>
        <v> </v>
      </c>
      <c r="R12" s="334" t="str">
        <f aca="false">IF((E12="a"),G12," ")</f>
        <v> </v>
      </c>
      <c r="S12" s="334" t="str">
        <f aca="false">IF((E12="l"),G12," ")</f>
        <v> </v>
      </c>
      <c r="T12" s="334" t="str">
        <f aca="false">IF((E12="b"),G12," ")</f>
        <v> </v>
      </c>
      <c r="U12" s="334" t="str">
        <f aca="false">IF((E12="i"),G12," ")</f>
        <v> </v>
      </c>
      <c r="V12" s="334" t="n">
        <f aca="false">IF((E12="o"),G12," ")</f>
        <v>22</v>
      </c>
      <c r="W12" s="334" t="str">
        <f aca="false">IF((E12="f"),G12," ")</f>
        <v> </v>
      </c>
    </row>
    <row r="13" customFormat="false" ht="12.75" hidden="false" customHeight="false" outlineLevel="0" collapsed="false">
      <c r="A13" s="355" t="n">
        <v>45813</v>
      </c>
      <c r="B13" s="363" t="s">
        <v>319</v>
      </c>
      <c r="E13" s="365" t="s">
        <v>313</v>
      </c>
      <c r="G13" s="366" t="n">
        <v>24</v>
      </c>
      <c r="H13" s="338" t="n">
        <f aca="false">IF((G13&lt;&gt;0),IF((D13&gt;0)," ",G13)," ")</f>
        <v>24</v>
      </c>
      <c r="I13" s="367" t="n">
        <f aca="false">IF((G13&lt;&gt;0),IF((D13&gt;0)," ",(I$1-A13))," ")</f>
        <v>325</v>
      </c>
      <c r="J13" s="334" t="str">
        <f aca="false">IF((E13="s"),G13," ")</f>
        <v> </v>
      </c>
      <c r="K13" s="334" t="str">
        <f aca="false">IF((E13="d"),G13," ")</f>
        <v> </v>
      </c>
      <c r="L13" s="334" t="str">
        <f aca="false">IF((E13="e"),G13," ")</f>
        <v> </v>
      </c>
      <c r="M13" s="334" t="str">
        <f aca="false">IF((E13="p"),G13," ")</f>
        <v> </v>
      </c>
      <c r="N13" s="334" t="str">
        <f aca="false">IF((E13="r"),G13," ")</f>
        <v> </v>
      </c>
      <c r="O13" s="334" t="str">
        <f aca="false">IF((E13="g"),G13," ")</f>
        <v> </v>
      </c>
      <c r="P13" s="334" t="str">
        <f aca="false">IF((E13="m"),G13," ")</f>
        <v> </v>
      </c>
      <c r="Q13" s="334" t="str">
        <f aca="false">IF((E13="t"),G13," ")</f>
        <v> </v>
      </c>
      <c r="R13" s="334" t="str">
        <f aca="false">IF((E13="a"),G13," ")</f>
        <v> </v>
      </c>
      <c r="S13" s="334" t="str">
        <f aca="false">IF((E13="l"),G13," ")</f>
        <v> </v>
      </c>
      <c r="T13" s="334" t="str">
        <f aca="false">IF((E13="b"),G13," ")</f>
        <v> </v>
      </c>
      <c r="U13" s="334" t="str">
        <f aca="false">IF((E13="i"),G13," ")</f>
        <v> </v>
      </c>
      <c r="V13" s="334" t="n">
        <f aca="false">IF((E13="o"),G13," ")</f>
        <v>24</v>
      </c>
      <c r="W13" s="334" t="str">
        <f aca="false">IF((E13="f"),G13," ")</f>
        <v> </v>
      </c>
    </row>
    <row r="14" customFormat="false" ht="12.75" hidden="false" customHeight="false" outlineLevel="0" collapsed="false">
      <c r="A14" s="355" t="n">
        <v>45813</v>
      </c>
      <c r="B14" s="363" t="s">
        <v>320</v>
      </c>
      <c r="E14" s="365" t="s">
        <v>291</v>
      </c>
      <c r="G14" s="366" t="n">
        <v>180</v>
      </c>
      <c r="H14" s="338" t="n">
        <f aca="false">IF((G14&lt;&gt;0),IF((D14&gt;0)," ",G14)," ")</f>
        <v>180</v>
      </c>
      <c r="I14" s="367" t="n">
        <f aca="false">IF((G14&lt;&gt;0),IF((D14&gt;0)," ",(I$1-A14))," ")</f>
        <v>325</v>
      </c>
      <c r="J14" s="334" t="str">
        <f aca="false">IF((E14="s"),G14," ")</f>
        <v> </v>
      </c>
      <c r="K14" s="334" t="str">
        <f aca="false">IF((E14="d"),G14," ")</f>
        <v> </v>
      </c>
      <c r="L14" s="334" t="str">
        <f aca="false">IF((E14="e"),G14," ")</f>
        <v> </v>
      </c>
      <c r="M14" s="334" t="str">
        <f aca="false">IF((E14="p"),G14," ")</f>
        <v> </v>
      </c>
      <c r="N14" s="334" t="str">
        <f aca="false">IF((E14="r"),G14," ")</f>
        <v> </v>
      </c>
      <c r="O14" s="334" t="str">
        <f aca="false">IF((E14="g"),G14," ")</f>
        <v> </v>
      </c>
      <c r="P14" s="334" t="n">
        <f aca="false">IF((E14="m"),G14," ")</f>
        <v>180</v>
      </c>
      <c r="Q14" s="334" t="str">
        <f aca="false">IF((E14="t"),G14," ")</f>
        <v> </v>
      </c>
      <c r="R14" s="334" t="str">
        <f aca="false">IF((E14="a"),G14," ")</f>
        <v> </v>
      </c>
      <c r="S14" s="334" t="str">
        <f aca="false">IF((E14="l"),G14," ")</f>
        <v> </v>
      </c>
      <c r="T14" s="334" t="str">
        <f aca="false">IF((E14="b"),G14," ")</f>
        <v> </v>
      </c>
      <c r="U14" s="334" t="str">
        <f aca="false">IF((E14="i"),G14," ")</f>
        <v> </v>
      </c>
      <c r="V14" s="334" t="str">
        <f aca="false">IF((E14="o"),G14," ")</f>
        <v> </v>
      </c>
      <c r="W14" s="334" t="str">
        <f aca="false">IF((E14="f"),G14," ")</f>
        <v> </v>
      </c>
    </row>
    <row r="15" customFormat="false" ht="12.75" hidden="false" customHeight="false" outlineLevel="0" collapsed="false">
      <c r="A15" s="355" t="n">
        <v>45813</v>
      </c>
      <c r="B15" s="363" t="s">
        <v>321</v>
      </c>
      <c r="E15" s="365" t="s">
        <v>313</v>
      </c>
      <c r="G15" s="366" t="n">
        <v>36</v>
      </c>
      <c r="H15" s="338" t="n">
        <f aca="false">IF((G15&lt;&gt;0),IF((D15&gt;0)," ",G15)," ")</f>
        <v>36</v>
      </c>
      <c r="I15" s="367" t="n">
        <f aca="false">IF((G15&lt;&gt;0),IF((D15&gt;0)," ",(I$1-A15))," ")</f>
        <v>325</v>
      </c>
      <c r="J15" s="334" t="str">
        <f aca="false">IF((E15="s"),G15," ")</f>
        <v> </v>
      </c>
      <c r="K15" s="334" t="str">
        <f aca="false">IF((E15="d"),G15," ")</f>
        <v> </v>
      </c>
      <c r="L15" s="334" t="str">
        <f aca="false">IF((E15="e"),G15," ")</f>
        <v> </v>
      </c>
      <c r="M15" s="334" t="str">
        <f aca="false">IF((E15="p"),G15," ")</f>
        <v> </v>
      </c>
      <c r="N15" s="334" t="str">
        <f aca="false">IF((E15="r"),G15," ")</f>
        <v> </v>
      </c>
      <c r="O15" s="334" t="str">
        <f aca="false">IF((E15="g"),G15," ")</f>
        <v> </v>
      </c>
      <c r="P15" s="334" t="str">
        <f aca="false">IF((E15="m"),G15," ")</f>
        <v> </v>
      </c>
      <c r="Q15" s="334" t="str">
        <f aca="false">IF((E15="t"),G15," ")</f>
        <v> </v>
      </c>
      <c r="R15" s="334" t="str">
        <f aca="false">IF((E15="a"),G15," ")</f>
        <v> </v>
      </c>
      <c r="S15" s="334" t="str">
        <f aca="false">IF((E15="l"),G15," ")</f>
        <v> </v>
      </c>
      <c r="T15" s="334" t="str">
        <f aca="false">IF((E15="b"),G15," ")</f>
        <v> </v>
      </c>
      <c r="U15" s="334" t="str">
        <f aca="false">IF((E15="i"),G15," ")</f>
        <v> </v>
      </c>
      <c r="V15" s="334" t="n">
        <f aca="false">IF((E15="o"),G15," ")</f>
        <v>36</v>
      </c>
      <c r="W15" s="334" t="str">
        <f aca="false">IF((E15="f"),G15," ")</f>
        <v> </v>
      </c>
    </row>
    <row r="16" customFormat="false" ht="12.75" hidden="false" customHeight="false" outlineLevel="0" collapsed="false">
      <c r="A16" s="355" t="n">
        <v>45816</v>
      </c>
      <c r="B16" s="363" t="s">
        <v>322</v>
      </c>
      <c r="E16" s="365" t="s">
        <v>323</v>
      </c>
      <c r="G16" s="366" t="n">
        <v>48</v>
      </c>
      <c r="H16" s="338" t="n">
        <f aca="false">IF((G16&lt;&gt;0),IF((D16&gt;0)," ",G16)," ")</f>
        <v>48</v>
      </c>
      <c r="I16" s="367" t="n">
        <f aca="false">IF((G16&lt;&gt;0),IF((D16&gt;0)," ",(I$1-A16))," ")</f>
        <v>322</v>
      </c>
      <c r="J16" s="334" t="str">
        <f aca="false">IF((E16="s"),G16," ")</f>
        <v> </v>
      </c>
      <c r="K16" s="334" t="str">
        <f aca="false">IF((E16="d"),G16," ")</f>
        <v> </v>
      </c>
      <c r="L16" s="334" t="str">
        <f aca="false">IF((E16="e"),G16," ")</f>
        <v> </v>
      </c>
      <c r="M16" s="334" t="str">
        <f aca="false">IF((E16="p"),G16," ")</f>
        <v> </v>
      </c>
      <c r="N16" s="334" t="str">
        <f aca="false">IF((E16="r"),G16," ")</f>
        <v> </v>
      </c>
      <c r="O16" s="334" t="str">
        <f aca="false">IF((E16="g"),G16," ")</f>
        <v> </v>
      </c>
      <c r="P16" s="334" t="str">
        <f aca="false">IF((E16="m"),G16," ")</f>
        <v> </v>
      </c>
      <c r="Q16" s="334" t="n">
        <f aca="false">IF((E16="t"),G16," ")</f>
        <v>48</v>
      </c>
      <c r="R16" s="334" t="str">
        <f aca="false">IF((E16="a"),G16," ")</f>
        <v> </v>
      </c>
      <c r="S16" s="334" t="str">
        <f aca="false">IF((E16="l"),G16," ")</f>
        <v> </v>
      </c>
      <c r="T16" s="334" t="str">
        <f aca="false">IF((E16="b"),G16," ")</f>
        <v> </v>
      </c>
      <c r="U16" s="334" t="str">
        <f aca="false">IF((E16="i"),G16," ")</f>
        <v> </v>
      </c>
      <c r="V16" s="334" t="str">
        <f aca="false">IF((E16="o"),G16," ")</f>
        <v> </v>
      </c>
      <c r="W16" s="334" t="str">
        <f aca="false">IF((E16="f"),G16," ")</f>
        <v> </v>
      </c>
    </row>
    <row r="17" customFormat="false" ht="12.75" hidden="false" customHeight="false" outlineLevel="0" collapsed="false">
      <c r="A17" s="355" t="n">
        <v>45818</v>
      </c>
      <c r="B17" s="363" t="s">
        <v>324</v>
      </c>
      <c r="E17" s="365" t="s">
        <v>313</v>
      </c>
      <c r="G17" s="366" t="n">
        <v>36</v>
      </c>
      <c r="H17" s="338" t="n">
        <f aca="false">IF((G17&lt;&gt;0),IF((D17&gt;0)," ",G17)," ")</f>
        <v>36</v>
      </c>
      <c r="I17" s="367" t="n">
        <f aca="false">IF((G17&lt;&gt;0),IF((D17&gt;0)," ",(I$1-A17))," ")</f>
        <v>320</v>
      </c>
      <c r="J17" s="334" t="str">
        <f aca="false">IF((E17="s"),G17," ")</f>
        <v> </v>
      </c>
      <c r="K17" s="334" t="str">
        <f aca="false">IF((E17="d"),G17," ")</f>
        <v> </v>
      </c>
      <c r="L17" s="334" t="str">
        <f aca="false">IF((E17="e"),G17," ")</f>
        <v> </v>
      </c>
      <c r="M17" s="334" t="str">
        <f aca="false">IF((E17="p"),G17," ")</f>
        <v> </v>
      </c>
      <c r="N17" s="334" t="str">
        <f aca="false">IF((E17="r"),G17," ")</f>
        <v> </v>
      </c>
      <c r="O17" s="334" t="str">
        <f aca="false">IF((E17="g"),G17," ")</f>
        <v> </v>
      </c>
      <c r="P17" s="334" t="str">
        <f aca="false">IF((E17="m"),G17," ")</f>
        <v> </v>
      </c>
      <c r="Q17" s="334" t="str">
        <f aca="false">IF((E17="t"),G17," ")</f>
        <v> </v>
      </c>
      <c r="R17" s="334" t="str">
        <f aca="false">IF((E17="a"),G17," ")</f>
        <v> </v>
      </c>
      <c r="S17" s="334" t="str">
        <f aca="false">IF((E17="l"),G17," ")</f>
        <v> </v>
      </c>
      <c r="T17" s="334" t="str">
        <f aca="false">IF((E17="b"),G17," ")</f>
        <v> </v>
      </c>
      <c r="U17" s="334" t="str">
        <f aca="false">IF((E17="i"),G17," ")</f>
        <v> </v>
      </c>
      <c r="V17" s="334" t="n">
        <f aca="false">IF((E17="o"),G17," ")</f>
        <v>36</v>
      </c>
      <c r="W17" s="334" t="str">
        <f aca="false">IF((E17="f"),G17," ")</f>
        <v> </v>
      </c>
    </row>
    <row r="18" customFormat="false" ht="12.75" hidden="false" customHeight="false" outlineLevel="0" collapsed="false">
      <c r="A18" s="355" t="n">
        <v>45818</v>
      </c>
      <c r="B18" s="363" t="s">
        <v>357</v>
      </c>
      <c r="E18" s="365" t="s">
        <v>310</v>
      </c>
      <c r="G18" s="366" t="n">
        <v>96</v>
      </c>
      <c r="H18" s="338" t="n">
        <f aca="false">IF((G18&lt;&gt;0),IF((D18&gt;0)," ",G18)," ")</f>
        <v>96</v>
      </c>
      <c r="I18" s="367" t="n">
        <f aca="false">IF((G18&lt;&gt;0),IF((D18&gt;0)," ",(I$1-A18))," ")</f>
        <v>320</v>
      </c>
      <c r="J18" s="334" t="str">
        <f aca="false">IF((E18="s"),G18," ")</f>
        <v> </v>
      </c>
      <c r="K18" s="334" t="str">
        <f aca="false">IF((E18="d"),G18," ")</f>
        <v> </v>
      </c>
      <c r="L18" s="334" t="str">
        <f aca="false">IF((E18="e"),G18," ")</f>
        <v> </v>
      </c>
      <c r="M18" s="334" t="str">
        <f aca="false">IF((E18="p"),G18," ")</f>
        <v> </v>
      </c>
      <c r="N18" s="334" t="str">
        <f aca="false">IF((E18="r"),G18," ")</f>
        <v> </v>
      </c>
      <c r="O18" s="334" t="n">
        <f aca="false">IF((E18="g"),G18," ")</f>
        <v>96</v>
      </c>
      <c r="P18" s="334" t="str">
        <f aca="false">IF((E18="m"),G18," ")</f>
        <v> </v>
      </c>
      <c r="Q18" s="334" t="str">
        <f aca="false">IF((E18="t"),G18," ")</f>
        <v> </v>
      </c>
      <c r="R18" s="334" t="str">
        <f aca="false">IF((E18="a"),G18," ")</f>
        <v> </v>
      </c>
      <c r="S18" s="334" t="str">
        <f aca="false">IF((E18="l"),G18," ")</f>
        <v> </v>
      </c>
      <c r="T18" s="334" t="str">
        <f aca="false">IF((E18="b"),G18," ")</f>
        <v> </v>
      </c>
      <c r="U18" s="334" t="str">
        <f aca="false">IF((E18="i"),G18," ")</f>
        <v> </v>
      </c>
      <c r="V18" s="334" t="str">
        <f aca="false">IF((E18="o"),G18," ")</f>
        <v> </v>
      </c>
      <c r="W18" s="334" t="str">
        <f aca="false">IF((E18="f"),G18," ")</f>
        <v> </v>
      </c>
    </row>
    <row r="19" customFormat="false" ht="12.75" hidden="false" customHeight="false" outlineLevel="0" collapsed="false">
      <c r="A19" s="355" t="n">
        <v>45820</v>
      </c>
      <c r="B19" s="363" t="s">
        <v>328</v>
      </c>
      <c r="E19" s="365" t="s">
        <v>291</v>
      </c>
      <c r="G19" s="366" t="n">
        <v>18</v>
      </c>
      <c r="H19" s="338" t="n">
        <f aca="false">IF((G19&lt;&gt;0),IF((D19&gt;0)," ",G19)," ")</f>
        <v>18</v>
      </c>
      <c r="I19" s="367" t="n">
        <f aca="false">IF((G19&lt;&gt;0),IF((D19&gt;0)," ",(I$1-A19))," ")</f>
        <v>318</v>
      </c>
      <c r="J19" s="334" t="str">
        <f aca="false">IF((E19="s"),G19," ")</f>
        <v> </v>
      </c>
      <c r="K19" s="334" t="str">
        <f aca="false">IF((E19="d"),G19," ")</f>
        <v> </v>
      </c>
      <c r="L19" s="334" t="str">
        <f aca="false">IF((E19="e"),G19," ")</f>
        <v> </v>
      </c>
      <c r="M19" s="334" t="str">
        <f aca="false">IF((E19="p"),G19," ")</f>
        <v> </v>
      </c>
      <c r="N19" s="334" t="str">
        <f aca="false">IF((E19="r"),G19," ")</f>
        <v> </v>
      </c>
      <c r="O19" s="334" t="str">
        <f aca="false">IF((E19="g"),G19," ")</f>
        <v> </v>
      </c>
      <c r="P19" s="334" t="n">
        <f aca="false">IF((E19="m"),G19," ")</f>
        <v>18</v>
      </c>
      <c r="Q19" s="334" t="str">
        <f aca="false">IF((E19="t"),G19," ")</f>
        <v> </v>
      </c>
      <c r="R19" s="334" t="str">
        <f aca="false">IF((E19="a"),G19," ")</f>
        <v> </v>
      </c>
      <c r="S19" s="334" t="str">
        <f aca="false">IF((E19="l"),G19," ")</f>
        <v> </v>
      </c>
      <c r="T19" s="334" t="str">
        <f aca="false">IF((E19="b"),G19," ")</f>
        <v> </v>
      </c>
      <c r="U19" s="334" t="str">
        <f aca="false">IF((E19="i"),G19," ")</f>
        <v> </v>
      </c>
      <c r="V19" s="334" t="str">
        <f aca="false">IF((E19="o"),G19," ")</f>
        <v> </v>
      </c>
      <c r="W19" s="334" t="str">
        <f aca="false">IF((E19="f"),G19," ")</f>
        <v> </v>
      </c>
    </row>
    <row r="20" customFormat="false" ht="12.75" hidden="false" customHeight="false" outlineLevel="0" collapsed="false">
      <c r="A20" s="355" t="n">
        <v>45822</v>
      </c>
      <c r="B20" s="363" t="s">
        <v>329</v>
      </c>
      <c r="E20" s="365" t="s">
        <v>313</v>
      </c>
      <c r="G20" s="366" t="n">
        <v>30</v>
      </c>
      <c r="H20" s="338" t="n">
        <f aca="false">IF((G20&lt;&gt;0),IF((D20&gt;0)," ",G20)," ")</f>
        <v>30</v>
      </c>
      <c r="I20" s="367" t="n">
        <f aca="false">IF((G20&lt;&gt;0),IF((D20&gt;0)," ",(I$1-A20))," ")</f>
        <v>316</v>
      </c>
      <c r="J20" s="334" t="str">
        <f aca="false">IF((E20="s"),G20," ")</f>
        <v> </v>
      </c>
      <c r="K20" s="334" t="str">
        <f aca="false">IF((E20="d"),G20," ")</f>
        <v> </v>
      </c>
      <c r="L20" s="334" t="str">
        <f aca="false">IF((E20="e"),G20," ")</f>
        <v> </v>
      </c>
      <c r="M20" s="334" t="str">
        <f aca="false">IF((E20="p"),G20," ")</f>
        <v> </v>
      </c>
      <c r="N20" s="334" t="str">
        <f aca="false">IF((E20="r"),G20," ")</f>
        <v> </v>
      </c>
      <c r="O20" s="334" t="str">
        <f aca="false">IF((E20="g"),G20," ")</f>
        <v> </v>
      </c>
      <c r="P20" s="334" t="str">
        <f aca="false">IF((E20="m"),G20," ")</f>
        <v> </v>
      </c>
      <c r="Q20" s="334" t="str">
        <f aca="false">IF((E20="t"),G20," ")</f>
        <v> </v>
      </c>
      <c r="R20" s="334" t="str">
        <f aca="false">IF((E20="a"),G20," ")</f>
        <v> </v>
      </c>
      <c r="S20" s="334" t="str">
        <f aca="false">IF((E20="l"),G20," ")</f>
        <v> </v>
      </c>
      <c r="T20" s="334" t="str">
        <f aca="false">IF((E20="b"),G20," ")</f>
        <v> </v>
      </c>
      <c r="U20" s="334" t="str">
        <f aca="false">IF((E20="i"),G20," ")</f>
        <v> </v>
      </c>
      <c r="V20" s="334" t="n">
        <f aca="false">IF((E20="o"),G20," ")</f>
        <v>30</v>
      </c>
      <c r="W20" s="334" t="str">
        <f aca="false">IF((E20="f"),G20," ")</f>
        <v> </v>
      </c>
    </row>
    <row r="21" customFormat="false" ht="12.75" hidden="false" customHeight="false" outlineLevel="0" collapsed="false">
      <c r="A21" s="355" t="n">
        <v>45822</v>
      </c>
      <c r="B21" s="363" t="s">
        <v>330</v>
      </c>
      <c r="E21" s="365" t="s">
        <v>323</v>
      </c>
      <c r="G21" s="366" t="n">
        <v>24</v>
      </c>
      <c r="H21" s="338" t="n">
        <f aca="false">IF((G21&lt;&gt;0),IF((D21&gt;0)," ",G21)," ")</f>
        <v>24</v>
      </c>
      <c r="I21" s="367" t="n">
        <f aca="false">IF((G21&lt;&gt;0),IF((D21&gt;0)," ",(I$1-A21))," ")</f>
        <v>316</v>
      </c>
      <c r="J21" s="334" t="str">
        <f aca="false">IF((E21="s"),G21," ")</f>
        <v> </v>
      </c>
      <c r="K21" s="334" t="str">
        <f aca="false">IF((E21="d"),G21," ")</f>
        <v> </v>
      </c>
      <c r="L21" s="334" t="str">
        <f aca="false">IF((E21="e"),G21," ")</f>
        <v> </v>
      </c>
      <c r="M21" s="334" t="str">
        <f aca="false">IF((E21="p"),G21," ")</f>
        <v> </v>
      </c>
      <c r="N21" s="334" t="str">
        <f aca="false">IF((E21="r"),G21," ")</f>
        <v> </v>
      </c>
      <c r="O21" s="334" t="str">
        <f aca="false">IF((E21="g"),G21," ")</f>
        <v> </v>
      </c>
      <c r="P21" s="334" t="str">
        <f aca="false">IF((E21="m"),G21," ")</f>
        <v> </v>
      </c>
      <c r="Q21" s="334" t="n">
        <f aca="false">IF((E21="t"),G21," ")</f>
        <v>24</v>
      </c>
      <c r="R21" s="334" t="str">
        <f aca="false">IF((E21="a"),G21," ")</f>
        <v> </v>
      </c>
      <c r="S21" s="334" t="str">
        <f aca="false">IF((E21="l"),G21," ")</f>
        <v> </v>
      </c>
      <c r="T21" s="334" t="str">
        <f aca="false">IF((E21="b"),G21," ")</f>
        <v> </v>
      </c>
      <c r="U21" s="334" t="str">
        <f aca="false">IF((E21="i"),G21," ")</f>
        <v> </v>
      </c>
      <c r="V21" s="334" t="str">
        <f aca="false">IF((E21="o"),G21," ")</f>
        <v> </v>
      </c>
      <c r="W21" s="334" t="str">
        <f aca="false">IF((E21="f"),G21," ")</f>
        <v> </v>
      </c>
    </row>
    <row r="22" customFormat="false" ht="12.75" hidden="false" customHeight="false" outlineLevel="0" collapsed="false">
      <c r="A22" s="355" t="n">
        <v>45822</v>
      </c>
      <c r="B22" s="363" t="s">
        <v>331</v>
      </c>
      <c r="E22" s="365" t="s">
        <v>323</v>
      </c>
      <c r="G22" s="366" t="n">
        <v>12</v>
      </c>
      <c r="H22" s="338" t="n">
        <f aca="false">IF((G22&lt;&gt;0),IF((D22&gt;0)," ",G22)," ")</f>
        <v>12</v>
      </c>
      <c r="I22" s="367" t="n">
        <f aca="false">IF((G22&lt;&gt;0),IF((D22&gt;0)," ",(I$1-A22))," ")</f>
        <v>316</v>
      </c>
      <c r="J22" s="334" t="str">
        <f aca="false">IF((E22="s"),G22," ")</f>
        <v> </v>
      </c>
      <c r="K22" s="334" t="str">
        <f aca="false">IF((E22="d"),G22," ")</f>
        <v> </v>
      </c>
      <c r="L22" s="334" t="str">
        <f aca="false">IF((E22="e"),G22," ")</f>
        <v> </v>
      </c>
      <c r="M22" s="334" t="str">
        <f aca="false">IF((E22="p"),G22," ")</f>
        <v> </v>
      </c>
      <c r="N22" s="334" t="str">
        <f aca="false">IF((E22="r"),G22," ")</f>
        <v> </v>
      </c>
      <c r="O22" s="334" t="str">
        <f aca="false">IF((E22="g"),G22," ")</f>
        <v> </v>
      </c>
      <c r="P22" s="334" t="str">
        <f aca="false">IF((E22="m"),G22," ")</f>
        <v> </v>
      </c>
      <c r="Q22" s="334" t="n">
        <f aca="false">IF((E22="t"),G22," ")</f>
        <v>12</v>
      </c>
      <c r="R22" s="334" t="str">
        <f aca="false">IF((E22="a"),G22," ")</f>
        <v> </v>
      </c>
      <c r="S22" s="334" t="str">
        <f aca="false">IF((E22="l"),G22," ")</f>
        <v> </v>
      </c>
      <c r="T22" s="334" t="str">
        <f aca="false">IF((E22="b"),G22," ")</f>
        <v> </v>
      </c>
      <c r="U22" s="334" t="str">
        <f aca="false">IF((E22="i"),G22," ")</f>
        <v> </v>
      </c>
      <c r="V22" s="334" t="str">
        <f aca="false">IF((E22="o"),G22," ")</f>
        <v> </v>
      </c>
      <c r="W22" s="334" t="str">
        <f aca="false">IF((E22="f"),G22," ")</f>
        <v> </v>
      </c>
    </row>
    <row r="23" customFormat="false" ht="12.75" hidden="false" customHeight="false" outlineLevel="0" collapsed="false">
      <c r="A23" s="355" t="n">
        <v>45823</v>
      </c>
      <c r="B23" s="363" t="s">
        <v>243</v>
      </c>
      <c r="E23" s="365" t="s">
        <v>291</v>
      </c>
      <c r="G23" s="366" t="n">
        <v>150</v>
      </c>
      <c r="H23" s="338" t="n">
        <f aca="false">IF((G23&lt;&gt;0),IF((D23&gt;0)," ",G23)," ")</f>
        <v>150</v>
      </c>
      <c r="I23" s="367" t="n">
        <f aca="false">IF((G23&lt;&gt;0),IF((D23&gt;0)," ",(I$1-A23))," ")</f>
        <v>315</v>
      </c>
      <c r="J23" s="334" t="str">
        <f aca="false">IF((E23="s"),G23," ")</f>
        <v> </v>
      </c>
      <c r="K23" s="334" t="str">
        <f aca="false">IF((E23="d"),G23," ")</f>
        <v> </v>
      </c>
      <c r="L23" s="334" t="str">
        <f aca="false">IF((E23="e"),G23," ")</f>
        <v> </v>
      </c>
      <c r="M23" s="334" t="str">
        <f aca="false">IF((E23="p"),G23," ")</f>
        <v> </v>
      </c>
      <c r="N23" s="334" t="str">
        <f aca="false">IF((E23="r"),G23," ")</f>
        <v> </v>
      </c>
      <c r="O23" s="334" t="str">
        <f aca="false">IF((E23="g"),G23," ")</f>
        <v> </v>
      </c>
      <c r="P23" s="334" t="n">
        <f aca="false">IF((E23="m"),G23," ")</f>
        <v>150</v>
      </c>
      <c r="Q23" s="334" t="str">
        <f aca="false">IF((E23="t"),G23," ")</f>
        <v> </v>
      </c>
      <c r="R23" s="334" t="str">
        <f aca="false">IF((E23="a"),G23," ")</f>
        <v> </v>
      </c>
      <c r="S23" s="334" t="str">
        <f aca="false">IF((E23="l"),G23," ")</f>
        <v> </v>
      </c>
      <c r="T23" s="334" t="str">
        <f aca="false">IF((E23="b"),G23," ")</f>
        <v> </v>
      </c>
      <c r="U23" s="334" t="str">
        <f aca="false">IF((E23="i"),G23," ")</f>
        <v> </v>
      </c>
      <c r="V23" s="334" t="str">
        <f aca="false">IF((E23="o"),G23," ")</f>
        <v> </v>
      </c>
      <c r="W23" s="334" t="str">
        <f aca="false">IF((E23="f"),G23," ")</f>
        <v> </v>
      </c>
    </row>
    <row r="24" customFormat="false" ht="12.75" hidden="false" customHeight="false" outlineLevel="0" collapsed="false">
      <c r="A24" s="355" t="n">
        <v>45823</v>
      </c>
      <c r="B24" s="363" t="s">
        <v>332</v>
      </c>
      <c r="E24" s="365" t="s">
        <v>310</v>
      </c>
      <c r="G24" s="366" t="n">
        <v>12</v>
      </c>
      <c r="H24" s="338" t="n">
        <f aca="false">IF((G24&lt;&gt;0),IF((D24&gt;0)," ",G24)," ")</f>
        <v>12</v>
      </c>
      <c r="I24" s="367" t="n">
        <f aca="false">IF((G24&lt;&gt;0),IF((D24&gt;0)," ",(I$1-A24))," ")</f>
        <v>315</v>
      </c>
      <c r="J24" s="334" t="str">
        <f aca="false">IF((E24="s"),G24," ")</f>
        <v> </v>
      </c>
      <c r="K24" s="334" t="str">
        <f aca="false">IF((E24="d"),G24," ")</f>
        <v> </v>
      </c>
      <c r="L24" s="334" t="str">
        <f aca="false">IF((E24="e"),G24," ")</f>
        <v> </v>
      </c>
      <c r="M24" s="334" t="str">
        <f aca="false">IF((E24="p"),G24," ")</f>
        <v> </v>
      </c>
      <c r="N24" s="334" t="str">
        <f aca="false">IF((E24="r"),G24," ")</f>
        <v> </v>
      </c>
      <c r="O24" s="334" t="n">
        <f aca="false">IF((E24="g"),G24," ")</f>
        <v>12</v>
      </c>
      <c r="P24" s="334" t="str">
        <f aca="false">IF((E24="m"),G24," ")</f>
        <v> </v>
      </c>
      <c r="Q24" s="334" t="str">
        <f aca="false">IF((E24="t"),G24," ")</f>
        <v> </v>
      </c>
      <c r="R24" s="334" t="str">
        <f aca="false">IF((E24="a"),G24," ")</f>
        <v> </v>
      </c>
      <c r="S24" s="334" t="str">
        <f aca="false">IF((E24="l"),G24," ")</f>
        <v> </v>
      </c>
      <c r="T24" s="334" t="str">
        <f aca="false">IF((E24="b"),G24," ")</f>
        <v> </v>
      </c>
      <c r="U24" s="334" t="str">
        <f aca="false">IF((E24="i"),G24," ")</f>
        <v> </v>
      </c>
      <c r="V24" s="334" t="str">
        <f aca="false">IF((E24="o"),G24," ")</f>
        <v> </v>
      </c>
      <c r="W24" s="334" t="str">
        <f aca="false">IF((E24="f"),G24," ")</f>
        <v> </v>
      </c>
    </row>
    <row r="25" customFormat="false" ht="12.75" hidden="false" customHeight="false" outlineLevel="0" collapsed="false">
      <c r="A25" s="355" t="n">
        <v>45823</v>
      </c>
      <c r="B25" s="363" t="s">
        <v>358</v>
      </c>
      <c r="E25" s="365" t="s">
        <v>359</v>
      </c>
      <c r="G25" s="366" t="n">
        <v>5000</v>
      </c>
      <c r="H25" s="338" t="n">
        <f aca="false">IF((G25&lt;&gt;0),IF((D25&gt;0)," ",G25)," ")</f>
        <v>5000</v>
      </c>
      <c r="I25" s="367" t="n">
        <f aca="false">IF((G25&lt;&gt;0),IF((D25&gt;0)," ",(I$1-A25))," ")</f>
        <v>315</v>
      </c>
      <c r="J25" s="334" t="str">
        <f aca="false">IF((E25="s"),G25," ")</f>
        <v> </v>
      </c>
      <c r="K25" s="334" t="n">
        <f aca="false">IF((E25="d"),G25," ")</f>
        <v>5000</v>
      </c>
      <c r="L25" s="334" t="str">
        <f aca="false">IF((E25="e"),G25," ")</f>
        <v> </v>
      </c>
      <c r="M25" s="334" t="str">
        <f aca="false">IF((E25="p"),G25," ")</f>
        <v> </v>
      </c>
      <c r="N25" s="334" t="str">
        <f aca="false">IF((E25="r"),G25," ")</f>
        <v> </v>
      </c>
      <c r="O25" s="334" t="str">
        <f aca="false">IF((E25="g"),G25," ")</f>
        <v> </v>
      </c>
      <c r="P25" s="334" t="str">
        <f aca="false">IF((E25="m"),G25," ")</f>
        <v> </v>
      </c>
      <c r="Q25" s="334" t="str">
        <f aca="false">IF((E25="t"),G25," ")</f>
        <v> </v>
      </c>
      <c r="R25" s="334" t="str">
        <f aca="false">IF((E25="a"),G25," ")</f>
        <v> </v>
      </c>
      <c r="S25" s="334" t="str">
        <f aca="false">IF((E25="l"),G25," ")</f>
        <v> </v>
      </c>
      <c r="T25" s="334" t="str">
        <f aca="false">IF((E25="b"),G25," ")</f>
        <v> </v>
      </c>
      <c r="U25" s="334" t="str">
        <f aca="false">IF((E25="i"),G25," ")</f>
        <v> </v>
      </c>
      <c r="V25" s="334" t="str">
        <f aca="false">IF((E25="o"),G25," ")</f>
        <v> </v>
      </c>
      <c r="W25" s="334" t="str">
        <f aca="false">IF((E25="f"),G25," ")</f>
        <v> </v>
      </c>
    </row>
    <row r="26" customFormat="false" ht="12.75" hidden="false" customHeight="false" outlineLevel="0" collapsed="false">
      <c r="A26" s="355" t="n">
        <v>45826</v>
      </c>
      <c r="B26" s="363" t="s">
        <v>360</v>
      </c>
      <c r="E26" s="365" t="s">
        <v>323</v>
      </c>
      <c r="G26" s="366" t="n">
        <v>180</v>
      </c>
      <c r="H26" s="338" t="n">
        <f aca="false">IF((G26&lt;&gt;0),IF((D26&gt;0)," ",G26)," ")</f>
        <v>180</v>
      </c>
      <c r="I26" s="367" t="n">
        <f aca="false">IF((G26&lt;&gt;0),IF((D26&gt;0)," ",(I$1-A26))," ")</f>
        <v>312</v>
      </c>
      <c r="J26" s="334" t="str">
        <f aca="false">IF((E26="s"),G26," ")</f>
        <v> </v>
      </c>
      <c r="K26" s="334" t="str">
        <f aca="false">IF((E26="d"),G26," ")</f>
        <v> </v>
      </c>
      <c r="L26" s="334" t="str">
        <f aca="false">IF((E26="e"),G26," ")</f>
        <v> </v>
      </c>
      <c r="M26" s="334" t="str">
        <f aca="false">IF((E26="p"),G26," ")</f>
        <v> </v>
      </c>
      <c r="N26" s="334" t="str">
        <f aca="false">IF((E26="r"),G26," ")</f>
        <v> </v>
      </c>
      <c r="O26" s="334" t="str">
        <f aca="false">IF((E26="g"),G26," ")</f>
        <v> </v>
      </c>
      <c r="P26" s="334" t="str">
        <f aca="false">IF((E26="m"),G26," ")</f>
        <v> </v>
      </c>
      <c r="Q26" s="334" t="n">
        <f aca="false">IF((E26="t"),G26," ")</f>
        <v>180</v>
      </c>
      <c r="R26" s="334" t="str">
        <f aca="false">IF((E26="a"),G26," ")</f>
        <v> </v>
      </c>
      <c r="S26" s="334" t="str">
        <f aca="false">IF((E26="l"),G26," ")</f>
        <v> </v>
      </c>
      <c r="T26" s="334" t="str">
        <f aca="false">IF((E26="b"),G26," ")</f>
        <v> </v>
      </c>
      <c r="U26" s="334" t="str">
        <f aca="false">IF((E26="i"),G26," ")</f>
        <v> </v>
      </c>
      <c r="V26" s="334" t="str">
        <f aca="false">IF((E26="o"),G26," ")</f>
        <v> </v>
      </c>
      <c r="W26" s="334" t="str">
        <f aca="false">IF((E26="f"),G26," ")</f>
        <v> </v>
      </c>
    </row>
    <row r="27" customFormat="false" ht="12.75" hidden="false" customHeight="false" outlineLevel="0" collapsed="false">
      <c r="A27" s="355" t="n">
        <v>45826</v>
      </c>
      <c r="B27" s="363" t="s">
        <v>361</v>
      </c>
      <c r="E27" s="365" t="s">
        <v>327</v>
      </c>
      <c r="G27" s="366" t="n">
        <v>360</v>
      </c>
      <c r="H27" s="338" t="n">
        <f aca="false">IF((G27&lt;&gt;0),IF((D27&gt;0)," ",G27)," ")</f>
        <v>360</v>
      </c>
      <c r="I27" s="367" t="n">
        <f aca="false">IF((G27&lt;&gt;0),IF((D27&gt;0)," ",(I$1-A27))," ")</f>
        <v>312</v>
      </c>
      <c r="J27" s="334" t="n">
        <f aca="false">IF((E27="s"),G27," ")</f>
        <v>360</v>
      </c>
      <c r="K27" s="334" t="str">
        <f aca="false">IF((E27="d"),G27," ")</f>
        <v> </v>
      </c>
      <c r="L27" s="334" t="str">
        <f aca="false">IF((E27="e"),G27," ")</f>
        <v> </v>
      </c>
      <c r="M27" s="334" t="str">
        <f aca="false">IF((E27="p"),G27," ")</f>
        <v> </v>
      </c>
      <c r="N27" s="334" t="str">
        <f aca="false">IF((E27="r"),G27," ")</f>
        <v> </v>
      </c>
      <c r="O27" s="334" t="str">
        <f aca="false">IF((E27="g"),G27," ")</f>
        <v> </v>
      </c>
      <c r="P27" s="334" t="str">
        <f aca="false">IF((E27="m"),G27," ")</f>
        <v> </v>
      </c>
      <c r="Q27" s="334" t="str">
        <f aca="false">IF((E27="t"),G27," ")</f>
        <v> </v>
      </c>
      <c r="R27" s="334" t="str">
        <f aca="false">IF((E27="a"),G27," ")</f>
        <v> </v>
      </c>
      <c r="S27" s="334" t="str">
        <f aca="false">IF((E27="l"),G27," ")</f>
        <v> </v>
      </c>
      <c r="T27" s="334" t="str">
        <f aca="false">IF((E27="b"),G27," ")</f>
        <v> </v>
      </c>
      <c r="U27" s="334" t="str">
        <f aca="false">IF((E27="i"),G27," ")</f>
        <v> </v>
      </c>
      <c r="V27" s="334" t="str">
        <f aca="false">IF((E27="o"),G27," ")</f>
        <v> </v>
      </c>
      <c r="W27" s="334" t="str">
        <f aca="false">IF((E27="f"),G27," ")</f>
        <v> </v>
      </c>
    </row>
    <row r="28" customFormat="false" ht="12.75" hidden="false" customHeight="false" outlineLevel="0" collapsed="false">
      <c r="A28" s="355" t="n">
        <v>45826</v>
      </c>
      <c r="B28" s="363" t="s">
        <v>333</v>
      </c>
      <c r="E28" s="365" t="s">
        <v>291</v>
      </c>
      <c r="G28" s="366" t="n">
        <v>96</v>
      </c>
      <c r="H28" s="338" t="n">
        <f aca="false">IF((G28&lt;&gt;0),IF((D28&gt;0)," ",G28)," ")</f>
        <v>96</v>
      </c>
      <c r="I28" s="367" t="n">
        <f aca="false">IF((G28&lt;&gt;0),IF((D28&gt;0)," ",(I$1-A28))," ")</f>
        <v>312</v>
      </c>
      <c r="J28" s="334" t="str">
        <f aca="false">IF((E28="s"),G28," ")</f>
        <v> </v>
      </c>
      <c r="K28" s="334" t="str">
        <f aca="false">IF((E28="d"),G28," ")</f>
        <v> </v>
      </c>
      <c r="L28" s="334" t="str">
        <f aca="false">IF((E28="e"),G28," ")</f>
        <v> </v>
      </c>
      <c r="M28" s="334" t="str">
        <f aca="false">IF((E28="p"),G28," ")</f>
        <v> </v>
      </c>
      <c r="N28" s="334" t="str">
        <f aca="false">IF((E28="r"),G28," ")</f>
        <v> </v>
      </c>
      <c r="O28" s="334" t="str">
        <f aca="false">IF((E28="g"),G28," ")</f>
        <v> </v>
      </c>
      <c r="P28" s="334" t="n">
        <f aca="false">IF((E28="m"),G28," ")</f>
        <v>96</v>
      </c>
      <c r="Q28" s="334" t="str">
        <f aca="false">IF((E28="t"),G28," ")</f>
        <v> </v>
      </c>
      <c r="R28" s="334" t="str">
        <f aca="false">IF((E28="a"),G28," ")</f>
        <v> </v>
      </c>
      <c r="S28" s="334" t="str">
        <f aca="false">IF((E28="l"),G28," ")</f>
        <v> </v>
      </c>
      <c r="T28" s="334" t="str">
        <f aca="false">IF((E28="b"),G28," ")</f>
        <v> </v>
      </c>
      <c r="U28" s="334" t="str">
        <f aca="false">IF((E28="i"),G28," ")</f>
        <v> </v>
      </c>
      <c r="V28" s="334" t="str">
        <f aca="false">IF((E28="o"),G28," ")</f>
        <v> </v>
      </c>
      <c r="W28" s="334" t="str">
        <f aca="false">IF((E28="f"),G28," ")</f>
        <v> </v>
      </c>
    </row>
    <row r="29" customFormat="false" ht="12.75" hidden="false" customHeight="false" outlineLevel="0" collapsed="false">
      <c r="A29" s="355" t="n">
        <v>45828</v>
      </c>
      <c r="B29" s="363" t="s">
        <v>242</v>
      </c>
      <c r="E29" s="365" t="s">
        <v>310</v>
      </c>
      <c r="G29" s="366" t="n">
        <v>60</v>
      </c>
      <c r="H29" s="338" t="n">
        <f aca="false">IF((G29&lt;&gt;0),IF((D29&gt;0)," ",G29)," ")</f>
        <v>60</v>
      </c>
      <c r="I29" s="367" t="n">
        <f aca="false">IF((G29&lt;&gt;0),IF((D29&gt;0)," ",(I$1-A29))," ")</f>
        <v>310</v>
      </c>
      <c r="J29" s="334" t="str">
        <f aca="false">IF((E29="s"),G29," ")</f>
        <v> </v>
      </c>
      <c r="K29" s="334" t="str">
        <f aca="false">IF((E29="d"),G29," ")</f>
        <v> </v>
      </c>
      <c r="L29" s="334" t="str">
        <f aca="false">IF((E29="e"),G29," ")</f>
        <v> </v>
      </c>
      <c r="M29" s="334" t="str">
        <f aca="false">IF((E29="p"),G29," ")</f>
        <v> </v>
      </c>
      <c r="N29" s="334" t="str">
        <f aca="false">IF((E29="r"),G29," ")</f>
        <v> </v>
      </c>
      <c r="O29" s="334" t="n">
        <f aca="false">IF((E29="g"),G29," ")</f>
        <v>60</v>
      </c>
      <c r="P29" s="334" t="str">
        <f aca="false">IF((E29="m"),G29," ")</f>
        <v> </v>
      </c>
      <c r="Q29" s="334" t="str">
        <f aca="false">IF((E29="t"),G29," ")</f>
        <v> </v>
      </c>
      <c r="R29" s="334" t="str">
        <f aca="false">IF((E29="a"),G29," ")</f>
        <v> </v>
      </c>
      <c r="S29" s="334" t="str">
        <f aca="false">IF((E29="l"),G29," ")</f>
        <v> </v>
      </c>
      <c r="T29" s="334" t="str">
        <f aca="false">IF((E29="b"),G29," ")</f>
        <v> </v>
      </c>
      <c r="U29" s="334" t="str">
        <f aca="false">IF((E29="i"),G29," ")</f>
        <v> </v>
      </c>
      <c r="V29" s="334" t="str">
        <f aca="false">IF((E29="o"),G29," ")</f>
        <v> </v>
      </c>
      <c r="W29" s="334" t="str">
        <f aca="false">IF((E29="f"),G29," ")</f>
        <v> </v>
      </c>
    </row>
    <row r="30" customFormat="false" ht="12.75" hidden="false" customHeight="false" outlineLevel="0" collapsed="false">
      <c r="A30" s="355" t="n">
        <v>45829</v>
      </c>
      <c r="B30" s="363" t="s">
        <v>336</v>
      </c>
      <c r="E30" s="365" t="s">
        <v>323</v>
      </c>
      <c r="G30" s="366" t="n">
        <v>8</v>
      </c>
      <c r="H30" s="338" t="n">
        <f aca="false">IF((G30&lt;&gt;0),IF((D30&gt;0)," ",G30)," ")</f>
        <v>8</v>
      </c>
      <c r="I30" s="367" t="n">
        <f aca="false">IF((G30&lt;&gt;0),IF((D30&gt;0)," ",(I$1-A30))," ")</f>
        <v>309</v>
      </c>
      <c r="J30" s="334" t="str">
        <f aca="false">IF((E30="s"),G30," ")</f>
        <v> </v>
      </c>
      <c r="K30" s="334" t="str">
        <f aca="false">IF((E30="d"),G30," ")</f>
        <v> </v>
      </c>
      <c r="L30" s="334" t="str">
        <f aca="false">IF((E30="e"),G30," ")</f>
        <v> </v>
      </c>
      <c r="M30" s="334" t="str">
        <f aca="false">IF((E30="p"),G30," ")</f>
        <v> </v>
      </c>
      <c r="N30" s="334" t="str">
        <f aca="false">IF((E30="r"),G30," ")</f>
        <v> </v>
      </c>
      <c r="O30" s="334" t="str">
        <f aca="false">IF((E30="g"),G30," ")</f>
        <v> </v>
      </c>
      <c r="P30" s="334" t="str">
        <f aca="false">IF((E30="m"),G30," ")</f>
        <v> </v>
      </c>
      <c r="Q30" s="334" t="n">
        <f aca="false">IF((E30="t"),G30," ")</f>
        <v>8</v>
      </c>
      <c r="R30" s="334" t="str">
        <f aca="false">IF((E30="a"),G30," ")</f>
        <v> </v>
      </c>
      <c r="S30" s="334" t="str">
        <f aca="false">IF((E30="l"),G30," ")</f>
        <v> </v>
      </c>
      <c r="T30" s="334" t="str">
        <f aca="false">IF((E30="b"),G30," ")</f>
        <v> </v>
      </c>
      <c r="U30" s="334" t="str">
        <f aca="false">IF((E30="i"),G30," ")</f>
        <v> </v>
      </c>
      <c r="V30" s="334" t="str">
        <f aca="false">IF((E30="o"),G30," ")</f>
        <v> </v>
      </c>
      <c r="W30" s="334" t="str">
        <f aca="false">IF((E30="f"),G30," ")</f>
        <v> </v>
      </c>
    </row>
    <row r="31" customFormat="false" ht="12.75" hidden="false" customHeight="false" outlineLevel="0" collapsed="false">
      <c r="A31" s="355" t="n">
        <v>45830</v>
      </c>
      <c r="B31" s="363" t="s">
        <v>337</v>
      </c>
      <c r="E31" s="365" t="s">
        <v>313</v>
      </c>
      <c r="G31" s="366" t="n">
        <v>18</v>
      </c>
      <c r="H31" s="338" t="n">
        <f aca="false">IF((G31&lt;&gt;0),IF((D31&gt;0)," ",G31)," ")</f>
        <v>18</v>
      </c>
      <c r="I31" s="367" t="n">
        <f aca="false">IF((G31&lt;&gt;0),IF((D31&gt;0)," ",(I$1-A31))," ")</f>
        <v>308</v>
      </c>
      <c r="J31" s="334" t="str">
        <f aca="false">IF((E31="s"),G31," ")</f>
        <v> </v>
      </c>
      <c r="K31" s="334" t="str">
        <f aca="false">IF((E31="d"),G31," ")</f>
        <v> </v>
      </c>
      <c r="L31" s="334" t="str">
        <f aca="false">IF((E31="e"),G31," ")</f>
        <v> </v>
      </c>
      <c r="M31" s="334" t="str">
        <f aca="false">IF((E31="p"),G31," ")</f>
        <v> </v>
      </c>
      <c r="N31" s="334" t="str">
        <f aca="false">IF((E31="r"),G31," ")</f>
        <v> </v>
      </c>
      <c r="O31" s="334" t="str">
        <f aca="false">IF((E31="g"),G31," ")</f>
        <v> </v>
      </c>
      <c r="P31" s="334" t="str">
        <f aca="false">IF((E31="m"),G31," ")</f>
        <v> </v>
      </c>
      <c r="Q31" s="334" t="str">
        <f aca="false">IF((E31="t"),G31," ")</f>
        <v> </v>
      </c>
      <c r="R31" s="334" t="str">
        <f aca="false">IF((E31="a"),G31," ")</f>
        <v> </v>
      </c>
      <c r="S31" s="334" t="str">
        <f aca="false">IF((E31="l"),G31," ")</f>
        <v> </v>
      </c>
      <c r="T31" s="334" t="str">
        <f aca="false">IF((E31="b"),G31," ")</f>
        <v> </v>
      </c>
      <c r="U31" s="334" t="str">
        <f aca="false">IF((E31="i"),G31," ")</f>
        <v> </v>
      </c>
      <c r="V31" s="334" t="n">
        <f aca="false">IF((E31="o"),G31," ")</f>
        <v>18</v>
      </c>
      <c r="W31" s="334" t="str">
        <f aca="false">IF((E31="f"),G31," ")</f>
        <v> </v>
      </c>
    </row>
    <row r="32" customFormat="false" ht="12.75" hidden="false" customHeight="false" outlineLevel="0" collapsed="false">
      <c r="A32" s="355" t="n">
        <v>45833</v>
      </c>
      <c r="B32" s="363" t="s">
        <v>362</v>
      </c>
      <c r="E32" s="365" t="s">
        <v>308</v>
      </c>
      <c r="G32" s="366" t="n">
        <v>360</v>
      </c>
      <c r="H32" s="338" t="n">
        <f aca="false">IF((G32&lt;&gt;0),IF((D32&gt;0)," ",G32)," ")</f>
        <v>360</v>
      </c>
      <c r="I32" s="367" t="n">
        <f aca="false">IF((G32&lt;&gt;0),IF((D32&gt;0)," ",(I$1-A32))," ")</f>
        <v>305</v>
      </c>
      <c r="J32" s="334" t="str">
        <f aca="false">IF((E32="s"),G32," ")</f>
        <v> </v>
      </c>
      <c r="K32" s="334" t="str">
        <f aca="false">IF((E32="d"),G32," ")</f>
        <v> </v>
      </c>
      <c r="L32" s="334" t="str">
        <f aca="false">IF((E32="e"),G32," ")</f>
        <v> </v>
      </c>
      <c r="M32" s="334" t="n">
        <f aca="false">IF((E32="p"),G32," ")</f>
        <v>360</v>
      </c>
      <c r="N32" s="334" t="str">
        <f aca="false">IF((E32="r"),G32," ")</f>
        <v> </v>
      </c>
      <c r="O32" s="334" t="str">
        <f aca="false">IF((E32="g"),G32," ")</f>
        <v> </v>
      </c>
      <c r="P32" s="334" t="str">
        <f aca="false">IF((E32="m"),G32," ")</f>
        <v> </v>
      </c>
      <c r="Q32" s="334" t="str">
        <f aca="false">IF((E32="t"),G32," ")</f>
        <v> </v>
      </c>
      <c r="R32" s="334" t="str">
        <f aca="false">IF((E32="a"),G32," ")</f>
        <v> </v>
      </c>
      <c r="S32" s="334" t="str">
        <f aca="false">IF((E32="l"),G32," ")</f>
        <v> </v>
      </c>
      <c r="T32" s="334" t="str">
        <f aca="false">IF((E32="b"),G32," ")</f>
        <v> </v>
      </c>
      <c r="U32" s="334" t="str">
        <f aca="false">IF((E32="i"),G32," ")</f>
        <v> </v>
      </c>
      <c r="V32" s="334" t="str">
        <f aca="false">IF((E32="o"),G32," ")</f>
        <v> </v>
      </c>
      <c r="W32" s="334" t="str">
        <f aca="false">IF((E32="f"),G32," ")</f>
        <v> </v>
      </c>
    </row>
    <row r="33" customFormat="false" ht="12.75" hidden="false" customHeight="false" outlineLevel="0" collapsed="false">
      <c r="A33" s="355" t="n">
        <v>45833</v>
      </c>
      <c r="B33" s="363" t="s">
        <v>338</v>
      </c>
      <c r="E33" s="365" t="s">
        <v>313</v>
      </c>
      <c r="G33" s="366" t="n">
        <v>15</v>
      </c>
      <c r="H33" s="338" t="n">
        <f aca="false">IF((G33&lt;&gt;0),IF((D33&gt;0)," ",G33)," ")</f>
        <v>15</v>
      </c>
      <c r="I33" s="367" t="n">
        <f aca="false">IF((G33&lt;&gt;0),IF((D33&gt;0)," ",(I$1-A33))," ")</f>
        <v>305</v>
      </c>
      <c r="J33" s="334" t="str">
        <f aca="false">IF((E33="s"),G33," ")</f>
        <v> </v>
      </c>
      <c r="K33" s="334" t="str">
        <f aca="false">IF((E33="d"),G33," ")</f>
        <v> </v>
      </c>
      <c r="L33" s="334" t="str">
        <f aca="false">IF((E33="e"),G33," ")</f>
        <v> </v>
      </c>
      <c r="M33" s="334" t="str">
        <f aca="false">IF((E33="p"),G33," ")</f>
        <v> </v>
      </c>
      <c r="N33" s="334" t="str">
        <f aca="false">IF((E33="r"),G33," ")</f>
        <v> </v>
      </c>
      <c r="O33" s="334" t="str">
        <f aca="false">IF((E33="g"),G33," ")</f>
        <v> </v>
      </c>
      <c r="P33" s="334" t="str">
        <f aca="false">IF((E33="m"),G33," ")</f>
        <v> </v>
      </c>
      <c r="Q33" s="334" t="str">
        <f aca="false">IF((E33="t"),G33," ")</f>
        <v> </v>
      </c>
      <c r="R33" s="334" t="str">
        <f aca="false">IF((E33="a"),G33," ")</f>
        <v> </v>
      </c>
      <c r="S33" s="334" t="str">
        <f aca="false">IF((E33="l"),G33," ")</f>
        <v> </v>
      </c>
      <c r="T33" s="334" t="str">
        <f aca="false">IF((E33="b"),G33," ")</f>
        <v> </v>
      </c>
      <c r="U33" s="334" t="str">
        <f aca="false">IF((E33="i"),G33," ")</f>
        <v> </v>
      </c>
      <c r="V33" s="334" t="n">
        <f aca="false">IF((E33="o"),G33," ")</f>
        <v>15</v>
      </c>
      <c r="W33" s="334" t="str">
        <f aca="false">IF((E33="f"),G33," ")</f>
        <v> </v>
      </c>
    </row>
    <row r="34" customFormat="false" ht="12.75" hidden="false" customHeight="false" outlineLevel="0" collapsed="false">
      <c r="A34" s="355" t="n">
        <v>45833</v>
      </c>
      <c r="B34" s="363" t="s">
        <v>339</v>
      </c>
      <c r="E34" s="365" t="s">
        <v>291</v>
      </c>
      <c r="G34" s="366" t="n">
        <v>90</v>
      </c>
      <c r="H34" s="338" t="n">
        <f aca="false">IF((G34&lt;&gt;0),IF((D34&gt;0)," ",G34)," ")</f>
        <v>90</v>
      </c>
      <c r="I34" s="367" t="n">
        <f aca="false">IF((G34&lt;&gt;0),IF((D34&gt;0)," ",(I$1-A34))," ")</f>
        <v>305</v>
      </c>
      <c r="J34" s="334" t="str">
        <f aca="false">IF((E34="s"),G34," ")</f>
        <v> </v>
      </c>
      <c r="K34" s="334" t="str">
        <f aca="false">IF((E34="d"),G34," ")</f>
        <v> </v>
      </c>
      <c r="L34" s="334" t="str">
        <f aca="false">IF((E34="e"),G34," ")</f>
        <v> </v>
      </c>
      <c r="M34" s="334" t="str">
        <f aca="false">IF((E34="p"),G34," ")</f>
        <v> </v>
      </c>
      <c r="N34" s="334" t="str">
        <f aca="false">IF((E34="r"),G34," ")</f>
        <v> </v>
      </c>
      <c r="O34" s="334" t="str">
        <f aca="false">IF((E34="g"),G34," ")</f>
        <v> </v>
      </c>
      <c r="P34" s="334" t="n">
        <f aca="false">IF((E34="m"),G34," ")</f>
        <v>90</v>
      </c>
      <c r="Q34" s="334" t="str">
        <f aca="false">IF((E34="t"),G34," ")</f>
        <v> </v>
      </c>
      <c r="R34" s="334" t="str">
        <f aca="false">IF((E34="a"),G34," ")</f>
        <v> </v>
      </c>
      <c r="S34" s="334" t="str">
        <f aca="false">IF((E34="l"),G34," ")</f>
        <v> </v>
      </c>
      <c r="T34" s="334" t="str">
        <f aca="false">IF((E34="b"),G34," ")</f>
        <v> </v>
      </c>
      <c r="U34" s="334" t="str">
        <f aca="false">IF((E34="i"),G34," ")</f>
        <v> </v>
      </c>
      <c r="V34" s="334" t="str">
        <f aca="false">IF((E34="o"),G34," ")</f>
        <v> </v>
      </c>
      <c r="W34" s="334" t="str">
        <f aca="false">IF((E34="f"),G34," ")</f>
        <v> </v>
      </c>
    </row>
    <row r="35" customFormat="false" ht="12.75" hidden="false" customHeight="false" outlineLevel="0" collapsed="false">
      <c r="A35" s="355" t="n">
        <v>45836</v>
      </c>
      <c r="B35" s="363" t="s">
        <v>243</v>
      </c>
      <c r="E35" s="365" t="s">
        <v>291</v>
      </c>
      <c r="G35" s="366" t="n">
        <v>120</v>
      </c>
      <c r="H35" s="338" t="n">
        <f aca="false">IF((G35&lt;&gt;0),IF((D35&gt;0)," ",G35)," ")</f>
        <v>120</v>
      </c>
      <c r="I35" s="367" t="n">
        <f aca="false">IF((G35&lt;&gt;0),IF((D35&gt;0)," ",(I$1-A35))," ")</f>
        <v>302</v>
      </c>
      <c r="J35" s="334" t="str">
        <f aca="false">IF((E35="s"),G35," ")</f>
        <v> </v>
      </c>
      <c r="K35" s="334" t="str">
        <f aca="false">IF((E35="d"),G35," ")</f>
        <v> </v>
      </c>
      <c r="L35" s="334" t="str">
        <f aca="false">IF((E35="e"),G35," ")</f>
        <v> </v>
      </c>
      <c r="M35" s="334" t="str">
        <f aca="false">IF((E35="p"),G35," ")</f>
        <v> </v>
      </c>
      <c r="N35" s="334" t="str">
        <f aca="false">IF((E35="r"),G35," ")</f>
        <v> </v>
      </c>
      <c r="O35" s="334" t="str">
        <f aca="false">IF((E35="g"),G35," ")</f>
        <v> </v>
      </c>
      <c r="P35" s="334" t="n">
        <f aca="false">IF((E35="m"),G35," ")</f>
        <v>120</v>
      </c>
      <c r="Q35" s="334" t="str">
        <f aca="false">IF((E35="t"),G35," ")</f>
        <v> </v>
      </c>
      <c r="R35" s="334" t="str">
        <f aca="false">IF((E35="a"),G35," ")</f>
        <v> </v>
      </c>
      <c r="S35" s="334" t="str">
        <f aca="false">IF((E35="l"),G35," ")</f>
        <v> </v>
      </c>
      <c r="T35" s="334" t="str">
        <f aca="false">IF((E35="b"),G35," ")</f>
        <v> </v>
      </c>
      <c r="U35" s="334" t="str">
        <f aca="false">IF((E35="i"),G35," ")</f>
        <v> </v>
      </c>
      <c r="V35" s="334" t="str">
        <f aca="false">IF((E35="o"),G35," ")</f>
        <v> </v>
      </c>
      <c r="W35" s="334" t="str">
        <f aca="false">IF((E35="f"),G35," ")</f>
        <v> </v>
      </c>
    </row>
    <row r="36" customFormat="false" ht="12.75" hidden="false" customHeight="false" outlineLevel="0" collapsed="false">
      <c r="A36" s="355" t="n">
        <v>45838</v>
      </c>
      <c r="B36" s="363" t="s">
        <v>240</v>
      </c>
      <c r="E36" s="365" t="s">
        <v>340</v>
      </c>
      <c r="G36" s="366" t="n">
        <v>300</v>
      </c>
      <c r="H36" s="338" t="n">
        <f aca="false">IF((G36&lt;&gt;0),IF((D36&gt;0)," ",G36)," ")</f>
        <v>300</v>
      </c>
      <c r="I36" s="367" t="n">
        <f aca="false">IF((G36&lt;&gt;0),IF((D36&gt;0)," ",(I$1-A36))," ")</f>
        <v>300</v>
      </c>
      <c r="J36" s="334" t="str">
        <f aca="false">IF((E36="s"),G36," ")</f>
        <v> </v>
      </c>
      <c r="K36" s="334" t="str">
        <f aca="false">IF((E36="d"),G36," ")</f>
        <v> </v>
      </c>
      <c r="L36" s="334" t="str">
        <f aca="false">IF((E36="e"),G36," ")</f>
        <v> </v>
      </c>
      <c r="M36" s="334" t="str">
        <f aca="false">IF((E36="p"),G36," ")</f>
        <v> </v>
      </c>
      <c r="N36" s="334" t="str">
        <f aca="false">IF((E36="r"),G36," ")</f>
        <v> </v>
      </c>
      <c r="O36" s="334" t="str">
        <f aca="false">IF((E36="g"),G36," ")</f>
        <v> </v>
      </c>
      <c r="P36" s="334" t="str">
        <f aca="false">IF((E36="m"),G36," ")</f>
        <v> </v>
      </c>
      <c r="Q36" s="334" t="str">
        <f aca="false">IF((E36="t"),G36," ")</f>
        <v> </v>
      </c>
      <c r="R36" s="334" t="str">
        <f aca="false">IF((E36="a"),G36," ")</f>
        <v> </v>
      </c>
      <c r="S36" s="334" t="n">
        <f aca="false">IF((E36="l"),G36," ")</f>
        <v>300</v>
      </c>
      <c r="T36" s="334" t="str">
        <f aca="false">IF((E36="b"),G36," ")</f>
        <v> </v>
      </c>
      <c r="U36" s="334" t="str">
        <f aca="false">IF((E36="i"),G36," ")</f>
        <v> </v>
      </c>
      <c r="V36" s="334" t="str">
        <f aca="false">IF((E36="o"),G36," ")</f>
        <v> </v>
      </c>
      <c r="W36" s="334" t="str">
        <f aca="false">IF((E36="f"),G36," ")</f>
        <v> </v>
      </c>
    </row>
    <row r="37" customFormat="false" ht="12.75" hidden="false" customHeight="false" outlineLevel="0" collapsed="false">
      <c r="A37" s="355" t="n">
        <v>45838</v>
      </c>
      <c r="B37" s="363" t="s">
        <v>363</v>
      </c>
      <c r="E37" s="365" t="s">
        <v>364</v>
      </c>
      <c r="G37" s="366" t="n">
        <v>250</v>
      </c>
      <c r="H37" s="338" t="n">
        <f aca="false">IF((G37&lt;&gt;0),IF((D37&gt;0)," ",G37)," ")</f>
        <v>250</v>
      </c>
      <c r="I37" s="367" t="n">
        <f aca="false">IF((G37&lt;&gt;0),IF((D37&gt;0)," ",(I$1-A37))," ")</f>
        <v>300</v>
      </c>
      <c r="J37" s="334" t="str">
        <f aca="false">IF((E37="s"),G37," ")</f>
        <v> </v>
      </c>
      <c r="K37" s="334" t="str">
        <f aca="false">IF((E37="d"),G37," ")</f>
        <v> </v>
      </c>
      <c r="L37" s="334" t="str">
        <f aca="false">IF((E37="e"),G37," ")</f>
        <v> </v>
      </c>
      <c r="M37" s="334" t="str">
        <f aca="false">IF((E37="p"),G37," ")</f>
        <v> </v>
      </c>
      <c r="N37" s="334" t="str">
        <f aca="false">IF((E37="r"),G37," ")</f>
        <v> </v>
      </c>
      <c r="O37" s="334" t="str">
        <f aca="false">IF((E37="g"),G37," ")</f>
        <v> </v>
      </c>
      <c r="P37" s="334" t="str">
        <f aca="false">IF((E37="m"),G37," ")</f>
        <v> </v>
      </c>
      <c r="Q37" s="334" t="str">
        <f aca="false">IF((E37="t"),G37," ")</f>
        <v> </v>
      </c>
      <c r="R37" s="334" t="str">
        <f aca="false">IF((E37="a"),G37," ")</f>
        <v> </v>
      </c>
      <c r="S37" s="334" t="str">
        <f aca="false">IF((E37="l"),G37," ")</f>
        <v> </v>
      </c>
      <c r="T37" s="334" t="str">
        <f aca="false">IF((E37="b"),G37," ")</f>
        <v> </v>
      </c>
      <c r="U37" s="334" t="n">
        <f aca="false">IF((E37="i"),G37," ")</f>
        <v>250</v>
      </c>
      <c r="V37" s="334" t="str">
        <f aca="false">IF((E37="o"),G37," ")</f>
        <v> </v>
      </c>
      <c r="W37" s="334" t="str">
        <f aca="false">IF((E37="f"),G37," ")</f>
        <v> </v>
      </c>
    </row>
    <row r="38" customFormat="false" ht="12.75" hidden="false" customHeight="false" outlineLevel="0" collapsed="false">
      <c r="A38" s="355"/>
      <c r="H38" s="338" t="str">
        <f aca="false">IF((G38&lt;&gt;0),IF((D38&gt;0)," ",G38)," ")</f>
        <v> </v>
      </c>
      <c r="I38" s="367" t="str">
        <f aca="false">IF((G38&lt;&gt;0),IF((D38&gt;0)," ",(I$1-A38))," ")</f>
        <v> </v>
      </c>
      <c r="J38" s="334" t="str">
        <f aca="false">IF((E38="s"),G38," ")</f>
        <v> </v>
      </c>
      <c r="K38" s="334" t="str">
        <f aca="false">IF((E38="d"),G38," ")</f>
        <v> </v>
      </c>
      <c r="L38" s="334" t="str">
        <f aca="false">IF((E38="e"),G38," ")</f>
        <v> </v>
      </c>
      <c r="M38" s="334" t="str">
        <f aca="false">IF((E38="p"),G38," ")</f>
        <v> </v>
      </c>
      <c r="N38" s="334" t="str">
        <f aca="false">IF((E38="r"),G38," ")</f>
        <v> </v>
      </c>
      <c r="O38" s="334" t="str">
        <f aca="false">IF((E38="g"),G38," ")</f>
        <v> </v>
      </c>
      <c r="P38" s="334" t="str">
        <f aca="false">IF((E38="m"),G38," ")</f>
        <v> </v>
      </c>
      <c r="Q38" s="334" t="str">
        <f aca="false">IF((E38="t"),G38," ")</f>
        <v> </v>
      </c>
      <c r="R38" s="334" t="str">
        <f aca="false">IF((E38="a"),G38," ")</f>
        <v> </v>
      </c>
      <c r="S38" s="334" t="str">
        <f aca="false">IF((E38="l"),G38," ")</f>
        <v> </v>
      </c>
      <c r="T38" s="334" t="str">
        <f aca="false">IF((E38="b"),G38," ")</f>
        <v> </v>
      </c>
      <c r="U38" s="334" t="str">
        <f aca="false">IF((E38="i"),G38," ")</f>
        <v> </v>
      </c>
      <c r="V38" s="334" t="str">
        <f aca="false">IF((E38="o"),G38," ")</f>
        <v> </v>
      </c>
      <c r="W38" s="334" t="str">
        <f aca="false">IF((E38="f"),G38," ")</f>
        <v> </v>
      </c>
    </row>
    <row r="39" customFormat="false" ht="12.75" hidden="false" customHeight="false" outlineLevel="0" collapsed="false">
      <c r="A39" s="355"/>
      <c r="H39" s="338" t="str">
        <f aca="false">IF((G39&lt;&gt;0),IF((D39&gt;0)," ",G39)," ")</f>
        <v> </v>
      </c>
      <c r="I39" s="367" t="str">
        <f aca="false">IF((G39&lt;&gt;0),IF((D39&gt;0)," ",(I$1-A39))," ")</f>
        <v> </v>
      </c>
      <c r="J39" s="334" t="str">
        <f aca="false">IF((E39="s"),G39," ")</f>
        <v> </v>
      </c>
      <c r="K39" s="334" t="str">
        <f aca="false">IF((E39="d"),G39," ")</f>
        <v> </v>
      </c>
      <c r="L39" s="334" t="str">
        <f aca="false">IF((E39="e"),G39," ")</f>
        <v> </v>
      </c>
      <c r="M39" s="334" t="str">
        <f aca="false">IF((E39="p"),G39," ")</f>
        <v> </v>
      </c>
      <c r="N39" s="334" t="str">
        <f aca="false">IF((E39="r"),G39," ")</f>
        <v> </v>
      </c>
      <c r="O39" s="334" t="str">
        <f aca="false">IF((E39="g"),G39," ")</f>
        <v> </v>
      </c>
      <c r="P39" s="334" t="str">
        <f aca="false">IF((E39="m"),G39," ")</f>
        <v> </v>
      </c>
      <c r="Q39" s="334" t="str">
        <f aca="false">IF((E39="t"),G39," ")</f>
        <v> </v>
      </c>
      <c r="R39" s="334" t="str">
        <f aca="false">IF((E39="a"),G39," ")</f>
        <v> </v>
      </c>
      <c r="S39" s="334" t="str">
        <f aca="false">IF((E39="l"),G39," ")</f>
        <v> </v>
      </c>
      <c r="T39" s="334" t="str">
        <f aca="false">IF((E39="b"),G39," ")</f>
        <v> </v>
      </c>
      <c r="U39" s="334" t="str">
        <f aca="false">IF((E39="i"),G39," ")</f>
        <v> </v>
      </c>
      <c r="V39" s="334" t="str">
        <f aca="false">IF((E39="o"),G39," ")</f>
        <v> </v>
      </c>
      <c r="W39" s="334" t="str">
        <f aca="false">IF((E39="f"),G39," ")</f>
        <v> </v>
      </c>
    </row>
    <row r="40" customFormat="false" ht="12.75" hidden="false" customHeight="false" outlineLevel="0" collapsed="false">
      <c r="A40" s="355"/>
      <c r="H40" s="338" t="str">
        <f aca="false">IF((G40&lt;&gt;0),IF((D40&gt;0)," ",G40)," ")</f>
        <v> </v>
      </c>
      <c r="I40" s="367" t="str">
        <f aca="false">IF((G40&lt;&gt;0),IF((D40&gt;0)," ",(I$1-A40))," ")</f>
        <v> </v>
      </c>
      <c r="J40" s="334" t="str">
        <f aca="false">IF((E40="s"),G40," ")</f>
        <v> </v>
      </c>
      <c r="K40" s="334" t="str">
        <f aca="false">IF((E40="d"),G40," ")</f>
        <v> </v>
      </c>
      <c r="L40" s="334" t="str">
        <f aca="false">IF((E40="e"),G40," ")</f>
        <v> </v>
      </c>
      <c r="M40" s="334" t="str">
        <f aca="false">IF((E40="p"),G40," ")</f>
        <v> </v>
      </c>
      <c r="N40" s="334" t="str">
        <f aca="false">IF((E40="r"),G40," ")</f>
        <v> </v>
      </c>
      <c r="O40" s="334" t="str">
        <f aca="false">IF((E40="g"),G40," ")</f>
        <v> </v>
      </c>
      <c r="P40" s="334" t="str">
        <f aca="false">IF((E40="m"),G40," ")</f>
        <v> </v>
      </c>
      <c r="Q40" s="334" t="str">
        <f aca="false">IF((E40="t"),G40," ")</f>
        <v> </v>
      </c>
      <c r="R40" s="334" t="str">
        <f aca="false">IF((E40="a"),G40," ")</f>
        <v> </v>
      </c>
      <c r="S40" s="334" t="str">
        <f aca="false">IF((E40="l"),G40," ")</f>
        <v> </v>
      </c>
      <c r="T40" s="334" t="str">
        <f aca="false">IF((E40="b"),G40," ")</f>
        <v> </v>
      </c>
      <c r="U40" s="334" t="str">
        <f aca="false">IF((E40="i"),G40," ")</f>
        <v> </v>
      </c>
      <c r="V40" s="334" t="str">
        <f aca="false">IF((E40="o"),G40," ")</f>
        <v> </v>
      </c>
      <c r="W40" s="334" t="str">
        <f aca="false">IF((E40="f"),G40," ")</f>
        <v> </v>
      </c>
    </row>
    <row r="41" customFormat="false" ht="12.75" hidden="false" customHeight="false" outlineLevel="0" collapsed="false">
      <c r="A41" s="355"/>
      <c r="H41" s="338" t="str">
        <f aca="false">IF((G41&lt;&gt;0),IF((D41&gt;0)," ",G41)," ")</f>
        <v> </v>
      </c>
      <c r="I41" s="367" t="str">
        <f aca="false">IF((G41&lt;&gt;0),IF((D41&gt;0)," ",(I$1-A41))," ")</f>
        <v> </v>
      </c>
      <c r="J41" s="334" t="str">
        <f aca="false">IF((E41="s"),G41," ")</f>
        <v> </v>
      </c>
      <c r="K41" s="334" t="str">
        <f aca="false">IF((E41="d"),G41," ")</f>
        <v> </v>
      </c>
      <c r="L41" s="334" t="str">
        <f aca="false">IF((E41="e"),G41," ")</f>
        <v> </v>
      </c>
      <c r="M41" s="334" t="str">
        <f aca="false">IF((E41="p"),G41," ")</f>
        <v> </v>
      </c>
      <c r="N41" s="334" t="str">
        <f aca="false">IF((E41="r"),G41," ")</f>
        <v> </v>
      </c>
      <c r="O41" s="334" t="str">
        <f aca="false">IF((E41="g"),G41," ")</f>
        <v> </v>
      </c>
      <c r="P41" s="334" t="str">
        <f aca="false">IF((E41="m"),G41," ")</f>
        <v> </v>
      </c>
      <c r="Q41" s="334" t="str">
        <f aca="false">IF((E41="t"),G41," ")</f>
        <v> </v>
      </c>
      <c r="R41" s="334" t="str">
        <f aca="false">IF((E41="a"),G41," ")</f>
        <v> </v>
      </c>
      <c r="S41" s="334" t="str">
        <f aca="false">IF((E41="l"),G41," ")</f>
        <v> </v>
      </c>
      <c r="T41" s="334" t="str">
        <f aca="false">IF((E41="b"),G41," ")</f>
        <v> </v>
      </c>
      <c r="U41" s="334" t="str">
        <f aca="false">IF((E41="i"),G41," ")</f>
        <v> </v>
      </c>
      <c r="V41" s="334" t="str">
        <f aca="false">IF((E41="o"),G41," ")</f>
        <v> </v>
      </c>
      <c r="W41" s="334" t="str">
        <f aca="false">IF((E41="f"),G41," ")</f>
        <v> </v>
      </c>
    </row>
    <row r="42" customFormat="false" ht="12.75" hidden="false" customHeight="false" outlineLevel="0" collapsed="false">
      <c r="A42" s="355"/>
      <c r="H42" s="338" t="str">
        <f aca="false">IF((G42&lt;&gt;0),IF((D42&gt;0)," ",G42)," ")</f>
        <v> </v>
      </c>
      <c r="I42" s="367" t="str">
        <f aca="false">IF((G42&lt;&gt;0),IF((D42&gt;0)," ",(I$1-A42))," ")</f>
        <v> </v>
      </c>
      <c r="J42" s="334" t="str">
        <f aca="false">IF((E42="s"),G42," ")</f>
        <v> </v>
      </c>
      <c r="K42" s="334" t="str">
        <f aca="false">IF((E42="d"),G42," ")</f>
        <v> </v>
      </c>
      <c r="L42" s="334" t="str">
        <f aca="false">IF((E42="e"),G42," ")</f>
        <v> </v>
      </c>
      <c r="M42" s="334" t="str">
        <f aca="false">IF((E42="p"),G42," ")</f>
        <v> </v>
      </c>
      <c r="N42" s="334" t="str">
        <f aca="false">IF((E42="r"),G42," ")</f>
        <v> </v>
      </c>
      <c r="O42" s="334" t="str">
        <f aca="false">IF((E42="g"),G42," ")</f>
        <v> </v>
      </c>
      <c r="P42" s="334" t="str">
        <f aca="false">IF((E42="m"),G42," ")</f>
        <v> </v>
      </c>
      <c r="Q42" s="334" t="str">
        <f aca="false">IF((E42="t"),G42," ")</f>
        <v> </v>
      </c>
      <c r="R42" s="334" t="str">
        <f aca="false">IF((E42="a"),G42," ")</f>
        <v> </v>
      </c>
      <c r="S42" s="334" t="str">
        <f aca="false">IF((E42="l"),G42," ")</f>
        <v> </v>
      </c>
      <c r="T42" s="334" t="str">
        <f aca="false">IF((E42="b"),G42," ")</f>
        <v> </v>
      </c>
      <c r="U42" s="334" t="str">
        <f aca="false">IF((E42="i"),G42," ")</f>
        <v> </v>
      </c>
      <c r="V42" s="334" t="str">
        <f aca="false">IF((E42="o"),G42," ")</f>
        <v> </v>
      </c>
      <c r="W42" s="334" t="str">
        <f aca="false">IF((E42="f"),G42," ")</f>
        <v> </v>
      </c>
    </row>
    <row r="43" customFormat="false" ht="12.75" hidden="false" customHeight="false" outlineLevel="0" collapsed="false">
      <c r="A43" s="355"/>
      <c r="H43" s="338" t="str">
        <f aca="false">IF((G43&lt;&gt;0),IF((D43&gt;0)," ",G43)," ")</f>
        <v> </v>
      </c>
      <c r="I43" s="367" t="str">
        <f aca="false">IF((G43&lt;&gt;0),IF((D43&gt;0)," ",(I$1-A43))," ")</f>
        <v> </v>
      </c>
      <c r="J43" s="334" t="str">
        <f aca="false">IF((E43="s"),G43," ")</f>
        <v> </v>
      </c>
      <c r="K43" s="334" t="str">
        <f aca="false">IF((E43="d"),G43," ")</f>
        <v> </v>
      </c>
      <c r="L43" s="334" t="str">
        <f aca="false">IF((E43="e"),G43," ")</f>
        <v> </v>
      </c>
      <c r="M43" s="334" t="str">
        <f aca="false">IF((E43="p"),G43," ")</f>
        <v> </v>
      </c>
      <c r="N43" s="334" t="str">
        <f aca="false">IF((E43="r"),G43," ")</f>
        <v> </v>
      </c>
      <c r="O43" s="334" t="str">
        <f aca="false">IF((E43="g"),G43," ")</f>
        <v> </v>
      </c>
      <c r="P43" s="334" t="str">
        <f aca="false">IF((E43="m"),G43," ")</f>
        <v> </v>
      </c>
      <c r="Q43" s="334" t="str">
        <f aca="false">IF((E43="t"),G43," ")</f>
        <v> </v>
      </c>
      <c r="R43" s="334" t="str">
        <f aca="false">IF((E43="a"),G43," ")</f>
        <v> </v>
      </c>
      <c r="S43" s="334" t="str">
        <f aca="false">IF((E43="l"),G43," ")</f>
        <v> </v>
      </c>
      <c r="T43" s="334" t="str">
        <f aca="false">IF((E43="b"),G43," ")</f>
        <v> </v>
      </c>
      <c r="U43" s="334" t="str">
        <f aca="false">IF((E43="i"),G43," ")</f>
        <v> </v>
      </c>
      <c r="V43" s="334" t="str">
        <f aca="false">IF((E43="o"),G43," ")</f>
        <v> </v>
      </c>
      <c r="W43" s="334" t="str">
        <f aca="false">IF((E43="f"),G43," ")</f>
        <v> </v>
      </c>
    </row>
    <row r="44" customFormat="false" ht="12.75" hidden="false" customHeight="false" outlineLevel="0" collapsed="false">
      <c r="A44" s="355"/>
      <c r="H44" s="338" t="str">
        <f aca="false">IF((G44&lt;&gt;0),IF((D44&gt;0)," ",G44)," ")</f>
        <v> </v>
      </c>
      <c r="I44" s="367" t="str">
        <f aca="false">IF((G44&lt;&gt;0),IF((D44&gt;0)," ",(I$1-A44))," ")</f>
        <v> </v>
      </c>
      <c r="J44" s="334" t="str">
        <f aca="false">IF((E44="s"),G44," ")</f>
        <v> </v>
      </c>
      <c r="K44" s="334" t="str">
        <f aca="false">IF((E44="d"),G44," ")</f>
        <v> </v>
      </c>
      <c r="L44" s="334" t="str">
        <f aca="false">IF((E44="e"),G44," ")</f>
        <v> </v>
      </c>
      <c r="M44" s="334" t="str">
        <f aca="false">IF((E44="p"),G44," ")</f>
        <v> </v>
      </c>
      <c r="N44" s="334" t="str">
        <f aca="false">IF((E44="r"),G44," ")</f>
        <v> </v>
      </c>
      <c r="O44" s="334" t="str">
        <f aca="false">IF((E44="g"),G44," ")</f>
        <v> </v>
      </c>
      <c r="P44" s="334" t="str">
        <f aca="false">IF((E44="m"),G44," ")</f>
        <v> </v>
      </c>
      <c r="Q44" s="334" t="str">
        <f aca="false">IF((E44="t"),G44," ")</f>
        <v> </v>
      </c>
      <c r="R44" s="334" t="str">
        <f aca="false">IF((E44="a"),G44," ")</f>
        <v> </v>
      </c>
      <c r="S44" s="334" t="str">
        <f aca="false">IF((E44="l"),G44," ")</f>
        <v> </v>
      </c>
      <c r="T44" s="334" t="str">
        <f aca="false">IF((E44="b"),G44," ")</f>
        <v> </v>
      </c>
      <c r="U44" s="334" t="str">
        <f aca="false">IF((E44="i"),G44," ")</f>
        <v> </v>
      </c>
      <c r="V44" s="334" t="str">
        <f aca="false">IF((E44="o"),G44," ")</f>
        <v> </v>
      </c>
      <c r="W44" s="334" t="str">
        <f aca="false">IF((E44="f"),G44," ")</f>
        <v> </v>
      </c>
    </row>
    <row r="45" customFormat="false" ht="12.75" hidden="false" customHeight="false" outlineLevel="0" collapsed="false">
      <c r="A45" s="355"/>
      <c r="H45" s="338" t="str">
        <f aca="false">IF((G45&lt;&gt;0),IF((D45&gt;0)," ",G45)," ")</f>
        <v> </v>
      </c>
      <c r="I45" s="367" t="str">
        <f aca="false">IF((G45&lt;&gt;0),IF((D45&gt;0)," ",(I$1-A45))," ")</f>
        <v> </v>
      </c>
      <c r="J45" s="334" t="str">
        <f aca="false">IF((E45="s"),G45," ")</f>
        <v> </v>
      </c>
      <c r="K45" s="334" t="str">
        <f aca="false">IF((E45="d"),G45," ")</f>
        <v> </v>
      </c>
      <c r="L45" s="334" t="str">
        <f aca="false">IF((E45="e"),G45," ")</f>
        <v> </v>
      </c>
      <c r="M45" s="334" t="str">
        <f aca="false">IF((E45="p"),G45," ")</f>
        <v> </v>
      </c>
      <c r="N45" s="334" t="str">
        <f aca="false">IF((E45="r"),G45," ")</f>
        <v> </v>
      </c>
      <c r="O45" s="334" t="str">
        <f aca="false">IF((E45="g"),G45," ")</f>
        <v> </v>
      </c>
      <c r="P45" s="334" t="str">
        <f aca="false">IF((E45="m"),G45," ")</f>
        <v> </v>
      </c>
      <c r="Q45" s="334" t="str">
        <f aca="false">IF((E45="t"),G45," ")</f>
        <v> </v>
      </c>
      <c r="R45" s="334" t="str">
        <f aca="false">IF((E45="a"),G45," ")</f>
        <v> </v>
      </c>
      <c r="S45" s="334" t="str">
        <f aca="false">IF((E45="l"),G45," ")</f>
        <v> </v>
      </c>
      <c r="T45" s="334" t="str">
        <f aca="false">IF((E45="b"),G45," ")</f>
        <v> </v>
      </c>
      <c r="U45" s="334" t="str">
        <f aca="false">IF((E45="i"),G45," ")</f>
        <v> </v>
      </c>
      <c r="V45" s="334" t="str">
        <f aca="false">IF((E45="o"),G45," ")</f>
        <v> </v>
      </c>
      <c r="W45" s="334" t="str">
        <f aca="false">IF((E45="f"),G45," ")</f>
        <v> </v>
      </c>
    </row>
    <row r="46" customFormat="false" ht="12.75" hidden="false" customHeight="false" outlineLevel="0" collapsed="false">
      <c r="A46" s="355"/>
      <c r="H46" s="338" t="str">
        <f aca="false">IF((G46&lt;&gt;0),IF((D46&gt;0)," ",G46)," ")</f>
        <v> </v>
      </c>
      <c r="I46" s="367" t="str">
        <f aca="false">IF((G46&lt;&gt;0),IF((D46&gt;0)," ",(I$1-A46))," ")</f>
        <v> </v>
      </c>
      <c r="J46" s="334" t="str">
        <f aca="false">IF((E46="s"),G46," ")</f>
        <v> </v>
      </c>
      <c r="K46" s="334" t="str">
        <f aca="false">IF((E46="d"),G46," ")</f>
        <v> </v>
      </c>
      <c r="L46" s="334" t="str">
        <f aca="false">IF((E46="e"),G46," ")</f>
        <v> </v>
      </c>
      <c r="M46" s="334" t="str">
        <f aca="false">IF((E46="p"),G46," ")</f>
        <v> </v>
      </c>
      <c r="N46" s="334" t="str">
        <f aca="false">IF((E46="r"),G46," ")</f>
        <v> </v>
      </c>
      <c r="O46" s="334" t="str">
        <f aca="false">IF((E46="g"),G46," ")</f>
        <v> </v>
      </c>
      <c r="P46" s="334" t="str">
        <f aca="false">IF((E46="m"),G46," ")</f>
        <v> </v>
      </c>
      <c r="Q46" s="334" t="str">
        <f aca="false">IF((E46="t"),G46," ")</f>
        <v> </v>
      </c>
      <c r="R46" s="334" t="str">
        <f aca="false">IF((E46="a"),G46," ")</f>
        <v> </v>
      </c>
      <c r="S46" s="334" t="str">
        <f aca="false">IF((E46="l"),G46," ")</f>
        <v> </v>
      </c>
      <c r="T46" s="334" t="str">
        <f aca="false">IF((E46="b"),G46," ")</f>
        <v> </v>
      </c>
      <c r="U46" s="334" t="str">
        <f aca="false">IF((E46="i"),G46," ")</f>
        <v> </v>
      </c>
      <c r="V46" s="334" t="str">
        <f aca="false">IF((E46="o"),G46," ")</f>
        <v> </v>
      </c>
      <c r="W46" s="334" t="str">
        <f aca="false">IF((E46="f"),G46," ")</f>
        <v> </v>
      </c>
    </row>
    <row r="47" customFormat="false" ht="12.75" hidden="false" customHeight="false" outlineLevel="0" collapsed="false">
      <c r="A47" s="355"/>
      <c r="H47" s="338" t="str">
        <f aca="false">IF((G47&lt;&gt;0),IF((D47&gt;0)," ",G47)," ")</f>
        <v> </v>
      </c>
      <c r="I47" s="367" t="str">
        <f aca="false">IF((G47&lt;&gt;0),IF((D47&gt;0)," ",(I$1-A47))," ")</f>
        <v> </v>
      </c>
      <c r="J47" s="334" t="str">
        <f aca="false">IF((E47="s"),G47," ")</f>
        <v> </v>
      </c>
      <c r="K47" s="334" t="str">
        <f aca="false">IF((E47="d"),G47," ")</f>
        <v> </v>
      </c>
      <c r="L47" s="334" t="str">
        <f aca="false">IF((E47="e"),G47," ")</f>
        <v> </v>
      </c>
      <c r="M47" s="334" t="str">
        <f aca="false">IF((E47="p"),G47," ")</f>
        <v> </v>
      </c>
      <c r="N47" s="334" t="str">
        <f aca="false">IF((E47="r"),G47," ")</f>
        <v> </v>
      </c>
      <c r="O47" s="334" t="str">
        <f aca="false">IF((E47="g"),G47," ")</f>
        <v> </v>
      </c>
      <c r="P47" s="334" t="str">
        <f aca="false">IF((E47="m"),G47," ")</f>
        <v> </v>
      </c>
      <c r="Q47" s="334" t="str">
        <f aca="false">IF((E47="t"),G47," ")</f>
        <v> </v>
      </c>
      <c r="R47" s="334" t="str">
        <f aca="false">IF((E47="a"),G47," ")</f>
        <v> </v>
      </c>
      <c r="S47" s="334" t="str">
        <f aca="false">IF((E47="l"),G47," ")</f>
        <v> </v>
      </c>
      <c r="T47" s="334" t="str">
        <f aca="false">IF((E47="b"),G47," ")</f>
        <v> </v>
      </c>
      <c r="U47" s="334" t="str">
        <f aca="false">IF((E47="i"),G47," ")</f>
        <v> </v>
      </c>
      <c r="V47" s="334" t="str">
        <f aca="false">IF((E47="o"),G47," ")</f>
        <v> </v>
      </c>
      <c r="W47" s="334" t="str">
        <f aca="false">IF((E47="f"),G47," ")</f>
        <v> </v>
      </c>
    </row>
    <row r="48" customFormat="false" ht="12.75" hidden="false" customHeight="false" outlineLevel="0" collapsed="false">
      <c r="A48" s="355"/>
      <c r="H48" s="338" t="str">
        <f aca="false">IF((G48&lt;&gt;0),IF((D48&gt;0)," ",G48)," ")</f>
        <v> </v>
      </c>
      <c r="I48" s="367" t="str">
        <f aca="false">IF((G48&lt;&gt;0),IF((D48&gt;0)," ",(I$1-A48))," ")</f>
        <v> </v>
      </c>
      <c r="J48" s="334" t="str">
        <f aca="false">IF((E48="s"),G48," ")</f>
        <v> </v>
      </c>
      <c r="K48" s="334" t="str">
        <f aca="false">IF((E48="d"),G48," ")</f>
        <v> </v>
      </c>
      <c r="L48" s="334" t="str">
        <f aca="false">IF((E48="e"),G48," ")</f>
        <v> </v>
      </c>
      <c r="M48" s="334" t="str">
        <f aca="false">IF((E48="p"),G48," ")</f>
        <v> </v>
      </c>
      <c r="N48" s="334" t="str">
        <f aca="false">IF((E48="r"),G48," ")</f>
        <v> </v>
      </c>
      <c r="O48" s="334" t="str">
        <f aca="false">IF((E48="g"),G48," ")</f>
        <v> </v>
      </c>
      <c r="P48" s="334" t="str">
        <f aca="false">IF((E48="m"),G48," ")</f>
        <v> </v>
      </c>
      <c r="Q48" s="334" t="str">
        <f aca="false">IF((E48="t"),G48," ")</f>
        <v> </v>
      </c>
      <c r="R48" s="334" t="str">
        <f aca="false">IF((E48="a"),G48," ")</f>
        <v> </v>
      </c>
      <c r="S48" s="334" t="str">
        <f aca="false">IF((E48="l"),G48," ")</f>
        <v> </v>
      </c>
      <c r="T48" s="334" t="str">
        <f aca="false">IF((E48="b"),G48," ")</f>
        <v> </v>
      </c>
      <c r="U48" s="334" t="str">
        <f aca="false">IF((E48="i"),G48," ")</f>
        <v> </v>
      </c>
      <c r="V48" s="334" t="str">
        <f aca="false">IF((E48="o"),G48," ")</f>
        <v> </v>
      </c>
      <c r="W48" s="334" t="str">
        <f aca="false">IF((E48="f"),G48," ")</f>
        <v> </v>
      </c>
    </row>
    <row r="49" customFormat="false" ht="12.75" hidden="false" customHeight="false" outlineLevel="0" collapsed="false">
      <c r="A49" s="355"/>
      <c r="H49" s="338" t="str">
        <f aca="false">IF((G49&lt;&gt;0),IF((D49&gt;0)," ",G49)," ")</f>
        <v> </v>
      </c>
      <c r="I49" s="367" t="str">
        <f aca="false">IF((G49&lt;&gt;0),IF((D49&gt;0)," ",(I$1-A49))," ")</f>
        <v> </v>
      </c>
      <c r="J49" s="334" t="str">
        <f aca="false">IF((E49="s"),G49," ")</f>
        <v> </v>
      </c>
      <c r="K49" s="334" t="str">
        <f aca="false">IF((E49="d"),G49," ")</f>
        <v> </v>
      </c>
      <c r="L49" s="334" t="str">
        <f aca="false">IF((E49="e"),G49," ")</f>
        <v> </v>
      </c>
      <c r="M49" s="334" t="str">
        <f aca="false">IF((E49="p"),G49," ")</f>
        <v> </v>
      </c>
      <c r="N49" s="334" t="str">
        <f aca="false">IF((E49="r"),G49," ")</f>
        <v> </v>
      </c>
      <c r="O49" s="334" t="str">
        <f aca="false">IF((E49="g"),G49," ")</f>
        <v> </v>
      </c>
      <c r="P49" s="334" t="str">
        <f aca="false">IF((E49="m"),G49," ")</f>
        <v> </v>
      </c>
      <c r="Q49" s="334" t="str">
        <f aca="false">IF((E49="t"),G49," ")</f>
        <v> </v>
      </c>
      <c r="R49" s="334" t="str">
        <f aca="false">IF((E49="a"),G49," ")</f>
        <v> </v>
      </c>
      <c r="S49" s="334" t="str">
        <f aca="false">IF((E49="l"),G49," ")</f>
        <v> </v>
      </c>
      <c r="T49" s="334" t="str">
        <f aca="false">IF((E49="b"),G49," ")</f>
        <v> </v>
      </c>
      <c r="U49" s="334" t="str">
        <f aca="false">IF((E49="i"),G49," ")</f>
        <v> </v>
      </c>
      <c r="V49" s="334" t="str">
        <f aca="false">IF((E49="o"),G49," ")</f>
        <v> </v>
      </c>
      <c r="W49" s="334" t="str">
        <f aca="false">IF((E49="f"),G49," ")</f>
        <v> </v>
      </c>
    </row>
    <row r="50" customFormat="false" ht="12.75" hidden="false" customHeight="false" outlineLevel="0" collapsed="false">
      <c r="A50" s="355"/>
      <c r="H50" s="338" t="str">
        <f aca="false">IF((G50&lt;&gt;0),IF((D50&gt;0)," ",G50)," ")</f>
        <v> </v>
      </c>
      <c r="I50" s="367" t="str">
        <f aca="false">IF((G50&lt;&gt;0),IF((D50&gt;0)," ",(I$1-A50))," ")</f>
        <v> </v>
      </c>
      <c r="J50" s="334" t="str">
        <f aca="false">IF((E50="s"),G50," ")</f>
        <v> </v>
      </c>
      <c r="K50" s="334" t="str">
        <f aca="false">IF((E50="d"),G50," ")</f>
        <v> </v>
      </c>
      <c r="L50" s="334" t="str">
        <f aca="false">IF((E50="e"),G50," ")</f>
        <v> </v>
      </c>
      <c r="M50" s="334" t="str">
        <f aca="false">IF((E50="p"),G50," ")</f>
        <v> </v>
      </c>
      <c r="N50" s="334" t="str">
        <f aca="false">IF((E50="r"),G50," ")</f>
        <v> </v>
      </c>
      <c r="O50" s="334" t="str">
        <f aca="false">IF((E50="g"),G50," ")</f>
        <v> </v>
      </c>
      <c r="P50" s="334" t="str">
        <f aca="false">IF((E50="m"),G50," ")</f>
        <v> </v>
      </c>
      <c r="Q50" s="334" t="str">
        <f aca="false">IF((E50="t"),G50," ")</f>
        <v> </v>
      </c>
      <c r="R50" s="334" t="str">
        <f aca="false">IF((E50="a"),G50," ")</f>
        <v> </v>
      </c>
      <c r="S50" s="334" t="str">
        <f aca="false">IF((E50="l"),G50," ")</f>
        <v> </v>
      </c>
      <c r="T50" s="334" t="str">
        <f aca="false">IF((E50="b"),G50," ")</f>
        <v> </v>
      </c>
      <c r="U50" s="334" t="str">
        <f aca="false">IF((E50="i"),G50," ")</f>
        <v> </v>
      </c>
      <c r="V50" s="334" t="str">
        <f aca="false">IF((E50="o"),G50," ")</f>
        <v> </v>
      </c>
      <c r="W50" s="334" t="str">
        <f aca="false">IF((E50="f"),G50," ")</f>
        <v> </v>
      </c>
    </row>
    <row r="51" customFormat="false" ht="12.75" hidden="false" customHeight="false" outlineLevel="0" collapsed="false">
      <c r="A51" s="355"/>
      <c r="H51" s="338" t="str">
        <f aca="false">IF((G51&lt;&gt;0),IF((D51&gt;0)," ",G51)," ")</f>
        <v> </v>
      </c>
      <c r="I51" s="367" t="str">
        <f aca="false">IF((G51&lt;&gt;0),IF((D51&gt;0)," ",(I$1-A51))," ")</f>
        <v> </v>
      </c>
      <c r="J51" s="334" t="str">
        <f aca="false">IF((E51="s"),G51," ")</f>
        <v> </v>
      </c>
      <c r="K51" s="334" t="str">
        <f aca="false">IF((E51="d"),G51," ")</f>
        <v> </v>
      </c>
      <c r="L51" s="334" t="str">
        <f aca="false">IF((E51="e"),G51," ")</f>
        <v> </v>
      </c>
      <c r="M51" s="334" t="str">
        <f aca="false">IF((E51="p"),G51," ")</f>
        <v> </v>
      </c>
      <c r="N51" s="334" t="str">
        <f aca="false">IF((E51="r"),G51," ")</f>
        <v> </v>
      </c>
      <c r="O51" s="334" t="str">
        <f aca="false">IF((E51="g"),G51," ")</f>
        <v> </v>
      </c>
      <c r="P51" s="334" t="str">
        <f aca="false">IF((E51="m"),G51," ")</f>
        <v> </v>
      </c>
      <c r="Q51" s="334" t="str">
        <f aca="false">IF((E51="t"),G51," ")</f>
        <v> </v>
      </c>
      <c r="R51" s="334" t="str">
        <f aca="false">IF((E51="a"),G51," ")</f>
        <v> </v>
      </c>
      <c r="S51" s="334" t="str">
        <f aca="false">IF((E51="l"),G51," ")</f>
        <v> </v>
      </c>
      <c r="T51" s="334" t="str">
        <f aca="false">IF((E51="b"),G51," ")</f>
        <v> </v>
      </c>
      <c r="U51" s="334" t="str">
        <f aca="false">IF((E51="i"),G51," ")</f>
        <v> </v>
      </c>
      <c r="V51" s="334" t="str">
        <f aca="false">IF((E51="o"),G51," ")</f>
        <v> </v>
      </c>
      <c r="W51" s="334" t="str">
        <f aca="false">IF((E51="f"),G51," ")</f>
        <v> </v>
      </c>
    </row>
    <row r="52" customFormat="false" ht="12.75" hidden="false" customHeight="false" outlineLevel="0" collapsed="false">
      <c r="A52" s="355"/>
      <c r="H52" s="338" t="str">
        <f aca="false">IF((G52&lt;&gt;0),IF((D52&gt;0)," ",G52)," ")</f>
        <v> </v>
      </c>
      <c r="I52" s="367" t="str">
        <f aca="false">IF((G52&lt;&gt;0),IF((D52&gt;0)," ",(I$1-A52))," ")</f>
        <v> </v>
      </c>
      <c r="J52" s="334" t="str">
        <f aca="false">IF((E52="s"),G52," ")</f>
        <v> </v>
      </c>
      <c r="K52" s="334" t="str">
        <f aca="false">IF((E52="d"),G52," ")</f>
        <v> </v>
      </c>
      <c r="L52" s="334" t="str">
        <f aca="false">IF((E52="e"),G52," ")</f>
        <v> </v>
      </c>
      <c r="M52" s="334" t="str">
        <f aca="false">IF((E52="p"),G52," ")</f>
        <v> </v>
      </c>
      <c r="N52" s="334" t="str">
        <f aca="false">IF((E52="r"),G52," ")</f>
        <v> </v>
      </c>
      <c r="O52" s="334" t="str">
        <f aca="false">IF((E52="g"),G52," ")</f>
        <v> </v>
      </c>
      <c r="P52" s="334" t="str">
        <f aca="false">IF((E52="m"),G52," ")</f>
        <v> </v>
      </c>
      <c r="Q52" s="334" t="str">
        <f aca="false">IF((E52="t"),G52," ")</f>
        <v> </v>
      </c>
      <c r="R52" s="334" t="str">
        <f aca="false">IF((E52="a"),G52," ")</f>
        <v> </v>
      </c>
      <c r="S52" s="334" t="str">
        <f aca="false">IF((E52="l"),G52," ")</f>
        <v> </v>
      </c>
      <c r="T52" s="334" t="str">
        <f aca="false">IF((E52="b"),G52," ")</f>
        <v> </v>
      </c>
      <c r="U52" s="334" t="str">
        <f aca="false">IF((E52="i"),G52," ")</f>
        <v> </v>
      </c>
      <c r="V52" s="334" t="str">
        <f aca="false">IF((E52="o"),G52," ")</f>
        <v> </v>
      </c>
      <c r="W52" s="334" t="str">
        <f aca="false">IF((E52="f"),G52," ")</f>
        <v> </v>
      </c>
    </row>
    <row r="53" customFormat="false" ht="12.75" hidden="false" customHeight="false" outlineLevel="0" collapsed="false">
      <c r="A53" s="355"/>
      <c r="H53" s="338" t="str">
        <f aca="false">IF((G53&lt;&gt;0),IF((D53&gt;0)," ",G53)," ")</f>
        <v> </v>
      </c>
      <c r="I53" s="367" t="str">
        <f aca="false">IF((G53&lt;&gt;0),IF((D53&gt;0)," ",(I$1-A53))," ")</f>
        <v> </v>
      </c>
      <c r="J53" s="334" t="str">
        <f aca="false">IF((E53="s"),G53," ")</f>
        <v> </v>
      </c>
      <c r="K53" s="334" t="str">
        <f aca="false">IF((E53="d"),G53," ")</f>
        <v> </v>
      </c>
      <c r="L53" s="334" t="str">
        <f aca="false">IF((E53="e"),G53," ")</f>
        <v> </v>
      </c>
      <c r="M53" s="334" t="str">
        <f aca="false">IF((E53="p"),G53," ")</f>
        <v> </v>
      </c>
      <c r="N53" s="334" t="str">
        <f aca="false">IF((E53="r"),G53," ")</f>
        <v> </v>
      </c>
      <c r="O53" s="334" t="str">
        <f aca="false">IF((E53="g"),G53," ")</f>
        <v> </v>
      </c>
      <c r="P53" s="334" t="str">
        <f aca="false">IF((E53="m"),G53," ")</f>
        <v> </v>
      </c>
      <c r="Q53" s="334" t="str">
        <f aca="false">IF((E53="t"),G53," ")</f>
        <v> </v>
      </c>
      <c r="R53" s="334" t="str">
        <f aca="false">IF((E53="a"),G53," ")</f>
        <v> </v>
      </c>
      <c r="S53" s="334" t="str">
        <f aca="false">IF((E53="l"),G53," ")</f>
        <v> </v>
      </c>
      <c r="T53" s="334" t="str">
        <f aca="false">IF((E53="b"),G53," ")</f>
        <v> </v>
      </c>
      <c r="U53" s="334" t="str">
        <f aca="false">IF((E53="i"),G53," ")</f>
        <v> </v>
      </c>
      <c r="V53" s="334" t="str">
        <f aca="false">IF((E53="o"),G53," ")</f>
        <v> </v>
      </c>
      <c r="W53" s="334" t="str">
        <f aca="false">IF((E53="f"),G53," ")</f>
        <v> </v>
      </c>
    </row>
    <row r="54" customFormat="false" ht="12.75" hidden="false" customHeight="false" outlineLevel="0" collapsed="false">
      <c r="A54" s="355"/>
      <c r="H54" s="338" t="str">
        <f aca="false">IF((G54&lt;&gt;0),IF((D54&gt;0)," ",G54)," ")</f>
        <v> </v>
      </c>
      <c r="I54" s="367" t="str">
        <f aca="false">IF((G54&lt;&gt;0),IF((D54&gt;0)," ",(I$1-A54))," ")</f>
        <v> </v>
      </c>
      <c r="J54" s="334" t="str">
        <f aca="false">IF((E54="s"),G54," ")</f>
        <v> </v>
      </c>
      <c r="K54" s="334" t="str">
        <f aca="false">IF((E54="d"),G54," ")</f>
        <v> </v>
      </c>
      <c r="L54" s="334" t="str">
        <f aca="false">IF((E54="e"),G54," ")</f>
        <v> </v>
      </c>
      <c r="M54" s="334" t="str">
        <f aca="false">IF((E54="p"),G54," ")</f>
        <v> </v>
      </c>
      <c r="N54" s="334" t="str">
        <f aca="false">IF((E54="r"),G54," ")</f>
        <v> </v>
      </c>
      <c r="O54" s="334" t="str">
        <f aca="false">IF((E54="g"),G54," ")</f>
        <v> </v>
      </c>
      <c r="P54" s="334" t="str">
        <f aca="false">IF((E54="m"),G54," ")</f>
        <v> </v>
      </c>
      <c r="Q54" s="334" t="str">
        <f aca="false">IF((E54="t"),G54," ")</f>
        <v> </v>
      </c>
      <c r="R54" s="334" t="str">
        <f aca="false">IF((E54="a"),G54," ")</f>
        <v> </v>
      </c>
      <c r="S54" s="334" t="str">
        <f aca="false">IF((E54="l"),G54," ")</f>
        <v> </v>
      </c>
      <c r="T54" s="334" t="str">
        <f aca="false">IF((E54="b"),G54," ")</f>
        <v> </v>
      </c>
      <c r="U54" s="334" t="str">
        <f aca="false">IF((E54="i"),G54," ")</f>
        <v> </v>
      </c>
      <c r="V54" s="334" t="str">
        <f aca="false">IF((E54="o"),G54," ")</f>
        <v> </v>
      </c>
      <c r="W54" s="334" t="str">
        <f aca="false">IF((E54="f"),G54," ")</f>
        <v> </v>
      </c>
    </row>
    <row r="55" customFormat="false" ht="12.75" hidden="false" customHeight="false" outlineLevel="0" collapsed="false">
      <c r="A55" s="355"/>
      <c r="H55" s="338" t="str">
        <f aca="false">IF((G55&lt;&gt;0),IF((D55&gt;0)," ",G55)," ")</f>
        <v> </v>
      </c>
      <c r="I55" s="367" t="str">
        <f aca="false">IF((G55&lt;&gt;0),IF((D55&gt;0)," ",(I$1-A55))," ")</f>
        <v> </v>
      </c>
      <c r="J55" s="334" t="str">
        <f aca="false">IF((E55="s"),G55," ")</f>
        <v> </v>
      </c>
      <c r="K55" s="334" t="str">
        <f aca="false">IF((E55="d"),G55," ")</f>
        <v> </v>
      </c>
      <c r="L55" s="334" t="str">
        <f aca="false">IF((E55="e"),G55," ")</f>
        <v> </v>
      </c>
      <c r="M55" s="334" t="str">
        <f aca="false">IF((E55="p"),G55," ")</f>
        <v> </v>
      </c>
      <c r="N55" s="334" t="str">
        <f aca="false">IF((E55="r"),G55," ")</f>
        <v> </v>
      </c>
      <c r="O55" s="334" t="str">
        <f aca="false">IF((E55="g"),G55," ")</f>
        <v> </v>
      </c>
      <c r="P55" s="334" t="str">
        <f aca="false">IF((E55="m"),G55," ")</f>
        <v> </v>
      </c>
      <c r="Q55" s="334" t="str">
        <f aca="false">IF((E55="t"),G55," ")</f>
        <v> </v>
      </c>
      <c r="R55" s="334" t="str">
        <f aca="false">IF((E55="a"),G55," ")</f>
        <v> </v>
      </c>
      <c r="S55" s="334" t="str">
        <f aca="false">IF((E55="l"),G55," ")</f>
        <v> </v>
      </c>
      <c r="T55" s="334" t="str">
        <f aca="false">IF((E55="b"),G55," ")</f>
        <v> </v>
      </c>
      <c r="U55" s="334" t="str">
        <f aca="false">IF((E55="i"),G55," ")</f>
        <v> </v>
      </c>
      <c r="V55" s="334" t="str">
        <f aca="false">IF((E55="o"),G55," ")</f>
        <v> </v>
      </c>
      <c r="W55" s="334" t="str">
        <f aca="false">IF((E55="f"),G55," ")</f>
        <v> </v>
      </c>
    </row>
    <row r="56" customFormat="false" ht="12.75" hidden="false" customHeight="false" outlineLevel="0" collapsed="false">
      <c r="A56" s="355"/>
      <c r="H56" s="338" t="str">
        <f aca="false">IF((G56&lt;&gt;0),IF((D56&gt;0)," ",G56)," ")</f>
        <v> </v>
      </c>
      <c r="I56" s="367" t="str">
        <f aca="false">IF((G56&lt;&gt;0),IF((D56&gt;0)," ",(I$1-A56))," ")</f>
        <v> </v>
      </c>
      <c r="J56" s="334" t="str">
        <f aca="false">IF((E56="s"),G56," ")</f>
        <v> </v>
      </c>
      <c r="K56" s="334" t="str">
        <f aca="false">IF((E56="d"),G56," ")</f>
        <v> </v>
      </c>
      <c r="L56" s="334" t="str">
        <f aca="false">IF((E56="e"),G56," ")</f>
        <v> </v>
      </c>
      <c r="M56" s="334" t="str">
        <f aca="false">IF((E56="p"),G56," ")</f>
        <v> </v>
      </c>
      <c r="N56" s="334" t="str">
        <f aca="false">IF((E56="r"),G56," ")</f>
        <v> </v>
      </c>
      <c r="O56" s="334" t="str">
        <f aca="false">IF((E56="g"),G56," ")</f>
        <v> </v>
      </c>
      <c r="P56" s="334" t="str">
        <f aca="false">IF((E56="m"),G56," ")</f>
        <v> </v>
      </c>
      <c r="Q56" s="334" t="str">
        <f aca="false">IF((E56="t"),G56," ")</f>
        <v> </v>
      </c>
      <c r="R56" s="334" t="str">
        <f aca="false">IF((E56="a"),G56," ")</f>
        <v> </v>
      </c>
      <c r="S56" s="334" t="str">
        <f aca="false">IF((E56="l"),G56," ")</f>
        <v> </v>
      </c>
      <c r="T56" s="334" t="str">
        <f aca="false">IF((E56="b"),G56," ")</f>
        <v> </v>
      </c>
      <c r="U56" s="334" t="str">
        <f aca="false">IF((E56="i"),G56," ")</f>
        <v> </v>
      </c>
      <c r="V56" s="334" t="str">
        <f aca="false">IF((E56="o"),G56," ")</f>
        <v> </v>
      </c>
      <c r="W56" s="334" t="str">
        <f aca="false">IF((E56="f"),G56," ")</f>
        <v> </v>
      </c>
    </row>
    <row r="57" customFormat="false" ht="12.75" hidden="false" customHeight="false" outlineLevel="0" collapsed="false">
      <c r="A57" s="355"/>
      <c r="H57" s="338" t="str">
        <f aca="false">IF((G57&lt;&gt;0),IF((D57&gt;0)," ",G57)," ")</f>
        <v> </v>
      </c>
      <c r="I57" s="367" t="str">
        <f aca="false">IF((G57&lt;&gt;0),IF((D57&gt;0)," ",(I$1-A57))," ")</f>
        <v> </v>
      </c>
      <c r="J57" s="334" t="str">
        <f aca="false">IF((E57="s"),G57," ")</f>
        <v> </v>
      </c>
      <c r="K57" s="334" t="str">
        <f aca="false">IF((E57="d"),G57," ")</f>
        <v> </v>
      </c>
      <c r="L57" s="334" t="str">
        <f aca="false">IF((E57="e"),G57," ")</f>
        <v> </v>
      </c>
      <c r="M57" s="334" t="str">
        <f aca="false">IF((E57="p"),G57," ")</f>
        <v> </v>
      </c>
      <c r="N57" s="334" t="str">
        <f aca="false">IF((E57="r"),G57," ")</f>
        <v> </v>
      </c>
      <c r="O57" s="334" t="str">
        <f aca="false">IF((E57="g"),G57," ")</f>
        <v> </v>
      </c>
      <c r="P57" s="334" t="str">
        <f aca="false">IF((E57="m"),G57," ")</f>
        <v> </v>
      </c>
      <c r="Q57" s="334" t="str">
        <f aca="false">IF((E57="t"),G57," ")</f>
        <v> </v>
      </c>
      <c r="R57" s="334" t="str">
        <f aca="false">IF((E57="a"),G57," ")</f>
        <v> </v>
      </c>
      <c r="S57" s="334" t="str">
        <f aca="false">IF((E57="l"),G57," ")</f>
        <v> </v>
      </c>
      <c r="T57" s="334" t="str">
        <f aca="false">IF((E57="b"),G57," ")</f>
        <v> </v>
      </c>
      <c r="U57" s="334" t="str">
        <f aca="false">IF((E57="i"),G57," ")</f>
        <v> </v>
      </c>
      <c r="V57" s="334" t="str">
        <f aca="false">IF((E57="o"),G57," ")</f>
        <v> </v>
      </c>
      <c r="W57" s="334" t="str">
        <f aca="false">IF((E57="f"),G57," ")</f>
        <v> </v>
      </c>
    </row>
    <row r="58" customFormat="false" ht="12.75" hidden="false" customHeight="false" outlineLevel="0" collapsed="false">
      <c r="A58" s="355"/>
      <c r="H58" s="338" t="str">
        <f aca="false">IF((G58&lt;&gt;0),IF((D58&gt;0)," ",G58)," ")</f>
        <v> </v>
      </c>
      <c r="I58" s="367" t="str">
        <f aca="false">IF((G58&lt;&gt;0),IF((D58&gt;0)," ",(I$1-A58))," ")</f>
        <v> </v>
      </c>
      <c r="J58" s="334" t="str">
        <f aca="false">IF((E58="s"),G58," ")</f>
        <v> </v>
      </c>
      <c r="K58" s="334" t="str">
        <f aca="false">IF((E58="d"),G58," ")</f>
        <v> </v>
      </c>
      <c r="L58" s="334" t="str">
        <f aca="false">IF((E58="e"),G58," ")</f>
        <v> </v>
      </c>
      <c r="M58" s="334" t="str">
        <f aca="false">IF((E58="p"),G58," ")</f>
        <v> </v>
      </c>
      <c r="N58" s="334" t="str">
        <f aca="false">IF((E58="r"),G58," ")</f>
        <v> </v>
      </c>
      <c r="O58" s="334" t="str">
        <f aca="false">IF((E58="g"),G58," ")</f>
        <v> </v>
      </c>
      <c r="P58" s="334" t="str">
        <f aca="false">IF((E58="m"),G58," ")</f>
        <v> </v>
      </c>
      <c r="Q58" s="334" t="str">
        <f aca="false">IF((E58="t"),G58," ")</f>
        <v> </v>
      </c>
      <c r="R58" s="334" t="str">
        <f aca="false">IF((E58="a"),G58," ")</f>
        <v> </v>
      </c>
      <c r="S58" s="334" t="str">
        <f aca="false">IF((E58="l"),G58," ")</f>
        <v> </v>
      </c>
      <c r="T58" s="334" t="str">
        <f aca="false">IF((E58="b"),G58," ")</f>
        <v> </v>
      </c>
      <c r="U58" s="334" t="str">
        <f aca="false">IF((E58="i"),G58," ")</f>
        <v> </v>
      </c>
      <c r="V58" s="334" t="str">
        <f aca="false">IF((E58="o"),G58," ")</f>
        <v> </v>
      </c>
      <c r="W58" s="334" t="str">
        <f aca="false">IF((E58="f"),G58," ")</f>
        <v> </v>
      </c>
    </row>
    <row r="59" customFormat="false" ht="12.75" hidden="false" customHeight="false" outlineLevel="0" collapsed="false">
      <c r="A59" s="355"/>
      <c r="H59" s="338" t="str">
        <f aca="false">IF((G59&lt;&gt;0),IF((D59&gt;0)," ",G59)," ")</f>
        <v> </v>
      </c>
      <c r="I59" s="367" t="str">
        <f aca="false">IF((G59&lt;&gt;0),IF((D59&gt;0)," ",(I$1-A59))," ")</f>
        <v> </v>
      </c>
      <c r="J59" s="334" t="str">
        <f aca="false">IF((E59="s"),G59," ")</f>
        <v> </v>
      </c>
      <c r="K59" s="334" t="str">
        <f aca="false">IF((E59="d"),G59," ")</f>
        <v> </v>
      </c>
      <c r="L59" s="334" t="str">
        <f aca="false">IF((E59="e"),G59," ")</f>
        <v> </v>
      </c>
      <c r="M59" s="334" t="str">
        <f aca="false">IF((E59="p"),G59," ")</f>
        <v> </v>
      </c>
      <c r="N59" s="334" t="str">
        <f aca="false">IF((E59="r"),G59," ")</f>
        <v> </v>
      </c>
      <c r="O59" s="334" t="str">
        <f aca="false">IF((E59="g"),G59," ")</f>
        <v> </v>
      </c>
      <c r="P59" s="334" t="str">
        <f aca="false">IF((E59="m"),G59," ")</f>
        <v> </v>
      </c>
      <c r="Q59" s="334" t="str">
        <f aca="false">IF((E59="t"),G59," ")</f>
        <v> </v>
      </c>
      <c r="R59" s="334" t="str">
        <f aca="false">IF((E59="a"),G59," ")</f>
        <v> </v>
      </c>
      <c r="S59" s="334" t="str">
        <f aca="false">IF((E59="l"),G59," ")</f>
        <v> </v>
      </c>
      <c r="T59" s="334" t="str">
        <f aca="false">IF((E59="b"),G59," ")</f>
        <v> </v>
      </c>
      <c r="U59" s="334" t="str">
        <f aca="false">IF((E59="i"),G59," ")</f>
        <v> </v>
      </c>
      <c r="V59" s="334" t="str">
        <f aca="false">IF((E59="o"),G59," ")</f>
        <v> </v>
      </c>
      <c r="W59" s="334" t="str">
        <f aca="false">IF((E59="f"),G59," ")</f>
        <v> </v>
      </c>
    </row>
    <row r="60" customFormat="false" ht="12.75" hidden="false" customHeight="false" outlineLevel="0" collapsed="false">
      <c r="A60" s="355"/>
      <c r="H60" s="338" t="str">
        <f aca="false">IF((G60&lt;&gt;0),IF((D60&gt;0)," ",G60)," ")</f>
        <v> </v>
      </c>
      <c r="I60" s="367" t="str">
        <f aca="false">IF((G60&lt;&gt;0),IF((D60&gt;0)," ",(I$1-A60))," ")</f>
        <v> </v>
      </c>
      <c r="J60" s="334" t="str">
        <f aca="false">IF((E60="s"),G60," ")</f>
        <v> </v>
      </c>
      <c r="K60" s="334" t="str">
        <f aca="false">IF((E60="d"),G60," ")</f>
        <v> </v>
      </c>
      <c r="L60" s="334" t="str">
        <f aca="false">IF((E60="e"),G60," ")</f>
        <v> </v>
      </c>
      <c r="M60" s="334" t="str">
        <f aca="false">IF((E60="p"),G60," ")</f>
        <v> </v>
      </c>
      <c r="N60" s="334" t="str">
        <f aca="false">IF((E60="r"),G60," ")</f>
        <v> </v>
      </c>
      <c r="O60" s="334" t="str">
        <f aca="false">IF((E60="g"),G60," ")</f>
        <v> </v>
      </c>
      <c r="P60" s="334" t="str">
        <f aca="false">IF((E60="m"),G60," ")</f>
        <v> </v>
      </c>
      <c r="Q60" s="334" t="str">
        <f aca="false">IF((E60="t"),G60," ")</f>
        <v> </v>
      </c>
      <c r="R60" s="334" t="str">
        <f aca="false">IF((E60="a"),G60," ")</f>
        <v> </v>
      </c>
      <c r="S60" s="334" t="str">
        <f aca="false">IF((E60="l"),G60," ")</f>
        <v> </v>
      </c>
      <c r="T60" s="334" t="str">
        <f aca="false">IF((E60="b"),G60," ")</f>
        <v> </v>
      </c>
      <c r="U60" s="334" t="str">
        <f aca="false">IF((E60="i"),G60," ")</f>
        <v> </v>
      </c>
      <c r="V60" s="334" t="str">
        <f aca="false">IF((E60="o"),G60," ")</f>
        <v> </v>
      </c>
      <c r="W60" s="334" t="str">
        <f aca="false">IF((E60="f"),G60," ")</f>
        <v> </v>
      </c>
    </row>
    <row r="61" customFormat="false" ht="12.75" hidden="false" customHeight="false" outlineLevel="0" collapsed="false">
      <c r="A61" s="355"/>
      <c r="H61" s="338" t="str">
        <f aca="false">IF((G61&lt;&gt;0),IF((D61&gt;0)," ",G61)," ")</f>
        <v> </v>
      </c>
      <c r="I61" s="367" t="str">
        <f aca="false">IF((G61&lt;&gt;0),IF((D61&gt;0)," ",(I$1-A61))," ")</f>
        <v> </v>
      </c>
      <c r="J61" s="334" t="str">
        <f aca="false">IF((E61="s"),G61," ")</f>
        <v> </v>
      </c>
      <c r="K61" s="334" t="str">
        <f aca="false">IF((E61="d"),G61," ")</f>
        <v> </v>
      </c>
      <c r="L61" s="334" t="str">
        <f aca="false">IF((E61="e"),G61," ")</f>
        <v> </v>
      </c>
      <c r="M61" s="334" t="str">
        <f aca="false">IF((E61="p"),G61," ")</f>
        <v> </v>
      </c>
      <c r="N61" s="334" t="str">
        <f aca="false">IF((E61="r"),G61," ")</f>
        <v> </v>
      </c>
      <c r="O61" s="334" t="str">
        <f aca="false">IF((E61="g"),G61," ")</f>
        <v> </v>
      </c>
      <c r="P61" s="334" t="str">
        <f aca="false">IF((E61="m"),G61," ")</f>
        <v> </v>
      </c>
      <c r="Q61" s="334" t="str">
        <f aca="false">IF((E61="t"),G61," ")</f>
        <v> </v>
      </c>
      <c r="R61" s="334" t="str">
        <f aca="false">IF((E61="a"),G61," ")</f>
        <v> </v>
      </c>
      <c r="S61" s="334" t="str">
        <f aca="false">IF((E61="l"),G61," ")</f>
        <v> </v>
      </c>
      <c r="T61" s="334" t="str">
        <f aca="false">IF((E61="b"),G61," ")</f>
        <v> </v>
      </c>
      <c r="U61" s="334" t="str">
        <f aca="false">IF((E61="i"),G61," ")</f>
        <v> </v>
      </c>
      <c r="V61" s="334" t="str">
        <f aca="false">IF((E61="o"),G61," ")</f>
        <v> </v>
      </c>
      <c r="W61" s="334" t="str">
        <f aca="false">IF((E61="f"),G61," ")</f>
        <v> </v>
      </c>
    </row>
    <row r="62" customFormat="false" ht="12.75" hidden="false" customHeight="false" outlineLevel="0" collapsed="false">
      <c r="A62" s="355"/>
      <c r="H62" s="338" t="str">
        <f aca="false">IF((G62&lt;&gt;0),IF((D62&gt;0)," ",G62)," ")</f>
        <v> </v>
      </c>
      <c r="I62" s="367" t="str">
        <f aca="false">IF((G62&lt;&gt;0),IF((D62&gt;0)," ",(I$1-A62))," ")</f>
        <v> </v>
      </c>
      <c r="J62" s="334" t="str">
        <f aca="false">IF((E62="s"),G62," ")</f>
        <v> </v>
      </c>
      <c r="K62" s="334" t="str">
        <f aca="false">IF((E62="d"),G62," ")</f>
        <v> </v>
      </c>
      <c r="L62" s="334" t="str">
        <f aca="false">IF((E62="e"),G62," ")</f>
        <v> </v>
      </c>
      <c r="M62" s="334" t="str">
        <f aca="false">IF((E62="p"),G62," ")</f>
        <v> </v>
      </c>
      <c r="N62" s="334" t="str">
        <f aca="false">IF((E62="r"),G62," ")</f>
        <v> </v>
      </c>
      <c r="O62" s="334" t="str">
        <f aca="false">IF((E62="g"),G62," ")</f>
        <v> </v>
      </c>
      <c r="P62" s="334" t="str">
        <f aca="false">IF((E62="m"),G62," ")</f>
        <v> </v>
      </c>
      <c r="Q62" s="334" t="str">
        <f aca="false">IF((E62="t"),G62," ")</f>
        <v> </v>
      </c>
      <c r="R62" s="334" t="str">
        <f aca="false">IF((E62="a"),G62," ")</f>
        <v> </v>
      </c>
      <c r="S62" s="334" t="str">
        <f aca="false">IF((E62="l"),G62," ")</f>
        <v> </v>
      </c>
      <c r="T62" s="334" t="str">
        <f aca="false">IF((E62="b"),G62," ")</f>
        <v> </v>
      </c>
      <c r="U62" s="334" t="str">
        <f aca="false">IF((E62="i"),G62," ")</f>
        <v> </v>
      </c>
      <c r="V62" s="334" t="str">
        <f aca="false">IF((E62="o"),G62," ")</f>
        <v> </v>
      </c>
      <c r="W62" s="334" t="str">
        <f aca="false">IF((E62="f"),G62," ")</f>
        <v> </v>
      </c>
    </row>
    <row r="63" customFormat="false" ht="12.75" hidden="false" customHeight="false" outlineLevel="0" collapsed="false">
      <c r="A63" s="355"/>
      <c r="H63" s="338" t="str">
        <f aca="false">IF((G63&lt;&gt;0),IF((D63&gt;0)," ",G63)," ")</f>
        <v> </v>
      </c>
      <c r="I63" s="367" t="str">
        <f aca="false">IF((G63&lt;&gt;0),IF((D63&gt;0)," ",(I$1-A63))," ")</f>
        <v> </v>
      </c>
      <c r="J63" s="334" t="str">
        <f aca="false">IF((E63="s"),G63," ")</f>
        <v> </v>
      </c>
      <c r="K63" s="334" t="str">
        <f aca="false">IF((E63="d"),G63," ")</f>
        <v> </v>
      </c>
      <c r="L63" s="334" t="str">
        <f aca="false">IF((E63="e"),G63," ")</f>
        <v> </v>
      </c>
      <c r="M63" s="334" t="str">
        <f aca="false">IF((E63="p"),G63," ")</f>
        <v> </v>
      </c>
      <c r="N63" s="334" t="str">
        <f aca="false">IF((E63="r"),G63," ")</f>
        <v> </v>
      </c>
      <c r="O63" s="334" t="str">
        <f aca="false">IF((E63="g"),G63," ")</f>
        <v> </v>
      </c>
      <c r="P63" s="334" t="str">
        <f aca="false">IF((E63="m"),G63," ")</f>
        <v> </v>
      </c>
      <c r="Q63" s="334" t="str">
        <f aca="false">IF((E63="t"),G63," ")</f>
        <v> </v>
      </c>
      <c r="R63" s="334" t="str">
        <f aca="false">IF((E63="a"),G63," ")</f>
        <v> </v>
      </c>
      <c r="S63" s="334" t="str">
        <f aca="false">IF((E63="l"),G63," ")</f>
        <v> </v>
      </c>
      <c r="T63" s="334" t="str">
        <f aca="false">IF((E63="b"),G63," ")</f>
        <v> </v>
      </c>
      <c r="U63" s="334" t="str">
        <f aca="false">IF((E63="i"),G63," ")</f>
        <v> </v>
      </c>
      <c r="V63" s="334" t="str">
        <f aca="false">IF((E63="o"),G63," ")</f>
        <v> </v>
      </c>
      <c r="W63" s="334" t="str">
        <f aca="false">IF((E63="f"),G63," ")</f>
        <v> </v>
      </c>
    </row>
    <row r="64" customFormat="false" ht="12.75" hidden="false" customHeight="false" outlineLevel="0" collapsed="false">
      <c r="A64" s="355"/>
      <c r="H64" s="338" t="str">
        <f aca="false">IF((G64&lt;&gt;0),IF((D64&gt;0)," ",G64)," ")</f>
        <v> </v>
      </c>
      <c r="I64" s="367" t="str">
        <f aca="false">IF((G64&lt;&gt;0),IF((D64&gt;0)," ",(I$1-A64))," ")</f>
        <v> </v>
      </c>
      <c r="J64" s="334" t="str">
        <f aca="false">IF((E64="s"),G64," ")</f>
        <v> </v>
      </c>
      <c r="K64" s="334" t="str">
        <f aca="false">IF((E64="d"),G64," ")</f>
        <v> </v>
      </c>
      <c r="L64" s="334" t="str">
        <f aca="false">IF((E64="e"),G64," ")</f>
        <v> </v>
      </c>
      <c r="M64" s="334" t="str">
        <f aca="false">IF((E64="p"),G64," ")</f>
        <v> </v>
      </c>
      <c r="N64" s="334" t="str">
        <f aca="false">IF((E64="r"),G64," ")</f>
        <v> </v>
      </c>
      <c r="O64" s="334" t="str">
        <f aca="false">IF((E64="g"),G64," ")</f>
        <v> </v>
      </c>
      <c r="P64" s="334" t="str">
        <f aca="false">IF((E64="m"),G64," ")</f>
        <v> </v>
      </c>
      <c r="Q64" s="334" t="str">
        <f aca="false">IF((E64="t"),G64," ")</f>
        <v> </v>
      </c>
      <c r="R64" s="334" t="str">
        <f aca="false">IF((E64="a"),G64," ")</f>
        <v> </v>
      </c>
      <c r="S64" s="334" t="str">
        <f aca="false">IF((E64="l"),G64," ")</f>
        <v> </v>
      </c>
      <c r="T64" s="334" t="str">
        <f aca="false">IF((E64="b"),G64," ")</f>
        <v> </v>
      </c>
      <c r="U64" s="334" t="str">
        <f aca="false">IF((E64="i"),G64," ")</f>
        <v> </v>
      </c>
      <c r="V64" s="334" t="str">
        <f aca="false">IF((E64="o"),G64," ")</f>
        <v> </v>
      </c>
      <c r="W64" s="334" t="str">
        <f aca="false">IF((E64="f"),G64," ")</f>
        <v> </v>
      </c>
    </row>
    <row r="65" customFormat="false" ht="12.75" hidden="false" customHeight="false" outlineLevel="0" collapsed="false">
      <c r="A65" s="355"/>
      <c r="H65" s="338" t="str">
        <f aca="false">IF((G65&lt;&gt;0),IF((D65&gt;0)," ",G65)," ")</f>
        <v> </v>
      </c>
      <c r="I65" s="367" t="str">
        <f aca="false">IF((G65&lt;&gt;0),IF((D65&gt;0)," ",(I$1-A65))," ")</f>
        <v> </v>
      </c>
      <c r="J65" s="334" t="str">
        <f aca="false">IF((E65="s"),G65," ")</f>
        <v> </v>
      </c>
      <c r="K65" s="334" t="str">
        <f aca="false">IF((E65="d"),G65," ")</f>
        <v> </v>
      </c>
      <c r="L65" s="334" t="str">
        <f aca="false">IF((E65="e"),G65," ")</f>
        <v> </v>
      </c>
      <c r="M65" s="334" t="str">
        <f aca="false">IF((E65="p"),G65," ")</f>
        <v> </v>
      </c>
      <c r="N65" s="334" t="str">
        <f aca="false">IF((E65="r"),G65," ")</f>
        <v> </v>
      </c>
      <c r="O65" s="334" t="str">
        <f aca="false">IF((E65="g"),G65," ")</f>
        <v> </v>
      </c>
      <c r="P65" s="334" t="str">
        <f aca="false">IF((E65="m"),G65," ")</f>
        <v> </v>
      </c>
      <c r="Q65" s="334" t="str">
        <f aca="false">IF((E65="t"),G65," ")</f>
        <v> </v>
      </c>
      <c r="R65" s="334" t="str">
        <f aca="false">IF((E65="a"),G65," ")</f>
        <v> </v>
      </c>
      <c r="S65" s="334" t="str">
        <f aca="false">IF((E65="l"),G65," ")</f>
        <v> </v>
      </c>
      <c r="T65" s="334" t="str">
        <f aca="false">IF((E65="b"),G65," ")</f>
        <v> </v>
      </c>
      <c r="U65" s="334" t="str">
        <f aca="false">IF((E65="i"),G65," ")</f>
        <v> </v>
      </c>
      <c r="V65" s="334" t="str">
        <f aca="false">IF((E65="o"),G65," ")</f>
        <v> </v>
      </c>
      <c r="W65" s="334" t="str">
        <f aca="false">IF((E65="f"),G65," ")</f>
        <v> </v>
      </c>
    </row>
    <row r="66" customFormat="false" ht="12.75" hidden="false" customHeight="false" outlineLevel="0" collapsed="false">
      <c r="A66" s="355"/>
      <c r="H66" s="338" t="str">
        <f aca="false">IF((G66&lt;&gt;0),IF((D66&gt;0)," ",G66)," ")</f>
        <v> </v>
      </c>
      <c r="I66" s="367" t="str">
        <f aca="false">IF((G66&lt;&gt;0),IF((D66&gt;0)," ",(I$1-A66))," ")</f>
        <v> </v>
      </c>
      <c r="J66" s="334" t="str">
        <f aca="false">IF((E66="s"),G66," ")</f>
        <v> </v>
      </c>
      <c r="K66" s="334" t="str">
        <f aca="false">IF((E66="d"),G66," ")</f>
        <v> </v>
      </c>
      <c r="L66" s="334" t="str">
        <f aca="false">IF((E66="e"),G66," ")</f>
        <v> </v>
      </c>
      <c r="M66" s="334" t="str">
        <f aca="false">IF((E66="p"),G66," ")</f>
        <v> </v>
      </c>
      <c r="N66" s="334" t="str">
        <f aca="false">IF((E66="r"),G66," ")</f>
        <v> </v>
      </c>
      <c r="O66" s="334" t="str">
        <f aca="false">IF((E66="g"),G66," ")</f>
        <v> </v>
      </c>
      <c r="P66" s="334" t="str">
        <f aca="false">IF((E66="m"),G66," ")</f>
        <v> </v>
      </c>
      <c r="Q66" s="334" t="str">
        <f aca="false">IF((E66="t"),G66," ")</f>
        <v> </v>
      </c>
      <c r="R66" s="334" t="str">
        <f aca="false">IF((E66="a"),G66," ")</f>
        <v> </v>
      </c>
      <c r="S66" s="334" t="str">
        <f aca="false">IF((E66="l"),G66," ")</f>
        <v> </v>
      </c>
      <c r="T66" s="334" t="str">
        <f aca="false">IF((E66="b"),G66," ")</f>
        <v> </v>
      </c>
      <c r="U66" s="334" t="str">
        <f aca="false">IF((E66="i"),G66," ")</f>
        <v> </v>
      </c>
      <c r="V66" s="334" t="str">
        <f aca="false">IF((E66="o"),G66," ")</f>
        <v> </v>
      </c>
      <c r="W66" s="334" t="str">
        <f aca="false">IF((E66="f"),G66," ")</f>
        <v> </v>
      </c>
    </row>
    <row r="67" customFormat="false" ht="12.75" hidden="false" customHeight="false" outlineLevel="0" collapsed="false">
      <c r="A67" s="355"/>
      <c r="H67" s="338" t="str">
        <f aca="false">IF((G67&lt;&gt;0),IF((D67&gt;0)," ",G67)," ")</f>
        <v> </v>
      </c>
      <c r="I67" s="367" t="str">
        <f aca="false">IF((G67&lt;&gt;0),IF((D67&gt;0)," ",(I$1-A67))," ")</f>
        <v> </v>
      </c>
      <c r="J67" s="334" t="str">
        <f aca="false">IF((E67="s"),G67," ")</f>
        <v> </v>
      </c>
      <c r="K67" s="334" t="str">
        <f aca="false">IF((E67="d"),G67," ")</f>
        <v> </v>
      </c>
      <c r="L67" s="334" t="str">
        <f aca="false">IF((E67="e"),G67," ")</f>
        <v> </v>
      </c>
      <c r="M67" s="334" t="str">
        <f aca="false">IF((E67="p"),G67," ")</f>
        <v> </v>
      </c>
      <c r="N67" s="334" t="str">
        <f aca="false">IF((E67="r"),G67," ")</f>
        <v> </v>
      </c>
      <c r="O67" s="334" t="str">
        <f aca="false">IF((E67="g"),G67," ")</f>
        <v> </v>
      </c>
      <c r="P67" s="334" t="str">
        <f aca="false">IF((E67="m"),G67," ")</f>
        <v> </v>
      </c>
      <c r="Q67" s="334" t="str">
        <f aca="false">IF((E67="t"),G67," ")</f>
        <v> </v>
      </c>
      <c r="R67" s="334" t="str">
        <f aca="false">IF((E67="a"),G67," ")</f>
        <v> </v>
      </c>
      <c r="S67" s="334" t="str">
        <f aca="false">IF((E67="l"),G67," ")</f>
        <v> </v>
      </c>
      <c r="T67" s="334" t="str">
        <f aca="false">IF((E67="b"),G67," ")</f>
        <v> </v>
      </c>
      <c r="U67" s="334" t="str">
        <f aca="false">IF((E67="i"),G67," ")</f>
        <v> </v>
      </c>
      <c r="V67" s="334" t="str">
        <f aca="false">IF((E67="o"),G67," ")</f>
        <v> </v>
      </c>
      <c r="W67" s="334" t="str">
        <f aca="false">IF((E67="f"),G67," ")</f>
        <v> </v>
      </c>
    </row>
    <row r="68" customFormat="false" ht="12.75" hidden="false" customHeight="false" outlineLevel="0" collapsed="false">
      <c r="A68" s="355"/>
      <c r="H68" s="338" t="str">
        <f aca="false">IF((G68&lt;&gt;0),IF((D68&gt;0)," ",G68)," ")</f>
        <v> </v>
      </c>
      <c r="I68" s="367" t="str">
        <f aca="false">IF((G68&lt;&gt;0),IF((D68&gt;0)," ",(I$1-A68))," ")</f>
        <v> </v>
      </c>
      <c r="J68" s="334" t="str">
        <f aca="false">IF((E68="s"),G68," ")</f>
        <v> </v>
      </c>
      <c r="K68" s="334" t="str">
        <f aca="false">IF((E68="d"),G68," ")</f>
        <v> </v>
      </c>
      <c r="L68" s="334" t="str">
        <f aca="false">IF((E68="e"),G68," ")</f>
        <v> </v>
      </c>
      <c r="M68" s="334" t="str">
        <f aca="false">IF((E68="p"),G68," ")</f>
        <v> </v>
      </c>
      <c r="N68" s="334" t="str">
        <f aca="false">IF((E68="r"),G68," ")</f>
        <v> </v>
      </c>
      <c r="O68" s="334" t="str">
        <f aca="false">IF((E68="g"),G68," ")</f>
        <v> </v>
      </c>
      <c r="P68" s="334" t="str">
        <f aca="false">IF((E68="m"),G68," ")</f>
        <v> </v>
      </c>
      <c r="Q68" s="334" t="str">
        <f aca="false">IF((E68="t"),G68," ")</f>
        <v> </v>
      </c>
      <c r="R68" s="334" t="str">
        <f aca="false">IF((E68="a"),G68," ")</f>
        <v> </v>
      </c>
      <c r="S68" s="334" t="str">
        <f aca="false">IF((E68="l"),G68," ")</f>
        <v> </v>
      </c>
      <c r="T68" s="334" t="str">
        <f aca="false">IF((E68="b"),G68," ")</f>
        <v> </v>
      </c>
      <c r="U68" s="334" t="str">
        <f aca="false">IF((E68="i"),G68," ")</f>
        <v> </v>
      </c>
      <c r="V68" s="334" t="str">
        <f aca="false">IF((E68="o"),G68," ")</f>
        <v> </v>
      </c>
      <c r="W68" s="334" t="str">
        <f aca="false">IF((E68="f"),G68," ")</f>
        <v> </v>
      </c>
    </row>
    <row r="69" customFormat="false" ht="12.75" hidden="false" customHeight="false" outlineLevel="0" collapsed="false">
      <c r="A69" s="355"/>
      <c r="E69" s="365" t="str">
        <f aca="false">IF((G69&lt;&gt;0),"Enter Letter"," ")</f>
        <v> </v>
      </c>
      <c r="H69" s="338" t="str">
        <f aca="false">IF((G69&lt;&gt;0),IF((D69&gt;0)," ",G69)," ")</f>
        <v> </v>
      </c>
      <c r="I69" s="367" t="str">
        <f aca="false">IF((G69&lt;&gt;0),IF((D69&gt;0)," ",(I$1-A69))," ")</f>
        <v> </v>
      </c>
      <c r="J69" s="334" t="str">
        <f aca="false">IF((E69="s"),G69," ")</f>
        <v> </v>
      </c>
      <c r="K69" s="334" t="str">
        <f aca="false">IF((E69="d"),G69," ")</f>
        <v> </v>
      </c>
      <c r="L69" s="334" t="str">
        <f aca="false">IF((E69="e"),G69," ")</f>
        <v> </v>
      </c>
      <c r="M69" s="334" t="str">
        <f aca="false">IF((E69="p"),G69," ")</f>
        <v> </v>
      </c>
      <c r="N69" s="334" t="str">
        <f aca="false">IF((E69="r"),G69," ")</f>
        <v> </v>
      </c>
      <c r="O69" s="334" t="str">
        <f aca="false">IF((E69="g"),G69," ")</f>
        <v> </v>
      </c>
      <c r="P69" s="334" t="str">
        <f aca="false">IF((E69="m"),G69," ")</f>
        <v> </v>
      </c>
      <c r="Q69" s="334" t="str">
        <f aca="false">IF((E69="t"),G69," ")</f>
        <v> </v>
      </c>
      <c r="R69" s="334" t="str">
        <f aca="false">IF((E69="a"),G69," ")</f>
        <v> </v>
      </c>
      <c r="S69" s="334" t="str">
        <f aca="false">IF((E69="l"),G69," ")</f>
        <v> </v>
      </c>
      <c r="T69" s="334" t="str">
        <f aca="false">IF((E69="b"),G69," ")</f>
        <v> </v>
      </c>
      <c r="U69" s="334" t="str">
        <f aca="false">IF((E69="i"),G69," ")</f>
        <v> </v>
      </c>
      <c r="V69" s="334" t="str">
        <f aca="false">IF((E69="o"),G69," ")</f>
        <v> </v>
      </c>
      <c r="W69" s="334" t="str">
        <f aca="false">IF((E69="f"),G69," ")</f>
        <v> </v>
      </c>
    </row>
    <row r="70" customFormat="false" ht="12.75" hidden="false" customHeight="false" outlineLevel="0" collapsed="false">
      <c r="A70" s="355"/>
      <c r="E70" s="365" t="str">
        <f aca="false">IF((G70&lt;&gt;0),"Enter Letter"," ")</f>
        <v> </v>
      </c>
      <c r="H70" s="338" t="str">
        <f aca="false">IF((G70&lt;&gt;0),IF((D70&gt;0)," ",G70)," ")</f>
        <v> </v>
      </c>
      <c r="I70" s="367" t="str">
        <f aca="false">IF((G70&lt;&gt;0),IF((D70&gt;0)," ",(I$1-A70))," ")</f>
        <v> </v>
      </c>
      <c r="J70" s="334" t="str">
        <f aca="false">IF((E70="s"),G70," ")</f>
        <v> </v>
      </c>
      <c r="K70" s="334" t="str">
        <f aca="false">IF((E70="d"),G70," ")</f>
        <v> </v>
      </c>
      <c r="L70" s="334" t="str">
        <f aca="false">IF((E70="e"),G70," ")</f>
        <v> </v>
      </c>
      <c r="M70" s="334" t="str">
        <f aca="false">IF((E70="p"),G70," ")</f>
        <v> </v>
      </c>
      <c r="N70" s="334" t="str">
        <f aca="false">IF((E70="r"),G70," ")</f>
        <v> </v>
      </c>
      <c r="O70" s="334" t="str">
        <f aca="false">IF((E70="g"),G70," ")</f>
        <v> </v>
      </c>
      <c r="P70" s="334" t="str">
        <f aca="false">IF((E70="m"),G70," ")</f>
        <v> </v>
      </c>
      <c r="Q70" s="334" t="str">
        <f aca="false">IF((E70="t"),G70," ")</f>
        <v> </v>
      </c>
      <c r="R70" s="334" t="str">
        <f aca="false">IF((E70="a"),G70," ")</f>
        <v> </v>
      </c>
      <c r="S70" s="334" t="str">
        <f aca="false">IF((E70="l"),G70," ")</f>
        <v> </v>
      </c>
      <c r="T70" s="334" t="str">
        <f aca="false">IF((E70="b"),G70," ")</f>
        <v> </v>
      </c>
      <c r="U70" s="334" t="str">
        <f aca="false">IF((E70="i"),G70," ")</f>
        <v> </v>
      </c>
      <c r="V70" s="334" t="str">
        <f aca="false">IF((E70="o"),G70," ")</f>
        <v> </v>
      </c>
      <c r="W70" s="334" t="str">
        <f aca="false">IF((E70="f"),G70," ")</f>
        <v> </v>
      </c>
    </row>
    <row r="71" customFormat="false" ht="12.75" hidden="false" customHeight="false" outlineLevel="0" collapsed="false">
      <c r="A71" s="355"/>
      <c r="E71" s="365" t="str">
        <f aca="false">IF((G71&lt;&gt;0),"Enter Letter"," ")</f>
        <v> </v>
      </c>
      <c r="H71" s="338" t="str">
        <f aca="false">IF((G71&lt;&gt;0),IF((D71&gt;0)," ",G71)," ")</f>
        <v> </v>
      </c>
      <c r="I71" s="367" t="str">
        <f aca="false">IF((G71&lt;&gt;0),IF((D71&gt;0)," ",(I$1-A71))," ")</f>
        <v> </v>
      </c>
      <c r="J71" s="334" t="str">
        <f aca="false">IF((E71="s"),G71," ")</f>
        <v> </v>
      </c>
      <c r="K71" s="334" t="str">
        <f aca="false">IF((E71="d"),G71," ")</f>
        <v> </v>
      </c>
      <c r="L71" s="334" t="str">
        <f aca="false">IF((E71="e"),G71," ")</f>
        <v> </v>
      </c>
      <c r="M71" s="334" t="str">
        <f aca="false">IF((E71="p"),G71," ")</f>
        <v> </v>
      </c>
      <c r="N71" s="334" t="str">
        <f aca="false">IF((E71="r"),G71," ")</f>
        <v> </v>
      </c>
      <c r="O71" s="334" t="str">
        <f aca="false">IF((E71="g"),G71," ")</f>
        <v> </v>
      </c>
      <c r="P71" s="334" t="str">
        <f aca="false">IF((E71="m"),G71," ")</f>
        <v> </v>
      </c>
      <c r="Q71" s="334" t="str">
        <f aca="false">IF((E71="t"),G71," ")</f>
        <v> </v>
      </c>
      <c r="R71" s="334" t="str">
        <f aca="false">IF((E71="a"),G71," ")</f>
        <v> </v>
      </c>
      <c r="S71" s="334" t="str">
        <f aca="false">IF((E71="l"),G71," ")</f>
        <v> </v>
      </c>
      <c r="T71" s="334" t="str">
        <f aca="false">IF((E71="b"),G71," ")</f>
        <v> </v>
      </c>
      <c r="U71" s="334" t="str">
        <f aca="false">IF((E71="i"),G71," ")</f>
        <v> </v>
      </c>
      <c r="V71" s="334" t="str">
        <f aca="false">IF((E71="o"),G71," ")</f>
        <v> </v>
      </c>
      <c r="W71" s="334" t="str">
        <f aca="false">IF((E71="f"),G71," ")</f>
        <v> </v>
      </c>
    </row>
    <row r="72" customFormat="false" ht="12.75" hidden="false" customHeight="false" outlineLevel="0" collapsed="false">
      <c r="A72" s="355"/>
      <c r="E72" s="365" t="str">
        <f aca="false">IF((G72&lt;&gt;0),"Enter Letter"," ")</f>
        <v> </v>
      </c>
      <c r="H72" s="338" t="str">
        <f aca="false">IF((G72&lt;&gt;0),IF((D72&gt;0)," ",G72)," ")</f>
        <v> </v>
      </c>
      <c r="I72" s="367" t="str">
        <f aca="false">IF((G72&lt;&gt;0),IF((D72&gt;0)," ",(I$1-A72))," ")</f>
        <v> </v>
      </c>
      <c r="J72" s="334" t="str">
        <f aca="false">IF((E72="s"),G72," ")</f>
        <v> </v>
      </c>
      <c r="K72" s="334" t="str">
        <f aca="false">IF((E72="d"),G72," ")</f>
        <v> </v>
      </c>
      <c r="L72" s="334" t="str">
        <f aca="false">IF((E72="e"),G72," ")</f>
        <v> </v>
      </c>
      <c r="M72" s="334" t="str">
        <f aca="false">IF((E72="p"),G72," ")</f>
        <v> </v>
      </c>
      <c r="N72" s="334" t="str">
        <f aca="false">IF((E72="r"),G72," ")</f>
        <v> </v>
      </c>
      <c r="O72" s="334" t="str">
        <f aca="false">IF((E72="g"),G72," ")</f>
        <v> </v>
      </c>
      <c r="P72" s="334" t="str">
        <f aca="false">IF((E72="m"),G72," ")</f>
        <v> </v>
      </c>
      <c r="Q72" s="334" t="str">
        <f aca="false">IF((E72="t"),G72," ")</f>
        <v> </v>
      </c>
      <c r="R72" s="334" t="str">
        <f aca="false">IF((E72="a"),G72," ")</f>
        <v> </v>
      </c>
      <c r="S72" s="334" t="str">
        <f aca="false">IF((E72="l"),G72," ")</f>
        <v> </v>
      </c>
      <c r="T72" s="334" t="str">
        <f aca="false">IF((E72="b"),G72," ")</f>
        <v> </v>
      </c>
      <c r="U72" s="334" t="str">
        <f aca="false">IF((E72="i"),G72," ")</f>
        <v> </v>
      </c>
      <c r="V72" s="334" t="str">
        <f aca="false">IF((E72="o"),G72," ")</f>
        <v> </v>
      </c>
      <c r="W72" s="334" t="str">
        <f aca="false">IF((E72="f"),G72," ")</f>
        <v> </v>
      </c>
    </row>
    <row r="73" customFormat="false" ht="12.75" hidden="false" customHeight="false" outlineLevel="0" collapsed="false">
      <c r="A73" s="355"/>
      <c r="E73" s="365" t="str">
        <f aca="false">IF((G73&lt;&gt;0),"Enter Letter"," ")</f>
        <v> </v>
      </c>
      <c r="H73" s="338" t="str">
        <f aca="false">IF((G73&lt;&gt;0),IF((D73&gt;0)," ",G73)," ")</f>
        <v> </v>
      </c>
      <c r="I73" s="367" t="str">
        <f aca="false">IF((G73&lt;&gt;0),IF((D73&gt;0)," ",(I$1-A73))," ")</f>
        <v> </v>
      </c>
      <c r="J73" s="334" t="str">
        <f aca="false">IF((E73="s"),G73," ")</f>
        <v> </v>
      </c>
      <c r="K73" s="334" t="str">
        <f aca="false">IF((E73="d"),G73," ")</f>
        <v> </v>
      </c>
      <c r="L73" s="334" t="str">
        <f aca="false">IF((E73="e"),G73," ")</f>
        <v> </v>
      </c>
      <c r="M73" s="334" t="str">
        <f aca="false">IF((E73="p"),G73," ")</f>
        <v> </v>
      </c>
      <c r="N73" s="334" t="str">
        <f aca="false">IF((E73="r"),G73," ")</f>
        <v> </v>
      </c>
      <c r="O73" s="334" t="str">
        <f aca="false">IF((E73="g"),G73," ")</f>
        <v> </v>
      </c>
      <c r="P73" s="334" t="str">
        <f aca="false">IF((E73="m"),G73," ")</f>
        <v> </v>
      </c>
      <c r="Q73" s="334" t="str">
        <f aca="false">IF((E73="t"),G73," ")</f>
        <v> </v>
      </c>
      <c r="R73" s="334" t="str">
        <f aca="false">IF((E73="a"),G73," ")</f>
        <v> </v>
      </c>
      <c r="S73" s="334" t="str">
        <f aca="false">IF((E73="l"),G73," ")</f>
        <v> </v>
      </c>
      <c r="T73" s="334" t="str">
        <f aca="false">IF((E73="b"),G73," ")</f>
        <v> </v>
      </c>
      <c r="U73" s="334" t="str">
        <f aca="false">IF((E73="i"),G73," ")</f>
        <v> </v>
      </c>
      <c r="V73" s="334" t="str">
        <f aca="false">IF((E73="o"),G73," ")</f>
        <v> </v>
      </c>
      <c r="W73" s="334" t="str">
        <f aca="false">IF((E73="f"),G73," ")</f>
        <v> </v>
      </c>
    </row>
    <row r="74" customFormat="false" ht="12.75" hidden="false" customHeight="false" outlineLevel="0" collapsed="false">
      <c r="A74" s="355"/>
      <c r="E74" s="365" t="str">
        <f aca="false">IF((G74&lt;&gt;0),"Enter Letter"," ")</f>
        <v> </v>
      </c>
      <c r="H74" s="338" t="str">
        <f aca="false">IF((G74&lt;&gt;0),IF((D74&gt;0)," ",G74)," ")</f>
        <v> </v>
      </c>
      <c r="I74" s="367" t="str">
        <f aca="false">IF((G74&lt;&gt;0),IF((D74&gt;0)," ",(I$1-A74))," ")</f>
        <v> </v>
      </c>
      <c r="J74" s="334" t="str">
        <f aca="false">IF((E74="s"),G74," ")</f>
        <v> </v>
      </c>
      <c r="K74" s="334" t="str">
        <f aca="false">IF((E74="d"),G74," ")</f>
        <v> </v>
      </c>
      <c r="L74" s="334" t="str">
        <f aca="false">IF((E74="e"),G74," ")</f>
        <v> </v>
      </c>
      <c r="M74" s="334" t="str">
        <f aca="false">IF((E74="p"),G74," ")</f>
        <v> </v>
      </c>
      <c r="N74" s="334" t="str">
        <f aca="false">IF((E74="r"),G74," ")</f>
        <v> </v>
      </c>
      <c r="O74" s="334" t="str">
        <f aca="false">IF((E74="g"),G74," ")</f>
        <v> </v>
      </c>
      <c r="P74" s="334" t="str">
        <f aca="false">IF((E74="m"),G74," ")</f>
        <v> </v>
      </c>
      <c r="Q74" s="334" t="str">
        <f aca="false">IF((E74="t"),G74," ")</f>
        <v> </v>
      </c>
      <c r="R74" s="334" t="str">
        <f aca="false">IF((E74="a"),G74," ")</f>
        <v> </v>
      </c>
      <c r="S74" s="334" t="str">
        <f aca="false">IF((E74="l"),G74," ")</f>
        <v> </v>
      </c>
      <c r="T74" s="334" t="str">
        <f aca="false">IF((E74="b"),G74," ")</f>
        <v> </v>
      </c>
      <c r="U74" s="334" t="str">
        <f aca="false">IF((E74="i"),G74," ")</f>
        <v> </v>
      </c>
      <c r="V74" s="334" t="str">
        <f aca="false">IF((E74="o"),G74," ")</f>
        <v> </v>
      </c>
      <c r="W74" s="334" t="str">
        <f aca="false">IF((E74="f"),G74," ")</f>
        <v> </v>
      </c>
    </row>
    <row r="75" customFormat="false" ht="12.75" hidden="false" customHeight="false" outlineLevel="0" collapsed="false">
      <c r="A75" s="355"/>
      <c r="E75" s="365" t="str">
        <f aca="false">IF((G75&lt;&gt;0),"Enter Letter"," ")</f>
        <v> </v>
      </c>
      <c r="H75" s="338" t="str">
        <f aca="false">IF((G75&lt;&gt;0),IF((D75&gt;0)," ",G75)," ")</f>
        <v> </v>
      </c>
      <c r="I75" s="367" t="str">
        <f aca="false">IF((G75&lt;&gt;0),IF((D75&gt;0)," ",(I$1-A75))," ")</f>
        <v> </v>
      </c>
      <c r="J75" s="334" t="str">
        <f aca="false">IF((E75="s"),G75," ")</f>
        <v> </v>
      </c>
      <c r="K75" s="334" t="str">
        <f aca="false">IF((E75="d"),G75," ")</f>
        <v> </v>
      </c>
      <c r="L75" s="334" t="str">
        <f aca="false">IF((E75="e"),G75," ")</f>
        <v> </v>
      </c>
      <c r="M75" s="334" t="str">
        <f aca="false">IF((E75="p"),G75," ")</f>
        <v> </v>
      </c>
      <c r="N75" s="334" t="str">
        <f aca="false">IF((E75="r"),G75," ")</f>
        <v> </v>
      </c>
      <c r="O75" s="334" t="str">
        <f aca="false">IF((E75="g"),G75," ")</f>
        <v> </v>
      </c>
      <c r="P75" s="334" t="str">
        <f aca="false">IF((E75="m"),G75," ")</f>
        <v> </v>
      </c>
      <c r="Q75" s="334" t="str">
        <f aca="false">IF((E75="t"),G75," ")</f>
        <v> </v>
      </c>
      <c r="R75" s="334" t="str">
        <f aca="false">IF((E75="a"),G75," ")</f>
        <v> </v>
      </c>
      <c r="S75" s="334" t="str">
        <f aca="false">IF((E75="l"),G75," ")</f>
        <v> </v>
      </c>
      <c r="T75" s="334" t="str">
        <f aca="false">IF((E75="b"),G75," ")</f>
        <v> </v>
      </c>
      <c r="U75" s="334" t="str">
        <f aca="false">IF((E75="i"),G75," ")</f>
        <v> </v>
      </c>
      <c r="V75" s="334" t="str">
        <f aca="false">IF((E75="o"),G75," ")</f>
        <v> </v>
      </c>
      <c r="W75" s="334" t="str">
        <f aca="false">IF((E75="f"),G75," ")</f>
        <v> </v>
      </c>
    </row>
    <row r="76" customFormat="false" ht="12.75" hidden="false" customHeight="false" outlineLevel="0" collapsed="false">
      <c r="A76" s="355"/>
      <c r="E76" s="365" t="str">
        <f aca="false">IF((G76&lt;&gt;0),"Enter Letter"," ")</f>
        <v> </v>
      </c>
      <c r="H76" s="338" t="str">
        <f aca="false">IF((G76&lt;&gt;0),IF((D76&gt;0)," ",G76)," ")</f>
        <v> </v>
      </c>
      <c r="I76" s="367" t="str">
        <f aca="false">IF((G76&lt;&gt;0),IF((D76&gt;0)," ",(I$1-A76))," ")</f>
        <v> </v>
      </c>
      <c r="J76" s="334" t="str">
        <f aca="false">IF((E76="s"),G76," ")</f>
        <v> </v>
      </c>
      <c r="K76" s="334" t="str">
        <f aca="false">IF((E76="d"),G76," ")</f>
        <v> </v>
      </c>
      <c r="L76" s="334" t="str">
        <f aca="false">IF((E76="e"),G76," ")</f>
        <v> </v>
      </c>
      <c r="M76" s="334" t="str">
        <f aca="false">IF((E76="p"),G76," ")</f>
        <v> </v>
      </c>
      <c r="N76" s="334" t="str">
        <f aca="false">IF((E76="r"),G76," ")</f>
        <v> </v>
      </c>
      <c r="O76" s="334" t="str">
        <f aca="false">IF((E76="g"),G76," ")</f>
        <v> </v>
      </c>
      <c r="P76" s="334" t="str">
        <f aca="false">IF((E76="m"),G76," ")</f>
        <v> </v>
      </c>
      <c r="Q76" s="334" t="str">
        <f aca="false">IF((E76="t"),G76," ")</f>
        <v> </v>
      </c>
      <c r="R76" s="334" t="str">
        <f aca="false">IF((E76="a"),G76," ")</f>
        <v> </v>
      </c>
      <c r="S76" s="334" t="str">
        <f aca="false">IF((E76="l"),G76," ")</f>
        <v> </v>
      </c>
      <c r="T76" s="334" t="str">
        <f aca="false">IF((E76="b"),G76," ")</f>
        <v> </v>
      </c>
      <c r="U76" s="334" t="str">
        <f aca="false">IF((E76="i"),G76," ")</f>
        <v> </v>
      </c>
      <c r="V76" s="334" t="str">
        <f aca="false">IF((E76="o"),G76," ")</f>
        <v> </v>
      </c>
      <c r="W76" s="334" t="str">
        <f aca="false">IF((E76="f"),G76," ")</f>
        <v> </v>
      </c>
    </row>
    <row r="77" customFormat="false" ht="12.75" hidden="false" customHeight="false" outlineLevel="0" collapsed="false">
      <c r="A77" s="355"/>
      <c r="E77" s="365" t="str">
        <f aca="false">IF((G77&lt;&gt;0),"Enter Letter"," ")</f>
        <v> </v>
      </c>
      <c r="H77" s="338" t="str">
        <f aca="false">IF((G77&lt;&gt;0),IF((D77&gt;0)," ",G77)," ")</f>
        <v> </v>
      </c>
      <c r="I77" s="367" t="str">
        <f aca="false">IF((G77&lt;&gt;0),IF((D77&gt;0)," ",(I$1-A77))," ")</f>
        <v> </v>
      </c>
      <c r="J77" s="334" t="str">
        <f aca="false">IF((E77="s"),G77," ")</f>
        <v> </v>
      </c>
      <c r="K77" s="334" t="str">
        <f aca="false">IF((E77="d"),G77," ")</f>
        <v> </v>
      </c>
      <c r="L77" s="334" t="str">
        <f aca="false">IF((E77="e"),G77," ")</f>
        <v> </v>
      </c>
      <c r="M77" s="334" t="str">
        <f aca="false">IF((E77="p"),G77," ")</f>
        <v> </v>
      </c>
      <c r="N77" s="334" t="str">
        <f aca="false">IF((E77="r"),G77," ")</f>
        <v> </v>
      </c>
      <c r="O77" s="334" t="str">
        <f aca="false">IF((E77="g"),G77," ")</f>
        <v> </v>
      </c>
      <c r="P77" s="334" t="str">
        <f aca="false">IF((E77="m"),G77," ")</f>
        <v> </v>
      </c>
      <c r="Q77" s="334" t="str">
        <f aca="false">IF((E77="t"),G77," ")</f>
        <v> </v>
      </c>
      <c r="R77" s="334" t="str">
        <f aca="false">IF((E77="a"),G77," ")</f>
        <v> </v>
      </c>
      <c r="S77" s="334" t="str">
        <f aca="false">IF((E77="l"),G77," ")</f>
        <v> </v>
      </c>
      <c r="T77" s="334" t="str">
        <f aca="false">IF((E77="b"),G77," ")</f>
        <v> </v>
      </c>
      <c r="U77" s="334" t="str">
        <f aca="false">IF((E77="i"),G77," ")</f>
        <v> </v>
      </c>
      <c r="V77" s="334" t="str">
        <f aca="false">IF((E77="o"),G77," ")</f>
        <v> </v>
      </c>
      <c r="W77" s="334" t="str">
        <f aca="false">IF((E77="f"),G77," ")</f>
        <v> </v>
      </c>
    </row>
    <row r="78" customFormat="false" ht="12.75" hidden="false" customHeight="false" outlineLevel="0" collapsed="false">
      <c r="A78" s="355"/>
      <c r="E78" s="365" t="str">
        <f aca="false">IF((G78&lt;&gt;0),"Enter Letter"," ")</f>
        <v> </v>
      </c>
      <c r="H78" s="338" t="str">
        <f aca="false">IF((G78&lt;&gt;0),IF((D78&gt;0)," ",G78)," ")</f>
        <v> </v>
      </c>
      <c r="I78" s="367" t="str">
        <f aca="false">IF((G78&lt;&gt;0),IF((D78&gt;0)," ",(I$1-A78))," ")</f>
        <v> </v>
      </c>
      <c r="J78" s="334" t="str">
        <f aca="false">IF((E78="s"),G78," ")</f>
        <v> </v>
      </c>
      <c r="K78" s="334" t="str">
        <f aca="false">IF((E78="d"),G78," ")</f>
        <v> </v>
      </c>
      <c r="L78" s="334" t="str">
        <f aca="false">IF((E78="e"),G78," ")</f>
        <v> </v>
      </c>
      <c r="M78" s="334" t="str">
        <f aca="false">IF((E78="p"),G78," ")</f>
        <v> </v>
      </c>
      <c r="N78" s="334" t="str">
        <f aca="false">IF((E78="r"),G78," ")</f>
        <v> </v>
      </c>
      <c r="O78" s="334" t="str">
        <f aca="false">IF((E78="g"),G78," ")</f>
        <v> </v>
      </c>
      <c r="P78" s="334" t="str">
        <f aca="false">IF((E78="m"),G78," ")</f>
        <v> </v>
      </c>
      <c r="Q78" s="334" t="str">
        <f aca="false">IF((E78="t"),G78," ")</f>
        <v> </v>
      </c>
      <c r="R78" s="334" t="str">
        <f aca="false">IF((E78="a"),G78," ")</f>
        <v> </v>
      </c>
      <c r="S78" s="334" t="str">
        <f aca="false">IF((E78="l"),G78," ")</f>
        <v> </v>
      </c>
      <c r="T78" s="334" t="str">
        <f aca="false">IF((E78="b"),G78," ")</f>
        <v> </v>
      </c>
      <c r="U78" s="334" t="str">
        <f aca="false">IF((E78="i"),G78," ")</f>
        <v> </v>
      </c>
      <c r="V78" s="334" t="str">
        <f aca="false">IF((E78="o"),G78," ")</f>
        <v> </v>
      </c>
      <c r="W78" s="334" t="str">
        <f aca="false">IF((E78="f"),G78," ")</f>
        <v> </v>
      </c>
    </row>
    <row r="79" customFormat="false" ht="12.75" hidden="false" customHeight="false" outlineLevel="0" collapsed="false">
      <c r="A79" s="355"/>
      <c r="E79" s="365" t="str">
        <f aca="false">IF((G79&lt;&gt;0),"Enter Letter"," ")</f>
        <v> </v>
      </c>
      <c r="H79" s="338" t="str">
        <f aca="false">IF((G79&lt;&gt;0),IF((D79&gt;0)," ",G79)," ")</f>
        <v> </v>
      </c>
      <c r="I79" s="367" t="str">
        <f aca="false">IF((G79&lt;&gt;0),IF((D79&gt;0)," ",(I$1-A79))," ")</f>
        <v> </v>
      </c>
      <c r="J79" s="334" t="str">
        <f aca="false">IF((E79="s"),G79," ")</f>
        <v> </v>
      </c>
      <c r="K79" s="334" t="str">
        <f aca="false">IF((E79="d"),G79," ")</f>
        <v> </v>
      </c>
      <c r="L79" s="334" t="str">
        <f aca="false">IF((E79="e"),G79," ")</f>
        <v> </v>
      </c>
      <c r="M79" s="334" t="str">
        <f aca="false">IF((E79="p"),G79," ")</f>
        <v> </v>
      </c>
      <c r="N79" s="334" t="str">
        <f aca="false">IF((E79="r"),G79," ")</f>
        <v> </v>
      </c>
      <c r="O79" s="334" t="str">
        <f aca="false">IF((E79="g"),G79," ")</f>
        <v> </v>
      </c>
      <c r="P79" s="334" t="str">
        <f aca="false">IF((E79="m"),G79," ")</f>
        <v> </v>
      </c>
      <c r="Q79" s="334" t="str">
        <f aca="false">IF((E79="t"),G79," ")</f>
        <v> </v>
      </c>
      <c r="R79" s="334" t="str">
        <f aca="false">IF((E79="a"),G79," ")</f>
        <v> </v>
      </c>
      <c r="S79" s="334" t="str">
        <f aca="false">IF((E79="l"),G79," ")</f>
        <v> </v>
      </c>
      <c r="T79" s="334" t="str">
        <f aca="false">IF((E79="b"),G79," ")</f>
        <v> </v>
      </c>
      <c r="U79" s="334" t="str">
        <f aca="false">IF((E79="i"),G79," ")</f>
        <v> </v>
      </c>
      <c r="V79" s="334" t="str">
        <f aca="false">IF((E79="o"),G79," ")</f>
        <v> </v>
      </c>
      <c r="W79" s="334" t="str">
        <f aca="false">IF((E79="f"),G79," ")</f>
        <v> </v>
      </c>
    </row>
    <row r="80" customFormat="false" ht="12.75" hidden="false" customHeight="false" outlineLevel="0" collapsed="false">
      <c r="A80" s="355"/>
      <c r="E80" s="365" t="str">
        <f aca="false">IF((G80&lt;&gt;0),"Enter Letter"," ")</f>
        <v> </v>
      </c>
      <c r="H80" s="338" t="str">
        <f aca="false">IF((G80&lt;&gt;0),IF((D80&gt;0)," ",G80)," ")</f>
        <v> </v>
      </c>
      <c r="I80" s="367" t="str">
        <f aca="false">IF((G80&lt;&gt;0),IF((D80&gt;0)," ",(I$1-A80))," ")</f>
        <v> </v>
      </c>
      <c r="J80" s="334" t="str">
        <f aca="false">IF((E80="s"),G80," ")</f>
        <v> </v>
      </c>
      <c r="K80" s="334" t="str">
        <f aca="false">IF((E80="d"),G80," ")</f>
        <v> </v>
      </c>
      <c r="L80" s="334" t="str">
        <f aca="false">IF((E80="e"),G80," ")</f>
        <v> </v>
      </c>
      <c r="M80" s="334" t="str">
        <f aca="false">IF((E80="p"),G80," ")</f>
        <v> </v>
      </c>
      <c r="N80" s="334" t="str">
        <f aca="false">IF((E80="r"),G80," ")</f>
        <v> </v>
      </c>
      <c r="O80" s="334" t="str">
        <f aca="false">IF((E80="g"),G80," ")</f>
        <v> </v>
      </c>
      <c r="P80" s="334" t="str">
        <f aca="false">IF((E80="m"),G80," ")</f>
        <v> </v>
      </c>
      <c r="Q80" s="334" t="str">
        <f aca="false">IF((E80="t"),G80," ")</f>
        <v> </v>
      </c>
      <c r="R80" s="334" t="str">
        <f aca="false">IF((E80="a"),G80," ")</f>
        <v> </v>
      </c>
      <c r="S80" s="334" t="str">
        <f aca="false">IF((E80="l"),G80," ")</f>
        <v> </v>
      </c>
      <c r="T80" s="334" t="str">
        <f aca="false">IF((E80="b"),G80," ")</f>
        <v> </v>
      </c>
      <c r="U80" s="334" t="str">
        <f aca="false">IF((E80="i"),G80," ")</f>
        <v> </v>
      </c>
      <c r="V80" s="334" t="str">
        <f aca="false">IF((E80="o"),G80," ")</f>
        <v> </v>
      </c>
      <c r="W80" s="334" t="str">
        <f aca="false">IF((E80="f"),G80," ")</f>
        <v> </v>
      </c>
    </row>
    <row r="81" customFormat="false" ht="12.75" hidden="false" customHeight="false" outlineLevel="0" collapsed="false">
      <c r="A81" s="355"/>
      <c r="E81" s="365" t="str">
        <f aca="false">IF((G81&lt;&gt;0),"Enter Letter"," ")</f>
        <v> </v>
      </c>
      <c r="H81" s="338" t="str">
        <f aca="false">IF((G81&lt;&gt;0),IF((D81&gt;0)," ",G81)," ")</f>
        <v> </v>
      </c>
      <c r="I81" s="367" t="str">
        <f aca="false">IF((G81&lt;&gt;0),IF((D81&gt;0)," ",(I$1-A81))," ")</f>
        <v> </v>
      </c>
      <c r="J81" s="334" t="str">
        <f aca="false">IF((E81="s"),G81," ")</f>
        <v> </v>
      </c>
      <c r="K81" s="334" t="str">
        <f aca="false">IF((E81="d"),G81," ")</f>
        <v> </v>
      </c>
      <c r="L81" s="334" t="str">
        <f aca="false">IF((E81="e"),G81," ")</f>
        <v> </v>
      </c>
      <c r="M81" s="334" t="str">
        <f aca="false">IF((E81="p"),G81," ")</f>
        <v> </v>
      </c>
      <c r="N81" s="334" t="str">
        <f aca="false">IF((E81="r"),G81," ")</f>
        <v> </v>
      </c>
      <c r="O81" s="334" t="str">
        <f aca="false">IF((E81="g"),G81," ")</f>
        <v> </v>
      </c>
      <c r="P81" s="334" t="str">
        <f aca="false">IF((E81="m"),G81," ")</f>
        <v> </v>
      </c>
      <c r="Q81" s="334" t="str">
        <f aca="false">IF((E81="t"),G81," ")</f>
        <v> </v>
      </c>
      <c r="R81" s="334" t="str">
        <f aca="false">IF((E81="a"),G81," ")</f>
        <v> </v>
      </c>
      <c r="S81" s="334" t="str">
        <f aca="false">IF((E81="l"),G81," ")</f>
        <v> </v>
      </c>
      <c r="T81" s="334" t="str">
        <f aca="false">IF((E81="b"),G81," ")</f>
        <v> </v>
      </c>
      <c r="U81" s="334" t="str">
        <f aca="false">IF((E81="i"),G81," ")</f>
        <v> </v>
      </c>
      <c r="V81" s="334" t="str">
        <f aca="false">IF((E81="o"),G81," ")</f>
        <v> </v>
      </c>
      <c r="W81" s="334" t="str">
        <f aca="false">IF((E81="f"),G81," ")</f>
        <v> </v>
      </c>
    </row>
    <row r="82" customFormat="false" ht="12.75" hidden="false" customHeight="false" outlineLevel="0" collapsed="false">
      <c r="A82" s="355"/>
      <c r="E82" s="365" t="str">
        <f aca="false">IF((G82&lt;&gt;0),"Enter Letter"," ")</f>
        <v> </v>
      </c>
      <c r="H82" s="338" t="str">
        <f aca="false">IF((G82&lt;&gt;0),IF((D82&gt;0)," ",G82)," ")</f>
        <v> </v>
      </c>
      <c r="I82" s="367" t="str">
        <f aca="false">IF((G82&lt;&gt;0),IF((D82&gt;0)," ",(I$1-A82))," ")</f>
        <v> </v>
      </c>
      <c r="J82" s="334" t="str">
        <f aca="false">IF((E82="s"),G82," ")</f>
        <v> </v>
      </c>
      <c r="K82" s="334" t="str">
        <f aca="false">IF((E82="d"),G82," ")</f>
        <v> </v>
      </c>
      <c r="L82" s="334" t="str">
        <f aca="false">IF((E82="e"),G82," ")</f>
        <v> </v>
      </c>
      <c r="M82" s="334" t="str">
        <f aca="false">IF((E82="p"),G82," ")</f>
        <v> </v>
      </c>
      <c r="N82" s="334" t="str">
        <f aca="false">IF((E82="r"),G82," ")</f>
        <v> </v>
      </c>
      <c r="O82" s="334" t="str">
        <f aca="false">IF((E82="g"),G82," ")</f>
        <v> </v>
      </c>
      <c r="P82" s="334" t="str">
        <f aca="false">IF((E82="m"),G82," ")</f>
        <v> </v>
      </c>
      <c r="Q82" s="334" t="str">
        <f aca="false">IF((E82="t"),G82," ")</f>
        <v> </v>
      </c>
      <c r="R82" s="334" t="str">
        <f aca="false">IF((E82="a"),G82," ")</f>
        <v> </v>
      </c>
      <c r="S82" s="334" t="str">
        <f aca="false">IF((E82="l"),G82," ")</f>
        <v> </v>
      </c>
      <c r="T82" s="334" t="str">
        <f aca="false">IF((E82="b"),G82," ")</f>
        <v> </v>
      </c>
      <c r="U82" s="334" t="str">
        <f aca="false">IF((E82="i"),G82," ")</f>
        <v> </v>
      </c>
      <c r="V82" s="334" t="str">
        <f aca="false">IF((E82="o"),G82," ")</f>
        <v> </v>
      </c>
      <c r="W82" s="334" t="str">
        <f aca="false">IF((E82="f"),G82," ")</f>
        <v> </v>
      </c>
    </row>
    <row r="83" customFormat="false" ht="12.75" hidden="false" customHeight="false" outlineLevel="0" collapsed="false">
      <c r="A83" s="355"/>
      <c r="E83" s="365" t="str">
        <f aca="false">IF((G83&lt;&gt;0),"Enter Letter"," ")</f>
        <v> </v>
      </c>
      <c r="H83" s="338" t="str">
        <f aca="false">IF((G83&lt;&gt;0),IF((D83&gt;0)," ",G83)," ")</f>
        <v> </v>
      </c>
      <c r="I83" s="367" t="str">
        <f aca="false">IF((G83&lt;&gt;0),IF((D83&gt;0)," ",(I$1-A83))," ")</f>
        <v> </v>
      </c>
      <c r="J83" s="334" t="str">
        <f aca="false">IF((E83="s"),G83," ")</f>
        <v> </v>
      </c>
      <c r="K83" s="334" t="str">
        <f aca="false">IF((E83="d"),G83," ")</f>
        <v> </v>
      </c>
      <c r="L83" s="334" t="str">
        <f aca="false">IF((E83="e"),G83," ")</f>
        <v> </v>
      </c>
      <c r="M83" s="334" t="str">
        <f aca="false">IF((E83="p"),G83," ")</f>
        <v> </v>
      </c>
      <c r="N83" s="334" t="str">
        <f aca="false">IF((E83="r"),G83," ")</f>
        <v> </v>
      </c>
      <c r="O83" s="334" t="str">
        <f aca="false">IF((E83="g"),G83," ")</f>
        <v> </v>
      </c>
      <c r="P83" s="334" t="str">
        <f aca="false">IF((E83="m"),G83," ")</f>
        <v> </v>
      </c>
      <c r="Q83" s="334" t="str">
        <f aca="false">IF((E83="t"),G83," ")</f>
        <v> </v>
      </c>
      <c r="R83" s="334" t="str">
        <f aca="false">IF((E83="a"),G83," ")</f>
        <v> </v>
      </c>
      <c r="S83" s="334" t="str">
        <f aca="false">IF((E83="l"),G83," ")</f>
        <v> </v>
      </c>
      <c r="T83" s="334" t="str">
        <f aca="false">IF((E83="b"),G83," ")</f>
        <v> </v>
      </c>
      <c r="U83" s="334" t="str">
        <f aca="false">IF((E83="i"),G83," ")</f>
        <v> </v>
      </c>
      <c r="V83" s="334" t="str">
        <f aca="false">IF((E83="o"),G83," ")</f>
        <v> </v>
      </c>
      <c r="W83" s="334" t="str">
        <f aca="false">IF((E83="f"),G83," ")</f>
        <v> </v>
      </c>
    </row>
    <row r="84" customFormat="false" ht="12.75" hidden="false" customHeight="false" outlineLevel="0" collapsed="false">
      <c r="A84" s="355"/>
      <c r="E84" s="365" t="str">
        <f aca="false">IF((G84&lt;&gt;0),"Enter Letter"," ")</f>
        <v> </v>
      </c>
      <c r="H84" s="338" t="str">
        <f aca="false">IF((G84&lt;&gt;0),IF((D84&gt;0)," ",G84)," ")</f>
        <v> </v>
      </c>
      <c r="I84" s="367" t="str">
        <f aca="false">IF((G84&lt;&gt;0),IF((D84&gt;0)," ",(I$1-A84))," ")</f>
        <v> </v>
      </c>
      <c r="J84" s="334" t="str">
        <f aca="false">IF((E84="s"),G84," ")</f>
        <v> </v>
      </c>
      <c r="K84" s="334" t="str">
        <f aca="false">IF((E84="d"),G84," ")</f>
        <v> </v>
      </c>
      <c r="L84" s="334" t="str">
        <f aca="false">IF((E84="e"),G84," ")</f>
        <v> </v>
      </c>
      <c r="M84" s="334" t="str">
        <f aca="false">IF((E84="p"),G84," ")</f>
        <v> </v>
      </c>
      <c r="N84" s="334" t="str">
        <f aca="false">IF((E84="r"),G84," ")</f>
        <v> </v>
      </c>
      <c r="O84" s="334" t="str">
        <f aca="false">IF((E84="g"),G84," ")</f>
        <v> </v>
      </c>
      <c r="P84" s="334" t="str">
        <f aca="false">IF((E84="m"),G84," ")</f>
        <v> </v>
      </c>
      <c r="Q84" s="334" t="str">
        <f aca="false">IF((E84="t"),G84," ")</f>
        <v> </v>
      </c>
      <c r="R84" s="334" t="str">
        <f aca="false">IF((E84="a"),G84," ")</f>
        <v> </v>
      </c>
      <c r="S84" s="334" t="str">
        <f aca="false">IF((E84="l"),G84," ")</f>
        <v> </v>
      </c>
      <c r="T84" s="334" t="str">
        <f aca="false">IF((E84="b"),G84," ")</f>
        <v> </v>
      </c>
      <c r="U84" s="334" t="str">
        <f aca="false">IF((E84="i"),G84," ")</f>
        <v> </v>
      </c>
      <c r="V84" s="334" t="str">
        <f aca="false">IF((E84="o"),G84," ")</f>
        <v> </v>
      </c>
      <c r="W84" s="334" t="str">
        <f aca="false">IF((E84="f"),G84," ")</f>
        <v> </v>
      </c>
    </row>
    <row r="85" customFormat="false" ht="12.75" hidden="false" customHeight="false" outlineLevel="0" collapsed="false">
      <c r="A85" s="355"/>
      <c r="E85" s="365" t="str">
        <f aca="false">IF((G85&lt;&gt;0),"Enter Letter"," ")</f>
        <v> </v>
      </c>
      <c r="H85" s="338" t="str">
        <f aca="false">IF((G85&lt;&gt;0),IF((D85&gt;0)," ",G85)," ")</f>
        <v> </v>
      </c>
      <c r="I85" s="367" t="str">
        <f aca="false">IF((G85&lt;&gt;0),IF((D85&gt;0)," ",(I$1-A85))," ")</f>
        <v> </v>
      </c>
      <c r="J85" s="334" t="str">
        <f aca="false">IF((E85="s"),G85," ")</f>
        <v> </v>
      </c>
      <c r="K85" s="334" t="str">
        <f aca="false">IF((E85="d"),G85," ")</f>
        <v> </v>
      </c>
      <c r="L85" s="334" t="str">
        <f aca="false">IF((E85="e"),G85," ")</f>
        <v> </v>
      </c>
      <c r="M85" s="334" t="str">
        <f aca="false">IF((E85="p"),G85," ")</f>
        <v> </v>
      </c>
      <c r="N85" s="334" t="str">
        <f aca="false">IF((E85="r"),G85," ")</f>
        <v> </v>
      </c>
      <c r="O85" s="334" t="str">
        <f aca="false">IF((E85="g"),G85," ")</f>
        <v> </v>
      </c>
      <c r="P85" s="334" t="str">
        <f aca="false">IF((E85="m"),G85," ")</f>
        <v> </v>
      </c>
      <c r="Q85" s="334" t="str">
        <f aca="false">IF((E85="t"),G85," ")</f>
        <v> </v>
      </c>
      <c r="R85" s="334" t="str">
        <f aca="false">IF((E85="a"),G85," ")</f>
        <v> </v>
      </c>
      <c r="S85" s="334" t="str">
        <f aca="false">IF((E85="l"),G85," ")</f>
        <v> </v>
      </c>
      <c r="T85" s="334" t="str">
        <f aca="false">IF((E85="b"),G85," ")</f>
        <v> </v>
      </c>
      <c r="U85" s="334" t="str">
        <f aca="false">IF((E85="i"),G85," ")</f>
        <v> </v>
      </c>
      <c r="V85" s="334" t="str">
        <f aca="false">IF((E85="o"),G85," ")</f>
        <v> </v>
      </c>
      <c r="W85" s="334" t="str">
        <f aca="false">IF((E85="f"),G85," ")</f>
        <v> </v>
      </c>
    </row>
    <row r="86" customFormat="false" ht="12.75" hidden="false" customHeight="false" outlineLevel="0" collapsed="false">
      <c r="A86" s="355"/>
      <c r="E86" s="365" t="str">
        <f aca="false">IF((G86&lt;&gt;0),"Enter Letter"," ")</f>
        <v> </v>
      </c>
      <c r="H86" s="338" t="str">
        <f aca="false">IF((G86&lt;&gt;0),IF((D86&gt;0)," ",G86)," ")</f>
        <v> </v>
      </c>
      <c r="I86" s="367" t="str">
        <f aca="false">IF((G86&lt;&gt;0),IF((D86&gt;0)," ",(I$1-A86))," ")</f>
        <v> </v>
      </c>
      <c r="J86" s="334" t="str">
        <f aca="false">IF((E86="s"),G86," ")</f>
        <v> </v>
      </c>
      <c r="K86" s="334" t="str">
        <f aca="false">IF((E86="d"),G86," ")</f>
        <v> </v>
      </c>
      <c r="L86" s="334" t="str">
        <f aca="false">IF((E86="e"),G86," ")</f>
        <v> </v>
      </c>
      <c r="M86" s="334" t="str">
        <f aca="false">IF((E86="p"),G86," ")</f>
        <v> </v>
      </c>
      <c r="N86" s="334" t="str">
        <f aca="false">IF((E86="r"),G86," ")</f>
        <v> </v>
      </c>
      <c r="O86" s="334" t="str">
        <f aca="false">IF((E86="g"),G86," ")</f>
        <v> </v>
      </c>
      <c r="P86" s="334" t="str">
        <f aca="false">IF((E86="m"),G86," ")</f>
        <v> </v>
      </c>
      <c r="Q86" s="334" t="str">
        <f aca="false">IF((E86="t"),G86," ")</f>
        <v> </v>
      </c>
      <c r="R86" s="334" t="str">
        <f aca="false">IF((E86="a"),G86," ")</f>
        <v> </v>
      </c>
      <c r="S86" s="334" t="str">
        <f aca="false">IF((E86="l"),G86," ")</f>
        <v> </v>
      </c>
      <c r="T86" s="334" t="str">
        <f aca="false">IF((E86="b"),G86," ")</f>
        <v> </v>
      </c>
      <c r="U86" s="334" t="str">
        <f aca="false">IF((E86="i"),G86," ")</f>
        <v> </v>
      </c>
      <c r="V86" s="334" t="str">
        <f aca="false">IF((E86="o"),G86," ")</f>
        <v> </v>
      </c>
      <c r="W86" s="334" t="str">
        <f aca="false">IF((E86="f"),G86," ")</f>
        <v> </v>
      </c>
    </row>
    <row r="87" customFormat="false" ht="12.75" hidden="false" customHeight="false" outlineLevel="0" collapsed="false">
      <c r="A87" s="355"/>
      <c r="E87" s="365" t="str">
        <f aca="false">IF((G87&lt;&gt;0),"Enter Letter"," ")</f>
        <v> </v>
      </c>
      <c r="H87" s="338" t="str">
        <f aca="false">IF((G87&lt;&gt;0),IF((D87&gt;0)," ",G87)," ")</f>
        <v> </v>
      </c>
      <c r="I87" s="367" t="str">
        <f aca="false">IF((G87&lt;&gt;0),IF((D87&gt;0)," ",(I$1-A87))," ")</f>
        <v> </v>
      </c>
      <c r="J87" s="334" t="str">
        <f aca="false">IF((E87="s"),G87," ")</f>
        <v> </v>
      </c>
      <c r="K87" s="334" t="str">
        <f aca="false">IF((E87="d"),G87," ")</f>
        <v> </v>
      </c>
      <c r="L87" s="334" t="str">
        <f aca="false">IF((E87="e"),G87," ")</f>
        <v> </v>
      </c>
      <c r="M87" s="334" t="str">
        <f aca="false">IF((E87="p"),G87," ")</f>
        <v> </v>
      </c>
      <c r="N87" s="334" t="str">
        <f aca="false">IF((E87="r"),G87," ")</f>
        <v> </v>
      </c>
      <c r="O87" s="334" t="str">
        <f aca="false">IF((E87="g"),G87," ")</f>
        <v> </v>
      </c>
      <c r="P87" s="334" t="str">
        <f aca="false">IF((E87="m"),G87," ")</f>
        <v> </v>
      </c>
      <c r="Q87" s="334" t="str">
        <f aca="false">IF((E87="t"),G87," ")</f>
        <v> </v>
      </c>
      <c r="R87" s="334" t="str">
        <f aca="false">IF((E87="a"),G87," ")</f>
        <v> </v>
      </c>
      <c r="S87" s="334" t="str">
        <f aca="false">IF((E87="l"),G87," ")</f>
        <v> </v>
      </c>
      <c r="T87" s="334" t="str">
        <f aca="false">IF((E87="b"),G87," ")</f>
        <v> </v>
      </c>
      <c r="U87" s="334" t="str">
        <f aca="false">IF((E87="i"),G87," ")</f>
        <v> </v>
      </c>
      <c r="V87" s="334" t="str">
        <f aca="false">IF((E87="o"),G87," ")</f>
        <v> </v>
      </c>
      <c r="W87" s="334" t="str">
        <f aca="false">IF((E87="f"),G87," ")</f>
        <v> </v>
      </c>
    </row>
    <row r="88" customFormat="false" ht="12.75" hidden="false" customHeight="false" outlineLevel="0" collapsed="false">
      <c r="A88" s="355"/>
      <c r="E88" s="365" t="str">
        <f aca="false">IF((G88&lt;&gt;0),"Enter Letter"," ")</f>
        <v> </v>
      </c>
      <c r="H88" s="338" t="str">
        <f aca="false">IF((G88&lt;&gt;0),IF((D88&gt;0)," ",G88)," ")</f>
        <v> </v>
      </c>
      <c r="I88" s="367" t="str">
        <f aca="false">IF((G88&lt;&gt;0),IF((D88&gt;0)," ",(I$1-A88))," ")</f>
        <v> </v>
      </c>
      <c r="J88" s="334" t="str">
        <f aca="false">IF((E88="s"),G88," ")</f>
        <v> </v>
      </c>
      <c r="K88" s="334" t="str">
        <f aca="false">IF((E88="d"),G88," ")</f>
        <v> </v>
      </c>
      <c r="L88" s="334" t="str">
        <f aca="false">IF((E88="e"),G88," ")</f>
        <v> </v>
      </c>
      <c r="M88" s="334" t="str">
        <f aca="false">IF((E88="p"),G88," ")</f>
        <v> </v>
      </c>
      <c r="N88" s="334" t="str">
        <f aca="false">IF((E88="r"),G88," ")</f>
        <v> </v>
      </c>
      <c r="O88" s="334" t="str">
        <f aca="false">IF((E88="g"),G88," ")</f>
        <v> </v>
      </c>
      <c r="P88" s="334" t="str">
        <f aca="false">IF((E88="m"),G88," ")</f>
        <v> </v>
      </c>
      <c r="Q88" s="334" t="str">
        <f aca="false">IF((E88="t"),G88," ")</f>
        <v> </v>
      </c>
      <c r="R88" s="334" t="str">
        <f aca="false">IF((E88="a"),G88," ")</f>
        <v> </v>
      </c>
      <c r="S88" s="334" t="str">
        <f aca="false">IF((E88="l"),G88," ")</f>
        <v> </v>
      </c>
      <c r="T88" s="334" t="str">
        <f aca="false">IF((E88="b"),G88," ")</f>
        <v> </v>
      </c>
      <c r="U88" s="334" t="str">
        <f aca="false">IF((E88="i"),G88," ")</f>
        <v> </v>
      </c>
      <c r="V88" s="334" t="str">
        <f aca="false">IF((E88="o"),G88," ")</f>
        <v> </v>
      </c>
      <c r="W88" s="334" t="str">
        <f aca="false">IF((E88="f"),G88," ")</f>
        <v> </v>
      </c>
    </row>
    <row r="89" customFormat="false" ht="12.75" hidden="false" customHeight="false" outlineLevel="0" collapsed="false">
      <c r="A89" s="355"/>
      <c r="E89" s="365" t="str">
        <f aca="false">IF((G89&lt;&gt;0),"Enter Letter"," ")</f>
        <v> </v>
      </c>
      <c r="H89" s="338" t="str">
        <f aca="false">IF((G89&lt;&gt;0),IF((D89&gt;0)," ",G89)," ")</f>
        <v> </v>
      </c>
      <c r="I89" s="367" t="str">
        <f aca="false">IF((G89&lt;&gt;0),IF((D89&gt;0)," ",(I$1-A89))," ")</f>
        <v> </v>
      </c>
      <c r="J89" s="334" t="str">
        <f aca="false">IF((E89="s"),G89," ")</f>
        <v> </v>
      </c>
      <c r="K89" s="334" t="str">
        <f aca="false">IF((E89="d"),G89," ")</f>
        <v> </v>
      </c>
      <c r="L89" s="334" t="str">
        <f aca="false">IF((E89="e"),G89," ")</f>
        <v> </v>
      </c>
      <c r="M89" s="334" t="str">
        <f aca="false">IF((E89="p"),G89," ")</f>
        <v> </v>
      </c>
      <c r="N89" s="334" t="str">
        <f aca="false">IF((E89="r"),G89," ")</f>
        <v> </v>
      </c>
      <c r="O89" s="334" t="str">
        <f aca="false">IF((E89="g"),G89," ")</f>
        <v> </v>
      </c>
      <c r="P89" s="334" t="str">
        <f aca="false">IF((E89="m"),G89," ")</f>
        <v> </v>
      </c>
      <c r="Q89" s="334" t="str">
        <f aca="false">IF((E89="t"),G89," ")</f>
        <v> </v>
      </c>
      <c r="R89" s="334" t="str">
        <f aca="false">IF((E89="a"),G89," ")</f>
        <v> </v>
      </c>
      <c r="S89" s="334" t="str">
        <f aca="false">IF((E89="l"),G89," ")</f>
        <v> </v>
      </c>
      <c r="T89" s="334" t="str">
        <f aca="false">IF((E89="b"),G89," ")</f>
        <v> </v>
      </c>
      <c r="U89" s="334" t="str">
        <f aca="false">IF((E89="i"),G89," ")</f>
        <v> </v>
      </c>
      <c r="V89" s="334" t="str">
        <f aca="false">IF((E89="o"),G89," ")</f>
        <v> </v>
      </c>
      <c r="W89" s="334" t="str">
        <f aca="false">IF((E89="f"),G89," ")</f>
        <v> </v>
      </c>
    </row>
    <row r="90" customFormat="false" ht="12.75" hidden="false" customHeight="false" outlineLevel="0" collapsed="false">
      <c r="A90" s="355"/>
      <c r="E90" s="365" t="str">
        <f aca="false">IF((G90&lt;&gt;0),"Enter Letter"," ")</f>
        <v> </v>
      </c>
      <c r="H90" s="338" t="str">
        <f aca="false">IF((G90&lt;&gt;0),IF((D90&gt;0)," ",G90)," ")</f>
        <v> </v>
      </c>
      <c r="I90" s="367" t="str">
        <f aca="false">IF((G90&lt;&gt;0),IF((D90&gt;0)," ",(I$1-A90))," ")</f>
        <v> </v>
      </c>
      <c r="J90" s="334" t="str">
        <f aca="false">IF((E90="s"),G90," ")</f>
        <v> </v>
      </c>
      <c r="K90" s="334" t="str">
        <f aca="false">IF((E90="d"),G90," ")</f>
        <v> </v>
      </c>
      <c r="L90" s="334" t="str">
        <f aca="false">IF((E90="e"),G90," ")</f>
        <v> </v>
      </c>
      <c r="M90" s="334" t="str">
        <f aca="false">IF((E90="p"),G90," ")</f>
        <v> </v>
      </c>
      <c r="N90" s="334" t="str">
        <f aca="false">IF((E90="r"),G90," ")</f>
        <v> </v>
      </c>
      <c r="O90" s="334" t="str">
        <f aca="false">IF((E90="g"),G90," ")</f>
        <v> </v>
      </c>
      <c r="P90" s="334" t="str">
        <f aca="false">IF((E90="m"),G90," ")</f>
        <v> </v>
      </c>
      <c r="Q90" s="334" t="str">
        <f aca="false">IF((E90="t"),G90," ")</f>
        <v> </v>
      </c>
      <c r="R90" s="334" t="str">
        <f aca="false">IF((E90="a"),G90," ")</f>
        <v> </v>
      </c>
      <c r="S90" s="334" t="str">
        <f aca="false">IF((E90="l"),G90," ")</f>
        <v> </v>
      </c>
      <c r="T90" s="334" t="str">
        <f aca="false">IF((E90="b"),G90," ")</f>
        <v> </v>
      </c>
      <c r="U90" s="334" t="str">
        <f aca="false">IF((E90="i"),G90," ")</f>
        <v> </v>
      </c>
      <c r="V90" s="334" t="str">
        <f aca="false">IF((E90="o"),G90," ")</f>
        <v> </v>
      </c>
      <c r="W90" s="334" t="str">
        <f aca="false">IF((E90="f"),G90," ")</f>
        <v> </v>
      </c>
    </row>
    <row r="91" customFormat="false" ht="12.75" hidden="false" customHeight="false" outlineLevel="0" collapsed="false">
      <c r="A91" s="355"/>
      <c r="E91" s="365" t="str">
        <f aca="false">IF((G91&lt;&gt;0),"Enter Letter"," ")</f>
        <v> </v>
      </c>
      <c r="H91" s="338" t="str">
        <f aca="false">IF((G91&lt;&gt;0),IF((D91&gt;0)," ",G91)," ")</f>
        <v> </v>
      </c>
      <c r="I91" s="367" t="str">
        <f aca="false">IF((G91&lt;&gt;0),IF((D91&gt;0)," ",(I$1-A91))," ")</f>
        <v> </v>
      </c>
      <c r="J91" s="334" t="str">
        <f aca="false">IF((E91="s"),G91," ")</f>
        <v> </v>
      </c>
      <c r="K91" s="334" t="str">
        <f aca="false">IF((E91="d"),G91," ")</f>
        <v> </v>
      </c>
      <c r="L91" s="334" t="str">
        <f aca="false">IF((E91="e"),G91," ")</f>
        <v> </v>
      </c>
      <c r="M91" s="334" t="str">
        <f aca="false">IF((E91="p"),G91," ")</f>
        <v> </v>
      </c>
      <c r="N91" s="334" t="str">
        <f aca="false">IF((E91="r"),G91," ")</f>
        <v> </v>
      </c>
      <c r="O91" s="334" t="str">
        <f aca="false">IF((E91="g"),G91," ")</f>
        <v> </v>
      </c>
      <c r="P91" s="334" t="str">
        <f aca="false">IF((E91="m"),G91," ")</f>
        <v> </v>
      </c>
      <c r="Q91" s="334" t="str">
        <f aca="false">IF((E91="t"),G91," ")</f>
        <v> </v>
      </c>
      <c r="R91" s="334" t="str">
        <f aca="false">IF((E91="a"),G91," ")</f>
        <v> </v>
      </c>
      <c r="S91" s="334" t="str">
        <f aca="false">IF((E91="l"),G91," ")</f>
        <v> </v>
      </c>
      <c r="T91" s="334" t="str">
        <f aca="false">IF((E91="b"),G91," ")</f>
        <v> </v>
      </c>
      <c r="U91" s="334" t="str">
        <f aca="false">IF((E91="i"),G91," ")</f>
        <v> </v>
      </c>
      <c r="V91" s="334" t="str">
        <f aca="false">IF((E91="o"),G91," ")</f>
        <v> </v>
      </c>
      <c r="W91" s="334" t="str">
        <f aca="false">IF((E91="f"),G91," ")</f>
        <v> </v>
      </c>
    </row>
    <row r="92" customFormat="false" ht="12.75" hidden="false" customHeight="false" outlineLevel="0" collapsed="false">
      <c r="A92" s="355"/>
      <c r="E92" s="365" t="str">
        <f aca="false">IF((G92&lt;&gt;0),"Enter Letter"," ")</f>
        <v> </v>
      </c>
      <c r="H92" s="338" t="str">
        <f aca="false">IF((G92&lt;&gt;0),IF((D92&gt;0)," ",G92)," ")</f>
        <v> </v>
      </c>
      <c r="I92" s="367" t="str">
        <f aca="false">IF((G92&lt;&gt;0),IF((D92&gt;0)," ",(I$1-A92))," ")</f>
        <v> </v>
      </c>
      <c r="J92" s="334" t="str">
        <f aca="false">IF((E92="s"),G92," ")</f>
        <v> </v>
      </c>
      <c r="K92" s="334" t="str">
        <f aca="false">IF((E92="d"),G92," ")</f>
        <v> </v>
      </c>
      <c r="L92" s="334" t="str">
        <f aca="false">IF((E92="e"),G92," ")</f>
        <v> </v>
      </c>
      <c r="M92" s="334" t="str">
        <f aca="false">IF((E92="p"),G92," ")</f>
        <v> </v>
      </c>
      <c r="N92" s="334" t="str">
        <f aca="false">IF((E92="r"),G92," ")</f>
        <v> </v>
      </c>
      <c r="O92" s="334" t="str">
        <f aca="false">IF((E92="g"),G92," ")</f>
        <v> </v>
      </c>
      <c r="P92" s="334" t="str">
        <f aca="false">IF((E92="m"),G92," ")</f>
        <v> </v>
      </c>
      <c r="Q92" s="334" t="str">
        <f aca="false">IF((E92="t"),G92," ")</f>
        <v> </v>
      </c>
      <c r="R92" s="334" t="str">
        <f aca="false">IF((E92="a"),G92," ")</f>
        <v> </v>
      </c>
      <c r="S92" s="334" t="str">
        <f aca="false">IF((E92="l"),G92," ")</f>
        <v> </v>
      </c>
      <c r="T92" s="334" t="str">
        <f aca="false">IF((E92="b"),G92," ")</f>
        <v> </v>
      </c>
      <c r="U92" s="334" t="str">
        <f aca="false">IF((E92="i"),G92," ")</f>
        <v> </v>
      </c>
      <c r="V92" s="334" t="str">
        <f aca="false">IF((E92="o"),G92," ")</f>
        <v> </v>
      </c>
      <c r="W92" s="334" t="str">
        <f aca="false">IF((E92="f"),G92," ")</f>
        <v> </v>
      </c>
    </row>
    <row r="93" customFormat="false" ht="12.75" hidden="false" customHeight="false" outlineLevel="0" collapsed="false">
      <c r="A93" s="355"/>
      <c r="E93" s="365" t="str">
        <f aca="false">IF((G93&lt;&gt;0),"Enter Letter"," ")</f>
        <v> </v>
      </c>
      <c r="H93" s="338" t="str">
        <f aca="false">IF((G93&lt;&gt;0),IF((D93&gt;0)," ",G93)," ")</f>
        <v> </v>
      </c>
      <c r="I93" s="367" t="str">
        <f aca="false">IF((G93&lt;&gt;0),IF((D93&gt;0)," ",(I$1-A93))," ")</f>
        <v> </v>
      </c>
      <c r="J93" s="334" t="str">
        <f aca="false">IF((E93="s"),G93," ")</f>
        <v> </v>
      </c>
      <c r="K93" s="334" t="str">
        <f aca="false">IF((E93="d"),G93," ")</f>
        <v> </v>
      </c>
      <c r="L93" s="334" t="str">
        <f aca="false">IF((E93="e"),G93," ")</f>
        <v> </v>
      </c>
      <c r="M93" s="334" t="str">
        <f aca="false">IF((E93="p"),G93," ")</f>
        <v> </v>
      </c>
      <c r="N93" s="334" t="str">
        <f aca="false">IF((E93="r"),G93," ")</f>
        <v> </v>
      </c>
      <c r="O93" s="334" t="str">
        <f aca="false">IF((E93="g"),G93," ")</f>
        <v> </v>
      </c>
      <c r="P93" s="334" t="str">
        <f aca="false">IF((E93="m"),G93," ")</f>
        <v> </v>
      </c>
      <c r="Q93" s="334" t="str">
        <f aca="false">IF((E93="t"),G93," ")</f>
        <v> </v>
      </c>
      <c r="R93" s="334" t="str">
        <f aca="false">IF((E93="a"),G93," ")</f>
        <v> </v>
      </c>
      <c r="S93" s="334" t="str">
        <f aca="false">IF((E93="l"),G93," ")</f>
        <v> </v>
      </c>
      <c r="T93" s="334" t="str">
        <f aca="false">IF((E93="b"),G93," ")</f>
        <v> </v>
      </c>
      <c r="U93" s="334" t="str">
        <f aca="false">IF((E93="i"),G93," ")</f>
        <v> </v>
      </c>
      <c r="V93" s="334" t="str">
        <f aca="false">IF((E93="o"),G93," ")</f>
        <v> </v>
      </c>
      <c r="W93" s="334" t="str">
        <f aca="false">IF((E93="f"),G93," ")</f>
        <v> </v>
      </c>
    </row>
    <row r="94" customFormat="false" ht="12.75" hidden="false" customHeight="false" outlineLevel="0" collapsed="false">
      <c r="A94" s="355"/>
      <c r="E94" s="365" t="str">
        <f aca="false">IF((G94&lt;&gt;0),"Enter Letter"," ")</f>
        <v> </v>
      </c>
      <c r="H94" s="338" t="str">
        <f aca="false">IF((G94&lt;&gt;0),IF((D94&gt;0)," ",G94)," ")</f>
        <v> </v>
      </c>
      <c r="I94" s="367" t="str">
        <f aca="false">IF((G94&lt;&gt;0),IF((D94&gt;0)," ",(I$1-A94))," ")</f>
        <v> </v>
      </c>
      <c r="J94" s="334" t="str">
        <f aca="false">IF((E94="s"),G94," ")</f>
        <v> </v>
      </c>
      <c r="K94" s="334" t="str">
        <f aca="false">IF((E94="d"),G94," ")</f>
        <v> </v>
      </c>
      <c r="L94" s="334" t="str">
        <f aca="false">IF((E94="e"),G94," ")</f>
        <v> </v>
      </c>
      <c r="M94" s="334" t="str">
        <f aca="false">IF((E94="p"),G94," ")</f>
        <v> </v>
      </c>
      <c r="N94" s="334" t="str">
        <f aca="false">IF((E94="r"),G94," ")</f>
        <v> </v>
      </c>
      <c r="O94" s="334" t="str">
        <f aca="false">IF((E94="g"),G94," ")</f>
        <v> </v>
      </c>
      <c r="P94" s="334" t="str">
        <f aca="false">IF((E94="m"),G94," ")</f>
        <v> </v>
      </c>
      <c r="Q94" s="334" t="str">
        <f aca="false">IF((E94="t"),G94," ")</f>
        <v> </v>
      </c>
      <c r="R94" s="334" t="str">
        <f aca="false">IF((E94="a"),G94," ")</f>
        <v> </v>
      </c>
      <c r="S94" s="334" t="str">
        <f aca="false">IF((E94="l"),G94," ")</f>
        <v> </v>
      </c>
      <c r="T94" s="334" t="str">
        <f aca="false">IF((E94="b"),G94," ")</f>
        <v> </v>
      </c>
      <c r="U94" s="334" t="str">
        <f aca="false">IF((E94="i"),G94," ")</f>
        <v> </v>
      </c>
      <c r="V94" s="334" t="str">
        <f aca="false">IF((E94="o"),G94," ")</f>
        <v> </v>
      </c>
      <c r="W94" s="334" t="str">
        <f aca="false">IF((E94="f"),G94," ")</f>
        <v> </v>
      </c>
    </row>
    <row r="95" customFormat="false" ht="12.75" hidden="false" customHeight="false" outlineLevel="0" collapsed="false">
      <c r="A95" s="355"/>
      <c r="E95" s="365" t="str">
        <f aca="false">IF((G95&lt;&gt;0),"Enter Letter"," ")</f>
        <v> </v>
      </c>
      <c r="H95" s="338" t="str">
        <f aca="false">IF((G95&lt;&gt;0),IF((D95&gt;0)," ",G95)," ")</f>
        <v> </v>
      </c>
      <c r="I95" s="367" t="str">
        <f aca="false">IF((G95&lt;&gt;0),IF((D95&gt;0)," ",(I$1-A95))," ")</f>
        <v> </v>
      </c>
      <c r="J95" s="334" t="str">
        <f aca="false">IF((E95="s"),G95," ")</f>
        <v> </v>
      </c>
      <c r="K95" s="334" t="str">
        <f aca="false">IF((E95="d"),G95," ")</f>
        <v> </v>
      </c>
      <c r="L95" s="334" t="str">
        <f aca="false">IF((E95="e"),G95," ")</f>
        <v> </v>
      </c>
      <c r="M95" s="334" t="str">
        <f aca="false">IF((E95="p"),G95," ")</f>
        <v> </v>
      </c>
      <c r="N95" s="334" t="str">
        <f aca="false">IF((E95="r"),G95," ")</f>
        <v> </v>
      </c>
      <c r="O95" s="334" t="str">
        <f aca="false">IF((E95="g"),G95," ")</f>
        <v> </v>
      </c>
      <c r="P95" s="334" t="str">
        <f aca="false">IF((E95="m"),G95," ")</f>
        <v> </v>
      </c>
      <c r="Q95" s="334" t="str">
        <f aca="false">IF((E95="t"),G95," ")</f>
        <v> </v>
      </c>
      <c r="R95" s="334" t="str">
        <f aca="false">IF((E95="a"),G95," ")</f>
        <v> </v>
      </c>
      <c r="S95" s="334" t="str">
        <f aca="false">IF((E95="l"),G95," ")</f>
        <v> </v>
      </c>
      <c r="T95" s="334" t="str">
        <f aca="false">IF((E95="b"),G95," ")</f>
        <v> </v>
      </c>
      <c r="U95" s="334" t="str">
        <f aca="false">IF((E95="i"),G95," ")</f>
        <v> </v>
      </c>
      <c r="V95" s="334" t="str">
        <f aca="false">IF((E95="o"),G95," ")</f>
        <v> </v>
      </c>
      <c r="W95" s="334" t="str">
        <f aca="false">IF((E95="f"),G95," ")</f>
        <v> </v>
      </c>
    </row>
    <row r="96" customFormat="false" ht="12.75" hidden="false" customHeight="false" outlineLevel="0" collapsed="false">
      <c r="A96" s="355"/>
      <c r="E96" s="365" t="str">
        <f aca="false">IF((G96&lt;&gt;0),"Enter Letter"," ")</f>
        <v> </v>
      </c>
      <c r="H96" s="338" t="str">
        <f aca="false">IF((G96&lt;&gt;0),IF((D96&gt;0)," ",G96)," ")</f>
        <v> </v>
      </c>
      <c r="I96" s="367" t="str">
        <f aca="false">IF((G96&lt;&gt;0),IF((D96&gt;0)," ",(I$1-A96))," ")</f>
        <v> </v>
      </c>
      <c r="J96" s="334" t="str">
        <f aca="false">IF((E96="s"),G96," ")</f>
        <v> </v>
      </c>
      <c r="K96" s="334" t="str">
        <f aca="false">IF((E96="d"),G96," ")</f>
        <v> </v>
      </c>
      <c r="L96" s="334" t="str">
        <f aca="false">IF((E96="e"),G96," ")</f>
        <v> </v>
      </c>
      <c r="M96" s="334" t="str">
        <f aca="false">IF((E96="p"),G96," ")</f>
        <v> </v>
      </c>
      <c r="N96" s="334" t="str">
        <f aca="false">IF((E96="r"),G96," ")</f>
        <v> </v>
      </c>
      <c r="O96" s="334" t="str">
        <f aca="false">IF((E96="g"),G96," ")</f>
        <v> </v>
      </c>
      <c r="P96" s="334" t="str">
        <f aca="false">IF((E96="m"),G96," ")</f>
        <v> </v>
      </c>
      <c r="Q96" s="334" t="str">
        <f aca="false">IF((E96="t"),G96," ")</f>
        <v> </v>
      </c>
      <c r="R96" s="334" t="str">
        <f aca="false">IF((E96="a"),G96," ")</f>
        <v> </v>
      </c>
      <c r="S96" s="334" t="str">
        <f aca="false">IF((E96="l"),G96," ")</f>
        <v> </v>
      </c>
      <c r="T96" s="334" t="str">
        <f aca="false">IF((E96="b"),G96," ")</f>
        <v> </v>
      </c>
      <c r="U96" s="334" t="str">
        <f aca="false">IF((E96="i"),G96," ")</f>
        <v> </v>
      </c>
      <c r="V96" s="334" t="str">
        <f aca="false">IF((E96="o"),G96," ")</f>
        <v> </v>
      </c>
      <c r="W96" s="334" t="str">
        <f aca="false">IF((E96="f"),G96," ")</f>
        <v> </v>
      </c>
    </row>
    <row r="97" customFormat="false" ht="12.75" hidden="false" customHeight="false" outlineLevel="0" collapsed="false">
      <c r="A97" s="355"/>
      <c r="E97" s="365" t="str">
        <f aca="false">IF((G97&lt;&gt;0),"Enter Letter"," ")</f>
        <v> </v>
      </c>
      <c r="H97" s="338" t="str">
        <f aca="false">IF((G97&lt;&gt;0),IF((D97&gt;0)," ",G97)," ")</f>
        <v> </v>
      </c>
      <c r="I97" s="367" t="str">
        <f aca="false">IF((G97&lt;&gt;0),IF((D97&gt;0)," ",(I$1-A97))," ")</f>
        <v> </v>
      </c>
      <c r="J97" s="334" t="str">
        <f aca="false">IF((E97="s"),G97," ")</f>
        <v> </v>
      </c>
      <c r="K97" s="334" t="str">
        <f aca="false">IF((E97="d"),G97," ")</f>
        <v> </v>
      </c>
      <c r="L97" s="334" t="str">
        <f aca="false">IF((E97="e"),G97," ")</f>
        <v> </v>
      </c>
      <c r="M97" s="334" t="str">
        <f aca="false">IF((E97="p"),G97," ")</f>
        <v> </v>
      </c>
      <c r="N97" s="334" t="str">
        <f aca="false">IF((E97="r"),G97," ")</f>
        <v> </v>
      </c>
      <c r="O97" s="334" t="str">
        <f aca="false">IF((E97="g"),G97," ")</f>
        <v> </v>
      </c>
      <c r="P97" s="334" t="str">
        <f aca="false">IF((E97="m"),G97," ")</f>
        <v> </v>
      </c>
      <c r="Q97" s="334" t="str">
        <f aca="false">IF((E97="t"),G97," ")</f>
        <v> </v>
      </c>
      <c r="R97" s="334" t="str">
        <f aca="false">IF((E97="a"),G97," ")</f>
        <v> </v>
      </c>
      <c r="S97" s="334" t="str">
        <f aca="false">IF((E97="l"),G97," ")</f>
        <v> </v>
      </c>
      <c r="T97" s="334" t="str">
        <f aca="false">IF((E97="b"),G97," ")</f>
        <v> </v>
      </c>
      <c r="U97" s="334" t="str">
        <f aca="false">IF((E97="i"),G97," ")</f>
        <v> </v>
      </c>
      <c r="V97" s="334" t="str">
        <f aca="false">IF((E97="o"),G97," ")</f>
        <v> </v>
      </c>
      <c r="W97" s="334" t="str">
        <f aca="false">IF((E97="f"),G97," ")</f>
        <v> </v>
      </c>
    </row>
    <row r="98" customFormat="false" ht="12.75" hidden="false" customHeight="false" outlineLevel="0" collapsed="false">
      <c r="A98" s="355"/>
      <c r="E98" s="365" t="str">
        <f aca="false">IF((G98&lt;&gt;0),"Enter Letter"," ")</f>
        <v> </v>
      </c>
      <c r="H98" s="338" t="str">
        <f aca="false">IF((G98&lt;&gt;0),IF((D98&gt;0)," ",G98)," ")</f>
        <v> </v>
      </c>
      <c r="I98" s="367" t="str">
        <f aca="false">IF((G98&lt;&gt;0),IF((D98&gt;0)," ",(I$1-A98))," ")</f>
        <v> </v>
      </c>
      <c r="J98" s="334" t="str">
        <f aca="false">IF((E98="s"),G98," ")</f>
        <v> </v>
      </c>
      <c r="K98" s="334" t="str">
        <f aca="false">IF((E98="d"),G98," ")</f>
        <v> </v>
      </c>
      <c r="L98" s="334" t="str">
        <f aca="false">IF((E98="e"),G98," ")</f>
        <v> </v>
      </c>
      <c r="M98" s="334" t="str">
        <f aca="false">IF((E98="p"),G98," ")</f>
        <v> </v>
      </c>
      <c r="N98" s="334" t="str">
        <f aca="false">IF((E98="r"),G98," ")</f>
        <v> </v>
      </c>
      <c r="O98" s="334" t="str">
        <f aca="false">IF((E98="g"),G98," ")</f>
        <v> </v>
      </c>
      <c r="P98" s="334" t="str">
        <f aca="false">IF((E98="m"),G98," ")</f>
        <v> </v>
      </c>
      <c r="Q98" s="334" t="str">
        <f aca="false">IF((E98="t"),G98," ")</f>
        <v> </v>
      </c>
      <c r="R98" s="334" t="str">
        <f aca="false">IF((E98="a"),G98," ")</f>
        <v> </v>
      </c>
      <c r="S98" s="334" t="str">
        <f aca="false">IF((E98="l"),G98," ")</f>
        <v> </v>
      </c>
      <c r="T98" s="334" t="str">
        <f aca="false">IF((E98="b"),G98," ")</f>
        <v> </v>
      </c>
      <c r="U98" s="334" t="str">
        <f aca="false">IF((E98="i"),G98," ")</f>
        <v> </v>
      </c>
      <c r="V98" s="334" t="str">
        <f aca="false">IF((E98="o"),G98," ")</f>
        <v> </v>
      </c>
      <c r="W98" s="334" t="str">
        <f aca="false">IF((E98="f"),G98," ")</f>
        <v> </v>
      </c>
    </row>
    <row r="99" customFormat="false" ht="12.75" hidden="false" customHeight="false" outlineLevel="0" collapsed="false">
      <c r="A99" s="355"/>
      <c r="E99" s="365" t="str">
        <f aca="false">IF((G99&lt;&gt;0),"Enter Letter"," ")</f>
        <v> </v>
      </c>
      <c r="H99" s="338" t="str">
        <f aca="false">IF((G99&lt;&gt;0),IF((D99&gt;0)," ",G99)," ")</f>
        <v> </v>
      </c>
      <c r="I99" s="367" t="str">
        <f aca="false">IF((G99&lt;&gt;0),IF((D99&gt;0)," ",(I$1-A99))," ")</f>
        <v> </v>
      </c>
      <c r="J99" s="334" t="str">
        <f aca="false">IF((E99="s"),G99," ")</f>
        <v> </v>
      </c>
      <c r="K99" s="334" t="str">
        <f aca="false">IF((E99="d"),G99," ")</f>
        <v> </v>
      </c>
      <c r="L99" s="334" t="str">
        <f aca="false">IF((E99="e"),G99," ")</f>
        <v> </v>
      </c>
      <c r="M99" s="334" t="str">
        <f aca="false">IF((E99="p"),G99," ")</f>
        <v> </v>
      </c>
      <c r="N99" s="334" t="str">
        <f aca="false">IF((E99="r"),G99," ")</f>
        <v> </v>
      </c>
      <c r="O99" s="334" t="str">
        <f aca="false">IF((E99="g"),G99," ")</f>
        <v> </v>
      </c>
      <c r="P99" s="334" t="str">
        <f aca="false">IF((E99="m"),G99," ")</f>
        <v> </v>
      </c>
      <c r="Q99" s="334" t="str">
        <f aca="false">IF((E99="t"),G99," ")</f>
        <v> </v>
      </c>
      <c r="R99" s="334" t="str">
        <f aca="false">IF((E99="a"),G99," ")</f>
        <v> </v>
      </c>
      <c r="S99" s="334" t="str">
        <f aca="false">IF((E99="l"),G99," ")</f>
        <v> </v>
      </c>
      <c r="T99" s="334" t="str">
        <f aca="false">IF((E99="b"),G99," ")</f>
        <v> </v>
      </c>
      <c r="U99" s="334" t="str">
        <f aca="false">IF((E99="i"),G99," ")</f>
        <v> </v>
      </c>
      <c r="V99" s="334" t="str">
        <f aca="false">IF((E99="o"),G99," ")</f>
        <v> </v>
      </c>
      <c r="W99" s="334" t="str">
        <f aca="false">IF((E99="f"),G99," ")</f>
        <v> </v>
      </c>
    </row>
    <row r="100" customFormat="false" ht="12.75" hidden="false" customHeight="false" outlineLevel="0" collapsed="false">
      <c r="A100" s="355"/>
      <c r="E100" s="365" t="str">
        <f aca="false">IF((G100&lt;&gt;0),"Enter Letter"," ")</f>
        <v> </v>
      </c>
      <c r="H100" s="338" t="str">
        <f aca="false">IF((G100&lt;&gt;0),IF((D100&gt;0)," ",G100)," ")</f>
        <v> </v>
      </c>
      <c r="I100" s="367" t="str">
        <f aca="false">IF((G100&lt;&gt;0),IF((D100&gt;0)," ",(I$1-A100))," ")</f>
        <v> </v>
      </c>
      <c r="J100" s="334" t="str">
        <f aca="false">IF((E100="s"),G100," ")</f>
        <v> </v>
      </c>
      <c r="K100" s="334" t="str">
        <f aca="false">IF((E100="d"),G100," ")</f>
        <v> </v>
      </c>
      <c r="L100" s="334" t="str">
        <f aca="false">IF((E100="e"),G100," ")</f>
        <v> </v>
      </c>
      <c r="M100" s="334" t="str">
        <f aca="false">IF((E100="p"),G100," ")</f>
        <v> </v>
      </c>
      <c r="N100" s="334" t="str">
        <f aca="false">IF((E100="r"),G100," ")</f>
        <v> </v>
      </c>
      <c r="O100" s="334" t="str">
        <f aca="false">IF((E100="g"),G100," ")</f>
        <v> </v>
      </c>
      <c r="P100" s="334" t="str">
        <f aca="false">IF((E100="m"),G100," ")</f>
        <v> </v>
      </c>
      <c r="Q100" s="334" t="str">
        <f aca="false">IF((E100="t"),G100," ")</f>
        <v> </v>
      </c>
      <c r="R100" s="334" t="str">
        <f aca="false">IF((E100="a"),G100," ")</f>
        <v> </v>
      </c>
      <c r="S100" s="334" t="str">
        <f aca="false">IF((E100="l"),G100," ")</f>
        <v> </v>
      </c>
      <c r="T100" s="334" t="str">
        <f aca="false">IF((E100="b"),G100," ")</f>
        <v> </v>
      </c>
      <c r="U100" s="334" t="str">
        <f aca="false">IF((E100="i"),G100," ")</f>
        <v> </v>
      </c>
      <c r="V100" s="334" t="str">
        <f aca="false">IF((E100="o"),G100," ")</f>
        <v> </v>
      </c>
      <c r="W100" s="334" t="str">
        <f aca="false">IF((E100="f"),G100," ")</f>
        <v> </v>
      </c>
    </row>
    <row r="101" customFormat="false" ht="12.75" hidden="false" customHeight="false" outlineLevel="0" collapsed="false">
      <c r="A101" s="355"/>
      <c r="E101" s="365" t="str">
        <f aca="false">IF((G101&lt;&gt;0),"Enter Letter"," ")</f>
        <v> </v>
      </c>
      <c r="H101" s="338" t="str">
        <f aca="false">IF((G101&lt;&gt;0),IF((D101&gt;0)," ",G101)," ")</f>
        <v> </v>
      </c>
      <c r="I101" s="367" t="str">
        <f aca="false">IF((G101&lt;&gt;0),IF((D101&gt;0)," ",(I$1-A101))," ")</f>
        <v> </v>
      </c>
      <c r="J101" s="334" t="str">
        <f aca="false">IF((E101="s"),G101," ")</f>
        <v> </v>
      </c>
      <c r="K101" s="334" t="str">
        <f aca="false">IF((E101="d"),G101," ")</f>
        <v> </v>
      </c>
      <c r="L101" s="334" t="str">
        <f aca="false">IF((E101="e"),G101," ")</f>
        <v> </v>
      </c>
      <c r="M101" s="334" t="str">
        <f aca="false">IF((E101="p"),G101," ")</f>
        <v> </v>
      </c>
      <c r="N101" s="334" t="str">
        <f aca="false">IF((E101="r"),G101," ")</f>
        <v> </v>
      </c>
      <c r="O101" s="334" t="str">
        <f aca="false">IF((E101="g"),G101," ")</f>
        <v> </v>
      </c>
      <c r="P101" s="334" t="str">
        <f aca="false">IF((E101="m"),G101," ")</f>
        <v> </v>
      </c>
      <c r="Q101" s="334" t="str">
        <f aca="false">IF((E101="t"),G101," ")</f>
        <v> </v>
      </c>
      <c r="R101" s="334" t="str">
        <f aca="false">IF((E101="a"),G101," ")</f>
        <v> </v>
      </c>
      <c r="S101" s="334" t="str">
        <f aca="false">IF((E101="l"),G101," ")</f>
        <v> </v>
      </c>
      <c r="T101" s="334" t="str">
        <f aca="false">IF((E101="b"),G101," ")</f>
        <v> </v>
      </c>
      <c r="U101" s="334" t="str">
        <f aca="false">IF((E101="i"),G101," ")</f>
        <v> </v>
      </c>
      <c r="V101" s="334" t="str">
        <f aca="false">IF((E101="o"),G101," ")</f>
        <v> </v>
      </c>
      <c r="W101" s="334" t="str">
        <f aca="false">IF((E101="f"),G101," ")</f>
        <v> </v>
      </c>
    </row>
    <row r="102" customFormat="false" ht="12.75" hidden="false" customHeight="false" outlineLevel="0" collapsed="false">
      <c r="A102" s="355"/>
      <c r="E102" s="365" t="str">
        <f aca="false">IF((G102&lt;&gt;0),"Enter Letter"," ")</f>
        <v> </v>
      </c>
      <c r="H102" s="338" t="str">
        <f aca="false">IF((G102&lt;&gt;0),IF((D102&gt;0)," ",G102)," ")</f>
        <v> </v>
      </c>
      <c r="I102" s="367" t="str">
        <f aca="false">IF((G102&lt;&gt;0),IF((D102&gt;0)," ",(I$1-A102))," ")</f>
        <v> </v>
      </c>
      <c r="J102" s="334" t="str">
        <f aca="false">IF((E102="s"),G102," ")</f>
        <v> </v>
      </c>
      <c r="K102" s="334" t="str">
        <f aca="false">IF((E102="d"),G102," ")</f>
        <v> </v>
      </c>
      <c r="L102" s="334" t="str">
        <f aca="false">IF((E102="e"),G102," ")</f>
        <v> </v>
      </c>
      <c r="M102" s="334" t="str">
        <f aca="false">IF((E102="p"),G102," ")</f>
        <v> </v>
      </c>
      <c r="N102" s="334" t="str">
        <f aca="false">IF((E102="r"),G102," ")</f>
        <v> </v>
      </c>
      <c r="O102" s="334" t="str">
        <f aca="false">IF((E102="g"),G102," ")</f>
        <v> </v>
      </c>
      <c r="P102" s="334" t="str">
        <f aca="false">IF((E102="m"),G102," ")</f>
        <v> </v>
      </c>
      <c r="Q102" s="334" t="str">
        <f aca="false">IF((E102="t"),G102," ")</f>
        <v> </v>
      </c>
      <c r="R102" s="334" t="str">
        <f aca="false">IF((E102="a"),G102," ")</f>
        <v> </v>
      </c>
      <c r="S102" s="334" t="str">
        <f aca="false">IF((E102="l"),G102," ")</f>
        <v> </v>
      </c>
      <c r="T102" s="334" t="str">
        <f aca="false">IF((E102="b"),G102," ")</f>
        <v> </v>
      </c>
      <c r="U102" s="334" t="str">
        <f aca="false">IF((E102="i"),G102," ")</f>
        <v> </v>
      </c>
      <c r="V102" s="334" t="str">
        <f aca="false">IF((E102="o"),G102," ")</f>
        <v> </v>
      </c>
      <c r="W102" s="334" t="str">
        <f aca="false">IF((E102="f"),G102," ")</f>
        <v> </v>
      </c>
    </row>
    <row r="103" customFormat="false" ht="12.75" hidden="false" customHeight="false" outlineLevel="0" collapsed="false">
      <c r="A103" s="355"/>
      <c r="E103" s="365" t="str">
        <f aca="false">IF((G103&lt;&gt;0),"Enter Letter"," ")</f>
        <v> </v>
      </c>
      <c r="H103" s="338" t="str">
        <f aca="false">IF((G103&lt;&gt;0),IF((D103&gt;0)," ",G103)," ")</f>
        <v> </v>
      </c>
      <c r="I103" s="367" t="str">
        <f aca="false">IF((G103&lt;&gt;0),IF((D103&gt;0)," ",(I$1-A103))," ")</f>
        <v> </v>
      </c>
      <c r="J103" s="334" t="str">
        <f aca="false">IF((E103="s"),G103," ")</f>
        <v> </v>
      </c>
      <c r="K103" s="334" t="str">
        <f aca="false">IF((E103="d"),G103," ")</f>
        <v> </v>
      </c>
      <c r="L103" s="334" t="str">
        <f aca="false">IF((E103="e"),G103," ")</f>
        <v> </v>
      </c>
      <c r="M103" s="334" t="str">
        <f aca="false">IF((E103="p"),G103," ")</f>
        <v> </v>
      </c>
      <c r="N103" s="334" t="str">
        <f aca="false">IF((E103="r"),G103," ")</f>
        <v> </v>
      </c>
      <c r="O103" s="334" t="str">
        <f aca="false">IF((E103="g"),G103," ")</f>
        <v> </v>
      </c>
      <c r="P103" s="334" t="str">
        <f aca="false">IF((E103="m"),G103," ")</f>
        <v> </v>
      </c>
      <c r="Q103" s="334" t="str">
        <f aca="false">IF((E103="t"),G103," ")</f>
        <v> </v>
      </c>
      <c r="R103" s="334" t="str">
        <f aca="false">IF((E103="a"),G103," ")</f>
        <v> </v>
      </c>
      <c r="S103" s="334" t="str">
        <f aca="false">IF((E103="l"),G103," ")</f>
        <v> </v>
      </c>
      <c r="T103" s="334" t="str">
        <f aca="false">IF((E103="b"),G103," ")</f>
        <v> </v>
      </c>
      <c r="U103" s="334" t="str">
        <f aca="false">IF((E103="i"),G103," ")</f>
        <v> </v>
      </c>
      <c r="V103" s="334" t="str">
        <f aca="false">IF((E103="o"),G103," ")</f>
        <v> </v>
      </c>
      <c r="W103" s="334" t="str">
        <f aca="false">IF((E103="f"),G103," ")</f>
        <v> </v>
      </c>
    </row>
    <row r="104" customFormat="false" ht="12.75" hidden="false" customHeight="false" outlineLevel="0" collapsed="false">
      <c r="A104" s="355"/>
      <c r="E104" s="365" t="str">
        <f aca="false">IF((G104&lt;&gt;0),"Enter Letter"," ")</f>
        <v> </v>
      </c>
      <c r="H104" s="338" t="str">
        <f aca="false">IF((G104&lt;&gt;0),IF((D104&gt;0)," ",G104)," ")</f>
        <v> </v>
      </c>
      <c r="I104" s="367" t="str">
        <f aca="false">IF((G104&lt;&gt;0),IF((D104&gt;0)," ",(I$1-A104))," ")</f>
        <v> </v>
      </c>
      <c r="J104" s="334" t="str">
        <f aca="false">IF((E104="s"),G104," ")</f>
        <v> </v>
      </c>
      <c r="K104" s="334" t="str">
        <f aca="false">IF((E104="d"),G104," ")</f>
        <v> </v>
      </c>
      <c r="L104" s="334" t="str">
        <f aca="false">IF((E104="e"),G104," ")</f>
        <v> </v>
      </c>
      <c r="M104" s="334" t="str">
        <f aca="false">IF((E104="p"),G104," ")</f>
        <v> </v>
      </c>
      <c r="N104" s="334" t="str">
        <f aca="false">IF((E104="r"),G104," ")</f>
        <v> </v>
      </c>
      <c r="O104" s="334" t="str">
        <f aca="false">IF((E104="g"),G104," ")</f>
        <v> </v>
      </c>
      <c r="P104" s="334" t="str">
        <f aca="false">IF((E104="m"),G104," ")</f>
        <v> </v>
      </c>
      <c r="Q104" s="334" t="str">
        <f aca="false">IF((E104="t"),G104," ")</f>
        <v> </v>
      </c>
      <c r="R104" s="334" t="str">
        <f aca="false">IF((E104="a"),G104," ")</f>
        <v> </v>
      </c>
      <c r="S104" s="334" t="str">
        <f aca="false">IF((E104="l"),G104," ")</f>
        <v> </v>
      </c>
      <c r="T104" s="334" t="str">
        <f aca="false">IF((E104="b"),G104," ")</f>
        <v> </v>
      </c>
      <c r="U104" s="334" t="str">
        <f aca="false">IF((E104="i"),G104," ")</f>
        <v> </v>
      </c>
      <c r="V104" s="334" t="str">
        <f aca="false">IF((E104="o"),G104," ")</f>
        <v> </v>
      </c>
      <c r="W104" s="334" t="str">
        <f aca="false">IF((E104="f"),G104," ")</f>
        <v> </v>
      </c>
    </row>
    <row r="105" customFormat="false" ht="12.75" hidden="false" customHeight="false" outlineLevel="0" collapsed="false">
      <c r="A105" s="355"/>
      <c r="E105" s="365" t="str">
        <f aca="false">IF((G105&lt;&gt;0),"Enter Letter"," ")</f>
        <v> </v>
      </c>
      <c r="H105" s="338" t="str">
        <f aca="false">IF((G105&lt;&gt;0),IF((D105&gt;0)," ",G105)," ")</f>
        <v> </v>
      </c>
      <c r="I105" s="367" t="str">
        <f aca="false">IF((G105&lt;&gt;0),IF((D105&gt;0)," ",(I$1-A105))," ")</f>
        <v> </v>
      </c>
      <c r="J105" s="334" t="str">
        <f aca="false">IF((E105="s"),G105," ")</f>
        <v> </v>
      </c>
      <c r="K105" s="334" t="str">
        <f aca="false">IF((E105="d"),G105," ")</f>
        <v> </v>
      </c>
      <c r="L105" s="334" t="str">
        <f aca="false">IF((E105="e"),G105," ")</f>
        <v> </v>
      </c>
      <c r="M105" s="334" t="str">
        <f aca="false">IF((E105="p"),G105," ")</f>
        <v> </v>
      </c>
      <c r="N105" s="334" t="str">
        <f aca="false">IF((E105="r"),G105," ")</f>
        <v> </v>
      </c>
      <c r="O105" s="334" t="str">
        <f aca="false">IF((E105="g"),G105," ")</f>
        <v> </v>
      </c>
      <c r="P105" s="334" t="str">
        <f aca="false">IF((E105="m"),G105," ")</f>
        <v> </v>
      </c>
      <c r="Q105" s="334" t="str">
        <f aca="false">IF((E105="t"),G105," ")</f>
        <v> </v>
      </c>
      <c r="R105" s="334" t="str">
        <f aca="false">IF((E105="a"),G105," ")</f>
        <v> </v>
      </c>
      <c r="S105" s="334" t="str">
        <f aca="false">IF((E105="l"),G105," ")</f>
        <v> </v>
      </c>
      <c r="T105" s="334" t="str">
        <f aca="false">IF((E105="b"),G105," ")</f>
        <v> </v>
      </c>
      <c r="U105" s="334" t="str">
        <f aca="false">IF((E105="i"),G105," ")</f>
        <v> </v>
      </c>
      <c r="V105" s="334" t="str">
        <f aca="false">IF((E105="o"),G105," ")</f>
        <v> </v>
      </c>
      <c r="W105" s="334" t="str">
        <f aca="false">IF((E105="f"),G105," ")</f>
        <v> </v>
      </c>
    </row>
    <row r="106" customFormat="false" ht="12.75" hidden="false" customHeight="false" outlineLevel="0" collapsed="false">
      <c r="A106" s="355"/>
      <c r="E106" s="365" t="str">
        <f aca="false">IF((G106&lt;&gt;0),"Enter Letter"," ")</f>
        <v> </v>
      </c>
      <c r="H106" s="338" t="str">
        <f aca="false">IF((G106&lt;&gt;0),IF((D106&gt;0)," ",G106)," ")</f>
        <v> </v>
      </c>
      <c r="I106" s="367" t="str">
        <f aca="false">IF((G106&lt;&gt;0),IF((D106&gt;0)," ",(I$1-A106))," ")</f>
        <v> </v>
      </c>
      <c r="J106" s="334" t="str">
        <f aca="false">IF((E106="s"),G106," ")</f>
        <v> </v>
      </c>
      <c r="K106" s="334" t="str">
        <f aca="false">IF((E106="d"),G106," ")</f>
        <v> </v>
      </c>
      <c r="L106" s="334" t="str">
        <f aca="false">IF((E106="e"),G106," ")</f>
        <v> </v>
      </c>
      <c r="M106" s="334" t="str">
        <f aca="false">IF((E106="p"),G106," ")</f>
        <v> </v>
      </c>
      <c r="N106" s="334" t="str">
        <f aca="false">IF((E106="r"),G106," ")</f>
        <v> </v>
      </c>
      <c r="O106" s="334" t="str">
        <f aca="false">IF((E106="g"),G106," ")</f>
        <v> </v>
      </c>
      <c r="P106" s="334" t="str">
        <f aca="false">IF((E106="m"),G106," ")</f>
        <v> </v>
      </c>
      <c r="Q106" s="334" t="str">
        <f aca="false">IF((E106="t"),G106," ")</f>
        <v> </v>
      </c>
      <c r="R106" s="334" t="str">
        <f aca="false">IF((E106="a"),G106," ")</f>
        <v> </v>
      </c>
      <c r="S106" s="334" t="str">
        <f aca="false">IF((E106="l"),G106," ")</f>
        <v> </v>
      </c>
      <c r="T106" s="334" t="str">
        <f aca="false">IF((E106="b"),G106," ")</f>
        <v> </v>
      </c>
      <c r="U106" s="334" t="str">
        <f aca="false">IF((E106="i"),G106," ")</f>
        <v> </v>
      </c>
      <c r="V106" s="334" t="str">
        <f aca="false">IF((E106="o"),G106," ")</f>
        <v> </v>
      </c>
      <c r="W106" s="334" t="str">
        <f aca="false">IF((E106="f"),G106," ")</f>
        <v> </v>
      </c>
    </row>
    <row r="107" customFormat="false" ht="12.75" hidden="false" customHeight="false" outlineLevel="0" collapsed="false">
      <c r="A107" s="355"/>
      <c r="E107" s="365" t="str">
        <f aca="false">IF((G107&lt;&gt;0),"Enter Letter"," ")</f>
        <v> </v>
      </c>
      <c r="H107" s="338" t="str">
        <f aca="false">IF((G107&lt;&gt;0),IF((D107&gt;0)," ",G107)," ")</f>
        <v> </v>
      </c>
      <c r="I107" s="367" t="str">
        <f aca="false">IF((G107&lt;&gt;0),IF((D107&gt;0)," ",(I$1-A107))," ")</f>
        <v> </v>
      </c>
      <c r="J107" s="334" t="str">
        <f aca="false">IF((E107="s"),G107," ")</f>
        <v> </v>
      </c>
      <c r="K107" s="334" t="str">
        <f aca="false">IF((E107="d"),G107," ")</f>
        <v> </v>
      </c>
      <c r="L107" s="334" t="str">
        <f aca="false">IF((E107="e"),G107," ")</f>
        <v> </v>
      </c>
      <c r="M107" s="334" t="str">
        <f aca="false">IF((E107="p"),G107," ")</f>
        <v> </v>
      </c>
      <c r="N107" s="334" t="str">
        <f aca="false">IF((E107="r"),G107," ")</f>
        <v> </v>
      </c>
      <c r="O107" s="334" t="str">
        <f aca="false">IF((E107="g"),G107," ")</f>
        <v> </v>
      </c>
      <c r="P107" s="334" t="str">
        <f aca="false">IF((E107="m"),G107," ")</f>
        <v> </v>
      </c>
      <c r="Q107" s="334" t="str">
        <f aca="false">IF((E107="t"),G107," ")</f>
        <v> </v>
      </c>
      <c r="R107" s="334" t="str">
        <f aca="false">IF((E107="a"),G107," ")</f>
        <v> </v>
      </c>
      <c r="S107" s="334" t="str">
        <f aca="false">IF((E107="l"),G107," ")</f>
        <v> </v>
      </c>
      <c r="T107" s="334" t="str">
        <f aca="false">IF((E107="b"),G107," ")</f>
        <v> </v>
      </c>
      <c r="U107" s="334" t="str">
        <f aca="false">IF((E107="i"),G107," ")</f>
        <v> </v>
      </c>
      <c r="V107" s="334" t="str">
        <f aca="false">IF((E107="o"),G107," ")</f>
        <v> </v>
      </c>
      <c r="W107" s="334" t="str">
        <f aca="false">IF((E107="f"),G107," ")</f>
        <v> </v>
      </c>
    </row>
    <row r="108" customFormat="false" ht="12.75" hidden="false" customHeight="false" outlineLevel="0" collapsed="false">
      <c r="A108" s="355"/>
      <c r="E108" s="365" t="str">
        <f aca="false">IF((G108&lt;&gt;0),"Enter Letter"," ")</f>
        <v> </v>
      </c>
      <c r="H108" s="338" t="str">
        <f aca="false">IF((G108&lt;&gt;0),IF((D108&gt;0)," ",G108)," ")</f>
        <v> </v>
      </c>
      <c r="I108" s="367" t="str">
        <f aca="false">IF((G108&lt;&gt;0),IF((D108&gt;0)," ",(I$1-A108))," ")</f>
        <v> </v>
      </c>
      <c r="J108" s="334" t="str">
        <f aca="false">IF((E108="s"),G108," ")</f>
        <v> </v>
      </c>
      <c r="K108" s="334" t="str">
        <f aca="false">IF((E108="d"),G108," ")</f>
        <v> </v>
      </c>
      <c r="L108" s="334" t="str">
        <f aca="false">IF((E108="e"),G108," ")</f>
        <v> </v>
      </c>
      <c r="M108" s="334" t="str">
        <f aca="false">IF((E108="p"),G108," ")</f>
        <v> </v>
      </c>
      <c r="N108" s="334" t="str">
        <f aca="false">IF((E108="r"),G108," ")</f>
        <v> </v>
      </c>
      <c r="O108" s="334" t="str">
        <f aca="false">IF((E108="g"),G108," ")</f>
        <v> </v>
      </c>
      <c r="P108" s="334" t="str">
        <f aca="false">IF((E108="m"),G108," ")</f>
        <v> </v>
      </c>
      <c r="Q108" s="334" t="str">
        <f aca="false">IF((E108="t"),G108," ")</f>
        <v> </v>
      </c>
      <c r="R108" s="334" t="str">
        <f aca="false">IF((E108="a"),G108," ")</f>
        <v> </v>
      </c>
      <c r="S108" s="334" t="str">
        <f aca="false">IF((E108="l"),G108," ")</f>
        <v> </v>
      </c>
      <c r="T108" s="334" t="str">
        <f aca="false">IF((E108="b"),G108," ")</f>
        <v> </v>
      </c>
      <c r="U108" s="334" t="str">
        <f aca="false">IF((E108="i"),G108," ")</f>
        <v> </v>
      </c>
      <c r="V108" s="334" t="str">
        <f aca="false">IF((E108="o"),G108," ")</f>
        <v> </v>
      </c>
      <c r="W108" s="334" t="str">
        <f aca="false">IF((E108="f"),G108," ")</f>
        <v> </v>
      </c>
    </row>
    <row r="109" customFormat="false" ht="12.75" hidden="false" customHeight="false" outlineLevel="0" collapsed="false">
      <c r="A109" s="355"/>
      <c r="E109" s="365" t="str">
        <f aca="false">IF((G109&lt;&gt;0),"Enter Letter"," ")</f>
        <v> </v>
      </c>
      <c r="H109" s="338" t="str">
        <f aca="false">IF((G109&lt;&gt;0),IF((D109&gt;0)," ",G109)," ")</f>
        <v> </v>
      </c>
      <c r="I109" s="367" t="str">
        <f aca="false">IF((G109&lt;&gt;0),IF((D109&gt;0)," ",(I$1-A109))," ")</f>
        <v> </v>
      </c>
      <c r="J109" s="334" t="str">
        <f aca="false">IF((E109="s"),G109," ")</f>
        <v> </v>
      </c>
      <c r="K109" s="334" t="str">
        <f aca="false">IF((E109="d"),G109," ")</f>
        <v> </v>
      </c>
      <c r="L109" s="334" t="str">
        <f aca="false">IF((E109="e"),G109," ")</f>
        <v> </v>
      </c>
      <c r="M109" s="334" t="str">
        <f aca="false">IF((E109="p"),G109," ")</f>
        <v> </v>
      </c>
      <c r="N109" s="334" t="str">
        <f aca="false">IF((E109="r"),G109," ")</f>
        <v> </v>
      </c>
      <c r="O109" s="334" t="str">
        <f aca="false">IF((E109="g"),G109," ")</f>
        <v> </v>
      </c>
      <c r="P109" s="334" t="str">
        <f aca="false">IF((E109="m"),G109," ")</f>
        <v> </v>
      </c>
      <c r="Q109" s="334" t="str">
        <f aca="false">IF((E109="t"),G109," ")</f>
        <v> </v>
      </c>
      <c r="R109" s="334" t="str">
        <f aca="false">IF((E109="a"),G109," ")</f>
        <v> </v>
      </c>
      <c r="S109" s="334" t="str">
        <f aca="false">IF((E109="l"),G109," ")</f>
        <v> </v>
      </c>
      <c r="T109" s="334" t="str">
        <f aca="false">IF((E109="b"),G109," ")</f>
        <v> </v>
      </c>
      <c r="U109" s="334" t="str">
        <f aca="false">IF((E109="i"),G109," ")</f>
        <v> </v>
      </c>
      <c r="V109" s="334" t="str">
        <f aca="false">IF((E109="o"),G109," ")</f>
        <v> </v>
      </c>
      <c r="W109" s="334" t="str">
        <f aca="false">IF((E109="f"),G109," ")</f>
        <v> </v>
      </c>
    </row>
    <row r="110" customFormat="false" ht="12.75" hidden="false" customHeight="false" outlineLevel="0" collapsed="false">
      <c r="A110" s="355"/>
      <c r="E110" s="365" t="str">
        <f aca="false">IF((G110&lt;&gt;0),"Enter Letter"," ")</f>
        <v> </v>
      </c>
      <c r="H110" s="338" t="str">
        <f aca="false">IF((G110&lt;&gt;0),IF((D110&gt;0)," ",G110)," ")</f>
        <v> </v>
      </c>
      <c r="I110" s="367" t="str">
        <f aca="false">IF((G110&lt;&gt;0),IF((D110&gt;0)," ",(I$1-A110))," ")</f>
        <v> </v>
      </c>
      <c r="J110" s="334" t="str">
        <f aca="false">IF((E110="s"),G110," ")</f>
        <v> </v>
      </c>
      <c r="K110" s="334" t="str">
        <f aca="false">IF((E110="d"),G110," ")</f>
        <v> </v>
      </c>
      <c r="L110" s="334" t="str">
        <f aca="false">IF((E110="e"),G110," ")</f>
        <v> </v>
      </c>
      <c r="M110" s="334" t="str">
        <f aca="false">IF((E110="p"),G110," ")</f>
        <v> </v>
      </c>
      <c r="N110" s="334" t="str">
        <f aca="false">IF((E110="r"),G110," ")</f>
        <v> </v>
      </c>
      <c r="O110" s="334" t="str">
        <f aca="false">IF((E110="g"),G110," ")</f>
        <v> </v>
      </c>
      <c r="P110" s="334" t="str">
        <f aca="false">IF((E110="m"),G110," ")</f>
        <v> </v>
      </c>
      <c r="Q110" s="334" t="str">
        <f aca="false">IF((E110="t"),G110," ")</f>
        <v> </v>
      </c>
      <c r="R110" s="334" t="str">
        <f aca="false">IF((E110="a"),G110," ")</f>
        <v> </v>
      </c>
      <c r="S110" s="334" t="str">
        <f aca="false">IF((E110="l"),G110," ")</f>
        <v> </v>
      </c>
      <c r="T110" s="334" t="str">
        <f aca="false">IF((E110="b"),G110," ")</f>
        <v> </v>
      </c>
      <c r="U110" s="334" t="str">
        <f aca="false">IF((E110="i"),G110," ")</f>
        <v> </v>
      </c>
      <c r="V110" s="334" t="str">
        <f aca="false">IF((E110="o"),G110," ")</f>
        <v> </v>
      </c>
      <c r="W110" s="334" t="str">
        <f aca="false">IF((E110="f"),G110," ")</f>
        <v> </v>
      </c>
    </row>
    <row r="111" customFormat="false" ht="12.75" hidden="false" customHeight="false" outlineLevel="0" collapsed="false">
      <c r="A111" s="355"/>
      <c r="E111" s="365" t="str">
        <f aca="false">IF((G111&lt;&gt;0),"Enter Letter"," ")</f>
        <v> </v>
      </c>
      <c r="H111" s="338" t="str">
        <f aca="false">IF((G111&lt;&gt;0),IF((D111&gt;0)," ",G111)," ")</f>
        <v> </v>
      </c>
      <c r="I111" s="367" t="str">
        <f aca="false">IF((G111&lt;&gt;0),IF((D111&gt;0)," ",(I$1-A111))," ")</f>
        <v> </v>
      </c>
      <c r="J111" s="334" t="str">
        <f aca="false">IF((E111="s"),G111," ")</f>
        <v> </v>
      </c>
      <c r="K111" s="334" t="str">
        <f aca="false">IF((E111="d"),G111," ")</f>
        <v> </v>
      </c>
      <c r="L111" s="334" t="str">
        <f aca="false">IF((E111="e"),G111," ")</f>
        <v> </v>
      </c>
      <c r="M111" s="334" t="str">
        <f aca="false">IF((E111="p"),G111," ")</f>
        <v> </v>
      </c>
      <c r="N111" s="334" t="str">
        <f aca="false">IF((E111="r"),G111," ")</f>
        <v> </v>
      </c>
      <c r="O111" s="334" t="str">
        <f aca="false">IF((E111="g"),G111," ")</f>
        <v> </v>
      </c>
      <c r="P111" s="334" t="str">
        <f aca="false">IF((E111="m"),G111," ")</f>
        <v> </v>
      </c>
      <c r="Q111" s="334" t="str">
        <f aca="false">IF((E111="t"),G111," ")</f>
        <v> </v>
      </c>
      <c r="R111" s="334" t="str">
        <f aca="false">IF((E111="a"),G111," ")</f>
        <v> </v>
      </c>
      <c r="S111" s="334" t="str">
        <f aca="false">IF((E111="l"),G111," ")</f>
        <v> </v>
      </c>
      <c r="T111" s="334" t="str">
        <f aca="false">IF((E111="b"),G111," ")</f>
        <v> </v>
      </c>
      <c r="U111" s="334" t="str">
        <f aca="false">IF((E111="i"),G111," ")</f>
        <v> </v>
      </c>
      <c r="V111" s="334" t="str">
        <f aca="false">IF((E111="o"),G111," ")</f>
        <v> </v>
      </c>
      <c r="W111" s="334" t="str">
        <f aca="false">IF((E111="f"),G111," ")</f>
        <v> </v>
      </c>
    </row>
    <row r="112" customFormat="false" ht="12.75" hidden="false" customHeight="false" outlineLevel="0" collapsed="false">
      <c r="A112" s="355"/>
      <c r="E112" s="365" t="str">
        <f aca="false">IF((G112&lt;&gt;0),"Enter Letter"," ")</f>
        <v> </v>
      </c>
      <c r="H112" s="338" t="str">
        <f aca="false">IF((G112&lt;&gt;0),IF((D112&gt;0)," ",G112)," ")</f>
        <v> </v>
      </c>
      <c r="I112" s="367" t="str">
        <f aca="false">IF((G112&lt;&gt;0),IF((D112&gt;0)," ",(I$1-A112))," ")</f>
        <v> </v>
      </c>
      <c r="J112" s="334" t="str">
        <f aca="false">IF((E112="s"),G112," ")</f>
        <v> </v>
      </c>
      <c r="K112" s="334" t="str">
        <f aca="false">IF((E112="d"),G112," ")</f>
        <v> </v>
      </c>
      <c r="L112" s="334" t="str">
        <f aca="false">IF((E112="e"),G112," ")</f>
        <v> </v>
      </c>
      <c r="M112" s="334" t="str">
        <f aca="false">IF((E112="p"),G112," ")</f>
        <v> </v>
      </c>
      <c r="N112" s="334" t="str">
        <f aca="false">IF((E112="r"),G112," ")</f>
        <v> </v>
      </c>
      <c r="O112" s="334" t="str">
        <f aca="false">IF((E112="g"),G112," ")</f>
        <v> </v>
      </c>
      <c r="P112" s="334" t="str">
        <f aca="false">IF((E112="m"),G112," ")</f>
        <v> </v>
      </c>
      <c r="Q112" s="334" t="str">
        <f aca="false">IF((E112="t"),G112," ")</f>
        <v> </v>
      </c>
      <c r="R112" s="334" t="str">
        <f aca="false">IF((E112="a"),G112," ")</f>
        <v> </v>
      </c>
      <c r="S112" s="334" t="str">
        <f aca="false">IF((E112="l"),G112," ")</f>
        <v> </v>
      </c>
      <c r="T112" s="334" t="str">
        <f aca="false">IF((E112="b"),G112," ")</f>
        <v> </v>
      </c>
      <c r="U112" s="334" t="str">
        <f aca="false">IF((E112="i"),G112," ")</f>
        <v> </v>
      </c>
      <c r="V112" s="334" t="str">
        <f aca="false">IF((E112="o"),G112," ")</f>
        <v> </v>
      </c>
      <c r="W112" s="334" t="str">
        <f aca="false">IF((E112="f"),G112," ")</f>
        <v> </v>
      </c>
    </row>
    <row r="113" customFormat="false" ht="12.75" hidden="false" customHeight="false" outlineLevel="0" collapsed="false">
      <c r="A113" s="355"/>
      <c r="E113" s="365" t="str">
        <f aca="false">IF((G113&lt;&gt;0),"Enter Letter"," ")</f>
        <v> </v>
      </c>
      <c r="H113" s="338" t="str">
        <f aca="false">IF((G113&lt;&gt;0),IF((D113&gt;0)," ",G113)," ")</f>
        <v> </v>
      </c>
      <c r="I113" s="367" t="str">
        <f aca="false">IF((G113&lt;&gt;0),IF((D113&gt;0)," ",(I$1-A113))," ")</f>
        <v> </v>
      </c>
      <c r="J113" s="334" t="str">
        <f aca="false">IF((E113="s"),G113," ")</f>
        <v> </v>
      </c>
      <c r="K113" s="334" t="str">
        <f aca="false">IF((E113="d"),G113," ")</f>
        <v> </v>
      </c>
      <c r="L113" s="334" t="str">
        <f aca="false">IF((E113="e"),G113," ")</f>
        <v> </v>
      </c>
      <c r="M113" s="334" t="str">
        <f aca="false">IF((E113="p"),G113," ")</f>
        <v> </v>
      </c>
      <c r="N113" s="334" t="str">
        <f aca="false">IF((E113="r"),G113," ")</f>
        <v> </v>
      </c>
      <c r="O113" s="334" t="str">
        <f aca="false">IF((E113="g"),G113," ")</f>
        <v> </v>
      </c>
      <c r="P113" s="334" t="str">
        <f aca="false">IF((E113="m"),G113," ")</f>
        <v> </v>
      </c>
      <c r="Q113" s="334" t="str">
        <f aca="false">IF((E113="t"),G113," ")</f>
        <v> </v>
      </c>
      <c r="R113" s="334" t="str">
        <f aca="false">IF((E113="a"),G113," ")</f>
        <v> </v>
      </c>
      <c r="S113" s="334" t="str">
        <f aca="false">IF((E113="l"),G113," ")</f>
        <v> </v>
      </c>
      <c r="T113" s="334" t="str">
        <f aca="false">IF((E113="b"),G113," ")</f>
        <v> </v>
      </c>
      <c r="U113" s="334" t="str">
        <f aca="false">IF((E113="i"),G113," ")</f>
        <v> </v>
      </c>
      <c r="V113" s="334" t="str">
        <f aca="false">IF((E113="o"),G113," ")</f>
        <v> </v>
      </c>
      <c r="W113" s="334" t="str">
        <f aca="false">IF((E113="f"),G113," ")</f>
        <v> </v>
      </c>
    </row>
    <row r="114" customFormat="false" ht="12.75" hidden="false" customHeight="false" outlineLevel="0" collapsed="false">
      <c r="A114" s="355"/>
      <c r="E114" s="365" t="str">
        <f aca="false">IF((G114&lt;&gt;0),"Enter Letter"," ")</f>
        <v> </v>
      </c>
      <c r="H114" s="338" t="str">
        <f aca="false">IF((G114&lt;&gt;0),IF((D114&gt;0)," ",G114)," ")</f>
        <v> </v>
      </c>
      <c r="I114" s="367" t="str">
        <f aca="false">IF((G114&lt;&gt;0),IF((D114&gt;0)," ",(I$1-A114))," ")</f>
        <v> </v>
      </c>
      <c r="J114" s="334" t="str">
        <f aca="false">IF((E114="s"),G114," ")</f>
        <v> </v>
      </c>
      <c r="K114" s="334" t="str">
        <f aca="false">IF((E114="d"),G114," ")</f>
        <v> </v>
      </c>
      <c r="L114" s="334" t="str">
        <f aca="false">IF((E114="e"),G114," ")</f>
        <v> </v>
      </c>
      <c r="M114" s="334" t="str">
        <f aca="false">IF((E114="p"),G114," ")</f>
        <v> </v>
      </c>
      <c r="N114" s="334" t="str">
        <f aca="false">IF((E114="r"),G114," ")</f>
        <v> </v>
      </c>
      <c r="O114" s="334" t="str">
        <f aca="false">IF((E114="g"),G114," ")</f>
        <v> </v>
      </c>
      <c r="P114" s="334" t="str">
        <f aca="false">IF((E114="m"),G114," ")</f>
        <v> </v>
      </c>
      <c r="Q114" s="334" t="str">
        <f aca="false">IF((E114="t"),G114," ")</f>
        <v> </v>
      </c>
      <c r="R114" s="334" t="str">
        <f aca="false">IF((E114="a"),G114," ")</f>
        <v> </v>
      </c>
      <c r="S114" s="334" t="str">
        <f aca="false">IF((E114="l"),G114," ")</f>
        <v> </v>
      </c>
      <c r="T114" s="334" t="str">
        <f aca="false">IF((E114="b"),G114," ")</f>
        <v> </v>
      </c>
      <c r="U114" s="334" t="str">
        <f aca="false">IF((E114="i"),G114," ")</f>
        <v> </v>
      </c>
      <c r="V114" s="334" t="str">
        <f aca="false">IF((E114="o"),G114," ")</f>
        <v> </v>
      </c>
      <c r="W114" s="334" t="str">
        <f aca="false">IF((E114="f"),G114," ")</f>
        <v> </v>
      </c>
    </row>
    <row r="115" customFormat="false" ht="12.75" hidden="false" customHeight="false" outlineLevel="0" collapsed="false">
      <c r="A115" s="355"/>
      <c r="E115" s="365" t="str">
        <f aca="false">IF((G115&lt;&gt;0),"Enter Letter"," ")</f>
        <v> </v>
      </c>
      <c r="H115" s="338" t="str">
        <f aca="false">IF((G115&lt;&gt;0),IF((D115&gt;0)," ",G115)," ")</f>
        <v> </v>
      </c>
      <c r="I115" s="367" t="str">
        <f aca="false">IF((G115&lt;&gt;0),IF((D115&gt;0)," ",(I$1-A115))," ")</f>
        <v> </v>
      </c>
      <c r="J115" s="334" t="str">
        <f aca="false">IF((E115="s"),G115," ")</f>
        <v> </v>
      </c>
      <c r="K115" s="334" t="str">
        <f aca="false">IF((E115="d"),G115," ")</f>
        <v> </v>
      </c>
      <c r="L115" s="334" t="str">
        <f aca="false">IF((E115="e"),G115," ")</f>
        <v> </v>
      </c>
      <c r="M115" s="334" t="str">
        <f aca="false">IF((E115="p"),G115," ")</f>
        <v> </v>
      </c>
      <c r="N115" s="334" t="str">
        <f aca="false">IF((E115="r"),G115," ")</f>
        <v> </v>
      </c>
      <c r="O115" s="334" t="str">
        <f aca="false">IF((E115="g"),G115," ")</f>
        <v> </v>
      </c>
      <c r="P115" s="334" t="str">
        <f aca="false">IF((E115="m"),G115," ")</f>
        <v> </v>
      </c>
      <c r="Q115" s="334" t="str">
        <f aca="false">IF((E115="t"),G115," ")</f>
        <v> </v>
      </c>
      <c r="R115" s="334" t="str">
        <f aca="false">IF((E115="a"),G115," ")</f>
        <v> </v>
      </c>
      <c r="S115" s="334" t="str">
        <f aca="false">IF((E115="l"),G115," ")</f>
        <v> </v>
      </c>
      <c r="T115" s="334" t="str">
        <f aca="false">IF((E115="b"),G115," ")</f>
        <v> </v>
      </c>
      <c r="U115" s="334" t="str">
        <f aca="false">IF((E115="i"),G115," ")</f>
        <v> </v>
      </c>
      <c r="V115" s="334" t="str">
        <f aca="false">IF((E115="o"),G115," ")</f>
        <v> </v>
      </c>
      <c r="W115" s="334" t="str">
        <f aca="false">IF((E115="f"),G115," ")</f>
        <v> </v>
      </c>
    </row>
    <row r="116" customFormat="false" ht="12.75" hidden="false" customHeight="false" outlineLevel="0" collapsed="false">
      <c r="A116" s="355"/>
      <c r="E116" s="365" t="str">
        <f aca="false">IF((G116&lt;&gt;0),"Enter Letter"," ")</f>
        <v> </v>
      </c>
      <c r="H116" s="338" t="str">
        <f aca="false">IF((G116&lt;&gt;0),IF((D116&gt;0)," ",G116)," ")</f>
        <v> </v>
      </c>
      <c r="I116" s="367" t="str">
        <f aca="false">IF((G116&lt;&gt;0),IF((D116&gt;0)," ",(I$1-A116))," ")</f>
        <v> </v>
      </c>
      <c r="J116" s="334" t="str">
        <f aca="false">IF((E116="s"),G116," ")</f>
        <v> </v>
      </c>
      <c r="K116" s="334" t="str">
        <f aca="false">IF((E116="d"),G116," ")</f>
        <v> </v>
      </c>
      <c r="L116" s="334" t="str">
        <f aca="false">IF((E116="e"),G116," ")</f>
        <v> </v>
      </c>
      <c r="M116" s="334" t="str">
        <f aca="false">IF((E116="p"),G116," ")</f>
        <v> </v>
      </c>
      <c r="N116" s="334" t="str">
        <f aca="false">IF((E116="r"),G116," ")</f>
        <v> </v>
      </c>
      <c r="O116" s="334" t="str">
        <f aca="false">IF((E116="g"),G116," ")</f>
        <v> </v>
      </c>
      <c r="P116" s="334" t="str">
        <f aca="false">IF((E116="m"),G116," ")</f>
        <v> </v>
      </c>
      <c r="Q116" s="334" t="str">
        <f aca="false">IF((E116="t"),G116," ")</f>
        <v> </v>
      </c>
      <c r="R116" s="334" t="str">
        <f aca="false">IF((E116="a"),G116," ")</f>
        <v> </v>
      </c>
      <c r="S116" s="334" t="str">
        <f aca="false">IF((E116="l"),G116," ")</f>
        <v> </v>
      </c>
      <c r="T116" s="334" t="str">
        <f aca="false">IF((E116="b"),G116," ")</f>
        <v> </v>
      </c>
      <c r="U116" s="334" t="str">
        <f aca="false">IF((E116="i"),G116," ")</f>
        <v> </v>
      </c>
      <c r="V116" s="334" t="str">
        <f aca="false">IF((E116="o"),G116," ")</f>
        <v> </v>
      </c>
      <c r="W116" s="334" t="str">
        <f aca="false">IF((E116="f"),G116," ")</f>
        <v> </v>
      </c>
    </row>
    <row r="117" customFormat="false" ht="12.75" hidden="false" customHeight="false" outlineLevel="0" collapsed="false">
      <c r="A117" s="355"/>
      <c r="E117" s="365" t="str">
        <f aca="false">IF((G117&lt;&gt;0),"Enter Letter"," ")</f>
        <v> </v>
      </c>
      <c r="H117" s="338" t="str">
        <f aca="false">IF((G117&lt;&gt;0),IF((D117&gt;0)," ",G117)," ")</f>
        <v> </v>
      </c>
      <c r="I117" s="367" t="str">
        <f aca="false">IF((G117&lt;&gt;0),IF((D117&gt;0)," ",(I$1-A117))," ")</f>
        <v> </v>
      </c>
      <c r="J117" s="334" t="str">
        <f aca="false">IF((E117="s"),G117," ")</f>
        <v> </v>
      </c>
      <c r="K117" s="334" t="str">
        <f aca="false">IF((E117="d"),G117," ")</f>
        <v> </v>
      </c>
      <c r="L117" s="334" t="str">
        <f aca="false">IF((E117="e"),G117," ")</f>
        <v> </v>
      </c>
      <c r="M117" s="334" t="str">
        <f aca="false">IF((E117="p"),G117," ")</f>
        <v> </v>
      </c>
      <c r="N117" s="334" t="str">
        <f aca="false">IF((E117="r"),G117," ")</f>
        <v> </v>
      </c>
      <c r="O117" s="334" t="str">
        <f aca="false">IF((E117="g"),G117," ")</f>
        <v> </v>
      </c>
      <c r="P117" s="334" t="str">
        <f aca="false">IF((E117="m"),G117," ")</f>
        <v> </v>
      </c>
      <c r="Q117" s="334" t="str">
        <f aca="false">IF((E117="t"),G117," ")</f>
        <v> </v>
      </c>
      <c r="R117" s="334" t="str">
        <f aca="false">IF((E117="a"),G117," ")</f>
        <v> </v>
      </c>
      <c r="S117" s="334" t="str">
        <f aca="false">IF((E117="l"),G117," ")</f>
        <v> </v>
      </c>
      <c r="T117" s="334" t="str">
        <f aca="false">IF((E117="b"),G117," ")</f>
        <v> </v>
      </c>
      <c r="U117" s="334" t="str">
        <f aca="false">IF((E117="i"),G117," ")</f>
        <v> </v>
      </c>
      <c r="V117" s="334" t="str">
        <f aca="false">IF((E117="o"),G117," ")</f>
        <v> </v>
      </c>
      <c r="W117" s="334" t="str">
        <f aca="false">IF((E117="f"),G117," ")</f>
        <v> </v>
      </c>
    </row>
    <row r="118" customFormat="false" ht="12.75" hidden="false" customHeight="false" outlineLevel="0" collapsed="false">
      <c r="A118" s="355"/>
      <c r="E118" s="365" t="str">
        <f aca="false">IF((G118&lt;&gt;0),"Enter Letter"," ")</f>
        <v> </v>
      </c>
      <c r="H118" s="338" t="str">
        <f aca="false">IF((G118&lt;&gt;0),IF((D118&gt;0)," ",G118)," ")</f>
        <v> </v>
      </c>
      <c r="I118" s="367" t="str">
        <f aca="false">IF((G118&lt;&gt;0),IF((D118&gt;0)," ",(I$1-A118))," ")</f>
        <v> </v>
      </c>
      <c r="J118" s="334" t="str">
        <f aca="false">IF((E118="s"),G118," ")</f>
        <v> </v>
      </c>
      <c r="K118" s="334" t="str">
        <f aca="false">IF((E118="d"),G118," ")</f>
        <v> </v>
      </c>
      <c r="L118" s="334" t="str">
        <f aca="false">IF((E118="e"),G118," ")</f>
        <v> </v>
      </c>
      <c r="M118" s="334" t="str">
        <f aca="false">IF((E118="p"),G118," ")</f>
        <v> </v>
      </c>
      <c r="N118" s="334" t="str">
        <f aca="false">IF((E118="r"),G118," ")</f>
        <v> </v>
      </c>
      <c r="O118" s="334" t="str">
        <f aca="false">IF((E118="g"),G118," ")</f>
        <v> </v>
      </c>
      <c r="P118" s="334" t="str">
        <f aca="false">IF((E118="m"),G118," ")</f>
        <v> </v>
      </c>
      <c r="Q118" s="334" t="str">
        <f aca="false">IF((E118="t"),G118," ")</f>
        <v> </v>
      </c>
      <c r="R118" s="334" t="str">
        <f aca="false">IF((E118="a"),G118," ")</f>
        <v> </v>
      </c>
      <c r="S118" s="334" t="str">
        <f aca="false">IF((E118="l"),G118," ")</f>
        <v> </v>
      </c>
      <c r="T118" s="334" t="str">
        <f aca="false">IF((E118="b"),G118," ")</f>
        <v> </v>
      </c>
      <c r="U118" s="334" t="str">
        <f aca="false">IF((E118="i"),G118," ")</f>
        <v> </v>
      </c>
      <c r="V118" s="334" t="str">
        <f aca="false">IF((E118="o"),G118," ")</f>
        <v> </v>
      </c>
      <c r="W118" s="334" t="str">
        <f aca="false">IF((E118="f"),G118," ")</f>
        <v> </v>
      </c>
    </row>
    <row r="119" customFormat="false" ht="12.75" hidden="false" customHeight="false" outlineLevel="0" collapsed="false">
      <c r="A119" s="355"/>
      <c r="E119" s="365" t="str">
        <f aca="false">IF((G119&lt;&gt;0),"Enter Letter"," ")</f>
        <v> </v>
      </c>
      <c r="H119" s="338" t="str">
        <f aca="false">IF((G119&lt;&gt;0),IF((D119&gt;0)," ",G119)," ")</f>
        <v> </v>
      </c>
      <c r="I119" s="367" t="str">
        <f aca="false">IF((G119&lt;&gt;0),IF((D119&gt;0)," ",(I$1-A119))," ")</f>
        <v> </v>
      </c>
      <c r="J119" s="334" t="str">
        <f aca="false">IF((E119="s"),G119," ")</f>
        <v> </v>
      </c>
      <c r="K119" s="334" t="str">
        <f aca="false">IF((E119="d"),G119," ")</f>
        <v> </v>
      </c>
      <c r="L119" s="334" t="str">
        <f aca="false">IF((E119="e"),G119," ")</f>
        <v> </v>
      </c>
      <c r="M119" s="334" t="str">
        <f aca="false">IF((E119="p"),G119," ")</f>
        <v> </v>
      </c>
      <c r="N119" s="334" t="str">
        <f aca="false">IF((E119="r"),G119," ")</f>
        <v> </v>
      </c>
      <c r="O119" s="334" t="str">
        <f aca="false">IF((E119="g"),G119," ")</f>
        <v> </v>
      </c>
      <c r="P119" s="334" t="str">
        <f aca="false">IF((E119="m"),G119," ")</f>
        <v> </v>
      </c>
      <c r="Q119" s="334" t="str">
        <f aca="false">IF((E119="t"),G119," ")</f>
        <v> </v>
      </c>
      <c r="R119" s="334" t="str">
        <f aca="false">IF((E119="a"),G119," ")</f>
        <v> </v>
      </c>
      <c r="S119" s="334" t="str">
        <f aca="false">IF((E119="l"),G119," ")</f>
        <v> </v>
      </c>
      <c r="T119" s="334" t="str">
        <f aca="false">IF((E119="b"),G119," ")</f>
        <v> </v>
      </c>
      <c r="U119" s="334" t="str">
        <f aca="false">IF((E119="i"),G119," ")</f>
        <v> </v>
      </c>
      <c r="V119" s="334" t="str">
        <f aca="false">IF((E119="o"),G119," ")</f>
        <v> </v>
      </c>
      <c r="W119" s="334" t="str">
        <f aca="false">IF((E119="f"),G119," ")</f>
        <v> </v>
      </c>
    </row>
    <row r="120" customFormat="false" ht="12.75" hidden="false" customHeight="false" outlineLevel="0" collapsed="false">
      <c r="A120" s="355"/>
      <c r="E120" s="365" t="str">
        <f aca="false">IF((G120&lt;&gt;0),"Enter Letter"," ")</f>
        <v> </v>
      </c>
      <c r="H120" s="338" t="str">
        <f aca="false">IF((G120&lt;&gt;0),IF((D120&gt;0)," ",G120)," ")</f>
        <v> </v>
      </c>
      <c r="I120" s="367" t="str">
        <f aca="false">IF((G120&lt;&gt;0),IF((D120&gt;0)," ",(I$1-A120))," ")</f>
        <v> </v>
      </c>
      <c r="J120" s="334" t="str">
        <f aca="false">IF((E120="s"),G120," ")</f>
        <v> </v>
      </c>
      <c r="K120" s="334" t="str">
        <f aca="false">IF((E120="d"),G120," ")</f>
        <v> </v>
      </c>
      <c r="L120" s="334" t="str">
        <f aca="false">IF((E120="e"),G120," ")</f>
        <v> </v>
      </c>
      <c r="M120" s="334" t="str">
        <f aca="false">IF((E120="p"),G120," ")</f>
        <v> </v>
      </c>
      <c r="N120" s="334" t="str">
        <f aca="false">IF((E120="r"),G120," ")</f>
        <v> </v>
      </c>
      <c r="O120" s="334" t="str">
        <f aca="false">IF((E120="g"),G120," ")</f>
        <v> </v>
      </c>
      <c r="P120" s="334" t="str">
        <f aca="false">IF((E120="m"),G120," ")</f>
        <v> </v>
      </c>
      <c r="Q120" s="334" t="str">
        <f aca="false">IF((E120="t"),G120," ")</f>
        <v> </v>
      </c>
      <c r="R120" s="334" t="str">
        <f aca="false">IF((E120="a"),G120," ")</f>
        <v> </v>
      </c>
      <c r="S120" s="334" t="str">
        <f aca="false">IF((E120="l"),G120," ")</f>
        <v> </v>
      </c>
      <c r="T120" s="334" t="str">
        <f aca="false">IF((E120="b"),G120," ")</f>
        <v> </v>
      </c>
      <c r="U120" s="334" t="str">
        <f aca="false">IF((E120="i"),G120," ")</f>
        <v> </v>
      </c>
      <c r="V120" s="334" t="str">
        <f aca="false">IF((E120="o"),G120," ")</f>
        <v> </v>
      </c>
      <c r="W120" s="334" t="str">
        <f aca="false">IF((E120="f"),G120," ")</f>
        <v> </v>
      </c>
    </row>
    <row r="121" customFormat="false" ht="12.75" hidden="false" customHeight="false" outlineLevel="0" collapsed="false">
      <c r="A121" s="355"/>
      <c r="E121" s="365" t="str">
        <f aca="false">IF((G121&lt;&gt;0),"Enter Letter"," ")</f>
        <v> </v>
      </c>
      <c r="H121" s="338" t="str">
        <f aca="false">IF((G121&lt;&gt;0),IF((D121&gt;0)," ",G121)," ")</f>
        <v> </v>
      </c>
      <c r="I121" s="367" t="str">
        <f aca="false">IF((G121&lt;&gt;0),IF((D121&gt;0)," ",(I$1-A121))," ")</f>
        <v> </v>
      </c>
      <c r="J121" s="334" t="str">
        <f aca="false">IF((E121="s"),G121," ")</f>
        <v> </v>
      </c>
      <c r="K121" s="334" t="str">
        <f aca="false">IF((E121="d"),G121," ")</f>
        <v> </v>
      </c>
      <c r="L121" s="334" t="str">
        <f aca="false">IF((E121="e"),G121," ")</f>
        <v> </v>
      </c>
      <c r="M121" s="334" t="str">
        <f aca="false">IF((E121="p"),G121," ")</f>
        <v> </v>
      </c>
      <c r="N121" s="334" t="str">
        <f aca="false">IF((E121="r"),G121," ")</f>
        <v> </v>
      </c>
      <c r="O121" s="334" t="str">
        <f aca="false">IF((E121="g"),G121," ")</f>
        <v> </v>
      </c>
      <c r="P121" s="334" t="str">
        <f aca="false">IF((E121="m"),G121," ")</f>
        <v> </v>
      </c>
      <c r="Q121" s="334" t="str">
        <f aca="false">IF((E121="t"),G121," ")</f>
        <v> </v>
      </c>
      <c r="R121" s="334" t="str">
        <f aca="false">IF((E121="a"),G121," ")</f>
        <v> </v>
      </c>
      <c r="S121" s="334" t="str">
        <f aca="false">IF((E121="l"),G121," ")</f>
        <v> </v>
      </c>
      <c r="T121" s="334" t="str">
        <f aca="false">IF((E121="b"),G121," ")</f>
        <v> </v>
      </c>
      <c r="U121" s="334" t="str">
        <f aca="false">IF((E121="i"),G121," ")</f>
        <v> </v>
      </c>
      <c r="V121" s="334" t="str">
        <f aca="false">IF((E121="o"),G121," ")</f>
        <v> </v>
      </c>
      <c r="W121" s="334" t="str">
        <f aca="false">IF((E121="f"),G121," ")</f>
        <v> </v>
      </c>
    </row>
    <row r="122" customFormat="false" ht="12.75" hidden="false" customHeight="false" outlineLevel="0" collapsed="false">
      <c r="A122" s="355"/>
      <c r="E122" s="365" t="str">
        <f aca="false">IF((G122&lt;&gt;0),"Enter Letter"," ")</f>
        <v> </v>
      </c>
      <c r="H122" s="338" t="str">
        <f aca="false">IF((G122&lt;&gt;0),IF((D122&gt;0)," ",G122)," ")</f>
        <v> </v>
      </c>
      <c r="I122" s="367" t="str">
        <f aca="false">IF((G122&lt;&gt;0),IF((D122&gt;0)," ",(I$1-A122))," ")</f>
        <v> </v>
      </c>
      <c r="J122" s="334" t="str">
        <f aca="false">IF((E122="s"),G122," ")</f>
        <v> </v>
      </c>
      <c r="K122" s="334" t="str">
        <f aca="false">IF((E122="d"),G122," ")</f>
        <v> </v>
      </c>
      <c r="L122" s="334" t="str">
        <f aca="false">IF((E122="e"),G122," ")</f>
        <v> </v>
      </c>
      <c r="M122" s="334" t="str">
        <f aca="false">IF((E122="p"),G122," ")</f>
        <v> </v>
      </c>
      <c r="N122" s="334" t="str">
        <f aca="false">IF((E122="r"),G122," ")</f>
        <v> </v>
      </c>
      <c r="O122" s="334" t="str">
        <f aca="false">IF((E122="g"),G122," ")</f>
        <v> </v>
      </c>
      <c r="P122" s="334" t="str">
        <f aca="false">IF((E122="m"),G122," ")</f>
        <v> </v>
      </c>
      <c r="Q122" s="334" t="str">
        <f aca="false">IF((E122="t"),G122," ")</f>
        <v> </v>
      </c>
      <c r="R122" s="334" t="str">
        <f aca="false">IF((E122="a"),G122," ")</f>
        <v> </v>
      </c>
      <c r="S122" s="334" t="str">
        <f aca="false">IF((E122="l"),G122," ")</f>
        <v> </v>
      </c>
      <c r="T122" s="334" t="str">
        <f aca="false">IF((E122="b"),G122," ")</f>
        <v> </v>
      </c>
      <c r="U122" s="334" t="str">
        <f aca="false">IF((E122="i"),G122," ")</f>
        <v> </v>
      </c>
      <c r="V122" s="334" t="str">
        <f aca="false">IF((E122="o"),G122," ")</f>
        <v> </v>
      </c>
      <c r="W122" s="334" t="str">
        <f aca="false">IF((E122="f"),G122," ")</f>
        <v> </v>
      </c>
    </row>
    <row r="123" customFormat="false" ht="12.75" hidden="false" customHeight="false" outlineLevel="0" collapsed="false">
      <c r="A123" s="355"/>
      <c r="E123" s="365" t="str">
        <f aca="false">IF((G123&lt;&gt;0),"Enter Letter"," ")</f>
        <v> </v>
      </c>
      <c r="H123" s="338" t="str">
        <f aca="false">IF((G123&lt;&gt;0),IF((D123&gt;0)," ",G123)," ")</f>
        <v> </v>
      </c>
      <c r="I123" s="367" t="str">
        <f aca="false">IF((G123&lt;&gt;0),IF((D123&gt;0)," ",(I$1-A123))," ")</f>
        <v> </v>
      </c>
      <c r="J123" s="334" t="str">
        <f aca="false">IF((E123="s"),G123," ")</f>
        <v> </v>
      </c>
      <c r="K123" s="334" t="str">
        <f aca="false">IF((E123="d"),G123," ")</f>
        <v> </v>
      </c>
      <c r="L123" s="334" t="str">
        <f aca="false">IF((E123="e"),G123," ")</f>
        <v> </v>
      </c>
      <c r="M123" s="334" t="str">
        <f aca="false">IF((E123="p"),G123," ")</f>
        <v> </v>
      </c>
      <c r="N123" s="334" t="str">
        <f aca="false">IF((E123="r"),G123," ")</f>
        <v> </v>
      </c>
      <c r="O123" s="334" t="str">
        <f aca="false">IF((E123="g"),G123," ")</f>
        <v> </v>
      </c>
      <c r="P123" s="334" t="str">
        <f aca="false">IF((E123="m"),G123," ")</f>
        <v> </v>
      </c>
      <c r="Q123" s="334" t="str">
        <f aca="false">IF((E123="t"),G123," ")</f>
        <v> </v>
      </c>
      <c r="R123" s="334" t="str">
        <f aca="false">IF((E123="a"),G123," ")</f>
        <v> </v>
      </c>
      <c r="S123" s="334" t="str">
        <f aca="false">IF((E123="l"),G123," ")</f>
        <v> </v>
      </c>
      <c r="T123" s="334" t="str">
        <f aca="false">IF((E123="b"),G123," ")</f>
        <v> </v>
      </c>
      <c r="U123" s="334" t="str">
        <f aca="false">IF((E123="i"),G123," ")</f>
        <v> </v>
      </c>
      <c r="V123" s="334" t="str">
        <f aca="false">IF((E123="o"),G123," ")</f>
        <v> </v>
      </c>
      <c r="W123" s="334" t="str">
        <f aca="false">IF((E123="f"),G123," ")</f>
        <v> </v>
      </c>
    </row>
    <row r="124" customFormat="false" ht="12.75" hidden="false" customHeight="false" outlineLevel="0" collapsed="false">
      <c r="A124" s="355"/>
      <c r="E124" s="365" t="str">
        <f aca="false">IF((G124&lt;&gt;0),"Enter Letter"," ")</f>
        <v> </v>
      </c>
      <c r="H124" s="338" t="str">
        <f aca="false">IF((G124&lt;&gt;0),IF((D124&gt;0)," ",G124)," ")</f>
        <v> </v>
      </c>
      <c r="I124" s="367" t="str">
        <f aca="false">IF((G124&lt;&gt;0),IF((D124&gt;0)," ",(I$1-A124))," ")</f>
        <v> </v>
      </c>
      <c r="J124" s="334" t="str">
        <f aca="false">IF((E124="s"),G124," ")</f>
        <v> </v>
      </c>
      <c r="K124" s="334" t="str">
        <f aca="false">IF((E124="d"),G124," ")</f>
        <v> </v>
      </c>
      <c r="L124" s="334" t="str">
        <f aca="false">IF((E124="e"),G124," ")</f>
        <v> </v>
      </c>
      <c r="M124" s="334" t="str">
        <f aca="false">IF((E124="p"),G124," ")</f>
        <v> </v>
      </c>
      <c r="N124" s="334" t="str">
        <f aca="false">IF((E124="r"),G124," ")</f>
        <v> </v>
      </c>
      <c r="O124" s="334" t="str">
        <f aca="false">IF((E124="g"),G124," ")</f>
        <v> </v>
      </c>
      <c r="P124" s="334" t="str">
        <f aca="false">IF((E124="m"),G124," ")</f>
        <v> </v>
      </c>
      <c r="Q124" s="334" t="str">
        <f aca="false">IF((E124="t"),G124," ")</f>
        <v> </v>
      </c>
      <c r="R124" s="334" t="str">
        <f aca="false">IF((E124="a"),G124," ")</f>
        <v> </v>
      </c>
      <c r="S124" s="334" t="str">
        <f aca="false">IF((E124="l"),G124," ")</f>
        <v> </v>
      </c>
      <c r="T124" s="334" t="str">
        <f aca="false">IF((E124="b"),G124," ")</f>
        <v> </v>
      </c>
      <c r="U124" s="334" t="str">
        <f aca="false">IF((E124="i"),G124," ")</f>
        <v> </v>
      </c>
      <c r="V124" s="334" t="str">
        <f aca="false">IF((E124="o"),G124," ")</f>
        <v> </v>
      </c>
      <c r="W124" s="334" t="str">
        <f aca="false">IF((E124="f"),G124," ")</f>
        <v> </v>
      </c>
    </row>
    <row r="125" customFormat="false" ht="12.75" hidden="false" customHeight="false" outlineLevel="0" collapsed="false">
      <c r="A125" s="355"/>
      <c r="E125" s="365" t="str">
        <f aca="false">IF((G125&lt;&gt;0),"Enter Letter"," ")</f>
        <v> </v>
      </c>
      <c r="H125" s="338" t="str">
        <f aca="false">IF((G125&lt;&gt;0),IF((D125&gt;0)," ",G125)," ")</f>
        <v> </v>
      </c>
      <c r="I125" s="367" t="str">
        <f aca="false">IF((G125&lt;&gt;0),IF((D125&gt;0)," ",(I$1-A125))," ")</f>
        <v> </v>
      </c>
      <c r="J125" s="334" t="str">
        <f aca="false">IF((E125="s"),G125," ")</f>
        <v> </v>
      </c>
      <c r="K125" s="334" t="str">
        <f aca="false">IF((E125="d"),G125," ")</f>
        <v> </v>
      </c>
      <c r="L125" s="334" t="str">
        <f aca="false">IF((E125="e"),G125," ")</f>
        <v> </v>
      </c>
      <c r="M125" s="334" t="str">
        <f aca="false">IF((E125="p"),G125," ")</f>
        <v> </v>
      </c>
      <c r="N125" s="334" t="str">
        <f aca="false">IF((E125="r"),G125," ")</f>
        <v> </v>
      </c>
      <c r="O125" s="334" t="str">
        <f aca="false">IF((E125="g"),G125," ")</f>
        <v> </v>
      </c>
      <c r="P125" s="334" t="str">
        <f aca="false">IF((E125="m"),G125," ")</f>
        <v> </v>
      </c>
      <c r="Q125" s="334" t="str">
        <f aca="false">IF((E125="t"),G125," ")</f>
        <v> </v>
      </c>
      <c r="R125" s="334" t="str">
        <f aca="false">IF((E125="a"),G125," ")</f>
        <v> </v>
      </c>
      <c r="S125" s="334" t="str">
        <f aca="false">IF((E125="l"),G125," ")</f>
        <v> </v>
      </c>
      <c r="T125" s="334" t="str">
        <f aca="false">IF((E125="b"),G125," ")</f>
        <v> </v>
      </c>
      <c r="U125" s="334" t="str">
        <f aca="false">IF((E125="i"),G125," ")</f>
        <v> </v>
      </c>
      <c r="V125" s="334" t="str">
        <f aca="false">IF((E125="o"),G125," ")</f>
        <v> </v>
      </c>
      <c r="W125" s="334" t="str">
        <f aca="false">IF((E125="f"),G125," ")</f>
        <v> </v>
      </c>
    </row>
    <row r="126" customFormat="false" ht="12.75" hidden="false" customHeight="false" outlineLevel="0" collapsed="false">
      <c r="A126" s="355"/>
      <c r="E126" s="365" t="str">
        <f aca="false">IF((G126&lt;&gt;0),"Enter Letter"," ")</f>
        <v> </v>
      </c>
      <c r="H126" s="338" t="str">
        <f aca="false">IF((G126&lt;&gt;0),IF((D126&gt;0)," ",G126)," ")</f>
        <v> </v>
      </c>
      <c r="I126" s="367" t="str">
        <f aca="false">IF((G126&lt;&gt;0),IF((D126&gt;0)," ",(I$1-A126))," ")</f>
        <v> </v>
      </c>
      <c r="J126" s="334" t="str">
        <f aca="false">IF((E126="s"),G126," ")</f>
        <v> </v>
      </c>
      <c r="K126" s="334" t="str">
        <f aca="false">IF((E126="d"),G126," ")</f>
        <v> </v>
      </c>
      <c r="L126" s="334" t="str">
        <f aca="false">IF((E126="e"),G126," ")</f>
        <v> </v>
      </c>
      <c r="M126" s="334" t="str">
        <f aca="false">IF((E126="p"),G126," ")</f>
        <v> </v>
      </c>
      <c r="N126" s="334" t="str">
        <f aca="false">IF((E126="r"),G126," ")</f>
        <v> </v>
      </c>
      <c r="O126" s="334" t="str">
        <f aca="false">IF((E126="g"),G126," ")</f>
        <v> </v>
      </c>
      <c r="P126" s="334" t="str">
        <f aca="false">IF((E126="m"),G126," ")</f>
        <v> </v>
      </c>
      <c r="Q126" s="334" t="str">
        <f aca="false">IF((E126="t"),G126," ")</f>
        <v> </v>
      </c>
      <c r="R126" s="334" t="str">
        <f aca="false">IF((E126="a"),G126," ")</f>
        <v> </v>
      </c>
      <c r="S126" s="334" t="str">
        <f aca="false">IF((E126="l"),G126," ")</f>
        <v> </v>
      </c>
      <c r="T126" s="334" t="str">
        <f aca="false">IF((E126="b"),G126," ")</f>
        <v> </v>
      </c>
      <c r="U126" s="334" t="str">
        <f aca="false">IF((E126="i"),G126," ")</f>
        <v> </v>
      </c>
      <c r="V126" s="334" t="str">
        <f aca="false">IF((E126="o"),G126," ")</f>
        <v> </v>
      </c>
      <c r="W126" s="334" t="str">
        <f aca="false">IF((E126="f"),G126," ")</f>
        <v> </v>
      </c>
    </row>
    <row r="127" customFormat="false" ht="12.75" hidden="false" customHeight="false" outlineLevel="0" collapsed="false">
      <c r="A127" s="355"/>
      <c r="E127" s="365" t="str">
        <f aca="false">IF((G127&lt;&gt;0),"Enter Letter"," ")</f>
        <v> </v>
      </c>
      <c r="H127" s="338" t="str">
        <f aca="false">IF((G127&lt;&gt;0),IF((D127&gt;0)," ",G127)," ")</f>
        <v> </v>
      </c>
      <c r="I127" s="367" t="str">
        <f aca="false">IF((G127&lt;&gt;0),IF((D127&gt;0)," ",(I$1-A127))," ")</f>
        <v> </v>
      </c>
      <c r="J127" s="334" t="str">
        <f aca="false">IF((E127="s"),G127," ")</f>
        <v> </v>
      </c>
      <c r="K127" s="334" t="str">
        <f aca="false">IF((E127="d"),G127," ")</f>
        <v> </v>
      </c>
      <c r="L127" s="334" t="str">
        <f aca="false">IF((E127="e"),G127," ")</f>
        <v> </v>
      </c>
      <c r="M127" s="334" t="str">
        <f aca="false">IF((E127="p"),G127," ")</f>
        <v> </v>
      </c>
      <c r="N127" s="334" t="str">
        <f aca="false">IF((E127="r"),G127," ")</f>
        <v> </v>
      </c>
      <c r="O127" s="334" t="str">
        <f aca="false">IF((E127="g"),G127," ")</f>
        <v> </v>
      </c>
      <c r="P127" s="334" t="str">
        <f aca="false">IF((E127="m"),G127," ")</f>
        <v> </v>
      </c>
      <c r="Q127" s="334" t="str">
        <f aca="false">IF((E127="t"),G127," ")</f>
        <v> </v>
      </c>
      <c r="R127" s="334" t="str">
        <f aca="false">IF((E127="a"),G127," ")</f>
        <v> </v>
      </c>
      <c r="S127" s="334" t="str">
        <f aca="false">IF((E127="l"),G127," ")</f>
        <v> </v>
      </c>
      <c r="T127" s="334" t="str">
        <f aca="false">IF((E127="b"),G127," ")</f>
        <v> </v>
      </c>
      <c r="U127" s="334" t="str">
        <f aca="false">IF((E127="i"),G127," ")</f>
        <v> </v>
      </c>
      <c r="V127" s="334" t="str">
        <f aca="false">IF((E127="o"),G127," ")</f>
        <v> </v>
      </c>
      <c r="W127" s="334" t="str">
        <f aca="false">IF((E127="f"),G127," ")</f>
        <v> </v>
      </c>
    </row>
    <row r="128" customFormat="false" ht="12.75" hidden="false" customHeight="false" outlineLevel="0" collapsed="false">
      <c r="A128" s="355"/>
      <c r="E128" s="365" t="str">
        <f aca="false">IF((G128&lt;&gt;0),"Enter Letter"," ")</f>
        <v> </v>
      </c>
      <c r="H128" s="338" t="str">
        <f aca="false">IF((G128&lt;&gt;0),IF((D128&gt;0)," ",G128)," ")</f>
        <v> </v>
      </c>
      <c r="I128" s="367" t="str">
        <f aca="false">IF((G128&lt;&gt;0),IF((D128&gt;0)," ",(I$1-A128))," ")</f>
        <v> </v>
      </c>
      <c r="J128" s="334" t="str">
        <f aca="false">IF((E128="s"),G128," ")</f>
        <v> </v>
      </c>
      <c r="K128" s="334" t="str">
        <f aca="false">IF((E128="d"),G128," ")</f>
        <v> </v>
      </c>
      <c r="L128" s="334" t="str">
        <f aca="false">IF((E128="e"),G128," ")</f>
        <v> </v>
      </c>
      <c r="M128" s="334" t="str">
        <f aca="false">IF((E128="p"),G128," ")</f>
        <v> </v>
      </c>
      <c r="N128" s="334" t="str">
        <f aca="false">IF((E128="r"),G128," ")</f>
        <v> </v>
      </c>
      <c r="O128" s="334" t="str">
        <f aca="false">IF((E128="g"),G128," ")</f>
        <v> </v>
      </c>
      <c r="P128" s="334" t="str">
        <f aca="false">IF((E128="m"),G128," ")</f>
        <v> </v>
      </c>
      <c r="Q128" s="334" t="str">
        <f aca="false">IF((E128="t"),G128," ")</f>
        <v> </v>
      </c>
      <c r="R128" s="334" t="str">
        <f aca="false">IF((E128="a"),G128," ")</f>
        <v> </v>
      </c>
      <c r="S128" s="334" t="str">
        <f aca="false">IF((E128="l"),G128," ")</f>
        <v> </v>
      </c>
      <c r="T128" s="334" t="str">
        <f aca="false">IF((E128="b"),G128," ")</f>
        <v> </v>
      </c>
      <c r="U128" s="334" t="str">
        <f aca="false">IF((E128="i"),G128," ")</f>
        <v> </v>
      </c>
      <c r="V128" s="334" t="str">
        <f aca="false">IF((E128="o"),G128," ")</f>
        <v> </v>
      </c>
      <c r="W128" s="334" t="str">
        <f aca="false">IF((E128="f"),G128," ")</f>
        <v> </v>
      </c>
    </row>
    <row r="129" customFormat="false" ht="12.75" hidden="false" customHeight="false" outlineLevel="0" collapsed="false">
      <c r="A129" s="355"/>
      <c r="E129" s="365" t="str">
        <f aca="false">IF((G129&lt;&gt;0),"Enter Letter"," ")</f>
        <v> </v>
      </c>
      <c r="H129" s="338" t="str">
        <f aca="false">IF((G129&lt;&gt;0),IF((D129&gt;0)," ",G129)," ")</f>
        <v> </v>
      </c>
      <c r="I129" s="367" t="str">
        <f aca="false">IF((G129&lt;&gt;0),IF((D129&gt;0)," ",(I$1-A129))," ")</f>
        <v> </v>
      </c>
      <c r="J129" s="334" t="str">
        <f aca="false">IF((E129="s"),G129," ")</f>
        <v> </v>
      </c>
      <c r="K129" s="334" t="str">
        <f aca="false">IF((E129="d"),G129," ")</f>
        <v> </v>
      </c>
      <c r="L129" s="334" t="str">
        <f aca="false">IF((E129="e"),G129," ")</f>
        <v> </v>
      </c>
      <c r="M129" s="334" t="str">
        <f aca="false">IF((E129="p"),G129," ")</f>
        <v> </v>
      </c>
      <c r="N129" s="334" t="str">
        <f aca="false">IF((E129="r"),G129," ")</f>
        <v> </v>
      </c>
      <c r="O129" s="334" t="str">
        <f aca="false">IF((E129="g"),G129," ")</f>
        <v> </v>
      </c>
      <c r="P129" s="334" t="str">
        <f aca="false">IF((E129="m"),G129," ")</f>
        <v> </v>
      </c>
      <c r="Q129" s="334" t="str">
        <f aca="false">IF((E129="t"),G129," ")</f>
        <v> </v>
      </c>
      <c r="R129" s="334" t="str">
        <f aca="false">IF((E129="a"),G129," ")</f>
        <v> </v>
      </c>
      <c r="S129" s="334" t="str">
        <f aca="false">IF((E129="l"),G129," ")</f>
        <v> </v>
      </c>
      <c r="T129" s="334" t="str">
        <f aca="false">IF((E129="b"),G129," ")</f>
        <v> </v>
      </c>
      <c r="U129" s="334" t="str">
        <f aca="false">IF((E129="i"),G129," ")</f>
        <v> </v>
      </c>
      <c r="V129" s="334" t="str">
        <f aca="false">IF((E129="o"),G129," ")</f>
        <v> </v>
      </c>
      <c r="W129" s="334" t="str">
        <f aca="false">IF((E129="f"),G129," ")</f>
        <v> </v>
      </c>
    </row>
    <row r="130" customFormat="false" ht="12.75" hidden="false" customHeight="false" outlineLevel="0" collapsed="false">
      <c r="A130" s="355"/>
      <c r="E130" s="365" t="str">
        <f aca="false">IF((G130&lt;&gt;0),"Enter Letter"," ")</f>
        <v> </v>
      </c>
      <c r="H130" s="338" t="str">
        <f aca="false">IF((G130&lt;&gt;0),IF((D130&gt;0)," ",G130)," ")</f>
        <v> </v>
      </c>
      <c r="I130" s="367" t="str">
        <f aca="false">IF((G130&lt;&gt;0),IF((D130&gt;0)," ",(I$1-A130))," ")</f>
        <v> </v>
      </c>
      <c r="J130" s="334" t="str">
        <f aca="false">IF((E130="s"),G130," ")</f>
        <v> </v>
      </c>
      <c r="K130" s="334" t="str">
        <f aca="false">IF((E130="d"),G130," ")</f>
        <v> </v>
      </c>
      <c r="L130" s="334" t="str">
        <f aca="false">IF((E130="e"),G130," ")</f>
        <v> </v>
      </c>
      <c r="M130" s="334" t="str">
        <f aca="false">IF((E130="p"),G130," ")</f>
        <v> </v>
      </c>
      <c r="N130" s="334" t="str">
        <f aca="false">IF((E130="r"),G130," ")</f>
        <v> </v>
      </c>
      <c r="O130" s="334" t="str">
        <f aca="false">IF((E130="g"),G130," ")</f>
        <v> </v>
      </c>
      <c r="P130" s="334" t="str">
        <f aca="false">IF((E130="m"),G130," ")</f>
        <v> </v>
      </c>
      <c r="Q130" s="334" t="str">
        <f aca="false">IF((E130="t"),G130," ")</f>
        <v> </v>
      </c>
      <c r="R130" s="334" t="str">
        <f aca="false">IF((E130="a"),G130," ")</f>
        <v> </v>
      </c>
      <c r="S130" s="334" t="str">
        <f aca="false">IF((E130="l"),G130," ")</f>
        <v> </v>
      </c>
      <c r="T130" s="334" t="str">
        <f aca="false">IF((E130="b"),G130," ")</f>
        <v> </v>
      </c>
      <c r="U130" s="334" t="str">
        <f aca="false">IF((E130="i"),G130," ")</f>
        <v> </v>
      </c>
      <c r="V130" s="334" t="str">
        <f aca="false">IF((E130="o"),G130," ")</f>
        <v> </v>
      </c>
      <c r="W130" s="334" t="str">
        <f aca="false">IF((E130="f"),G130," ")</f>
        <v> </v>
      </c>
    </row>
    <row r="131" customFormat="false" ht="12.75" hidden="false" customHeight="false" outlineLevel="0" collapsed="false">
      <c r="A131" s="355"/>
      <c r="E131" s="365" t="str">
        <f aca="false">IF((G131&lt;&gt;0),"Enter Letter"," ")</f>
        <v> </v>
      </c>
      <c r="H131" s="338" t="str">
        <f aca="false">IF((G131&lt;&gt;0),IF((D131&gt;0)," ",G131)," ")</f>
        <v> </v>
      </c>
      <c r="I131" s="367" t="str">
        <f aca="false">IF((G131&lt;&gt;0),IF((D131&gt;0)," ",(I$1-A131))," ")</f>
        <v> </v>
      </c>
      <c r="J131" s="334" t="str">
        <f aca="false">IF((E131="s"),G131," ")</f>
        <v> </v>
      </c>
      <c r="K131" s="334" t="str">
        <f aca="false">IF((E131="d"),G131," ")</f>
        <v> </v>
      </c>
      <c r="L131" s="334" t="str">
        <f aca="false">IF((E131="e"),G131," ")</f>
        <v> </v>
      </c>
      <c r="M131" s="334" t="str">
        <f aca="false">IF((E131="p"),G131," ")</f>
        <v> </v>
      </c>
      <c r="N131" s="334" t="str">
        <f aca="false">IF((E131="r"),G131," ")</f>
        <v> </v>
      </c>
      <c r="O131" s="334" t="str">
        <f aca="false">IF((E131="g"),G131," ")</f>
        <v> </v>
      </c>
      <c r="P131" s="334" t="str">
        <f aca="false">IF((E131="m"),G131," ")</f>
        <v> </v>
      </c>
      <c r="Q131" s="334" t="str">
        <f aca="false">IF((E131="t"),G131," ")</f>
        <v> </v>
      </c>
      <c r="R131" s="334" t="str">
        <f aca="false">IF((E131="a"),G131," ")</f>
        <v> </v>
      </c>
      <c r="S131" s="334" t="str">
        <f aca="false">IF((E131="l"),G131," ")</f>
        <v> </v>
      </c>
      <c r="T131" s="334" t="str">
        <f aca="false">IF((E131="b"),G131," ")</f>
        <v> </v>
      </c>
      <c r="U131" s="334" t="str">
        <f aca="false">IF((E131="i"),G131," ")</f>
        <v> </v>
      </c>
      <c r="V131" s="334" t="str">
        <f aca="false">IF((E131="o"),G131," ")</f>
        <v> </v>
      </c>
      <c r="W131" s="334" t="str">
        <f aca="false">IF((E131="f"),G131," ")</f>
        <v> </v>
      </c>
    </row>
    <row r="132" customFormat="false" ht="12.75" hidden="false" customHeight="false" outlineLevel="0" collapsed="false">
      <c r="A132" s="355"/>
      <c r="E132" s="365" t="str">
        <f aca="false">IF((G132&lt;&gt;0),"Enter Letter"," ")</f>
        <v> </v>
      </c>
      <c r="H132" s="338" t="str">
        <f aca="false">IF((G132&lt;&gt;0),IF((D132&gt;0)," ",G132)," ")</f>
        <v> </v>
      </c>
      <c r="I132" s="367" t="str">
        <f aca="false">IF((G132&lt;&gt;0),IF((D132&gt;0)," ",(I$1-A132))," ")</f>
        <v> </v>
      </c>
      <c r="J132" s="334" t="str">
        <f aca="false">IF((E132="s"),G132," ")</f>
        <v> </v>
      </c>
      <c r="K132" s="334" t="str">
        <f aca="false">IF((E132="d"),G132," ")</f>
        <v> </v>
      </c>
      <c r="L132" s="334" t="str">
        <f aca="false">IF((E132="e"),G132," ")</f>
        <v> </v>
      </c>
      <c r="M132" s="334" t="str">
        <f aca="false">IF((E132="p"),G132," ")</f>
        <v> </v>
      </c>
      <c r="N132" s="334" t="str">
        <f aca="false">IF((E132="r"),G132," ")</f>
        <v> </v>
      </c>
      <c r="O132" s="334" t="str">
        <f aca="false">IF((E132="g"),G132," ")</f>
        <v> </v>
      </c>
      <c r="P132" s="334" t="str">
        <f aca="false">IF((E132="m"),G132," ")</f>
        <v> </v>
      </c>
      <c r="Q132" s="334" t="str">
        <f aca="false">IF((E132="t"),G132," ")</f>
        <v> </v>
      </c>
      <c r="R132" s="334" t="str">
        <f aca="false">IF((E132="a"),G132," ")</f>
        <v> </v>
      </c>
      <c r="S132" s="334" t="str">
        <f aca="false">IF((E132="l"),G132," ")</f>
        <v> </v>
      </c>
      <c r="T132" s="334" t="str">
        <f aca="false">IF((E132="b"),G132," ")</f>
        <v> </v>
      </c>
      <c r="U132" s="334" t="str">
        <f aca="false">IF((E132="i"),G132," ")</f>
        <v> </v>
      </c>
      <c r="V132" s="334" t="str">
        <f aca="false">IF((E132="o"),G132," ")</f>
        <v> </v>
      </c>
      <c r="W132" s="334" t="str">
        <f aca="false">IF((E132="f"),G132," ")</f>
        <v> </v>
      </c>
    </row>
    <row r="133" customFormat="false" ht="12.75" hidden="false" customHeight="false" outlineLevel="0" collapsed="false">
      <c r="A133" s="355"/>
      <c r="E133" s="365" t="str">
        <f aca="false">IF((G133&lt;&gt;0),"Enter Letter"," ")</f>
        <v> </v>
      </c>
      <c r="H133" s="338" t="str">
        <f aca="false">IF((G133&lt;&gt;0),IF((D133&gt;0)," ",G133)," ")</f>
        <v> </v>
      </c>
      <c r="I133" s="367" t="str">
        <f aca="false">IF((G133&lt;&gt;0),IF((D133&gt;0)," ",(I$1-A133))," ")</f>
        <v> </v>
      </c>
      <c r="J133" s="334" t="str">
        <f aca="false">IF((E133="s"),G133," ")</f>
        <v> </v>
      </c>
      <c r="K133" s="334" t="str">
        <f aca="false">IF((E133="d"),G133," ")</f>
        <v> </v>
      </c>
      <c r="L133" s="334" t="str">
        <f aca="false">IF((E133="e"),G133," ")</f>
        <v> </v>
      </c>
      <c r="M133" s="334" t="str">
        <f aca="false">IF((E133="p"),G133," ")</f>
        <v> </v>
      </c>
      <c r="N133" s="334" t="str">
        <f aca="false">IF((E133="r"),G133," ")</f>
        <v> </v>
      </c>
      <c r="O133" s="334" t="str">
        <f aca="false">IF((E133="g"),G133," ")</f>
        <v> </v>
      </c>
      <c r="P133" s="334" t="str">
        <f aca="false">IF((E133="m"),G133," ")</f>
        <v> </v>
      </c>
      <c r="Q133" s="334" t="str">
        <f aca="false">IF((E133="t"),G133," ")</f>
        <v> </v>
      </c>
      <c r="R133" s="334" t="str">
        <f aca="false">IF((E133="a"),G133," ")</f>
        <v> </v>
      </c>
      <c r="S133" s="334" t="str">
        <f aca="false">IF((E133="l"),G133," ")</f>
        <v> </v>
      </c>
      <c r="T133" s="334" t="str">
        <f aca="false">IF((E133="b"),G133," ")</f>
        <v> </v>
      </c>
      <c r="U133" s="334" t="str">
        <f aca="false">IF((E133="i"),G133," ")</f>
        <v> </v>
      </c>
      <c r="V133" s="334" t="str">
        <f aca="false">IF((E133="o"),G133," ")</f>
        <v> </v>
      </c>
      <c r="W133" s="334" t="str">
        <f aca="false">IF((E133="f"),G133," ")</f>
        <v> </v>
      </c>
    </row>
    <row r="134" customFormat="false" ht="12.75" hidden="false" customHeight="false" outlineLevel="0" collapsed="false">
      <c r="A134" s="355"/>
      <c r="E134" s="365" t="str">
        <f aca="false">IF((G134&lt;&gt;0),"Enter Letter"," ")</f>
        <v> </v>
      </c>
      <c r="H134" s="338" t="str">
        <f aca="false">IF((G134&lt;&gt;0),IF((D134&gt;0)," ",G134)," ")</f>
        <v> </v>
      </c>
      <c r="I134" s="367" t="str">
        <f aca="false">IF((G134&lt;&gt;0),IF((D134&gt;0)," ",(I$1-A134))," ")</f>
        <v> </v>
      </c>
      <c r="J134" s="334" t="str">
        <f aca="false">IF((E134="s"),G134," ")</f>
        <v> </v>
      </c>
      <c r="K134" s="334" t="str">
        <f aca="false">IF((E134="d"),G134," ")</f>
        <v> </v>
      </c>
      <c r="L134" s="334" t="str">
        <f aca="false">IF((E134="e"),G134," ")</f>
        <v> </v>
      </c>
      <c r="M134" s="334" t="str">
        <f aca="false">IF((E134="p"),G134," ")</f>
        <v> </v>
      </c>
      <c r="N134" s="334" t="str">
        <f aca="false">IF((E134="r"),G134," ")</f>
        <v> </v>
      </c>
      <c r="O134" s="334" t="str">
        <f aca="false">IF((E134="g"),G134," ")</f>
        <v> </v>
      </c>
      <c r="P134" s="334" t="str">
        <f aca="false">IF((E134="m"),G134," ")</f>
        <v> </v>
      </c>
      <c r="Q134" s="334" t="str">
        <f aca="false">IF((E134="t"),G134," ")</f>
        <v> </v>
      </c>
      <c r="R134" s="334" t="str">
        <f aca="false">IF((E134="a"),G134," ")</f>
        <v> </v>
      </c>
      <c r="S134" s="334" t="str">
        <f aca="false">IF((E134="l"),G134," ")</f>
        <v> </v>
      </c>
      <c r="T134" s="334" t="str">
        <f aca="false">IF((E134="b"),G134," ")</f>
        <v> </v>
      </c>
      <c r="U134" s="334" t="str">
        <f aca="false">IF((E134="i"),G134," ")</f>
        <v> </v>
      </c>
      <c r="V134" s="334" t="str">
        <f aca="false">IF((E134="o"),G134," ")</f>
        <v> </v>
      </c>
      <c r="W134" s="334" t="str">
        <f aca="false">IF((E134="f"),G134," ")</f>
        <v> </v>
      </c>
    </row>
    <row r="135" customFormat="false" ht="12.75" hidden="false" customHeight="false" outlineLevel="0" collapsed="false">
      <c r="A135" s="355"/>
      <c r="E135" s="365" t="str">
        <f aca="false">IF((G135&lt;&gt;0),"Enter Letter"," ")</f>
        <v> </v>
      </c>
      <c r="H135" s="338" t="str">
        <f aca="false">IF((G135&lt;&gt;0),IF((D135&gt;0)," ",G135)," ")</f>
        <v> </v>
      </c>
      <c r="I135" s="367" t="str">
        <f aca="false">IF((G135&lt;&gt;0),IF((D135&gt;0)," ",(I$1-A135))," ")</f>
        <v> </v>
      </c>
      <c r="J135" s="334" t="str">
        <f aca="false">IF((E135="s"),G135," ")</f>
        <v> </v>
      </c>
      <c r="K135" s="334" t="str">
        <f aca="false">IF((E135="d"),G135," ")</f>
        <v> </v>
      </c>
      <c r="L135" s="334" t="str">
        <f aca="false">IF((E135="e"),G135," ")</f>
        <v> </v>
      </c>
      <c r="M135" s="334" t="str">
        <f aca="false">IF((E135="p"),G135," ")</f>
        <v> </v>
      </c>
      <c r="N135" s="334" t="str">
        <f aca="false">IF((E135="r"),G135," ")</f>
        <v> </v>
      </c>
      <c r="O135" s="334" t="str">
        <f aca="false">IF((E135="g"),G135," ")</f>
        <v> </v>
      </c>
      <c r="P135" s="334" t="str">
        <f aca="false">IF((E135="m"),G135," ")</f>
        <v> </v>
      </c>
      <c r="Q135" s="334" t="str">
        <f aca="false">IF((E135="t"),G135," ")</f>
        <v> </v>
      </c>
      <c r="R135" s="334" t="str">
        <f aca="false">IF((E135="a"),G135," ")</f>
        <v> </v>
      </c>
      <c r="S135" s="334" t="str">
        <f aca="false">IF((E135="l"),G135," ")</f>
        <v> </v>
      </c>
      <c r="T135" s="334" t="str">
        <f aca="false">IF((E135="b"),G135," ")</f>
        <v> </v>
      </c>
      <c r="U135" s="334" t="str">
        <f aca="false">IF((E135="i"),G135," ")</f>
        <v> </v>
      </c>
      <c r="V135" s="334" t="str">
        <f aca="false">IF((E135="o"),G135," ")</f>
        <v> </v>
      </c>
      <c r="W135" s="334" t="str">
        <f aca="false">IF((E135="f"),G135," ")</f>
        <v> </v>
      </c>
    </row>
    <row r="136" customFormat="false" ht="12.75" hidden="false" customHeight="false" outlineLevel="0" collapsed="false">
      <c r="A136" s="355"/>
      <c r="E136" s="365" t="str">
        <f aca="false">IF((G136&lt;&gt;0),"Enter Letter"," ")</f>
        <v> </v>
      </c>
      <c r="H136" s="338" t="str">
        <f aca="false">IF((G136&lt;&gt;0),IF((D136&gt;0)," ",G136)," ")</f>
        <v> </v>
      </c>
      <c r="I136" s="367" t="str">
        <f aca="false">IF((G136&lt;&gt;0),IF((D136&gt;0)," ",(I$1-A136))," ")</f>
        <v> </v>
      </c>
      <c r="J136" s="334" t="str">
        <f aca="false">IF((E136="s"),G136," ")</f>
        <v> </v>
      </c>
      <c r="K136" s="334" t="str">
        <f aca="false">IF((E136="d"),G136," ")</f>
        <v> </v>
      </c>
      <c r="L136" s="334" t="str">
        <f aca="false">IF((E136="e"),G136," ")</f>
        <v> </v>
      </c>
      <c r="M136" s="334" t="str">
        <f aca="false">IF((E136="p"),G136," ")</f>
        <v> </v>
      </c>
      <c r="N136" s="334" t="str">
        <f aca="false">IF((E136="r"),G136," ")</f>
        <v> </v>
      </c>
      <c r="O136" s="334" t="str">
        <f aca="false">IF((E136="g"),G136," ")</f>
        <v> </v>
      </c>
      <c r="P136" s="334" t="str">
        <f aca="false">IF((E136="m"),G136," ")</f>
        <v> </v>
      </c>
      <c r="Q136" s="334" t="str">
        <f aca="false">IF((E136="t"),G136," ")</f>
        <v> </v>
      </c>
      <c r="R136" s="334" t="str">
        <f aca="false">IF((E136="a"),G136," ")</f>
        <v> </v>
      </c>
      <c r="S136" s="334" t="str">
        <f aca="false">IF((E136="l"),G136," ")</f>
        <v> </v>
      </c>
      <c r="T136" s="334" t="str">
        <f aca="false">IF((E136="b"),G136," ")</f>
        <v> </v>
      </c>
      <c r="U136" s="334" t="str">
        <f aca="false">IF((E136="i"),G136," ")</f>
        <v> </v>
      </c>
      <c r="V136" s="334" t="str">
        <f aca="false">IF((E136="o"),G136," ")</f>
        <v> </v>
      </c>
      <c r="W136" s="334" t="str">
        <f aca="false">IF((E136="f"),G136," ")</f>
        <v> </v>
      </c>
    </row>
    <row r="137" customFormat="false" ht="12.75" hidden="false" customHeight="false" outlineLevel="0" collapsed="false">
      <c r="A137" s="355"/>
      <c r="E137" s="365" t="str">
        <f aca="false">IF((G137&lt;&gt;0),"Enter Letter"," ")</f>
        <v> </v>
      </c>
      <c r="H137" s="338" t="str">
        <f aca="false">IF((G137&lt;&gt;0),IF((D137&gt;0)," ",G137)," ")</f>
        <v> </v>
      </c>
      <c r="I137" s="367" t="str">
        <f aca="false">IF((G137&lt;&gt;0),IF((D137&gt;0)," ",(I$1-A137))," ")</f>
        <v> </v>
      </c>
      <c r="J137" s="334" t="str">
        <f aca="false">IF((E137="s"),G137," ")</f>
        <v> </v>
      </c>
      <c r="K137" s="334" t="str">
        <f aca="false">IF((E137="d"),G137," ")</f>
        <v> </v>
      </c>
      <c r="L137" s="334" t="str">
        <f aca="false">IF((E137="e"),G137," ")</f>
        <v> </v>
      </c>
      <c r="M137" s="334" t="str">
        <f aca="false">IF((E137="p"),G137," ")</f>
        <v> </v>
      </c>
      <c r="N137" s="334" t="str">
        <f aca="false">IF((E137="r"),G137," ")</f>
        <v> </v>
      </c>
      <c r="O137" s="334" t="str">
        <f aca="false">IF((E137="g"),G137," ")</f>
        <v> </v>
      </c>
      <c r="P137" s="334" t="str">
        <f aca="false">IF((E137="m"),G137," ")</f>
        <v> </v>
      </c>
      <c r="Q137" s="334" t="str">
        <f aca="false">IF((E137="t"),G137," ")</f>
        <v> </v>
      </c>
      <c r="R137" s="334" t="str">
        <f aca="false">IF((E137="a"),G137," ")</f>
        <v> </v>
      </c>
      <c r="S137" s="334" t="str">
        <f aca="false">IF((E137="l"),G137," ")</f>
        <v> </v>
      </c>
      <c r="T137" s="334" t="str">
        <f aca="false">IF((E137="b"),G137," ")</f>
        <v> </v>
      </c>
      <c r="U137" s="334" t="str">
        <f aca="false">IF((E137="i"),G137," ")</f>
        <v> </v>
      </c>
      <c r="V137" s="334" t="str">
        <f aca="false">IF((E137="o"),G137," ")</f>
        <v> </v>
      </c>
      <c r="W137" s="334" t="str">
        <f aca="false">IF((E137="f"),G137," ")</f>
        <v> </v>
      </c>
    </row>
    <row r="138" customFormat="false" ht="12.75" hidden="false" customHeight="false" outlineLevel="0" collapsed="false">
      <c r="A138" s="355"/>
      <c r="E138" s="365" t="str">
        <f aca="false">IF((G138&lt;&gt;0),"Enter Letter"," ")</f>
        <v> </v>
      </c>
      <c r="H138" s="338" t="str">
        <f aca="false">IF((G138&lt;&gt;0),IF((D138&gt;0)," ",G138)," ")</f>
        <v> </v>
      </c>
      <c r="I138" s="367" t="str">
        <f aca="false">IF((G138&lt;&gt;0),IF((D138&gt;0)," ",(I$1-A138))," ")</f>
        <v> </v>
      </c>
      <c r="J138" s="334" t="str">
        <f aca="false">IF((E138="s"),G138," ")</f>
        <v> </v>
      </c>
      <c r="K138" s="334" t="str">
        <f aca="false">IF((E138="d"),G138," ")</f>
        <v> </v>
      </c>
      <c r="L138" s="334" t="str">
        <f aca="false">IF((E138="e"),G138," ")</f>
        <v> </v>
      </c>
      <c r="M138" s="334" t="str">
        <f aca="false">IF((E138="p"),G138," ")</f>
        <v> </v>
      </c>
      <c r="N138" s="334" t="str">
        <f aca="false">IF((E138="r"),G138," ")</f>
        <v> </v>
      </c>
      <c r="O138" s="334" t="str">
        <f aca="false">IF((E138="g"),G138," ")</f>
        <v> </v>
      </c>
      <c r="P138" s="334" t="str">
        <f aca="false">IF((E138="m"),G138," ")</f>
        <v> </v>
      </c>
      <c r="Q138" s="334" t="str">
        <f aca="false">IF((E138="t"),G138," ")</f>
        <v> </v>
      </c>
      <c r="R138" s="334" t="str">
        <f aca="false">IF((E138="a"),G138," ")</f>
        <v> </v>
      </c>
      <c r="S138" s="334" t="str">
        <f aca="false">IF((E138="l"),G138," ")</f>
        <v> </v>
      </c>
      <c r="T138" s="334" t="str">
        <f aca="false">IF((E138="b"),G138," ")</f>
        <v> </v>
      </c>
      <c r="U138" s="334" t="str">
        <f aca="false">IF((E138="i"),G138," ")</f>
        <v> </v>
      </c>
      <c r="V138" s="334" t="str">
        <f aca="false">IF((E138="o"),G138," ")</f>
        <v> </v>
      </c>
      <c r="W138" s="334" t="str">
        <f aca="false">IF((E138="f"),G138," ")</f>
        <v> </v>
      </c>
    </row>
    <row r="139" customFormat="false" ht="12.75" hidden="false" customHeight="false" outlineLevel="0" collapsed="false">
      <c r="A139" s="355"/>
      <c r="E139" s="365" t="str">
        <f aca="false">IF((G139&lt;&gt;0),"Enter Letter"," ")</f>
        <v> </v>
      </c>
      <c r="H139" s="338" t="str">
        <f aca="false">IF((G139&lt;&gt;0),IF((D139&gt;0)," ",G139)," ")</f>
        <v> </v>
      </c>
      <c r="I139" s="367" t="str">
        <f aca="false">IF((G139&lt;&gt;0),IF((D139&gt;0)," ",(I$1-A139))," ")</f>
        <v> </v>
      </c>
      <c r="J139" s="334" t="str">
        <f aca="false">IF((E139="s"),G139," ")</f>
        <v> </v>
      </c>
      <c r="K139" s="334" t="str">
        <f aca="false">IF((E139="d"),G139," ")</f>
        <v> </v>
      </c>
      <c r="L139" s="334" t="str">
        <f aca="false">IF((E139="e"),G139," ")</f>
        <v> </v>
      </c>
      <c r="M139" s="334" t="str">
        <f aca="false">IF((E139="p"),G139," ")</f>
        <v> </v>
      </c>
      <c r="N139" s="334" t="str">
        <f aca="false">IF((E139="r"),G139," ")</f>
        <v> </v>
      </c>
      <c r="O139" s="334" t="str">
        <f aca="false">IF((E139="g"),G139," ")</f>
        <v> </v>
      </c>
      <c r="P139" s="334" t="str">
        <f aca="false">IF((E139="m"),G139," ")</f>
        <v> </v>
      </c>
      <c r="Q139" s="334" t="str">
        <f aca="false">IF((E139="t"),G139," ")</f>
        <v> </v>
      </c>
      <c r="R139" s="334" t="str">
        <f aca="false">IF((E139="a"),G139," ")</f>
        <v> </v>
      </c>
      <c r="S139" s="334" t="str">
        <f aca="false">IF((E139="l"),G139," ")</f>
        <v> </v>
      </c>
      <c r="T139" s="334" t="str">
        <f aca="false">IF((E139="b"),G139," ")</f>
        <v> </v>
      </c>
      <c r="U139" s="334" t="str">
        <f aca="false">IF((E139="i"),G139," ")</f>
        <v> </v>
      </c>
      <c r="V139" s="334" t="str">
        <f aca="false">IF((E139="o"),G139," ")</f>
        <v> </v>
      </c>
      <c r="W139" s="334" t="str">
        <f aca="false">IF((E139="f"),G139," ")</f>
        <v> </v>
      </c>
    </row>
    <row r="140" customFormat="false" ht="12.75" hidden="false" customHeight="false" outlineLevel="0" collapsed="false">
      <c r="A140" s="355"/>
      <c r="E140" s="365" t="str">
        <f aca="false">IF((G140&lt;&gt;0),"Enter Letter"," ")</f>
        <v> </v>
      </c>
      <c r="H140" s="338" t="str">
        <f aca="false">IF((G140&lt;&gt;0),IF((D140&gt;0)," ",G140)," ")</f>
        <v> </v>
      </c>
      <c r="I140" s="367" t="str">
        <f aca="false">IF((G140&lt;&gt;0),IF((D140&gt;0)," ",(I$1-A140))," ")</f>
        <v> </v>
      </c>
      <c r="J140" s="334" t="str">
        <f aca="false">IF((E140="s"),G140," ")</f>
        <v> </v>
      </c>
      <c r="K140" s="334" t="str">
        <f aca="false">IF((E140="d"),G140," ")</f>
        <v> </v>
      </c>
      <c r="L140" s="334" t="str">
        <f aca="false">IF((E140="e"),G140," ")</f>
        <v> </v>
      </c>
      <c r="M140" s="334" t="str">
        <f aca="false">IF((E140="p"),G140," ")</f>
        <v> </v>
      </c>
      <c r="N140" s="334" t="str">
        <f aca="false">IF((E140="r"),G140," ")</f>
        <v> </v>
      </c>
      <c r="O140" s="334" t="str">
        <f aca="false">IF((E140="g"),G140," ")</f>
        <v> </v>
      </c>
      <c r="P140" s="334" t="str">
        <f aca="false">IF((E140="m"),G140," ")</f>
        <v> </v>
      </c>
      <c r="Q140" s="334" t="str">
        <f aca="false">IF((E140="t"),G140," ")</f>
        <v> </v>
      </c>
      <c r="R140" s="334" t="str">
        <f aca="false">IF((E140="a"),G140," ")</f>
        <v> </v>
      </c>
      <c r="S140" s="334" t="str">
        <f aca="false">IF((E140="l"),G140," ")</f>
        <v> </v>
      </c>
      <c r="T140" s="334" t="str">
        <f aca="false">IF((E140="b"),G140," ")</f>
        <v> </v>
      </c>
      <c r="U140" s="334" t="str">
        <f aca="false">IF((E140="i"),G140," ")</f>
        <v> </v>
      </c>
      <c r="V140" s="334" t="str">
        <f aca="false">IF((E140="o"),G140," ")</f>
        <v> </v>
      </c>
      <c r="W140" s="334" t="str">
        <f aca="false">IF((E140="f"),G140," ")</f>
        <v> </v>
      </c>
    </row>
    <row r="141" customFormat="false" ht="12.75" hidden="false" customHeight="false" outlineLevel="0" collapsed="false">
      <c r="A141" s="355"/>
      <c r="E141" s="365" t="str">
        <f aca="false">IF((G141&lt;&gt;0),"Enter Letter"," ")</f>
        <v> </v>
      </c>
      <c r="H141" s="338" t="str">
        <f aca="false">IF((G141&lt;&gt;0),IF((D141&gt;0)," ",G141)," ")</f>
        <v> </v>
      </c>
      <c r="I141" s="367" t="str">
        <f aca="false">IF((G141&lt;&gt;0),IF((D141&gt;0)," ",(I$1-A141))," ")</f>
        <v> </v>
      </c>
      <c r="J141" s="334" t="str">
        <f aca="false">IF((E141="s"),G141," ")</f>
        <v> </v>
      </c>
      <c r="K141" s="334" t="str">
        <f aca="false">IF((E141="d"),G141," ")</f>
        <v> </v>
      </c>
      <c r="L141" s="334" t="str">
        <f aca="false">IF((E141="e"),G141," ")</f>
        <v> </v>
      </c>
      <c r="M141" s="334" t="str">
        <f aca="false">IF((E141="p"),G141," ")</f>
        <v> </v>
      </c>
      <c r="N141" s="334" t="str">
        <f aca="false">IF((E141="r"),G141," ")</f>
        <v> </v>
      </c>
      <c r="O141" s="334" t="str">
        <f aca="false">IF((E141="g"),G141," ")</f>
        <v> </v>
      </c>
      <c r="P141" s="334" t="str">
        <f aca="false">IF((E141="m"),G141," ")</f>
        <v> </v>
      </c>
      <c r="Q141" s="334" t="str">
        <f aca="false">IF((E141="t"),G141," ")</f>
        <v> </v>
      </c>
      <c r="R141" s="334" t="str">
        <f aca="false">IF((E141="a"),G141," ")</f>
        <v> </v>
      </c>
      <c r="S141" s="334" t="str">
        <f aca="false">IF((E141="l"),G141," ")</f>
        <v> </v>
      </c>
      <c r="T141" s="334" t="str">
        <f aca="false">IF((E141="b"),G141," ")</f>
        <v> </v>
      </c>
      <c r="U141" s="334" t="str">
        <f aca="false">IF((E141="i"),G141," ")</f>
        <v> </v>
      </c>
      <c r="V141" s="334" t="str">
        <f aca="false">IF((E141="o"),G141," ")</f>
        <v> </v>
      </c>
      <c r="W141" s="334" t="str">
        <f aca="false">IF((E141="f"),G141," ")</f>
        <v> </v>
      </c>
    </row>
    <row r="142" customFormat="false" ht="12.75" hidden="false" customHeight="false" outlineLevel="0" collapsed="false">
      <c r="A142" s="355"/>
      <c r="E142" s="365" t="str">
        <f aca="false">IF((G142&lt;&gt;0),"Enter Letter"," ")</f>
        <v> </v>
      </c>
      <c r="H142" s="338" t="str">
        <f aca="false">IF((G142&lt;&gt;0),IF((D142&gt;0)," ",G142)," ")</f>
        <v> </v>
      </c>
      <c r="I142" s="367" t="str">
        <f aca="false">IF((G142&lt;&gt;0),IF((D142&gt;0)," ",(I$1-A142))," ")</f>
        <v> </v>
      </c>
      <c r="J142" s="334" t="str">
        <f aca="false">IF((E142="s"),G142," ")</f>
        <v> </v>
      </c>
      <c r="K142" s="334" t="str">
        <f aca="false">IF((E142="d"),G142," ")</f>
        <v> </v>
      </c>
      <c r="L142" s="334" t="str">
        <f aca="false">IF((E142="e"),G142," ")</f>
        <v> </v>
      </c>
      <c r="M142" s="334" t="str">
        <f aca="false">IF((E142="p"),G142," ")</f>
        <v> </v>
      </c>
      <c r="N142" s="334" t="str">
        <f aca="false">IF((E142="r"),G142," ")</f>
        <v> </v>
      </c>
      <c r="O142" s="334" t="str">
        <f aca="false">IF((E142="g"),G142," ")</f>
        <v> </v>
      </c>
      <c r="P142" s="334" t="str">
        <f aca="false">IF((E142="m"),G142," ")</f>
        <v> </v>
      </c>
      <c r="Q142" s="334" t="str">
        <f aca="false">IF((E142="t"),G142," ")</f>
        <v> </v>
      </c>
      <c r="R142" s="334" t="str">
        <f aca="false">IF((E142="a"),G142," ")</f>
        <v> </v>
      </c>
      <c r="S142" s="334" t="str">
        <f aca="false">IF((E142="l"),G142," ")</f>
        <v> </v>
      </c>
      <c r="T142" s="334" t="str">
        <f aca="false">IF((E142="b"),G142," ")</f>
        <v> </v>
      </c>
      <c r="U142" s="334" t="str">
        <f aca="false">IF((E142="i"),G142," ")</f>
        <v> </v>
      </c>
      <c r="V142" s="334" t="str">
        <f aca="false">IF((E142="o"),G142," ")</f>
        <v> </v>
      </c>
      <c r="W142" s="334" t="str">
        <f aca="false">IF((E142="f"),G142," ")</f>
        <v> </v>
      </c>
    </row>
    <row r="143" customFormat="false" ht="12.75" hidden="false" customHeight="false" outlineLevel="0" collapsed="false">
      <c r="A143" s="355"/>
      <c r="E143" s="365" t="str">
        <f aca="false">IF((G143&lt;&gt;0),"Enter Letter"," ")</f>
        <v> </v>
      </c>
      <c r="H143" s="338" t="str">
        <f aca="false">IF((G143&lt;&gt;0),IF((D143&gt;0)," ",G143)," ")</f>
        <v> </v>
      </c>
      <c r="I143" s="367" t="str">
        <f aca="false">IF((G143&lt;&gt;0),IF((D143&gt;0)," ",(I$1-A143))," ")</f>
        <v> </v>
      </c>
      <c r="J143" s="334" t="str">
        <f aca="false">IF((E143="s"),G143," ")</f>
        <v> </v>
      </c>
      <c r="K143" s="334" t="str">
        <f aca="false">IF((E143="d"),G143," ")</f>
        <v> </v>
      </c>
      <c r="L143" s="334" t="str">
        <f aca="false">IF((E143="e"),G143," ")</f>
        <v> </v>
      </c>
      <c r="M143" s="334" t="str">
        <f aca="false">IF((E143="p"),G143," ")</f>
        <v> </v>
      </c>
      <c r="N143" s="334" t="str">
        <f aca="false">IF((E143="r"),G143," ")</f>
        <v> </v>
      </c>
      <c r="O143" s="334" t="str">
        <f aca="false">IF((E143="g"),G143," ")</f>
        <v> </v>
      </c>
      <c r="P143" s="334" t="str">
        <f aca="false">IF((E143="m"),G143," ")</f>
        <v> </v>
      </c>
      <c r="Q143" s="334" t="str">
        <f aca="false">IF((E143="t"),G143," ")</f>
        <v> </v>
      </c>
      <c r="R143" s="334" t="str">
        <f aca="false">IF((E143="a"),G143," ")</f>
        <v> </v>
      </c>
      <c r="S143" s="334" t="str">
        <f aca="false">IF((E143="l"),G143," ")</f>
        <v> </v>
      </c>
      <c r="T143" s="334" t="str">
        <f aca="false">IF((E143="b"),G143," ")</f>
        <v> </v>
      </c>
      <c r="U143" s="334" t="str">
        <f aca="false">IF((E143="i"),G143," ")</f>
        <v> </v>
      </c>
      <c r="V143" s="334" t="str">
        <f aca="false">IF((E143="o"),G143," ")</f>
        <v> </v>
      </c>
      <c r="W143" s="334" t="str">
        <f aca="false">IF((E143="f"),G143," ")</f>
        <v> </v>
      </c>
    </row>
    <row r="144" customFormat="false" ht="12.75" hidden="false" customHeight="false" outlineLevel="0" collapsed="false">
      <c r="A144" s="355"/>
      <c r="E144" s="365" t="str">
        <f aca="false">IF((G144&lt;&gt;0),"Enter Letter"," ")</f>
        <v> </v>
      </c>
      <c r="H144" s="338" t="str">
        <f aca="false">IF((G144&lt;&gt;0),IF((D144&gt;0)," ",G144)," ")</f>
        <v> </v>
      </c>
      <c r="I144" s="367" t="str">
        <f aca="false">IF((G144&lt;&gt;0),IF((D144&gt;0)," ",(I$1-A144))," ")</f>
        <v> </v>
      </c>
      <c r="J144" s="334" t="str">
        <f aca="false">IF((E144="s"),G144," ")</f>
        <v> </v>
      </c>
      <c r="K144" s="334" t="str">
        <f aca="false">IF((E144="d"),G144," ")</f>
        <v> </v>
      </c>
      <c r="L144" s="334" t="str">
        <f aca="false">IF((E144="e"),G144," ")</f>
        <v> </v>
      </c>
      <c r="M144" s="334" t="str">
        <f aca="false">IF((E144="p"),G144," ")</f>
        <v> </v>
      </c>
      <c r="N144" s="334" t="str">
        <f aca="false">IF((E144="r"),G144," ")</f>
        <v> </v>
      </c>
      <c r="O144" s="334" t="str">
        <f aca="false">IF((E144="g"),G144," ")</f>
        <v> </v>
      </c>
      <c r="P144" s="334" t="str">
        <f aca="false">IF((E144="m"),G144," ")</f>
        <v> </v>
      </c>
      <c r="Q144" s="334" t="str">
        <f aca="false">IF((E144="t"),G144," ")</f>
        <v> </v>
      </c>
      <c r="R144" s="334" t="str">
        <f aca="false">IF((E144="a"),G144," ")</f>
        <v> </v>
      </c>
      <c r="S144" s="334" t="str">
        <f aca="false">IF((E144="l"),G144," ")</f>
        <v> </v>
      </c>
      <c r="T144" s="334" t="str">
        <f aca="false">IF((E144="b"),G144," ")</f>
        <v> </v>
      </c>
      <c r="U144" s="334" t="str">
        <f aca="false">IF((E144="i"),G144," ")</f>
        <v> </v>
      </c>
      <c r="V144" s="334" t="str">
        <f aca="false">IF((E144="o"),G144," ")</f>
        <v> </v>
      </c>
      <c r="W144" s="334" t="str">
        <f aca="false">IF((E144="f"),G144," ")</f>
        <v> </v>
      </c>
    </row>
    <row r="145" customFormat="false" ht="12.75" hidden="false" customHeight="false" outlineLevel="0" collapsed="false">
      <c r="A145" s="355"/>
      <c r="E145" s="365" t="str">
        <f aca="false">IF((G145&lt;&gt;0),"Enter Letter"," ")</f>
        <v> </v>
      </c>
      <c r="H145" s="338" t="str">
        <f aca="false">IF((G145&lt;&gt;0),IF((D145&gt;0)," ",G145)," ")</f>
        <v> </v>
      </c>
      <c r="I145" s="367" t="str">
        <f aca="false">IF((G145&lt;&gt;0),IF((D145&gt;0)," ",(I$1-A145))," ")</f>
        <v> </v>
      </c>
      <c r="J145" s="334" t="str">
        <f aca="false">IF((E145="s"),G145," ")</f>
        <v> </v>
      </c>
      <c r="K145" s="334" t="str">
        <f aca="false">IF((E145="d"),G145," ")</f>
        <v> </v>
      </c>
      <c r="L145" s="334" t="str">
        <f aca="false">IF((E145="e"),G145," ")</f>
        <v> </v>
      </c>
      <c r="M145" s="334" t="str">
        <f aca="false">IF((E145="p"),G145," ")</f>
        <v> </v>
      </c>
      <c r="N145" s="334" t="str">
        <f aca="false">IF((E145="r"),G145," ")</f>
        <v> </v>
      </c>
      <c r="O145" s="334" t="str">
        <f aca="false">IF((E145="g"),G145," ")</f>
        <v> </v>
      </c>
      <c r="P145" s="334" t="str">
        <f aca="false">IF((E145="m"),G145," ")</f>
        <v> </v>
      </c>
      <c r="Q145" s="334" t="str">
        <f aca="false">IF((E145="t"),G145," ")</f>
        <v> </v>
      </c>
      <c r="R145" s="334" t="str">
        <f aca="false">IF((E145="a"),G145," ")</f>
        <v> </v>
      </c>
      <c r="S145" s="334" t="str">
        <f aca="false">IF((E145="l"),G145," ")</f>
        <v> </v>
      </c>
      <c r="T145" s="334" t="str">
        <f aca="false">IF((E145="b"),G145," ")</f>
        <v> </v>
      </c>
      <c r="U145" s="334" t="str">
        <f aca="false">IF((E145="i"),G145," ")</f>
        <v> </v>
      </c>
      <c r="V145" s="334" t="str">
        <f aca="false">IF((E145="o"),G145," ")</f>
        <v> </v>
      </c>
      <c r="W145" s="334" t="str">
        <f aca="false">IF((E145="f"),G145," ")</f>
        <v> </v>
      </c>
    </row>
    <row r="146" customFormat="false" ht="12.75" hidden="false" customHeight="false" outlineLevel="0" collapsed="false">
      <c r="A146" s="355"/>
      <c r="E146" s="365" t="str">
        <f aca="false">IF((G146&lt;&gt;0),"Enter Letter"," ")</f>
        <v> </v>
      </c>
      <c r="H146" s="338" t="str">
        <f aca="false">IF((G146&lt;&gt;0),IF((D146&gt;0)," ",G146)," ")</f>
        <v> </v>
      </c>
      <c r="I146" s="367" t="str">
        <f aca="false">IF((G146&lt;&gt;0),IF((D146&gt;0)," ",(I$1-A146))," ")</f>
        <v> </v>
      </c>
      <c r="J146" s="334" t="str">
        <f aca="false">IF((E146="s"),G146," ")</f>
        <v> </v>
      </c>
      <c r="K146" s="334" t="str">
        <f aca="false">IF((E146="d"),G146," ")</f>
        <v> </v>
      </c>
      <c r="L146" s="334" t="str">
        <f aca="false">IF((E146="e"),G146," ")</f>
        <v> </v>
      </c>
      <c r="M146" s="334" t="str">
        <f aca="false">IF((E146="p"),G146," ")</f>
        <v> </v>
      </c>
      <c r="N146" s="334" t="str">
        <f aca="false">IF((E146="r"),G146," ")</f>
        <v> </v>
      </c>
      <c r="O146" s="334" t="str">
        <f aca="false">IF((E146="g"),G146," ")</f>
        <v> </v>
      </c>
      <c r="P146" s="334" t="str">
        <f aca="false">IF((E146="m"),G146," ")</f>
        <v> </v>
      </c>
      <c r="Q146" s="334" t="str">
        <f aca="false">IF((E146="t"),G146," ")</f>
        <v> </v>
      </c>
      <c r="R146" s="334" t="str">
        <f aca="false">IF((E146="a"),G146," ")</f>
        <v> </v>
      </c>
      <c r="S146" s="334" t="str">
        <f aca="false">IF((E146="l"),G146," ")</f>
        <v> </v>
      </c>
      <c r="T146" s="334" t="str">
        <f aca="false">IF((E146="b"),G146," ")</f>
        <v> </v>
      </c>
      <c r="U146" s="334" t="str">
        <f aca="false">IF((E146="i"),G146," ")</f>
        <v> </v>
      </c>
      <c r="V146" s="334" t="str">
        <f aca="false">IF((E146="o"),G146," ")</f>
        <v> </v>
      </c>
      <c r="W146" s="334" t="str">
        <f aca="false">IF((E146="f"),G146," ")</f>
        <v> </v>
      </c>
    </row>
    <row r="147" customFormat="false" ht="12.75" hidden="false" customHeight="false" outlineLevel="0" collapsed="false">
      <c r="A147" s="355"/>
      <c r="E147" s="365" t="str">
        <f aca="false">IF((G147&lt;&gt;0),"Enter Letter"," ")</f>
        <v> </v>
      </c>
      <c r="H147" s="338" t="str">
        <f aca="false">IF((G147&lt;&gt;0),IF((D147&gt;0)," ",G147)," ")</f>
        <v> </v>
      </c>
      <c r="I147" s="367" t="str">
        <f aca="false">IF((G147&lt;&gt;0),IF((D147&gt;0)," ",(I$1-A147))," ")</f>
        <v> </v>
      </c>
      <c r="J147" s="334" t="str">
        <f aca="false">IF((E147="s"),G147," ")</f>
        <v> </v>
      </c>
      <c r="K147" s="334" t="str">
        <f aca="false">IF((E147="d"),G147," ")</f>
        <v> </v>
      </c>
      <c r="L147" s="334" t="str">
        <f aca="false">IF((E147="e"),G147," ")</f>
        <v> </v>
      </c>
      <c r="M147" s="334" t="str">
        <f aca="false">IF((E147="p"),G147," ")</f>
        <v> </v>
      </c>
      <c r="N147" s="334" t="str">
        <f aca="false">IF((E147="r"),G147," ")</f>
        <v> </v>
      </c>
      <c r="O147" s="334" t="str">
        <f aca="false">IF((E147="g"),G147," ")</f>
        <v> </v>
      </c>
      <c r="P147" s="334" t="str">
        <f aca="false">IF((E147="m"),G147," ")</f>
        <v> </v>
      </c>
      <c r="Q147" s="334" t="str">
        <f aca="false">IF((E147="t"),G147," ")</f>
        <v> </v>
      </c>
      <c r="R147" s="334" t="str">
        <f aca="false">IF((E147="a"),G147," ")</f>
        <v> </v>
      </c>
      <c r="S147" s="334" t="str">
        <f aca="false">IF((E147="l"),G147," ")</f>
        <v> </v>
      </c>
      <c r="T147" s="334" t="str">
        <f aca="false">IF((E147="b"),G147," ")</f>
        <v> </v>
      </c>
      <c r="U147" s="334" t="str">
        <f aca="false">IF((E147="i"),G147," ")</f>
        <v> </v>
      </c>
      <c r="V147" s="334" t="str">
        <f aca="false">IF((E147="o"),G147," ")</f>
        <v> </v>
      </c>
      <c r="W147" s="334" t="str">
        <f aca="false">IF((E147="f"),G147," ")</f>
        <v> </v>
      </c>
    </row>
    <row r="148" customFormat="false" ht="12.75" hidden="false" customHeight="false" outlineLevel="0" collapsed="false">
      <c r="A148" s="355"/>
      <c r="E148" s="365" t="str">
        <f aca="false">IF((G148&lt;&gt;0),"Enter Letter"," ")</f>
        <v> </v>
      </c>
      <c r="H148" s="338" t="str">
        <f aca="false">IF((G148&lt;&gt;0),IF((D148&gt;0)," ",G148)," ")</f>
        <v> </v>
      </c>
      <c r="I148" s="367" t="str">
        <f aca="false">IF((G148&lt;&gt;0),IF((D148&gt;0)," ",(I$1-A148))," ")</f>
        <v> </v>
      </c>
      <c r="J148" s="334" t="str">
        <f aca="false">IF((E148="s"),G148," ")</f>
        <v> </v>
      </c>
      <c r="K148" s="334" t="str">
        <f aca="false">IF((E148="d"),G148," ")</f>
        <v> </v>
      </c>
      <c r="L148" s="334" t="str">
        <f aca="false">IF((E148="e"),G148," ")</f>
        <v> </v>
      </c>
      <c r="M148" s="334" t="str">
        <f aca="false">IF((E148="p"),G148," ")</f>
        <v> </v>
      </c>
      <c r="N148" s="334" t="str">
        <f aca="false">IF((E148="r"),G148," ")</f>
        <v> </v>
      </c>
      <c r="O148" s="334" t="str">
        <f aca="false">IF((E148="g"),G148," ")</f>
        <v> </v>
      </c>
      <c r="P148" s="334" t="str">
        <f aca="false">IF((E148="m"),G148," ")</f>
        <v> </v>
      </c>
      <c r="Q148" s="334" t="str">
        <f aca="false">IF((E148="t"),G148," ")</f>
        <v> </v>
      </c>
      <c r="R148" s="334" t="str">
        <f aca="false">IF((E148="a"),G148," ")</f>
        <v> </v>
      </c>
      <c r="S148" s="334" t="str">
        <f aca="false">IF((E148="l"),G148," ")</f>
        <v> </v>
      </c>
      <c r="T148" s="334" t="str">
        <f aca="false">IF((E148="b"),G148," ")</f>
        <v> </v>
      </c>
      <c r="U148" s="334" t="str">
        <f aca="false">IF((E148="i"),G148," ")</f>
        <v> </v>
      </c>
      <c r="V148" s="334" t="str">
        <f aca="false">IF((E148="o"),G148," ")</f>
        <v> </v>
      </c>
      <c r="W148" s="334" t="str">
        <f aca="false">IF((E148="f"),G148," ")</f>
        <v> </v>
      </c>
    </row>
    <row r="149" customFormat="false" ht="12.75" hidden="false" customHeight="false" outlineLevel="0" collapsed="false">
      <c r="A149" s="355"/>
      <c r="E149" s="365" t="str">
        <f aca="false">IF((G149&lt;&gt;0),"Enter Letter"," ")</f>
        <v> </v>
      </c>
      <c r="H149" s="338" t="str">
        <f aca="false">IF((G149&lt;&gt;0),IF((D149&gt;0)," ",G149)," ")</f>
        <v> </v>
      </c>
      <c r="I149" s="367" t="str">
        <f aca="false">IF((G149&lt;&gt;0),IF((D149&gt;0)," ",(I$1-A149))," ")</f>
        <v> </v>
      </c>
      <c r="J149" s="334" t="str">
        <f aca="false">IF((E149="s"),G149," ")</f>
        <v> </v>
      </c>
      <c r="K149" s="334" t="str">
        <f aca="false">IF((E149="d"),G149," ")</f>
        <v> </v>
      </c>
      <c r="L149" s="334" t="str">
        <f aca="false">IF((E149="e"),G149," ")</f>
        <v> </v>
      </c>
      <c r="M149" s="334" t="str">
        <f aca="false">IF((E149="p"),G149," ")</f>
        <v> </v>
      </c>
      <c r="N149" s="334" t="str">
        <f aca="false">IF((E149="r"),G149," ")</f>
        <v> </v>
      </c>
      <c r="O149" s="334" t="str">
        <f aca="false">IF((E149="g"),G149," ")</f>
        <v> </v>
      </c>
      <c r="P149" s="334" t="str">
        <f aca="false">IF((E149="m"),G149," ")</f>
        <v> </v>
      </c>
      <c r="Q149" s="334" t="str">
        <f aca="false">IF((E149="t"),G149," ")</f>
        <v> </v>
      </c>
      <c r="R149" s="334" t="str">
        <f aca="false">IF((E149="a"),G149," ")</f>
        <v> </v>
      </c>
      <c r="S149" s="334" t="str">
        <f aca="false">IF((E149="l"),G149," ")</f>
        <v> </v>
      </c>
      <c r="T149" s="334" t="str">
        <f aca="false">IF((E149="b"),G149," ")</f>
        <v> </v>
      </c>
      <c r="U149" s="334" t="str">
        <f aca="false">IF((E149="i"),G149," ")</f>
        <v> </v>
      </c>
      <c r="V149" s="334" t="str">
        <f aca="false">IF((E149="o"),G149," ")</f>
        <v> </v>
      </c>
      <c r="W149" s="334" t="str">
        <f aca="false">IF((E149="f"),G149," ")</f>
        <v> </v>
      </c>
    </row>
    <row r="150" customFormat="false" ht="12.75" hidden="false" customHeight="false" outlineLevel="0" collapsed="false">
      <c r="A150" s="355"/>
      <c r="E150" s="365" t="str">
        <f aca="false">IF((G150&lt;&gt;0),"Enter Letter"," ")</f>
        <v> </v>
      </c>
      <c r="H150" s="338" t="str">
        <f aca="false">IF((G150&lt;&gt;0),IF((D150&gt;0)," ",G150)," ")</f>
        <v> </v>
      </c>
      <c r="I150" s="367" t="str">
        <f aca="false">IF((G150&lt;&gt;0),IF((D150&gt;0)," ",(I$1-A150))," ")</f>
        <v> </v>
      </c>
      <c r="J150" s="334" t="str">
        <f aca="false">IF((E150="s"),G150," ")</f>
        <v> </v>
      </c>
      <c r="K150" s="334" t="str">
        <f aca="false">IF((E150="d"),G150," ")</f>
        <v> </v>
      </c>
      <c r="L150" s="334" t="str">
        <f aca="false">IF((E150="e"),G150," ")</f>
        <v> </v>
      </c>
      <c r="M150" s="334" t="str">
        <f aca="false">IF((E150="p"),G150," ")</f>
        <v> </v>
      </c>
      <c r="N150" s="334" t="str">
        <f aca="false">IF((E150="r"),G150," ")</f>
        <v> </v>
      </c>
      <c r="O150" s="334" t="str">
        <f aca="false">IF((E150="g"),G150," ")</f>
        <v> </v>
      </c>
      <c r="P150" s="334" t="str">
        <f aca="false">IF((E150="m"),G150," ")</f>
        <v> </v>
      </c>
      <c r="Q150" s="334" t="str">
        <f aca="false">IF((E150="t"),G150," ")</f>
        <v> </v>
      </c>
      <c r="R150" s="334" t="str">
        <f aca="false">IF((E150="a"),G150," ")</f>
        <v> </v>
      </c>
      <c r="S150" s="334" t="str">
        <f aca="false">IF((E150="l"),G150," ")</f>
        <v> </v>
      </c>
      <c r="T150" s="334" t="str">
        <f aca="false">IF((E150="b"),G150," ")</f>
        <v> </v>
      </c>
      <c r="U150" s="334" t="str">
        <f aca="false">IF((E150="i"),G150," ")</f>
        <v> </v>
      </c>
      <c r="V150" s="334" t="str">
        <f aca="false">IF((E150="o"),G150," ")</f>
        <v> </v>
      </c>
      <c r="W150" s="334" t="str">
        <f aca="false">IF((E150="f"),G150," ")</f>
        <v> </v>
      </c>
    </row>
    <row r="151" customFormat="false" ht="12.75" hidden="false" customHeight="false" outlineLevel="0" collapsed="false">
      <c r="A151" s="355"/>
      <c r="E151" s="365" t="str">
        <f aca="false">IF((G151&lt;&gt;0),"Enter Letter"," ")</f>
        <v> </v>
      </c>
      <c r="H151" s="338" t="str">
        <f aca="false">IF((G151&lt;&gt;0),IF((D151&gt;0)," ",G151)," ")</f>
        <v> </v>
      </c>
      <c r="I151" s="367" t="str">
        <f aca="false">IF((G151&lt;&gt;0),IF((D151&gt;0)," ",(I$1-A151))," ")</f>
        <v> </v>
      </c>
      <c r="J151" s="334" t="str">
        <f aca="false">IF((E151="s"),G151," ")</f>
        <v> </v>
      </c>
      <c r="K151" s="334" t="str">
        <f aca="false">IF((E151="d"),G151," ")</f>
        <v> </v>
      </c>
      <c r="L151" s="334" t="str">
        <f aca="false">IF((E151="e"),G151," ")</f>
        <v> </v>
      </c>
      <c r="M151" s="334" t="str">
        <f aca="false">IF((E151="p"),G151," ")</f>
        <v> </v>
      </c>
      <c r="N151" s="334" t="str">
        <f aca="false">IF((E151="r"),G151," ")</f>
        <v> </v>
      </c>
      <c r="O151" s="334" t="str">
        <f aca="false">IF((E151="g"),G151," ")</f>
        <v> </v>
      </c>
      <c r="P151" s="334" t="str">
        <f aca="false">IF((E151="m"),G151," ")</f>
        <v> </v>
      </c>
      <c r="Q151" s="334" t="str">
        <f aca="false">IF((E151="t"),G151," ")</f>
        <v> </v>
      </c>
      <c r="R151" s="334" t="str">
        <f aca="false">IF((E151="a"),G151," ")</f>
        <v> </v>
      </c>
      <c r="S151" s="334" t="str">
        <f aca="false">IF((E151="l"),G151," ")</f>
        <v> </v>
      </c>
      <c r="T151" s="334" t="str">
        <f aca="false">IF((E151="b"),G151," ")</f>
        <v> </v>
      </c>
      <c r="U151" s="334" t="str">
        <f aca="false">IF((E151="i"),G151," ")</f>
        <v> </v>
      </c>
      <c r="V151" s="334" t="str">
        <f aca="false">IF((E151="o"),G151," ")</f>
        <v> </v>
      </c>
      <c r="W151" s="334" t="str">
        <f aca="false">IF((E151="f"),G151," ")</f>
        <v> </v>
      </c>
    </row>
    <row r="152" customFormat="false" ht="12.75" hidden="false" customHeight="false" outlineLevel="0" collapsed="false">
      <c r="A152" s="355"/>
      <c r="E152" s="365" t="str">
        <f aca="false">IF((G152&lt;&gt;0),"Enter Letter"," ")</f>
        <v> </v>
      </c>
      <c r="H152" s="338" t="str">
        <f aca="false">IF((G152&lt;&gt;0),IF((D152&gt;0)," ",G152)," ")</f>
        <v> </v>
      </c>
      <c r="I152" s="367" t="str">
        <f aca="false">IF((G152&lt;&gt;0),IF((D152&gt;0)," ",(I$1-A152))," ")</f>
        <v> </v>
      </c>
      <c r="J152" s="334" t="str">
        <f aca="false">IF((E152="s"),G152," ")</f>
        <v> </v>
      </c>
      <c r="K152" s="334" t="str">
        <f aca="false">IF((E152="d"),G152," ")</f>
        <v> </v>
      </c>
      <c r="L152" s="334" t="str">
        <f aca="false">IF((E152="e"),G152," ")</f>
        <v> </v>
      </c>
      <c r="M152" s="334" t="str">
        <f aca="false">IF((E152="p"),G152," ")</f>
        <v> </v>
      </c>
      <c r="N152" s="334" t="str">
        <f aca="false">IF((E152="r"),G152," ")</f>
        <v> </v>
      </c>
      <c r="O152" s="334" t="str">
        <f aca="false">IF((E152="g"),G152," ")</f>
        <v> </v>
      </c>
      <c r="P152" s="334" t="str">
        <f aca="false">IF((E152="m"),G152," ")</f>
        <v> </v>
      </c>
      <c r="Q152" s="334" t="str">
        <f aca="false">IF((E152="t"),G152," ")</f>
        <v> </v>
      </c>
      <c r="R152" s="334" t="str">
        <f aca="false">IF((E152="a"),G152," ")</f>
        <v> </v>
      </c>
      <c r="S152" s="334" t="str">
        <f aca="false">IF((E152="l"),G152," ")</f>
        <v> </v>
      </c>
      <c r="T152" s="334" t="str">
        <f aca="false">IF((E152="b"),G152," ")</f>
        <v> </v>
      </c>
      <c r="U152" s="334" t="str">
        <f aca="false">IF((E152="i"),G152," ")</f>
        <v> </v>
      </c>
      <c r="V152" s="334" t="str">
        <f aca="false">IF((E152="o"),G152," ")</f>
        <v> </v>
      </c>
      <c r="W152" s="334" t="str">
        <f aca="false">IF((E152="f"),G152," ")</f>
        <v> </v>
      </c>
    </row>
    <row r="153" customFormat="false" ht="12.75" hidden="false" customHeight="false" outlineLevel="0" collapsed="false">
      <c r="A153" s="355"/>
      <c r="E153" s="365" t="str">
        <f aca="false">IF((G153&lt;&gt;0),"Enter Letter"," ")</f>
        <v> </v>
      </c>
      <c r="H153" s="338" t="str">
        <f aca="false">IF((G153&lt;&gt;0),IF((D153&gt;0)," ",G153)," ")</f>
        <v> </v>
      </c>
      <c r="I153" s="367" t="str">
        <f aca="false">IF((G153&lt;&gt;0),IF((D153&gt;0)," ",(I$1-A153))," ")</f>
        <v> </v>
      </c>
      <c r="J153" s="334" t="str">
        <f aca="false">IF((E153="s"),G153," ")</f>
        <v> </v>
      </c>
      <c r="K153" s="334" t="str">
        <f aca="false">IF((E153="d"),G153," ")</f>
        <v> </v>
      </c>
      <c r="L153" s="334" t="str">
        <f aca="false">IF((E153="e"),G153," ")</f>
        <v> </v>
      </c>
      <c r="M153" s="334" t="str">
        <f aca="false">IF((E153="p"),G153," ")</f>
        <v> </v>
      </c>
      <c r="N153" s="334" t="str">
        <f aca="false">IF((E153="r"),G153," ")</f>
        <v> </v>
      </c>
      <c r="O153" s="334" t="str">
        <f aca="false">IF((E153="g"),G153," ")</f>
        <v> </v>
      </c>
      <c r="P153" s="334" t="str">
        <f aca="false">IF((E153="m"),G153," ")</f>
        <v> </v>
      </c>
      <c r="Q153" s="334" t="str">
        <f aca="false">IF((E153="t"),G153," ")</f>
        <v> </v>
      </c>
      <c r="R153" s="334" t="str">
        <f aca="false">IF((E153="a"),G153," ")</f>
        <v> </v>
      </c>
      <c r="S153" s="334" t="str">
        <f aca="false">IF((E153="l"),G153," ")</f>
        <v> </v>
      </c>
      <c r="T153" s="334" t="str">
        <f aca="false">IF((E153="b"),G153," ")</f>
        <v> </v>
      </c>
      <c r="U153" s="334" t="str">
        <f aca="false">IF((E153="i"),G153," ")</f>
        <v> </v>
      </c>
      <c r="V153" s="334" t="str">
        <f aca="false">IF((E153="o"),G153," ")</f>
        <v> </v>
      </c>
      <c r="W153" s="334" t="str">
        <f aca="false">IF((E153="f"),G153," ")</f>
        <v> </v>
      </c>
    </row>
    <row r="154" customFormat="false" ht="12.75" hidden="false" customHeight="false" outlineLevel="0" collapsed="false">
      <c r="A154" s="355"/>
      <c r="E154" s="365" t="str">
        <f aca="false">IF((G154&lt;&gt;0),"Enter Letter"," ")</f>
        <v> </v>
      </c>
      <c r="H154" s="338" t="str">
        <f aca="false">IF((G154&lt;&gt;0),IF((D154&gt;0)," ",G154)," ")</f>
        <v> </v>
      </c>
      <c r="I154" s="367" t="str">
        <f aca="false">IF((G154&lt;&gt;0),IF((D154&gt;0)," ",(I$1-A154))," ")</f>
        <v> </v>
      </c>
      <c r="J154" s="334" t="str">
        <f aca="false">IF((E154="s"),G154," ")</f>
        <v> </v>
      </c>
      <c r="K154" s="334" t="str">
        <f aca="false">IF((E154="d"),G154," ")</f>
        <v> </v>
      </c>
      <c r="L154" s="334" t="str">
        <f aca="false">IF((E154="e"),G154," ")</f>
        <v> </v>
      </c>
      <c r="M154" s="334" t="str">
        <f aca="false">IF((E154="p"),G154," ")</f>
        <v> </v>
      </c>
      <c r="N154" s="334" t="str">
        <f aca="false">IF((E154="r"),G154," ")</f>
        <v> </v>
      </c>
      <c r="O154" s="334" t="str">
        <f aca="false">IF((E154="g"),G154," ")</f>
        <v> </v>
      </c>
      <c r="P154" s="334" t="str">
        <f aca="false">IF((E154="m"),G154," ")</f>
        <v> </v>
      </c>
      <c r="Q154" s="334" t="str">
        <f aca="false">IF((E154="t"),G154," ")</f>
        <v> </v>
      </c>
      <c r="R154" s="334" t="str">
        <f aca="false">IF((E154="a"),G154," ")</f>
        <v> </v>
      </c>
      <c r="S154" s="334" t="str">
        <f aca="false">IF((E154="l"),G154," ")</f>
        <v> </v>
      </c>
      <c r="T154" s="334" t="str">
        <f aca="false">IF((E154="b"),G154," ")</f>
        <v> </v>
      </c>
      <c r="U154" s="334" t="str">
        <f aca="false">IF((E154="i"),G154," ")</f>
        <v> </v>
      </c>
      <c r="V154" s="334" t="str">
        <f aca="false">IF((E154="o"),G154," ")</f>
        <v> </v>
      </c>
      <c r="W154" s="334" t="str">
        <f aca="false">IF((E154="f"),G154," ")</f>
        <v> </v>
      </c>
    </row>
    <row r="155" customFormat="false" ht="12.75" hidden="false" customHeight="false" outlineLevel="0" collapsed="false">
      <c r="A155" s="355"/>
      <c r="E155" s="365" t="str">
        <f aca="false">IF((G155&lt;&gt;0),"Enter Letter"," ")</f>
        <v> </v>
      </c>
      <c r="H155" s="338" t="str">
        <f aca="false">IF((G155&lt;&gt;0),IF((D155&gt;0)," ",G155)," ")</f>
        <v> </v>
      </c>
      <c r="I155" s="367" t="str">
        <f aca="false">IF((G155&lt;&gt;0),IF((D155&gt;0)," ",(I$1-A155))," ")</f>
        <v> </v>
      </c>
      <c r="J155" s="334" t="str">
        <f aca="false">IF((E155="s"),G155," ")</f>
        <v> </v>
      </c>
      <c r="K155" s="334" t="str">
        <f aca="false">IF((E155="d"),G155," ")</f>
        <v> </v>
      </c>
      <c r="L155" s="334" t="str">
        <f aca="false">IF((E155="e"),G155," ")</f>
        <v> </v>
      </c>
      <c r="M155" s="334" t="str">
        <f aca="false">IF((E155="p"),G155," ")</f>
        <v> </v>
      </c>
      <c r="N155" s="334" t="str">
        <f aca="false">IF((E155="r"),G155," ")</f>
        <v> </v>
      </c>
      <c r="O155" s="334" t="str">
        <f aca="false">IF((E155="g"),G155," ")</f>
        <v> </v>
      </c>
      <c r="P155" s="334" t="str">
        <f aca="false">IF((E155="m"),G155," ")</f>
        <v> </v>
      </c>
      <c r="Q155" s="334" t="str">
        <f aca="false">IF((E155="t"),G155," ")</f>
        <v> </v>
      </c>
      <c r="R155" s="334" t="str">
        <f aca="false">IF((E155="a"),G155," ")</f>
        <v> </v>
      </c>
      <c r="S155" s="334" t="str">
        <f aca="false">IF((E155="l"),G155," ")</f>
        <v> </v>
      </c>
      <c r="T155" s="334" t="str">
        <f aca="false">IF((E155="b"),G155," ")</f>
        <v> </v>
      </c>
      <c r="U155" s="334" t="str">
        <f aca="false">IF((E155="i"),G155," ")</f>
        <v> </v>
      </c>
      <c r="V155" s="334" t="str">
        <f aca="false">IF((E155="o"),G155," ")</f>
        <v> </v>
      </c>
      <c r="W155" s="334" t="str">
        <f aca="false">IF((E155="f"),G155," ")</f>
        <v> </v>
      </c>
    </row>
    <row r="156" customFormat="false" ht="12.75" hidden="false" customHeight="false" outlineLevel="0" collapsed="false">
      <c r="A156" s="355"/>
      <c r="E156" s="365" t="str">
        <f aca="false">IF((G156&lt;&gt;0),"Enter Letter"," ")</f>
        <v> </v>
      </c>
      <c r="H156" s="338" t="str">
        <f aca="false">IF((G156&lt;&gt;0),IF((D156&gt;0)," ",G156)," ")</f>
        <v> </v>
      </c>
      <c r="I156" s="367" t="str">
        <f aca="false">IF((G156&lt;&gt;0),IF((D156&gt;0)," ",(I$1-A156))," ")</f>
        <v> </v>
      </c>
      <c r="J156" s="334" t="str">
        <f aca="false">IF((E156="s"),G156," ")</f>
        <v> </v>
      </c>
      <c r="K156" s="334" t="str">
        <f aca="false">IF((E156="d"),G156," ")</f>
        <v> </v>
      </c>
      <c r="L156" s="334" t="str">
        <f aca="false">IF((E156="e"),G156," ")</f>
        <v> </v>
      </c>
      <c r="M156" s="334" t="str">
        <f aca="false">IF((E156="p"),G156," ")</f>
        <v> </v>
      </c>
      <c r="N156" s="334" t="str">
        <f aca="false">IF((E156="r"),G156," ")</f>
        <v> </v>
      </c>
      <c r="O156" s="334" t="str">
        <f aca="false">IF((E156="g"),G156," ")</f>
        <v> </v>
      </c>
      <c r="P156" s="334" t="str">
        <f aca="false">IF((E156="m"),G156," ")</f>
        <v> </v>
      </c>
      <c r="Q156" s="334" t="str">
        <f aca="false">IF((E156="t"),G156," ")</f>
        <v> </v>
      </c>
      <c r="R156" s="334" t="str">
        <f aca="false">IF((E156="a"),G156," ")</f>
        <v> </v>
      </c>
      <c r="S156" s="334" t="str">
        <f aca="false">IF((E156="l"),G156," ")</f>
        <v> </v>
      </c>
      <c r="T156" s="334" t="str">
        <f aca="false">IF((E156="b"),G156," ")</f>
        <v> </v>
      </c>
      <c r="U156" s="334" t="str">
        <f aca="false">IF((E156="i"),G156," ")</f>
        <v> </v>
      </c>
      <c r="V156" s="334" t="str">
        <f aca="false">IF((E156="o"),G156," ")</f>
        <v> </v>
      </c>
      <c r="W156" s="334" t="str">
        <f aca="false">IF((E156="f"),G156," ")</f>
        <v> </v>
      </c>
    </row>
    <row r="157" customFormat="false" ht="12.75" hidden="false" customHeight="false" outlineLevel="0" collapsed="false">
      <c r="A157" s="355"/>
      <c r="E157" s="365" t="str">
        <f aca="false">IF((G157&lt;&gt;0),"Enter Letter"," ")</f>
        <v> </v>
      </c>
      <c r="H157" s="338" t="str">
        <f aca="false">IF((G157&lt;&gt;0),IF((D157&gt;0)," ",G157)," ")</f>
        <v> </v>
      </c>
      <c r="I157" s="367" t="str">
        <f aca="false">IF((G157&lt;&gt;0),IF((D157&gt;0)," ",(I$1-A157))," ")</f>
        <v> </v>
      </c>
      <c r="J157" s="334" t="str">
        <f aca="false">IF((E157="s"),G157," ")</f>
        <v> </v>
      </c>
      <c r="K157" s="334" t="str">
        <f aca="false">IF((E157="d"),G157," ")</f>
        <v> </v>
      </c>
      <c r="L157" s="334" t="str">
        <f aca="false">IF((E157="e"),G157," ")</f>
        <v> </v>
      </c>
      <c r="M157" s="334" t="str">
        <f aca="false">IF((E157="p"),G157," ")</f>
        <v> </v>
      </c>
      <c r="N157" s="334" t="str">
        <f aca="false">IF((E157="r"),G157," ")</f>
        <v> </v>
      </c>
      <c r="O157" s="334" t="str">
        <f aca="false">IF((E157="g"),G157," ")</f>
        <v> </v>
      </c>
      <c r="P157" s="334" t="str">
        <f aca="false">IF((E157="m"),G157," ")</f>
        <v> </v>
      </c>
      <c r="Q157" s="334" t="str">
        <f aca="false">IF((E157="t"),G157," ")</f>
        <v> </v>
      </c>
      <c r="R157" s="334" t="str">
        <f aca="false">IF((E157="a"),G157," ")</f>
        <v> </v>
      </c>
      <c r="S157" s="334" t="str">
        <f aca="false">IF((E157="l"),G157," ")</f>
        <v> </v>
      </c>
      <c r="T157" s="334" t="str">
        <f aca="false">IF((E157="b"),G157," ")</f>
        <v> </v>
      </c>
      <c r="U157" s="334" t="str">
        <f aca="false">IF((E157="i"),G157," ")</f>
        <v> </v>
      </c>
      <c r="V157" s="334" t="str">
        <f aca="false">IF((E157="o"),G157," ")</f>
        <v> </v>
      </c>
      <c r="W157" s="334" t="str">
        <f aca="false">IF((E157="f"),G157," ")</f>
        <v> </v>
      </c>
    </row>
    <row r="158" customFormat="false" ht="12.75" hidden="false" customHeight="false" outlineLevel="0" collapsed="false">
      <c r="A158" s="355"/>
      <c r="E158" s="365" t="str">
        <f aca="false">IF((G158&lt;&gt;0),"Enter Letter"," ")</f>
        <v> </v>
      </c>
      <c r="H158" s="338" t="str">
        <f aca="false">IF((G158&lt;&gt;0),IF((D158&gt;0)," ",G158)," ")</f>
        <v> </v>
      </c>
      <c r="I158" s="367" t="str">
        <f aca="false">IF((G158&lt;&gt;0),IF((D158&gt;0)," ",(I$1-A158))," ")</f>
        <v> </v>
      </c>
      <c r="J158" s="334" t="str">
        <f aca="false">IF((E158="s"),G158," ")</f>
        <v> </v>
      </c>
      <c r="K158" s="334" t="str">
        <f aca="false">IF((E158="d"),G158," ")</f>
        <v> </v>
      </c>
      <c r="L158" s="334" t="str">
        <f aca="false">IF((E158="e"),G158," ")</f>
        <v> </v>
      </c>
      <c r="M158" s="334" t="str">
        <f aca="false">IF((E158="p"),G158," ")</f>
        <v> </v>
      </c>
      <c r="N158" s="334" t="str">
        <f aca="false">IF((E158="r"),G158," ")</f>
        <v> </v>
      </c>
      <c r="O158" s="334" t="str">
        <f aca="false">IF((E158="g"),G158," ")</f>
        <v> </v>
      </c>
      <c r="P158" s="334" t="str">
        <f aca="false">IF((E158="m"),G158," ")</f>
        <v> </v>
      </c>
      <c r="Q158" s="334" t="str">
        <f aca="false">IF((E158="t"),G158," ")</f>
        <v> </v>
      </c>
      <c r="R158" s="334" t="str">
        <f aca="false">IF((E158="a"),G158," ")</f>
        <v> </v>
      </c>
      <c r="S158" s="334" t="str">
        <f aca="false">IF((E158="l"),G158," ")</f>
        <v> </v>
      </c>
      <c r="T158" s="334" t="str">
        <f aca="false">IF((E158="b"),G158," ")</f>
        <v> </v>
      </c>
      <c r="U158" s="334" t="str">
        <f aca="false">IF((E158="i"),G158," ")</f>
        <v> </v>
      </c>
      <c r="V158" s="334" t="str">
        <f aca="false">IF((E158="o"),G158," ")</f>
        <v> </v>
      </c>
      <c r="W158" s="334" t="str">
        <f aca="false">IF((E158="f"),G158," ")</f>
        <v> </v>
      </c>
    </row>
    <row r="159" customFormat="false" ht="12.75" hidden="false" customHeight="false" outlineLevel="0" collapsed="false">
      <c r="A159" s="355"/>
      <c r="E159" s="365" t="str">
        <f aca="false">IF((G159&lt;&gt;0),"Enter Letter"," ")</f>
        <v> </v>
      </c>
      <c r="H159" s="338" t="str">
        <f aca="false">IF((G159&lt;&gt;0),IF((D159&gt;0)," ",G159)," ")</f>
        <v> </v>
      </c>
      <c r="I159" s="367" t="str">
        <f aca="false">IF((G159&lt;&gt;0),IF((D159&gt;0)," ",(I$1-A159))," ")</f>
        <v> </v>
      </c>
      <c r="J159" s="334" t="str">
        <f aca="false">IF((E159="s"),G159," ")</f>
        <v> </v>
      </c>
      <c r="K159" s="334" t="str">
        <f aca="false">IF((E159="d"),G159," ")</f>
        <v> </v>
      </c>
      <c r="L159" s="334" t="str">
        <f aca="false">IF((E159="e"),G159," ")</f>
        <v> </v>
      </c>
      <c r="M159" s="334" t="str">
        <f aca="false">IF((E159="p"),G159," ")</f>
        <v> </v>
      </c>
      <c r="N159" s="334" t="str">
        <f aca="false">IF((E159="r"),G159," ")</f>
        <v> </v>
      </c>
      <c r="O159" s="334" t="str">
        <f aca="false">IF((E159="g"),G159," ")</f>
        <v> </v>
      </c>
      <c r="P159" s="334" t="str">
        <f aca="false">IF((E159="m"),G159," ")</f>
        <v> </v>
      </c>
      <c r="Q159" s="334" t="str">
        <f aca="false">IF((E159="t"),G159," ")</f>
        <v> </v>
      </c>
      <c r="R159" s="334" t="str">
        <f aca="false">IF((E159="a"),G159," ")</f>
        <v> </v>
      </c>
      <c r="S159" s="334" t="str">
        <f aca="false">IF((E159="l"),G159," ")</f>
        <v> </v>
      </c>
      <c r="T159" s="334" t="str">
        <f aca="false">IF((E159="b"),G159," ")</f>
        <v> </v>
      </c>
      <c r="U159" s="334" t="str">
        <f aca="false">IF((E159="i"),G159," ")</f>
        <v> </v>
      </c>
      <c r="V159" s="334" t="str">
        <f aca="false">IF((E159="o"),G159," ")</f>
        <v> </v>
      </c>
      <c r="W159" s="334" t="str">
        <f aca="false">IF((E159="f"),G159," ")</f>
        <v> </v>
      </c>
    </row>
    <row r="160" customFormat="false" ht="12.75" hidden="false" customHeight="false" outlineLevel="0" collapsed="false">
      <c r="A160" s="355"/>
      <c r="E160" s="365" t="str">
        <f aca="false">IF((G160&lt;&gt;0),"Enter Letter"," ")</f>
        <v> </v>
      </c>
      <c r="H160" s="338" t="str">
        <f aca="false">IF((G160&lt;&gt;0),IF((D160&gt;0)," ",G160)," ")</f>
        <v> </v>
      </c>
      <c r="I160" s="367" t="str">
        <f aca="false">IF((G160&lt;&gt;0),IF((D160&gt;0)," ",(I$1-A160))," ")</f>
        <v> </v>
      </c>
      <c r="J160" s="334" t="str">
        <f aca="false">IF((E160="s"),G160," ")</f>
        <v> </v>
      </c>
      <c r="K160" s="334" t="str">
        <f aca="false">IF((E160="d"),G160," ")</f>
        <v> </v>
      </c>
      <c r="L160" s="334" t="str">
        <f aca="false">IF((E160="e"),G160," ")</f>
        <v> </v>
      </c>
      <c r="M160" s="334" t="str">
        <f aca="false">IF((E160="p"),G160," ")</f>
        <v> </v>
      </c>
      <c r="N160" s="334" t="str">
        <f aca="false">IF((E160="r"),G160," ")</f>
        <v> </v>
      </c>
      <c r="O160" s="334" t="str">
        <f aca="false">IF((E160="g"),G160," ")</f>
        <v> </v>
      </c>
      <c r="P160" s="334" t="str">
        <f aca="false">IF((E160="m"),G160," ")</f>
        <v> </v>
      </c>
      <c r="Q160" s="334" t="str">
        <f aca="false">IF((E160="t"),G160," ")</f>
        <v> </v>
      </c>
      <c r="R160" s="334" t="str">
        <f aca="false">IF((E160="a"),G160," ")</f>
        <v> </v>
      </c>
      <c r="S160" s="334" t="str">
        <f aca="false">IF((E160="l"),G160," ")</f>
        <v> </v>
      </c>
      <c r="T160" s="334" t="str">
        <f aca="false">IF((E160="b"),G160," ")</f>
        <v> </v>
      </c>
      <c r="U160" s="334" t="str">
        <f aca="false">IF((E160="i"),G160," ")</f>
        <v> </v>
      </c>
      <c r="V160" s="334" t="str">
        <f aca="false">IF((E160="o"),G160," ")</f>
        <v> </v>
      </c>
      <c r="W160" s="334" t="str">
        <f aca="false">IF((E160="f"),G160," ")</f>
        <v> </v>
      </c>
    </row>
    <row r="161" customFormat="false" ht="12.75" hidden="false" customHeight="false" outlineLevel="0" collapsed="false">
      <c r="A161" s="355"/>
      <c r="E161" s="365" t="str">
        <f aca="false">IF((G161&lt;&gt;0),"Enter Letter"," ")</f>
        <v> </v>
      </c>
      <c r="H161" s="338" t="str">
        <f aca="false">IF((G161&lt;&gt;0),IF((D161&gt;0)," ",G161)," ")</f>
        <v> </v>
      </c>
      <c r="I161" s="367" t="str">
        <f aca="false">IF((G161&lt;&gt;0),IF((D161&gt;0)," ",(I$1-A161))," ")</f>
        <v> </v>
      </c>
      <c r="J161" s="334" t="str">
        <f aca="false">IF((E161="s"),G161," ")</f>
        <v> </v>
      </c>
      <c r="K161" s="334" t="str">
        <f aca="false">IF((E161="d"),G161," ")</f>
        <v> </v>
      </c>
      <c r="L161" s="334" t="str">
        <f aca="false">IF((E161="e"),G161," ")</f>
        <v> </v>
      </c>
      <c r="M161" s="334" t="str">
        <f aca="false">IF((E161="p"),G161," ")</f>
        <v> </v>
      </c>
      <c r="N161" s="334" t="str">
        <f aca="false">IF((E161="r"),G161," ")</f>
        <v> </v>
      </c>
      <c r="O161" s="334" t="str">
        <f aca="false">IF((E161="g"),G161," ")</f>
        <v> </v>
      </c>
      <c r="P161" s="334" t="str">
        <f aca="false">IF((E161="m"),G161," ")</f>
        <v> </v>
      </c>
      <c r="Q161" s="334" t="str">
        <f aca="false">IF((E161="t"),G161," ")</f>
        <v> </v>
      </c>
      <c r="R161" s="334" t="str">
        <f aca="false">IF((E161="a"),G161," ")</f>
        <v> </v>
      </c>
      <c r="S161" s="334" t="str">
        <f aca="false">IF((E161="l"),G161," ")</f>
        <v> </v>
      </c>
      <c r="T161" s="334" t="str">
        <f aca="false">IF((E161="b"),G161," ")</f>
        <v> </v>
      </c>
      <c r="U161" s="334" t="str">
        <f aca="false">IF((E161="i"),G161," ")</f>
        <v> </v>
      </c>
      <c r="V161" s="334" t="str">
        <f aca="false">IF((E161="o"),G161," ")</f>
        <v> </v>
      </c>
      <c r="W161" s="334" t="str">
        <f aca="false">IF((E161="f"),G161," ")</f>
        <v> </v>
      </c>
    </row>
    <row r="162" customFormat="false" ht="12.75" hidden="false" customHeight="false" outlineLevel="0" collapsed="false">
      <c r="A162" s="355"/>
      <c r="E162" s="365" t="str">
        <f aca="false">IF((G162&lt;&gt;0),"Enter Letter"," ")</f>
        <v> </v>
      </c>
      <c r="H162" s="338" t="str">
        <f aca="false">IF((G162&lt;&gt;0),IF((D162&gt;0)," ",G162)," ")</f>
        <v> </v>
      </c>
      <c r="I162" s="367" t="str">
        <f aca="false">IF((G162&lt;&gt;0),IF((D162&gt;0)," ",(I$1-A162))," ")</f>
        <v> </v>
      </c>
      <c r="J162" s="334" t="str">
        <f aca="false">IF((E162="s"),G162," ")</f>
        <v> </v>
      </c>
      <c r="K162" s="334" t="str">
        <f aca="false">IF((E162="d"),G162," ")</f>
        <v> </v>
      </c>
      <c r="L162" s="334" t="str">
        <f aca="false">IF((E162="e"),G162," ")</f>
        <v> </v>
      </c>
      <c r="M162" s="334" t="str">
        <f aca="false">IF((E162="p"),G162," ")</f>
        <v> </v>
      </c>
      <c r="N162" s="334" t="str">
        <f aca="false">IF((E162="r"),G162," ")</f>
        <v> </v>
      </c>
      <c r="O162" s="334" t="str">
        <f aca="false">IF((E162="g"),G162," ")</f>
        <v> </v>
      </c>
      <c r="P162" s="334" t="str">
        <f aca="false">IF((E162="m"),G162," ")</f>
        <v> </v>
      </c>
      <c r="Q162" s="334" t="str">
        <f aca="false">IF((E162="t"),G162," ")</f>
        <v> </v>
      </c>
      <c r="R162" s="334" t="str">
        <f aca="false">IF((E162="a"),G162," ")</f>
        <v> </v>
      </c>
      <c r="S162" s="334" t="str">
        <f aca="false">IF((E162="l"),G162," ")</f>
        <v> </v>
      </c>
      <c r="T162" s="334" t="str">
        <f aca="false">IF((E162="b"),G162," ")</f>
        <v> </v>
      </c>
      <c r="U162" s="334" t="str">
        <f aca="false">IF((E162="i"),G162," ")</f>
        <v> </v>
      </c>
      <c r="V162" s="334" t="str">
        <f aca="false">IF((E162="o"),G162," ")</f>
        <v> </v>
      </c>
      <c r="W162" s="334" t="str">
        <f aca="false">IF((E162="f"),G162," ")</f>
        <v> </v>
      </c>
    </row>
    <row r="163" customFormat="false" ht="12.75" hidden="false" customHeight="false" outlineLevel="0" collapsed="false">
      <c r="A163" s="355"/>
      <c r="E163" s="365" t="str">
        <f aca="false">IF((G163&lt;&gt;0),"Enter Letter"," ")</f>
        <v> </v>
      </c>
      <c r="H163" s="338" t="str">
        <f aca="false">IF((G163&lt;&gt;0),IF((D163&gt;0)," ",G163)," ")</f>
        <v> </v>
      </c>
      <c r="I163" s="367" t="str">
        <f aca="false">IF((G163&lt;&gt;0),IF((D163&gt;0)," ",(I$1-A163))," ")</f>
        <v> </v>
      </c>
      <c r="J163" s="334" t="str">
        <f aca="false">IF((E163="s"),G163," ")</f>
        <v> </v>
      </c>
      <c r="K163" s="334" t="str">
        <f aca="false">IF((E163="d"),G163," ")</f>
        <v> </v>
      </c>
      <c r="L163" s="334" t="str">
        <f aca="false">IF((E163="e"),G163," ")</f>
        <v> </v>
      </c>
      <c r="M163" s="334" t="str">
        <f aca="false">IF((E163="p"),G163," ")</f>
        <v> </v>
      </c>
      <c r="N163" s="334" t="str">
        <f aca="false">IF((E163="r"),G163," ")</f>
        <v> </v>
      </c>
      <c r="O163" s="334" t="str">
        <f aca="false">IF((E163="g"),G163," ")</f>
        <v> </v>
      </c>
      <c r="P163" s="334" t="str">
        <f aca="false">IF((E163="m"),G163," ")</f>
        <v> </v>
      </c>
      <c r="Q163" s="334" t="str">
        <f aca="false">IF((E163="t"),G163," ")</f>
        <v> </v>
      </c>
      <c r="R163" s="334" t="str">
        <f aca="false">IF((E163="a"),G163," ")</f>
        <v> </v>
      </c>
      <c r="S163" s="334" t="str">
        <f aca="false">IF((E163="l"),G163," ")</f>
        <v> </v>
      </c>
      <c r="T163" s="334" t="str">
        <f aca="false">IF((E163="b"),G163," ")</f>
        <v> </v>
      </c>
      <c r="U163" s="334" t="str">
        <f aca="false">IF((E163="i"),G163," ")</f>
        <v> </v>
      </c>
      <c r="V163" s="334" t="str">
        <f aca="false">IF((E163="o"),G163," ")</f>
        <v> </v>
      </c>
      <c r="W163" s="334" t="str">
        <f aca="false">IF((E163="f"),G163," ")</f>
        <v> </v>
      </c>
    </row>
    <row r="164" customFormat="false" ht="12.75" hidden="false" customHeight="false" outlineLevel="0" collapsed="false">
      <c r="A164" s="355"/>
      <c r="E164" s="365" t="str">
        <f aca="false">IF((G164&lt;&gt;0),"Enter Letter"," ")</f>
        <v> </v>
      </c>
      <c r="H164" s="338" t="str">
        <f aca="false">IF((G164&lt;&gt;0),IF((D164&gt;0)," ",G164)," ")</f>
        <v> </v>
      </c>
      <c r="I164" s="367" t="str">
        <f aca="false">IF((G164&lt;&gt;0),IF((D164&gt;0)," ",(I$1-A164))," ")</f>
        <v> </v>
      </c>
      <c r="J164" s="334" t="str">
        <f aca="false">IF((E164="s"),G164," ")</f>
        <v> </v>
      </c>
      <c r="K164" s="334" t="str">
        <f aca="false">IF((E164="d"),G164," ")</f>
        <v> </v>
      </c>
      <c r="L164" s="334" t="str">
        <f aca="false">IF((E164="e"),G164," ")</f>
        <v> </v>
      </c>
      <c r="M164" s="334" t="str">
        <f aca="false">IF((E164="p"),G164," ")</f>
        <v> </v>
      </c>
      <c r="N164" s="334" t="str">
        <f aca="false">IF((E164="r"),G164," ")</f>
        <v> </v>
      </c>
      <c r="O164" s="334" t="str">
        <f aca="false">IF((E164="g"),G164," ")</f>
        <v> </v>
      </c>
      <c r="P164" s="334" t="str">
        <f aca="false">IF((E164="m"),G164," ")</f>
        <v> </v>
      </c>
      <c r="Q164" s="334" t="str">
        <f aca="false">IF((E164="t"),G164," ")</f>
        <v> </v>
      </c>
      <c r="R164" s="334" t="str">
        <f aca="false">IF((E164="a"),G164," ")</f>
        <v> </v>
      </c>
      <c r="S164" s="334" t="str">
        <f aca="false">IF((E164="l"),G164," ")</f>
        <v> </v>
      </c>
      <c r="T164" s="334" t="str">
        <f aca="false">IF((E164="b"),G164," ")</f>
        <v> </v>
      </c>
      <c r="U164" s="334" t="str">
        <f aca="false">IF((E164="i"),G164," ")</f>
        <v> </v>
      </c>
      <c r="V164" s="334" t="str">
        <f aca="false">IF((E164="o"),G164," ")</f>
        <v> </v>
      </c>
      <c r="W164" s="334" t="str">
        <f aca="false">IF((E164="f"),G164," ")</f>
        <v> </v>
      </c>
    </row>
    <row r="165" customFormat="false" ht="12.75" hidden="false" customHeight="false" outlineLevel="0" collapsed="false">
      <c r="A165" s="355"/>
      <c r="E165" s="365" t="str">
        <f aca="false">IF((G165&lt;&gt;0),"Enter Letter"," ")</f>
        <v> </v>
      </c>
      <c r="H165" s="338" t="str">
        <f aca="false">IF((G165&lt;&gt;0),IF((D165&gt;0)," ",G165)," ")</f>
        <v> </v>
      </c>
      <c r="I165" s="367" t="str">
        <f aca="false">IF((G165&lt;&gt;0),IF((D165&gt;0)," ",(I$1-A165))," ")</f>
        <v> </v>
      </c>
      <c r="J165" s="334" t="str">
        <f aca="false">IF((E165="s"),G165," ")</f>
        <v> </v>
      </c>
      <c r="K165" s="334" t="str">
        <f aca="false">IF((E165="d"),G165," ")</f>
        <v> </v>
      </c>
      <c r="L165" s="334" t="str">
        <f aca="false">IF((E165="e"),G165," ")</f>
        <v> </v>
      </c>
      <c r="M165" s="334" t="str">
        <f aca="false">IF((E165="p"),G165," ")</f>
        <v> </v>
      </c>
      <c r="N165" s="334" t="str">
        <f aca="false">IF((E165="r"),G165," ")</f>
        <v> </v>
      </c>
      <c r="O165" s="334" t="str">
        <f aca="false">IF((E165="g"),G165," ")</f>
        <v> </v>
      </c>
      <c r="P165" s="334" t="str">
        <f aca="false">IF((E165="m"),G165," ")</f>
        <v> </v>
      </c>
      <c r="Q165" s="334" t="str">
        <f aca="false">IF((E165="t"),G165," ")</f>
        <v> </v>
      </c>
      <c r="R165" s="334" t="str">
        <f aca="false">IF((E165="a"),G165," ")</f>
        <v> </v>
      </c>
      <c r="S165" s="334" t="str">
        <f aca="false">IF((E165="l"),G165," ")</f>
        <v> </v>
      </c>
      <c r="T165" s="334" t="str">
        <f aca="false">IF((E165="b"),G165," ")</f>
        <v> </v>
      </c>
      <c r="U165" s="334" t="str">
        <f aca="false">IF((E165="i"),G165," ")</f>
        <v> </v>
      </c>
      <c r="V165" s="334" t="str">
        <f aca="false">IF((E165="o"),G165," ")</f>
        <v> </v>
      </c>
      <c r="W165" s="334" t="str">
        <f aca="false">IF((E165="f"),G165," ")</f>
        <v> </v>
      </c>
    </row>
    <row r="166" customFormat="false" ht="12.75" hidden="false" customHeight="false" outlineLevel="0" collapsed="false">
      <c r="A166" s="355"/>
      <c r="E166" s="365" t="str">
        <f aca="false">IF((G166&lt;&gt;0),"Enter Letter"," ")</f>
        <v> </v>
      </c>
      <c r="H166" s="338" t="str">
        <f aca="false">IF((G166&lt;&gt;0),IF((D166&gt;0)," ",G166)," ")</f>
        <v> </v>
      </c>
      <c r="I166" s="367" t="str">
        <f aca="false">IF((G166&lt;&gt;0),IF((D166&gt;0)," ",(I$1-A166))," ")</f>
        <v> </v>
      </c>
      <c r="J166" s="334" t="str">
        <f aca="false">IF((E166="s"),G166," ")</f>
        <v> </v>
      </c>
      <c r="K166" s="334" t="str">
        <f aca="false">IF((E166="d"),G166," ")</f>
        <v> </v>
      </c>
      <c r="L166" s="334" t="str">
        <f aca="false">IF((E166="e"),G166," ")</f>
        <v> </v>
      </c>
      <c r="M166" s="334" t="str">
        <f aca="false">IF((E166="p"),G166," ")</f>
        <v> </v>
      </c>
      <c r="N166" s="334" t="str">
        <f aca="false">IF((E166="r"),G166," ")</f>
        <v> </v>
      </c>
      <c r="O166" s="334" t="str">
        <f aca="false">IF((E166="g"),G166," ")</f>
        <v> </v>
      </c>
      <c r="P166" s="334" t="str">
        <f aca="false">IF((E166="m"),G166," ")</f>
        <v> </v>
      </c>
      <c r="Q166" s="334" t="str">
        <f aca="false">IF((E166="t"),G166," ")</f>
        <v> </v>
      </c>
      <c r="R166" s="334" t="str">
        <f aca="false">IF((E166="a"),G166," ")</f>
        <v> </v>
      </c>
      <c r="S166" s="334" t="str">
        <f aca="false">IF((E166="l"),G166," ")</f>
        <v> </v>
      </c>
      <c r="T166" s="334" t="str">
        <f aca="false">IF((E166="b"),G166," ")</f>
        <v> </v>
      </c>
      <c r="U166" s="334" t="str">
        <f aca="false">IF((E166="i"),G166," ")</f>
        <v> </v>
      </c>
      <c r="V166" s="334" t="str">
        <f aca="false">IF((E166="o"),G166," ")</f>
        <v> </v>
      </c>
      <c r="W166" s="334" t="str">
        <f aca="false">IF((E166="f"),G166," ")</f>
        <v> </v>
      </c>
    </row>
    <row r="167" customFormat="false" ht="12.75" hidden="false" customHeight="false" outlineLevel="0" collapsed="false">
      <c r="A167" s="355"/>
      <c r="E167" s="365" t="str">
        <f aca="false">IF((G167&lt;&gt;0),"Enter Letter"," ")</f>
        <v> </v>
      </c>
      <c r="H167" s="338" t="str">
        <f aca="false">IF((G167&lt;&gt;0),IF((D167&gt;0)," ",G167)," ")</f>
        <v> </v>
      </c>
      <c r="I167" s="367" t="str">
        <f aca="false">IF((G167&lt;&gt;0),IF((D167&gt;0)," ",(I$1-A167))," ")</f>
        <v> </v>
      </c>
      <c r="J167" s="334" t="str">
        <f aca="false">IF((E167="s"),G167," ")</f>
        <v> </v>
      </c>
      <c r="K167" s="334" t="str">
        <f aca="false">IF((E167="d"),G167," ")</f>
        <v> </v>
      </c>
      <c r="L167" s="334" t="str">
        <f aca="false">IF((E167="e"),G167," ")</f>
        <v> </v>
      </c>
      <c r="M167" s="334" t="str">
        <f aca="false">IF((E167="p"),G167," ")</f>
        <v> </v>
      </c>
      <c r="N167" s="334" t="str">
        <f aca="false">IF((E167="r"),G167," ")</f>
        <v> </v>
      </c>
      <c r="O167" s="334" t="str">
        <f aca="false">IF((E167="g"),G167," ")</f>
        <v> </v>
      </c>
      <c r="P167" s="334" t="str">
        <f aca="false">IF((E167="m"),G167," ")</f>
        <v> </v>
      </c>
      <c r="Q167" s="334" t="str">
        <f aca="false">IF((E167="t"),G167," ")</f>
        <v> </v>
      </c>
      <c r="R167" s="334" t="str">
        <f aca="false">IF((E167="a"),G167," ")</f>
        <v> </v>
      </c>
      <c r="S167" s="334" t="str">
        <f aca="false">IF((E167="l"),G167," ")</f>
        <v> </v>
      </c>
      <c r="T167" s="334" t="str">
        <f aca="false">IF((E167="b"),G167," ")</f>
        <v> </v>
      </c>
      <c r="U167" s="334" t="str">
        <f aca="false">IF((E167="i"),G167," ")</f>
        <v> </v>
      </c>
      <c r="V167" s="334" t="str">
        <f aca="false">IF((E167="o"),G167," ")</f>
        <v> </v>
      </c>
      <c r="W167" s="334" t="str">
        <f aca="false">IF((E167="f"),G167," ")</f>
        <v> </v>
      </c>
    </row>
    <row r="168" customFormat="false" ht="12.75" hidden="false" customHeight="false" outlineLevel="0" collapsed="false">
      <c r="A168" s="355"/>
      <c r="E168" s="365" t="str">
        <f aca="false">IF((G168&lt;&gt;0),"Enter Letter"," ")</f>
        <v> </v>
      </c>
      <c r="H168" s="338" t="str">
        <f aca="false">IF((G168&lt;&gt;0),IF((D168&gt;0)," ",G168)," ")</f>
        <v> </v>
      </c>
      <c r="I168" s="367" t="str">
        <f aca="false">IF((G168&lt;&gt;0),IF((D168&gt;0)," ",(I$1-A168))," ")</f>
        <v> </v>
      </c>
      <c r="J168" s="334" t="str">
        <f aca="false">IF((E168="s"),G168," ")</f>
        <v> </v>
      </c>
      <c r="K168" s="334" t="str">
        <f aca="false">IF((E168="d"),G168," ")</f>
        <v> </v>
      </c>
      <c r="L168" s="334" t="str">
        <f aca="false">IF((E168="e"),G168," ")</f>
        <v> </v>
      </c>
      <c r="M168" s="334" t="str">
        <f aca="false">IF((E168="p"),G168," ")</f>
        <v> </v>
      </c>
      <c r="N168" s="334" t="str">
        <f aca="false">IF((E168="r"),G168," ")</f>
        <v> </v>
      </c>
      <c r="O168" s="334" t="str">
        <f aca="false">IF((E168="g"),G168," ")</f>
        <v> </v>
      </c>
      <c r="P168" s="334" t="str">
        <f aca="false">IF((E168="m"),G168," ")</f>
        <v> </v>
      </c>
      <c r="Q168" s="334" t="str">
        <f aca="false">IF((E168="t"),G168," ")</f>
        <v> </v>
      </c>
      <c r="R168" s="334" t="str">
        <f aca="false">IF((E168="a"),G168," ")</f>
        <v> </v>
      </c>
      <c r="S168" s="334" t="str">
        <f aca="false">IF((E168="l"),G168," ")</f>
        <v> </v>
      </c>
      <c r="T168" s="334" t="str">
        <f aca="false">IF((E168="b"),G168," ")</f>
        <v> </v>
      </c>
      <c r="U168" s="334" t="str">
        <f aca="false">IF((E168="i"),G168," ")</f>
        <v> </v>
      </c>
      <c r="V168" s="334" t="str">
        <f aca="false">IF((E168="o"),G168," ")</f>
        <v> </v>
      </c>
      <c r="W168" s="334" t="str">
        <f aca="false">IF((E168="f"),G168," ")</f>
        <v> </v>
      </c>
    </row>
    <row r="169" customFormat="false" ht="12.75" hidden="false" customHeight="false" outlineLevel="0" collapsed="false">
      <c r="A169" s="355"/>
      <c r="E169" s="365" t="str">
        <f aca="false">IF((G169&lt;&gt;0),"Enter Letter"," ")</f>
        <v> </v>
      </c>
      <c r="H169" s="338" t="str">
        <f aca="false">IF((G169&lt;&gt;0),IF((D169&gt;0)," ",G169)," ")</f>
        <v> </v>
      </c>
      <c r="I169" s="367" t="str">
        <f aca="false">IF((G169&lt;&gt;0),IF((D169&gt;0)," ",(I$1-A169))," ")</f>
        <v> </v>
      </c>
      <c r="J169" s="334" t="str">
        <f aca="false">IF((E169="s"),G169," ")</f>
        <v> </v>
      </c>
      <c r="K169" s="334" t="str">
        <f aca="false">IF((E169="d"),G169," ")</f>
        <v> </v>
      </c>
      <c r="L169" s="334" t="str">
        <f aca="false">IF((E169="e"),G169," ")</f>
        <v> </v>
      </c>
      <c r="M169" s="334" t="str">
        <f aca="false">IF((E169="p"),G169," ")</f>
        <v> </v>
      </c>
      <c r="N169" s="334" t="str">
        <f aca="false">IF((E169="r"),G169," ")</f>
        <v> </v>
      </c>
      <c r="O169" s="334" t="str">
        <f aca="false">IF((E169="g"),G169," ")</f>
        <v> </v>
      </c>
      <c r="P169" s="334" t="str">
        <f aca="false">IF((E169="m"),G169," ")</f>
        <v> </v>
      </c>
      <c r="Q169" s="334" t="str">
        <f aca="false">IF((E169="t"),G169," ")</f>
        <v> </v>
      </c>
      <c r="R169" s="334" t="str">
        <f aca="false">IF((E169="a"),G169," ")</f>
        <v> </v>
      </c>
      <c r="S169" s="334" t="str">
        <f aca="false">IF((E169="l"),G169," ")</f>
        <v> </v>
      </c>
      <c r="T169" s="334" t="str">
        <f aca="false">IF((E169="b"),G169," ")</f>
        <v> </v>
      </c>
      <c r="U169" s="334" t="str">
        <f aca="false">IF((E169="i"),G169," ")</f>
        <v> </v>
      </c>
      <c r="V169" s="334" t="str">
        <f aca="false">IF((E169="o"),G169," ")</f>
        <v> </v>
      </c>
      <c r="W169" s="334" t="str">
        <f aca="false">IF((E169="f"),G169," ")</f>
        <v> </v>
      </c>
    </row>
    <row r="170" customFormat="false" ht="12.75" hidden="false" customHeight="false" outlineLevel="0" collapsed="false">
      <c r="A170" s="355"/>
      <c r="E170" s="365" t="str">
        <f aca="false">IF((G170&lt;&gt;0),"Enter Letter"," ")</f>
        <v> </v>
      </c>
      <c r="H170" s="338" t="str">
        <f aca="false">IF((G170&lt;&gt;0),IF((D170&gt;0)," ",G170)," ")</f>
        <v> </v>
      </c>
      <c r="I170" s="367" t="str">
        <f aca="false">IF((G170&lt;&gt;0),IF((D170&gt;0)," ",(I$1-A170))," ")</f>
        <v> </v>
      </c>
      <c r="J170" s="334" t="str">
        <f aca="false">IF((E170="s"),G170," ")</f>
        <v> </v>
      </c>
      <c r="K170" s="334" t="str">
        <f aca="false">IF((E170="d"),G170," ")</f>
        <v> </v>
      </c>
      <c r="L170" s="334" t="str">
        <f aca="false">IF((E170="e"),G170," ")</f>
        <v> </v>
      </c>
      <c r="M170" s="334" t="str">
        <f aca="false">IF((E170="p"),G170," ")</f>
        <v> </v>
      </c>
      <c r="N170" s="334" t="str">
        <f aca="false">IF((E170="r"),G170," ")</f>
        <v> </v>
      </c>
      <c r="O170" s="334" t="str">
        <f aca="false">IF((E170="g"),G170," ")</f>
        <v> </v>
      </c>
      <c r="P170" s="334" t="str">
        <f aca="false">IF((E170="m"),G170," ")</f>
        <v> </v>
      </c>
      <c r="Q170" s="334" t="str">
        <f aca="false">IF((E170="t"),G170," ")</f>
        <v> </v>
      </c>
      <c r="R170" s="334" t="str">
        <f aca="false">IF((E170="a"),G170," ")</f>
        <v> </v>
      </c>
      <c r="S170" s="334" t="str">
        <f aca="false">IF((E170="l"),G170," ")</f>
        <v> </v>
      </c>
      <c r="T170" s="334" t="str">
        <f aca="false">IF((E170="b"),G170," ")</f>
        <v> </v>
      </c>
      <c r="U170" s="334" t="str">
        <f aca="false">IF((E170="i"),G170," ")</f>
        <v> </v>
      </c>
      <c r="V170" s="334" t="str">
        <f aca="false">IF((E170="o"),G170," ")</f>
        <v> </v>
      </c>
      <c r="W170" s="334" t="str">
        <f aca="false">IF((E170="f"),G170," ")</f>
        <v> </v>
      </c>
    </row>
    <row r="171" customFormat="false" ht="12.75" hidden="false" customHeight="false" outlineLevel="0" collapsed="false">
      <c r="A171" s="355"/>
      <c r="E171" s="365" t="str">
        <f aca="false">IF((G171&lt;&gt;0),"Enter Letter"," ")</f>
        <v> </v>
      </c>
      <c r="H171" s="338" t="str">
        <f aca="false">IF((G171&lt;&gt;0),IF((D171&gt;0)," ",G171)," ")</f>
        <v> </v>
      </c>
      <c r="I171" s="367" t="str">
        <f aca="false">IF((G171&lt;&gt;0),IF((D171&gt;0)," ",(I$1-A171))," ")</f>
        <v> </v>
      </c>
      <c r="J171" s="334" t="str">
        <f aca="false">IF((E171="s"),G171," ")</f>
        <v> </v>
      </c>
      <c r="K171" s="334" t="str">
        <f aca="false">IF((E171="d"),G171," ")</f>
        <v> </v>
      </c>
      <c r="L171" s="334" t="str">
        <f aca="false">IF((E171="e"),G171," ")</f>
        <v> </v>
      </c>
      <c r="M171" s="334" t="str">
        <f aca="false">IF((E171="p"),G171," ")</f>
        <v> </v>
      </c>
      <c r="N171" s="334" t="str">
        <f aca="false">IF((E171="r"),G171," ")</f>
        <v> </v>
      </c>
      <c r="O171" s="334" t="str">
        <f aca="false">IF((E171="g"),G171," ")</f>
        <v> </v>
      </c>
      <c r="P171" s="334" t="str">
        <f aca="false">IF((E171="m"),G171," ")</f>
        <v> </v>
      </c>
      <c r="Q171" s="334" t="str">
        <f aca="false">IF((E171="t"),G171," ")</f>
        <v> </v>
      </c>
      <c r="R171" s="334" t="str">
        <f aca="false">IF((E171="a"),G171," ")</f>
        <v> </v>
      </c>
      <c r="S171" s="334" t="str">
        <f aca="false">IF((E171="l"),G171," ")</f>
        <v> </v>
      </c>
      <c r="T171" s="334" t="str">
        <f aca="false">IF((E171="b"),G171," ")</f>
        <v> </v>
      </c>
      <c r="U171" s="334" t="str">
        <f aca="false">IF((E171="i"),G171," ")</f>
        <v> </v>
      </c>
      <c r="V171" s="334" t="str">
        <f aca="false">IF((E171="o"),G171," ")</f>
        <v> </v>
      </c>
      <c r="W171" s="334" t="str">
        <f aca="false">IF((E171="f"),G171," ")</f>
        <v> </v>
      </c>
    </row>
    <row r="172" customFormat="false" ht="12.75" hidden="false" customHeight="false" outlineLevel="0" collapsed="false">
      <c r="A172" s="355"/>
      <c r="E172" s="365" t="str">
        <f aca="false">IF((G172&lt;&gt;0),"Enter Letter"," ")</f>
        <v> </v>
      </c>
      <c r="H172" s="338" t="str">
        <f aca="false">IF((G172&lt;&gt;0),IF((D172&gt;0)," ",G172)," ")</f>
        <v> </v>
      </c>
      <c r="I172" s="367" t="str">
        <f aca="false">IF((G172&lt;&gt;0),IF((D172&gt;0)," ",(I$1-A172))," ")</f>
        <v> </v>
      </c>
      <c r="J172" s="334" t="str">
        <f aca="false">IF((E172="s"),G172," ")</f>
        <v> </v>
      </c>
      <c r="K172" s="334" t="str">
        <f aca="false">IF((E172="d"),G172," ")</f>
        <v> </v>
      </c>
      <c r="L172" s="334" t="str">
        <f aca="false">IF((E172="e"),G172," ")</f>
        <v> </v>
      </c>
      <c r="M172" s="334" t="str">
        <f aca="false">IF((E172="p"),G172," ")</f>
        <v> </v>
      </c>
      <c r="N172" s="334" t="str">
        <f aca="false">IF((E172="r"),G172," ")</f>
        <v> </v>
      </c>
      <c r="O172" s="334" t="str">
        <f aca="false">IF((E172="g"),G172," ")</f>
        <v> </v>
      </c>
      <c r="P172" s="334" t="str">
        <f aca="false">IF((E172="m"),G172," ")</f>
        <v> </v>
      </c>
      <c r="Q172" s="334" t="str">
        <f aca="false">IF((E172="t"),G172," ")</f>
        <v> </v>
      </c>
      <c r="R172" s="334" t="str">
        <f aca="false">IF((E172="a"),G172," ")</f>
        <v> </v>
      </c>
      <c r="S172" s="334" t="str">
        <f aca="false">IF((E172="l"),G172," ")</f>
        <v> </v>
      </c>
      <c r="T172" s="334" t="str">
        <f aca="false">IF((E172="b"),G172," ")</f>
        <v> </v>
      </c>
      <c r="U172" s="334" t="str">
        <f aca="false">IF((E172="i"),G172," ")</f>
        <v> </v>
      </c>
      <c r="V172" s="334" t="str">
        <f aca="false">IF((E172="o"),G172," ")</f>
        <v> </v>
      </c>
      <c r="W172" s="334" t="str">
        <f aca="false">IF((E172="f"),G172," ")</f>
        <v> </v>
      </c>
    </row>
    <row r="173" customFormat="false" ht="12.75" hidden="false" customHeight="false" outlineLevel="0" collapsed="false">
      <c r="A173" s="355"/>
      <c r="E173" s="365" t="str">
        <f aca="false">IF((G173&lt;&gt;0),"Enter Letter"," ")</f>
        <v> </v>
      </c>
      <c r="H173" s="338" t="str">
        <f aca="false">IF((G173&lt;&gt;0),IF((D173&gt;0)," ",G173)," ")</f>
        <v> </v>
      </c>
      <c r="I173" s="367" t="str">
        <f aca="false">IF((G173&lt;&gt;0),IF((D173&gt;0)," ",(I$1-A173))," ")</f>
        <v> </v>
      </c>
      <c r="J173" s="334" t="str">
        <f aca="false">IF((E173="s"),G173," ")</f>
        <v> </v>
      </c>
      <c r="K173" s="334" t="str">
        <f aca="false">IF((E173="d"),G173," ")</f>
        <v> </v>
      </c>
      <c r="L173" s="334" t="str">
        <f aca="false">IF((E173="e"),G173," ")</f>
        <v> </v>
      </c>
      <c r="M173" s="334" t="str">
        <f aca="false">IF((E173="p"),G173," ")</f>
        <v> </v>
      </c>
      <c r="N173" s="334" t="str">
        <f aca="false">IF((E173="r"),G173," ")</f>
        <v> </v>
      </c>
      <c r="O173" s="334" t="str">
        <f aca="false">IF((E173="g"),G173," ")</f>
        <v> </v>
      </c>
      <c r="P173" s="334" t="str">
        <f aca="false">IF((E173="m"),G173," ")</f>
        <v> </v>
      </c>
      <c r="Q173" s="334" t="str">
        <f aca="false">IF((E173="t"),G173," ")</f>
        <v> </v>
      </c>
      <c r="R173" s="334" t="str">
        <f aca="false">IF((E173="a"),G173," ")</f>
        <v> </v>
      </c>
      <c r="S173" s="334" t="str">
        <f aca="false">IF((E173="l"),G173," ")</f>
        <v> </v>
      </c>
      <c r="T173" s="334" t="str">
        <f aca="false">IF((E173="b"),G173," ")</f>
        <v> </v>
      </c>
      <c r="U173" s="334" t="str">
        <f aca="false">IF((E173="i"),G173," ")</f>
        <v> </v>
      </c>
      <c r="V173" s="334" t="str">
        <f aca="false">IF((E173="o"),G173," ")</f>
        <v> </v>
      </c>
      <c r="W173" s="334" t="str">
        <f aca="false">IF((E173="f"),G173," ")</f>
        <v> </v>
      </c>
    </row>
    <row r="174" customFormat="false" ht="12.75" hidden="false" customHeight="false" outlineLevel="0" collapsed="false">
      <c r="A174" s="355"/>
      <c r="E174" s="365" t="str">
        <f aca="false">IF((G174&lt;&gt;0),"Enter Letter"," ")</f>
        <v> </v>
      </c>
      <c r="H174" s="338" t="str">
        <f aca="false">IF((G174&lt;&gt;0),IF((D174&gt;0)," ",G174)," ")</f>
        <v> </v>
      </c>
      <c r="I174" s="367" t="str">
        <f aca="false">IF((G174&lt;&gt;0),IF((D174&gt;0)," ",(I$1-A174))," ")</f>
        <v> </v>
      </c>
      <c r="J174" s="334" t="str">
        <f aca="false">IF((E174="s"),G174," ")</f>
        <v> </v>
      </c>
      <c r="K174" s="334" t="str">
        <f aca="false">IF((E174="d"),G174," ")</f>
        <v> </v>
      </c>
      <c r="L174" s="334" t="str">
        <f aca="false">IF((E174="e"),G174," ")</f>
        <v> </v>
      </c>
      <c r="M174" s="334" t="str">
        <f aca="false">IF((E174="p"),G174," ")</f>
        <v> </v>
      </c>
      <c r="N174" s="334" t="str">
        <f aca="false">IF((E174="r"),G174," ")</f>
        <v> </v>
      </c>
      <c r="O174" s="334" t="str">
        <f aca="false">IF((E174="g"),G174," ")</f>
        <v> </v>
      </c>
      <c r="P174" s="334" t="str">
        <f aca="false">IF((E174="m"),G174," ")</f>
        <v> </v>
      </c>
      <c r="Q174" s="334" t="str">
        <f aca="false">IF((E174="t"),G174," ")</f>
        <v> </v>
      </c>
      <c r="R174" s="334" t="str">
        <f aca="false">IF((E174="a"),G174," ")</f>
        <v> </v>
      </c>
      <c r="S174" s="334" t="str">
        <f aca="false">IF((E174="l"),G174," ")</f>
        <v> </v>
      </c>
      <c r="T174" s="334" t="str">
        <f aca="false">IF((E174="b"),G174," ")</f>
        <v> </v>
      </c>
      <c r="U174" s="334" t="str">
        <f aca="false">IF((E174="i"),G174," ")</f>
        <v> </v>
      </c>
      <c r="V174" s="334" t="str">
        <f aca="false">IF((E174="o"),G174," ")</f>
        <v> </v>
      </c>
      <c r="W174" s="334" t="str">
        <f aca="false">IF((E174="f"),G174," ")</f>
        <v> </v>
      </c>
    </row>
    <row r="175" customFormat="false" ht="12.75" hidden="false" customHeight="false" outlineLevel="0" collapsed="false">
      <c r="A175" s="355"/>
      <c r="E175" s="365" t="str">
        <f aca="false">IF((G175&lt;&gt;0),"Enter Letter"," ")</f>
        <v> </v>
      </c>
      <c r="H175" s="338" t="str">
        <f aca="false">IF((G175&lt;&gt;0),IF((D175&gt;0)," ",G175)," ")</f>
        <v> </v>
      </c>
      <c r="I175" s="367" t="str">
        <f aca="false">IF((G175&lt;&gt;0),IF((D175&gt;0)," ",(I$1-A175))," ")</f>
        <v> </v>
      </c>
      <c r="J175" s="334" t="str">
        <f aca="false">IF((E175="s"),G175," ")</f>
        <v> </v>
      </c>
      <c r="K175" s="334" t="str">
        <f aca="false">IF((E175="d"),G175," ")</f>
        <v> </v>
      </c>
      <c r="L175" s="334" t="str">
        <f aca="false">IF((E175="e"),G175," ")</f>
        <v> </v>
      </c>
      <c r="M175" s="334" t="str">
        <f aca="false">IF((E175="p"),G175," ")</f>
        <v> </v>
      </c>
      <c r="N175" s="334" t="str">
        <f aca="false">IF((E175="r"),G175," ")</f>
        <v> </v>
      </c>
      <c r="O175" s="334" t="str">
        <f aca="false">IF((E175="g"),G175," ")</f>
        <v> </v>
      </c>
      <c r="P175" s="334" t="str">
        <f aca="false">IF((E175="m"),G175," ")</f>
        <v> </v>
      </c>
      <c r="Q175" s="334" t="str">
        <f aca="false">IF((E175="t"),G175," ")</f>
        <v> </v>
      </c>
      <c r="R175" s="334" t="str">
        <f aca="false">IF((E175="a"),G175," ")</f>
        <v> </v>
      </c>
      <c r="S175" s="334" t="str">
        <f aca="false">IF((E175="l"),G175," ")</f>
        <v> </v>
      </c>
      <c r="T175" s="334" t="str">
        <f aca="false">IF((E175="b"),G175," ")</f>
        <v> </v>
      </c>
      <c r="U175" s="334" t="str">
        <f aca="false">IF((E175="i"),G175," ")</f>
        <v> </v>
      </c>
      <c r="V175" s="334" t="str">
        <f aca="false">IF((E175="o"),G175," ")</f>
        <v> </v>
      </c>
      <c r="W175" s="334" t="str">
        <f aca="false">IF((E175="f"),G175," ")</f>
        <v> </v>
      </c>
    </row>
    <row r="176" customFormat="false" ht="12.75" hidden="false" customHeight="false" outlineLevel="0" collapsed="false">
      <c r="A176" s="355"/>
      <c r="E176" s="365" t="str">
        <f aca="false">IF((G176&lt;&gt;0),"Enter Letter"," ")</f>
        <v> </v>
      </c>
      <c r="H176" s="338" t="str">
        <f aca="false">IF((G176&lt;&gt;0),IF((D176&gt;0)," ",G176)," ")</f>
        <v> </v>
      </c>
      <c r="I176" s="367" t="str">
        <f aca="false">IF((G176&lt;&gt;0),IF((D176&gt;0)," ",(I$1-A176))," ")</f>
        <v> </v>
      </c>
      <c r="J176" s="334" t="str">
        <f aca="false">IF((E176="s"),G176," ")</f>
        <v> </v>
      </c>
      <c r="K176" s="334" t="str">
        <f aca="false">IF((E176="d"),G176," ")</f>
        <v> </v>
      </c>
      <c r="L176" s="334" t="str">
        <f aca="false">IF((E176="e"),G176," ")</f>
        <v> </v>
      </c>
      <c r="M176" s="334" t="str">
        <f aca="false">IF((E176="p"),G176," ")</f>
        <v> </v>
      </c>
      <c r="N176" s="334" t="str">
        <f aca="false">IF((E176="r"),G176," ")</f>
        <v> </v>
      </c>
      <c r="O176" s="334" t="str">
        <f aca="false">IF((E176="g"),G176," ")</f>
        <v> </v>
      </c>
      <c r="P176" s="334" t="str">
        <f aca="false">IF((E176="m"),G176," ")</f>
        <v> </v>
      </c>
      <c r="Q176" s="334" t="str">
        <f aca="false">IF((E176="t"),G176," ")</f>
        <v> </v>
      </c>
      <c r="R176" s="334" t="str">
        <f aca="false">IF((E176="a"),G176," ")</f>
        <v> </v>
      </c>
      <c r="S176" s="334" t="str">
        <f aca="false">IF((E176="l"),G176," ")</f>
        <v> </v>
      </c>
      <c r="T176" s="334" t="str">
        <f aca="false">IF((E176="b"),G176," ")</f>
        <v> </v>
      </c>
      <c r="U176" s="334" t="str">
        <f aca="false">IF((E176="i"),G176," ")</f>
        <v> </v>
      </c>
      <c r="V176" s="334" t="str">
        <f aca="false">IF((E176="o"),G176," ")</f>
        <v> </v>
      </c>
      <c r="W176" s="334" t="str">
        <f aca="false">IF((E176="f"),G176," ")</f>
        <v> </v>
      </c>
    </row>
    <row r="177" customFormat="false" ht="12.75" hidden="false" customHeight="false" outlineLevel="0" collapsed="false">
      <c r="A177" s="355"/>
      <c r="E177" s="365" t="str">
        <f aca="false">IF((G177&lt;&gt;0),"Enter Letter"," ")</f>
        <v> </v>
      </c>
      <c r="H177" s="338" t="str">
        <f aca="false">IF((G177&lt;&gt;0),IF((D177&gt;0)," ",G177)," ")</f>
        <v> </v>
      </c>
      <c r="I177" s="367" t="str">
        <f aca="false">IF((G177&lt;&gt;0),IF((D177&gt;0)," ",(I$1-A177))," ")</f>
        <v> </v>
      </c>
      <c r="J177" s="334" t="str">
        <f aca="false">IF((E177="s"),G177," ")</f>
        <v> </v>
      </c>
      <c r="K177" s="334" t="str">
        <f aca="false">IF((E177="d"),G177," ")</f>
        <v> </v>
      </c>
      <c r="L177" s="334" t="str">
        <f aca="false">IF((E177="e"),G177," ")</f>
        <v> </v>
      </c>
      <c r="M177" s="334" t="str">
        <f aca="false">IF((E177="p"),G177," ")</f>
        <v> </v>
      </c>
      <c r="N177" s="334" t="str">
        <f aca="false">IF((E177="r"),G177," ")</f>
        <v> </v>
      </c>
      <c r="O177" s="334" t="str">
        <f aca="false">IF((E177="g"),G177," ")</f>
        <v> </v>
      </c>
      <c r="P177" s="334" t="str">
        <f aca="false">IF((E177="m"),G177," ")</f>
        <v> </v>
      </c>
      <c r="Q177" s="334" t="str">
        <f aca="false">IF((E177="t"),G177," ")</f>
        <v> </v>
      </c>
      <c r="R177" s="334" t="str">
        <f aca="false">IF((E177="a"),G177," ")</f>
        <v> </v>
      </c>
      <c r="S177" s="334" t="str">
        <f aca="false">IF((E177="l"),G177," ")</f>
        <v> </v>
      </c>
      <c r="T177" s="334" t="str">
        <f aca="false">IF((E177="b"),G177," ")</f>
        <v> </v>
      </c>
      <c r="U177" s="334" t="str">
        <f aca="false">IF((E177="i"),G177," ")</f>
        <v> </v>
      </c>
      <c r="V177" s="334" t="str">
        <f aca="false">IF((E177="o"),G177," ")</f>
        <v> </v>
      </c>
      <c r="W177" s="334" t="str">
        <f aca="false">IF((E177="f"),G177," ")</f>
        <v> </v>
      </c>
    </row>
    <row r="178" customFormat="false" ht="12.75" hidden="false" customHeight="false" outlineLevel="0" collapsed="false">
      <c r="A178" s="355"/>
      <c r="E178" s="365" t="str">
        <f aca="false">IF((G178&lt;&gt;0),"Enter Letter"," ")</f>
        <v> </v>
      </c>
      <c r="H178" s="338" t="str">
        <f aca="false">IF((G178&lt;&gt;0),IF((D178&gt;0)," ",G178)," ")</f>
        <v> </v>
      </c>
      <c r="I178" s="367" t="str">
        <f aca="false">IF((G178&lt;&gt;0),IF((D178&gt;0)," ",(I$1-A178))," ")</f>
        <v> </v>
      </c>
      <c r="J178" s="334" t="str">
        <f aca="false">IF((E178="s"),G178," ")</f>
        <v> </v>
      </c>
      <c r="K178" s="334" t="str">
        <f aca="false">IF((E178="d"),G178," ")</f>
        <v> </v>
      </c>
      <c r="L178" s="334" t="str">
        <f aca="false">IF((E178="e"),G178," ")</f>
        <v> </v>
      </c>
      <c r="M178" s="334" t="str">
        <f aca="false">IF((E178="p"),G178," ")</f>
        <v> </v>
      </c>
      <c r="N178" s="334" t="str">
        <f aca="false">IF((E178="r"),G178," ")</f>
        <v> </v>
      </c>
      <c r="O178" s="334" t="str">
        <f aca="false">IF((E178="g"),G178," ")</f>
        <v> </v>
      </c>
      <c r="P178" s="334" t="str">
        <f aca="false">IF((E178="m"),G178," ")</f>
        <v> </v>
      </c>
      <c r="Q178" s="334" t="str">
        <f aca="false">IF((E178="t"),G178," ")</f>
        <v> </v>
      </c>
      <c r="R178" s="334" t="str">
        <f aca="false">IF((E178="a"),G178," ")</f>
        <v> </v>
      </c>
      <c r="S178" s="334" t="str">
        <f aca="false">IF((E178="l"),G178," ")</f>
        <v> </v>
      </c>
      <c r="T178" s="334" t="str">
        <f aca="false">IF((E178="b"),G178," ")</f>
        <v> </v>
      </c>
      <c r="U178" s="334" t="str">
        <f aca="false">IF((E178="i"),G178," ")</f>
        <v> </v>
      </c>
      <c r="V178" s="334" t="str">
        <f aca="false">IF((E178="o"),G178," ")</f>
        <v> </v>
      </c>
      <c r="W178" s="334" t="str">
        <f aca="false">IF((E178="f"),G178," ")</f>
        <v> </v>
      </c>
    </row>
    <row r="179" customFormat="false" ht="12.75" hidden="false" customHeight="false" outlineLevel="0" collapsed="false">
      <c r="A179" s="355"/>
      <c r="E179" s="365" t="str">
        <f aca="false">IF((G179&lt;&gt;0),"Enter Letter"," ")</f>
        <v> </v>
      </c>
      <c r="H179" s="338" t="str">
        <f aca="false">IF((G179&lt;&gt;0),IF((D179&gt;0)," ",G179)," ")</f>
        <v> </v>
      </c>
      <c r="I179" s="367" t="str">
        <f aca="false">IF((G179&lt;&gt;0),IF((D179&gt;0)," ",(I$1-A179))," ")</f>
        <v> </v>
      </c>
      <c r="J179" s="334" t="str">
        <f aca="false">IF((E179="s"),G179," ")</f>
        <v> </v>
      </c>
      <c r="K179" s="334" t="str">
        <f aca="false">IF((E179="d"),G179," ")</f>
        <v> </v>
      </c>
      <c r="L179" s="334" t="str">
        <f aca="false">IF((E179="e"),G179," ")</f>
        <v> </v>
      </c>
      <c r="M179" s="334" t="str">
        <f aca="false">IF((E179="p"),G179," ")</f>
        <v> </v>
      </c>
      <c r="N179" s="334" t="str">
        <f aca="false">IF((E179="r"),G179," ")</f>
        <v> </v>
      </c>
      <c r="O179" s="334" t="str">
        <f aca="false">IF((E179="g"),G179," ")</f>
        <v> </v>
      </c>
      <c r="P179" s="334" t="str">
        <f aca="false">IF((E179="m"),G179," ")</f>
        <v> </v>
      </c>
      <c r="Q179" s="334" t="str">
        <f aca="false">IF((E179="t"),G179," ")</f>
        <v> </v>
      </c>
      <c r="R179" s="334" t="str">
        <f aca="false">IF((E179="a"),G179," ")</f>
        <v> </v>
      </c>
      <c r="S179" s="334" t="str">
        <f aca="false">IF((E179="l"),G179," ")</f>
        <v> </v>
      </c>
      <c r="T179" s="334" t="str">
        <f aca="false">IF((E179="b"),G179," ")</f>
        <v> </v>
      </c>
      <c r="U179" s="334" t="str">
        <f aca="false">IF((E179="i"),G179," ")</f>
        <v> </v>
      </c>
      <c r="V179" s="334" t="str">
        <f aca="false">IF((E179="o"),G179," ")</f>
        <v> </v>
      </c>
      <c r="W179" s="334" t="str">
        <f aca="false">IF((E179="f"),G179," ")</f>
        <v> </v>
      </c>
    </row>
    <row r="180" customFormat="false" ht="12.75" hidden="false" customHeight="false" outlineLevel="0" collapsed="false">
      <c r="A180" s="355"/>
      <c r="E180" s="365" t="str">
        <f aca="false">IF((G180&lt;&gt;0),"Enter Letter"," ")</f>
        <v> </v>
      </c>
      <c r="H180" s="338" t="str">
        <f aca="false">IF((G180&lt;&gt;0),IF((D180&gt;0)," ",G180)," ")</f>
        <v> </v>
      </c>
      <c r="I180" s="367" t="str">
        <f aca="false">IF((G180&lt;&gt;0),IF((D180&gt;0)," ",(I$1-A180))," ")</f>
        <v> </v>
      </c>
      <c r="J180" s="334" t="str">
        <f aca="false">IF((E180="s"),G180," ")</f>
        <v> </v>
      </c>
      <c r="K180" s="334" t="str">
        <f aca="false">IF((E180="d"),G180," ")</f>
        <v> </v>
      </c>
      <c r="L180" s="334" t="str">
        <f aca="false">IF((E180="e"),G180," ")</f>
        <v> </v>
      </c>
      <c r="M180" s="334" t="str">
        <f aca="false">IF((E180="p"),G180," ")</f>
        <v> </v>
      </c>
      <c r="N180" s="334" t="str">
        <f aca="false">IF((E180="r"),G180," ")</f>
        <v> </v>
      </c>
      <c r="O180" s="334" t="str">
        <f aca="false">IF((E180="g"),G180," ")</f>
        <v> </v>
      </c>
      <c r="P180" s="334" t="str">
        <f aca="false">IF((E180="m"),G180," ")</f>
        <v> </v>
      </c>
      <c r="Q180" s="334" t="str">
        <f aca="false">IF((E180="t"),G180," ")</f>
        <v> </v>
      </c>
      <c r="R180" s="334" t="str">
        <f aca="false">IF((E180="a"),G180," ")</f>
        <v> </v>
      </c>
      <c r="S180" s="334" t="str">
        <f aca="false">IF((E180="l"),G180," ")</f>
        <v> </v>
      </c>
      <c r="T180" s="334" t="str">
        <f aca="false">IF((E180="b"),G180," ")</f>
        <v> </v>
      </c>
      <c r="U180" s="334" t="str">
        <f aca="false">IF((E180="i"),G180," ")</f>
        <v> </v>
      </c>
      <c r="V180" s="334" t="str">
        <f aca="false">IF((E180="o"),G180," ")</f>
        <v> </v>
      </c>
      <c r="W180" s="334" t="str">
        <f aca="false">IF((E180="f"),G180," ")</f>
        <v> </v>
      </c>
    </row>
    <row r="181" customFormat="false" ht="12.75" hidden="false" customHeight="false" outlineLevel="0" collapsed="false">
      <c r="A181" s="355"/>
      <c r="E181" s="365" t="str">
        <f aca="false">IF((G181&lt;&gt;0),"Enter Letter"," ")</f>
        <v> </v>
      </c>
      <c r="H181" s="338" t="str">
        <f aca="false">IF((G181&lt;&gt;0),IF((D181&gt;0)," ",G181)," ")</f>
        <v> </v>
      </c>
      <c r="I181" s="367" t="str">
        <f aca="false">IF((G181&lt;&gt;0),IF((D181&gt;0)," ",(I$1-A181))," ")</f>
        <v> </v>
      </c>
      <c r="J181" s="334" t="str">
        <f aca="false">IF((E181="s"),G181," ")</f>
        <v> </v>
      </c>
      <c r="K181" s="334" t="str">
        <f aca="false">IF((E181="d"),G181," ")</f>
        <v> </v>
      </c>
      <c r="L181" s="334" t="str">
        <f aca="false">IF((E181="e"),G181," ")</f>
        <v> </v>
      </c>
      <c r="M181" s="334" t="str">
        <f aca="false">IF((E181="p"),G181," ")</f>
        <v> </v>
      </c>
      <c r="N181" s="334" t="str">
        <f aca="false">IF((E181="r"),G181," ")</f>
        <v> </v>
      </c>
      <c r="O181" s="334" t="str">
        <f aca="false">IF((E181="g"),G181," ")</f>
        <v> </v>
      </c>
      <c r="P181" s="334" t="str">
        <f aca="false">IF((E181="m"),G181," ")</f>
        <v> </v>
      </c>
      <c r="Q181" s="334" t="str">
        <f aca="false">IF((E181="t"),G181," ")</f>
        <v> </v>
      </c>
      <c r="R181" s="334" t="str">
        <f aca="false">IF((E181="a"),G181," ")</f>
        <v> </v>
      </c>
      <c r="S181" s="334" t="str">
        <f aca="false">IF((E181="l"),G181," ")</f>
        <v> </v>
      </c>
      <c r="T181" s="334" t="str">
        <f aca="false">IF((E181="b"),G181," ")</f>
        <v> </v>
      </c>
      <c r="U181" s="334" t="str">
        <f aca="false">IF((E181="i"),G181," ")</f>
        <v> </v>
      </c>
      <c r="V181" s="334" t="str">
        <f aca="false">IF((E181="o"),G181," ")</f>
        <v> </v>
      </c>
      <c r="W181" s="334" t="str">
        <f aca="false">IF((E181="f"),G181," ")</f>
        <v> </v>
      </c>
    </row>
    <row r="182" customFormat="false" ht="12.75" hidden="false" customHeight="false" outlineLevel="0" collapsed="false">
      <c r="A182" s="355"/>
      <c r="E182" s="365" t="str">
        <f aca="false">IF((G182&lt;&gt;0),"Enter Letter"," ")</f>
        <v> </v>
      </c>
      <c r="H182" s="338" t="str">
        <f aca="false">IF((G182&lt;&gt;0),IF((D182&gt;0)," ",G182)," ")</f>
        <v> </v>
      </c>
      <c r="I182" s="367" t="str">
        <f aca="false">IF((G182&lt;&gt;0),IF((D182&gt;0)," ",(I$1-A182))," ")</f>
        <v> </v>
      </c>
      <c r="J182" s="334" t="str">
        <f aca="false">IF((E182="s"),G182," ")</f>
        <v> </v>
      </c>
      <c r="K182" s="334" t="str">
        <f aca="false">IF((E182="d"),G182," ")</f>
        <v> </v>
      </c>
      <c r="L182" s="334" t="str">
        <f aca="false">IF((E182="e"),G182," ")</f>
        <v> </v>
      </c>
      <c r="M182" s="334" t="str">
        <f aca="false">IF((E182="p"),G182," ")</f>
        <v> </v>
      </c>
      <c r="N182" s="334" t="str">
        <f aca="false">IF((E182="r"),G182," ")</f>
        <v> </v>
      </c>
      <c r="O182" s="334" t="str">
        <f aca="false">IF((E182="g"),G182," ")</f>
        <v> </v>
      </c>
      <c r="P182" s="334" t="str">
        <f aca="false">IF((E182="m"),G182," ")</f>
        <v> </v>
      </c>
      <c r="Q182" s="334" t="str">
        <f aca="false">IF((E182="t"),G182," ")</f>
        <v> </v>
      </c>
      <c r="R182" s="334" t="str">
        <f aca="false">IF((E182="a"),G182," ")</f>
        <v> </v>
      </c>
      <c r="S182" s="334" t="str">
        <f aca="false">IF((E182="l"),G182," ")</f>
        <v> </v>
      </c>
      <c r="T182" s="334" t="str">
        <f aca="false">IF((E182="b"),G182," ")</f>
        <v> </v>
      </c>
      <c r="U182" s="334" t="str">
        <f aca="false">IF((E182="i"),G182," ")</f>
        <v> </v>
      </c>
      <c r="V182" s="334" t="str">
        <f aca="false">IF((E182="o"),G182," ")</f>
        <v> </v>
      </c>
      <c r="W182" s="334" t="str">
        <f aca="false">IF((E182="f"),G182," ")</f>
        <v> </v>
      </c>
    </row>
    <row r="183" customFormat="false" ht="12.75" hidden="false" customHeight="false" outlineLevel="0" collapsed="false">
      <c r="A183" s="355"/>
      <c r="E183" s="365" t="str">
        <f aca="false">IF((G183&lt;&gt;0),"Enter Letter"," ")</f>
        <v> </v>
      </c>
      <c r="H183" s="338" t="str">
        <f aca="false">IF((G183&lt;&gt;0),IF((D183&gt;0)," ",G183)," ")</f>
        <v> </v>
      </c>
      <c r="I183" s="367" t="str">
        <f aca="false">IF((G183&lt;&gt;0),IF((D183&gt;0)," ",(I$1-A183))," ")</f>
        <v> </v>
      </c>
      <c r="J183" s="334" t="str">
        <f aca="false">IF((E183="s"),G183," ")</f>
        <v> </v>
      </c>
      <c r="K183" s="334" t="str">
        <f aca="false">IF((E183="d"),G183," ")</f>
        <v> </v>
      </c>
      <c r="L183" s="334" t="str">
        <f aca="false">IF((E183="e"),G183," ")</f>
        <v> </v>
      </c>
      <c r="M183" s="334" t="str">
        <f aca="false">IF((E183="p"),G183," ")</f>
        <v> </v>
      </c>
      <c r="N183" s="334" t="str">
        <f aca="false">IF((E183="r"),G183," ")</f>
        <v> </v>
      </c>
      <c r="O183" s="334" t="str">
        <f aca="false">IF((E183="g"),G183," ")</f>
        <v> </v>
      </c>
      <c r="P183" s="334" t="str">
        <f aca="false">IF((E183="m"),G183," ")</f>
        <v> </v>
      </c>
      <c r="Q183" s="334" t="str">
        <f aca="false">IF((E183="t"),G183," ")</f>
        <v> </v>
      </c>
      <c r="R183" s="334" t="str">
        <f aca="false">IF((E183="a"),G183," ")</f>
        <v> </v>
      </c>
      <c r="S183" s="334" t="str">
        <f aca="false">IF((E183="l"),G183," ")</f>
        <v> </v>
      </c>
      <c r="T183" s="334" t="str">
        <f aca="false">IF((E183="b"),G183," ")</f>
        <v> </v>
      </c>
      <c r="U183" s="334" t="str">
        <f aca="false">IF((E183="i"),G183," ")</f>
        <v> </v>
      </c>
      <c r="V183" s="334" t="str">
        <f aca="false">IF((E183="o"),G183," ")</f>
        <v> </v>
      </c>
      <c r="W183" s="334" t="str">
        <f aca="false">IF((E183="f"),G183," ")</f>
        <v> </v>
      </c>
    </row>
    <row r="184" customFormat="false" ht="12.75" hidden="false" customHeight="false" outlineLevel="0" collapsed="false">
      <c r="A184" s="355"/>
      <c r="E184" s="365" t="str">
        <f aca="false">IF((G184&lt;&gt;0),"Enter Letter"," ")</f>
        <v> </v>
      </c>
      <c r="H184" s="338" t="str">
        <f aca="false">IF((G184&lt;&gt;0),IF((D184&gt;0)," ",G184)," ")</f>
        <v> </v>
      </c>
      <c r="I184" s="367" t="str">
        <f aca="false">IF((G184&lt;&gt;0),IF((D184&gt;0)," ",(I$1-A184))," ")</f>
        <v> </v>
      </c>
      <c r="J184" s="334" t="str">
        <f aca="false">IF((E184="s"),G184," ")</f>
        <v> </v>
      </c>
      <c r="K184" s="334" t="str">
        <f aca="false">IF((E184="d"),G184," ")</f>
        <v> </v>
      </c>
      <c r="L184" s="334" t="str">
        <f aca="false">IF((E184="e"),G184," ")</f>
        <v> </v>
      </c>
      <c r="M184" s="334" t="str">
        <f aca="false">IF((E184="p"),G184," ")</f>
        <v> </v>
      </c>
      <c r="N184" s="334" t="str">
        <f aca="false">IF((E184="r"),G184," ")</f>
        <v> </v>
      </c>
      <c r="O184" s="334" t="str">
        <f aca="false">IF((E184="g"),G184," ")</f>
        <v> </v>
      </c>
      <c r="P184" s="334" t="str">
        <f aca="false">IF((E184="m"),G184," ")</f>
        <v> </v>
      </c>
      <c r="Q184" s="334" t="str">
        <f aca="false">IF((E184="t"),G184," ")</f>
        <v> </v>
      </c>
      <c r="R184" s="334" t="str">
        <f aca="false">IF((E184="a"),G184," ")</f>
        <v> </v>
      </c>
      <c r="S184" s="334" t="str">
        <f aca="false">IF((E184="l"),G184," ")</f>
        <v> </v>
      </c>
      <c r="T184" s="334" t="str">
        <f aca="false">IF((E184="b"),G184," ")</f>
        <v> </v>
      </c>
      <c r="U184" s="334" t="str">
        <f aca="false">IF((E184="i"),G184," ")</f>
        <v> </v>
      </c>
      <c r="V184" s="334" t="str">
        <f aca="false">IF((E184="o"),G184," ")</f>
        <v> </v>
      </c>
      <c r="W184" s="334" t="str">
        <f aca="false">IF((E184="f"),G184," ")</f>
        <v> </v>
      </c>
    </row>
    <row r="185" customFormat="false" ht="12.75" hidden="false" customHeight="false" outlineLevel="0" collapsed="false">
      <c r="A185" s="355"/>
      <c r="E185" s="365" t="str">
        <f aca="false">IF((G185&lt;&gt;0),"Enter Letter"," ")</f>
        <v> </v>
      </c>
      <c r="H185" s="338" t="str">
        <f aca="false">IF((G185&lt;&gt;0),IF((D185&gt;0)," ",G185)," ")</f>
        <v> </v>
      </c>
      <c r="I185" s="367" t="str">
        <f aca="false">IF((G185&lt;&gt;0),IF((D185&gt;0)," ",(I$1-A185))," ")</f>
        <v> </v>
      </c>
      <c r="J185" s="334" t="str">
        <f aca="false">IF((E185="s"),G185," ")</f>
        <v> </v>
      </c>
      <c r="K185" s="334" t="str">
        <f aca="false">IF((E185="d"),G185," ")</f>
        <v> </v>
      </c>
      <c r="L185" s="334" t="str">
        <f aca="false">IF((E185="e"),G185," ")</f>
        <v> </v>
      </c>
      <c r="M185" s="334" t="str">
        <f aca="false">IF((E185="p"),G185," ")</f>
        <v> </v>
      </c>
      <c r="N185" s="334" t="str">
        <f aca="false">IF((E185="r"),G185," ")</f>
        <v> </v>
      </c>
      <c r="O185" s="334" t="str">
        <f aca="false">IF((E185="g"),G185," ")</f>
        <v> </v>
      </c>
      <c r="P185" s="334" t="str">
        <f aca="false">IF((E185="m"),G185," ")</f>
        <v> </v>
      </c>
      <c r="Q185" s="334" t="str">
        <f aca="false">IF((E185="t"),G185," ")</f>
        <v> </v>
      </c>
      <c r="R185" s="334" t="str">
        <f aca="false">IF((E185="a"),G185," ")</f>
        <v> </v>
      </c>
      <c r="S185" s="334" t="str">
        <f aca="false">IF((E185="l"),G185," ")</f>
        <v> </v>
      </c>
      <c r="T185" s="334" t="str">
        <f aca="false">IF((E185="b"),G185," ")</f>
        <v> </v>
      </c>
      <c r="U185" s="334" t="str">
        <f aca="false">IF((E185="i"),G185," ")</f>
        <v> </v>
      </c>
      <c r="V185" s="334" t="str">
        <f aca="false">IF((E185="o"),G185," ")</f>
        <v> </v>
      </c>
      <c r="W185" s="334" t="str">
        <f aca="false">IF((E185="f"),G185," ")</f>
        <v> </v>
      </c>
    </row>
    <row r="186" customFormat="false" ht="12.75" hidden="false" customHeight="false" outlineLevel="0" collapsed="false">
      <c r="A186" s="355"/>
      <c r="E186" s="365" t="str">
        <f aca="false">IF((G186&lt;&gt;0),"Enter Letter"," ")</f>
        <v> </v>
      </c>
      <c r="H186" s="338" t="str">
        <f aca="false">IF((G186&lt;&gt;0),IF((D186&gt;0)," ",G186)," ")</f>
        <v> </v>
      </c>
      <c r="I186" s="367" t="str">
        <f aca="false">IF((G186&lt;&gt;0),IF((D186&gt;0)," ",(I$1-A186))," ")</f>
        <v> </v>
      </c>
      <c r="J186" s="334" t="str">
        <f aca="false">IF((E186="s"),G186," ")</f>
        <v> </v>
      </c>
      <c r="K186" s="334" t="str">
        <f aca="false">IF((E186="d"),G186," ")</f>
        <v> </v>
      </c>
      <c r="L186" s="334" t="str">
        <f aca="false">IF((E186="e"),G186," ")</f>
        <v> </v>
      </c>
      <c r="M186" s="334" t="str">
        <f aca="false">IF((E186="p"),G186," ")</f>
        <v> </v>
      </c>
      <c r="N186" s="334" t="str">
        <f aca="false">IF((E186="r"),G186," ")</f>
        <v> </v>
      </c>
      <c r="O186" s="334" t="str">
        <f aca="false">IF((E186="g"),G186," ")</f>
        <v> </v>
      </c>
      <c r="P186" s="334" t="str">
        <f aca="false">IF((E186="m"),G186," ")</f>
        <v> </v>
      </c>
      <c r="Q186" s="334" t="str">
        <f aca="false">IF((E186="t"),G186," ")</f>
        <v> </v>
      </c>
      <c r="R186" s="334" t="str">
        <f aca="false">IF((E186="a"),G186," ")</f>
        <v> </v>
      </c>
      <c r="S186" s="334" t="str">
        <f aca="false">IF((E186="l"),G186," ")</f>
        <v> </v>
      </c>
      <c r="T186" s="334" t="str">
        <f aca="false">IF((E186="b"),G186," ")</f>
        <v> </v>
      </c>
      <c r="U186" s="334" t="str">
        <f aca="false">IF((E186="i"),G186," ")</f>
        <v> </v>
      </c>
      <c r="V186" s="334" t="str">
        <f aca="false">IF((E186="o"),G186," ")</f>
        <v> </v>
      </c>
      <c r="W186" s="334" t="str">
        <f aca="false">IF((E186="f"),G186," ")</f>
        <v> </v>
      </c>
    </row>
    <row r="187" customFormat="false" ht="12.75" hidden="false" customHeight="false" outlineLevel="0" collapsed="false">
      <c r="A187" s="355"/>
      <c r="E187" s="365" t="str">
        <f aca="false">IF((G187&lt;&gt;0),"Enter Letter"," ")</f>
        <v> </v>
      </c>
      <c r="H187" s="338" t="str">
        <f aca="false">IF((G187&lt;&gt;0),IF((D187&gt;0)," ",G187)," ")</f>
        <v> </v>
      </c>
      <c r="I187" s="367" t="str">
        <f aca="false">IF((G187&lt;&gt;0),IF((D187&gt;0)," ",(I$1-A187))," ")</f>
        <v> </v>
      </c>
      <c r="J187" s="334" t="str">
        <f aca="false">IF((E187="s"),G187," ")</f>
        <v> </v>
      </c>
      <c r="K187" s="334" t="str">
        <f aca="false">IF((E187="d"),G187," ")</f>
        <v> </v>
      </c>
      <c r="L187" s="334" t="str">
        <f aca="false">IF((E187="e"),G187," ")</f>
        <v> </v>
      </c>
      <c r="M187" s="334" t="str">
        <f aca="false">IF((E187="p"),G187," ")</f>
        <v> </v>
      </c>
      <c r="N187" s="334" t="str">
        <f aca="false">IF((E187="r"),G187," ")</f>
        <v> </v>
      </c>
      <c r="O187" s="334" t="str">
        <f aca="false">IF((E187="g"),G187," ")</f>
        <v> </v>
      </c>
      <c r="P187" s="334" t="str">
        <f aca="false">IF((E187="m"),G187," ")</f>
        <v> </v>
      </c>
      <c r="Q187" s="334" t="str">
        <f aca="false">IF((E187="t"),G187," ")</f>
        <v> </v>
      </c>
      <c r="R187" s="334" t="str">
        <f aca="false">IF((E187="a"),G187," ")</f>
        <v> </v>
      </c>
      <c r="S187" s="334" t="str">
        <f aca="false">IF((E187="l"),G187," ")</f>
        <v> </v>
      </c>
      <c r="T187" s="334" t="str">
        <f aca="false">IF((E187="b"),G187," ")</f>
        <v> </v>
      </c>
      <c r="U187" s="334" t="str">
        <f aca="false">IF((E187="i"),G187," ")</f>
        <v> </v>
      </c>
      <c r="V187" s="334" t="str">
        <f aca="false">IF((E187="o"),G187," ")</f>
        <v> </v>
      </c>
      <c r="W187" s="334" t="str">
        <f aca="false">IF((E187="f"),G187," ")</f>
        <v> </v>
      </c>
    </row>
    <row r="188" customFormat="false" ht="12.75" hidden="false" customHeight="false" outlineLevel="0" collapsed="false">
      <c r="A188" s="355"/>
      <c r="E188" s="365" t="str">
        <f aca="false">IF((G188&lt;&gt;0),"Enter Letter"," ")</f>
        <v> </v>
      </c>
      <c r="H188" s="338" t="str">
        <f aca="false">IF((G188&lt;&gt;0),IF((D188&gt;0)," ",G188)," ")</f>
        <v> </v>
      </c>
      <c r="I188" s="367" t="str">
        <f aca="false">IF((G188&lt;&gt;0),IF((D188&gt;0)," ",(I$1-A188))," ")</f>
        <v> </v>
      </c>
      <c r="J188" s="334" t="str">
        <f aca="false">IF((E188="s"),G188," ")</f>
        <v> </v>
      </c>
      <c r="K188" s="334" t="str">
        <f aca="false">IF((E188="d"),G188," ")</f>
        <v> </v>
      </c>
      <c r="L188" s="334" t="str">
        <f aca="false">IF((E188="e"),G188," ")</f>
        <v> </v>
      </c>
      <c r="M188" s="334" t="str">
        <f aca="false">IF((E188="p"),G188," ")</f>
        <v> </v>
      </c>
      <c r="N188" s="334" t="str">
        <f aca="false">IF((E188="r"),G188," ")</f>
        <v> </v>
      </c>
      <c r="O188" s="334" t="str">
        <f aca="false">IF((E188="g"),G188," ")</f>
        <v> </v>
      </c>
      <c r="P188" s="334" t="str">
        <f aca="false">IF((E188="m"),G188," ")</f>
        <v> </v>
      </c>
      <c r="Q188" s="334" t="str">
        <f aca="false">IF((E188="t"),G188," ")</f>
        <v> </v>
      </c>
      <c r="R188" s="334" t="str">
        <f aca="false">IF((E188="a"),G188," ")</f>
        <v> </v>
      </c>
      <c r="S188" s="334" t="str">
        <f aca="false">IF((E188="l"),G188," ")</f>
        <v> </v>
      </c>
      <c r="T188" s="334" t="str">
        <f aca="false">IF((E188="b"),G188," ")</f>
        <v> </v>
      </c>
      <c r="U188" s="334" t="str">
        <f aca="false">IF((E188="i"),G188," ")</f>
        <v> </v>
      </c>
      <c r="V188" s="334" t="str">
        <f aca="false">IF((E188="o"),G188," ")</f>
        <v> </v>
      </c>
      <c r="W188" s="334" t="str">
        <f aca="false">IF((E188="f"),G188," ")</f>
        <v> </v>
      </c>
    </row>
    <row r="189" customFormat="false" ht="12.75" hidden="false" customHeight="false" outlineLevel="0" collapsed="false">
      <c r="A189" s="355"/>
      <c r="E189" s="365" t="str">
        <f aca="false">IF((G189&lt;&gt;0),"Enter Letter"," ")</f>
        <v> </v>
      </c>
      <c r="H189" s="338" t="str">
        <f aca="false">IF((G189&lt;&gt;0),IF((D189&gt;0)," ",G189)," ")</f>
        <v> </v>
      </c>
      <c r="I189" s="367" t="str">
        <f aca="false">IF((G189&lt;&gt;0),IF((D189&gt;0)," ",(I$1-A189))," ")</f>
        <v> </v>
      </c>
      <c r="J189" s="334" t="str">
        <f aca="false">IF((E189="s"),G189," ")</f>
        <v> </v>
      </c>
      <c r="K189" s="334" t="str">
        <f aca="false">IF((E189="d"),G189," ")</f>
        <v> </v>
      </c>
      <c r="L189" s="334" t="str">
        <f aca="false">IF((E189="e"),G189," ")</f>
        <v> </v>
      </c>
      <c r="M189" s="334" t="str">
        <f aca="false">IF((E189="p"),G189," ")</f>
        <v> </v>
      </c>
      <c r="N189" s="334" t="str">
        <f aca="false">IF((E189="r"),G189," ")</f>
        <v> </v>
      </c>
      <c r="O189" s="334" t="str">
        <f aca="false">IF((E189="g"),G189," ")</f>
        <v> </v>
      </c>
      <c r="P189" s="334" t="str">
        <f aca="false">IF((E189="m"),G189," ")</f>
        <v> </v>
      </c>
      <c r="Q189" s="334" t="str">
        <f aca="false">IF((E189="t"),G189," ")</f>
        <v> </v>
      </c>
      <c r="R189" s="334" t="str">
        <f aca="false">IF((E189="a"),G189," ")</f>
        <v> </v>
      </c>
      <c r="S189" s="334" t="str">
        <f aca="false">IF((E189="l"),G189," ")</f>
        <v> </v>
      </c>
      <c r="T189" s="334" t="str">
        <f aca="false">IF((E189="b"),G189," ")</f>
        <v> </v>
      </c>
      <c r="U189" s="334" t="str">
        <f aca="false">IF((E189="i"),G189," ")</f>
        <v> </v>
      </c>
      <c r="V189" s="334" t="str">
        <f aca="false">IF((E189="o"),G189," ")</f>
        <v> </v>
      </c>
      <c r="W189" s="334" t="str">
        <f aca="false">IF((E189="f"),G189," ")</f>
        <v> </v>
      </c>
    </row>
    <row r="190" customFormat="false" ht="12.75" hidden="false" customHeight="false" outlineLevel="0" collapsed="false">
      <c r="A190" s="355"/>
      <c r="E190" s="365" t="str">
        <f aca="false">IF((G190&lt;&gt;0),"Enter Letter"," ")</f>
        <v> </v>
      </c>
      <c r="H190" s="338" t="str">
        <f aca="false">IF((G190&lt;&gt;0),IF((D190&gt;0)," ",G190)," ")</f>
        <v> </v>
      </c>
      <c r="I190" s="367" t="str">
        <f aca="false">IF((G190&lt;&gt;0),IF((D190&gt;0)," ",(I$1-A190))," ")</f>
        <v> </v>
      </c>
      <c r="J190" s="334" t="str">
        <f aca="false">IF((E190="s"),G190," ")</f>
        <v> </v>
      </c>
      <c r="K190" s="334" t="str">
        <f aca="false">IF((E190="d"),G190," ")</f>
        <v> </v>
      </c>
      <c r="L190" s="334" t="str">
        <f aca="false">IF((E190="e"),G190," ")</f>
        <v> </v>
      </c>
      <c r="M190" s="334" t="str">
        <f aca="false">IF((E190="p"),G190," ")</f>
        <v> </v>
      </c>
      <c r="N190" s="334" t="str">
        <f aca="false">IF((E190="r"),G190," ")</f>
        <v> </v>
      </c>
      <c r="O190" s="334" t="str">
        <f aca="false">IF((E190="g"),G190," ")</f>
        <v> </v>
      </c>
      <c r="P190" s="334" t="str">
        <f aca="false">IF((E190="m"),G190," ")</f>
        <v> </v>
      </c>
      <c r="Q190" s="334" t="str">
        <f aca="false">IF((E190="t"),G190," ")</f>
        <v> </v>
      </c>
      <c r="R190" s="334" t="str">
        <f aca="false">IF((E190="a"),G190," ")</f>
        <v> </v>
      </c>
      <c r="S190" s="334" t="str">
        <f aca="false">IF((E190="l"),G190," ")</f>
        <v> </v>
      </c>
      <c r="T190" s="334" t="str">
        <f aca="false">IF((E190="b"),G190," ")</f>
        <v> </v>
      </c>
      <c r="U190" s="334" t="str">
        <f aca="false">IF((E190="i"),G190," ")</f>
        <v> </v>
      </c>
      <c r="V190" s="334" t="str">
        <f aca="false">IF((E190="o"),G190," ")</f>
        <v> </v>
      </c>
      <c r="W190" s="334" t="str">
        <f aca="false">IF((E190="f"),G190," ")</f>
        <v> </v>
      </c>
    </row>
    <row r="191" customFormat="false" ht="12.75" hidden="false" customHeight="false" outlineLevel="0" collapsed="false">
      <c r="A191" s="355"/>
      <c r="E191" s="365" t="str">
        <f aca="false">IF((G191&lt;&gt;0),"Enter Letter"," ")</f>
        <v> </v>
      </c>
      <c r="H191" s="338" t="str">
        <f aca="false">IF((G191&lt;&gt;0),IF((D191&gt;0)," ",G191)," ")</f>
        <v> </v>
      </c>
      <c r="I191" s="367" t="str">
        <f aca="false">IF((G191&lt;&gt;0),IF((D191&gt;0)," ",(I$1-A191))," ")</f>
        <v> </v>
      </c>
      <c r="J191" s="334" t="str">
        <f aca="false">IF((E191="s"),G191," ")</f>
        <v> </v>
      </c>
      <c r="K191" s="334" t="str">
        <f aca="false">IF((E191="d"),G191," ")</f>
        <v> </v>
      </c>
      <c r="L191" s="334" t="str">
        <f aca="false">IF((E191="e"),G191," ")</f>
        <v> </v>
      </c>
      <c r="M191" s="334" t="str">
        <f aca="false">IF((E191="p"),G191," ")</f>
        <v> </v>
      </c>
      <c r="N191" s="334" t="str">
        <f aca="false">IF((E191="r"),G191," ")</f>
        <v> </v>
      </c>
      <c r="O191" s="334" t="str">
        <f aca="false">IF((E191="g"),G191," ")</f>
        <v> </v>
      </c>
      <c r="P191" s="334" t="str">
        <f aca="false">IF((E191="m"),G191," ")</f>
        <v> </v>
      </c>
      <c r="Q191" s="334" t="str">
        <f aca="false">IF((E191="t"),G191," ")</f>
        <v> </v>
      </c>
      <c r="R191" s="334" t="str">
        <f aca="false">IF((E191="a"),G191," ")</f>
        <v> </v>
      </c>
      <c r="S191" s="334" t="str">
        <f aca="false">IF((E191="l"),G191," ")</f>
        <v> </v>
      </c>
      <c r="T191" s="334" t="str">
        <f aca="false">IF((E191="b"),G191," ")</f>
        <v> </v>
      </c>
      <c r="U191" s="334" t="str">
        <f aca="false">IF((E191="i"),G191," ")</f>
        <v> </v>
      </c>
      <c r="V191" s="334" t="str">
        <f aca="false">IF((E191="o"),G191," ")</f>
        <v> </v>
      </c>
      <c r="W191" s="334" t="str">
        <f aca="false">IF((E191="f"),G191," ")</f>
        <v> </v>
      </c>
    </row>
    <row r="192" customFormat="false" ht="12.75" hidden="false" customHeight="false" outlineLevel="0" collapsed="false">
      <c r="A192" s="355"/>
      <c r="E192" s="365" t="str">
        <f aca="false">IF((G192&lt;&gt;0),"Enter Letter"," ")</f>
        <v> </v>
      </c>
      <c r="H192" s="338" t="str">
        <f aca="false">IF((G192&lt;&gt;0),IF((D192&gt;0)," ",G192)," ")</f>
        <v> </v>
      </c>
      <c r="I192" s="367" t="str">
        <f aca="false">IF((G192&lt;&gt;0),IF((D192&gt;0)," ",(I$1-A192))," ")</f>
        <v> </v>
      </c>
      <c r="J192" s="334" t="str">
        <f aca="false">IF((E192="s"),G192," ")</f>
        <v> </v>
      </c>
      <c r="K192" s="334" t="str">
        <f aca="false">IF((E192="d"),G192," ")</f>
        <v> </v>
      </c>
      <c r="L192" s="334" t="str">
        <f aca="false">IF((E192="e"),G192," ")</f>
        <v> </v>
      </c>
      <c r="M192" s="334" t="str">
        <f aca="false">IF((E192="p"),G192," ")</f>
        <v> </v>
      </c>
      <c r="N192" s="334" t="str">
        <f aca="false">IF((E192="r"),G192," ")</f>
        <v> </v>
      </c>
      <c r="O192" s="334" t="str">
        <f aca="false">IF((E192="g"),G192," ")</f>
        <v> </v>
      </c>
      <c r="P192" s="334" t="str">
        <f aca="false">IF((E192="m"),G192," ")</f>
        <v> </v>
      </c>
      <c r="Q192" s="334" t="str">
        <f aca="false">IF((E192="t"),G192," ")</f>
        <v> </v>
      </c>
      <c r="R192" s="334" t="str">
        <f aca="false">IF((E192="a"),G192," ")</f>
        <v> </v>
      </c>
      <c r="S192" s="334" t="str">
        <f aca="false">IF((E192="l"),G192," ")</f>
        <v> </v>
      </c>
      <c r="T192" s="334" t="str">
        <f aca="false">IF((E192="b"),G192," ")</f>
        <v> </v>
      </c>
      <c r="U192" s="334" t="str">
        <f aca="false">IF((E192="i"),G192," ")</f>
        <v> </v>
      </c>
      <c r="V192" s="334" t="str">
        <f aca="false">IF((E192="o"),G192," ")</f>
        <v> </v>
      </c>
      <c r="W192" s="334" t="str">
        <f aca="false">IF((E192="f"),G192," ")</f>
        <v> </v>
      </c>
    </row>
    <row r="193" customFormat="false" ht="12.75" hidden="false" customHeight="false" outlineLevel="0" collapsed="false">
      <c r="A193" s="355"/>
      <c r="E193" s="365" t="str">
        <f aca="false">IF((G193&lt;&gt;0),"Enter Letter"," ")</f>
        <v> </v>
      </c>
      <c r="H193" s="338" t="str">
        <f aca="false">IF((G193&lt;&gt;0),IF((D193&gt;0)," ",G193)," ")</f>
        <v> </v>
      </c>
      <c r="I193" s="367" t="str">
        <f aca="false">IF((G193&lt;&gt;0),IF((D193&gt;0)," ",(I$1-A193))," ")</f>
        <v> </v>
      </c>
      <c r="J193" s="334" t="str">
        <f aca="false">IF((E193="s"),G193," ")</f>
        <v> </v>
      </c>
      <c r="K193" s="334" t="str">
        <f aca="false">IF((E193="d"),G193," ")</f>
        <v> </v>
      </c>
      <c r="L193" s="334" t="str">
        <f aca="false">IF((E193="e"),G193," ")</f>
        <v> </v>
      </c>
      <c r="M193" s="334" t="str">
        <f aca="false">IF((E193="p"),G193," ")</f>
        <v> </v>
      </c>
      <c r="N193" s="334" t="str">
        <f aca="false">IF((E193="r"),G193," ")</f>
        <v> </v>
      </c>
      <c r="O193" s="334" t="str">
        <f aca="false">IF((E193="g"),G193," ")</f>
        <v> </v>
      </c>
      <c r="P193" s="334" t="str">
        <f aca="false">IF((E193="m"),G193," ")</f>
        <v> </v>
      </c>
      <c r="Q193" s="334" t="str">
        <f aca="false">IF((E193="t"),G193," ")</f>
        <v> </v>
      </c>
      <c r="R193" s="334" t="str">
        <f aca="false">IF((E193="a"),G193," ")</f>
        <v> </v>
      </c>
      <c r="S193" s="334" t="str">
        <f aca="false">IF((E193="l"),G193," ")</f>
        <v> </v>
      </c>
      <c r="T193" s="334" t="str">
        <f aca="false">IF((E193="b"),G193," ")</f>
        <v> </v>
      </c>
      <c r="U193" s="334" t="str">
        <f aca="false">IF((E193="i"),G193," ")</f>
        <v> </v>
      </c>
      <c r="V193" s="334" t="str">
        <f aca="false">IF((E193="o"),G193," ")</f>
        <v> </v>
      </c>
      <c r="W193" s="334" t="str">
        <f aca="false">IF((E193="f"),G193," ")</f>
        <v> </v>
      </c>
    </row>
    <row r="194" customFormat="false" ht="12.75" hidden="false" customHeight="false" outlineLevel="0" collapsed="false">
      <c r="A194" s="355"/>
      <c r="E194" s="365" t="str">
        <f aca="false">IF((G194&lt;&gt;0),"Enter Letter"," ")</f>
        <v> </v>
      </c>
      <c r="H194" s="338" t="str">
        <f aca="false">IF((G194&lt;&gt;0),IF((D194&gt;0)," ",G194)," ")</f>
        <v> </v>
      </c>
      <c r="I194" s="367" t="str">
        <f aca="false">IF((G194&lt;&gt;0),IF((D194&gt;0)," ",(I$1-A194))," ")</f>
        <v> </v>
      </c>
      <c r="J194" s="334" t="str">
        <f aca="false">IF((E194="s"),G194," ")</f>
        <v> </v>
      </c>
      <c r="K194" s="334" t="str">
        <f aca="false">IF((E194="d"),G194," ")</f>
        <v> </v>
      </c>
      <c r="L194" s="334" t="str">
        <f aca="false">IF((E194="e"),G194," ")</f>
        <v> </v>
      </c>
      <c r="M194" s="334" t="str">
        <f aca="false">IF((E194="p"),G194," ")</f>
        <v> </v>
      </c>
      <c r="N194" s="334" t="str">
        <f aca="false">IF((E194="r"),G194," ")</f>
        <v> </v>
      </c>
      <c r="O194" s="334" t="str">
        <f aca="false">IF((E194="g"),G194," ")</f>
        <v> </v>
      </c>
      <c r="P194" s="334" t="str">
        <f aca="false">IF((E194="m"),G194," ")</f>
        <v> </v>
      </c>
      <c r="Q194" s="334" t="str">
        <f aca="false">IF((E194="t"),G194," ")</f>
        <v> </v>
      </c>
      <c r="R194" s="334" t="str">
        <f aca="false">IF((E194="a"),G194," ")</f>
        <v> </v>
      </c>
      <c r="S194" s="334" t="str">
        <f aca="false">IF((E194="l"),G194," ")</f>
        <v> </v>
      </c>
      <c r="T194" s="334" t="str">
        <f aca="false">IF((E194="b"),G194," ")</f>
        <v> </v>
      </c>
      <c r="U194" s="334" t="str">
        <f aca="false">IF((E194="i"),G194," ")</f>
        <v> </v>
      </c>
      <c r="V194" s="334" t="str">
        <f aca="false">IF((E194="o"),G194," ")</f>
        <v> </v>
      </c>
      <c r="W194" s="334" t="str">
        <f aca="false">IF((E194="f"),G194," ")</f>
        <v> </v>
      </c>
    </row>
    <row r="195" customFormat="false" ht="12.75" hidden="false" customHeight="false" outlineLevel="0" collapsed="false">
      <c r="A195" s="355"/>
      <c r="E195" s="365" t="str">
        <f aca="false">IF((G195&lt;&gt;0),"Enter Letter"," ")</f>
        <v> </v>
      </c>
      <c r="H195" s="338" t="str">
        <f aca="false">IF((G195&lt;&gt;0),IF((D195&gt;0)," ",G195)," ")</f>
        <v> </v>
      </c>
      <c r="I195" s="367" t="str">
        <f aca="false">IF((G195&lt;&gt;0),IF((D195&gt;0)," ",(I$1-A195))," ")</f>
        <v> </v>
      </c>
      <c r="J195" s="334" t="str">
        <f aca="false">IF((E195="s"),G195," ")</f>
        <v> </v>
      </c>
      <c r="K195" s="334" t="str">
        <f aca="false">IF((E195="d"),G195," ")</f>
        <v> </v>
      </c>
      <c r="L195" s="334" t="str">
        <f aca="false">IF((E195="e"),G195," ")</f>
        <v> </v>
      </c>
      <c r="M195" s="334" t="str">
        <f aca="false">IF((E195="p"),G195," ")</f>
        <v> </v>
      </c>
      <c r="N195" s="334" t="str">
        <f aca="false">IF((E195="r"),G195," ")</f>
        <v> </v>
      </c>
      <c r="O195" s="334" t="str">
        <f aca="false">IF((E195="g"),G195," ")</f>
        <v> </v>
      </c>
      <c r="P195" s="334" t="str">
        <f aca="false">IF((E195="m"),G195," ")</f>
        <v> </v>
      </c>
      <c r="Q195" s="334" t="str">
        <f aca="false">IF((E195="t"),G195," ")</f>
        <v> </v>
      </c>
      <c r="R195" s="334" t="str">
        <f aca="false">IF((E195="a"),G195," ")</f>
        <v> </v>
      </c>
      <c r="S195" s="334" t="str">
        <f aca="false">IF((E195="l"),G195," ")</f>
        <v> </v>
      </c>
      <c r="T195" s="334" t="str">
        <f aca="false">IF((E195="b"),G195," ")</f>
        <v> </v>
      </c>
      <c r="U195" s="334" t="str">
        <f aca="false">IF((E195="i"),G195," ")</f>
        <v> </v>
      </c>
      <c r="V195" s="334" t="str">
        <f aca="false">IF((E195="o"),G195," ")</f>
        <v> </v>
      </c>
      <c r="W195" s="334" t="str">
        <f aca="false">IF((E195="f"),G195," ")</f>
        <v> </v>
      </c>
    </row>
    <row r="196" customFormat="false" ht="12.75" hidden="false" customHeight="false" outlineLevel="0" collapsed="false">
      <c r="A196" s="355"/>
      <c r="E196" s="365" t="str">
        <f aca="false">IF((G196&lt;&gt;0),"Enter Letter"," ")</f>
        <v> </v>
      </c>
      <c r="H196" s="338" t="str">
        <f aca="false">IF((G196&lt;&gt;0),IF((D196&gt;0)," ",G196)," ")</f>
        <v> </v>
      </c>
      <c r="I196" s="367" t="str">
        <f aca="false">IF((G196&lt;&gt;0),IF((D196&gt;0)," ",(I$1-A196))," ")</f>
        <v> </v>
      </c>
      <c r="J196" s="334" t="str">
        <f aca="false">IF((E196="s"),G196," ")</f>
        <v> </v>
      </c>
      <c r="K196" s="334" t="str">
        <f aca="false">IF((E196="d"),G196," ")</f>
        <v> </v>
      </c>
      <c r="L196" s="334" t="str">
        <f aca="false">IF((E196="e"),G196," ")</f>
        <v> </v>
      </c>
      <c r="M196" s="334" t="str">
        <f aca="false">IF((E196="p"),G196," ")</f>
        <v> </v>
      </c>
      <c r="N196" s="334" t="str">
        <f aca="false">IF((E196="r"),G196," ")</f>
        <v> </v>
      </c>
      <c r="O196" s="334" t="str">
        <f aca="false">IF((E196="g"),G196," ")</f>
        <v> </v>
      </c>
      <c r="P196" s="334" t="str">
        <f aca="false">IF((E196="m"),G196," ")</f>
        <v> </v>
      </c>
      <c r="Q196" s="334" t="str">
        <f aca="false">IF((E196="t"),G196," ")</f>
        <v> </v>
      </c>
      <c r="R196" s="334" t="str">
        <f aca="false">IF((E196="a"),G196," ")</f>
        <v> </v>
      </c>
      <c r="S196" s="334" t="str">
        <f aca="false">IF((E196="l"),G196," ")</f>
        <v> </v>
      </c>
      <c r="T196" s="334" t="str">
        <f aca="false">IF((E196="b"),G196," ")</f>
        <v> </v>
      </c>
      <c r="U196" s="334" t="str">
        <f aca="false">IF((E196="i"),G196," ")</f>
        <v> </v>
      </c>
      <c r="V196" s="334" t="str">
        <f aca="false">IF((E196="o"),G196," ")</f>
        <v> </v>
      </c>
      <c r="W196" s="334" t="str">
        <f aca="false">IF((E196="f"),G196," ")</f>
        <v> </v>
      </c>
    </row>
    <row r="197" customFormat="false" ht="12.75" hidden="false" customHeight="false" outlineLevel="0" collapsed="false">
      <c r="A197" s="355"/>
      <c r="E197" s="365" t="str">
        <f aca="false">IF((G197&lt;&gt;0),"Enter Letter"," ")</f>
        <v> </v>
      </c>
      <c r="H197" s="338" t="str">
        <f aca="false">IF((G197&lt;&gt;0),IF((D197&gt;0)," ",G197)," ")</f>
        <v> </v>
      </c>
      <c r="I197" s="367" t="str">
        <f aca="false">IF((G197&lt;&gt;0),IF((D197&gt;0)," ",(I$1-A197))," ")</f>
        <v> </v>
      </c>
      <c r="J197" s="334" t="str">
        <f aca="false">IF((E197="s"),G197," ")</f>
        <v> </v>
      </c>
      <c r="K197" s="334" t="str">
        <f aca="false">IF((E197="d"),G197," ")</f>
        <v> </v>
      </c>
      <c r="L197" s="334" t="str">
        <f aca="false">IF((E197="e"),G197," ")</f>
        <v> </v>
      </c>
      <c r="M197" s="334" t="str">
        <f aca="false">IF((E197="p"),G197," ")</f>
        <v> </v>
      </c>
      <c r="N197" s="334" t="str">
        <f aca="false">IF((E197="r"),G197," ")</f>
        <v> </v>
      </c>
      <c r="O197" s="334" t="str">
        <f aca="false">IF((E197="g"),G197," ")</f>
        <v> </v>
      </c>
      <c r="P197" s="334" t="str">
        <f aca="false">IF((E197="m"),G197," ")</f>
        <v> </v>
      </c>
      <c r="Q197" s="334" t="str">
        <f aca="false">IF((E197="t"),G197," ")</f>
        <v> </v>
      </c>
      <c r="R197" s="334" t="str">
        <f aca="false">IF((E197="a"),G197," ")</f>
        <v> </v>
      </c>
      <c r="S197" s="334" t="str">
        <f aca="false">IF((E197="l"),G197," ")</f>
        <v> </v>
      </c>
      <c r="T197" s="334" t="str">
        <f aca="false">IF((E197="b"),G197," ")</f>
        <v> </v>
      </c>
      <c r="U197" s="334" t="str">
        <f aca="false">IF((E197="i"),G197," ")</f>
        <v> </v>
      </c>
      <c r="V197" s="334" t="str">
        <f aca="false">IF((E197="o"),G197," ")</f>
        <v> </v>
      </c>
      <c r="W197" s="334" t="str">
        <f aca="false">IF((E197="f"),G197," ")</f>
        <v> </v>
      </c>
    </row>
    <row r="198" customFormat="false" ht="12.75" hidden="false" customHeight="false" outlineLevel="0" collapsed="false">
      <c r="A198" s="355"/>
      <c r="E198" s="365" t="str">
        <f aca="false">IF((G198&lt;&gt;0),"Enter Letter"," ")</f>
        <v> </v>
      </c>
      <c r="H198" s="338" t="str">
        <f aca="false">IF((G198&lt;&gt;0),IF((D198&gt;0)," ",G198)," ")</f>
        <v> </v>
      </c>
      <c r="I198" s="367" t="str">
        <f aca="false">IF((G198&lt;&gt;0),IF((D198&gt;0)," ",(I$1-A198))," ")</f>
        <v> </v>
      </c>
      <c r="J198" s="334" t="str">
        <f aca="false">IF((E198="s"),G198," ")</f>
        <v> </v>
      </c>
      <c r="K198" s="334" t="str">
        <f aca="false">IF((E198="d"),G198," ")</f>
        <v> </v>
      </c>
      <c r="L198" s="334" t="str">
        <f aca="false">IF((E198="e"),G198," ")</f>
        <v> </v>
      </c>
      <c r="M198" s="334" t="str">
        <f aca="false">IF((E198="p"),G198," ")</f>
        <v> </v>
      </c>
      <c r="N198" s="334" t="str">
        <f aca="false">IF((E198="r"),G198," ")</f>
        <v> </v>
      </c>
      <c r="O198" s="334" t="str">
        <f aca="false">IF((E198="g"),G198," ")</f>
        <v> </v>
      </c>
      <c r="P198" s="334" t="str">
        <f aca="false">IF((E198="m"),G198," ")</f>
        <v> </v>
      </c>
      <c r="Q198" s="334" t="str">
        <f aca="false">IF((E198="t"),G198," ")</f>
        <v> </v>
      </c>
      <c r="R198" s="334" t="str">
        <f aca="false">IF((E198="a"),G198," ")</f>
        <v> </v>
      </c>
      <c r="S198" s="334" t="str">
        <f aca="false">IF((E198="l"),G198," ")</f>
        <v> </v>
      </c>
      <c r="T198" s="334" t="str">
        <f aca="false">IF((E198="b"),G198," ")</f>
        <v> </v>
      </c>
      <c r="U198" s="334" t="str">
        <f aca="false">IF((E198="i"),G198," ")</f>
        <v> </v>
      </c>
      <c r="V198" s="334" t="str">
        <f aca="false">IF((E198="o"),G198," ")</f>
        <v> </v>
      </c>
      <c r="W198" s="334" t="str">
        <f aca="false">IF((E198="f"),G198," ")</f>
        <v> </v>
      </c>
    </row>
    <row r="199" customFormat="false" ht="12.75" hidden="false" customHeight="false" outlineLevel="0" collapsed="false">
      <c r="A199" s="355"/>
      <c r="E199" s="365" t="str">
        <f aca="false">IF((G199&lt;&gt;0),"Enter Letter"," ")</f>
        <v> </v>
      </c>
      <c r="H199" s="338" t="str">
        <f aca="false">IF((G199&lt;&gt;0),IF((D199&gt;0)," ",G199)," ")</f>
        <v> </v>
      </c>
      <c r="I199" s="367" t="str">
        <f aca="false">IF((G199&lt;&gt;0),IF((D199&gt;0)," ",(I$1-A199))," ")</f>
        <v> </v>
      </c>
      <c r="J199" s="334" t="str">
        <f aca="false">IF((E199="s"),G199," ")</f>
        <v> </v>
      </c>
      <c r="K199" s="334" t="str">
        <f aca="false">IF((E199="d"),G199," ")</f>
        <v> </v>
      </c>
      <c r="L199" s="334" t="str">
        <f aca="false">IF((E199="e"),G199," ")</f>
        <v> </v>
      </c>
      <c r="M199" s="334" t="str">
        <f aca="false">IF((E199="p"),G199," ")</f>
        <v> </v>
      </c>
      <c r="N199" s="334" t="str">
        <f aca="false">IF((E199="r"),G199," ")</f>
        <v> </v>
      </c>
      <c r="O199" s="334" t="str">
        <f aca="false">IF((E199="g"),G199," ")</f>
        <v> </v>
      </c>
      <c r="P199" s="334" t="str">
        <f aca="false">IF((E199="m"),G199," ")</f>
        <v> </v>
      </c>
      <c r="Q199" s="334" t="str">
        <f aca="false">IF((E199="t"),G199," ")</f>
        <v> </v>
      </c>
      <c r="R199" s="334" t="str">
        <f aca="false">IF((E199="a"),G199," ")</f>
        <v> </v>
      </c>
      <c r="S199" s="334" t="str">
        <f aca="false">IF((E199="l"),G199," ")</f>
        <v> </v>
      </c>
      <c r="T199" s="334" t="str">
        <f aca="false">IF((E199="b"),G199," ")</f>
        <v> </v>
      </c>
      <c r="U199" s="334" t="str">
        <f aca="false">IF((E199="i"),G199," ")</f>
        <v> </v>
      </c>
      <c r="V199" s="334" t="str">
        <f aca="false">IF((E199="o"),G199," ")</f>
        <v> </v>
      </c>
      <c r="W199" s="334" t="str">
        <f aca="false">IF((E199="f"),G199," ")</f>
        <v> </v>
      </c>
    </row>
    <row r="200" customFormat="false" ht="12.75" hidden="false" customHeight="false" outlineLevel="0" collapsed="false">
      <c r="A200" s="355"/>
      <c r="E200" s="365" t="str">
        <f aca="false">IF((G200&lt;&gt;0),"Enter Letter"," ")</f>
        <v> </v>
      </c>
      <c r="H200" s="338" t="str">
        <f aca="false">IF((G200&lt;&gt;0),IF((D200&gt;0)," ",G200)," ")</f>
        <v> </v>
      </c>
      <c r="I200" s="367" t="str">
        <f aca="false">IF((G200&lt;&gt;0),IF((D200&gt;0)," ",(I$1-A200))," ")</f>
        <v> </v>
      </c>
      <c r="J200" s="334" t="str">
        <f aca="false">IF((E200="s"),G200," ")</f>
        <v> </v>
      </c>
      <c r="K200" s="334" t="str">
        <f aca="false">IF((E200="d"),G200," ")</f>
        <v> </v>
      </c>
      <c r="L200" s="334" t="str">
        <f aca="false">IF((E200="e"),G200," ")</f>
        <v> </v>
      </c>
      <c r="M200" s="334" t="str">
        <f aca="false">IF((E200="p"),G200," ")</f>
        <v> </v>
      </c>
      <c r="N200" s="334" t="str">
        <f aca="false">IF((E200="r"),G200," ")</f>
        <v> </v>
      </c>
      <c r="O200" s="334" t="str">
        <f aca="false">IF((E200="g"),G200," ")</f>
        <v> </v>
      </c>
      <c r="P200" s="334" t="str">
        <f aca="false">IF((E200="m"),G200," ")</f>
        <v> </v>
      </c>
      <c r="Q200" s="334" t="str">
        <f aca="false">IF((E200="t"),G200," ")</f>
        <v> </v>
      </c>
      <c r="R200" s="334" t="str">
        <f aca="false">IF((E200="a"),G200," ")</f>
        <v> </v>
      </c>
      <c r="S200" s="334" t="str">
        <f aca="false">IF((E200="l"),G200," ")</f>
        <v> </v>
      </c>
      <c r="T200" s="334" t="str">
        <f aca="false">IF((E200="b"),G200," ")</f>
        <v> </v>
      </c>
      <c r="U200" s="334" t="str">
        <f aca="false">IF((E200="i"),G200," ")</f>
        <v> </v>
      </c>
      <c r="V200" s="334" t="str">
        <f aca="false">IF((E200="o"),G200," ")</f>
        <v> </v>
      </c>
      <c r="W200" s="334" t="str">
        <f aca="false">IF((E200="f"),G200," ")</f>
        <v> </v>
      </c>
      <c r="Y200" s="399"/>
      <c r="Z200" s="399"/>
    </row>
    <row r="201" customFormat="false" ht="12.75" hidden="false" customHeight="false" outlineLevel="0" collapsed="false">
      <c r="A201" s="355"/>
      <c r="E201" s="365" t="str">
        <f aca="false">IF((G201&lt;&gt;0),"Enter Letter"," ")</f>
        <v> </v>
      </c>
      <c r="H201" s="338" t="str">
        <f aca="false">IF((G201&lt;&gt;0),IF((D201&gt;0)," ",G201)," ")</f>
        <v> </v>
      </c>
      <c r="I201" s="367" t="str">
        <f aca="false">IF((G201&lt;&gt;0),IF((D201&gt;0)," ",(I$1-A201))," ")</f>
        <v> </v>
      </c>
      <c r="J201" s="334" t="str">
        <f aca="false">IF((E201="s"),G201," ")</f>
        <v> </v>
      </c>
      <c r="K201" s="334" t="str">
        <f aca="false">IF((E201="d"),G201," ")</f>
        <v> </v>
      </c>
      <c r="L201" s="334" t="str">
        <f aca="false">IF((E201="e"),G201," ")</f>
        <v> </v>
      </c>
      <c r="M201" s="334" t="str">
        <f aca="false">IF((E201="p"),G201," ")</f>
        <v> </v>
      </c>
      <c r="N201" s="334" t="str">
        <f aca="false">IF((E201="r"),G201," ")</f>
        <v> </v>
      </c>
      <c r="O201" s="334" t="str">
        <f aca="false">IF((E201="g"),G201," ")</f>
        <v> </v>
      </c>
      <c r="P201" s="334" t="str">
        <f aca="false">IF((E201="m"),G201," ")</f>
        <v> </v>
      </c>
      <c r="Q201" s="334" t="str">
        <f aca="false">IF((E201="t"),G201," ")</f>
        <v> </v>
      </c>
      <c r="R201" s="334" t="str">
        <f aca="false">IF((E201="a"),G201," ")</f>
        <v> </v>
      </c>
      <c r="S201" s="334" t="str">
        <f aca="false">IF((E201="l"),G201," ")</f>
        <v> </v>
      </c>
      <c r="T201" s="334" t="str">
        <f aca="false">IF((E201="b"),G201," ")</f>
        <v> </v>
      </c>
      <c r="U201" s="334" t="str">
        <f aca="false">IF((E201="i"),G201," ")</f>
        <v> </v>
      </c>
      <c r="V201" s="334" t="str">
        <f aca="false">IF((E201="o"),G201," ")</f>
        <v> </v>
      </c>
      <c r="W201" s="334" t="str">
        <f aca="false">IF((E201="f"),G201," ")</f>
        <v> </v>
      </c>
    </row>
    <row r="202" customFormat="false" ht="12.75" hidden="false" customHeight="false" outlineLevel="0" collapsed="false">
      <c r="A202" s="355"/>
      <c r="E202" s="365" t="str">
        <f aca="false">IF((G202&lt;&gt;0),"Enter Letter"," ")</f>
        <v> </v>
      </c>
      <c r="H202" s="338" t="str">
        <f aca="false">IF((G202&lt;&gt;0),IF((D202&gt;0)," ",G202)," ")</f>
        <v> </v>
      </c>
      <c r="I202" s="367" t="str">
        <f aca="false">IF((G202&lt;&gt;0),IF((D202&gt;0)," ",(I$1-A202))," ")</f>
        <v> </v>
      </c>
      <c r="J202" s="334" t="str">
        <f aca="false">IF((E202="s"),G202," ")</f>
        <v> </v>
      </c>
      <c r="K202" s="334" t="str">
        <f aca="false">IF((E202="d"),G202," ")</f>
        <v> </v>
      </c>
      <c r="L202" s="334" t="str">
        <f aca="false">IF((E202="e"),G202," ")</f>
        <v> </v>
      </c>
      <c r="M202" s="334" t="str">
        <f aca="false">IF((E202="p"),G202," ")</f>
        <v> </v>
      </c>
      <c r="N202" s="334" t="str">
        <f aca="false">IF((E202="r"),G202," ")</f>
        <v> </v>
      </c>
      <c r="O202" s="334" t="str">
        <f aca="false">IF((E202="g"),G202," ")</f>
        <v> </v>
      </c>
      <c r="P202" s="334" t="str">
        <f aca="false">IF((E202="m"),G202," ")</f>
        <v> </v>
      </c>
      <c r="Q202" s="334" t="str">
        <f aca="false">IF((E202="t"),G202," ")</f>
        <v> </v>
      </c>
      <c r="R202" s="334" t="str">
        <f aca="false">IF((E202="a"),G202," ")</f>
        <v> </v>
      </c>
      <c r="S202" s="334" t="str">
        <f aca="false">IF((E202="l"),G202," ")</f>
        <v> </v>
      </c>
      <c r="T202" s="334" t="str">
        <f aca="false">IF((E202="b"),G202," ")</f>
        <v> </v>
      </c>
      <c r="U202" s="334" t="str">
        <f aca="false">IF((E202="i"),G202," ")</f>
        <v> </v>
      </c>
      <c r="V202" s="334" t="str">
        <f aca="false">IF((E202="o"),G202," ")</f>
        <v> </v>
      </c>
      <c r="W202" s="334" t="str">
        <f aca="false">IF((E202="f"),G202," ")</f>
        <v> </v>
      </c>
    </row>
    <row r="203" customFormat="false" ht="12.75" hidden="false" customHeight="false" outlineLevel="0" collapsed="false">
      <c r="A203" s="355"/>
      <c r="E203" s="365" t="str">
        <f aca="false">IF((G203&lt;&gt;0),"Enter Letter"," ")</f>
        <v> </v>
      </c>
      <c r="H203" s="338" t="str">
        <f aca="false">IF((G203&lt;&gt;0),IF((D203&gt;0)," ",G203)," ")</f>
        <v> </v>
      </c>
      <c r="I203" s="367" t="str">
        <f aca="false">IF((G203&lt;&gt;0),IF((D203&gt;0)," ",(I$1-A203))," ")</f>
        <v> </v>
      </c>
      <c r="J203" s="334" t="str">
        <f aca="false">IF((E203="s"),G203," ")</f>
        <v> </v>
      </c>
      <c r="K203" s="334" t="str">
        <f aca="false">IF((E203="d"),G203," ")</f>
        <v> </v>
      </c>
      <c r="L203" s="334" t="str">
        <f aca="false">IF((E203="e"),G203," ")</f>
        <v> </v>
      </c>
      <c r="M203" s="334" t="str">
        <f aca="false">IF((E203="p"),G203," ")</f>
        <v> </v>
      </c>
      <c r="N203" s="334" t="str">
        <f aca="false">IF((E203="r"),G203," ")</f>
        <v> </v>
      </c>
      <c r="O203" s="334" t="str">
        <f aca="false">IF((E203="g"),G203," ")</f>
        <v> </v>
      </c>
      <c r="P203" s="334" t="str">
        <f aca="false">IF((E203="m"),G203," ")</f>
        <v> </v>
      </c>
      <c r="Q203" s="334" t="str">
        <f aca="false">IF((E203="t"),G203," ")</f>
        <v> </v>
      </c>
      <c r="R203" s="334" t="str">
        <f aca="false">IF((E203="a"),G203," ")</f>
        <v> </v>
      </c>
      <c r="S203" s="334" t="str">
        <f aca="false">IF((E203="l"),G203," ")</f>
        <v> </v>
      </c>
      <c r="T203" s="334" t="str">
        <f aca="false">IF((E203="b"),G203," ")</f>
        <v> </v>
      </c>
      <c r="U203" s="334" t="str">
        <f aca="false">IF((E203="i"),G203," ")</f>
        <v> </v>
      </c>
      <c r="V203" s="334" t="str">
        <f aca="false">IF((E203="o"),G203," ")</f>
        <v> </v>
      </c>
      <c r="W203" s="334" t="str">
        <f aca="false">IF((E203="f"),G203," ")</f>
        <v> </v>
      </c>
    </row>
    <row r="204" customFormat="false" ht="12.75" hidden="false" customHeight="false" outlineLevel="0" collapsed="false">
      <c r="A204" s="355"/>
      <c r="E204" s="365" t="str">
        <f aca="false">IF((G204&lt;&gt;0),"Enter Letter"," ")</f>
        <v> </v>
      </c>
      <c r="H204" s="338" t="str">
        <f aca="false">IF((G204&lt;&gt;0),IF((D204&gt;0)," ",G204)," ")</f>
        <v> </v>
      </c>
      <c r="I204" s="367" t="str">
        <f aca="false">IF((G204&lt;&gt;0),IF((D204&gt;0)," ",(I$1-A204))," ")</f>
        <v> </v>
      </c>
      <c r="J204" s="334" t="str">
        <f aca="false">IF((E204="s"),G204," ")</f>
        <v> </v>
      </c>
      <c r="K204" s="334" t="str">
        <f aca="false">IF((E204="d"),G204," ")</f>
        <v> </v>
      </c>
      <c r="L204" s="334" t="str">
        <f aca="false">IF((E204="e"),G204," ")</f>
        <v> </v>
      </c>
      <c r="M204" s="334" t="str">
        <f aca="false">IF((E204="p"),G204," ")</f>
        <v> </v>
      </c>
      <c r="N204" s="334" t="str">
        <f aca="false">IF((E204="r"),G204," ")</f>
        <v> </v>
      </c>
      <c r="O204" s="334" t="str">
        <f aca="false">IF((E204="g"),G204," ")</f>
        <v> </v>
      </c>
      <c r="P204" s="334" t="str">
        <f aca="false">IF((E204="m"),G204," ")</f>
        <v> </v>
      </c>
      <c r="Q204" s="334" t="str">
        <f aca="false">IF((E204="t"),G204," ")</f>
        <v> </v>
      </c>
      <c r="R204" s="334" t="str">
        <f aca="false">IF((E204="a"),G204," ")</f>
        <v> </v>
      </c>
      <c r="S204" s="334" t="str">
        <f aca="false">IF((E204="l"),G204," ")</f>
        <v> </v>
      </c>
      <c r="T204" s="334" t="str">
        <f aca="false">IF((E204="b"),G204," ")</f>
        <v> </v>
      </c>
      <c r="U204" s="334" t="str">
        <f aca="false">IF((E204="i"),G204," ")</f>
        <v> </v>
      </c>
      <c r="V204" s="334" t="str">
        <f aca="false">IF((E204="o"),G204," ")</f>
        <v> </v>
      </c>
      <c r="W204" s="334" t="str">
        <f aca="false">IF((E204="f"),G204," ")</f>
        <v> </v>
      </c>
    </row>
    <row r="205" customFormat="false" ht="12.75" hidden="false" customHeight="false" outlineLevel="0" collapsed="false">
      <c r="A205" s="355"/>
      <c r="E205" s="365" t="str">
        <f aca="false">IF((G205&lt;&gt;0),"Enter Letter"," ")</f>
        <v> </v>
      </c>
      <c r="J205" s="334" t="str">
        <f aca="false">IF((E205="s"),G205," ")</f>
        <v> </v>
      </c>
      <c r="K205" s="334" t="str">
        <f aca="false">IF((E205="d"),G205," ")</f>
        <v> </v>
      </c>
      <c r="L205" s="334" t="str">
        <f aca="false">IF((E205="e"),G205," ")</f>
        <v> </v>
      </c>
      <c r="M205" s="334" t="str">
        <f aca="false">IF((E205="p"),G205," ")</f>
        <v> </v>
      </c>
      <c r="N205" s="334" t="str">
        <f aca="false">IF((E205="r"),G205," ")</f>
        <v> </v>
      </c>
      <c r="O205" s="334" t="str">
        <f aca="false">IF((E205="g"),G205," ")</f>
        <v> </v>
      </c>
      <c r="P205" s="334" t="str">
        <f aca="false">IF((E205="m"),G205," ")</f>
        <v> </v>
      </c>
      <c r="Q205" s="334" t="str">
        <f aca="false">IF((E205="t"),G205," ")</f>
        <v> </v>
      </c>
      <c r="R205" s="334" t="str">
        <f aca="false">IF((E205="a"),G205," ")</f>
        <v> </v>
      </c>
      <c r="S205" s="334" t="str">
        <f aca="false">IF((E205="l"),G205," ")</f>
        <v> </v>
      </c>
      <c r="T205" s="334" t="str">
        <f aca="false">IF((E205="b"),G205," ")</f>
        <v> </v>
      </c>
      <c r="U205" s="334" t="str">
        <f aca="false">IF((E205="i"),G205," ")</f>
        <v> </v>
      </c>
      <c r="V205" s="334" t="str">
        <f aca="false">IF((E205="o"),G205," ")</f>
        <v> </v>
      </c>
      <c r="W205" s="334" t="str">
        <f aca="false">IF((E205="f"),G205," ")</f>
        <v> </v>
      </c>
    </row>
    <row r="206" customFormat="false" ht="12.75" hidden="false" customHeight="false" outlineLevel="0" collapsed="false">
      <c r="A206" s="355"/>
      <c r="E206" s="365" t="str">
        <f aca="false">IF((G206&lt;&gt;0),"Enter Letter"," ")</f>
        <v> </v>
      </c>
      <c r="J206" s="334" t="str">
        <f aca="false">IF((E206="s"),G206," ")</f>
        <v> </v>
      </c>
      <c r="K206" s="334" t="str">
        <f aca="false">IF((E206="d"),G206," ")</f>
        <v> </v>
      </c>
      <c r="L206" s="334" t="str">
        <f aca="false">IF((E206="e"),G206," ")</f>
        <v> </v>
      </c>
      <c r="M206" s="334" t="str">
        <f aca="false">IF((E206="p"),G206," ")</f>
        <v> </v>
      </c>
      <c r="N206" s="334" t="str">
        <f aca="false">IF((E206="r"),G206," ")</f>
        <v> </v>
      </c>
      <c r="O206" s="334" t="str">
        <f aca="false">IF((E206="g"),G206," ")</f>
        <v> </v>
      </c>
      <c r="P206" s="334" t="str">
        <f aca="false">IF((E206="m"),G206," ")</f>
        <v> </v>
      </c>
      <c r="Q206" s="334" t="str">
        <f aca="false">IF((E206="t"),G206," ")</f>
        <v> </v>
      </c>
      <c r="R206" s="334" t="str">
        <f aca="false">IF((E206="a"),G206," ")</f>
        <v> </v>
      </c>
      <c r="S206" s="334" t="str">
        <f aca="false">IF((E206="l"),G206," ")</f>
        <v> </v>
      </c>
      <c r="T206" s="334" t="str">
        <f aca="false">IF((E206="b"),G206," ")</f>
        <v> </v>
      </c>
      <c r="U206" s="334" t="str">
        <f aca="false">IF((E206="i"),G206," ")</f>
        <v> </v>
      </c>
      <c r="V206" s="334" t="str">
        <f aca="false">IF((E206="o"),G206," ")</f>
        <v> </v>
      </c>
      <c r="W206" s="334" t="str">
        <f aca="false">IF((E206="f"),G206," ")</f>
        <v> </v>
      </c>
    </row>
    <row r="207" customFormat="false" ht="12.75" hidden="false" customHeight="false" outlineLevel="0" collapsed="false">
      <c r="A207" s="355"/>
      <c r="E207" s="365" t="str">
        <f aca="false">IF((G207&lt;&gt;0),"Enter Letter"," ")</f>
        <v> </v>
      </c>
      <c r="J207" s="334" t="str">
        <f aca="false">IF((E207="s"),G207," ")</f>
        <v> </v>
      </c>
      <c r="K207" s="334" t="str">
        <f aca="false">IF((E207="d"),G207," ")</f>
        <v> </v>
      </c>
      <c r="L207" s="334" t="str">
        <f aca="false">IF((E207="e"),G207," ")</f>
        <v> </v>
      </c>
      <c r="M207" s="334" t="str">
        <f aca="false">IF((E207="p"),G207," ")</f>
        <v> </v>
      </c>
      <c r="N207" s="334" t="str">
        <f aca="false">IF((E207="r"),G207," ")</f>
        <v> </v>
      </c>
      <c r="O207" s="334" t="str">
        <f aca="false">IF((E207="g"),G207," ")</f>
        <v> </v>
      </c>
      <c r="P207" s="334" t="str">
        <f aca="false">IF((E207="m"),G207," ")</f>
        <v> </v>
      </c>
      <c r="Q207" s="334" t="str">
        <f aca="false">IF((E207="t"),G207," ")</f>
        <v> </v>
      </c>
      <c r="R207" s="334" t="str">
        <f aca="false">IF((E207="a"),G207," ")</f>
        <v> </v>
      </c>
      <c r="S207" s="334" t="str">
        <f aca="false">IF((E207="l"),G207," ")</f>
        <v> </v>
      </c>
      <c r="T207" s="334" t="str">
        <f aca="false">IF((E207="b"),G207," ")</f>
        <v> </v>
      </c>
      <c r="U207" s="334" t="str">
        <f aca="false">IF((E207="i"),G207," ")</f>
        <v> </v>
      </c>
      <c r="V207" s="334" t="str">
        <f aca="false">IF((E207="o"),G207," ")</f>
        <v> </v>
      </c>
      <c r="W207" s="334" t="str">
        <f aca="false">IF((E207="f"),G207," ")</f>
        <v> </v>
      </c>
    </row>
    <row r="208" customFormat="false" ht="12.75" hidden="false" customHeight="false" outlineLevel="0" collapsed="false">
      <c r="A208" s="355"/>
      <c r="E208" s="365" t="str">
        <f aca="false">IF((G208&lt;&gt;0),"Enter Letter"," ")</f>
        <v> </v>
      </c>
      <c r="J208" s="334" t="str">
        <f aca="false">IF((E208="s"),G208," ")</f>
        <v> </v>
      </c>
      <c r="K208" s="334" t="str">
        <f aca="false">IF((E208="d"),G208," ")</f>
        <v> </v>
      </c>
      <c r="L208" s="334" t="str">
        <f aca="false">IF((E208="e"),G208," ")</f>
        <v> </v>
      </c>
      <c r="M208" s="334" t="str">
        <f aca="false">IF((E208="p"),G208," ")</f>
        <v> </v>
      </c>
      <c r="N208" s="334" t="str">
        <f aca="false">IF((E208="r"),G208," ")</f>
        <v> </v>
      </c>
      <c r="O208" s="334" t="str">
        <f aca="false">IF((E208="g"),G208," ")</f>
        <v> </v>
      </c>
      <c r="P208" s="334" t="str">
        <f aca="false">IF((E208="m"),G208," ")</f>
        <v> </v>
      </c>
      <c r="Q208" s="334" t="str">
        <f aca="false">IF((E208="t"),G208," ")</f>
        <v> </v>
      </c>
      <c r="R208" s="334" t="str">
        <f aca="false">IF((E208="a"),G208," ")</f>
        <v> </v>
      </c>
      <c r="S208" s="334" t="str">
        <f aca="false">IF((E208="l"),G208," ")</f>
        <v> </v>
      </c>
      <c r="T208" s="334" t="str">
        <f aca="false">IF((E208="b"),G208," ")</f>
        <v> </v>
      </c>
      <c r="U208" s="334" t="str">
        <f aca="false">IF((E208="i"),G208," ")</f>
        <v> </v>
      </c>
      <c r="V208" s="334" t="str">
        <f aca="false">IF((E208="o"),G208," ")</f>
        <v> </v>
      </c>
      <c r="W208" s="334" t="str">
        <f aca="false">IF((E208="f"),G208," ")</f>
        <v> </v>
      </c>
    </row>
    <row r="209" customFormat="false" ht="12.75" hidden="false" customHeight="false" outlineLevel="0" collapsed="false">
      <c r="A209" s="355"/>
      <c r="E209" s="365" t="str">
        <f aca="false">IF((G209&lt;&gt;0),"Enter Letter"," ")</f>
        <v> </v>
      </c>
      <c r="J209" s="334" t="str">
        <f aca="false">IF((E209="s"),G209," ")</f>
        <v> </v>
      </c>
      <c r="K209" s="334" t="str">
        <f aca="false">IF((E209="d"),G209," ")</f>
        <v> </v>
      </c>
      <c r="L209" s="334" t="str">
        <f aca="false">IF((E209="e"),G209," ")</f>
        <v> </v>
      </c>
      <c r="M209" s="334" t="str">
        <f aca="false">IF((E209="p"),G209," ")</f>
        <v> </v>
      </c>
      <c r="N209" s="334" t="str">
        <f aca="false">IF((E209="r"),G209," ")</f>
        <v> </v>
      </c>
      <c r="O209" s="334" t="str">
        <f aca="false">IF((E209="g"),G209," ")</f>
        <v> </v>
      </c>
      <c r="P209" s="334" t="str">
        <f aca="false">IF((E209="m"),G209," ")</f>
        <v> </v>
      </c>
      <c r="Q209" s="334" t="str">
        <f aca="false">IF((E209="t"),G209," ")</f>
        <v> </v>
      </c>
      <c r="R209" s="334" t="str">
        <f aca="false">IF((E209="a"),G209," ")</f>
        <v> </v>
      </c>
      <c r="S209" s="334" t="str">
        <f aca="false">IF((E209="l"),G209," ")</f>
        <v> </v>
      </c>
      <c r="T209" s="334" t="str">
        <f aca="false">IF((E209="b"),G209," ")</f>
        <v> </v>
      </c>
      <c r="U209" s="334" t="str">
        <f aca="false">IF((E209="i"),G209," ")</f>
        <v> </v>
      </c>
      <c r="V209" s="334" t="str">
        <f aca="false">IF((E209="o"),G209," ")</f>
        <v> </v>
      </c>
      <c r="W209" s="334" t="str">
        <f aca="false">IF((E209="f"),G209," ")</f>
        <v> </v>
      </c>
    </row>
    <row r="210" customFormat="false" ht="12.75" hidden="false" customHeight="false" outlineLevel="0" collapsed="false">
      <c r="A210" s="355"/>
      <c r="E210" s="365" t="str">
        <f aca="false">IF((G210&lt;&gt;0),"Enter Letter"," ")</f>
        <v> </v>
      </c>
      <c r="J210" s="334" t="str">
        <f aca="false">IF((E210="s"),G210," ")</f>
        <v> </v>
      </c>
      <c r="K210" s="334" t="str">
        <f aca="false">IF((E210="d"),G210," ")</f>
        <v> </v>
      </c>
      <c r="L210" s="334" t="str">
        <f aca="false">IF((E210="e"),G210," ")</f>
        <v> </v>
      </c>
      <c r="M210" s="334" t="str">
        <f aca="false">IF((E210="p"),G210," ")</f>
        <v> </v>
      </c>
      <c r="N210" s="334" t="str">
        <f aca="false">IF((E210="r"),G210," ")</f>
        <v> </v>
      </c>
      <c r="O210" s="334" t="str">
        <f aca="false">IF((E210="g"),G210," ")</f>
        <v> </v>
      </c>
      <c r="P210" s="334" t="str">
        <f aca="false">IF((E210="m"),G210," ")</f>
        <v> </v>
      </c>
      <c r="Q210" s="334" t="str">
        <f aca="false">IF((E210="t"),G210," ")</f>
        <v> </v>
      </c>
      <c r="R210" s="334" t="str">
        <f aca="false">IF((E210="a"),G210," ")</f>
        <v> </v>
      </c>
      <c r="S210" s="334" t="str">
        <f aca="false">IF((E210="l"),G210," ")</f>
        <v> </v>
      </c>
      <c r="T210" s="334" t="str">
        <f aca="false">IF((E210="b"),G210," ")</f>
        <v> </v>
      </c>
      <c r="U210" s="334" t="str">
        <f aca="false">IF((E210="i"),G210," ")</f>
        <v> </v>
      </c>
      <c r="V210" s="334" t="str">
        <f aca="false">IF((E210="o"),G210," ")</f>
        <v> </v>
      </c>
      <c r="W210" s="334" t="str">
        <f aca="false">IF((E210="f"),G210," ")</f>
        <v> </v>
      </c>
    </row>
    <row r="211" customFormat="false" ht="12.75" hidden="false" customHeight="false" outlineLevel="0" collapsed="false">
      <c r="A211" s="355"/>
      <c r="E211" s="365" t="str">
        <f aca="false">IF((G211&lt;&gt;0),"Enter Letter"," ")</f>
        <v> </v>
      </c>
      <c r="J211" s="334" t="str">
        <f aca="false">IF((E211="s"),G211," ")</f>
        <v> </v>
      </c>
      <c r="K211" s="334" t="str">
        <f aca="false">IF((E211="d"),G211," ")</f>
        <v> </v>
      </c>
      <c r="L211" s="334" t="str">
        <f aca="false">IF((E211="e"),G211," ")</f>
        <v> </v>
      </c>
      <c r="M211" s="334" t="str">
        <f aca="false">IF((E211="p"),G211," ")</f>
        <v> </v>
      </c>
      <c r="N211" s="334" t="str">
        <f aca="false">IF((E211="r"),G211," ")</f>
        <v> </v>
      </c>
      <c r="O211" s="334" t="str">
        <f aca="false">IF((E211="g"),G211," ")</f>
        <v> </v>
      </c>
      <c r="P211" s="334" t="str">
        <f aca="false">IF((E211="m"),G211," ")</f>
        <v> </v>
      </c>
      <c r="Q211" s="334" t="str">
        <f aca="false">IF((E211="t"),G211," ")</f>
        <v> </v>
      </c>
      <c r="R211" s="334" t="str">
        <f aca="false">IF((E211="a"),G211," ")</f>
        <v> </v>
      </c>
      <c r="S211" s="334" t="str">
        <f aca="false">IF((E211="l"),G211," ")</f>
        <v> </v>
      </c>
      <c r="T211" s="334" t="str">
        <f aca="false">IF((E211="b"),G211," ")</f>
        <v> </v>
      </c>
      <c r="U211" s="334" t="str">
        <f aca="false">IF((E211="i"),G211," ")</f>
        <v> </v>
      </c>
      <c r="V211" s="334" t="str">
        <f aca="false">IF((E211="o"),G211," ")</f>
        <v> </v>
      </c>
      <c r="W211" s="334" t="str">
        <f aca="false">IF((E211="f"),G211," ")</f>
        <v> </v>
      </c>
    </row>
    <row r="212" customFormat="false" ht="12.75" hidden="false" customHeight="false" outlineLevel="0" collapsed="false">
      <c r="A212" s="355"/>
      <c r="E212" s="365" t="str">
        <f aca="false">IF((G212&lt;&gt;0),"Enter Letter"," ")</f>
        <v> </v>
      </c>
      <c r="J212" s="334" t="str">
        <f aca="false">IF((E212="s"),G212," ")</f>
        <v> </v>
      </c>
      <c r="K212" s="334" t="str">
        <f aca="false">IF((E212="d"),G212," ")</f>
        <v> </v>
      </c>
      <c r="L212" s="334" t="str">
        <f aca="false">IF((E212="e"),G212," ")</f>
        <v> </v>
      </c>
      <c r="M212" s="334" t="str">
        <f aca="false">IF((E212="p"),G212," ")</f>
        <v> </v>
      </c>
      <c r="N212" s="334" t="str">
        <f aca="false">IF((E212="r"),G212," ")</f>
        <v> </v>
      </c>
      <c r="O212" s="334" t="str">
        <f aca="false">IF((E212="g"),G212," ")</f>
        <v> </v>
      </c>
      <c r="P212" s="334" t="str">
        <f aca="false">IF((E212="m"),G212," ")</f>
        <v> </v>
      </c>
      <c r="Q212" s="334" t="str">
        <f aca="false">IF((E212="t"),G212," ")</f>
        <v> </v>
      </c>
      <c r="R212" s="334" t="str">
        <f aca="false">IF((E212="a"),G212," ")</f>
        <v> </v>
      </c>
      <c r="S212" s="334" t="str">
        <f aca="false">IF((E212="l"),G212," ")</f>
        <v> </v>
      </c>
      <c r="T212" s="334" t="str">
        <f aca="false">IF((E212="b"),G212," ")</f>
        <v> </v>
      </c>
      <c r="U212" s="334" t="str">
        <f aca="false">IF((E212="i"),G212," ")</f>
        <v> </v>
      </c>
      <c r="V212" s="334" t="str">
        <f aca="false">IF((E212="o"),G212," ")</f>
        <v> </v>
      </c>
      <c r="W212" s="334" t="str">
        <f aca="false">IF((E212="f"),G212," ")</f>
        <v> </v>
      </c>
    </row>
    <row r="213" customFormat="false" ht="12.75" hidden="false" customHeight="false" outlineLevel="0" collapsed="false">
      <c r="A213" s="355"/>
      <c r="E213" s="365" t="str">
        <f aca="false">IF((G213&lt;&gt;0),"Enter Letter"," ")</f>
        <v> </v>
      </c>
      <c r="J213" s="334" t="str">
        <f aca="false">IF((E213="s"),G213," ")</f>
        <v> </v>
      </c>
      <c r="K213" s="334" t="str">
        <f aca="false">IF((E213="d"),G213," ")</f>
        <v> </v>
      </c>
      <c r="L213" s="334" t="str">
        <f aca="false">IF((E213="e"),G213," ")</f>
        <v> </v>
      </c>
      <c r="M213" s="334" t="str">
        <f aca="false">IF((E213="p"),G213," ")</f>
        <v> </v>
      </c>
      <c r="N213" s="334" t="str">
        <f aca="false">IF((E213="r"),G213," ")</f>
        <v> </v>
      </c>
      <c r="O213" s="334" t="str">
        <f aca="false">IF((E213="g"),G213," ")</f>
        <v> </v>
      </c>
      <c r="P213" s="334" t="str">
        <f aca="false">IF((E213="m"),G213," ")</f>
        <v> </v>
      </c>
      <c r="Q213" s="334" t="str">
        <f aca="false">IF((E213="t"),G213," ")</f>
        <v> </v>
      </c>
      <c r="R213" s="334" t="str">
        <f aca="false">IF((E213="a"),G213," ")</f>
        <v> </v>
      </c>
      <c r="S213" s="334" t="str">
        <f aca="false">IF((E213="l"),G213," ")</f>
        <v> </v>
      </c>
      <c r="T213" s="334" t="str">
        <f aca="false">IF((E213="b"),G213," ")</f>
        <v> </v>
      </c>
      <c r="U213" s="334" t="str">
        <f aca="false">IF((E213="i"),G213," ")</f>
        <v> </v>
      </c>
      <c r="V213" s="334" t="str">
        <f aca="false">IF((E213="o"),G213," ")</f>
        <v> </v>
      </c>
      <c r="W213" s="334" t="str">
        <f aca="false">IF((E213="f"),G213," ")</f>
        <v> </v>
      </c>
    </row>
    <row r="214" customFormat="false" ht="12.75" hidden="false" customHeight="false" outlineLevel="0" collapsed="false">
      <c r="A214" s="355"/>
      <c r="E214" s="365" t="str">
        <f aca="false">IF((G214&lt;&gt;0),"Enter Letter"," ")</f>
        <v> </v>
      </c>
      <c r="J214" s="334" t="str">
        <f aca="false">IF((E214="s"),G214," ")</f>
        <v> </v>
      </c>
      <c r="K214" s="334" t="str">
        <f aca="false">IF((E214="d"),G214," ")</f>
        <v> </v>
      </c>
      <c r="L214" s="334" t="str">
        <f aca="false">IF((E214="e"),G214," ")</f>
        <v> </v>
      </c>
      <c r="M214" s="334" t="str">
        <f aca="false">IF((E214="p"),G214," ")</f>
        <v> </v>
      </c>
      <c r="N214" s="334" t="str">
        <f aca="false">IF((E214="r"),G214," ")</f>
        <v> </v>
      </c>
      <c r="O214" s="334" t="str">
        <f aca="false">IF((E214="g"),G214," ")</f>
        <v> </v>
      </c>
      <c r="P214" s="334" t="str">
        <f aca="false">IF((E214="m"),G214," ")</f>
        <v> </v>
      </c>
      <c r="Q214" s="334" t="str">
        <f aca="false">IF((E214="t"),G214," ")</f>
        <v> </v>
      </c>
      <c r="R214" s="334" t="str">
        <f aca="false">IF((E214="a"),G214," ")</f>
        <v> </v>
      </c>
      <c r="S214" s="334" t="str">
        <f aca="false">IF((E214="l"),G214," ")</f>
        <v> </v>
      </c>
      <c r="T214" s="334" t="str">
        <f aca="false">IF((E214="b"),G214," ")</f>
        <v> </v>
      </c>
      <c r="U214" s="334" t="str">
        <f aca="false">IF((E214="i"),G214," ")</f>
        <v> </v>
      </c>
      <c r="V214" s="334" t="str">
        <f aca="false">IF((E214="o"),G214," ")</f>
        <v> </v>
      </c>
      <c r="W214" s="334" t="str">
        <f aca="false">IF((E214="f"),G214," ")</f>
        <v> </v>
      </c>
    </row>
    <row r="215" customFormat="false" ht="12.75" hidden="false" customHeight="false" outlineLevel="0" collapsed="false">
      <c r="A215" s="355"/>
      <c r="E215" s="365" t="str">
        <f aca="false">IF((G215&lt;&gt;0),"Enter Letter"," ")</f>
        <v> </v>
      </c>
      <c r="J215" s="334" t="str">
        <f aca="false">IF((E215="s"),G215," ")</f>
        <v> </v>
      </c>
      <c r="K215" s="334" t="str">
        <f aca="false">IF((E215="d"),G215," ")</f>
        <v> </v>
      </c>
      <c r="L215" s="334" t="str">
        <f aca="false">IF((E215="e"),G215," ")</f>
        <v> </v>
      </c>
      <c r="M215" s="334" t="str">
        <f aca="false">IF((E215="p"),G215," ")</f>
        <v> </v>
      </c>
      <c r="N215" s="334" t="str">
        <f aca="false">IF((E215="r"),G215," ")</f>
        <v> </v>
      </c>
      <c r="O215" s="334" t="str">
        <f aca="false">IF((E215="g"),G215," ")</f>
        <v> </v>
      </c>
      <c r="P215" s="334" t="str">
        <f aca="false">IF((E215="m"),G215," ")</f>
        <v> </v>
      </c>
      <c r="Q215" s="334" t="str">
        <f aca="false">IF((E215="t"),G215," ")</f>
        <v> </v>
      </c>
      <c r="R215" s="334" t="str">
        <f aca="false">IF((E215="a"),G215," ")</f>
        <v> </v>
      </c>
      <c r="S215" s="334" t="str">
        <f aca="false">IF((E215="l"),G215," ")</f>
        <v> </v>
      </c>
      <c r="T215" s="334" t="str">
        <f aca="false">IF((E215="b"),G215," ")</f>
        <v> </v>
      </c>
      <c r="U215" s="334" t="str">
        <f aca="false">IF((E215="i"),G215," ")</f>
        <v> </v>
      </c>
      <c r="V215" s="334" t="str">
        <f aca="false">IF((E215="o"),G215," ")</f>
        <v> </v>
      </c>
      <c r="W215" s="334" t="str">
        <f aca="false">IF((E215="f"),G215," ")</f>
        <v> </v>
      </c>
    </row>
    <row r="216" customFormat="false" ht="12.75" hidden="false" customHeight="false" outlineLevel="0" collapsed="false">
      <c r="A216" s="355"/>
      <c r="E216" s="365" t="str">
        <f aca="false">IF((G216&lt;&gt;0),"Enter Letter"," ")</f>
        <v> </v>
      </c>
      <c r="J216" s="334" t="str">
        <f aca="false">IF((E216="s"),G216," ")</f>
        <v> </v>
      </c>
      <c r="K216" s="334" t="str">
        <f aca="false">IF((E216="d"),G216," ")</f>
        <v> </v>
      </c>
      <c r="L216" s="334" t="str">
        <f aca="false">IF((E216="e"),G216," ")</f>
        <v> </v>
      </c>
      <c r="M216" s="334" t="str">
        <f aca="false">IF((E216="p"),G216," ")</f>
        <v> </v>
      </c>
      <c r="N216" s="334" t="str">
        <f aca="false">IF((E216="r"),G216," ")</f>
        <v> </v>
      </c>
      <c r="O216" s="334" t="str">
        <f aca="false">IF((E216="g"),G216," ")</f>
        <v> </v>
      </c>
      <c r="P216" s="334" t="str">
        <f aca="false">IF((E216="m"),G216," ")</f>
        <v> </v>
      </c>
      <c r="Q216" s="334" t="str">
        <f aca="false">IF((E216="t"),G216," ")</f>
        <v> </v>
      </c>
      <c r="R216" s="334" t="str">
        <f aca="false">IF((E216="a"),G216," ")</f>
        <v> </v>
      </c>
      <c r="S216" s="334" t="str">
        <f aca="false">IF((E216="l"),G216," ")</f>
        <v> </v>
      </c>
      <c r="T216" s="334" t="str">
        <f aca="false">IF((E216="b"),G216," ")</f>
        <v> </v>
      </c>
      <c r="U216" s="334" t="str">
        <f aca="false">IF((E216="i"),G216," ")</f>
        <v> </v>
      </c>
      <c r="V216" s="334" t="str">
        <f aca="false">IF((E216="o"),G216," ")</f>
        <v> </v>
      </c>
      <c r="W216" s="334" t="str">
        <f aca="false">IF((E216="f"),G216," ")</f>
        <v> </v>
      </c>
    </row>
    <row r="217" customFormat="false" ht="12.75" hidden="false" customHeight="false" outlineLevel="0" collapsed="false">
      <c r="A217" s="355"/>
      <c r="E217" s="365" t="str">
        <f aca="false">IF((G217&lt;&gt;0),"Enter Letter"," ")</f>
        <v> </v>
      </c>
      <c r="J217" s="334" t="str">
        <f aca="false">IF((E217="s"),G217," ")</f>
        <v> </v>
      </c>
      <c r="K217" s="334" t="str">
        <f aca="false">IF((E217="d"),G217," ")</f>
        <v> </v>
      </c>
      <c r="L217" s="334" t="str">
        <f aca="false">IF((E217="e"),G217," ")</f>
        <v> </v>
      </c>
      <c r="M217" s="334" t="str">
        <f aca="false">IF((E217="p"),G217," ")</f>
        <v> </v>
      </c>
      <c r="N217" s="334" t="str">
        <f aca="false">IF((E217="r"),G217," ")</f>
        <v> </v>
      </c>
      <c r="O217" s="334" t="str">
        <f aca="false">IF((E217="g"),G217," ")</f>
        <v> </v>
      </c>
      <c r="P217" s="334" t="str">
        <f aca="false">IF((E217="m"),G217," ")</f>
        <v> </v>
      </c>
      <c r="Q217" s="334" t="str">
        <f aca="false">IF((E217="t"),G217," ")</f>
        <v> </v>
      </c>
      <c r="R217" s="334" t="str">
        <f aca="false">IF((E217="a"),G217," ")</f>
        <v> </v>
      </c>
      <c r="S217" s="334" t="str">
        <f aca="false">IF((E217="l"),G217," ")</f>
        <v> </v>
      </c>
      <c r="T217" s="334" t="str">
        <f aca="false">IF((E217="b"),G217," ")</f>
        <v> </v>
      </c>
      <c r="U217" s="334" t="str">
        <f aca="false">IF((E217="i"),G217," ")</f>
        <v> </v>
      </c>
      <c r="V217" s="334" t="str">
        <f aca="false">IF((E217="o"),G217," ")</f>
        <v> </v>
      </c>
      <c r="W217" s="334" t="str">
        <f aca="false">IF((E217="f"),G217," ")</f>
        <v> </v>
      </c>
    </row>
    <row r="218" customFormat="false" ht="12.75" hidden="false" customHeight="false" outlineLevel="0" collapsed="false">
      <c r="A218" s="355"/>
      <c r="E218" s="365" t="str">
        <f aca="false">IF((G218&lt;&gt;0),"Enter Letter"," ")</f>
        <v> </v>
      </c>
      <c r="J218" s="334" t="str">
        <f aca="false">IF((E218="s"),G218," ")</f>
        <v> </v>
      </c>
      <c r="K218" s="334" t="str">
        <f aca="false">IF((E218="d"),G218," ")</f>
        <v> </v>
      </c>
      <c r="L218" s="334" t="str">
        <f aca="false">IF((E218="e"),G218," ")</f>
        <v> </v>
      </c>
      <c r="M218" s="334" t="str">
        <f aca="false">IF((E218="p"),G218," ")</f>
        <v> </v>
      </c>
      <c r="N218" s="334" t="str">
        <f aca="false">IF((E218="r"),G218," ")</f>
        <v> </v>
      </c>
      <c r="O218" s="334" t="str">
        <f aca="false">IF((E218="g"),G218," ")</f>
        <v> </v>
      </c>
      <c r="P218" s="334" t="str">
        <f aca="false">IF((E218="m"),G218," ")</f>
        <v> </v>
      </c>
      <c r="Q218" s="334" t="str">
        <f aca="false">IF((E218="t"),G218," ")</f>
        <v> </v>
      </c>
      <c r="R218" s="334" t="str">
        <f aca="false">IF((E218="a"),G218," ")</f>
        <v> </v>
      </c>
      <c r="S218" s="334" t="str">
        <f aca="false">IF((E218="l"),G218," ")</f>
        <v> </v>
      </c>
      <c r="T218" s="334" t="str">
        <f aca="false">IF((E218="b"),G218," ")</f>
        <v> </v>
      </c>
      <c r="U218" s="334" t="str">
        <f aca="false">IF((E218="i"),G218," ")</f>
        <v> </v>
      </c>
      <c r="V218" s="334" t="str">
        <f aca="false">IF((E218="o"),G218," ")</f>
        <v> </v>
      </c>
      <c r="W218" s="334" t="str">
        <f aca="false">IF((E218="f"),G218," ")</f>
        <v> </v>
      </c>
    </row>
    <row r="219" customFormat="false" ht="12.75" hidden="false" customHeight="false" outlineLevel="0" collapsed="false">
      <c r="A219" s="355"/>
      <c r="E219" s="365" t="str">
        <f aca="false">IF((G219&lt;&gt;0),"Enter Letter"," ")</f>
        <v> </v>
      </c>
      <c r="J219" s="334" t="str">
        <f aca="false">IF((E219="s"),G219," ")</f>
        <v> </v>
      </c>
      <c r="K219" s="334" t="str">
        <f aca="false">IF((E219="d"),G219," ")</f>
        <v> </v>
      </c>
      <c r="L219" s="334" t="str">
        <f aca="false">IF((E219="e"),G219," ")</f>
        <v> </v>
      </c>
      <c r="M219" s="334" t="str">
        <f aca="false">IF((E219="p"),G219," ")</f>
        <v> </v>
      </c>
      <c r="N219" s="334" t="str">
        <f aca="false">IF((E219="r"),G219," ")</f>
        <v> </v>
      </c>
      <c r="O219" s="334" t="str">
        <f aca="false">IF((E219="g"),G219," ")</f>
        <v> </v>
      </c>
      <c r="P219" s="334" t="str">
        <f aca="false">IF((E219="m"),G219," ")</f>
        <v> </v>
      </c>
      <c r="Q219" s="334" t="str">
        <f aca="false">IF((E219="t"),G219," ")</f>
        <v> </v>
      </c>
      <c r="R219" s="334" t="str">
        <f aca="false">IF((E219="a"),G219," ")</f>
        <v> </v>
      </c>
      <c r="S219" s="334" t="str">
        <f aca="false">IF((E219="l"),G219," ")</f>
        <v> </v>
      </c>
      <c r="T219" s="334" t="str">
        <f aca="false">IF((E219="b"),G219," ")</f>
        <v> </v>
      </c>
      <c r="U219" s="334" t="str">
        <f aca="false">IF((E219="i"),G219," ")</f>
        <v> </v>
      </c>
      <c r="V219" s="334" t="str">
        <f aca="false">IF((E219="o"),G219," ")</f>
        <v> </v>
      </c>
      <c r="W219" s="334" t="str">
        <f aca="false">IF((E219="f"),G219," ")</f>
        <v> </v>
      </c>
    </row>
    <row r="220" customFormat="false" ht="12.75" hidden="false" customHeight="false" outlineLevel="0" collapsed="false">
      <c r="A220" s="355"/>
      <c r="E220" s="365" t="str">
        <f aca="false">IF((G220&lt;&gt;0),"Enter Letter"," ")</f>
        <v> </v>
      </c>
      <c r="J220" s="334" t="str">
        <f aca="false">IF((E220="s"),G220," ")</f>
        <v> </v>
      </c>
      <c r="K220" s="334" t="str">
        <f aca="false">IF((E220="d"),G220," ")</f>
        <v> </v>
      </c>
      <c r="L220" s="334" t="str">
        <f aca="false">IF((E220="e"),G220," ")</f>
        <v> </v>
      </c>
      <c r="M220" s="334" t="str">
        <f aca="false">IF((E220="p"),G220," ")</f>
        <v> </v>
      </c>
      <c r="N220" s="334" t="str">
        <f aca="false">IF((E220="r"),G220," ")</f>
        <v> </v>
      </c>
      <c r="O220" s="334" t="str">
        <f aca="false">IF((E220="g"),G220," ")</f>
        <v> </v>
      </c>
      <c r="P220" s="334" t="str">
        <f aca="false">IF((E220="m"),G220," ")</f>
        <v> </v>
      </c>
      <c r="Q220" s="334" t="str">
        <f aca="false">IF((E220="t"),G220," ")</f>
        <v> </v>
      </c>
      <c r="R220" s="334" t="str">
        <f aca="false">IF((E220="a"),G220," ")</f>
        <v> </v>
      </c>
      <c r="S220" s="334" t="str">
        <f aca="false">IF((E220="l"),G220," ")</f>
        <v> </v>
      </c>
      <c r="T220" s="334" t="str">
        <f aca="false">IF((E220="b"),G220," ")</f>
        <v> </v>
      </c>
      <c r="U220" s="334" t="str">
        <f aca="false">IF((E220="i"),G220," ")</f>
        <v> </v>
      </c>
      <c r="V220" s="334" t="str">
        <f aca="false">IF((E220="o"),G220," ")</f>
        <v> </v>
      </c>
      <c r="W220" s="334" t="str">
        <f aca="false">IF((E220="f"),G220," ")</f>
        <v> </v>
      </c>
    </row>
    <row r="221" customFormat="false" ht="12.75" hidden="false" customHeight="false" outlineLevel="0" collapsed="false">
      <c r="A221" s="355"/>
      <c r="E221" s="365" t="str">
        <f aca="false">IF((G221&lt;&gt;0),"Enter Letter"," ")</f>
        <v> </v>
      </c>
      <c r="J221" s="334" t="str">
        <f aca="false">IF((E221="s"),G221," ")</f>
        <v> </v>
      </c>
      <c r="K221" s="334" t="str">
        <f aca="false">IF((E221="d"),G221," ")</f>
        <v> </v>
      </c>
      <c r="L221" s="334" t="str">
        <f aca="false">IF((E221="e"),G221," ")</f>
        <v> </v>
      </c>
      <c r="M221" s="334" t="str">
        <f aca="false">IF((E221="p"),G221," ")</f>
        <v> </v>
      </c>
      <c r="N221" s="334" t="str">
        <f aca="false">IF((E221="r"),G221," ")</f>
        <v> </v>
      </c>
      <c r="O221" s="334" t="str">
        <f aca="false">IF((E221="g"),G221," ")</f>
        <v> </v>
      </c>
      <c r="P221" s="334" t="str">
        <f aca="false">IF((E221="m"),G221," ")</f>
        <v> </v>
      </c>
      <c r="Q221" s="334" t="str">
        <f aca="false">IF((E221="t"),G221," ")</f>
        <v> </v>
      </c>
      <c r="R221" s="334" t="str">
        <f aca="false">IF((E221="a"),G221," ")</f>
        <v> </v>
      </c>
      <c r="S221" s="334" t="str">
        <f aca="false">IF((E221="l"),G221," ")</f>
        <v> </v>
      </c>
      <c r="T221" s="334" t="str">
        <f aca="false">IF((E221="b"),G221," ")</f>
        <v> </v>
      </c>
      <c r="U221" s="334" t="str">
        <f aca="false">IF((E221="i"),G221," ")</f>
        <v> </v>
      </c>
      <c r="V221" s="334" t="str">
        <f aca="false">IF((E221="o"),G221," ")</f>
        <v> </v>
      </c>
      <c r="W221" s="334" t="str">
        <f aca="false">IF((E221="f"),G221," ")</f>
        <v> </v>
      </c>
    </row>
    <row r="222" customFormat="false" ht="12.75" hidden="false" customHeight="false" outlineLevel="0" collapsed="false">
      <c r="A222" s="355"/>
      <c r="E222" s="365" t="str">
        <f aca="false">IF((G222&lt;&gt;0),"Enter Letter"," ")</f>
        <v> </v>
      </c>
      <c r="J222" s="334" t="str">
        <f aca="false">IF((E222="s"),G222," ")</f>
        <v> </v>
      </c>
      <c r="K222" s="334" t="str">
        <f aca="false">IF((E222="d"),G222," ")</f>
        <v> </v>
      </c>
      <c r="L222" s="334" t="str">
        <f aca="false">IF((E222="e"),G222," ")</f>
        <v> </v>
      </c>
      <c r="M222" s="334" t="str">
        <f aca="false">IF((E222="p"),G222," ")</f>
        <v> </v>
      </c>
      <c r="N222" s="334" t="str">
        <f aca="false">IF((E222="r"),G222," ")</f>
        <v> </v>
      </c>
      <c r="O222" s="334" t="str">
        <f aca="false">IF((E222="g"),G222," ")</f>
        <v> </v>
      </c>
      <c r="P222" s="334" t="str">
        <f aca="false">IF((E222="m"),G222," ")</f>
        <v> </v>
      </c>
      <c r="Q222" s="334" t="str">
        <f aca="false">IF((E222="t"),G222," ")</f>
        <v> </v>
      </c>
      <c r="R222" s="334" t="str">
        <f aca="false">IF((E222="a"),G222," ")</f>
        <v> </v>
      </c>
      <c r="S222" s="334" t="str">
        <f aca="false">IF((E222="l"),G222," ")</f>
        <v> </v>
      </c>
      <c r="T222" s="334" t="str">
        <f aca="false">IF((E222="b"),G222," ")</f>
        <v> </v>
      </c>
      <c r="U222" s="334" t="str">
        <f aca="false">IF((E222="i"),G222," ")</f>
        <v> </v>
      </c>
      <c r="V222" s="334" t="str">
        <f aca="false">IF((E222="o"),G222," ")</f>
        <v> </v>
      </c>
      <c r="W222" s="334" t="str">
        <f aca="false">IF((E222="f"),G222," ")</f>
        <v> </v>
      </c>
    </row>
    <row r="223" customFormat="false" ht="12.75" hidden="false" customHeight="false" outlineLevel="0" collapsed="false">
      <c r="A223" s="355"/>
      <c r="E223" s="365" t="str">
        <f aca="false">IF((G223&lt;&gt;0),"Enter Letter"," ")</f>
        <v> </v>
      </c>
      <c r="J223" s="334" t="str">
        <f aca="false">IF((E223="s"),G223," ")</f>
        <v> </v>
      </c>
      <c r="K223" s="334" t="str">
        <f aca="false">IF((E223="d"),G223," ")</f>
        <v> </v>
      </c>
      <c r="L223" s="334" t="str">
        <f aca="false">IF((E223="e"),G223," ")</f>
        <v> </v>
      </c>
      <c r="M223" s="334" t="str">
        <f aca="false">IF((E223="p"),G223," ")</f>
        <v> </v>
      </c>
      <c r="N223" s="334" t="str">
        <f aca="false">IF((E223="r"),G223," ")</f>
        <v> </v>
      </c>
      <c r="O223" s="334" t="str">
        <f aca="false">IF((E223="g"),G223," ")</f>
        <v> </v>
      </c>
      <c r="P223" s="334" t="str">
        <f aca="false">IF((E223="m"),G223," ")</f>
        <v> </v>
      </c>
      <c r="Q223" s="334" t="str">
        <f aca="false">IF((E223="t"),G223," ")</f>
        <v> </v>
      </c>
      <c r="R223" s="334" t="str">
        <f aca="false">IF((E223="a"),G223," ")</f>
        <v> </v>
      </c>
      <c r="S223" s="334" t="str">
        <f aca="false">IF((E223="l"),G223," ")</f>
        <v> </v>
      </c>
      <c r="T223" s="334" t="str">
        <f aca="false">IF((E223="b"),G223," ")</f>
        <v> </v>
      </c>
      <c r="U223" s="334" t="str">
        <f aca="false">IF((E223="i"),G223," ")</f>
        <v> </v>
      </c>
      <c r="V223" s="334" t="str">
        <f aca="false">IF((E223="o"),G223," ")</f>
        <v> </v>
      </c>
      <c r="W223" s="334" t="str">
        <f aca="false">IF((E223="f"),G223," ")</f>
        <v> </v>
      </c>
    </row>
    <row r="224" customFormat="false" ht="12.75" hidden="false" customHeight="false" outlineLevel="0" collapsed="false">
      <c r="A224" s="355"/>
      <c r="E224" s="365" t="str">
        <f aca="false">IF((G224&lt;&gt;0),"Enter Letter"," ")</f>
        <v> </v>
      </c>
      <c r="J224" s="334" t="str">
        <f aca="false">IF((E224="s"),G224," ")</f>
        <v> </v>
      </c>
      <c r="K224" s="334" t="str">
        <f aca="false">IF((E224="d"),G224," ")</f>
        <v> </v>
      </c>
      <c r="L224" s="334" t="str">
        <f aca="false">IF((E224="e"),G224," ")</f>
        <v> </v>
      </c>
      <c r="M224" s="334" t="str">
        <f aca="false">IF((E224="p"),G224," ")</f>
        <v> </v>
      </c>
      <c r="N224" s="334" t="str">
        <f aca="false">IF((E224="r"),G224," ")</f>
        <v> </v>
      </c>
      <c r="O224" s="334" t="str">
        <f aca="false">IF((E224="g"),G224," ")</f>
        <v> </v>
      </c>
      <c r="P224" s="334" t="str">
        <f aca="false">IF((E224="m"),G224," ")</f>
        <v> </v>
      </c>
      <c r="Q224" s="334" t="str">
        <f aca="false">IF((E224="t"),G224," ")</f>
        <v> </v>
      </c>
      <c r="R224" s="334" t="str">
        <f aca="false">IF((E224="a"),G224," ")</f>
        <v> </v>
      </c>
      <c r="S224" s="334" t="str">
        <f aca="false">IF((E224="l"),G224," ")</f>
        <v> </v>
      </c>
      <c r="T224" s="334" t="str">
        <f aca="false">IF((E224="b"),G224," ")</f>
        <v> </v>
      </c>
      <c r="U224" s="334" t="str">
        <f aca="false">IF((E224="i"),G224," ")</f>
        <v> </v>
      </c>
      <c r="V224" s="334" t="str">
        <f aca="false">IF((E224="o"),G224," ")</f>
        <v> </v>
      </c>
      <c r="W224" s="334" t="str">
        <f aca="false">IF((E224="f"),G224," ")</f>
        <v> </v>
      </c>
    </row>
    <row r="225" customFormat="false" ht="12.75" hidden="false" customHeight="false" outlineLevel="0" collapsed="false">
      <c r="A225" s="355"/>
      <c r="E225" s="365" t="str">
        <f aca="false">IF((G225&lt;&gt;0),"Enter Letter"," ")</f>
        <v> </v>
      </c>
      <c r="J225" s="334" t="str">
        <f aca="false">IF((E225="s"),G225," ")</f>
        <v> </v>
      </c>
      <c r="K225" s="334" t="str">
        <f aca="false">IF((E225="d"),G225," ")</f>
        <v> </v>
      </c>
      <c r="L225" s="334" t="str">
        <f aca="false">IF((E225="e"),G225," ")</f>
        <v> </v>
      </c>
      <c r="M225" s="334" t="str">
        <f aca="false">IF((E225="p"),G225," ")</f>
        <v> </v>
      </c>
      <c r="N225" s="334" t="str">
        <f aca="false">IF((E225="r"),G225," ")</f>
        <v> </v>
      </c>
      <c r="O225" s="334" t="str">
        <f aca="false">IF((E225="g"),G225," ")</f>
        <v> </v>
      </c>
      <c r="P225" s="334" t="str">
        <f aca="false">IF((E225="m"),G225," ")</f>
        <v> </v>
      </c>
      <c r="Q225" s="334" t="str">
        <f aca="false">IF((E225="t"),G225," ")</f>
        <v> </v>
      </c>
      <c r="R225" s="334" t="str">
        <f aca="false">IF((E225="a"),G225," ")</f>
        <v> </v>
      </c>
      <c r="S225" s="334" t="str">
        <f aca="false">IF((E225="l"),G225," ")</f>
        <v> </v>
      </c>
      <c r="T225" s="334" t="str">
        <f aca="false">IF((E225="b"),G225," ")</f>
        <v> </v>
      </c>
      <c r="U225" s="334" t="str">
        <f aca="false">IF((E225="i"),G225," ")</f>
        <v> </v>
      </c>
      <c r="V225" s="334" t="str">
        <f aca="false">IF((E225="o"),G225," ")</f>
        <v> </v>
      </c>
      <c r="W225" s="334" t="str">
        <f aca="false">IF((E225="f"),G225," ")</f>
        <v> </v>
      </c>
    </row>
    <row r="226" customFormat="false" ht="12.75" hidden="false" customHeight="false" outlineLevel="0" collapsed="false">
      <c r="A226" s="355"/>
      <c r="E226" s="365" t="str">
        <f aca="false">IF((G226&lt;&gt;0),"Enter Letter"," ")</f>
        <v> </v>
      </c>
      <c r="J226" s="334" t="str">
        <f aca="false">IF((E226="s"),G226," ")</f>
        <v> </v>
      </c>
      <c r="K226" s="334" t="str">
        <f aca="false">IF((E226="d"),G226," ")</f>
        <v> </v>
      </c>
      <c r="L226" s="334" t="str">
        <f aca="false">IF((E226="e"),G226," ")</f>
        <v> </v>
      </c>
      <c r="M226" s="334" t="str">
        <f aca="false">IF((E226="p"),G226," ")</f>
        <v> </v>
      </c>
      <c r="N226" s="334" t="str">
        <f aca="false">IF((E226="r"),G226," ")</f>
        <v> </v>
      </c>
      <c r="O226" s="334" t="str">
        <f aca="false">IF((E226="g"),G226," ")</f>
        <v> </v>
      </c>
      <c r="P226" s="334" t="str">
        <f aca="false">IF((E226="m"),G226," ")</f>
        <v> </v>
      </c>
      <c r="Q226" s="334" t="str">
        <f aca="false">IF((E226="t"),G226," ")</f>
        <v> </v>
      </c>
      <c r="R226" s="334" t="str">
        <f aca="false">IF((E226="a"),G226," ")</f>
        <v> </v>
      </c>
      <c r="S226" s="334" t="str">
        <f aca="false">IF((E226="l"),G226," ")</f>
        <v> </v>
      </c>
      <c r="T226" s="334" t="str">
        <f aca="false">IF((E226="b"),G226," ")</f>
        <v> </v>
      </c>
      <c r="U226" s="334" t="str">
        <f aca="false">IF((E226="i"),G226," ")</f>
        <v> </v>
      </c>
      <c r="V226" s="334" t="str">
        <f aca="false">IF((E226="o"),G226," ")</f>
        <v> </v>
      </c>
      <c r="W226" s="334" t="str">
        <f aca="false">IF((E226="f"),G226," ")</f>
        <v> </v>
      </c>
    </row>
    <row r="227" customFormat="false" ht="12.75" hidden="false" customHeight="false" outlineLevel="0" collapsed="false">
      <c r="A227" s="355"/>
      <c r="E227" s="365" t="str">
        <f aca="false">IF((G227&lt;&gt;0),"Enter Letter"," ")</f>
        <v> </v>
      </c>
      <c r="J227" s="334" t="str">
        <f aca="false">IF((E227="s"),G227," ")</f>
        <v> </v>
      </c>
      <c r="K227" s="334" t="str">
        <f aca="false">IF((E227="d"),G227," ")</f>
        <v> </v>
      </c>
      <c r="L227" s="334" t="str">
        <f aca="false">IF((E227="e"),G227," ")</f>
        <v> </v>
      </c>
      <c r="M227" s="334" t="str">
        <f aca="false">IF((E227="p"),G227," ")</f>
        <v> </v>
      </c>
      <c r="N227" s="334" t="str">
        <f aca="false">IF((E227="r"),G227," ")</f>
        <v> </v>
      </c>
      <c r="O227" s="334" t="str">
        <f aca="false">IF((E227="g"),G227," ")</f>
        <v> </v>
      </c>
      <c r="P227" s="334" t="str">
        <f aca="false">IF((E227="m"),G227," ")</f>
        <v> </v>
      </c>
      <c r="Q227" s="334" t="str">
        <f aca="false">IF((E227="t"),G227," ")</f>
        <v> </v>
      </c>
      <c r="R227" s="334" t="str">
        <f aca="false">IF((E227="a"),G227," ")</f>
        <v> </v>
      </c>
      <c r="S227" s="334" t="str">
        <f aca="false">IF((E227="l"),G227," ")</f>
        <v> </v>
      </c>
      <c r="T227" s="334" t="str">
        <f aca="false">IF((E227="b"),G227," ")</f>
        <v> </v>
      </c>
      <c r="U227" s="334" t="str">
        <f aca="false">IF((E227="i"),G227," ")</f>
        <v> </v>
      </c>
      <c r="V227" s="334" t="str">
        <f aca="false">IF((E227="o"),G227," ")</f>
        <v> </v>
      </c>
      <c r="W227" s="334" t="str">
        <f aca="false">IF((E227="f"),G227," ")</f>
        <v> </v>
      </c>
    </row>
    <row r="228" customFormat="false" ht="12.75" hidden="false" customHeight="false" outlineLevel="0" collapsed="false">
      <c r="A228" s="355"/>
      <c r="E228" s="365" t="str">
        <f aca="false">IF((G228&lt;&gt;0),"Enter Letter"," ")</f>
        <v> </v>
      </c>
      <c r="J228" s="334" t="str">
        <f aca="false">IF((E228="s"),G228," ")</f>
        <v> </v>
      </c>
      <c r="K228" s="334" t="str">
        <f aca="false">IF((E228="d"),G228," ")</f>
        <v> </v>
      </c>
      <c r="L228" s="334" t="str">
        <f aca="false">IF((E228="e"),G228," ")</f>
        <v> </v>
      </c>
      <c r="M228" s="334" t="str">
        <f aca="false">IF((E228="p"),G228," ")</f>
        <v> </v>
      </c>
      <c r="N228" s="334" t="str">
        <f aca="false">IF((E228="r"),G228," ")</f>
        <v> </v>
      </c>
      <c r="O228" s="334" t="str">
        <f aca="false">IF((E228="g"),G228," ")</f>
        <v> </v>
      </c>
      <c r="P228" s="334" t="str">
        <f aca="false">IF((E228="m"),G228," ")</f>
        <v> </v>
      </c>
      <c r="Q228" s="334" t="str">
        <f aca="false">IF((E228="t"),G228," ")</f>
        <v> </v>
      </c>
      <c r="R228" s="334" t="str">
        <f aca="false">IF((E228="a"),G228," ")</f>
        <v> </v>
      </c>
      <c r="S228" s="334" t="str">
        <f aca="false">IF((E228="l"),G228," ")</f>
        <v> </v>
      </c>
      <c r="T228" s="334" t="str">
        <f aca="false">IF((E228="b"),G228," ")</f>
        <v> </v>
      </c>
      <c r="U228" s="334" t="str">
        <f aca="false">IF((E228="i"),G228," ")</f>
        <v> </v>
      </c>
      <c r="V228" s="334" t="str">
        <f aca="false">IF((E228="o"),G228," ")</f>
        <v> </v>
      </c>
      <c r="W228" s="334" t="str">
        <f aca="false">IF((E228="f"),G228," ")</f>
        <v> </v>
      </c>
    </row>
    <row r="229" customFormat="false" ht="12.75" hidden="false" customHeight="false" outlineLevel="0" collapsed="false">
      <c r="A229" s="355"/>
      <c r="E229" s="365" t="str">
        <f aca="false">IF((G229&lt;&gt;0),"Enter Letter"," ")</f>
        <v> </v>
      </c>
      <c r="J229" s="334" t="str">
        <f aca="false">IF((E229="s"),G229," ")</f>
        <v> </v>
      </c>
      <c r="K229" s="334" t="str">
        <f aca="false">IF((E229="d"),G229," ")</f>
        <v> </v>
      </c>
      <c r="L229" s="334" t="str">
        <f aca="false">IF((E229="e"),G229," ")</f>
        <v> </v>
      </c>
      <c r="M229" s="334" t="str">
        <f aca="false">IF((E229="p"),G229," ")</f>
        <v> </v>
      </c>
      <c r="N229" s="334" t="str">
        <f aca="false">IF((E229="r"),G229," ")</f>
        <v> </v>
      </c>
      <c r="O229" s="334" t="str">
        <f aca="false">IF((E229="g"),G229," ")</f>
        <v> </v>
      </c>
      <c r="P229" s="334" t="str">
        <f aca="false">IF((E229="m"),G229," ")</f>
        <v> </v>
      </c>
      <c r="Q229" s="334" t="str">
        <f aca="false">IF((E229="t"),G229," ")</f>
        <v> </v>
      </c>
      <c r="R229" s="334" t="str">
        <f aca="false">IF((E229="a"),G229," ")</f>
        <v> </v>
      </c>
      <c r="S229" s="334" t="str">
        <f aca="false">IF((E229="l"),G229," ")</f>
        <v> </v>
      </c>
      <c r="T229" s="334" t="str">
        <f aca="false">IF((E229="b"),G229," ")</f>
        <v> </v>
      </c>
      <c r="U229" s="334" t="str">
        <f aca="false">IF((E229="i"),G229," ")</f>
        <v> </v>
      </c>
      <c r="V229" s="334" t="str">
        <f aca="false">IF((E229="o"),G229," ")</f>
        <v> </v>
      </c>
      <c r="W229" s="334" t="str">
        <f aca="false">IF((E229="f"),G229," ")</f>
        <v> </v>
      </c>
    </row>
    <row r="230" customFormat="false" ht="12.75" hidden="false" customHeight="false" outlineLevel="0" collapsed="false">
      <c r="A230" s="355"/>
      <c r="E230" s="365" t="str">
        <f aca="false">IF((G230&lt;&gt;0),"Enter Letter"," ")</f>
        <v> </v>
      </c>
      <c r="J230" s="334" t="str">
        <f aca="false">IF((E230="s"),G230," ")</f>
        <v> </v>
      </c>
      <c r="K230" s="334" t="str">
        <f aca="false">IF((E230="d"),G230," ")</f>
        <v> </v>
      </c>
      <c r="L230" s="334" t="str">
        <f aca="false">IF((E230="e"),G230," ")</f>
        <v> </v>
      </c>
      <c r="M230" s="334" t="str">
        <f aca="false">IF((E230="p"),G230," ")</f>
        <v> </v>
      </c>
      <c r="N230" s="334" t="str">
        <f aca="false">IF((E230="r"),G230," ")</f>
        <v> </v>
      </c>
      <c r="O230" s="334" t="str">
        <f aca="false">IF((E230="g"),G230," ")</f>
        <v> </v>
      </c>
      <c r="P230" s="334" t="str">
        <f aca="false">IF((E230="m"),G230," ")</f>
        <v> </v>
      </c>
      <c r="Q230" s="334" t="str">
        <f aca="false">IF((E230="t"),G230," ")</f>
        <v> </v>
      </c>
      <c r="R230" s="334" t="str">
        <f aca="false">IF((E230="a"),G230," ")</f>
        <v> </v>
      </c>
      <c r="S230" s="334" t="str">
        <f aca="false">IF((E230="l"),G230," ")</f>
        <v> </v>
      </c>
      <c r="T230" s="334" t="str">
        <f aca="false">IF((E230="b"),G230," ")</f>
        <v> </v>
      </c>
      <c r="U230" s="334" t="str">
        <f aca="false">IF((E230="i"),G230," ")</f>
        <v> </v>
      </c>
      <c r="V230" s="334" t="str">
        <f aca="false">IF((E230="o"),G230," ")</f>
        <v> </v>
      </c>
      <c r="W230" s="334" t="str">
        <f aca="false">IF((E230="f"),G230," ")</f>
        <v> </v>
      </c>
    </row>
    <row r="231" customFormat="false" ht="12.75" hidden="false" customHeight="false" outlineLevel="0" collapsed="false">
      <c r="A231" s="355"/>
      <c r="E231" s="365" t="str">
        <f aca="false">IF((G231&lt;&gt;0),"Enter Letter"," ")</f>
        <v> </v>
      </c>
      <c r="J231" s="334" t="str">
        <f aca="false">IF((E231="s"),G231," ")</f>
        <v> </v>
      </c>
      <c r="K231" s="334" t="str">
        <f aca="false">IF((E231="d"),G231," ")</f>
        <v> </v>
      </c>
      <c r="L231" s="334" t="str">
        <f aca="false">IF((E231="e"),G231," ")</f>
        <v> </v>
      </c>
      <c r="M231" s="334" t="str">
        <f aca="false">IF((E231="p"),G231," ")</f>
        <v> </v>
      </c>
      <c r="N231" s="334" t="str">
        <f aca="false">IF((E231="r"),G231," ")</f>
        <v> </v>
      </c>
      <c r="O231" s="334" t="str">
        <f aca="false">IF((E231="g"),G231," ")</f>
        <v> </v>
      </c>
      <c r="P231" s="334" t="str">
        <f aca="false">IF((E231="m"),G231," ")</f>
        <v> </v>
      </c>
      <c r="Q231" s="334" t="str">
        <f aca="false">IF((E231="t"),G231," ")</f>
        <v> </v>
      </c>
      <c r="R231" s="334" t="str">
        <f aca="false">IF((E231="a"),G231," ")</f>
        <v> </v>
      </c>
      <c r="S231" s="334" t="str">
        <f aca="false">IF((E231="l"),G231," ")</f>
        <v> </v>
      </c>
      <c r="T231" s="334" t="str">
        <f aca="false">IF((E231="b"),G231," ")</f>
        <v> </v>
      </c>
      <c r="U231" s="334" t="str">
        <f aca="false">IF((E231="i"),G231," ")</f>
        <v> </v>
      </c>
      <c r="V231" s="334" t="str">
        <f aca="false">IF((E231="o"),G231," ")</f>
        <v> </v>
      </c>
      <c r="W231" s="334" t="str">
        <f aca="false">IF((E231="f"),G231," ")</f>
        <v> </v>
      </c>
    </row>
    <row r="232" customFormat="false" ht="12.75" hidden="false" customHeight="false" outlineLevel="0" collapsed="false">
      <c r="A232" s="355"/>
      <c r="E232" s="365" t="str">
        <f aca="false">IF((G232&lt;&gt;0),"Enter Letter"," ")</f>
        <v> </v>
      </c>
      <c r="J232" s="334" t="str">
        <f aca="false">IF((E232="s"),G232," ")</f>
        <v> </v>
      </c>
      <c r="K232" s="334" t="str">
        <f aca="false">IF((E232="d"),G232," ")</f>
        <v> </v>
      </c>
      <c r="L232" s="334" t="str">
        <f aca="false">IF((E232="e"),G232," ")</f>
        <v> </v>
      </c>
      <c r="M232" s="334" t="str">
        <f aca="false">IF((E232="p"),G232," ")</f>
        <v> </v>
      </c>
      <c r="N232" s="334" t="str">
        <f aca="false">IF((E232="r"),G232," ")</f>
        <v> </v>
      </c>
      <c r="O232" s="334" t="str">
        <f aca="false">IF((E232="g"),G232," ")</f>
        <v> </v>
      </c>
      <c r="P232" s="334" t="str">
        <f aca="false">IF((E232="m"),G232," ")</f>
        <v> </v>
      </c>
      <c r="Q232" s="334" t="str">
        <f aca="false">IF((E232="t"),G232," ")</f>
        <v> </v>
      </c>
      <c r="R232" s="334" t="str">
        <f aca="false">IF((E232="a"),G232," ")</f>
        <v> </v>
      </c>
      <c r="S232" s="334" t="str">
        <f aca="false">IF((E232="l"),G232," ")</f>
        <v> </v>
      </c>
      <c r="T232" s="334" t="str">
        <f aca="false">IF((E232="b"),G232," ")</f>
        <v> </v>
      </c>
      <c r="U232" s="334" t="str">
        <f aca="false">IF((E232="i"),G232," ")</f>
        <v> </v>
      </c>
      <c r="V232" s="334" t="str">
        <f aca="false">IF((E232="o"),G232," ")</f>
        <v> </v>
      </c>
      <c r="W232" s="334" t="str">
        <f aca="false">IF((E232="f"),G232," ")</f>
        <v> </v>
      </c>
    </row>
    <row r="233" customFormat="false" ht="12.75" hidden="false" customHeight="false" outlineLevel="0" collapsed="false">
      <c r="A233" s="355"/>
      <c r="E233" s="365" t="str">
        <f aca="false">IF((G233&lt;&gt;0),"Enter Letter"," ")</f>
        <v> </v>
      </c>
      <c r="J233" s="334" t="str">
        <f aca="false">IF((E233="s"),G233," ")</f>
        <v> </v>
      </c>
      <c r="K233" s="334" t="str">
        <f aca="false">IF((E233="d"),G233," ")</f>
        <v> </v>
      </c>
      <c r="L233" s="334" t="str">
        <f aca="false">IF((E233="e"),G233," ")</f>
        <v> </v>
      </c>
      <c r="M233" s="334" t="str">
        <f aca="false">IF((E233="p"),G233," ")</f>
        <v> </v>
      </c>
      <c r="N233" s="334" t="str">
        <f aca="false">IF((E233="r"),G233," ")</f>
        <v> </v>
      </c>
      <c r="O233" s="334" t="str">
        <f aca="false">IF((E233="g"),G233," ")</f>
        <v> </v>
      </c>
      <c r="P233" s="334" t="str">
        <f aca="false">IF((E233="m"),G233," ")</f>
        <v> </v>
      </c>
      <c r="Q233" s="334" t="str">
        <f aca="false">IF((E233="t"),G233," ")</f>
        <v> </v>
      </c>
      <c r="R233" s="334" t="str">
        <f aca="false">IF((E233="a"),G233," ")</f>
        <v> </v>
      </c>
      <c r="S233" s="334" t="str">
        <f aca="false">IF((E233="l"),G233," ")</f>
        <v> </v>
      </c>
      <c r="T233" s="334" t="str">
        <f aca="false">IF((E233="b"),G233," ")</f>
        <v> </v>
      </c>
      <c r="U233" s="334" t="str">
        <f aca="false">IF((E233="i"),G233," ")</f>
        <v> </v>
      </c>
      <c r="V233" s="334" t="str">
        <f aca="false">IF((E233="o"),G233," ")</f>
        <v> </v>
      </c>
      <c r="W233" s="334" t="str">
        <f aca="false">IF((E233="f"),G233," ")</f>
        <v> </v>
      </c>
    </row>
    <row r="234" customFormat="false" ht="12.75" hidden="false" customHeight="false" outlineLevel="0" collapsed="false">
      <c r="A234" s="355"/>
      <c r="E234" s="365" t="str">
        <f aca="false">IF((G234&lt;&gt;0),"Enter Letter"," ")</f>
        <v> </v>
      </c>
      <c r="J234" s="334" t="str">
        <f aca="false">IF((E234="s"),G234," ")</f>
        <v> </v>
      </c>
      <c r="K234" s="334" t="str">
        <f aca="false">IF((E234="d"),G234," ")</f>
        <v> </v>
      </c>
      <c r="L234" s="334" t="str">
        <f aca="false">IF((E234="e"),G234," ")</f>
        <v> </v>
      </c>
      <c r="M234" s="334" t="str">
        <f aca="false">IF((E234="p"),G234," ")</f>
        <v> </v>
      </c>
      <c r="N234" s="334" t="str">
        <f aca="false">IF((E234="r"),G234," ")</f>
        <v> </v>
      </c>
      <c r="O234" s="334" t="str">
        <f aca="false">IF((E234="g"),G234," ")</f>
        <v> </v>
      </c>
      <c r="P234" s="334" t="str">
        <f aca="false">IF((E234="m"),G234," ")</f>
        <v> </v>
      </c>
      <c r="Q234" s="334" t="str">
        <f aca="false">IF((E234="t"),G234," ")</f>
        <v> </v>
      </c>
      <c r="R234" s="334" t="str">
        <f aca="false">IF((E234="a"),G234," ")</f>
        <v> </v>
      </c>
      <c r="S234" s="334" t="str">
        <f aca="false">IF((E234="l"),G234," ")</f>
        <v> </v>
      </c>
      <c r="T234" s="334" t="str">
        <f aca="false">IF((E234="b"),G234," ")</f>
        <v> </v>
      </c>
      <c r="U234" s="334" t="str">
        <f aca="false">IF((E234="i"),G234," ")</f>
        <v> </v>
      </c>
      <c r="V234" s="334" t="str">
        <f aca="false">IF((E234="o"),G234," ")</f>
        <v> </v>
      </c>
      <c r="W234" s="334" t="str">
        <f aca="false">IF((E234="f"),G234," ")</f>
        <v> </v>
      </c>
    </row>
    <row r="235" customFormat="false" ht="12.75" hidden="false" customHeight="false" outlineLevel="0" collapsed="false">
      <c r="A235" s="355"/>
      <c r="E235" s="365" t="str">
        <f aca="false">IF((G235&lt;&gt;0),"Enter Letter"," ")</f>
        <v> </v>
      </c>
      <c r="J235" s="334" t="str">
        <f aca="false">IF((E235="s"),G235," ")</f>
        <v> </v>
      </c>
      <c r="K235" s="334" t="str">
        <f aca="false">IF((E235="d"),G235," ")</f>
        <v> </v>
      </c>
      <c r="L235" s="334" t="str">
        <f aca="false">IF((E235="e"),G235," ")</f>
        <v> </v>
      </c>
      <c r="M235" s="334" t="str">
        <f aca="false">IF((E235="p"),G235," ")</f>
        <v> </v>
      </c>
      <c r="N235" s="334" t="str">
        <f aca="false">IF((E235="r"),G235," ")</f>
        <v> </v>
      </c>
      <c r="O235" s="334" t="str">
        <f aca="false">IF((E235="g"),G235," ")</f>
        <v> </v>
      </c>
      <c r="P235" s="334" t="str">
        <f aca="false">IF((E235="m"),G235," ")</f>
        <v> </v>
      </c>
      <c r="Q235" s="334" t="str">
        <f aca="false">IF((E235="t"),G235," ")</f>
        <v> </v>
      </c>
      <c r="R235" s="334" t="str">
        <f aca="false">IF((E235="a"),G235," ")</f>
        <v> </v>
      </c>
      <c r="S235" s="334" t="str">
        <f aca="false">IF((E235="l"),G235," ")</f>
        <v> </v>
      </c>
      <c r="T235" s="334" t="str">
        <f aca="false">IF((E235="b"),G235," ")</f>
        <v> </v>
      </c>
      <c r="U235" s="334" t="str">
        <f aca="false">IF((E235="i"),G235," ")</f>
        <v> </v>
      </c>
      <c r="V235" s="334" t="str">
        <f aca="false">IF((E235="o"),G235," ")</f>
        <v> </v>
      </c>
      <c r="W235" s="334" t="str">
        <f aca="false">IF((E235="f"),G235," ")</f>
        <v> </v>
      </c>
    </row>
    <row r="236" customFormat="false" ht="12.75" hidden="false" customHeight="false" outlineLevel="0" collapsed="false">
      <c r="A236" s="355"/>
      <c r="E236" s="365" t="str">
        <f aca="false">IF((G236&lt;&gt;0),"Enter Letter"," ")</f>
        <v> </v>
      </c>
      <c r="J236" s="334" t="str">
        <f aca="false">IF((E236="s"),G236," ")</f>
        <v> </v>
      </c>
      <c r="K236" s="334" t="str">
        <f aca="false">IF((E236="d"),G236," ")</f>
        <v> </v>
      </c>
      <c r="L236" s="334" t="str">
        <f aca="false">IF((E236="e"),G236," ")</f>
        <v> </v>
      </c>
      <c r="M236" s="334" t="str">
        <f aca="false">IF((E236="p"),G236," ")</f>
        <v> </v>
      </c>
      <c r="N236" s="334" t="str">
        <f aca="false">IF((E236="r"),G236," ")</f>
        <v> </v>
      </c>
      <c r="O236" s="334" t="str">
        <f aca="false">IF((E236="g"),G236," ")</f>
        <v> </v>
      </c>
      <c r="P236" s="334" t="str">
        <f aca="false">IF((E236="m"),G236," ")</f>
        <v> </v>
      </c>
      <c r="Q236" s="334" t="str">
        <f aca="false">IF((E236="t"),G236," ")</f>
        <v> </v>
      </c>
      <c r="R236" s="334" t="str">
        <f aca="false">IF((E236="a"),G236," ")</f>
        <v> </v>
      </c>
      <c r="S236" s="334" t="str">
        <f aca="false">IF((E236="l"),G236," ")</f>
        <v> </v>
      </c>
      <c r="T236" s="334" t="str">
        <f aca="false">IF((E236="b"),G236," ")</f>
        <v> </v>
      </c>
      <c r="U236" s="334" t="str">
        <f aca="false">IF((E236="i"),G236," ")</f>
        <v> </v>
      </c>
      <c r="V236" s="334" t="str">
        <f aca="false">IF((E236="o"),G236," ")</f>
        <v> </v>
      </c>
      <c r="W236" s="334" t="str">
        <f aca="false">IF((E236="f"),G236," ")</f>
        <v> </v>
      </c>
    </row>
    <row r="237" customFormat="false" ht="12.75" hidden="false" customHeight="false" outlineLevel="0" collapsed="false">
      <c r="A237" s="355"/>
      <c r="E237" s="365" t="str">
        <f aca="false">IF((G237&lt;&gt;0),"Enter Letter"," ")</f>
        <v> </v>
      </c>
      <c r="J237" s="334" t="str">
        <f aca="false">IF((E237="s"),G237," ")</f>
        <v> </v>
      </c>
      <c r="K237" s="334" t="str">
        <f aca="false">IF((E237="d"),G237," ")</f>
        <v> </v>
      </c>
      <c r="L237" s="334" t="str">
        <f aca="false">IF((E237="e"),G237," ")</f>
        <v> </v>
      </c>
      <c r="M237" s="334" t="str">
        <f aca="false">IF((E237="p"),G237," ")</f>
        <v> </v>
      </c>
      <c r="N237" s="334" t="str">
        <f aca="false">IF((E237="r"),G237," ")</f>
        <v> </v>
      </c>
      <c r="O237" s="334" t="str">
        <f aca="false">IF((E237="g"),G237," ")</f>
        <v> </v>
      </c>
      <c r="P237" s="334" t="str">
        <f aca="false">IF((E237="m"),G237," ")</f>
        <v> </v>
      </c>
      <c r="Q237" s="334" t="str">
        <f aca="false">IF((E237="t"),G237," ")</f>
        <v> </v>
      </c>
      <c r="R237" s="334" t="str">
        <f aca="false">IF((E237="a"),G237," ")</f>
        <v> </v>
      </c>
      <c r="S237" s="334" t="str">
        <f aca="false">IF((E237="l"),G237," ")</f>
        <v> </v>
      </c>
      <c r="T237" s="334" t="str">
        <f aca="false">IF((E237="b"),G237," ")</f>
        <v> </v>
      </c>
      <c r="U237" s="334" t="str">
        <f aca="false">IF((E237="i"),G237," ")</f>
        <v> </v>
      </c>
      <c r="V237" s="334" t="str">
        <f aca="false">IF((E237="o"),G237," ")</f>
        <v> </v>
      </c>
      <c r="W237" s="334" t="str">
        <f aca="false">IF((E237="f"),G237," ")</f>
        <v> </v>
      </c>
    </row>
    <row r="238" customFormat="false" ht="12.75" hidden="false" customHeight="false" outlineLevel="0" collapsed="false">
      <c r="A238" s="355"/>
      <c r="E238" s="365" t="str">
        <f aca="false">IF((G238&lt;&gt;0),"Enter Letter"," ")</f>
        <v> </v>
      </c>
      <c r="J238" s="334" t="str">
        <f aca="false">IF((E238="s"),G238," ")</f>
        <v> </v>
      </c>
      <c r="K238" s="334" t="str">
        <f aca="false">IF((E238="d"),G238," ")</f>
        <v> </v>
      </c>
      <c r="L238" s="334" t="str">
        <f aca="false">IF((E238="e"),G238," ")</f>
        <v> </v>
      </c>
      <c r="M238" s="334" t="str">
        <f aca="false">IF((E238="p"),G238," ")</f>
        <v> </v>
      </c>
      <c r="N238" s="334" t="str">
        <f aca="false">IF((E238="r"),G238," ")</f>
        <v> </v>
      </c>
      <c r="O238" s="334" t="str">
        <f aca="false">IF((E238="g"),G238," ")</f>
        <v> </v>
      </c>
      <c r="P238" s="334" t="str">
        <f aca="false">IF((E238="m"),G238," ")</f>
        <v> </v>
      </c>
      <c r="Q238" s="334" t="str">
        <f aca="false">IF((E238="t"),G238," ")</f>
        <v> </v>
      </c>
      <c r="R238" s="334" t="str">
        <f aca="false">IF((E238="a"),G238," ")</f>
        <v> </v>
      </c>
      <c r="S238" s="334" t="str">
        <f aca="false">IF((E238="l"),G238," ")</f>
        <v> </v>
      </c>
      <c r="T238" s="334" t="str">
        <f aca="false">IF((E238="b"),G238," ")</f>
        <v> </v>
      </c>
      <c r="U238" s="334" t="str">
        <f aca="false">IF((E238="i"),G238," ")</f>
        <v> </v>
      </c>
      <c r="V238" s="334" t="str">
        <f aca="false">IF((E238="o"),G238," ")</f>
        <v> </v>
      </c>
      <c r="W238" s="334" t="str">
        <f aca="false">IF((E238="f"),G238," ")</f>
        <v> </v>
      </c>
    </row>
    <row r="239" customFormat="false" ht="12.75" hidden="false" customHeight="false" outlineLevel="0" collapsed="false">
      <c r="A239" s="355"/>
      <c r="E239" s="365" t="str">
        <f aca="false">IF((G239&lt;&gt;0),"Enter Letter"," ")</f>
        <v> </v>
      </c>
      <c r="J239" s="334" t="str">
        <f aca="false">IF((E239="s"),G239," ")</f>
        <v> </v>
      </c>
      <c r="K239" s="334" t="str">
        <f aca="false">IF((E239="d"),G239," ")</f>
        <v> </v>
      </c>
      <c r="L239" s="334" t="str">
        <f aca="false">IF((E239="e"),G239," ")</f>
        <v> </v>
      </c>
      <c r="M239" s="334" t="str">
        <f aca="false">IF((E239="p"),G239," ")</f>
        <v> </v>
      </c>
      <c r="N239" s="334" t="str">
        <f aca="false">IF((E239="r"),G239," ")</f>
        <v> </v>
      </c>
      <c r="O239" s="334" t="str">
        <f aca="false">IF((E239="g"),G239," ")</f>
        <v> </v>
      </c>
      <c r="P239" s="334" t="str">
        <f aca="false">IF((E239="m"),G239," ")</f>
        <v> </v>
      </c>
      <c r="Q239" s="334" t="str">
        <f aca="false">IF((E239="t"),G239," ")</f>
        <v> </v>
      </c>
      <c r="R239" s="334" t="str">
        <f aca="false">IF((E239="a"),G239," ")</f>
        <v> </v>
      </c>
      <c r="S239" s="334" t="str">
        <f aca="false">IF((E239="l"),G239," ")</f>
        <v> </v>
      </c>
      <c r="T239" s="334" t="str">
        <f aca="false">IF((E239="b"),G239," ")</f>
        <v> </v>
      </c>
      <c r="U239" s="334" t="str">
        <f aca="false">IF((E239="i"),G239," ")</f>
        <v> </v>
      </c>
      <c r="V239" s="334" t="str">
        <f aca="false">IF((E239="o"),G239," ")</f>
        <v> </v>
      </c>
      <c r="W239" s="334" t="str">
        <f aca="false">IF((E239="f"),G239," ")</f>
        <v> </v>
      </c>
    </row>
    <row r="240" customFormat="false" ht="12.75" hidden="false" customHeight="false" outlineLevel="0" collapsed="false">
      <c r="A240" s="355"/>
      <c r="E240" s="365" t="str">
        <f aca="false">IF((G240&lt;&gt;0),"Enter Letter"," ")</f>
        <v> </v>
      </c>
      <c r="J240" s="334" t="str">
        <f aca="false">IF((E240="s"),G240," ")</f>
        <v> </v>
      </c>
      <c r="K240" s="334" t="str">
        <f aca="false">IF((E240="d"),G240," ")</f>
        <v> </v>
      </c>
      <c r="L240" s="334" t="str">
        <f aca="false">IF((E240="e"),G240," ")</f>
        <v> </v>
      </c>
      <c r="M240" s="334" t="str">
        <f aca="false">IF((E240="p"),G240," ")</f>
        <v> </v>
      </c>
      <c r="N240" s="334" t="str">
        <f aca="false">IF((E240="r"),G240," ")</f>
        <v> </v>
      </c>
      <c r="O240" s="334" t="str">
        <f aca="false">IF((E240="g"),G240," ")</f>
        <v> </v>
      </c>
      <c r="P240" s="334" t="str">
        <f aca="false">IF((E240="m"),G240," ")</f>
        <v> </v>
      </c>
      <c r="Q240" s="334" t="str">
        <f aca="false">IF((E240="t"),G240," ")</f>
        <v> </v>
      </c>
      <c r="R240" s="334" t="str">
        <f aca="false">IF((E240="a"),G240," ")</f>
        <v> </v>
      </c>
      <c r="S240" s="334" t="str">
        <f aca="false">IF((E240="l"),G240," ")</f>
        <v> </v>
      </c>
      <c r="T240" s="334" t="str">
        <f aca="false">IF((E240="b"),G240," ")</f>
        <v> </v>
      </c>
      <c r="U240" s="334" t="str">
        <f aca="false">IF((E240="i"),G240," ")</f>
        <v> </v>
      </c>
      <c r="V240" s="334" t="str">
        <f aca="false">IF((E240="o"),G240," ")</f>
        <v> </v>
      </c>
      <c r="W240" s="334" t="str">
        <f aca="false">IF((E240="f"),G240," ")</f>
        <v> </v>
      </c>
    </row>
    <row r="241" customFormat="false" ht="12.75" hidden="false" customHeight="false" outlineLevel="0" collapsed="false">
      <c r="A241" s="355"/>
      <c r="E241" s="365" t="str">
        <f aca="false">IF((G241&lt;&gt;0),"Enter Letter"," ")</f>
        <v> </v>
      </c>
      <c r="J241" s="334" t="str">
        <f aca="false">IF((E241="s"),G241," ")</f>
        <v> </v>
      </c>
      <c r="K241" s="334" t="str">
        <f aca="false">IF((E241="d"),G241," ")</f>
        <v> </v>
      </c>
      <c r="L241" s="334" t="str">
        <f aca="false">IF((E241="e"),G241," ")</f>
        <v> </v>
      </c>
      <c r="M241" s="334" t="str">
        <f aca="false">IF((E241="p"),G241," ")</f>
        <v> </v>
      </c>
      <c r="N241" s="334" t="str">
        <f aca="false">IF((E241="r"),G241," ")</f>
        <v> </v>
      </c>
      <c r="O241" s="334" t="str">
        <f aca="false">IF((E241="g"),G241," ")</f>
        <v> </v>
      </c>
      <c r="P241" s="334" t="str">
        <f aca="false">IF((E241="m"),G241," ")</f>
        <v> </v>
      </c>
      <c r="Q241" s="334" t="str">
        <f aca="false">IF((E241="t"),G241," ")</f>
        <v> </v>
      </c>
      <c r="R241" s="334" t="str">
        <f aca="false">IF((E241="a"),G241," ")</f>
        <v> </v>
      </c>
      <c r="S241" s="334" t="str">
        <f aca="false">IF((E241="l"),G241," ")</f>
        <v> </v>
      </c>
      <c r="T241" s="334" t="str">
        <f aca="false">IF((E241="b"),G241," ")</f>
        <v> </v>
      </c>
      <c r="U241" s="334" t="str">
        <f aca="false">IF((E241="i"),G241," ")</f>
        <v> </v>
      </c>
      <c r="V241" s="334" t="str">
        <f aca="false">IF((E241="o"),G241," ")</f>
        <v> </v>
      </c>
      <c r="W241" s="334" t="str">
        <f aca="false">IF((E241="f"),G241," ")</f>
        <v> </v>
      </c>
    </row>
    <row r="242" customFormat="false" ht="12.75" hidden="false" customHeight="false" outlineLevel="0" collapsed="false">
      <c r="A242" s="355"/>
      <c r="E242" s="365" t="str">
        <f aca="false">IF((G242&lt;&gt;0),"Enter Letter"," ")</f>
        <v> </v>
      </c>
      <c r="J242" s="334" t="str">
        <f aca="false">IF((E242="s"),G242," ")</f>
        <v> </v>
      </c>
      <c r="K242" s="334" t="str">
        <f aca="false">IF((E242="d"),G242," ")</f>
        <v> </v>
      </c>
      <c r="L242" s="334" t="str">
        <f aca="false">IF((E242="e"),G242," ")</f>
        <v> </v>
      </c>
      <c r="M242" s="334" t="str">
        <f aca="false">IF((E242="p"),G242," ")</f>
        <v> </v>
      </c>
      <c r="N242" s="334" t="str">
        <f aca="false">IF((E242="r"),G242," ")</f>
        <v> </v>
      </c>
      <c r="O242" s="334" t="str">
        <f aca="false">IF((E242="g"),G242," ")</f>
        <v> </v>
      </c>
      <c r="P242" s="334" t="str">
        <f aca="false">IF((E242="m"),G242," ")</f>
        <v> </v>
      </c>
      <c r="Q242" s="334" t="str">
        <f aca="false">IF((E242="t"),G242," ")</f>
        <v> </v>
      </c>
      <c r="R242" s="334" t="str">
        <f aca="false">IF((E242="a"),G242," ")</f>
        <v> </v>
      </c>
      <c r="S242" s="334" t="str">
        <f aca="false">IF((E242="l"),G242," ")</f>
        <v> </v>
      </c>
      <c r="T242" s="334" t="str">
        <f aca="false">IF((E242="b"),G242," ")</f>
        <v> </v>
      </c>
      <c r="U242" s="334" t="str">
        <f aca="false">IF((E242="i"),G242," ")</f>
        <v> </v>
      </c>
      <c r="V242" s="334" t="str">
        <f aca="false">IF((E242="o"),G242," ")</f>
        <v> </v>
      </c>
      <c r="W242" s="334" t="str">
        <f aca="false">IF((E242="f"),G242," ")</f>
        <v> </v>
      </c>
    </row>
    <row r="243" customFormat="false" ht="12.75" hidden="false" customHeight="false" outlineLevel="0" collapsed="false">
      <c r="A243" s="355"/>
      <c r="E243" s="365" t="str">
        <f aca="false">IF((G243&lt;&gt;0),"Enter Letter"," ")</f>
        <v> </v>
      </c>
      <c r="J243" s="334" t="str">
        <f aca="false">IF((E243="s"),G243," ")</f>
        <v> </v>
      </c>
      <c r="K243" s="334" t="str">
        <f aca="false">IF((E243="d"),G243," ")</f>
        <v> </v>
      </c>
      <c r="L243" s="334" t="str">
        <f aca="false">IF((E243="e"),G243," ")</f>
        <v> </v>
      </c>
      <c r="M243" s="334" t="str">
        <f aca="false">IF((E243="p"),G243," ")</f>
        <v> </v>
      </c>
      <c r="N243" s="334" t="str">
        <f aca="false">IF((E243="r"),G243," ")</f>
        <v> </v>
      </c>
      <c r="O243" s="334" t="str">
        <f aca="false">IF((E243="g"),G243," ")</f>
        <v> </v>
      </c>
      <c r="P243" s="334" t="str">
        <f aca="false">IF((E243="m"),G243," ")</f>
        <v> </v>
      </c>
      <c r="Q243" s="334" t="str">
        <f aca="false">IF((E243="t"),G243," ")</f>
        <v> </v>
      </c>
      <c r="R243" s="334" t="str">
        <f aca="false">IF((E243="a"),G243," ")</f>
        <v> </v>
      </c>
      <c r="S243" s="334" t="str">
        <f aca="false">IF((E243="l"),G243," ")</f>
        <v> </v>
      </c>
      <c r="T243" s="334" t="str">
        <f aca="false">IF((E243="b"),G243," ")</f>
        <v> </v>
      </c>
      <c r="U243" s="334" t="str">
        <f aca="false">IF((E243="i"),G243," ")</f>
        <v> </v>
      </c>
      <c r="V243" s="334" t="str">
        <f aca="false">IF((E243="o"),G243," ")</f>
        <v> </v>
      </c>
      <c r="W243" s="334" t="str">
        <f aca="false">IF((E243="f"),G243," ")</f>
        <v> </v>
      </c>
    </row>
    <row r="244" customFormat="false" ht="12.75" hidden="false" customHeight="false" outlineLevel="0" collapsed="false">
      <c r="A244" s="355"/>
      <c r="E244" s="365" t="str">
        <f aca="false">IF((G244&lt;&gt;0),"Enter Letter"," ")</f>
        <v> </v>
      </c>
      <c r="J244" s="334" t="str">
        <f aca="false">IF((E244="s"),G244," ")</f>
        <v> </v>
      </c>
      <c r="K244" s="334" t="str">
        <f aca="false">IF((E244="d"),G244," ")</f>
        <v> </v>
      </c>
      <c r="L244" s="334" t="str">
        <f aca="false">IF((E244="e"),G244," ")</f>
        <v> </v>
      </c>
      <c r="M244" s="334" t="str">
        <f aca="false">IF((E244="p"),G244," ")</f>
        <v> </v>
      </c>
      <c r="N244" s="334" t="str">
        <f aca="false">IF((E244="r"),G244," ")</f>
        <v> </v>
      </c>
      <c r="O244" s="334" t="str">
        <f aca="false">IF((E244="g"),G244," ")</f>
        <v> </v>
      </c>
      <c r="P244" s="334" t="str">
        <f aca="false">IF((E244="m"),G244," ")</f>
        <v> </v>
      </c>
      <c r="Q244" s="334" t="str">
        <f aca="false">IF((E244="t"),G244," ")</f>
        <v> </v>
      </c>
      <c r="R244" s="334" t="str">
        <f aca="false">IF((E244="a"),G244," ")</f>
        <v> </v>
      </c>
      <c r="S244" s="334" t="str">
        <f aca="false">IF((E244="l"),G244," ")</f>
        <v> </v>
      </c>
      <c r="T244" s="334" t="str">
        <f aca="false">IF((E244="b"),G244," ")</f>
        <v> </v>
      </c>
      <c r="U244" s="334" t="str">
        <f aca="false">IF((E244="i"),G244," ")</f>
        <v> </v>
      </c>
      <c r="V244" s="334" t="str">
        <f aca="false">IF((E244="o"),G244," ")</f>
        <v> </v>
      </c>
      <c r="W244" s="334" t="str">
        <f aca="false">IF((E244="f"),G244," ")</f>
        <v> </v>
      </c>
    </row>
    <row r="245" customFormat="false" ht="12.75" hidden="false" customHeight="false" outlineLevel="0" collapsed="false">
      <c r="A245" s="355"/>
      <c r="E245" s="365" t="str">
        <f aca="false">IF((G245&lt;&gt;0),"Enter Letter"," ")</f>
        <v> </v>
      </c>
      <c r="J245" s="334" t="str">
        <f aca="false">IF((E245="s"),G245," ")</f>
        <v> </v>
      </c>
      <c r="K245" s="334" t="str">
        <f aca="false">IF((E245="d"),G245," ")</f>
        <v> </v>
      </c>
      <c r="L245" s="334" t="str">
        <f aca="false">IF((E245="e"),G245," ")</f>
        <v> </v>
      </c>
      <c r="M245" s="334" t="str">
        <f aca="false">IF((E245="p"),G245," ")</f>
        <v> </v>
      </c>
      <c r="N245" s="334" t="str">
        <f aca="false">IF((E245="r"),G245," ")</f>
        <v> </v>
      </c>
      <c r="O245" s="334" t="str">
        <f aca="false">IF((E245="g"),G245," ")</f>
        <v> </v>
      </c>
      <c r="P245" s="334" t="str">
        <f aca="false">IF((E245="m"),G245," ")</f>
        <v> </v>
      </c>
      <c r="Q245" s="334" t="str">
        <f aca="false">IF((E245="t"),G245," ")</f>
        <v> </v>
      </c>
      <c r="R245" s="334" t="str">
        <f aca="false">IF((E245="a"),G245," ")</f>
        <v> </v>
      </c>
      <c r="S245" s="334" t="str">
        <f aca="false">IF((E245="l"),G245," ")</f>
        <v> </v>
      </c>
      <c r="T245" s="334" t="str">
        <f aca="false">IF((E245="b"),G245," ")</f>
        <v> </v>
      </c>
      <c r="U245" s="334" t="str">
        <f aca="false">IF((E245="i"),G245," ")</f>
        <v> </v>
      </c>
      <c r="V245" s="334" t="str">
        <f aca="false">IF((E245="o"),G245," ")</f>
        <v> </v>
      </c>
      <c r="W245" s="334" t="str">
        <f aca="false">IF((E245="f"),G245," ")</f>
        <v> </v>
      </c>
    </row>
    <row r="246" customFormat="false" ht="12.75" hidden="false" customHeight="false" outlineLevel="0" collapsed="false">
      <c r="A246" s="355"/>
      <c r="E246" s="365" t="str">
        <f aca="false">IF((G246&lt;&gt;0),"Enter Letter"," ")</f>
        <v> </v>
      </c>
      <c r="J246" s="334" t="str">
        <f aca="false">IF((E246="s"),G246," ")</f>
        <v> </v>
      </c>
      <c r="K246" s="334" t="str">
        <f aca="false">IF((E246="d"),G246," ")</f>
        <v> </v>
      </c>
      <c r="L246" s="334" t="str">
        <f aca="false">IF((E246="e"),G246," ")</f>
        <v> </v>
      </c>
      <c r="M246" s="334" t="str">
        <f aca="false">IF((E246="p"),G246," ")</f>
        <v> </v>
      </c>
      <c r="N246" s="334" t="str">
        <f aca="false">IF((E246="r"),G246," ")</f>
        <v> </v>
      </c>
      <c r="O246" s="334" t="str">
        <f aca="false">IF((E246="g"),G246," ")</f>
        <v> </v>
      </c>
      <c r="P246" s="334" t="str">
        <f aca="false">IF((E246="m"),G246," ")</f>
        <v> </v>
      </c>
      <c r="Q246" s="334" t="str">
        <f aca="false">IF((E246="t"),G246," ")</f>
        <v> </v>
      </c>
      <c r="R246" s="334" t="str">
        <f aca="false">IF((E246="a"),G246," ")</f>
        <v> </v>
      </c>
      <c r="S246" s="334" t="str">
        <f aca="false">IF((E246="l"),G246," ")</f>
        <v> </v>
      </c>
      <c r="T246" s="334" t="str">
        <f aca="false">IF((E246="b"),G246," ")</f>
        <v> </v>
      </c>
      <c r="U246" s="334" t="str">
        <f aca="false">IF((E246="i"),G246," ")</f>
        <v> </v>
      </c>
      <c r="V246" s="334" t="str">
        <f aca="false">IF((E246="o"),G246," ")</f>
        <v> </v>
      </c>
      <c r="W246" s="334" t="str">
        <f aca="false">IF((E246="f"),G246," ")</f>
        <v> </v>
      </c>
    </row>
    <row r="247" customFormat="false" ht="12.75" hidden="false" customHeight="false" outlineLevel="0" collapsed="false">
      <c r="A247" s="355"/>
      <c r="E247" s="365" t="str">
        <f aca="false">IF((G247&lt;&gt;0),"Enter Letter"," ")</f>
        <v> </v>
      </c>
      <c r="J247" s="334" t="str">
        <f aca="false">IF((E247="s"),G247," ")</f>
        <v> </v>
      </c>
      <c r="K247" s="334" t="str">
        <f aca="false">IF((E247="d"),G247," ")</f>
        <v> </v>
      </c>
      <c r="L247" s="334" t="str">
        <f aca="false">IF((E247="e"),G247," ")</f>
        <v> </v>
      </c>
      <c r="M247" s="334" t="str">
        <f aca="false">IF((E247="p"),G247," ")</f>
        <v> </v>
      </c>
      <c r="N247" s="334" t="str">
        <f aca="false">IF((E247="r"),G247," ")</f>
        <v> </v>
      </c>
      <c r="O247" s="334" t="str">
        <f aca="false">IF((E247="g"),G247," ")</f>
        <v> </v>
      </c>
      <c r="P247" s="334" t="str">
        <f aca="false">IF((E247="m"),G247," ")</f>
        <v> </v>
      </c>
      <c r="Q247" s="334" t="str">
        <f aca="false">IF((E247="t"),G247," ")</f>
        <v> </v>
      </c>
      <c r="R247" s="334" t="str">
        <f aca="false">IF((E247="a"),G247," ")</f>
        <v> </v>
      </c>
      <c r="S247" s="334" t="str">
        <f aca="false">IF((E247="l"),G247," ")</f>
        <v> </v>
      </c>
      <c r="T247" s="334" t="str">
        <f aca="false">IF((E247="b"),G247," ")</f>
        <v> </v>
      </c>
      <c r="U247" s="334" t="str">
        <f aca="false">IF((E247="i"),G247," ")</f>
        <v> </v>
      </c>
      <c r="V247" s="334" t="str">
        <f aca="false">IF((E247="o"),G247," ")</f>
        <v> </v>
      </c>
      <c r="W247" s="334" t="str">
        <f aca="false">IF((E247="f"),G247," ")</f>
        <v> </v>
      </c>
    </row>
    <row r="248" customFormat="false" ht="12.75" hidden="false" customHeight="false" outlineLevel="0" collapsed="false">
      <c r="A248" s="355"/>
      <c r="E248" s="365" t="str">
        <f aca="false">IF((G248&lt;&gt;0),"Enter Letter"," ")</f>
        <v> </v>
      </c>
      <c r="J248" s="334" t="str">
        <f aca="false">IF((E248="s"),G248," ")</f>
        <v> </v>
      </c>
      <c r="K248" s="334" t="str">
        <f aca="false">IF((E248="d"),G248," ")</f>
        <v> </v>
      </c>
      <c r="L248" s="334" t="str">
        <f aca="false">IF((E248="e"),G248," ")</f>
        <v> </v>
      </c>
      <c r="M248" s="334" t="str">
        <f aca="false">IF((E248="p"),G248," ")</f>
        <v> </v>
      </c>
      <c r="N248" s="334" t="str">
        <f aca="false">IF((E248="r"),G248," ")</f>
        <v> </v>
      </c>
      <c r="O248" s="334" t="str">
        <f aca="false">IF((E248="g"),G248," ")</f>
        <v> </v>
      </c>
      <c r="P248" s="334" t="str">
        <f aca="false">IF((E248="m"),G248," ")</f>
        <v> </v>
      </c>
      <c r="Q248" s="334" t="str">
        <f aca="false">IF((E248="t"),G248," ")</f>
        <v> </v>
      </c>
      <c r="R248" s="334" t="str">
        <f aca="false">IF((E248="a"),G248," ")</f>
        <v> </v>
      </c>
      <c r="S248" s="334" t="str">
        <f aca="false">IF((E248="l"),G248," ")</f>
        <v> </v>
      </c>
      <c r="T248" s="334" t="str">
        <f aca="false">IF((E248="b"),G248," ")</f>
        <v> </v>
      </c>
      <c r="U248" s="334" t="str">
        <f aca="false">IF((E248="i"),G248," ")</f>
        <v> </v>
      </c>
      <c r="V248" s="334" t="str">
        <f aca="false">IF((E248="o"),G248," ")</f>
        <v> </v>
      </c>
      <c r="W248" s="334" t="str">
        <f aca="false">IF((E248="f"),G248," ")</f>
        <v> </v>
      </c>
    </row>
    <row r="249" customFormat="false" ht="12.75" hidden="false" customHeight="false" outlineLevel="0" collapsed="false">
      <c r="A249" s="355"/>
      <c r="E249" s="365" t="str">
        <f aca="false">IF((G249&lt;&gt;0),"Enter Letter"," ")</f>
        <v> </v>
      </c>
      <c r="J249" s="334" t="str">
        <f aca="false">IF((E249="s"),G249," ")</f>
        <v> </v>
      </c>
      <c r="K249" s="334" t="str">
        <f aca="false">IF((E249="d"),G249," ")</f>
        <v> </v>
      </c>
      <c r="L249" s="334" t="str">
        <f aca="false">IF((E249="e"),G249," ")</f>
        <v> </v>
      </c>
      <c r="M249" s="334" t="str">
        <f aca="false">IF((E249="p"),G249," ")</f>
        <v> </v>
      </c>
      <c r="N249" s="334" t="str">
        <f aca="false">IF((E249="r"),G249," ")</f>
        <v> </v>
      </c>
      <c r="O249" s="334" t="str">
        <f aca="false">IF((E249="g"),G249," ")</f>
        <v> </v>
      </c>
      <c r="P249" s="334" t="str">
        <f aca="false">IF((E249="m"),G249," ")</f>
        <v> </v>
      </c>
      <c r="Q249" s="334" t="str">
        <f aca="false">IF((E249="t"),G249," ")</f>
        <v> </v>
      </c>
      <c r="R249" s="334" t="str">
        <f aca="false">IF((E249="a"),G249," ")</f>
        <v> </v>
      </c>
      <c r="S249" s="334" t="str">
        <f aca="false">IF((E249="l"),G249," ")</f>
        <v> </v>
      </c>
      <c r="T249" s="334" t="str">
        <f aca="false">IF((E249="b"),G249," ")</f>
        <v> </v>
      </c>
      <c r="U249" s="334" t="str">
        <f aca="false">IF((E249="i"),G249," ")</f>
        <v> </v>
      </c>
      <c r="V249" s="334" t="str">
        <f aca="false">IF((E249="o"),G249," ")</f>
        <v> </v>
      </c>
      <c r="W249" s="334" t="str">
        <f aca="false">IF((E249="f"),G249," ")</f>
        <v> </v>
      </c>
    </row>
    <row r="250" customFormat="false" ht="12.75" hidden="false" customHeight="false" outlineLevel="0" collapsed="false">
      <c r="A250" s="355"/>
      <c r="E250" s="365" t="str">
        <f aca="false">IF((G250&lt;&gt;0),"Enter Letter"," ")</f>
        <v> </v>
      </c>
      <c r="J250" s="334" t="str">
        <f aca="false">IF((E250="s"),G250," ")</f>
        <v> </v>
      </c>
      <c r="K250" s="334" t="str">
        <f aca="false">IF((E250="d"),G250," ")</f>
        <v> </v>
      </c>
      <c r="L250" s="334" t="str">
        <f aca="false">IF((E250="e"),G250," ")</f>
        <v> </v>
      </c>
      <c r="M250" s="334" t="str">
        <f aca="false">IF((E250="p"),G250," ")</f>
        <v> </v>
      </c>
      <c r="N250" s="334" t="str">
        <f aca="false">IF((E250="r"),G250," ")</f>
        <v> </v>
      </c>
      <c r="O250" s="334" t="str">
        <f aca="false">IF((E250="g"),G250," ")</f>
        <v> </v>
      </c>
      <c r="P250" s="334" t="str">
        <f aca="false">IF((E250="m"),G250," ")</f>
        <v> </v>
      </c>
      <c r="Q250" s="334" t="str">
        <f aca="false">IF((E250="t"),G250," ")</f>
        <v> </v>
      </c>
      <c r="R250" s="334" t="str">
        <f aca="false">IF((E250="a"),G250," ")</f>
        <v> </v>
      </c>
      <c r="S250" s="334" t="str">
        <f aca="false">IF((E250="l"),G250," ")</f>
        <v> </v>
      </c>
      <c r="T250" s="334" t="str">
        <f aca="false">IF((E250="b"),G250," ")</f>
        <v> </v>
      </c>
      <c r="U250" s="334" t="str">
        <f aca="false">IF((E250="i"),G250," ")</f>
        <v> </v>
      </c>
      <c r="V250" s="334" t="str">
        <f aca="false">IF((E250="o"),G250," ")</f>
        <v> </v>
      </c>
      <c r="W250" s="334" t="str">
        <f aca="false">IF((E250="f"),G250," ")</f>
        <v> </v>
      </c>
    </row>
    <row r="251" customFormat="false" ht="12.75" hidden="false" customHeight="false" outlineLevel="0" collapsed="false">
      <c r="A251" s="355"/>
      <c r="E251" s="365" t="str">
        <f aca="false">IF((G251&lt;&gt;0),"Enter Letter"," ")</f>
        <v> </v>
      </c>
      <c r="J251" s="334" t="str">
        <f aca="false">IF((E251="s"),G251," ")</f>
        <v> </v>
      </c>
      <c r="K251" s="334" t="str">
        <f aca="false">IF((E251="d"),G251," ")</f>
        <v> </v>
      </c>
      <c r="L251" s="334" t="str">
        <f aca="false">IF((E251="e"),G251," ")</f>
        <v> </v>
      </c>
      <c r="M251" s="334" t="str">
        <f aca="false">IF((E251="p"),G251," ")</f>
        <v> </v>
      </c>
      <c r="N251" s="334" t="str">
        <f aca="false">IF((E251="r"),G251," ")</f>
        <v> </v>
      </c>
      <c r="O251" s="334" t="str">
        <f aca="false">IF((E251="g"),G251," ")</f>
        <v> </v>
      </c>
      <c r="P251" s="334" t="str">
        <f aca="false">IF((E251="m"),G251," ")</f>
        <v> </v>
      </c>
      <c r="Q251" s="334" t="str">
        <f aca="false">IF((E251="t"),G251," ")</f>
        <v> </v>
      </c>
      <c r="R251" s="334" t="str">
        <f aca="false">IF((E251="a"),G251," ")</f>
        <v> </v>
      </c>
      <c r="S251" s="334" t="str">
        <f aca="false">IF((E251="l"),G251," ")</f>
        <v> </v>
      </c>
      <c r="T251" s="334" t="str">
        <f aca="false">IF((E251="b"),G251," ")</f>
        <v> </v>
      </c>
      <c r="U251" s="334" t="str">
        <f aca="false">IF((E251="i"),G251," ")</f>
        <v> </v>
      </c>
      <c r="V251" s="334" t="str">
        <f aca="false">IF((E251="o"),G251," ")</f>
        <v> </v>
      </c>
      <c r="W251" s="334" t="str">
        <f aca="false">IF((E251="f"),G251," ")</f>
        <v> </v>
      </c>
    </row>
    <row r="252" customFormat="false" ht="12.75" hidden="false" customHeight="false" outlineLevel="0" collapsed="false">
      <c r="A252" s="355"/>
      <c r="E252" s="365" t="str">
        <f aca="false">IF((G252&lt;&gt;0),"Enter Letter"," ")</f>
        <v> </v>
      </c>
      <c r="J252" s="334" t="str">
        <f aca="false">IF((E252="s"),G252," ")</f>
        <v> </v>
      </c>
      <c r="K252" s="334" t="str">
        <f aca="false">IF((E252="d"),G252," ")</f>
        <v> </v>
      </c>
      <c r="L252" s="334" t="str">
        <f aca="false">IF((E252="e"),G252," ")</f>
        <v> </v>
      </c>
      <c r="M252" s="334" t="str">
        <f aca="false">IF((E252="p"),G252," ")</f>
        <v> </v>
      </c>
      <c r="N252" s="334" t="str">
        <f aca="false">IF((E252="r"),G252," ")</f>
        <v> </v>
      </c>
      <c r="O252" s="334" t="str">
        <f aca="false">IF((E252="g"),G252," ")</f>
        <v> </v>
      </c>
      <c r="P252" s="334" t="str">
        <f aca="false">IF((E252="m"),G252," ")</f>
        <v> </v>
      </c>
      <c r="Q252" s="334" t="str">
        <f aca="false">IF((E252="t"),G252," ")</f>
        <v> </v>
      </c>
      <c r="R252" s="334" t="str">
        <f aca="false">IF((E252="a"),G252," ")</f>
        <v> </v>
      </c>
      <c r="S252" s="334" t="str">
        <f aca="false">IF((E252="l"),G252," ")</f>
        <v> </v>
      </c>
      <c r="T252" s="334" t="str">
        <f aca="false">IF((E252="b"),G252," ")</f>
        <v> </v>
      </c>
      <c r="U252" s="334" t="str">
        <f aca="false">IF((E252="i"),G252," ")</f>
        <v> </v>
      </c>
      <c r="V252" s="334" t="str">
        <f aca="false">IF((E252="o"),G252," ")</f>
        <v> </v>
      </c>
      <c r="W252" s="334" t="str">
        <f aca="false">IF((E252="f"),G252," ")</f>
        <v> </v>
      </c>
    </row>
    <row r="253" customFormat="false" ht="12.75" hidden="false" customHeight="false" outlineLevel="0" collapsed="false">
      <c r="A253" s="355"/>
      <c r="E253" s="365" t="str">
        <f aca="false">IF((G253&lt;&gt;0),"Enter Letter"," ")</f>
        <v> </v>
      </c>
      <c r="J253" s="334" t="str">
        <f aca="false">IF((E253="s"),G253," ")</f>
        <v> </v>
      </c>
      <c r="K253" s="334" t="str">
        <f aca="false">IF((E253="d"),G253," ")</f>
        <v> </v>
      </c>
      <c r="L253" s="334" t="str">
        <f aca="false">IF((E253="e"),G253," ")</f>
        <v> </v>
      </c>
      <c r="M253" s="334" t="str">
        <f aca="false">IF((E253="p"),G253," ")</f>
        <v> </v>
      </c>
      <c r="N253" s="334" t="str">
        <f aca="false">IF((E253="r"),G253," ")</f>
        <v> </v>
      </c>
      <c r="O253" s="334" t="str">
        <f aca="false">IF((E253="g"),G253," ")</f>
        <v> </v>
      </c>
      <c r="P253" s="334" t="str">
        <f aca="false">IF((E253="m"),G253," ")</f>
        <v> </v>
      </c>
      <c r="Q253" s="334" t="str">
        <f aca="false">IF((E253="t"),G253," ")</f>
        <v> </v>
      </c>
      <c r="R253" s="334" t="str">
        <f aca="false">IF((E253="a"),G253," ")</f>
        <v> </v>
      </c>
      <c r="S253" s="334" t="str">
        <f aca="false">IF((E253="l"),G253," ")</f>
        <v> </v>
      </c>
      <c r="T253" s="334" t="str">
        <f aca="false">IF((E253="b"),G253," ")</f>
        <v> </v>
      </c>
      <c r="U253" s="334" t="str">
        <f aca="false">IF((E253="i"),G253," ")</f>
        <v> </v>
      </c>
      <c r="V253" s="334" t="str">
        <f aca="false">IF((E253="o"),G253," ")</f>
        <v> </v>
      </c>
      <c r="W253" s="334" t="str">
        <f aca="false">IF((E253="f"),G253," ")</f>
        <v> </v>
      </c>
    </row>
    <row r="254" customFormat="false" ht="12.75" hidden="false" customHeight="false" outlineLevel="0" collapsed="false">
      <c r="A254" s="355"/>
      <c r="E254" s="365" t="str">
        <f aca="false">IF((G254&lt;&gt;0),"Enter Letter"," ")</f>
        <v> </v>
      </c>
      <c r="J254" s="334" t="str">
        <f aca="false">IF((E254="s"),G254," ")</f>
        <v> </v>
      </c>
      <c r="K254" s="334" t="str">
        <f aca="false">IF((E254="d"),G254," ")</f>
        <v> </v>
      </c>
      <c r="L254" s="334" t="str">
        <f aca="false">IF((E254="e"),G254," ")</f>
        <v> </v>
      </c>
      <c r="M254" s="334" t="str">
        <f aca="false">IF((E254="p"),G254," ")</f>
        <v> </v>
      </c>
      <c r="N254" s="334" t="str">
        <f aca="false">IF((E254="r"),G254," ")</f>
        <v> </v>
      </c>
      <c r="O254" s="334" t="str">
        <f aca="false">IF((E254="g"),G254," ")</f>
        <v> </v>
      </c>
      <c r="P254" s="334" t="str">
        <f aca="false">IF((E254="m"),G254," ")</f>
        <v> </v>
      </c>
      <c r="Q254" s="334" t="str">
        <f aca="false">IF((E254="t"),G254," ")</f>
        <v> </v>
      </c>
      <c r="R254" s="334" t="str">
        <f aca="false">IF((E254="a"),G254," ")</f>
        <v> </v>
      </c>
      <c r="S254" s="334" t="str">
        <f aca="false">IF((E254="l"),G254," ")</f>
        <v> </v>
      </c>
      <c r="T254" s="334" t="str">
        <f aca="false">IF((E254="b"),G254," ")</f>
        <v> </v>
      </c>
      <c r="U254" s="334" t="str">
        <f aca="false">IF((E254="i"),G254," ")</f>
        <v> </v>
      </c>
      <c r="V254" s="334" t="str">
        <f aca="false">IF((E254="o"),G254," ")</f>
        <v> </v>
      </c>
      <c r="W254" s="334" t="str">
        <f aca="false">IF((E254="f"),G254," ")</f>
        <v> </v>
      </c>
    </row>
    <row r="255" customFormat="false" ht="12.75" hidden="false" customHeight="false" outlineLevel="0" collapsed="false">
      <c r="A255" s="355"/>
      <c r="E255" s="365" t="str">
        <f aca="false">IF((G255&lt;&gt;0),"Enter Letter"," ")</f>
        <v> </v>
      </c>
      <c r="J255" s="334" t="str">
        <f aca="false">IF((E255="s"),G255," ")</f>
        <v> </v>
      </c>
      <c r="K255" s="334" t="str">
        <f aca="false">IF((E255="d"),G255," ")</f>
        <v> </v>
      </c>
      <c r="L255" s="334" t="str">
        <f aca="false">IF((E255="e"),G255," ")</f>
        <v> </v>
      </c>
      <c r="M255" s="334" t="str">
        <f aca="false">IF((E255="p"),G255," ")</f>
        <v> </v>
      </c>
      <c r="N255" s="334" t="str">
        <f aca="false">IF((E255="r"),G255," ")</f>
        <v> </v>
      </c>
      <c r="O255" s="334" t="str">
        <f aca="false">IF((E255="g"),G255," ")</f>
        <v> </v>
      </c>
      <c r="P255" s="334" t="str">
        <f aca="false">IF((E255="m"),G255," ")</f>
        <v> </v>
      </c>
      <c r="Q255" s="334" t="str">
        <f aca="false">IF((E255="t"),G255," ")</f>
        <v> </v>
      </c>
      <c r="R255" s="334" t="str">
        <f aca="false">IF((E255="a"),G255," ")</f>
        <v> </v>
      </c>
      <c r="S255" s="334" t="str">
        <f aca="false">IF((E255="l"),G255," ")</f>
        <v> </v>
      </c>
      <c r="T255" s="334" t="str">
        <f aca="false">IF((E255="b"),G255," ")</f>
        <v> </v>
      </c>
      <c r="U255" s="334" t="str">
        <f aca="false">IF((E255="i"),G255," ")</f>
        <v> </v>
      </c>
      <c r="V255" s="334" t="str">
        <f aca="false">IF((E255="o"),G255," ")</f>
        <v> </v>
      </c>
      <c r="W255" s="334" t="str">
        <f aca="false">IF((E255="f"),G255," ")</f>
        <v> </v>
      </c>
    </row>
    <row r="256" customFormat="false" ht="12.75" hidden="false" customHeight="false" outlineLevel="0" collapsed="false">
      <c r="A256" s="355"/>
      <c r="E256" s="365" t="str">
        <f aca="false">IF((G256&lt;&gt;0),"Enter Letter"," ")</f>
        <v> </v>
      </c>
      <c r="J256" s="334" t="str">
        <f aca="false">IF((E256="s"),G256," ")</f>
        <v> </v>
      </c>
      <c r="K256" s="334" t="str">
        <f aca="false">IF((E256="d"),G256," ")</f>
        <v> </v>
      </c>
      <c r="L256" s="334" t="str">
        <f aca="false">IF((E256="e"),G256," ")</f>
        <v> </v>
      </c>
      <c r="M256" s="334" t="str">
        <f aca="false">IF((E256="p"),G256," ")</f>
        <v> </v>
      </c>
      <c r="N256" s="334" t="str">
        <f aca="false">IF((E256="r"),G256," ")</f>
        <v> </v>
      </c>
      <c r="O256" s="334" t="str">
        <f aca="false">IF((E256="g"),G256," ")</f>
        <v> </v>
      </c>
      <c r="P256" s="334" t="str">
        <f aca="false">IF((E256="m"),G256," ")</f>
        <v> </v>
      </c>
      <c r="Q256" s="334" t="str">
        <f aca="false">IF((E256="t"),G256," ")</f>
        <v> </v>
      </c>
      <c r="R256" s="334" t="str">
        <f aca="false">IF((E256="a"),G256," ")</f>
        <v> </v>
      </c>
      <c r="S256" s="334" t="str">
        <f aca="false">IF((E256="l"),G256," ")</f>
        <v> </v>
      </c>
      <c r="T256" s="334" t="str">
        <f aca="false">IF((E256="b"),G256," ")</f>
        <v> </v>
      </c>
      <c r="U256" s="334" t="str">
        <f aca="false">IF((E256="i"),G256," ")</f>
        <v> </v>
      </c>
      <c r="V256" s="334" t="str">
        <f aca="false">IF((E256="o"),G256," ")</f>
        <v> </v>
      </c>
      <c r="W256" s="334" t="str">
        <f aca="false">IF((E256="f"),G256," ")</f>
        <v> </v>
      </c>
    </row>
    <row r="257" customFormat="false" ht="12.75" hidden="false" customHeight="false" outlineLevel="0" collapsed="false">
      <c r="A257" s="355"/>
      <c r="E257" s="365" t="str">
        <f aca="false">IF((G257&lt;&gt;0),"Enter Letter"," ")</f>
        <v> </v>
      </c>
      <c r="J257" s="334" t="str">
        <f aca="false">IF((E257="s"),G257," ")</f>
        <v> </v>
      </c>
      <c r="K257" s="334" t="str">
        <f aca="false">IF((E257="d"),G257," ")</f>
        <v> </v>
      </c>
      <c r="L257" s="334" t="str">
        <f aca="false">IF((E257="e"),G257," ")</f>
        <v> </v>
      </c>
      <c r="M257" s="334" t="str">
        <f aca="false">IF((E257="p"),G257," ")</f>
        <v> </v>
      </c>
      <c r="N257" s="334" t="str">
        <f aca="false">IF((E257="r"),G257," ")</f>
        <v> </v>
      </c>
      <c r="O257" s="334" t="str">
        <f aca="false">IF((E257="g"),G257," ")</f>
        <v> </v>
      </c>
      <c r="P257" s="334" t="str">
        <f aca="false">IF((E257="m"),G257," ")</f>
        <v> </v>
      </c>
      <c r="Q257" s="334" t="str">
        <f aca="false">IF((E257="t"),G257," ")</f>
        <v> </v>
      </c>
      <c r="R257" s="334" t="str">
        <f aca="false">IF((E257="a"),G257," ")</f>
        <v> </v>
      </c>
      <c r="S257" s="334" t="str">
        <f aca="false">IF((E257="l"),G257," ")</f>
        <v> </v>
      </c>
      <c r="T257" s="334" t="str">
        <f aca="false">IF((E257="b"),G257," ")</f>
        <v> </v>
      </c>
      <c r="U257" s="334" t="str">
        <f aca="false">IF((E257="i"),G257," ")</f>
        <v> </v>
      </c>
      <c r="V257" s="334" t="str">
        <f aca="false">IF((E257="o"),G257," ")</f>
        <v> </v>
      </c>
      <c r="W257" s="334" t="str">
        <f aca="false">IF((E257="f"),G257," ")</f>
        <v> </v>
      </c>
    </row>
    <row r="258" customFormat="false" ht="12.75" hidden="false" customHeight="false" outlineLevel="0" collapsed="false">
      <c r="A258" s="355"/>
      <c r="E258" s="365" t="str">
        <f aca="false">IF((G258&lt;&gt;0),"Enter Letter"," ")</f>
        <v> </v>
      </c>
      <c r="J258" s="334" t="str">
        <f aca="false">IF((E258="s"),G258," ")</f>
        <v> </v>
      </c>
      <c r="K258" s="334" t="str">
        <f aca="false">IF((E258="d"),G258," ")</f>
        <v> </v>
      </c>
      <c r="L258" s="334" t="str">
        <f aca="false">IF((E258="e"),G258," ")</f>
        <v> </v>
      </c>
      <c r="M258" s="334" t="str">
        <f aca="false">IF((E258="p"),G258," ")</f>
        <v> </v>
      </c>
      <c r="N258" s="334" t="str">
        <f aca="false">IF((E258="r"),G258," ")</f>
        <v> </v>
      </c>
      <c r="O258" s="334" t="str">
        <f aca="false">IF((E258="g"),G258," ")</f>
        <v> </v>
      </c>
      <c r="P258" s="334" t="str">
        <f aca="false">IF((E258="m"),G258," ")</f>
        <v> </v>
      </c>
      <c r="Q258" s="334" t="str">
        <f aca="false">IF((E258="t"),G258," ")</f>
        <v> </v>
      </c>
      <c r="R258" s="334" t="str">
        <f aca="false">IF((E258="a"),G258," ")</f>
        <v> </v>
      </c>
      <c r="S258" s="334" t="str">
        <f aca="false">IF((E258="l"),G258," ")</f>
        <v> </v>
      </c>
      <c r="T258" s="334" t="str">
        <f aca="false">IF((E258="b"),G258," ")</f>
        <v> </v>
      </c>
      <c r="U258" s="334" t="str">
        <f aca="false">IF((E258="i"),G258," ")</f>
        <v> </v>
      </c>
      <c r="V258" s="334" t="str">
        <f aca="false">IF((E258="o"),G258," ")</f>
        <v> </v>
      </c>
      <c r="W258" s="334" t="str">
        <f aca="false">IF((E258="f"),G258," ")</f>
        <v> </v>
      </c>
    </row>
    <row r="259" customFormat="false" ht="12.75" hidden="false" customHeight="false" outlineLevel="0" collapsed="false">
      <c r="A259" s="355"/>
      <c r="E259" s="365" t="str">
        <f aca="false">IF((G259&lt;&gt;0),"Enter Letter"," ")</f>
        <v> </v>
      </c>
      <c r="J259" s="334" t="str">
        <f aca="false">IF((E259="s"),G259," ")</f>
        <v> </v>
      </c>
      <c r="K259" s="334" t="str">
        <f aca="false">IF((E259="d"),G259," ")</f>
        <v> </v>
      </c>
      <c r="L259" s="334" t="str">
        <f aca="false">IF((E259="e"),G259," ")</f>
        <v> </v>
      </c>
      <c r="M259" s="334" t="str">
        <f aca="false">IF((E259="p"),G259," ")</f>
        <v> </v>
      </c>
      <c r="N259" s="334" t="str">
        <f aca="false">IF((E259="r"),G259," ")</f>
        <v> </v>
      </c>
      <c r="O259" s="334" t="str">
        <f aca="false">IF((E259="g"),G259," ")</f>
        <v> </v>
      </c>
      <c r="P259" s="334" t="str">
        <f aca="false">IF((E259="m"),G259," ")</f>
        <v> </v>
      </c>
      <c r="Q259" s="334" t="str">
        <f aca="false">IF((E259="t"),G259," ")</f>
        <v> </v>
      </c>
      <c r="R259" s="334" t="str">
        <f aca="false">IF((E259="a"),G259," ")</f>
        <v> </v>
      </c>
      <c r="S259" s="334" t="str">
        <f aca="false">IF((E259="l"),G259," ")</f>
        <v> </v>
      </c>
      <c r="T259" s="334" t="str">
        <f aca="false">IF((E259="b"),G259," ")</f>
        <v> </v>
      </c>
      <c r="U259" s="334" t="str">
        <f aca="false">IF((E259="i"),G259," ")</f>
        <v> </v>
      </c>
      <c r="V259" s="334" t="str">
        <f aca="false">IF((E259="o"),G259," ")</f>
        <v> </v>
      </c>
      <c r="W259" s="334" t="str">
        <f aca="false">IF((E259="f"),G259," ")</f>
        <v> </v>
      </c>
    </row>
    <row r="260" customFormat="false" ht="12.75" hidden="false" customHeight="false" outlineLevel="0" collapsed="false">
      <c r="A260" s="355"/>
      <c r="E260" s="365" t="str">
        <f aca="false">IF((G260&lt;&gt;0),"Enter Letter"," ")</f>
        <v> </v>
      </c>
      <c r="J260" s="334" t="str">
        <f aca="false">IF((E260="s"),G260," ")</f>
        <v> </v>
      </c>
      <c r="K260" s="334" t="str">
        <f aca="false">IF((E260="d"),G260," ")</f>
        <v> </v>
      </c>
      <c r="L260" s="334" t="str">
        <f aca="false">IF((E260="e"),G260," ")</f>
        <v> </v>
      </c>
      <c r="M260" s="334" t="str">
        <f aca="false">IF((E260="p"),G260," ")</f>
        <v> </v>
      </c>
      <c r="N260" s="334" t="str">
        <f aca="false">IF((E260="r"),G260," ")</f>
        <v> </v>
      </c>
      <c r="O260" s="334" t="str">
        <f aca="false">IF((E260="g"),G260," ")</f>
        <v> </v>
      </c>
      <c r="P260" s="334" t="str">
        <f aca="false">IF((E260="m"),G260," ")</f>
        <v> </v>
      </c>
      <c r="Q260" s="334" t="str">
        <f aca="false">IF((E260="t"),G260," ")</f>
        <v> </v>
      </c>
      <c r="R260" s="334" t="str">
        <f aca="false">IF((E260="a"),G260," ")</f>
        <v> </v>
      </c>
      <c r="S260" s="334" t="str">
        <f aca="false">IF((E260="l"),G260," ")</f>
        <v> </v>
      </c>
      <c r="T260" s="334" t="str">
        <f aca="false">IF((E260="b"),G260," ")</f>
        <v> </v>
      </c>
      <c r="U260" s="334" t="str">
        <f aca="false">IF((E260="i"),G260," ")</f>
        <v> </v>
      </c>
      <c r="V260" s="334" t="str">
        <f aca="false">IF((E260="o"),G260," ")</f>
        <v> </v>
      </c>
      <c r="W260" s="334" t="str">
        <f aca="false">IF((E260="f"),G260," ")</f>
        <v> </v>
      </c>
    </row>
    <row r="261" customFormat="false" ht="12.75" hidden="false" customHeight="false" outlineLevel="0" collapsed="false">
      <c r="A261" s="355"/>
      <c r="E261" s="365" t="str">
        <f aca="false">IF((G261&lt;&gt;0),"Enter Letter"," ")</f>
        <v> </v>
      </c>
      <c r="J261" s="334" t="str">
        <f aca="false">IF((E261="s"),G261," ")</f>
        <v> </v>
      </c>
      <c r="K261" s="334" t="str">
        <f aca="false">IF((E261="d"),G261," ")</f>
        <v> </v>
      </c>
      <c r="L261" s="334" t="str">
        <f aca="false">IF((E261="e"),G261," ")</f>
        <v> </v>
      </c>
      <c r="M261" s="334" t="str">
        <f aca="false">IF((E261="p"),G261," ")</f>
        <v> </v>
      </c>
      <c r="N261" s="334" t="str">
        <f aca="false">IF((E261="r"),G261," ")</f>
        <v> </v>
      </c>
      <c r="O261" s="334" t="str">
        <f aca="false">IF((E261="g"),G261," ")</f>
        <v> </v>
      </c>
      <c r="P261" s="334" t="str">
        <f aca="false">IF((E261="m"),G261," ")</f>
        <v> </v>
      </c>
      <c r="Q261" s="334" t="str">
        <f aca="false">IF((E261="t"),G261," ")</f>
        <v> </v>
      </c>
      <c r="R261" s="334" t="str">
        <f aca="false">IF((E261="a"),G261," ")</f>
        <v> </v>
      </c>
      <c r="S261" s="334" t="str">
        <f aca="false">IF((E261="l"),G261," ")</f>
        <v> </v>
      </c>
      <c r="T261" s="334" t="str">
        <f aca="false">IF((E261="b"),G261," ")</f>
        <v> </v>
      </c>
      <c r="U261" s="334" t="str">
        <f aca="false">IF((E261="i"),G261," ")</f>
        <v> </v>
      </c>
      <c r="V261" s="334" t="str">
        <f aca="false">IF((E261="o"),G261," ")</f>
        <v> </v>
      </c>
      <c r="W261" s="334" t="str">
        <f aca="false">IF((E261="f"),G261," ")</f>
        <v> </v>
      </c>
    </row>
    <row r="262" customFormat="false" ht="12.75" hidden="false" customHeight="false" outlineLevel="0" collapsed="false">
      <c r="A262" s="355"/>
      <c r="E262" s="365" t="str">
        <f aca="false">IF((G262&lt;&gt;0),"Enter Letter"," ")</f>
        <v> </v>
      </c>
      <c r="J262" s="334" t="str">
        <f aca="false">IF((E262="s"),G262," ")</f>
        <v> </v>
      </c>
      <c r="K262" s="334" t="str">
        <f aca="false">IF((E262="d"),G262," ")</f>
        <v> </v>
      </c>
      <c r="L262" s="334" t="str">
        <f aca="false">IF((E262="e"),G262," ")</f>
        <v> </v>
      </c>
      <c r="M262" s="334" t="str">
        <f aca="false">IF((E262="p"),G262," ")</f>
        <v> </v>
      </c>
      <c r="N262" s="334" t="str">
        <f aca="false">IF((E262="r"),G262," ")</f>
        <v> </v>
      </c>
      <c r="O262" s="334" t="str">
        <f aca="false">IF((E262="g"),G262," ")</f>
        <v> </v>
      </c>
      <c r="P262" s="334" t="str">
        <f aca="false">IF((E262="m"),G262," ")</f>
        <v> </v>
      </c>
      <c r="Q262" s="334" t="str">
        <f aca="false">IF((E262="t"),G262," ")</f>
        <v> </v>
      </c>
      <c r="R262" s="334" t="str">
        <f aca="false">IF((E262="a"),G262," ")</f>
        <v> </v>
      </c>
      <c r="S262" s="334" t="str">
        <f aca="false">IF((E262="l"),G262," ")</f>
        <v> </v>
      </c>
      <c r="T262" s="334" t="str">
        <f aca="false">IF((E262="b"),G262," ")</f>
        <v> </v>
      </c>
      <c r="U262" s="334" t="str">
        <f aca="false">IF((E262="i"),G262," ")</f>
        <v> </v>
      </c>
      <c r="V262" s="334" t="str">
        <f aca="false">IF((E262="o"),G262," ")</f>
        <v> </v>
      </c>
      <c r="W262" s="334" t="str">
        <f aca="false">IF((E262="f"),G262," ")</f>
        <v> </v>
      </c>
    </row>
    <row r="263" customFormat="false" ht="12.75" hidden="false" customHeight="false" outlineLevel="0" collapsed="false">
      <c r="A263" s="355"/>
      <c r="E263" s="365" t="str">
        <f aca="false">IF((G263&lt;&gt;0),"Enter Letter"," ")</f>
        <v> </v>
      </c>
      <c r="J263" s="334" t="str">
        <f aca="false">IF((E263="s"),G263," ")</f>
        <v> </v>
      </c>
      <c r="K263" s="334" t="str">
        <f aca="false">IF((E263="d"),G263," ")</f>
        <v> </v>
      </c>
      <c r="L263" s="334" t="str">
        <f aca="false">IF((E263="e"),G263," ")</f>
        <v> </v>
      </c>
      <c r="M263" s="334" t="str">
        <f aca="false">IF((E263="p"),G263," ")</f>
        <v> </v>
      </c>
      <c r="N263" s="334" t="str">
        <f aca="false">IF((E263="r"),G263," ")</f>
        <v> </v>
      </c>
      <c r="O263" s="334" t="str">
        <f aca="false">IF((E263="g"),G263," ")</f>
        <v> </v>
      </c>
      <c r="P263" s="334" t="str">
        <f aca="false">IF((E263="m"),G263," ")</f>
        <v> </v>
      </c>
      <c r="Q263" s="334" t="str">
        <f aca="false">IF((E263="t"),G263," ")</f>
        <v> </v>
      </c>
      <c r="R263" s="334" t="str">
        <f aca="false">IF((E263="a"),G263," ")</f>
        <v> </v>
      </c>
      <c r="S263" s="334" t="str">
        <f aca="false">IF((E263="l"),G263," ")</f>
        <v> </v>
      </c>
      <c r="T263" s="334" t="str">
        <f aca="false">IF((E263="b"),G263," ")</f>
        <v> </v>
      </c>
      <c r="U263" s="334" t="str">
        <f aca="false">IF((E263="i"),G263," ")</f>
        <v> </v>
      </c>
      <c r="V263" s="334" t="str">
        <f aca="false">IF((E263="o"),G263," ")</f>
        <v> </v>
      </c>
      <c r="W263" s="334" t="str">
        <f aca="false">IF((E263="f"),G263," ")</f>
        <v> </v>
      </c>
    </row>
    <row r="264" customFormat="false" ht="12.75" hidden="false" customHeight="false" outlineLevel="0" collapsed="false">
      <c r="A264" s="355"/>
      <c r="E264" s="365" t="str">
        <f aca="false">IF((G264&lt;&gt;0),"Enter Letter"," ")</f>
        <v> </v>
      </c>
      <c r="J264" s="334" t="str">
        <f aca="false">IF((E264="s"),G264," ")</f>
        <v> </v>
      </c>
      <c r="K264" s="334" t="str">
        <f aca="false">IF((E264="d"),G264," ")</f>
        <v> </v>
      </c>
      <c r="L264" s="334" t="str">
        <f aca="false">IF((E264="e"),G264," ")</f>
        <v> </v>
      </c>
      <c r="M264" s="334" t="str">
        <f aca="false">IF((E264="p"),G264," ")</f>
        <v> </v>
      </c>
      <c r="N264" s="334" t="str">
        <f aca="false">IF((E264="r"),G264," ")</f>
        <v> </v>
      </c>
      <c r="O264" s="334" t="str">
        <f aca="false">IF((E264="g"),G264," ")</f>
        <v> </v>
      </c>
      <c r="P264" s="334" t="str">
        <f aca="false">IF((E264="m"),G264," ")</f>
        <v> </v>
      </c>
      <c r="Q264" s="334" t="str">
        <f aca="false">IF((E264="t"),G264," ")</f>
        <v> </v>
      </c>
      <c r="R264" s="334" t="str">
        <f aca="false">IF((E264="a"),G264," ")</f>
        <v> </v>
      </c>
      <c r="S264" s="334" t="str">
        <f aca="false">IF((E264="l"),G264," ")</f>
        <v> </v>
      </c>
      <c r="T264" s="334" t="str">
        <f aca="false">IF((E264="b"),G264," ")</f>
        <v> </v>
      </c>
      <c r="U264" s="334" t="str">
        <f aca="false">IF((E264="i"),G264," ")</f>
        <v> </v>
      </c>
      <c r="V264" s="334" t="str">
        <f aca="false">IF((E264="o"),G264," ")</f>
        <v> </v>
      </c>
      <c r="W264" s="334" t="str">
        <f aca="false">IF((E264="f"),G264," ")</f>
        <v> </v>
      </c>
    </row>
    <row r="265" customFormat="false" ht="12.75" hidden="false" customHeight="false" outlineLevel="0" collapsed="false">
      <c r="A265" s="355"/>
      <c r="E265" s="365" t="str">
        <f aca="false">IF((G265&lt;&gt;0),"Enter Letter"," ")</f>
        <v> </v>
      </c>
      <c r="J265" s="334" t="str">
        <f aca="false">IF((E265="s"),G265," ")</f>
        <v> </v>
      </c>
      <c r="K265" s="334" t="str">
        <f aca="false">IF((E265="d"),G265," ")</f>
        <v> </v>
      </c>
      <c r="L265" s="334" t="str">
        <f aca="false">IF((E265="e"),G265," ")</f>
        <v> </v>
      </c>
      <c r="M265" s="334" t="str">
        <f aca="false">IF((E265="p"),G265," ")</f>
        <v> </v>
      </c>
      <c r="N265" s="334" t="str">
        <f aca="false">IF((E265="r"),G265," ")</f>
        <v> </v>
      </c>
      <c r="O265" s="334" t="str">
        <f aca="false">IF((E265="g"),G265," ")</f>
        <v> </v>
      </c>
      <c r="P265" s="334" t="str">
        <f aca="false">IF((E265="m"),G265," ")</f>
        <v> </v>
      </c>
      <c r="Q265" s="334" t="str">
        <f aca="false">IF((E265="t"),G265," ")</f>
        <v> </v>
      </c>
      <c r="R265" s="334" t="str">
        <f aca="false">IF((E265="a"),G265," ")</f>
        <v> </v>
      </c>
      <c r="S265" s="334" t="str">
        <f aca="false">IF((E265="l"),G265," ")</f>
        <v> </v>
      </c>
      <c r="T265" s="334" t="str">
        <f aca="false">IF((E265="b"),G265," ")</f>
        <v> </v>
      </c>
      <c r="U265" s="334" t="str">
        <f aca="false">IF((E265="i"),G265," ")</f>
        <v> </v>
      </c>
      <c r="V265" s="334" t="str">
        <f aca="false">IF((E265="o"),G265," ")</f>
        <v> </v>
      </c>
      <c r="W265" s="334" t="str">
        <f aca="false">IF((E265="f"),G265," ")</f>
        <v> </v>
      </c>
    </row>
    <row r="266" customFormat="false" ht="12.75" hidden="false" customHeight="false" outlineLevel="0" collapsed="false">
      <c r="A266" s="355"/>
      <c r="E266" s="365" t="str">
        <f aca="false">IF((G266&lt;&gt;0),"Enter Letter"," ")</f>
        <v> </v>
      </c>
      <c r="J266" s="334" t="str">
        <f aca="false">IF((E266="s"),G266," ")</f>
        <v> </v>
      </c>
      <c r="K266" s="334" t="str">
        <f aca="false">IF((E266="d"),G266," ")</f>
        <v> </v>
      </c>
      <c r="L266" s="334" t="str">
        <f aca="false">IF((E266="e"),G266," ")</f>
        <v> </v>
      </c>
      <c r="M266" s="334" t="str">
        <f aca="false">IF((E266="p"),G266," ")</f>
        <v> </v>
      </c>
      <c r="N266" s="334" t="str">
        <f aca="false">IF((E266="r"),G266," ")</f>
        <v> </v>
      </c>
      <c r="O266" s="334" t="str">
        <f aca="false">IF((E266="g"),G266," ")</f>
        <v> </v>
      </c>
      <c r="P266" s="334" t="str">
        <f aca="false">IF((E266="m"),G266," ")</f>
        <v> </v>
      </c>
      <c r="Q266" s="334" t="str">
        <f aca="false">IF((E266="t"),G266," ")</f>
        <v> </v>
      </c>
      <c r="R266" s="334" t="str">
        <f aca="false">IF((E266="a"),G266," ")</f>
        <v> </v>
      </c>
      <c r="S266" s="334" t="str">
        <f aca="false">IF((E266="l"),G266," ")</f>
        <v> </v>
      </c>
      <c r="T266" s="334" t="str">
        <f aca="false">IF((E266="b"),G266," ")</f>
        <v> </v>
      </c>
      <c r="U266" s="334" t="str">
        <f aca="false">IF((E266="i"),G266," ")</f>
        <v> </v>
      </c>
      <c r="V266" s="334" t="str">
        <f aca="false">IF((E266="o"),G266," ")</f>
        <v> </v>
      </c>
      <c r="W266" s="334" t="str">
        <f aca="false">IF((E266="f"),G266," ")</f>
        <v> </v>
      </c>
    </row>
    <row r="267" customFormat="false" ht="12.75" hidden="false" customHeight="false" outlineLevel="0" collapsed="false">
      <c r="A267" s="355"/>
      <c r="E267" s="365" t="str">
        <f aca="false">IF((G267&lt;&gt;0),"Enter Letter"," ")</f>
        <v> </v>
      </c>
      <c r="J267" s="334" t="str">
        <f aca="false">IF((E267="s"),G267," ")</f>
        <v> </v>
      </c>
      <c r="K267" s="334" t="str">
        <f aca="false">IF((E267="d"),G267," ")</f>
        <v> </v>
      </c>
      <c r="L267" s="334" t="str">
        <f aca="false">IF((E267="e"),G267," ")</f>
        <v> </v>
      </c>
      <c r="M267" s="334" t="str">
        <f aca="false">IF((E267="p"),G267," ")</f>
        <v> </v>
      </c>
      <c r="N267" s="334" t="str">
        <f aca="false">IF((E267="r"),G267," ")</f>
        <v> </v>
      </c>
      <c r="O267" s="334" t="str">
        <f aca="false">IF((E267="g"),G267," ")</f>
        <v> </v>
      </c>
      <c r="P267" s="334" t="str">
        <f aca="false">IF((E267="m"),G267," ")</f>
        <v> </v>
      </c>
      <c r="Q267" s="334" t="str">
        <f aca="false">IF((E267="t"),G267," ")</f>
        <v> </v>
      </c>
      <c r="R267" s="334" t="str">
        <f aca="false">IF((E267="a"),G267," ")</f>
        <v> </v>
      </c>
      <c r="S267" s="334" t="str">
        <f aca="false">IF((E267="l"),G267," ")</f>
        <v> </v>
      </c>
      <c r="T267" s="334" t="str">
        <f aca="false">IF((E267="b"),G267," ")</f>
        <v> </v>
      </c>
      <c r="U267" s="334" t="str">
        <f aca="false">IF((E267="i"),G267," ")</f>
        <v> </v>
      </c>
      <c r="V267" s="334" t="str">
        <f aca="false">IF((E267="o"),G267," ")</f>
        <v> </v>
      </c>
      <c r="W267" s="334" t="str">
        <f aca="false">IF((E267="f"),G267," ")</f>
        <v> </v>
      </c>
    </row>
    <row r="268" customFormat="false" ht="12.75" hidden="false" customHeight="false" outlineLevel="0" collapsed="false">
      <c r="A268" s="355"/>
      <c r="E268" s="365" t="str">
        <f aca="false">IF((G268&lt;&gt;0),"Enter Letter"," ")</f>
        <v> </v>
      </c>
      <c r="J268" s="334" t="str">
        <f aca="false">IF((E268="s"),G268," ")</f>
        <v> </v>
      </c>
      <c r="K268" s="334" t="str">
        <f aca="false">IF((E268="d"),G268," ")</f>
        <v> </v>
      </c>
      <c r="L268" s="334" t="str">
        <f aca="false">IF((E268="e"),G268," ")</f>
        <v> </v>
      </c>
      <c r="M268" s="334" t="str">
        <f aca="false">IF((E268="p"),G268," ")</f>
        <v> </v>
      </c>
      <c r="N268" s="334" t="str">
        <f aca="false">IF((E268="r"),G268," ")</f>
        <v> </v>
      </c>
      <c r="O268" s="334" t="str">
        <f aca="false">IF((E268="g"),G268," ")</f>
        <v> </v>
      </c>
      <c r="P268" s="334" t="str">
        <f aca="false">IF((E268="m"),G268," ")</f>
        <v> </v>
      </c>
      <c r="Q268" s="334" t="str">
        <f aca="false">IF((E268="t"),G268," ")</f>
        <v> </v>
      </c>
      <c r="R268" s="334" t="str">
        <f aca="false">IF((E268="a"),G268," ")</f>
        <v> </v>
      </c>
      <c r="S268" s="334" t="str">
        <f aca="false">IF((E268="l"),G268," ")</f>
        <v> </v>
      </c>
      <c r="T268" s="334" t="str">
        <f aca="false">IF((E268="b"),G268," ")</f>
        <v> </v>
      </c>
      <c r="U268" s="334" t="str">
        <f aca="false">IF((E268="i"),G268," ")</f>
        <v> </v>
      </c>
      <c r="V268" s="334" t="str">
        <f aca="false">IF((E268="o"),G268," ")</f>
        <v> </v>
      </c>
      <c r="W268" s="334" t="str">
        <f aca="false">IF((E268="f"),G268," ")</f>
        <v> </v>
      </c>
    </row>
    <row r="269" customFormat="false" ht="12.75" hidden="false" customHeight="false" outlineLevel="0" collapsed="false">
      <c r="A269" s="355"/>
      <c r="E269" s="365" t="str">
        <f aca="false">IF((G269&lt;&gt;0),"Enter Letter"," ")</f>
        <v> </v>
      </c>
      <c r="J269" s="334" t="str">
        <f aca="false">IF((E269="s"),G269," ")</f>
        <v> </v>
      </c>
      <c r="K269" s="334" t="str">
        <f aca="false">IF((E269="d"),G269," ")</f>
        <v> </v>
      </c>
      <c r="L269" s="334" t="str">
        <f aca="false">IF((E269="e"),G269," ")</f>
        <v> </v>
      </c>
      <c r="M269" s="334" t="str">
        <f aca="false">IF((E269="p"),G269," ")</f>
        <v> </v>
      </c>
      <c r="N269" s="334" t="str">
        <f aca="false">IF((E269="r"),G269," ")</f>
        <v> </v>
      </c>
      <c r="O269" s="334" t="str">
        <f aca="false">IF((E269="g"),G269," ")</f>
        <v> </v>
      </c>
      <c r="P269" s="334" t="str">
        <f aca="false">IF((E269="m"),G269," ")</f>
        <v> </v>
      </c>
      <c r="Q269" s="334" t="str">
        <f aca="false">IF((E269="t"),G269," ")</f>
        <v> </v>
      </c>
      <c r="R269" s="334" t="str">
        <f aca="false">IF((E269="a"),G269," ")</f>
        <v> </v>
      </c>
      <c r="S269" s="334" t="str">
        <f aca="false">IF((E269="l"),G269," ")</f>
        <v> </v>
      </c>
      <c r="T269" s="334" t="str">
        <f aca="false">IF((E269="b"),G269," ")</f>
        <v> </v>
      </c>
      <c r="U269" s="334" t="str">
        <f aca="false">IF((E269="i"),G269," ")</f>
        <v> </v>
      </c>
      <c r="V269" s="334" t="str">
        <f aca="false">IF((E269="o"),G269," ")</f>
        <v> </v>
      </c>
      <c r="W269" s="334" t="str">
        <f aca="false">IF((E269="f"),G269," ")</f>
        <v> </v>
      </c>
    </row>
    <row r="270" customFormat="false" ht="12.75" hidden="false" customHeight="false" outlineLevel="0" collapsed="false">
      <c r="A270" s="355"/>
      <c r="E270" s="365" t="str">
        <f aca="false">IF((G270&lt;&gt;0),"Enter Letter"," ")</f>
        <v> </v>
      </c>
      <c r="J270" s="334" t="str">
        <f aca="false">IF((E270="s"),G270," ")</f>
        <v> </v>
      </c>
      <c r="K270" s="334" t="str">
        <f aca="false">IF((E270="d"),G270," ")</f>
        <v> </v>
      </c>
      <c r="L270" s="334" t="str">
        <f aca="false">IF((E270="e"),G270," ")</f>
        <v> </v>
      </c>
      <c r="M270" s="334" t="str">
        <f aca="false">IF((E270="p"),G270," ")</f>
        <v> </v>
      </c>
      <c r="N270" s="334" t="str">
        <f aca="false">IF((E270="r"),G270," ")</f>
        <v> </v>
      </c>
      <c r="O270" s="334" t="str">
        <f aca="false">IF((E270="g"),G270," ")</f>
        <v> </v>
      </c>
      <c r="P270" s="334" t="str">
        <f aca="false">IF((E270="m"),G270," ")</f>
        <v> </v>
      </c>
      <c r="Q270" s="334" t="str">
        <f aca="false">IF((E270="t"),G270," ")</f>
        <v> </v>
      </c>
      <c r="R270" s="334" t="str">
        <f aca="false">IF((E270="a"),G270," ")</f>
        <v> </v>
      </c>
      <c r="S270" s="334" t="str">
        <f aca="false">IF((E270="l"),G270," ")</f>
        <v> </v>
      </c>
      <c r="T270" s="334" t="str">
        <f aca="false">IF((E270="b"),G270," ")</f>
        <v> </v>
      </c>
      <c r="U270" s="334" t="str">
        <f aca="false">IF((E270="i"),G270," ")</f>
        <v> </v>
      </c>
      <c r="V270" s="334" t="str">
        <f aca="false">IF((E270="o"),G270," ")</f>
        <v> </v>
      </c>
      <c r="W270" s="334" t="str">
        <f aca="false">IF((E270="f"),G270," ")</f>
        <v> </v>
      </c>
    </row>
    <row r="271" customFormat="false" ht="12.75" hidden="false" customHeight="false" outlineLevel="0" collapsed="false">
      <c r="A271" s="355"/>
      <c r="E271" s="365" t="str">
        <f aca="false">IF((G271&lt;&gt;0),"Enter Letter"," ")</f>
        <v> </v>
      </c>
      <c r="J271" s="334" t="str">
        <f aca="false">IF((E271="s"),G271," ")</f>
        <v> </v>
      </c>
      <c r="K271" s="334" t="str">
        <f aca="false">IF((E271="d"),G271," ")</f>
        <v> </v>
      </c>
      <c r="L271" s="334" t="str">
        <f aca="false">IF((E271="e"),G271," ")</f>
        <v> </v>
      </c>
      <c r="M271" s="334" t="str">
        <f aca="false">IF((E271="p"),G271," ")</f>
        <v> </v>
      </c>
      <c r="N271" s="334" t="str">
        <f aca="false">IF((E271="r"),G271," ")</f>
        <v> </v>
      </c>
      <c r="O271" s="334" t="str">
        <f aca="false">IF((E271="g"),G271," ")</f>
        <v> </v>
      </c>
      <c r="P271" s="334" t="str">
        <f aca="false">IF((E271="m"),G271," ")</f>
        <v> </v>
      </c>
      <c r="Q271" s="334" t="str">
        <f aca="false">IF((E271="t"),G271," ")</f>
        <v> </v>
      </c>
      <c r="R271" s="334" t="str">
        <f aca="false">IF((E271="a"),G271," ")</f>
        <v> </v>
      </c>
      <c r="S271" s="334" t="str">
        <f aca="false">IF((E271="l"),G271," ")</f>
        <v> </v>
      </c>
      <c r="T271" s="334" t="str">
        <f aca="false">IF((E271="b"),G271," ")</f>
        <v> </v>
      </c>
      <c r="U271" s="334" t="str">
        <f aca="false">IF((E271="i"),G271," ")</f>
        <v> </v>
      </c>
      <c r="V271" s="334" t="str">
        <f aca="false">IF((E271="o"),G271," ")</f>
        <v> </v>
      </c>
      <c r="W271" s="334" t="str">
        <f aca="false">IF((E271="f"),G271," ")</f>
        <v> </v>
      </c>
    </row>
    <row r="272" customFormat="false" ht="12.75" hidden="false" customHeight="false" outlineLevel="0" collapsed="false">
      <c r="A272" s="355"/>
      <c r="E272" s="365" t="str">
        <f aca="false">IF((G272&lt;&gt;0),"Enter Letter"," ")</f>
        <v> </v>
      </c>
      <c r="J272" s="334" t="str">
        <f aca="false">IF((E272="s"),G272," ")</f>
        <v> </v>
      </c>
      <c r="K272" s="334" t="str">
        <f aca="false">IF((E272="d"),G272," ")</f>
        <v> </v>
      </c>
      <c r="L272" s="334" t="str">
        <f aca="false">IF((E272="e"),G272," ")</f>
        <v> </v>
      </c>
      <c r="M272" s="334" t="str">
        <f aca="false">IF((E272="p"),G272," ")</f>
        <v> </v>
      </c>
      <c r="N272" s="334" t="str">
        <f aca="false">IF((E272="r"),G272," ")</f>
        <v> </v>
      </c>
      <c r="O272" s="334" t="str">
        <f aca="false">IF((E272="g"),G272," ")</f>
        <v> </v>
      </c>
      <c r="P272" s="334" t="str">
        <f aca="false">IF((E272="m"),G272," ")</f>
        <v> </v>
      </c>
      <c r="Q272" s="334" t="str">
        <f aca="false">IF((E272="t"),G272," ")</f>
        <v> </v>
      </c>
      <c r="R272" s="334" t="str">
        <f aca="false">IF((E272="a"),G272," ")</f>
        <v> </v>
      </c>
      <c r="S272" s="334" t="str">
        <f aca="false">IF((E272="l"),G272," ")</f>
        <v> </v>
      </c>
      <c r="T272" s="334" t="str">
        <f aca="false">IF((E272="b"),G272," ")</f>
        <v> </v>
      </c>
      <c r="U272" s="334" t="str">
        <f aca="false">IF((E272="i"),G272," ")</f>
        <v> </v>
      </c>
      <c r="V272" s="334" t="str">
        <f aca="false">IF((E272="o"),G272," ")</f>
        <v> </v>
      </c>
      <c r="W272" s="334" t="str">
        <f aca="false">IF((E272="f"),G272," ")</f>
        <v> </v>
      </c>
    </row>
    <row r="273" customFormat="false" ht="12.75" hidden="false" customHeight="false" outlineLevel="0" collapsed="false">
      <c r="A273" s="355"/>
      <c r="E273" s="365" t="str">
        <f aca="false">IF((G273&lt;&gt;0),"Enter Letter"," ")</f>
        <v> </v>
      </c>
      <c r="J273" s="334" t="str">
        <f aca="false">IF((E273="s"),G273," ")</f>
        <v> </v>
      </c>
      <c r="K273" s="334" t="str">
        <f aca="false">IF((E273="d"),G273," ")</f>
        <v> </v>
      </c>
      <c r="L273" s="334" t="str">
        <f aca="false">IF((E273="e"),G273," ")</f>
        <v> </v>
      </c>
      <c r="M273" s="334" t="str">
        <f aca="false">IF((E273="p"),G273," ")</f>
        <v> </v>
      </c>
      <c r="N273" s="334" t="str">
        <f aca="false">IF((E273="r"),G273," ")</f>
        <v> </v>
      </c>
      <c r="O273" s="334" t="str">
        <f aca="false">IF((E273="g"),G273," ")</f>
        <v> </v>
      </c>
      <c r="P273" s="334" t="str">
        <f aca="false">IF((E273="m"),G273," ")</f>
        <v> </v>
      </c>
      <c r="Q273" s="334" t="str">
        <f aca="false">IF((E273="t"),G273," ")</f>
        <v> </v>
      </c>
      <c r="R273" s="334" t="str">
        <f aca="false">IF((E273="a"),G273," ")</f>
        <v> </v>
      </c>
      <c r="S273" s="334" t="str">
        <f aca="false">IF((E273="l"),G273," ")</f>
        <v> </v>
      </c>
      <c r="T273" s="334" t="str">
        <f aca="false">IF((E273="b"),G273," ")</f>
        <v> </v>
      </c>
      <c r="U273" s="334" t="str">
        <f aca="false">IF((E273="i"),G273," ")</f>
        <v> </v>
      </c>
      <c r="V273" s="334" t="str">
        <f aca="false">IF((E273="o"),G273," ")</f>
        <v> </v>
      </c>
      <c r="W273" s="334" t="str">
        <f aca="false">IF((E273="f"),G273," ")</f>
        <v> </v>
      </c>
    </row>
    <row r="274" customFormat="false" ht="12.75" hidden="false" customHeight="false" outlineLevel="0" collapsed="false">
      <c r="A274" s="355"/>
      <c r="E274" s="365" t="str">
        <f aca="false">IF((G274&lt;&gt;0),"Enter Letter"," ")</f>
        <v> </v>
      </c>
      <c r="J274" s="334" t="str">
        <f aca="false">IF((E274="s"),G274," ")</f>
        <v> </v>
      </c>
      <c r="K274" s="334" t="str">
        <f aca="false">IF((E274="d"),G274," ")</f>
        <v> </v>
      </c>
      <c r="L274" s="334" t="str">
        <f aca="false">IF((E274="e"),G274," ")</f>
        <v> </v>
      </c>
      <c r="M274" s="334" t="str">
        <f aca="false">IF((E274="p"),G274," ")</f>
        <v> </v>
      </c>
      <c r="N274" s="334" t="str">
        <f aca="false">IF((E274="r"),G274," ")</f>
        <v> </v>
      </c>
      <c r="O274" s="334" t="str">
        <f aca="false">IF((E274="g"),G274," ")</f>
        <v> </v>
      </c>
      <c r="P274" s="334" t="str">
        <f aca="false">IF((E274="m"),G274," ")</f>
        <v> </v>
      </c>
      <c r="Q274" s="334" t="str">
        <f aca="false">IF((E274="t"),G274," ")</f>
        <v> </v>
      </c>
      <c r="R274" s="334" t="str">
        <f aca="false">IF((E274="a"),G274," ")</f>
        <v> </v>
      </c>
      <c r="S274" s="334" t="str">
        <f aca="false">IF((E274="l"),G274," ")</f>
        <v> </v>
      </c>
      <c r="T274" s="334" t="str">
        <f aca="false">IF((E274="b"),G274," ")</f>
        <v> </v>
      </c>
      <c r="U274" s="334" t="str">
        <f aca="false">IF((E274="i"),G274," ")</f>
        <v> </v>
      </c>
      <c r="V274" s="334" t="str">
        <f aca="false">IF((E274="o"),G274," ")</f>
        <v> </v>
      </c>
      <c r="W274" s="334" t="str">
        <f aca="false">IF((E274="f"),G274," ")</f>
        <v> </v>
      </c>
    </row>
    <row r="275" customFormat="false" ht="12.75" hidden="false" customHeight="false" outlineLevel="0" collapsed="false">
      <c r="A275" s="355"/>
      <c r="E275" s="365" t="str">
        <f aca="false">IF((G275&lt;&gt;0),"Enter Letter"," ")</f>
        <v> </v>
      </c>
      <c r="J275" s="334" t="str">
        <f aca="false">IF((E275="s"),G275," ")</f>
        <v> </v>
      </c>
      <c r="K275" s="334" t="str">
        <f aca="false">IF((E275="d"),G275," ")</f>
        <v> </v>
      </c>
      <c r="L275" s="334" t="str">
        <f aca="false">IF((E275="e"),G275," ")</f>
        <v> </v>
      </c>
      <c r="M275" s="334" t="str">
        <f aca="false">IF((E275="p"),G275," ")</f>
        <v> </v>
      </c>
      <c r="N275" s="334" t="str">
        <f aca="false">IF((E275="r"),G275," ")</f>
        <v> </v>
      </c>
      <c r="O275" s="334" t="str">
        <f aca="false">IF((E275="g"),G275," ")</f>
        <v> </v>
      </c>
      <c r="P275" s="334" t="str">
        <f aca="false">IF((E275="m"),G275," ")</f>
        <v> </v>
      </c>
      <c r="Q275" s="334" t="str">
        <f aca="false">IF((E275="t"),G275," ")</f>
        <v> </v>
      </c>
      <c r="R275" s="334" t="str">
        <f aca="false">IF((E275="a"),G275," ")</f>
        <v> </v>
      </c>
      <c r="S275" s="334" t="str">
        <f aca="false">IF((E275="l"),G275," ")</f>
        <v> </v>
      </c>
      <c r="T275" s="334" t="str">
        <f aca="false">IF((E275="b"),G275," ")</f>
        <v> </v>
      </c>
      <c r="U275" s="334" t="str">
        <f aca="false">IF((E275="i"),G275," ")</f>
        <v> </v>
      </c>
      <c r="V275" s="334" t="str">
        <f aca="false">IF((E275="o"),G275," ")</f>
        <v> </v>
      </c>
      <c r="W275" s="334" t="str">
        <f aca="false">IF((E275="f"),G275," ")</f>
        <v> </v>
      </c>
    </row>
    <row r="276" customFormat="false" ht="12.75" hidden="false" customHeight="false" outlineLevel="0" collapsed="false">
      <c r="A276" s="355"/>
      <c r="E276" s="365" t="str">
        <f aca="false">IF((G276&lt;&gt;0),"Enter Letter"," ")</f>
        <v> </v>
      </c>
      <c r="J276" s="334" t="str">
        <f aca="false">IF((E276="s"),G276," ")</f>
        <v> </v>
      </c>
      <c r="K276" s="334" t="str">
        <f aca="false">IF((E276="d"),G276," ")</f>
        <v> </v>
      </c>
      <c r="L276" s="334" t="str">
        <f aca="false">IF((E276="e"),G276," ")</f>
        <v> </v>
      </c>
      <c r="M276" s="334" t="str">
        <f aca="false">IF((E276="p"),G276," ")</f>
        <v> </v>
      </c>
      <c r="N276" s="334" t="str">
        <f aca="false">IF((E276="r"),G276," ")</f>
        <v> </v>
      </c>
      <c r="O276" s="334" t="str">
        <f aca="false">IF((E276="g"),G276," ")</f>
        <v> </v>
      </c>
      <c r="P276" s="334" t="str">
        <f aca="false">IF((E276="m"),G276," ")</f>
        <v> </v>
      </c>
      <c r="Q276" s="334" t="str">
        <f aca="false">IF((E276="t"),G276," ")</f>
        <v> </v>
      </c>
      <c r="R276" s="334" t="str">
        <f aca="false">IF((E276="a"),G276," ")</f>
        <v> </v>
      </c>
      <c r="S276" s="334" t="str">
        <f aca="false">IF((E276="l"),G276," ")</f>
        <v> </v>
      </c>
      <c r="T276" s="334" t="str">
        <f aca="false">IF((E276="b"),G276," ")</f>
        <v> </v>
      </c>
      <c r="U276" s="334" t="str">
        <f aca="false">IF((E276="i"),G276," ")</f>
        <v> </v>
      </c>
      <c r="V276" s="334" t="str">
        <f aca="false">IF((E276="o"),G276," ")</f>
        <v> </v>
      </c>
      <c r="W276" s="334" t="str">
        <f aca="false">IF((E276="f"),G276," ")</f>
        <v> </v>
      </c>
    </row>
    <row r="277" customFormat="false" ht="12.75" hidden="false" customHeight="false" outlineLevel="0" collapsed="false">
      <c r="A277" s="355"/>
      <c r="E277" s="365" t="str">
        <f aca="false">IF((G277&lt;&gt;0),"Enter Letter"," ")</f>
        <v> </v>
      </c>
      <c r="J277" s="334" t="str">
        <f aca="false">IF((E277="s"),G277," ")</f>
        <v> </v>
      </c>
      <c r="K277" s="334" t="str">
        <f aca="false">IF((E277="d"),G277," ")</f>
        <v> </v>
      </c>
      <c r="L277" s="334" t="str">
        <f aca="false">IF((E277="e"),G277," ")</f>
        <v> </v>
      </c>
      <c r="M277" s="334" t="str">
        <f aca="false">IF((E277="p"),G277," ")</f>
        <v> </v>
      </c>
      <c r="N277" s="334" t="str">
        <f aca="false">IF((E277="r"),G277," ")</f>
        <v> </v>
      </c>
      <c r="O277" s="334" t="str">
        <f aca="false">IF((E277="g"),G277," ")</f>
        <v> </v>
      </c>
      <c r="P277" s="334" t="str">
        <f aca="false">IF((E277="m"),G277," ")</f>
        <v> </v>
      </c>
      <c r="Q277" s="334" t="str">
        <f aca="false">IF((E277="t"),G277," ")</f>
        <v> </v>
      </c>
      <c r="R277" s="334" t="str">
        <f aca="false">IF((E277="a"),G277," ")</f>
        <v> </v>
      </c>
      <c r="S277" s="334" t="str">
        <f aca="false">IF((E277="l"),G277," ")</f>
        <v> </v>
      </c>
      <c r="T277" s="334" t="str">
        <f aca="false">IF((E277="b"),G277," ")</f>
        <v> </v>
      </c>
      <c r="U277" s="334" t="str">
        <f aca="false">IF((E277="i"),G277," ")</f>
        <v> </v>
      </c>
      <c r="V277" s="334" t="str">
        <f aca="false">IF((E277="o"),G277," ")</f>
        <v> </v>
      </c>
      <c r="W277" s="334" t="str">
        <f aca="false">IF((E277="f"),G277," ")</f>
        <v> </v>
      </c>
    </row>
    <row r="278" customFormat="false" ht="12.75" hidden="false" customHeight="false" outlineLevel="0" collapsed="false">
      <c r="A278" s="355"/>
      <c r="E278" s="365" t="str">
        <f aca="false">IF((G278&lt;&gt;0),"Enter Letter"," ")</f>
        <v> </v>
      </c>
      <c r="J278" s="334" t="str">
        <f aca="false">IF((E278="s"),G278," ")</f>
        <v> </v>
      </c>
      <c r="K278" s="334" t="str">
        <f aca="false">IF((E278="d"),G278," ")</f>
        <v> </v>
      </c>
      <c r="L278" s="334" t="str">
        <f aca="false">IF((E278="e"),G278," ")</f>
        <v> </v>
      </c>
      <c r="M278" s="334" t="str">
        <f aca="false">IF((E278="p"),G278," ")</f>
        <v> </v>
      </c>
      <c r="N278" s="334" t="str">
        <f aca="false">IF((E278="r"),G278," ")</f>
        <v> </v>
      </c>
      <c r="O278" s="334" t="str">
        <f aca="false">IF((E278="g"),G278," ")</f>
        <v> </v>
      </c>
      <c r="P278" s="334" t="str">
        <f aca="false">IF((E278="m"),G278," ")</f>
        <v> </v>
      </c>
      <c r="Q278" s="334" t="str">
        <f aca="false">IF((E278="t"),G278," ")</f>
        <v> </v>
      </c>
      <c r="R278" s="334" t="str">
        <f aca="false">IF((E278="a"),G278," ")</f>
        <v> </v>
      </c>
      <c r="S278" s="334" t="str">
        <f aca="false">IF((E278="l"),G278," ")</f>
        <v> </v>
      </c>
      <c r="T278" s="334" t="str">
        <f aca="false">IF((E278="b"),G278," ")</f>
        <v> </v>
      </c>
      <c r="U278" s="334" t="str">
        <f aca="false">IF((E278="i"),G278," ")</f>
        <v> </v>
      </c>
      <c r="V278" s="334" t="str">
        <f aca="false">IF((E278="o"),G278," ")</f>
        <v> </v>
      </c>
      <c r="W278" s="334" t="str">
        <f aca="false">IF((E278="f"),G278," ")</f>
        <v> </v>
      </c>
    </row>
    <row r="279" customFormat="false" ht="12.75" hidden="false" customHeight="false" outlineLevel="0" collapsed="false">
      <c r="A279" s="355"/>
      <c r="E279" s="365" t="str">
        <f aca="false">IF((G279&lt;&gt;0),"Enter Letter"," ")</f>
        <v> </v>
      </c>
      <c r="J279" s="334" t="str">
        <f aca="false">IF((E279="s"),G279," ")</f>
        <v> </v>
      </c>
      <c r="K279" s="334" t="str">
        <f aca="false">IF((E279="d"),G279," ")</f>
        <v> </v>
      </c>
      <c r="L279" s="334" t="str">
        <f aca="false">IF((E279="e"),G279," ")</f>
        <v> </v>
      </c>
      <c r="M279" s="334" t="str">
        <f aca="false">IF((E279="p"),G279," ")</f>
        <v> </v>
      </c>
      <c r="N279" s="334" t="str">
        <f aca="false">IF((E279="r"),G279," ")</f>
        <v> </v>
      </c>
      <c r="O279" s="334" t="str">
        <f aca="false">IF((E279="g"),G279," ")</f>
        <v> </v>
      </c>
      <c r="P279" s="334" t="str">
        <f aca="false">IF((E279="m"),G279," ")</f>
        <v> </v>
      </c>
      <c r="Q279" s="334" t="str">
        <f aca="false">IF((E279="t"),G279," ")</f>
        <v> </v>
      </c>
      <c r="R279" s="334" t="str">
        <f aca="false">IF((E279="a"),G279," ")</f>
        <v> </v>
      </c>
      <c r="S279" s="334" t="str">
        <f aca="false">IF((E279="l"),G279," ")</f>
        <v> </v>
      </c>
      <c r="T279" s="334" t="str">
        <f aca="false">IF((E279="b"),G279," ")</f>
        <v> </v>
      </c>
      <c r="U279" s="334" t="str">
        <f aca="false">IF((E279="i"),G279," ")</f>
        <v> </v>
      </c>
      <c r="V279" s="334" t="str">
        <f aca="false">IF((E279="o"),G279," ")</f>
        <v> </v>
      </c>
      <c r="W279" s="334" t="str">
        <f aca="false">IF((E279="f"),G279," ")</f>
        <v> </v>
      </c>
    </row>
    <row r="280" customFormat="false" ht="12.75" hidden="false" customHeight="false" outlineLevel="0" collapsed="false">
      <c r="A280" s="355"/>
      <c r="E280" s="365" t="str">
        <f aca="false">IF((G280&lt;&gt;0),"Enter Letter"," ")</f>
        <v> </v>
      </c>
      <c r="J280" s="334" t="str">
        <f aca="false">IF((E280="s"),G280," ")</f>
        <v> </v>
      </c>
      <c r="K280" s="334" t="str">
        <f aca="false">IF((E280="d"),G280," ")</f>
        <v> </v>
      </c>
      <c r="L280" s="334" t="str">
        <f aca="false">IF((E280="e"),G280," ")</f>
        <v> </v>
      </c>
      <c r="M280" s="334" t="str">
        <f aca="false">IF((E280="p"),G280," ")</f>
        <v> </v>
      </c>
      <c r="N280" s="334" t="str">
        <f aca="false">IF((E280="r"),G280," ")</f>
        <v> </v>
      </c>
      <c r="O280" s="334" t="str">
        <f aca="false">IF((E280="g"),G280," ")</f>
        <v> </v>
      </c>
      <c r="P280" s="334" t="str">
        <f aca="false">IF((E280="m"),G280," ")</f>
        <v> </v>
      </c>
      <c r="Q280" s="334" t="str">
        <f aca="false">IF((E280="t"),G280," ")</f>
        <v> </v>
      </c>
      <c r="R280" s="334" t="str">
        <f aca="false">IF((E280="a"),G280," ")</f>
        <v> </v>
      </c>
      <c r="S280" s="334" t="str">
        <f aca="false">IF((E280="l"),G280," ")</f>
        <v> </v>
      </c>
      <c r="T280" s="334" t="str">
        <f aca="false">IF((E280="b"),G280," ")</f>
        <v> </v>
      </c>
      <c r="U280" s="334" t="str">
        <f aca="false">IF((E280="i"),G280," ")</f>
        <v> </v>
      </c>
      <c r="V280" s="334" t="str">
        <f aca="false">IF((E280="o"),G280," ")</f>
        <v> </v>
      </c>
      <c r="W280" s="334" t="str">
        <f aca="false">IF((E280="f"),G280," ")</f>
        <v> </v>
      </c>
    </row>
    <row r="281" customFormat="false" ht="12.75" hidden="false" customHeight="false" outlineLevel="0" collapsed="false">
      <c r="A281" s="355"/>
      <c r="E281" s="365" t="str">
        <f aca="false">IF((G281&lt;&gt;0),"Enter Letter"," ")</f>
        <v> </v>
      </c>
      <c r="J281" s="334" t="str">
        <f aca="false">IF((E281="s"),G281," ")</f>
        <v> </v>
      </c>
      <c r="K281" s="334" t="str">
        <f aca="false">IF((E281="d"),G281," ")</f>
        <v> </v>
      </c>
      <c r="L281" s="334" t="str">
        <f aca="false">IF((E281="e"),G281," ")</f>
        <v> </v>
      </c>
      <c r="M281" s="334" t="str">
        <f aca="false">IF((E281="p"),G281," ")</f>
        <v> </v>
      </c>
      <c r="N281" s="334" t="str">
        <f aca="false">IF((E281="r"),G281," ")</f>
        <v> </v>
      </c>
      <c r="O281" s="334" t="str">
        <f aca="false">IF((E281="g"),G281," ")</f>
        <v> </v>
      </c>
      <c r="P281" s="334" t="str">
        <f aca="false">IF((E281="m"),G281," ")</f>
        <v> </v>
      </c>
      <c r="Q281" s="334" t="str">
        <f aca="false">IF((E281="t"),G281," ")</f>
        <v> </v>
      </c>
      <c r="R281" s="334" t="str">
        <f aca="false">IF((E281="a"),G281," ")</f>
        <v> </v>
      </c>
      <c r="S281" s="334" t="str">
        <f aca="false">IF((E281="l"),G281," ")</f>
        <v> </v>
      </c>
      <c r="T281" s="334" t="str">
        <f aca="false">IF((E281="b"),G281," ")</f>
        <v> </v>
      </c>
      <c r="U281" s="334" t="str">
        <f aca="false">IF((E281="i"),G281," ")</f>
        <v> </v>
      </c>
      <c r="V281" s="334" t="str">
        <f aca="false">IF((E281="o"),G281," ")</f>
        <v> </v>
      </c>
      <c r="W281" s="334" t="str">
        <f aca="false">IF((E281="f"),G281," ")</f>
        <v> </v>
      </c>
    </row>
    <row r="282" customFormat="false" ht="12.75" hidden="false" customHeight="false" outlineLevel="0" collapsed="false">
      <c r="A282" s="355"/>
      <c r="E282" s="365" t="str">
        <f aca="false">IF((G282&lt;&gt;0),"Enter Letter"," ")</f>
        <v> </v>
      </c>
      <c r="J282" s="334" t="str">
        <f aca="false">IF((E282="s"),G282," ")</f>
        <v> </v>
      </c>
      <c r="K282" s="334" t="str">
        <f aca="false">IF((E282="d"),G282," ")</f>
        <v> </v>
      </c>
      <c r="L282" s="334" t="str">
        <f aca="false">IF((E282="e"),G282," ")</f>
        <v> </v>
      </c>
      <c r="M282" s="334" t="str">
        <f aca="false">IF((E282="p"),G282," ")</f>
        <v> </v>
      </c>
      <c r="N282" s="334" t="str">
        <f aca="false">IF((E282="r"),G282," ")</f>
        <v> </v>
      </c>
      <c r="O282" s="334" t="str">
        <f aca="false">IF((E282="g"),G282," ")</f>
        <v> </v>
      </c>
      <c r="P282" s="334" t="str">
        <f aca="false">IF((E282="m"),G282," ")</f>
        <v> </v>
      </c>
      <c r="Q282" s="334" t="str">
        <f aca="false">IF((E282="t"),G282," ")</f>
        <v> </v>
      </c>
      <c r="R282" s="334" t="str">
        <f aca="false">IF((E282="a"),G282," ")</f>
        <v> </v>
      </c>
      <c r="S282" s="334" t="str">
        <f aca="false">IF((E282="l"),G282," ")</f>
        <v> </v>
      </c>
      <c r="T282" s="334" t="str">
        <f aca="false">IF((E282="b"),G282," ")</f>
        <v> </v>
      </c>
      <c r="U282" s="334" t="str">
        <f aca="false">IF((E282="i"),G282," ")</f>
        <v> </v>
      </c>
      <c r="V282" s="334" t="str">
        <f aca="false">IF((E282="o"),G282," ")</f>
        <v> </v>
      </c>
      <c r="W282" s="334" t="str">
        <f aca="false">IF((E282="f"),G282," ")</f>
        <v> </v>
      </c>
    </row>
    <row r="283" customFormat="false" ht="12.75" hidden="false" customHeight="false" outlineLevel="0" collapsed="false">
      <c r="A283" s="355"/>
      <c r="E283" s="365" t="str">
        <f aca="false">IF((G283&lt;&gt;0),"Enter Letter"," ")</f>
        <v> </v>
      </c>
      <c r="J283" s="334" t="str">
        <f aca="false">IF((E283="s"),G283," ")</f>
        <v> </v>
      </c>
      <c r="K283" s="334" t="str">
        <f aca="false">IF((E283="d"),G283," ")</f>
        <v> </v>
      </c>
      <c r="L283" s="334" t="str">
        <f aca="false">IF((E283="e"),G283," ")</f>
        <v> </v>
      </c>
      <c r="M283" s="334" t="str">
        <f aca="false">IF((E283="p"),G283," ")</f>
        <v> </v>
      </c>
      <c r="N283" s="334" t="str">
        <f aca="false">IF((E283="r"),G283," ")</f>
        <v> </v>
      </c>
      <c r="O283" s="334" t="str">
        <f aca="false">IF((E283="g"),G283," ")</f>
        <v> </v>
      </c>
      <c r="P283" s="334" t="str">
        <f aca="false">IF((E283="m"),G283," ")</f>
        <v> </v>
      </c>
      <c r="Q283" s="334" t="str">
        <f aca="false">IF((E283="t"),G283," ")</f>
        <v> </v>
      </c>
      <c r="R283" s="334" t="str">
        <f aca="false">IF((E283="a"),G283," ")</f>
        <v> </v>
      </c>
      <c r="S283" s="334" t="str">
        <f aca="false">IF((E283="l"),G283," ")</f>
        <v> </v>
      </c>
      <c r="T283" s="334" t="str">
        <f aca="false">IF((E283="b"),G283," ")</f>
        <v> </v>
      </c>
      <c r="U283" s="334" t="str">
        <f aca="false">IF((E283="i"),G283," ")</f>
        <v> </v>
      </c>
      <c r="V283" s="334" t="str">
        <f aca="false">IF((E283="o"),G283," ")</f>
        <v> </v>
      </c>
      <c r="W283" s="334" t="str">
        <f aca="false">IF((E283="f"),G283," ")</f>
        <v> </v>
      </c>
    </row>
    <row r="284" customFormat="false" ht="12.75" hidden="false" customHeight="false" outlineLevel="0" collapsed="false">
      <c r="A284" s="355"/>
      <c r="E284" s="365" t="str">
        <f aca="false">IF((G284&lt;&gt;0),"Enter Letter"," ")</f>
        <v> </v>
      </c>
      <c r="J284" s="334" t="str">
        <f aca="false">IF((E284="s"),G284," ")</f>
        <v> </v>
      </c>
      <c r="K284" s="334" t="str">
        <f aca="false">IF((E284="d"),G284," ")</f>
        <v> </v>
      </c>
      <c r="L284" s="334" t="str">
        <f aca="false">IF((E284="e"),G284," ")</f>
        <v> </v>
      </c>
      <c r="M284" s="334" t="str">
        <f aca="false">IF((E284="p"),G284," ")</f>
        <v> </v>
      </c>
      <c r="N284" s="334" t="str">
        <f aca="false">IF((E284="r"),G284," ")</f>
        <v> </v>
      </c>
      <c r="O284" s="334" t="str">
        <f aca="false">IF((E284="g"),G284," ")</f>
        <v> </v>
      </c>
      <c r="P284" s="334" t="str">
        <f aca="false">IF((E284="m"),G284," ")</f>
        <v> </v>
      </c>
      <c r="Q284" s="334" t="str">
        <f aca="false">IF((E284="t"),G284," ")</f>
        <v> </v>
      </c>
      <c r="R284" s="334" t="str">
        <f aca="false">IF((E284="a"),G284," ")</f>
        <v> </v>
      </c>
      <c r="S284" s="334" t="str">
        <f aca="false">IF((E284="l"),G284," ")</f>
        <v> </v>
      </c>
      <c r="T284" s="334" t="str">
        <f aca="false">IF((E284="b"),G284," ")</f>
        <v> </v>
      </c>
      <c r="U284" s="334" t="str">
        <f aca="false">IF((E284="i"),G284," ")</f>
        <v> </v>
      </c>
      <c r="V284" s="334" t="str">
        <f aca="false">IF((E284="o"),G284," ")</f>
        <v> </v>
      </c>
      <c r="W284" s="334" t="str">
        <f aca="false">IF((E284="f"),G284," ")</f>
        <v> </v>
      </c>
    </row>
    <row r="285" customFormat="false" ht="12.75" hidden="false" customHeight="false" outlineLevel="0" collapsed="false">
      <c r="A285" s="355"/>
      <c r="E285" s="365" t="str">
        <f aca="false">IF((G285&lt;&gt;0),"Enter Letter"," ")</f>
        <v> </v>
      </c>
      <c r="J285" s="334" t="str">
        <f aca="false">IF((E285="s"),G285," ")</f>
        <v> </v>
      </c>
      <c r="K285" s="334" t="str">
        <f aca="false">IF((E285="d"),G285," ")</f>
        <v> </v>
      </c>
      <c r="L285" s="334" t="str">
        <f aca="false">IF((E285="e"),G285," ")</f>
        <v> </v>
      </c>
      <c r="M285" s="334" t="str">
        <f aca="false">IF((E285="p"),G285," ")</f>
        <v> </v>
      </c>
      <c r="N285" s="334" t="str">
        <f aca="false">IF((E285="r"),G285," ")</f>
        <v> </v>
      </c>
      <c r="O285" s="334" t="str">
        <f aca="false">IF((E285="g"),G285," ")</f>
        <v> </v>
      </c>
      <c r="P285" s="334" t="str">
        <f aca="false">IF((E285="m"),G285," ")</f>
        <v> </v>
      </c>
      <c r="Q285" s="334" t="str">
        <f aca="false">IF((E285="t"),G285," ")</f>
        <v> </v>
      </c>
      <c r="R285" s="334" t="str">
        <f aca="false">IF((E285="a"),G285," ")</f>
        <v> </v>
      </c>
      <c r="S285" s="334" t="str">
        <f aca="false">IF((E285="l"),G285," ")</f>
        <v> </v>
      </c>
      <c r="T285" s="334" t="str">
        <f aca="false">IF((E285="b"),G285," ")</f>
        <v> </v>
      </c>
      <c r="U285" s="334" t="str">
        <f aca="false">IF((E285="i"),G285," ")</f>
        <v> </v>
      </c>
      <c r="V285" s="334" t="str">
        <f aca="false">IF((E285="o"),G285," ")</f>
        <v> </v>
      </c>
      <c r="W285" s="334" t="str">
        <f aca="false">IF((E285="f"),G285," ")</f>
        <v> </v>
      </c>
    </row>
    <row r="286" customFormat="false" ht="12.75" hidden="false" customHeight="false" outlineLevel="0" collapsed="false">
      <c r="A286" s="355"/>
      <c r="E286" s="365" t="str">
        <f aca="false">IF((G286&lt;&gt;0),"Enter Letter"," ")</f>
        <v> </v>
      </c>
      <c r="J286" s="334" t="str">
        <f aca="false">IF((E286="s"),G286," ")</f>
        <v> </v>
      </c>
      <c r="K286" s="334" t="str">
        <f aca="false">IF((E286="d"),G286," ")</f>
        <v> </v>
      </c>
      <c r="L286" s="334" t="str">
        <f aca="false">IF((E286="e"),G286," ")</f>
        <v> </v>
      </c>
      <c r="M286" s="334" t="str">
        <f aca="false">IF((E286="p"),G286," ")</f>
        <v> </v>
      </c>
      <c r="N286" s="334" t="str">
        <f aca="false">IF((E286="r"),G286," ")</f>
        <v> </v>
      </c>
      <c r="O286" s="334" t="str">
        <f aca="false">IF((E286="g"),G286," ")</f>
        <v> </v>
      </c>
      <c r="P286" s="334" t="str">
        <f aca="false">IF((E286="m"),G286," ")</f>
        <v> </v>
      </c>
      <c r="Q286" s="334" t="str">
        <f aca="false">IF((E286="t"),G286," ")</f>
        <v> </v>
      </c>
      <c r="R286" s="334" t="str">
        <f aca="false">IF((E286="a"),G286," ")</f>
        <v> </v>
      </c>
      <c r="S286" s="334" t="str">
        <f aca="false">IF((E286="l"),G286," ")</f>
        <v> </v>
      </c>
      <c r="T286" s="334" t="str">
        <f aca="false">IF((E286="b"),G286," ")</f>
        <v> </v>
      </c>
      <c r="U286" s="334" t="str">
        <f aca="false">IF((E286="i"),G286," ")</f>
        <v> </v>
      </c>
      <c r="V286" s="334" t="str">
        <f aca="false">IF((E286="o"),G286," ")</f>
        <v> </v>
      </c>
      <c r="W286" s="334" t="str">
        <f aca="false">IF((E286="f"),G286," ")</f>
        <v> </v>
      </c>
    </row>
    <row r="287" customFormat="false" ht="12.75" hidden="false" customHeight="false" outlineLevel="0" collapsed="false">
      <c r="A287" s="355"/>
      <c r="E287" s="365" t="str">
        <f aca="false">IF((G287&lt;&gt;0),"Enter Letter"," ")</f>
        <v> </v>
      </c>
      <c r="J287" s="334" t="str">
        <f aca="false">IF((E287="s"),G287," ")</f>
        <v> </v>
      </c>
      <c r="K287" s="334" t="str">
        <f aca="false">IF((E287="d"),G287," ")</f>
        <v> </v>
      </c>
      <c r="L287" s="334" t="str">
        <f aca="false">IF((E287="e"),G287," ")</f>
        <v> </v>
      </c>
      <c r="M287" s="334" t="str">
        <f aca="false">IF((E287="p"),G287," ")</f>
        <v> </v>
      </c>
      <c r="N287" s="334" t="str">
        <f aca="false">IF((E287="r"),G287," ")</f>
        <v> </v>
      </c>
      <c r="O287" s="334" t="str">
        <f aca="false">IF((E287="g"),G287," ")</f>
        <v> </v>
      </c>
      <c r="P287" s="334" t="str">
        <f aca="false">IF((E287="m"),G287," ")</f>
        <v> </v>
      </c>
      <c r="Q287" s="334" t="str">
        <f aca="false">IF((E287="t"),G287," ")</f>
        <v> </v>
      </c>
      <c r="R287" s="334" t="str">
        <f aca="false">IF((E287="a"),G287," ")</f>
        <v> </v>
      </c>
      <c r="S287" s="334" t="str">
        <f aca="false">IF((E287="l"),G287," ")</f>
        <v> </v>
      </c>
      <c r="T287" s="334" t="str">
        <f aca="false">IF((E287="b"),G287," ")</f>
        <v> </v>
      </c>
      <c r="U287" s="334" t="str">
        <f aca="false">IF((E287="i"),G287," ")</f>
        <v> </v>
      </c>
      <c r="V287" s="334" t="str">
        <f aca="false">IF((E287="o"),G287," ")</f>
        <v> </v>
      </c>
      <c r="W287" s="334" t="str">
        <f aca="false">IF((E287="f"),G287," ")</f>
        <v> </v>
      </c>
    </row>
    <row r="288" customFormat="false" ht="12.75" hidden="false" customHeight="false" outlineLevel="0" collapsed="false">
      <c r="A288" s="355"/>
      <c r="E288" s="365" t="str">
        <f aca="false">IF((G288&lt;&gt;0),"Enter Letter"," ")</f>
        <v> </v>
      </c>
      <c r="J288" s="334" t="str">
        <f aca="false">IF((E288="s"),G288," ")</f>
        <v> </v>
      </c>
      <c r="K288" s="334" t="str">
        <f aca="false">IF((E288="d"),G288," ")</f>
        <v> </v>
      </c>
      <c r="L288" s="334" t="str">
        <f aca="false">IF((E288="e"),G288," ")</f>
        <v> </v>
      </c>
      <c r="M288" s="334" t="str">
        <f aca="false">IF((E288="p"),G288," ")</f>
        <v> </v>
      </c>
      <c r="N288" s="334" t="str">
        <f aca="false">IF((E288="r"),G288," ")</f>
        <v> </v>
      </c>
      <c r="O288" s="334" t="str">
        <f aca="false">IF((E288="g"),G288," ")</f>
        <v> </v>
      </c>
      <c r="P288" s="334" t="str">
        <f aca="false">IF((E288="m"),G288," ")</f>
        <v> </v>
      </c>
      <c r="Q288" s="334" t="str">
        <f aca="false">IF((E288="t"),G288," ")</f>
        <v> </v>
      </c>
      <c r="R288" s="334" t="str">
        <f aca="false">IF((E288="a"),G288," ")</f>
        <v> </v>
      </c>
      <c r="S288" s="334" t="str">
        <f aca="false">IF((E288="l"),G288," ")</f>
        <v> </v>
      </c>
      <c r="T288" s="334" t="str">
        <f aca="false">IF((E288="b"),G288," ")</f>
        <v> </v>
      </c>
      <c r="U288" s="334" t="str">
        <f aca="false">IF((E288="i"),G288," ")</f>
        <v> </v>
      </c>
      <c r="V288" s="334" t="str">
        <f aca="false">IF((E288="o"),G288," ")</f>
        <v> </v>
      </c>
      <c r="W288" s="334" t="str">
        <f aca="false">IF((E288="f"),G288," ")</f>
        <v> </v>
      </c>
    </row>
    <row r="289" customFormat="false" ht="12.75" hidden="false" customHeight="false" outlineLevel="0" collapsed="false">
      <c r="A289" s="355"/>
      <c r="E289" s="365" t="str">
        <f aca="false">IF((G289&lt;&gt;0),"Enter Letter"," ")</f>
        <v> </v>
      </c>
      <c r="J289" s="334" t="str">
        <f aca="false">IF((E289="s"),G289," ")</f>
        <v> </v>
      </c>
      <c r="K289" s="334" t="str">
        <f aca="false">IF((E289="d"),G289," ")</f>
        <v> </v>
      </c>
      <c r="L289" s="334" t="str">
        <f aca="false">IF((E289="e"),G289," ")</f>
        <v> </v>
      </c>
      <c r="M289" s="334" t="str">
        <f aca="false">IF((E289="p"),G289," ")</f>
        <v> </v>
      </c>
      <c r="N289" s="334" t="str">
        <f aca="false">IF((E289="r"),G289," ")</f>
        <v> </v>
      </c>
      <c r="O289" s="334" t="str">
        <f aca="false">IF((E289="g"),G289," ")</f>
        <v> </v>
      </c>
      <c r="P289" s="334" t="str">
        <f aca="false">IF((E289="m"),G289," ")</f>
        <v> </v>
      </c>
      <c r="Q289" s="334" t="str">
        <f aca="false">IF((E289="t"),G289," ")</f>
        <v> </v>
      </c>
      <c r="R289" s="334" t="str">
        <f aca="false">IF((E289="a"),G289," ")</f>
        <v> </v>
      </c>
      <c r="S289" s="334" t="str">
        <f aca="false">IF((E289="l"),G289," ")</f>
        <v> </v>
      </c>
      <c r="T289" s="334" t="str">
        <f aca="false">IF((E289="b"),G289," ")</f>
        <v> </v>
      </c>
      <c r="U289" s="334" t="str">
        <f aca="false">IF((E289="i"),G289," ")</f>
        <v> </v>
      </c>
      <c r="V289" s="334" t="str">
        <f aca="false">IF((E289="o"),G289," ")</f>
        <v> </v>
      </c>
      <c r="W289" s="334" t="str">
        <f aca="false">IF((E289="f"),G289," ")</f>
        <v> </v>
      </c>
    </row>
    <row r="290" customFormat="false" ht="12.75" hidden="false" customHeight="false" outlineLevel="0" collapsed="false">
      <c r="A290" s="355"/>
      <c r="E290" s="365" t="str">
        <f aca="false">IF((G290&lt;&gt;0),"Enter Letter"," ")</f>
        <v> </v>
      </c>
      <c r="J290" s="334" t="str">
        <f aca="false">IF((E290="s"),G290," ")</f>
        <v> </v>
      </c>
      <c r="K290" s="334" t="str">
        <f aca="false">IF((E290="d"),G290," ")</f>
        <v> </v>
      </c>
      <c r="L290" s="334" t="str">
        <f aca="false">IF((E290="e"),G290," ")</f>
        <v> </v>
      </c>
      <c r="M290" s="334" t="str">
        <f aca="false">IF((E290="p"),G290," ")</f>
        <v> </v>
      </c>
      <c r="N290" s="334" t="str">
        <f aca="false">IF((E290="r"),G290," ")</f>
        <v> </v>
      </c>
      <c r="O290" s="334" t="str">
        <f aca="false">IF((E290="g"),G290," ")</f>
        <v> </v>
      </c>
      <c r="P290" s="334" t="str">
        <f aca="false">IF((E290="m"),G290," ")</f>
        <v> </v>
      </c>
      <c r="Q290" s="334" t="str">
        <f aca="false">IF((E290="t"),G290," ")</f>
        <v> </v>
      </c>
      <c r="R290" s="334" t="str">
        <f aca="false">IF((E290="a"),G290," ")</f>
        <v> </v>
      </c>
      <c r="S290" s="334" t="str">
        <f aca="false">IF((E290="l"),G290," ")</f>
        <v> </v>
      </c>
      <c r="T290" s="334" t="str">
        <f aca="false">IF((E290="b"),G290," ")</f>
        <v> </v>
      </c>
      <c r="U290" s="334" t="str">
        <f aca="false">IF((E290="i"),G290," ")</f>
        <v> </v>
      </c>
      <c r="V290" s="334" t="str">
        <f aca="false">IF((E290="o"),G290," ")</f>
        <v> </v>
      </c>
      <c r="W290" s="334" t="str">
        <f aca="false">IF((E290="f"),G290," ")</f>
        <v> </v>
      </c>
    </row>
    <row r="291" customFormat="false" ht="12.75" hidden="false" customHeight="false" outlineLevel="0" collapsed="false">
      <c r="A291" s="355"/>
      <c r="E291" s="365" t="str">
        <f aca="false">IF((G291&lt;&gt;0),"Enter Letter"," ")</f>
        <v> </v>
      </c>
      <c r="J291" s="334" t="str">
        <f aca="false">IF((E291="s"),G291," ")</f>
        <v> </v>
      </c>
      <c r="K291" s="334" t="str">
        <f aca="false">IF((E291="d"),G291," ")</f>
        <v> </v>
      </c>
      <c r="L291" s="334" t="str">
        <f aca="false">IF((E291="e"),G291," ")</f>
        <v> </v>
      </c>
      <c r="M291" s="334" t="str">
        <f aca="false">IF((E291="p"),G291," ")</f>
        <v> </v>
      </c>
      <c r="N291" s="334" t="str">
        <f aca="false">IF((E291="r"),G291," ")</f>
        <v> </v>
      </c>
      <c r="O291" s="334" t="str">
        <f aca="false">IF((E291="g"),G291," ")</f>
        <v> </v>
      </c>
      <c r="P291" s="334" t="str">
        <f aca="false">IF((E291="m"),G291," ")</f>
        <v> </v>
      </c>
      <c r="Q291" s="334" t="str">
        <f aca="false">IF((E291="t"),G291," ")</f>
        <v> </v>
      </c>
      <c r="R291" s="334" t="str">
        <f aca="false">IF((E291="a"),G291," ")</f>
        <v> </v>
      </c>
      <c r="S291" s="334" t="str">
        <f aca="false">IF((E291="l"),G291," ")</f>
        <v> </v>
      </c>
      <c r="T291" s="334" t="str">
        <f aca="false">IF((E291="b"),G291," ")</f>
        <v> </v>
      </c>
      <c r="U291" s="334" t="str">
        <f aca="false">IF((E291="i"),G291," ")</f>
        <v> </v>
      </c>
      <c r="V291" s="334" t="str">
        <f aca="false">IF((E291="o"),G291," ")</f>
        <v> </v>
      </c>
      <c r="W291" s="334" t="str">
        <f aca="false">IF((E291="f"),G291," ")</f>
        <v> </v>
      </c>
    </row>
    <row r="292" customFormat="false" ht="12.75" hidden="false" customHeight="false" outlineLevel="0" collapsed="false">
      <c r="A292" s="355"/>
      <c r="E292" s="365" t="str">
        <f aca="false">IF((G292&lt;&gt;0),"Enter Letter"," ")</f>
        <v> </v>
      </c>
      <c r="J292" s="334" t="str">
        <f aca="false">IF((E292="s"),G292," ")</f>
        <v> </v>
      </c>
      <c r="K292" s="334" t="str">
        <f aca="false">IF((E292="d"),G292," ")</f>
        <v> </v>
      </c>
      <c r="L292" s="334" t="str">
        <f aca="false">IF((E292="e"),G292," ")</f>
        <v> </v>
      </c>
      <c r="M292" s="334" t="str">
        <f aca="false">IF((E292="p"),G292," ")</f>
        <v> </v>
      </c>
      <c r="N292" s="334" t="str">
        <f aca="false">IF((E292="r"),G292," ")</f>
        <v> </v>
      </c>
      <c r="O292" s="334" t="str">
        <f aca="false">IF((E292="g"),G292," ")</f>
        <v> </v>
      </c>
      <c r="P292" s="334" t="str">
        <f aca="false">IF((E292="m"),G292," ")</f>
        <v> </v>
      </c>
      <c r="Q292" s="334" t="str">
        <f aca="false">IF((E292="t"),G292," ")</f>
        <v> </v>
      </c>
      <c r="R292" s="334" t="str">
        <f aca="false">IF((E292="a"),G292," ")</f>
        <v> </v>
      </c>
      <c r="S292" s="334" t="str">
        <f aca="false">IF((E292="l"),G292," ")</f>
        <v> </v>
      </c>
      <c r="T292" s="334" t="str">
        <f aca="false">IF((E292="b"),G292," ")</f>
        <v> </v>
      </c>
      <c r="U292" s="334" t="str">
        <f aca="false">IF((E292="i"),G292," ")</f>
        <v> </v>
      </c>
      <c r="V292" s="334" t="str">
        <f aca="false">IF((E292="o"),G292," ")</f>
        <v> </v>
      </c>
      <c r="W292" s="334" t="str">
        <f aca="false">IF((E292="f"),G292," ")</f>
        <v> </v>
      </c>
    </row>
    <row r="293" customFormat="false" ht="12.75" hidden="false" customHeight="false" outlineLevel="0" collapsed="false">
      <c r="A293" s="355"/>
      <c r="E293" s="365" t="str">
        <f aca="false">IF((G293&lt;&gt;0),"Enter Letter"," ")</f>
        <v> </v>
      </c>
      <c r="J293" s="334" t="str">
        <f aca="false">IF((E293="s"),G293," ")</f>
        <v> </v>
      </c>
      <c r="K293" s="334" t="str">
        <f aca="false">IF((E293="d"),G293," ")</f>
        <v> </v>
      </c>
      <c r="L293" s="334" t="str">
        <f aca="false">IF((E293="e"),G293," ")</f>
        <v> </v>
      </c>
      <c r="M293" s="334" t="str">
        <f aca="false">IF((E293="p"),G293," ")</f>
        <v> </v>
      </c>
      <c r="N293" s="334" t="str">
        <f aca="false">IF((E293="r"),G293," ")</f>
        <v> </v>
      </c>
      <c r="O293" s="334" t="str">
        <f aca="false">IF((E293="g"),G293," ")</f>
        <v> </v>
      </c>
      <c r="P293" s="334" t="str">
        <f aca="false">IF((E293="m"),G293," ")</f>
        <v> </v>
      </c>
      <c r="Q293" s="334" t="str">
        <f aca="false">IF((E293="t"),G293," ")</f>
        <v> </v>
      </c>
      <c r="R293" s="334" t="str">
        <f aca="false">IF((E293="a"),G293," ")</f>
        <v> </v>
      </c>
      <c r="S293" s="334" t="str">
        <f aca="false">IF((E293="l"),G293," ")</f>
        <v> </v>
      </c>
      <c r="T293" s="334" t="str">
        <f aca="false">IF((E293="b"),G293," ")</f>
        <v> </v>
      </c>
      <c r="U293" s="334" t="str">
        <f aca="false">IF((E293="i"),G293," ")</f>
        <v> </v>
      </c>
      <c r="V293" s="334" t="str">
        <f aca="false">IF((E293="o"),G293," ")</f>
        <v> </v>
      </c>
      <c r="W293" s="334" t="str">
        <f aca="false">IF((E293="f"),G293," ")</f>
        <v> </v>
      </c>
    </row>
    <row r="294" customFormat="false" ht="12.75" hidden="false" customHeight="false" outlineLevel="0" collapsed="false">
      <c r="A294" s="355"/>
      <c r="E294" s="365" t="str">
        <f aca="false">IF((G294&lt;&gt;0),"Enter Letter"," ")</f>
        <v> </v>
      </c>
      <c r="J294" s="334" t="str">
        <f aca="false">IF((E294="s"),G294," ")</f>
        <v> </v>
      </c>
      <c r="K294" s="334" t="str">
        <f aca="false">IF((E294="d"),G294," ")</f>
        <v> </v>
      </c>
      <c r="L294" s="334" t="str">
        <f aca="false">IF((E294="e"),G294," ")</f>
        <v> </v>
      </c>
      <c r="M294" s="334" t="str">
        <f aca="false">IF((E294="p"),G294," ")</f>
        <v> </v>
      </c>
      <c r="N294" s="334" t="str">
        <f aca="false">IF((E294="r"),G294," ")</f>
        <v> </v>
      </c>
      <c r="O294" s="334" t="str">
        <f aca="false">IF((E294="g"),G294," ")</f>
        <v> </v>
      </c>
      <c r="P294" s="334" t="str">
        <f aca="false">IF((E294="m"),G294," ")</f>
        <v> </v>
      </c>
      <c r="Q294" s="334" t="str">
        <f aca="false">IF((E294="t"),G294," ")</f>
        <v> </v>
      </c>
      <c r="R294" s="334" t="str">
        <f aca="false">IF((E294="a"),G294," ")</f>
        <v> </v>
      </c>
      <c r="S294" s="334" t="str">
        <f aca="false">IF((E294="l"),G294," ")</f>
        <v> </v>
      </c>
      <c r="T294" s="334" t="str">
        <f aca="false">IF((E294="b"),G294," ")</f>
        <v> </v>
      </c>
      <c r="U294" s="334" t="str">
        <f aca="false">IF((E294="i"),G294," ")</f>
        <v> </v>
      </c>
      <c r="V294" s="334" t="str">
        <f aca="false">IF((E294="o"),G294," ")</f>
        <v> </v>
      </c>
      <c r="W294" s="334" t="str">
        <f aca="false">IF((E294="f"),G294," ")</f>
        <v> </v>
      </c>
    </row>
    <row r="295" customFormat="false" ht="12.75" hidden="false" customHeight="false" outlineLevel="0" collapsed="false">
      <c r="A295" s="355"/>
      <c r="E295" s="365" t="str">
        <f aca="false">IF((G295&lt;&gt;0),"Enter Letter"," ")</f>
        <v> </v>
      </c>
      <c r="J295" s="334" t="str">
        <f aca="false">IF((E295="s"),G295," ")</f>
        <v> </v>
      </c>
      <c r="K295" s="334" t="str">
        <f aca="false">IF((E295="d"),G295," ")</f>
        <v> </v>
      </c>
      <c r="L295" s="334" t="str">
        <f aca="false">IF((E295="e"),G295," ")</f>
        <v> </v>
      </c>
      <c r="M295" s="334" t="str">
        <f aca="false">IF((E295="p"),G295," ")</f>
        <v> </v>
      </c>
      <c r="N295" s="334" t="str">
        <f aca="false">IF((E295="r"),G295," ")</f>
        <v> </v>
      </c>
      <c r="O295" s="334" t="str">
        <f aca="false">IF((E295="g"),G295," ")</f>
        <v> </v>
      </c>
      <c r="P295" s="334" t="str">
        <f aca="false">IF((E295="m"),G295," ")</f>
        <v> </v>
      </c>
      <c r="Q295" s="334" t="str">
        <f aca="false">IF((E295="t"),G295," ")</f>
        <v> </v>
      </c>
      <c r="R295" s="334" t="str">
        <f aca="false">IF((E295="a"),G295," ")</f>
        <v> </v>
      </c>
      <c r="S295" s="334" t="str">
        <f aca="false">IF((E295="l"),G295," ")</f>
        <v> </v>
      </c>
      <c r="T295" s="334" t="str">
        <f aca="false">IF((E295="b"),G295," ")</f>
        <v> </v>
      </c>
      <c r="U295" s="334" t="str">
        <f aca="false">IF((E295="i"),G295," ")</f>
        <v> </v>
      </c>
      <c r="V295" s="334" t="str">
        <f aca="false">IF((E295="o"),G295," ")</f>
        <v> </v>
      </c>
      <c r="W295" s="334" t="str">
        <f aca="false">IF((E295="f"),G295," ")</f>
        <v> </v>
      </c>
    </row>
    <row r="296" customFormat="false" ht="12.75" hidden="false" customHeight="false" outlineLevel="0" collapsed="false">
      <c r="A296" s="355"/>
      <c r="E296" s="365" t="str">
        <f aca="false">IF((G296&lt;&gt;0),"Enter Letter"," ")</f>
        <v> </v>
      </c>
      <c r="J296" s="334" t="str">
        <f aca="false">IF((E296="s"),G296," ")</f>
        <v> </v>
      </c>
      <c r="K296" s="334" t="str">
        <f aca="false">IF((E296="d"),G296," ")</f>
        <v> </v>
      </c>
      <c r="L296" s="334" t="str">
        <f aca="false">IF((E296="e"),G296," ")</f>
        <v> </v>
      </c>
      <c r="M296" s="334" t="str">
        <f aca="false">IF((E296="p"),G296," ")</f>
        <v> </v>
      </c>
      <c r="N296" s="334" t="str">
        <f aca="false">IF((E296="r"),G296," ")</f>
        <v> </v>
      </c>
      <c r="O296" s="334" t="str">
        <f aca="false">IF((E296="g"),G296," ")</f>
        <v> </v>
      </c>
      <c r="P296" s="334" t="str">
        <f aca="false">IF((E296="m"),G296," ")</f>
        <v> </v>
      </c>
      <c r="Q296" s="334" t="str">
        <f aca="false">IF((E296="t"),G296," ")</f>
        <v> </v>
      </c>
      <c r="R296" s="334" t="str">
        <f aca="false">IF((E296="a"),G296," ")</f>
        <v> </v>
      </c>
      <c r="S296" s="334" t="str">
        <f aca="false">IF((E296="l"),G296," ")</f>
        <v> </v>
      </c>
      <c r="T296" s="334" t="str">
        <f aca="false">IF((E296="b"),G296," ")</f>
        <v> </v>
      </c>
      <c r="U296" s="334" t="str">
        <f aca="false">IF((E296="i"),G296," ")</f>
        <v> </v>
      </c>
      <c r="V296" s="334" t="str">
        <f aca="false">IF((E296="o"),G296," ")</f>
        <v> </v>
      </c>
      <c r="W296" s="334" t="str">
        <f aca="false">IF((E296="f"),G296," ")</f>
        <v> </v>
      </c>
    </row>
    <row r="297" customFormat="false" ht="12.75" hidden="false" customHeight="false" outlineLevel="0" collapsed="false">
      <c r="A297" s="355"/>
      <c r="E297" s="365" t="str">
        <f aca="false">IF((G297&lt;&gt;0),"Enter Letter"," ")</f>
        <v> </v>
      </c>
      <c r="J297" s="334" t="str">
        <f aca="false">IF((E297="s"),G297," ")</f>
        <v> </v>
      </c>
      <c r="K297" s="334" t="str">
        <f aca="false">IF((E297="d"),G297," ")</f>
        <v> </v>
      </c>
      <c r="L297" s="334" t="str">
        <f aca="false">IF((E297="e"),G297," ")</f>
        <v> </v>
      </c>
      <c r="M297" s="334" t="str">
        <f aca="false">IF((E297="p"),G297," ")</f>
        <v> </v>
      </c>
      <c r="N297" s="334" t="str">
        <f aca="false">IF((E297="r"),G297," ")</f>
        <v> </v>
      </c>
      <c r="O297" s="334" t="str">
        <f aca="false">IF((E297="g"),G297," ")</f>
        <v> </v>
      </c>
      <c r="P297" s="334" t="str">
        <f aca="false">IF((E297="m"),G297," ")</f>
        <v> </v>
      </c>
      <c r="Q297" s="334" t="str">
        <f aca="false">IF((E297="t"),G297," ")</f>
        <v> </v>
      </c>
      <c r="R297" s="334" t="str">
        <f aca="false">IF((E297="a"),G297," ")</f>
        <v> </v>
      </c>
      <c r="S297" s="334" t="str">
        <f aca="false">IF((E297="l"),G297," ")</f>
        <v> </v>
      </c>
      <c r="T297" s="334" t="str">
        <f aca="false">IF((E297="b"),G297," ")</f>
        <v> </v>
      </c>
      <c r="U297" s="334" t="str">
        <f aca="false">IF((E297="i"),G297," ")</f>
        <v> </v>
      </c>
      <c r="V297" s="334" t="str">
        <f aca="false">IF((E297="o"),G297," ")</f>
        <v> </v>
      </c>
      <c r="W297" s="334" t="str">
        <f aca="false">IF((E297="f"),G297," ")</f>
        <v> </v>
      </c>
    </row>
    <row r="298" customFormat="false" ht="12.75" hidden="false" customHeight="false" outlineLevel="0" collapsed="false">
      <c r="A298" s="355"/>
      <c r="E298" s="365" t="str">
        <f aca="false">IF((G298&lt;&gt;0),"Enter Letter"," ")</f>
        <v> </v>
      </c>
      <c r="J298" s="334" t="str">
        <f aca="false">IF((E298="s"),G298," ")</f>
        <v> </v>
      </c>
      <c r="K298" s="334" t="str">
        <f aca="false">IF((E298="d"),G298," ")</f>
        <v> </v>
      </c>
      <c r="L298" s="334" t="str">
        <f aca="false">IF((E298="e"),G298," ")</f>
        <v> </v>
      </c>
      <c r="M298" s="334" t="str">
        <f aca="false">IF((E298="p"),G298," ")</f>
        <v> </v>
      </c>
      <c r="N298" s="334" t="str">
        <f aca="false">IF((E298="r"),G298," ")</f>
        <v> </v>
      </c>
      <c r="O298" s="334" t="str">
        <f aca="false">IF((E298="g"),G298," ")</f>
        <v> </v>
      </c>
      <c r="P298" s="334" t="str">
        <f aca="false">IF((E298="m"),G298," ")</f>
        <v> </v>
      </c>
      <c r="Q298" s="334" t="str">
        <f aca="false">IF((E298="t"),G298," ")</f>
        <v> </v>
      </c>
      <c r="R298" s="334" t="str">
        <f aca="false">IF((E298="a"),G298," ")</f>
        <v> </v>
      </c>
      <c r="S298" s="334" t="str">
        <f aca="false">IF((E298="l"),G298," ")</f>
        <v> </v>
      </c>
      <c r="T298" s="334" t="str">
        <f aca="false">IF((E298="b"),G298," ")</f>
        <v> </v>
      </c>
      <c r="U298" s="334" t="str">
        <f aca="false">IF((E298="i"),G298," ")</f>
        <v> </v>
      </c>
      <c r="V298" s="334" t="str">
        <f aca="false">IF((E298="o"),G298," ")</f>
        <v> </v>
      </c>
      <c r="W298" s="334" t="str">
        <f aca="false">IF((E298="f"),G298," ")</f>
        <v> </v>
      </c>
    </row>
    <row r="299" customFormat="false" ht="12.75" hidden="false" customHeight="false" outlineLevel="0" collapsed="false">
      <c r="A299" s="355"/>
      <c r="E299" s="365" t="str">
        <f aca="false">IF((G299&lt;&gt;0),"Enter Letter"," ")</f>
        <v> </v>
      </c>
      <c r="J299" s="334" t="str">
        <f aca="false">IF((E299="s"),G299," ")</f>
        <v> </v>
      </c>
      <c r="K299" s="334" t="str">
        <f aca="false">IF((E299="d"),G299," ")</f>
        <v> </v>
      </c>
      <c r="L299" s="334" t="str">
        <f aca="false">IF((E299="e"),G299," ")</f>
        <v> </v>
      </c>
      <c r="M299" s="334" t="str">
        <f aca="false">IF((E299="p"),G299," ")</f>
        <v> </v>
      </c>
      <c r="N299" s="334" t="str">
        <f aca="false">IF((E299="r"),G299," ")</f>
        <v> </v>
      </c>
      <c r="O299" s="334" t="str">
        <f aca="false">IF((E299="g"),G299," ")</f>
        <v> </v>
      </c>
      <c r="P299" s="334" t="str">
        <f aca="false">IF((E299="m"),G299," ")</f>
        <v> </v>
      </c>
      <c r="Q299" s="334" t="str">
        <f aca="false">IF((E299="t"),G299," ")</f>
        <v> </v>
      </c>
      <c r="R299" s="334" t="str">
        <f aca="false">IF((E299="a"),G299," ")</f>
        <v> </v>
      </c>
      <c r="S299" s="334" t="str">
        <f aca="false">IF((E299="l"),G299," ")</f>
        <v> </v>
      </c>
      <c r="T299" s="334" t="str">
        <f aca="false">IF((E299="b"),G299," ")</f>
        <v> </v>
      </c>
      <c r="U299" s="334" t="str">
        <f aca="false">IF((E299="i"),G299," ")</f>
        <v> </v>
      </c>
      <c r="V299" s="334" t="str">
        <f aca="false">IF((E299="o"),G299," ")</f>
        <v> </v>
      </c>
      <c r="W299" s="334" t="str">
        <f aca="false">IF((E299="f"),G299," ")</f>
        <v> </v>
      </c>
    </row>
    <row r="300" customFormat="false" ht="12.75" hidden="false" customHeight="false" outlineLevel="0" collapsed="false">
      <c r="A300" s="355"/>
      <c r="B300" s="393"/>
      <c r="C300" s="393"/>
      <c r="D300" s="394"/>
      <c r="E300" s="395" t="str">
        <f aca="false">IF((G300&lt;&gt;0),"Enter Letter"," ")</f>
        <v> </v>
      </c>
      <c r="F300" s="396"/>
      <c r="G300" s="397"/>
      <c r="H300" s="360"/>
      <c r="I300" s="398"/>
      <c r="J300" s="356" t="str">
        <f aca="false">IF((E300="s"),G300," ")</f>
        <v> </v>
      </c>
      <c r="K300" s="356" t="str">
        <f aca="false">IF((E300="d"),G300," ")</f>
        <v> </v>
      </c>
      <c r="L300" s="356" t="str">
        <f aca="false">IF((E300="e"),G300," ")</f>
        <v> </v>
      </c>
      <c r="M300" s="356" t="str">
        <f aca="false">IF((E300="p"),G300," ")</f>
        <v> </v>
      </c>
      <c r="N300" s="356" t="str">
        <f aca="false">IF((E300="r"),G300," ")</f>
        <v> </v>
      </c>
      <c r="O300" s="356" t="str">
        <f aca="false">IF((E300="g"),G300," ")</f>
        <v> </v>
      </c>
      <c r="P300" s="356" t="str">
        <f aca="false">IF((E300="m"),G300," ")</f>
        <v> </v>
      </c>
      <c r="Q300" s="356" t="str">
        <f aca="false">IF((E300="t"),G300," ")</f>
        <v> </v>
      </c>
      <c r="R300" s="356" t="str">
        <f aca="false">IF((E300="a"),G300," ")</f>
        <v> </v>
      </c>
      <c r="S300" s="356" t="str">
        <f aca="false">IF((E300="l"),G300," ")</f>
        <v> </v>
      </c>
      <c r="T300" s="356" t="str">
        <f aca="false">IF((E300="b"),G300," ")</f>
        <v> </v>
      </c>
      <c r="U300" s="356" t="str">
        <f aca="false">IF((E300="i"),G300," ")</f>
        <v> </v>
      </c>
      <c r="V300" s="356" t="str">
        <f aca="false">IF((E300="o"),G300," ")</f>
        <v> </v>
      </c>
      <c r="W300" s="356" t="str">
        <f aca="false">IF((E300="f"),G300," ")</f>
        <v> </v>
      </c>
    </row>
  </sheetData>
  <mergeCells count="25">
    <mergeCell ref="A2:A4"/>
    <mergeCell ref="B2:B4"/>
    <mergeCell ref="C2:C4"/>
    <mergeCell ref="D2:D4"/>
    <mergeCell ref="E2:E3"/>
    <mergeCell ref="F2:F4"/>
    <mergeCell ref="G2:G3"/>
    <mergeCell ref="H2:H4"/>
    <mergeCell ref="I2:I4"/>
    <mergeCell ref="J2:J3"/>
    <mergeCell ref="K2:K3"/>
    <mergeCell ref="L2:L3"/>
    <mergeCell ref="M2:M3"/>
    <mergeCell ref="N2:N3"/>
    <mergeCell ref="O2:O3"/>
    <mergeCell ref="Q2:Q3"/>
    <mergeCell ref="R2:R3"/>
    <mergeCell ref="S2:S3"/>
    <mergeCell ref="T2:T3"/>
    <mergeCell ref="U2:U3"/>
    <mergeCell ref="V2:V3"/>
    <mergeCell ref="W2:W3"/>
    <mergeCell ref="X2:X4"/>
    <mergeCell ref="Y2:Z2"/>
    <mergeCell ref="Y3:Z3"/>
  </mergeCells>
  <dataValidations count="3">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5:A300" type="date">
      <formula1>38353</formula1>
      <formula2>53327</formula2>
    </dataValidation>
    <dataValidation allowBlank="true" errorStyle="stop" operator="between" prompt="An amount in this cell shows the total purchases in cell G1 does not agree with the totals in the analysis columns cells J1 to W&#10;&#10;CHECK all expense code letters have been entered correctly or any manual entries in the analysis correct&#10;" promptTitle="ERROR ALERT" showDropDown="false" showErrorMessage="true" showInputMessage="true" sqref="E1" type="none">
      <formula1>0</formula1>
      <formula2>0</formula2>
    </dataValidation>
    <dataValidation allowBlank="true" errorStyle="stop" operator="between" showDropDown="false" showErrorMessage="true" showInputMessage="false" sqref="E5:E300" type="list">
      <formula1>$J$4:$W$4</formula1>
      <formula2>0</formula2>
    </dataValidation>
  </dataValidations>
  <printOptions headings="false" gridLines="true" gridLinesSet="true" horizontalCentered="false" verticalCentered="false"/>
  <pageMargins left="0.315277777777778" right="0.472222222222222"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2" manualBreakCount="2">
    <brk id="9" man="true" max="65535" min="0"/>
    <brk id="22" man="true" max="65535" min="0"/>
  </colBreak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false" hidden="false" outlineLevel="0" max="1" min="1" style="333" width="9.15"/>
    <col collapsed="false" customWidth="true" hidden="false" outlineLevel="0" max="2" min="2" style="334" width="17.66"/>
    <col collapsed="false" customWidth="true" hidden="false" outlineLevel="0" max="3" min="3" style="335" width="11.32"/>
    <col collapsed="false" customWidth="true" hidden="false" outlineLevel="0" max="4" min="4" style="336" width="14.49"/>
    <col collapsed="false" customWidth="true" hidden="false" outlineLevel="0" max="5" min="5" style="337" width="7.66"/>
    <col collapsed="false" customWidth="true" hidden="false" outlineLevel="0" max="7" min="6" style="334" width="9.66"/>
    <col collapsed="false" customWidth="true" hidden="false" outlineLevel="0" max="8" min="8" style="338" width="9.66"/>
    <col collapsed="false" customWidth="true" hidden="false" outlineLevel="0" max="9" min="9" style="339" width="10.5"/>
    <col collapsed="false" customWidth="false" hidden="false" outlineLevel="0" max="257" min="10" style="334" width="9.15"/>
  </cols>
  <sheetData>
    <row r="1" s="348" customFormat="true" ht="12.75" hidden="false" customHeight="true" outlineLevel="0" collapsed="false">
      <c r="A1" s="340" t="s">
        <v>246</v>
      </c>
      <c r="B1" s="341" t="s">
        <v>247</v>
      </c>
      <c r="C1" s="342"/>
      <c r="D1" s="343" t="s">
        <v>248</v>
      </c>
      <c r="E1" s="344" t="n">
        <f aca="false">SUM(E4:E300)</f>
        <v>0</v>
      </c>
      <c r="F1" s="343" t="n">
        <f aca="false">SUM(F4:F300)</f>
        <v>33760</v>
      </c>
      <c r="G1" s="343" t="n">
        <f aca="false">SUM(G4:G300)</f>
        <v>0</v>
      </c>
      <c r="H1" s="345" t="n">
        <f aca="false">SUM(H4:H300)</f>
        <v>0</v>
      </c>
      <c r="I1" s="346" t="n">
        <f aca="true">TODAY()</f>
        <v>46138</v>
      </c>
      <c r="J1" s="343" t="n">
        <f aca="false">SUM(J4:J300)</f>
        <v>0</v>
      </c>
      <c r="K1" s="347" t="n">
        <f aca="false">J1+SalesJun!K1</f>
        <v>0</v>
      </c>
    </row>
    <row r="2" s="348" customFormat="true" ht="12.75" hidden="false" customHeight="true" outlineLevel="0" collapsed="false">
      <c r="A2" s="340"/>
      <c r="B2" s="341"/>
      <c r="C2" s="349" t="s">
        <v>249</v>
      </c>
      <c r="D2" s="350" t="s">
        <v>250</v>
      </c>
      <c r="E2" s="351" t="s">
        <v>251</v>
      </c>
      <c r="F2" s="341" t="s">
        <v>252</v>
      </c>
      <c r="G2" s="341" t="s">
        <v>253</v>
      </c>
      <c r="H2" s="352" t="s">
        <v>254</v>
      </c>
      <c r="I2" s="353" t="s">
        <v>255</v>
      </c>
      <c r="J2" s="341" t="s">
        <v>256</v>
      </c>
      <c r="K2" s="341"/>
    </row>
    <row r="3" s="354" customFormat="true" ht="38.25" hidden="false" customHeight="true" outlineLevel="0" collapsed="false">
      <c r="A3" s="340"/>
      <c r="B3" s="341"/>
      <c r="C3" s="349"/>
      <c r="D3" s="350"/>
      <c r="E3" s="351"/>
      <c r="F3" s="351"/>
      <c r="G3" s="351"/>
      <c r="H3" s="352"/>
      <c r="I3" s="353"/>
      <c r="J3" s="341" t="s">
        <v>257</v>
      </c>
      <c r="K3" s="341" t="s">
        <v>258</v>
      </c>
    </row>
    <row r="4" customFormat="false" ht="12.75" hidden="false" customHeight="false" outlineLevel="0" collapsed="false">
      <c r="A4" s="355" t="n">
        <v>45839</v>
      </c>
      <c r="B4" s="334" t="s">
        <v>236</v>
      </c>
      <c r="F4" s="334" t="n">
        <v>1200</v>
      </c>
      <c r="I4" s="339" t="n">
        <f aca="false">IF((F4&lt;&gt;0),IF((D4&gt;0)," ",(I$1-A4))," ")</f>
        <v>299</v>
      </c>
    </row>
    <row r="5" customFormat="false" ht="12.75" hidden="false" customHeight="false" outlineLevel="0" collapsed="false">
      <c r="A5" s="355" t="n">
        <v>45841</v>
      </c>
      <c r="B5" s="334" t="s">
        <v>259</v>
      </c>
      <c r="F5" s="334" t="n">
        <v>360</v>
      </c>
      <c r="I5" s="339" t="n">
        <f aca="false">IF((F5&lt;&gt;0),IF((D5&gt;0)," ",(I$1-A5))," ")</f>
        <v>297</v>
      </c>
    </row>
    <row r="6" customFormat="false" ht="12.75" hidden="false" customHeight="false" outlineLevel="0" collapsed="false">
      <c r="A6" s="355" t="n">
        <v>45843</v>
      </c>
      <c r="B6" s="334" t="s">
        <v>260</v>
      </c>
      <c r="F6" s="334" t="n">
        <v>600</v>
      </c>
      <c r="I6" s="339" t="n">
        <f aca="false">IF((F6&lt;&gt;0),IF((D6&gt;0)," ",(I$1-A6))," ")</f>
        <v>295</v>
      </c>
    </row>
    <row r="7" customFormat="false" ht="12.75" hidden="false" customHeight="false" outlineLevel="0" collapsed="false">
      <c r="A7" s="355" t="n">
        <v>45846</v>
      </c>
      <c r="B7" s="334" t="s">
        <v>261</v>
      </c>
      <c r="F7" s="334" t="n">
        <v>480</v>
      </c>
      <c r="I7" s="339" t="n">
        <f aca="false">IF((F7&lt;&gt;0),IF((D7&gt;0)," ",(I$1-A7))," ")</f>
        <v>292</v>
      </c>
    </row>
    <row r="8" customFormat="false" ht="12.75" hidden="false" customHeight="false" outlineLevel="0" collapsed="false">
      <c r="A8" s="355" t="n">
        <v>45848</v>
      </c>
      <c r="B8" s="334" t="s">
        <v>262</v>
      </c>
      <c r="F8" s="334" t="n">
        <v>720</v>
      </c>
      <c r="I8" s="339" t="n">
        <f aca="false">IF((F8&lt;&gt;0),IF((D8&gt;0)," ",(I$1-A8))," ")</f>
        <v>290</v>
      </c>
    </row>
    <row r="9" customFormat="false" ht="12.75" hidden="false" customHeight="false" outlineLevel="0" collapsed="false">
      <c r="A9" s="355" t="n">
        <v>45852</v>
      </c>
      <c r="B9" s="334" t="s">
        <v>365</v>
      </c>
      <c r="F9" s="334" t="n">
        <v>2160</v>
      </c>
      <c r="I9" s="339" t="n">
        <f aca="false">IF((F9&lt;&gt;0),IF((D9&gt;0)," ",(I$1-A9))," ")</f>
        <v>286</v>
      </c>
    </row>
    <row r="10" customFormat="false" ht="12.75" hidden="false" customHeight="false" outlineLevel="0" collapsed="false">
      <c r="A10" s="355" t="n">
        <v>45853</v>
      </c>
      <c r="B10" s="334" t="s">
        <v>235</v>
      </c>
      <c r="F10" s="334" t="n">
        <v>25000</v>
      </c>
      <c r="I10" s="339" t="n">
        <f aca="false">IF((F10&lt;&gt;0),IF((D10&gt;0)," ",(I$1-A10))," ")</f>
        <v>285</v>
      </c>
    </row>
    <row r="11" customFormat="false" ht="12.75" hidden="false" customHeight="false" outlineLevel="0" collapsed="false">
      <c r="A11" s="355" t="n">
        <v>45856</v>
      </c>
      <c r="B11" s="334" t="s">
        <v>237</v>
      </c>
      <c r="F11" s="334" t="n">
        <v>2400</v>
      </c>
      <c r="I11" s="339" t="n">
        <f aca="false">IF((F11&lt;&gt;0),IF((D11&gt;0)," ",(I$1-A11))," ")</f>
        <v>282</v>
      </c>
    </row>
    <row r="12" customFormat="false" ht="12.75" hidden="false" customHeight="false" outlineLevel="0" collapsed="false">
      <c r="A12" s="355" t="n">
        <v>45866</v>
      </c>
      <c r="B12" s="334" t="s">
        <v>264</v>
      </c>
      <c r="F12" s="334" t="n">
        <v>840</v>
      </c>
      <c r="I12" s="339" t="n">
        <f aca="false">IF((F12&lt;&gt;0),IF((D12&gt;0)," ",(I$1-A12))," ")</f>
        <v>272</v>
      </c>
    </row>
    <row r="13" customFormat="false" ht="12.75" hidden="false" customHeight="false" outlineLevel="0" collapsed="false">
      <c r="A13" s="355"/>
      <c r="I13" s="339" t="str">
        <f aca="false">IF((F13&lt;&gt;0),IF((D13&gt;0)," ",(I$1-A13))," ")</f>
        <v> </v>
      </c>
    </row>
    <row r="14" customFormat="false" ht="12.75" hidden="false" customHeight="false" outlineLevel="0" collapsed="false">
      <c r="A14" s="355"/>
      <c r="I14" s="339" t="str">
        <f aca="false">IF((F14&lt;&gt;0),IF((D14&gt;0)," ",(I$1-A14))," ")</f>
        <v> </v>
      </c>
    </row>
    <row r="15" customFormat="false" ht="12.75" hidden="false" customHeight="false" outlineLevel="0" collapsed="false">
      <c r="A15" s="355"/>
      <c r="I15" s="339" t="str">
        <f aca="false">IF((F15&lt;&gt;0),IF((D15&gt;0)," ",(I$1-A15))," ")</f>
        <v> </v>
      </c>
    </row>
    <row r="16" customFormat="false" ht="12.75" hidden="false" customHeight="false" outlineLevel="0" collapsed="false">
      <c r="A16" s="355"/>
      <c r="I16" s="339" t="str">
        <f aca="false">IF((F16&lt;&gt;0),IF((D16&gt;0)," ",(I$1-A16))," ")</f>
        <v> </v>
      </c>
    </row>
    <row r="17" customFormat="false" ht="12.75" hidden="false" customHeight="false" outlineLevel="0" collapsed="false">
      <c r="A17" s="355"/>
      <c r="I17" s="339" t="str">
        <f aca="false">IF((F17&lt;&gt;0),IF((D17&gt;0)," ",(I$1-A17))," ")</f>
        <v> </v>
      </c>
    </row>
    <row r="18" customFormat="false" ht="12.75" hidden="false" customHeight="false" outlineLevel="0" collapsed="false">
      <c r="A18" s="355"/>
      <c r="I18" s="339" t="str">
        <f aca="false">IF((F18&lt;&gt;0),IF((D18&gt;0)," ",(I$1-A18))," ")</f>
        <v> </v>
      </c>
    </row>
    <row r="19" customFormat="false" ht="12.75" hidden="false" customHeight="false" outlineLevel="0" collapsed="false">
      <c r="A19" s="355"/>
      <c r="I19" s="339" t="str">
        <f aca="false">IF((F19&lt;&gt;0),IF((D19&gt;0)," ",(I$1-A19))," ")</f>
        <v> </v>
      </c>
    </row>
    <row r="20" customFormat="false" ht="12.75" hidden="false" customHeight="false" outlineLevel="0" collapsed="false">
      <c r="A20" s="355"/>
      <c r="I20" s="339" t="str">
        <f aca="false">IF((F20&lt;&gt;0),IF((D20&gt;0)," ",(I$1-A20))," ")</f>
        <v> </v>
      </c>
    </row>
    <row r="21" customFormat="false" ht="12.75" hidden="false" customHeight="false" outlineLevel="0" collapsed="false">
      <c r="A21" s="355"/>
      <c r="I21" s="339" t="str">
        <f aca="false">IF((F21&lt;&gt;0),IF((D21&gt;0)," ",(I$1-A21))," ")</f>
        <v> </v>
      </c>
    </row>
    <row r="22" customFormat="false" ht="12.75" hidden="false" customHeight="false" outlineLevel="0" collapsed="false">
      <c r="A22" s="355"/>
      <c r="I22" s="339" t="str">
        <f aca="false">IF((F22&lt;&gt;0),IF((D22&gt;0)," ",(I$1-A22))," ")</f>
        <v> </v>
      </c>
    </row>
    <row r="23" customFormat="false" ht="12.75" hidden="false" customHeight="false" outlineLevel="0" collapsed="false">
      <c r="A23" s="355"/>
      <c r="I23" s="339" t="str">
        <f aca="false">IF((F23&lt;&gt;0),IF((D23&gt;0)," ",(I$1-A23))," ")</f>
        <v> </v>
      </c>
    </row>
    <row r="24" customFormat="false" ht="12.75" hidden="false" customHeight="false" outlineLevel="0" collapsed="false">
      <c r="A24" s="355"/>
      <c r="I24" s="339" t="str">
        <f aca="false">IF((F24&lt;&gt;0),IF((D24&gt;0)," ",(I$1-A24))," ")</f>
        <v> </v>
      </c>
    </row>
    <row r="25" customFormat="false" ht="12.75" hidden="false" customHeight="false" outlineLevel="0" collapsed="false">
      <c r="A25" s="355"/>
      <c r="I25" s="339" t="str">
        <f aca="false">IF((F25&lt;&gt;0),IF((D25&gt;0)," ",(I$1-A25))," ")</f>
        <v> </v>
      </c>
    </row>
    <row r="26" customFormat="false" ht="12.75" hidden="false" customHeight="false" outlineLevel="0" collapsed="false">
      <c r="A26" s="355"/>
      <c r="I26" s="339" t="str">
        <f aca="false">IF((F26&lt;&gt;0),IF((D26&gt;0)," ",(I$1-A26))," ")</f>
        <v> </v>
      </c>
    </row>
    <row r="27" customFormat="false" ht="12.75" hidden="false" customHeight="false" outlineLevel="0" collapsed="false">
      <c r="A27" s="355"/>
      <c r="I27" s="339" t="str">
        <f aca="false">IF((F27&lt;&gt;0),IF((D27&gt;0)," ",(I$1-A27))," ")</f>
        <v> </v>
      </c>
    </row>
    <row r="28" customFormat="false" ht="12.75" hidden="false" customHeight="false" outlineLevel="0" collapsed="false">
      <c r="A28" s="355"/>
      <c r="I28" s="339" t="str">
        <f aca="false">IF((F28&lt;&gt;0),IF((D28&gt;0)," ",(I$1-A28))," ")</f>
        <v> </v>
      </c>
    </row>
    <row r="29" customFormat="false" ht="12.75" hidden="false" customHeight="false" outlineLevel="0" collapsed="false">
      <c r="A29" s="355"/>
      <c r="I29" s="339" t="str">
        <f aca="false">IF((F29&lt;&gt;0),IF((D29&gt;0)," ",(I$1-A29))," ")</f>
        <v> </v>
      </c>
    </row>
    <row r="30" customFormat="false" ht="12.75" hidden="false" customHeight="false" outlineLevel="0" collapsed="false">
      <c r="A30" s="355"/>
      <c r="I30" s="339" t="str">
        <f aca="false">IF((F30&lt;&gt;0),IF((D30&gt;0)," ",(I$1-A30))," ")</f>
        <v> </v>
      </c>
    </row>
    <row r="31" customFormat="false" ht="12.75" hidden="false" customHeight="false" outlineLevel="0" collapsed="false">
      <c r="A31" s="355"/>
      <c r="I31" s="339" t="str">
        <f aca="false">IF((F31&lt;&gt;0),IF((D31&gt;0)," ",(I$1-A31))," ")</f>
        <v> </v>
      </c>
    </row>
    <row r="32" customFormat="false" ht="12.75" hidden="false" customHeight="false" outlineLevel="0" collapsed="false">
      <c r="A32" s="355"/>
      <c r="I32" s="339" t="str">
        <f aca="false">IF((F32&lt;&gt;0),IF((D32&gt;0)," ",(I$1-A32))," ")</f>
        <v> </v>
      </c>
    </row>
    <row r="33" customFormat="false" ht="12.75" hidden="false" customHeight="false" outlineLevel="0" collapsed="false">
      <c r="A33" s="355"/>
      <c r="I33" s="339" t="str">
        <f aca="false">IF((F33&lt;&gt;0),IF((D33&gt;0)," ",(I$1-A33))," ")</f>
        <v> </v>
      </c>
    </row>
    <row r="34" customFormat="false" ht="12.75" hidden="false" customHeight="false" outlineLevel="0" collapsed="false">
      <c r="A34" s="355"/>
      <c r="I34" s="339" t="str">
        <f aca="false">IF((F34&lt;&gt;0),IF((D34&gt;0)," ",(I$1-A34))," ")</f>
        <v> </v>
      </c>
    </row>
    <row r="35" customFormat="false" ht="12.75" hidden="false" customHeight="false" outlineLevel="0" collapsed="false">
      <c r="A35" s="355"/>
      <c r="I35" s="339" t="str">
        <f aca="false">IF((F35&lt;&gt;0),IF((D35&gt;0)," ",(I$1-A35))," ")</f>
        <v> </v>
      </c>
    </row>
    <row r="36" customFormat="false" ht="12.75" hidden="false" customHeight="false" outlineLevel="0" collapsed="false">
      <c r="A36" s="355"/>
      <c r="I36" s="339" t="str">
        <f aca="false">IF((F36&lt;&gt;0),IF((D36&gt;0)," ",(I$1-A36))," ")</f>
        <v> </v>
      </c>
    </row>
    <row r="37" customFormat="false" ht="12.75" hidden="false" customHeight="false" outlineLevel="0" collapsed="false">
      <c r="A37" s="355"/>
      <c r="I37" s="339" t="str">
        <f aca="false">IF((F37&lt;&gt;0),IF((D37&gt;0)," ",(I$1-A37))," ")</f>
        <v> </v>
      </c>
    </row>
    <row r="38" customFormat="false" ht="12.75" hidden="false" customHeight="false" outlineLevel="0" collapsed="false">
      <c r="A38" s="355"/>
      <c r="I38" s="339" t="str">
        <f aca="false">IF((F38&lt;&gt;0),IF((D38&gt;0)," ",(I$1-A38))," ")</f>
        <v> </v>
      </c>
    </row>
    <row r="39" customFormat="false" ht="12.75" hidden="false" customHeight="false" outlineLevel="0" collapsed="false">
      <c r="A39" s="355"/>
      <c r="I39" s="339" t="str">
        <f aca="false">IF((F39&lt;&gt;0),IF((D39&gt;0)," ",(I$1-A39))," ")</f>
        <v> </v>
      </c>
    </row>
    <row r="40" customFormat="false" ht="12.75" hidden="false" customHeight="false" outlineLevel="0" collapsed="false">
      <c r="A40" s="355"/>
      <c r="I40" s="339" t="str">
        <f aca="false">IF((F40&lt;&gt;0),IF((D40&gt;0)," ",(I$1-A40))," ")</f>
        <v> </v>
      </c>
    </row>
    <row r="41" customFormat="false" ht="12.75" hidden="false" customHeight="false" outlineLevel="0" collapsed="false">
      <c r="A41" s="355"/>
      <c r="I41" s="339" t="str">
        <f aca="false">IF((F41&lt;&gt;0),IF((D41&gt;0)," ",(I$1-A41))," ")</f>
        <v> </v>
      </c>
    </row>
    <row r="42" customFormat="false" ht="12.75" hidden="false" customHeight="false" outlineLevel="0" collapsed="false">
      <c r="A42" s="355"/>
      <c r="I42" s="339" t="str">
        <f aca="false">IF((F42&lt;&gt;0),IF((D42&gt;0)," ",(I$1-A42))," ")</f>
        <v> </v>
      </c>
    </row>
    <row r="43" customFormat="false" ht="12.75" hidden="false" customHeight="false" outlineLevel="0" collapsed="false">
      <c r="A43" s="355"/>
      <c r="I43" s="339" t="str">
        <f aca="false">IF((F43&lt;&gt;0),IF((D43&gt;0)," ",(I$1-A43))," ")</f>
        <v> </v>
      </c>
    </row>
    <row r="44" customFormat="false" ht="12.75" hidden="false" customHeight="false" outlineLevel="0" collapsed="false">
      <c r="A44" s="355"/>
      <c r="I44" s="339" t="str">
        <f aca="false">IF((F44&lt;&gt;0),IF((D44&gt;0)," ",(I$1-A44))," ")</f>
        <v> </v>
      </c>
    </row>
    <row r="45" customFormat="false" ht="12.75" hidden="false" customHeight="false" outlineLevel="0" collapsed="false">
      <c r="A45" s="355"/>
      <c r="I45" s="339" t="str">
        <f aca="false">IF((F45&lt;&gt;0),IF((D45&gt;0)," ",(I$1-A45))," ")</f>
        <v> </v>
      </c>
    </row>
    <row r="46" customFormat="false" ht="12.75" hidden="false" customHeight="false" outlineLevel="0" collapsed="false">
      <c r="A46" s="355"/>
      <c r="I46" s="339" t="str">
        <f aca="false">IF((F46&lt;&gt;0),IF((D46&gt;0)," ",(I$1-A46))," ")</f>
        <v> </v>
      </c>
    </row>
    <row r="47" customFormat="false" ht="12.75" hidden="false" customHeight="false" outlineLevel="0" collapsed="false">
      <c r="A47" s="355"/>
      <c r="I47" s="339" t="str">
        <f aca="false">IF((F47&lt;&gt;0),IF((D47&gt;0)," ",(I$1-A47))," ")</f>
        <v> </v>
      </c>
    </row>
    <row r="48" customFormat="false" ht="12.75" hidden="false" customHeight="false" outlineLevel="0" collapsed="false">
      <c r="A48" s="355"/>
      <c r="I48" s="339" t="str">
        <f aca="false">IF((F48&lt;&gt;0),IF((D48&gt;0)," ",(I$1-A48))," ")</f>
        <v> </v>
      </c>
    </row>
    <row r="49" customFormat="false" ht="12.75" hidden="false" customHeight="false" outlineLevel="0" collapsed="false">
      <c r="A49" s="355"/>
      <c r="I49" s="339" t="str">
        <f aca="false">IF((F49&lt;&gt;0),IF((D49&gt;0)," ",(I$1-A49))," ")</f>
        <v> </v>
      </c>
    </row>
    <row r="50" customFormat="false" ht="12.75" hidden="false" customHeight="false" outlineLevel="0" collapsed="false">
      <c r="A50" s="355"/>
      <c r="I50" s="339" t="str">
        <f aca="false">IF((F50&lt;&gt;0),IF((D50&gt;0)," ",(I$1-A50))," ")</f>
        <v> </v>
      </c>
    </row>
    <row r="51" customFormat="false" ht="12.75" hidden="false" customHeight="false" outlineLevel="0" collapsed="false">
      <c r="A51" s="355"/>
      <c r="I51" s="339" t="str">
        <f aca="false">IF((F51&lt;&gt;0),IF((D51&gt;0)," ",(I$1-A51))," ")</f>
        <v> </v>
      </c>
    </row>
    <row r="52" customFormat="false" ht="12.75" hidden="false" customHeight="false" outlineLevel="0" collapsed="false">
      <c r="A52" s="355"/>
      <c r="I52" s="339" t="str">
        <f aca="false">IF((F52&lt;&gt;0),IF((D52&gt;0)," ",(I$1-A52))," ")</f>
        <v> </v>
      </c>
    </row>
    <row r="53" customFormat="false" ht="12.75" hidden="false" customHeight="false" outlineLevel="0" collapsed="false">
      <c r="A53" s="355"/>
      <c r="I53" s="339" t="str">
        <f aca="false">IF((F53&lt;&gt;0),IF((D53&gt;0)," ",(I$1-A53))," ")</f>
        <v> </v>
      </c>
    </row>
    <row r="54" customFormat="false" ht="12.75" hidden="false" customHeight="false" outlineLevel="0" collapsed="false">
      <c r="A54" s="355"/>
      <c r="I54" s="339" t="str">
        <f aca="false">IF((F54&lt;&gt;0),IF((D54&gt;0)," ",(I$1-A54))," ")</f>
        <v> </v>
      </c>
    </row>
    <row r="55" customFormat="false" ht="12.75" hidden="false" customHeight="false" outlineLevel="0" collapsed="false">
      <c r="A55" s="355"/>
      <c r="I55" s="339" t="str">
        <f aca="false">IF((F55&lt;&gt;0),IF((D55&gt;0)," ",(I$1-A55))," ")</f>
        <v> </v>
      </c>
    </row>
    <row r="56" customFormat="false" ht="12.75" hidden="false" customHeight="false" outlineLevel="0" collapsed="false">
      <c r="A56" s="355"/>
      <c r="I56" s="339" t="str">
        <f aca="false">IF((F56&lt;&gt;0),IF((D56&gt;0)," ",(I$1-A56))," ")</f>
        <v> </v>
      </c>
    </row>
    <row r="57" customFormat="false" ht="12.75" hidden="false" customHeight="false" outlineLevel="0" collapsed="false">
      <c r="A57" s="355"/>
      <c r="I57" s="339" t="str">
        <f aca="false">IF((F57&lt;&gt;0),IF((D57&gt;0)," ",(I$1-A57))," ")</f>
        <v> </v>
      </c>
    </row>
    <row r="58" customFormat="false" ht="12.75" hidden="false" customHeight="false" outlineLevel="0" collapsed="false">
      <c r="A58" s="355"/>
      <c r="I58" s="339" t="str">
        <f aca="false">IF((F58&lt;&gt;0),IF((D58&gt;0)," ",(I$1-A58))," ")</f>
        <v> </v>
      </c>
    </row>
    <row r="59" customFormat="false" ht="12.75" hidden="false" customHeight="false" outlineLevel="0" collapsed="false">
      <c r="A59" s="355"/>
      <c r="I59" s="339" t="str">
        <f aca="false">IF((F59&lt;&gt;0),IF((D59&gt;0)," ",(I$1-A59))," ")</f>
        <v> </v>
      </c>
    </row>
    <row r="60" customFormat="false" ht="12.75" hidden="false" customHeight="false" outlineLevel="0" collapsed="false">
      <c r="A60" s="355"/>
      <c r="I60" s="339" t="str">
        <f aca="false">IF((F60&lt;&gt;0),IF((D60&gt;0)," ",(I$1-A60))," ")</f>
        <v> </v>
      </c>
    </row>
    <row r="61" customFormat="false" ht="12.75" hidden="false" customHeight="false" outlineLevel="0" collapsed="false">
      <c r="A61" s="355"/>
      <c r="I61" s="339" t="str">
        <f aca="false">IF((F61&lt;&gt;0),IF((D61&gt;0)," ",(I$1-A61))," ")</f>
        <v> </v>
      </c>
    </row>
    <row r="62" customFormat="false" ht="12.75" hidden="false" customHeight="false" outlineLevel="0" collapsed="false">
      <c r="A62" s="355"/>
      <c r="I62" s="339" t="str">
        <f aca="false">IF((F62&lt;&gt;0),IF((D62&gt;0)," ",(I$1-A62))," ")</f>
        <v> </v>
      </c>
    </row>
    <row r="63" customFormat="false" ht="12.75" hidden="false" customHeight="false" outlineLevel="0" collapsed="false">
      <c r="A63" s="355"/>
      <c r="I63" s="339" t="str">
        <f aca="false">IF((F63&lt;&gt;0),IF((D63&gt;0)," ",(I$1-A63))," ")</f>
        <v> </v>
      </c>
    </row>
    <row r="64" customFormat="false" ht="12.75" hidden="false" customHeight="false" outlineLevel="0" collapsed="false">
      <c r="A64" s="355"/>
      <c r="I64" s="339" t="str">
        <f aca="false">IF((F64&lt;&gt;0),IF((D64&gt;0)," ",(I$1-A64))," ")</f>
        <v> </v>
      </c>
    </row>
    <row r="65" customFormat="false" ht="12.75" hidden="false" customHeight="false" outlineLevel="0" collapsed="false">
      <c r="A65" s="355"/>
      <c r="I65" s="339" t="str">
        <f aca="false">IF((F65&lt;&gt;0),IF((D65&gt;0)," ",(I$1-A65))," ")</f>
        <v> </v>
      </c>
    </row>
    <row r="66" customFormat="false" ht="12.75" hidden="false" customHeight="false" outlineLevel="0" collapsed="false">
      <c r="A66" s="355"/>
      <c r="I66" s="339" t="str">
        <f aca="false">IF((F66&lt;&gt;0),IF((D66&gt;0)," ",(I$1-A66))," ")</f>
        <v> </v>
      </c>
    </row>
    <row r="67" customFormat="false" ht="12.75" hidden="false" customHeight="false" outlineLevel="0" collapsed="false">
      <c r="A67" s="355"/>
      <c r="I67" s="339" t="str">
        <f aca="false">IF((F67&lt;&gt;0),IF((D67&gt;0)," ",(I$1-A67))," ")</f>
        <v> </v>
      </c>
    </row>
    <row r="68" customFormat="false" ht="12.75" hidden="false" customHeight="false" outlineLevel="0" collapsed="false">
      <c r="A68" s="355"/>
      <c r="H68" s="338" t="str">
        <f aca="false">IF((F68&lt;&gt;0),IF((D68&gt;0)," ",F68)," ")</f>
        <v> </v>
      </c>
      <c r="I68" s="339" t="str">
        <f aca="false">IF((F68&lt;&gt;0),IF((D68&gt;0)," ",(I$1-A68))," ")</f>
        <v> </v>
      </c>
    </row>
    <row r="69" customFormat="false" ht="12.75" hidden="false" customHeight="false" outlineLevel="0" collapsed="false">
      <c r="A69" s="355"/>
      <c r="H69" s="338" t="str">
        <f aca="false">IF((F69&lt;&gt;0),IF((D69&gt;0)," ",F69)," ")</f>
        <v> </v>
      </c>
      <c r="I69" s="339" t="str">
        <f aca="false">IF((F69&lt;&gt;0),IF((D69&gt;0)," ",(I$1-A69))," ")</f>
        <v> </v>
      </c>
    </row>
    <row r="70" customFormat="false" ht="12.75" hidden="false" customHeight="false" outlineLevel="0" collapsed="false">
      <c r="A70" s="355"/>
      <c r="H70" s="338" t="str">
        <f aca="false">IF((F70&lt;&gt;0),IF((D70&gt;0)," ",F70)," ")</f>
        <v> </v>
      </c>
      <c r="I70" s="339" t="str">
        <f aca="false">IF((F70&lt;&gt;0),IF((D70&gt;0)," ",(I$1-A70))," ")</f>
        <v> </v>
      </c>
    </row>
    <row r="71" customFormat="false" ht="12.75" hidden="false" customHeight="false" outlineLevel="0" collapsed="false">
      <c r="A71" s="355"/>
      <c r="H71" s="338" t="str">
        <f aca="false">IF((F71&lt;&gt;0),IF((D71&gt;0)," ",F71)," ")</f>
        <v> </v>
      </c>
      <c r="I71" s="339" t="str">
        <f aca="false">IF((F71&lt;&gt;0),IF((D71&gt;0)," ",(I$1-A71))," ")</f>
        <v> </v>
      </c>
    </row>
    <row r="72" customFormat="false" ht="12.75" hidden="false" customHeight="false" outlineLevel="0" collapsed="false">
      <c r="A72" s="355"/>
      <c r="H72" s="338" t="str">
        <f aca="false">IF((F72&lt;&gt;0),IF((D72&gt;0)," ",F72)," ")</f>
        <v> </v>
      </c>
      <c r="I72" s="339" t="str">
        <f aca="false">IF((F72&lt;&gt;0),IF((D72&gt;0)," ",(I$1-A72))," ")</f>
        <v> </v>
      </c>
    </row>
    <row r="73" customFormat="false" ht="12.75" hidden="false" customHeight="false" outlineLevel="0" collapsed="false">
      <c r="A73" s="355"/>
      <c r="H73" s="338" t="str">
        <f aca="false">IF((F73&lt;&gt;0),IF((D73&gt;0)," ",F73)," ")</f>
        <v> </v>
      </c>
      <c r="I73" s="339" t="str">
        <f aca="false">IF((F73&lt;&gt;0),IF((D73&gt;0)," ",(I$1-A73))," ")</f>
        <v> </v>
      </c>
    </row>
    <row r="74" customFormat="false" ht="12.75" hidden="false" customHeight="false" outlineLevel="0" collapsed="false">
      <c r="A74" s="355"/>
      <c r="H74" s="338" t="str">
        <f aca="false">IF((F74&lt;&gt;0),IF((D74&gt;0)," ",F74)," ")</f>
        <v> </v>
      </c>
      <c r="I74" s="339" t="str">
        <f aca="false">IF((F74&lt;&gt;0),IF((D74&gt;0)," ",(I$1-A74))," ")</f>
        <v> </v>
      </c>
    </row>
    <row r="75" customFormat="false" ht="12.75" hidden="false" customHeight="false" outlineLevel="0" collapsed="false">
      <c r="A75" s="355"/>
      <c r="H75" s="338" t="str">
        <f aca="false">IF((F75&lt;&gt;0),IF((D75&gt;0)," ",F75)," ")</f>
        <v> </v>
      </c>
      <c r="I75" s="339" t="str">
        <f aca="false">IF((F75&lt;&gt;0),IF((D75&gt;0)," ",(I$1-A75))," ")</f>
        <v> </v>
      </c>
    </row>
    <row r="76" customFormat="false" ht="12.75" hidden="false" customHeight="false" outlineLevel="0" collapsed="false">
      <c r="A76" s="355"/>
      <c r="H76" s="338" t="str">
        <f aca="false">IF((F76&lt;&gt;0),IF((D76&gt;0)," ",F76)," ")</f>
        <v> </v>
      </c>
      <c r="I76" s="339" t="str">
        <f aca="false">IF((F76&lt;&gt;0),IF((D76&gt;0)," ",(I$1-A76))," ")</f>
        <v> </v>
      </c>
    </row>
    <row r="77" customFormat="false" ht="12.75" hidden="false" customHeight="false" outlineLevel="0" collapsed="false">
      <c r="A77" s="355"/>
      <c r="H77" s="338" t="str">
        <f aca="false">IF((F77&lt;&gt;0),IF((D77&gt;0)," ",F77)," ")</f>
        <v> </v>
      </c>
      <c r="I77" s="339" t="str">
        <f aca="false">IF((F77&lt;&gt;0),IF((D77&gt;0)," ",(I$1-A77))," ")</f>
        <v> </v>
      </c>
    </row>
    <row r="78" customFormat="false" ht="12.75" hidden="false" customHeight="false" outlineLevel="0" collapsed="false">
      <c r="A78" s="355"/>
      <c r="H78" s="338" t="str">
        <f aca="false">IF((F78&lt;&gt;0),IF((D78&gt;0)," ",F78)," ")</f>
        <v> </v>
      </c>
      <c r="I78" s="339" t="str">
        <f aca="false">IF((F78&lt;&gt;0),IF((D78&gt;0)," ",(I$1-A78))," ")</f>
        <v> </v>
      </c>
    </row>
    <row r="79" customFormat="false" ht="12.75" hidden="false" customHeight="false" outlineLevel="0" collapsed="false">
      <c r="A79" s="355"/>
      <c r="H79" s="338" t="str">
        <f aca="false">IF((F79&lt;&gt;0),IF((D79&gt;0)," ",F79)," ")</f>
        <v> </v>
      </c>
      <c r="I79" s="339" t="str">
        <f aca="false">IF((F79&lt;&gt;0),IF((D79&gt;0)," ",(I$1-A79))," ")</f>
        <v> </v>
      </c>
    </row>
    <row r="80" customFormat="false" ht="12.75" hidden="false" customHeight="false" outlineLevel="0" collapsed="false">
      <c r="A80" s="355"/>
      <c r="H80" s="338" t="str">
        <f aca="false">IF((F80&lt;&gt;0),IF((D80&gt;0)," ",F80)," ")</f>
        <v> </v>
      </c>
      <c r="I80" s="339" t="str">
        <f aca="false">IF((F80&lt;&gt;0),IF((D80&gt;0)," ",(I$1-A80))," ")</f>
        <v> </v>
      </c>
    </row>
    <row r="81" customFormat="false" ht="12.75" hidden="false" customHeight="false" outlineLevel="0" collapsed="false">
      <c r="A81" s="355"/>
      <c r="H81" s="338" t="str">
        <f aca="false">IF((F81&lt;&gt;0),IF((D81&gt;0)," ",F81)," ")</f>
        <v> </v>
      </c>
      <c r="I81" s="339" t="str">
        <f aca="false">IF((F81&lt;&gt;0),IF((D81&gt;0)," ",(I$1-A81))," ")</f>
        <v> </v>
      </c>
    </row>
    <row r="82" customFormat="false" ht="12.75" hidden="false" customHeight="false" outlineLevel="0" collapsed="false">
      <c r="A82" s="355"/>
      <c r="H82" s="338" t="str">
        <f aca="false">IF((F82&lt;&gt;0),IF((D82&gt;0)," ",F82)," ")</f>
        <v> </v>
      </c>
      <c r="I82" s="339" t="str">
        <f aca="false">IF((F82&lt;&gt;0),IF((D82&gt;0)," ",(I$1-A82))," ")</f>
        <v> </v>
      </c>
    </row>
    <row r="83" customFormat="false" ht="12.75" hidden="false" customHeight="false" outlineLevel="0" collapsed="false">
      <c r="A83" s="355"/>
      <c r="H83" s="338" t="str">
        <f aca="false">IF((F83&lt;&gt;0),IF((D83&gt;0)," ",F83)," ")</f>
        <v> </v>
      </c>
      <c r="I83" s="339" t="str">
        <f aca="false">IF((F83&lt;&gt;0),IF((D83&gt;0)," ",(I$1-A83))," ")</f>
        <v> </v>
      </c>
    </row>
    <row r="84" customFormat="false" ht="12.75" hidden="false" customHeight="false" outlineLevel="0" collapsed="false">
      <c r="A84" s="355"/>
      <c r="H84" s="338" t="str">
        <f aca="false">IF((F84&lt;&gt;0),IF((D84&gt;0)," ",F84)," ")</f>
        <v> </v>
      </c>
      <c r="I84" s="339" t="str">
        <f aca="false">IF((F84&lt;&gt;0),IF((D84&gt;0)," ",(I$1-A84))," ")</f>
        <v> </v>
      </c>
    </row>
    <row r="85" customFormat="false" ht="12.75" hidden="false" customHeight="false" outlineLevel="0" collapsed="false">
      <c r="A85" s="355"/>
      <c r="H85" s="338" t="str">
        <f aca="false">IF((F85&lt;&gt;0),IF((D85&gt;0)," ",F85)," ")</f>
        <v> </v>
      </c>
      <c r="I85" s="339" t="str">
        <f aca="false">IF((F85&lt;&gt;0),IF((D85&gt;0)," ",(I$1-A85))," ")</f>
        <v> </v>
      </c>
    </row>
    <row r="86" customFormat="false" ht="12.75" hidden="false" customHeight="false" outlineLevel="0" collapsed="false">
      <c r="A86" s="355"/>
      <c r="H86" s="338" t="str">
        <f aca="false">IF((F86&lt;&gt;0),IF((D86&gt;0)," ",F86)," ")</f>
        <v> </v>
      </c>
      <c r="I86" s="339" t="str">
        <f aca="false">IF((F86&lt;&gt;0),IF((D86&gt;0)," ",(I$1-A86))," ")</f>
        <v> </v>
      </c>
    </row>
    <row r="87" customFormat="false" ht="12.75" hidden="false" customHeight="false" outlineLevel="0" collapsed="false">
      <c r="A87" s="355"/>
      <c r="H87" s="338" t="str">
        <f aca="false">IF((F87&lt;&gt;0),IF((D87&gt;0)," ",F87)," ")</f>
        <v> </v>
      </c>
      <c r="I87" s="339" t="str">
        <f aca="false">IF((F87&lt;&gt;0),IF((D87&gt;0)," ",(I$1-A87))," ")</f>
        <v> </v>
      </c>
    </row>
    <row r="88" customFormat="false" ht="12.75" hidden="false" customHeight="false" outlineLevel="0" collapsed="false">
      <c r="A88" s="355"/>
      <c r="H88" s="338" t="str">
        <f aca="false">IF((F88&lt;&gt;0),IF((D88&gt;0)," ",F88)," ")</f>
        <v> </v>
      </c>
      <c r="I88" s="339" t="str">
        <f aca="false">IF((F88&lt;&gt;0),IF((D88&gt;0)," ",(I$1-A88))," ")</f>
        <v> </v>
      </c>
    </row>
    <row r="89" customFormat="false" ht="12.75" hidden="false" customHeight="false" outlineLevel="0" collapsed="false">
      <c r="A89" s="355"/>
      <c r="H89" s="338" t="str">
        <f aca="false">IF((F89&lt;&gt;0),IF((D89&gt;0)," ",F89)," ")</f>
        <v> </v>
      </c>
      <c r="I89" s="339" t="str">
        <f aca="false">IF((F89&lt;&gt;0),IF((D89&gt;0)," ",(I$1-A89))," ")</f>
        <v> </v>
      </c>
    </row>
    <row r="90" customFormat="false" ht="12.75" hidden="false" customHeight="false" outlineLevel="0" collapsed="false">
      <c r="A90" s="355"/>
      <c r="H90" s="338" t="str">
        <f aca="false">IF((F90&lt;&gt;0),IF((D90&gt;0)," ",F90)," ")</f>
        <v> </v>
      </c>
      <c r="I90" s="339" t="str">
        <f aca="false">IF((F90&lt;&gt;0),IF((D90&gt;0)," ",(I$1-A90))," ")</f>
        <v> </v>
      </c>
    </row>
    <row r="91" customFormat="false" ht="12.75" hidden="false" customHeight="false" outlineLevel="0" collapsed="false">
      <c r="A91" s="355"/>
      <c r="H91" s="338" t="str">
        <f aca="false">IF((F91&lt;&gt;0),IF((D91&gt;0)," ",F91)," ")</f>
        <v> </v>
      </c>
      <c r="I91" s="339" t="str">
        <f aca="false">IF((F91&lt;&gt;0),IF((D91&gt;0)," ",(I$1-A91))," ")</f>
        <v> </v>
      </c>
    </row>
    <row r="92" customFormat="false" ht="12.75" hidden="false" customHeight="false" outlineLevel="0" collapsed="false">
      <c r="A92" s="355"/>
      <c r="H92" s="338" t="str">
        <f aca="false">IF((F92&lt;&gt;0),IF((D92&gt;0)," ",F92)," ")</f>
        <v> </v>
      </c>
      <c r="I92" s="339" t="str">
        <f aca="false">IF((F92&lt;&gt;0),IF((D92&gt;0)," ",(I$1-A92))," ")</f>
        <v> </v>
      </c>
    </row>
    <row r="93" customFormat="false" ht="12.75" hidden="false" customHeight="false" outlineLevel="0" collapsed="false">
      <c r="A93" s="355"/>
      <c r="H93" s="338" t="str">
        <f aca="false">IF((F93&lt;&gt;0),IF((D93&gt;0)," ",F93)," ")</f>
        <v> </v>
      </c>
      <c r="I93" s="339" t="str">
        <f aca="false">IF((F93&lt;&gt;0),IF((D93&gt;0)," ",(I$1-A93))," ")</f>
        <v> </v>
      </c>
    </row>
    <row r="94" customFormat="false" ht="12.75" hidden="false" customHeight="false" outlineLevel="0" collapsed="false">
      <c r="A94" s="355"/>
      <c r="H94" s="338" t="str">
        <f aca="false">IF((F94&lt;&gt;0),IF((D94&gt;0)," ",F94)," ")</f>
        <v> </v>
      </c>
      <c r="I94" s="339" t="str">
        <f aca="false">IF((F94&lt;&gt;0),IF((D94&gt;0)," ",(I$1-A94))," ")</f>
        <v> </v>
      </c>
    </row>
    <row r="95" customFormat="false" ht="12.75" hidden="false" customHeight="false" outlineLevel="0" collapsed="false">
      <c r="A95" s="355"/>
      <c r="H95" s="338" t="str">
        <f aca="false">IF((F95&lt;&gt;0),IF((D95&gt;0)," ",F95)," ")</f>
        <v> </v>
      </c>
      <c r="I95" s="339" t="str">
        <f aca="false">IF((F95&lt;&gt;0),IF((D95&gt;0)," ",(I$1-A95))," ")</f>
        <v> </v>
      </c>
    </row>
    <row r="96" customFormat="false" ht="12.75" hidden="false" customHeight="false" outlineLevel="0" collapsed="false">
      <c r="A96" s="355"/>
      <c r="H96" s="338" t="str">
        <f aca="false">IF((F96&lt;&gt;0),IF((D96&gt;0)," ",F96)," ")</f>
        <v> </v>
      </c>
      <c r="I96" s="339" t="str">
        <f aca="false">IF((F96&lt;&gt;0),IF((D96&gt;0)," ",(I$1-A96))," ")</f>
        <v> </v>
      </c>
    </row>
    <row r="97" customFormat="false" ht="12.75" hidden="false" customHeight="false" outlineLevel="0" collapsed="false">
      <c r="A97" s="355"/>
      <c r="H97" s="338" t="str">
        <f aca="false">IF((F97&lt;&gt;0),IF((D97&gt;0)," ",F97)," ")</f>
        <v> </v>
      </c>
      <c r="I97" s="339" t="str">
        <f aca="false">IF((F97&lt;&gt;0),IF((D97&gt;0)," ",(I$1-A97))," ")</f>
        <v> </v>
      </c>
    </row>
    <row r="98" customFormat="false" ht="12.75" hidden="false" customHeight="false" outlineLevel="0" collapsed="false">
      <c r="A98" s="355"/>
      <c r="H98" s="338" t="str">
        <f aca="false">IF((F98&lt;&gt;0),IF((D98&gt;0)," ",F98)," ")</f>
        <v> </v>
      </c>
      <c r="I98" s="339" t="str">
        <f aca="false">IF((F98&lt;&gt;0),IF((D98&gt;0)," ",(I$1-A98))," ")</f>
        <v> </v>
      </c>
    </row>
    <row r="99" customFormat="false" ht="12.75" hidden="false" customHeight="false" outlineLevel="0" collapsed="false">
      <c r="A99" s="355"/>
      <c r="H99" s="338" t="str">
        <f aca="false">IF((F99&lt;&gt;0),IF((D99&gt;0)," ",F99)," ")</f>
        <v> </v>
      </c>
      <c r="I99" s="339" t="str">
        <f aca="false">IF((F99&lt;&gt;0),IF((D99&gt;0)," ",(I$1-A99))," ")</f>
        <v> </v>
      </c>
    </row>
    <row r="100" customFormat="false" ht="12.75" hidden="false" customHeight="false" outlineLevel="0" collapsed="false">
      <c r="A100" s="355"/>
      <c r="H100" s="338" t="str">
        <f aca="false">IF((F100&lt;&gt;0),IF((D100&gt;0)," ",F100)," ")</f>
        <v> </v>
      </c>
      <c r="I100" s="339" t="str">
        <f aca="false">IF((F100&lt;&gt;0),IF((D100&gt;0)," ",(I$1-A100))," ")</f>
        <v> </v>
      </c>
    </row>
    <row r="101" customFormat="false" ht="12.75" hidden="false" customHeight="false" outlineLevel="0" collapsed="false">
      <c r="A101" s="355"/>
      <c r="H101" s="338" t="str">
        <f aca="false">IF((F101&lt;&gt;0),IF((D101&gt;0)," ",F101)," ")</f>
        <v> </v>
      </c>
      <c r="I101" s="339" t="str">
        <f aca="false">IF((F101&lt;&gt;0),IF((D101&gt;0)," ",(I$1-A101))," ")</f>
        <v> </v>
      </c>
    </row>
    <row r="102" customFormat="false" ht="12.75" hidden="false" customHeight="false" outlineLevel="0" collapsed="false">
      <c r="A102" s="355"/>
      <c r="H102" s="338" t="str">
        <f aca="false">IF((F102&lt;&gt;0),IF((D102&gt;0)," ",F102)," ")</f>
        <v> </v>
      </c>
      <c r="I102" s="339" t="str">
        <f aca="false">IF((F102&lt;&gt;0),IF((D102&gt;0)," ",(I$1-A102))," ")</f>
        <v> </v>
      </c>
    </row>
    <row r="103" customFormat="false" ht="12.75" hidden="false" customHeight="false" outlineLevel="0" collapsed="false">
      <c r="A103" s="355"/>
      <c r="H103" s="338" t="str">
        <f aca="false">IF((F103&lt;&gt;0),IF((D103&gt;0)," ",F103)," ")</f>
        <v> </v>
      </c>
      <c r="I103" s="339" t="str">
        <f aca="false">IF((F103&lt;&gt;0),IF((D103&gt;0)," ",(I$1-A103))," ")</f>
        <v> </v>
      </c>
    </row>
    <row r="104" customFormat="false" ht="12.75" hidden="false" customHeight="false" outlineLevel="0" collapsed="false">
      <c r="A104" s="355"/>
      <c r="H104" s="338" t="str">
        <f aca="false">IF((F104&lt;&gt;0),IF((D104&gt;0)," ",F104)," ")</f>
        <v> </v>
      </c>
      <c r="I104" s="339" t="str">
        <f aca="false">IF((F104&lt;&gt;0),IF((D104&gt;0)," ",(I$1-A104))," ")</f>
        <v> </v>
      </c>
    </row>
    <row r="105" customFormat="false" ht="12.75" hidden="false" customHeight="false" outlineLevel="0" collapsed="false">
      <c r="A105" s="355"/>
      <c r="H105" s="338" t="str">
        <f aca="false">IF((F105&lt;&gt;0),IF((D105&gt;0)," ",F105)," ")</f>
        <v> </v>
      </c>
      <c r="I105" s="339" t="str">
        <f aca="false">IF((F105&lt;&gt;0),IF((D105&gt;0)," ",(I$1-A105))," ")</f>
        <v> </v>
      </c>
    </row>
    <row r="106" customFormat="false" ht="12.75" hidden="false" customHeight="false" outlineLevel="0" collapsed="false">
      <c r="A106" s="355"/>
      <c r="H106" s="338" t="str">
        <f aca="false">IF((F106&lt;&gt;0),IF((D106&gt;0)," ",F106)," ")</f>
        <v> </v>
      </c>
      <c r="I106" s="339" t="str">
        <f aca="false">IF((F106&lt;&gt;0),IF((D106&gt;0)," ",(I$1-A106))," ")</f>
        <v> </v>
      </c>
    </row>
    <row r="107" customFormat="false" ht="12.75" hidden="false" customHeight="false" outlineLevel="0" collapsed="false">
      <c r="A107" s="355"/>
      <c r="H107" s="338" t="str">
        <f aca="false">IF((F107&lt;&gt;0),IF((D107&gt;0)," ",F107)," ")</f>
        <v> </v>
      </c>
      <c r="I107" s="339" t="str">
        <f aca="false">IF((F107&lt;&gt;0),IF((D107&gt;0)," ",(I$1-A107))," ")</f>
        <v> </v>
      </c>
    </row>
    <row r="108" customFormat="false" ht="12.75" hidden="false" customHeight="false" outlineLevel="0" collapsed="false">
      <c r="A108" s="355"/>
      <c r="H108" s="338" t="str">
        <f aca="false">IF((F108&lt;&gt;0),IF((D108&gt;0)," ",F108)," ")</f>
        <v> </v>
      </c>
      <c r="I108" s="339" t="str">
        <f aca="false">IF((F108&lt;&gt;0),IF((D108&gt;0)," ",(I$1-A108))," ")</f>
        <v> </v>
      </c>
    </row>
    <row r="109" customFormat="false" ht="12.75" hidden="false" customHeight="false" outlineLevel="0" collapsed="false">
      <c r="A109" s="355"/>
      <c r="H109" s="338" t="str">
        <f aca="false">IF((F109&lt;&gt;0),IF((D109&gt;0)," ",F109)," ")</f>
        <v> </v>
      </c>
      <c r="I109" s="339" t="str">
        <f aca="false">IF((F109&lt;&gt;0),IF((D109&gt;0)," ",(I$1-A109))," ")</f>
        <v> </v>
      </c>
    </row>
    <row r="110" customFormat="false" ht="12.75" hidden="false" customHeight="false" outlineLevel="0" collapsed="false">
      <c r="A110" s="355"/>
      <c r="H110" s="338" t="str">
        <f aca="false">IF((F110&lt;&gt;0),IF((D110&gt;0)," ",F110)," ")</f>
        <v> </v>
      </c>
      <c r="I110" s="339" t="str">
        <f aca="false">IF((F110&lt;&gt;0),IF((D110&gt;0)," ",(I$1-A110))," ")</f>
        <v> </v>
      </c>
    </row>
    <row r="111" customFormat="false" ht="12.75" hidden="false" customHeight="false" outlineLevel="0" collapsed="false">
      <c r="A111" s="355"/>
      <c r="H111" s="338" t="str">
        <f aca="false">IF((F111&lt;&gt;0),IF((D111&gt;0)," ",F111)," ")</f>
        <v> </v>
      </c>
      <c r="I111" s="339" t="str">
        <f aca="false">IF((F111&lt;&gt;0),IF((D111&gt;0)," ",(I$1-A111))," ")</f>
        <v> </v>
      </c>
    </row>
    <row r="112" customFormat="false" ht="12.75" hidden="false" customHeight="false" outlineLevel="0" collapsed="false">
      <c r="A112" s="355"/>
      <c r="H112" s="338" t="str">
        <f aca="false">IF((F112&lt;&gt;0),IF((D112&gt;0)," ",F112)," ")</f>
        <v> </v>
      </c>
      <c r="I112" s="339" t="str">
        <f aca="false">IF((F112&lt;&gt;0),IF((D112&gt;0)," ",(I$1-A112))," ")</f>
        <v> </v>
      </c>
    </row>
    <row r="113" customFormat="false" ht="12.75" hidden="false" customHeight="false" outlineLevel="0" collapsed="false">
      <c r="A113" s="355"/>
      <c r="H113" s="338" t="str">
        <f aca="false">IF((F113&lt;&gt;0),IF((D113&gt;0)," ",F113)," ")</f>
        <v> </v>
      </c>
      <c r="I113" s="339" t="str">
        <f aca="false">IF((F113&lt;&gt;0),IF((D113&gt;0)," ",(I$1-A113))," ")</f>
        <v> </v>
      </c>
    </row>
    <row r="114" customFormat="false" ht="12.75" hidden="false" customHeight="false" outlineLevel="0" collapsed="false">
      <c r="A114" s="355"/>
      <c r="H114" s="338" t="str">
        <f aca="false">IF((F114&lt;&gt;0),IF((D114&gt;0)," ",F114)," ")</f>
        <v> </v>
      </c>
      <c r="I114" s="339" t="str">
        <f aca="false">IF((F114&lt;&gt;0),IF((D114&gt;0)," ",(I$1-A114))," ")</f>
        <v> </v>
      </c>
    </row>
    <row r="115" customFormat="false" ht="12.75" hidden="false" customHeight="false" outlineLevel="0" collapsed="false">
      <c r="A115" s="355"/>
      <c r="H115" s="338" t="str">
        <f aca="false">IF((F115&lt;&gt;0),IF((D115&gt;0)," ",F115)," ")</f>
        <v> </v>
      </c>
      <c r="I115" s="339" t="str">
        <f aca="false">IF((F115&lt;&gt;0),IF((D115&gt;0)," ",(I$1-A115))," ")</f>
        <v> </v>
      </c>
    </row>
    <row r="116" customFormat="false" ht="12.75" hidden="false" customHeight="false" outlineLevel="0" collapsed="false">
      <c r="A116" s="355"/>
      <c r="H116" s="338" t="str">
        <f aca="false">IF((F116&lt;&gt;0),IF((D116&gt;0)," ",F116)," ")</f>
        <v> </v>
      </c>
      <c r="I116" s="339" t="str">
        <f aca="false">IF((F116&lt;&gt;0),IF((D116&gt;0)," ",(I$1-A116))," ")</f>
        <v> </v>
      </c>
    </row>
    <row r="117" customFormat="false" ht="12.75" hidden="false" customHeight="false" outlineLevel="0" collapsed="false">
      <c r="A117" s="355"/>
      <c r="H117" s="338" t="str">
        <f aca="false">IF((F117&lt;&gt;0),IF((D117&gt;0)," ",F117)," ")</f>
        <v> </v>
      </c>
      <c r="I117" s="339" t="str">
        <f aca="false">IF((F117&lt;&gt;0),IF((D117&gt;0)," ",(I$1-A117))," ")</f>
        <v> </v>
      </c>
    </row>
    <row r="118" customFormat="false" ht="12.75" hidden="false" customHeight="false" outlineLevel="0" collapsed="false">
      <c r="A118" s="355"/>
      <c r="H118" s="338" t="str">
        <f aca="false">IF((F118&lt;&gt;0),IF((D118&gt;0)," ",F118)," ")</f>
        <v> </v>
      </c>
      <c r="I118" s="339" t="str">
        <f aca="false">IF((F118&lt;&gt;0),IF((D118&gt;0)," ",(I$1-A118))," ")</f>
        <v> </v>
      </c>
    </row>
    <row r="119" customFormat="false" ht="12.75" hidden="false" customHeight="false" outlineLevel="0" collapsed="false">
      <c r="A119" s="355"/>
      <c r="H119" s="338" t="str">
        <f aca="false">IF((F119&lt;&gt;0),IF((D119&gt;0)," ",F119)," ")</f>
        <v> </v>
      </c>
      <c r="I119" s="339" t="str">
        <f aca="false">IF((F119&lt;&gt;0),IF((D119&gt;0)," ",(I$1-A119))," ")</f>
        <v> </v>
      </c>
    </row>
    <row r="120" customFormat="false" ht="12.75" hidden="false" customHeight="false" outlineLevel="0" collapsed="false">
      <c r="A120" s="355"/>
      <c r="H120" s="338" t="str">
        <f aca="false">IF((F120&lt;&gt;0),IF((D120&gt;0)," ",F120)," ")</f>
        <v> </v>
      </c>
      <c r="I120" s="339" t="str">
        <f aca="false">IF((F120&lt;&gt;0),IF((D120&gt;0)," ",(I$1-A120))," ")</f>
        <v> </v>
      </c>
    </row>
    <row r="121" customFormat="false" ht="12.75" hidden="false" customHeight="false" outlineLevel="0" collapsed="false">
      <c r="A121" s="355"/>
      <c r="H121" s="338" t="str">
        <f aca="false">IF((F121&lt;&gt;0),IF((D121&gt;0)," ",F121)," ")</f>
        <v> </v>
      </c>
      <c r="I121" s="339" t="str">
        <f aca="false">IF((F121&lt;&gt;0),IF((D121&gt;0)," ",(I$1-A121))," ")</f>
        <v> </v>
      </c>
    </row>
    <row r="122" customFormat="false" ht="12.75" hidden="false" customHeight="false" outlineLevel="0" collapsed="false">
      <c r="A122" s="355"/>
      <c r="H122" s="338" t="str">
        <f aca="false">IF((F122&lt;&gt;0),IF((D122&gt;0)," ",F122)," ")</f>
        <v> </v>
      </c>
      <c r="I122" s="339" t="str">
        <f aca="false">IF((F122&lt;&gt;0),IF((D122&gt;0)," ",(I$1-A122))," ")</f>
        <v> </v>
      </c>
    </row>
    <row r="123" customFormat="false" ht="12.75" hidden="false" customHeight="false" outlineLevel="0" collapsed="false">
      <c r="A123" s="355"/>
      <c r="H123" s="338" t="str">
        <f aca="false">IF((F123&lt;&gt;0),IF((D123&gt;0)," ",F123)," ")</f>
        <v> </v>
      </c>
      <c r="I123" s="339" t="str">
        <f aca="false">IF((F123&lt;&gt;0),IF((D123&gt;0)," ",(I$1-A123))," ")</f>
        <v> </v>
      </c>
    </row>
    <row r="124" customFormat="false" ht="12.75" hidden="false" customHeight="false" outlineLevel="0" collapsed="false">
      <c r="A124" s="355"/>
      <c r="H124" s="338" t="str">
        <f aca="false">IF((F124&lt;&gt;0),IF((D124&gt;0)," ",F124)," ")</f>
        <v> </v>
      </c>
      <c r="I124" s="339" t="str">
        <f aca="false">IF((F124&lt;&gt;0),IF((D124&gt;0)," ",(I$1-A124))," ")</f>
        <v> </v>
      </c>
    </row>
    <row r="125" customFormat="false" ht="12.75" hidden="false" customHeight="false" outlineLevel="0" collapsed="false">
      <c r="A125" s="355"/>
      <c r="H125" s="338" t="str">
        <f aca="false">IF((F125&lt;&gt;0),IF((D125&gt;0)," ",F125)," ")</f>
        <v> </v>
      </c>
      <c r="I125" s="339" t="str">
        <f aca="false">IF((F125&lt;&gt;0),IF((D125&gt;0)," ",(I$1-A125))," ")</f>
        <v> </v>
      </c>
    </row>
    <row r="126" customFormat="false" ht="12.75" hidden="false" customHeight="false" outlineLevel="0" collapsed="false">
      <c r="A126" s="355"/>
      <c r="H126" s="338" t="str">
        <f aca="false">IF((F126&lt;&gt;0),IF((D126&gt;0)," ",F126)," ")</f>
        <v> </v>
      </c>
      <c r="I126" s="339" t="str">
        <f aca="false">IF((F126&lt;&gt;0),IF((D126&gt;0)," ",(I$1-A126))," ")</f>
        <v> </v>
      </c>
    </row>
    <row r="127" customFormat="false" ht="12.75" hidden="false" customHeight="false" outlineLevel="0" collapsed="false">
      <c r="A127" s="355"/>
      <c r="H127" s="338" t="str">
        <f aca="false">IF((F127&lt;&gt;0),IF((D127&gt;0)," ",F127)," ")</f>
        <v> </v>
      </c>
      <c r="I127" s="339" t="str">
        <f aca="false">IF((F127&lt;&gt;0),IF((D127&gt;0)," ",(I$1-A127))," ")</f>
        <v> </v>
      </c>
    </row>
    <row r="128" customFormat="false" ht="12.75" hidden="false" customHeight="false" outlineLevel="0" collapsed="false">
      <c r="A128" s="355"/>
      <c r="H128" s="338" t="str">
        <f aca="false">IF((F128&lt;&gt;0),IF((D128&gt;0)," ",F128)," ")</f>
        <v> </v>
      </c>
      <c r="I128" s="339" t="str">
        <f aca="false">IF((F128&lt;&gt;0),IF((D128&gt;0)," ",(I$1-A128))," ")</f>
        <v> </v>
      </c>
    </row>
    <row r="129" customFormat="false" ht="12.75" hidden="false" customHeight="false" outlineLevel="0" collapsed="false">
      <c r="A129" s="355"/>
      <c r="H129" s="338" t="str">
        <f aca="false">IF((F129&lt;&gt;0),IF((D129&gt;0)," ",F129)," ")</f>
        <v> </v>
      </c>
      <c r="I129" s="339" t="str">
        <f aca="false">IF((F129&lt;&gt;0),IF((D129&gt;0)," ",(I$1-A129))," ")</f>
        <v> </v>
      </c>
    </row>
    <row r="130" customFormat="false" ht="12.75" hidden="false" customHeight="false" outlineLevel="0" collapsed="false">
      <c r="A130" s="355"/>
      <c r="H130" s="338" t="str">
        <f aca="false">IF((F130&lt;&gt;0),IF((D130&gt;0)," ",F130)," ")</f>
        <v> </v>
      </c>
      <c r="I130" s="339" t="str">
        <f aca="false">IF((F130&lt;&gt;0),IF((D130&gt;0)," ",(I$1-A130))," ")</f>
        <v> </v>
      </c>
    </row>
    <row r="131" customFormat="false" ht="12.75" hidden="false" customHeight="false" outlineLevel="0" collapsed="false">
      <c r="A131" s="355"/>
      <c r="H131" s="338" t="str">
        <f aca="false">IF((F131&lt;&gt;0),IF((D131&gt;0)," ",F131)," ")</f>
        <v> </v>
      </c>
      <c r="I131" s="339" t="str">
        <f aca="false">IF((F131&lt;&gt;0),IF((D131&gt;0)," ",(I$1-A131))," ")</f>
        <v> </v>
      </c>
    </row>
    <row r="132" customFormat="false" ht="12.75" hidden="false" customHeight="false" outlineLevel="0" collapsed="false">
      <c r="A132" s="355"/>
      <c r="H132" s="338" t="str">
        <f aca="false">IF((F132&lt;&gt;0),IF((D132&gt;0)," ",F132)," ")</f>
        <v> </v>
      </c>
      <c r="I132" s="339" t="str">
        <f aca="false">IF((F132&lt;&gt;0),IF((D132&gt;0)," ",(I$1-A132))," ")</f>
        <v> </v>
      </c>
    </row>
    <row r="133" customFormat="false" ht="12.75" hidden="false" customHeight="false" outlineLevel="0" collapsed="false">
      <c r="A133" s="355"/>
      <c r="H133" s="338" t="str">
        <f aca="false">IF((F133&lt;&gt;0),IF((D133&gt;0)," ",F133)," ")</f>
        <v> </v>
      </c>
      <c r="I133" s="339" t="str">
        <f aca="false">IF((F133&lt;&gt;0),IF((D133&gt;0)," ",(I$1-A133))," ")</f>
        <v> </v>
      </c>
    </row>
    <row r="134" customFormat="false" ht="12.75" hidden="false" customHeight="false" outlineLevel="0" collapsed="false">
      <c r="A134" s="355"/>
      <c r="H134" s="338" t="str">
        <f aca="false">IF((F134&lt;&gt;0),IF((D134&gt;0)," ",F134)," ")</f>
        <v> </v>
      </c>
      <c r="I134" s="339" t="str">
        <f aca="false">IF((F134&lt;&gt;0),IF((D134&gt;0)," ",(I$1-A134))," ")</f>
        <v> </v>
      </c>
    </row>
    <row r="135" customFormat="false" ht="12.75" hidden="false" customHeight="false" outlineLevel="0" collapsed="false">
      <c r="A135" s="355"/>
      <c r="H135" s="338" t="str">
        <f aca="false">IF((F135&lt;&gt;0),IF((D135&gt;0)," ",F135)," ")</f>
        <v> </v>
      </c>
      <c r="I135" s="339" t="str">
        <f aca="false">IF((F135&lt;&gt;0),IF((D135&gt;0)," ",(I$1-A135))," ")</f>
        <v> </v>
      </c>
    </row>
    <row r="136" customFormat="false" ht="12.75" hidden="false" customHeight="false" outlineLevel="0" collapsed="false">
      <c r="A136" s="355"/>
      <c r="H136" s="338" t="str">
        <f aca="false">IF((F136&lt;&gt;0),IF((D136&gt;0)," ",F136)," ")</f>
        <v> </v>
      </c>
      <c r="I136" s="339" t="str">
        <f aca="false">IF((F136&lt;&gt;0),IF((D136&gt;0)," ",(I$1-A136))," ")</f>
        <v> </v>
      </c>
    </row>
    <row r="137" customFormat="false" ht="12.75" hidden="false" customHeight="false" outlineLevel="0" collapsed="false">
      <c r="A137" s="355"/>
      <c r="H137" s="338" t="str">
        <f aca="false">IF((F137&lt;&gt;0),IF((D137&gt;0)," ",F137)," ")</f>
        <v> </v>
      </c>
      <c r="I137" s="339" t="str">
        <f aca="false">IF((F137&lt;&gt;0),IF((D137&gt;0)," ",(I$1-A137))," ")</f>
        <v> </v>
      </c>
    </row>
    <row r="138" customFormat="false" ht="12.75" hidden="false" customHeight="false" outlineLevel="0" collapsed="false">
      <c r="A138" s="355"/>
      <c r="H138" s="338" t="str">
        <f aca="false">IF((F138&lt;&gt;0),IF((D138&gt;0)," ",F138)," ")</f>
        <v> </v>
      </c>
      <c r="I138" s="339" t="str">
        <f aca="false">IF((F138&lt;&gt;0),IF((D138&gt;0)," ",(I$1-A138))," ")</f>
        <v> </v>
      </c>
    </row>
    <row r="139" customFormat="false" ht="12.75" hidden="false" customHeight="false" outlineLevel="0" collapsed="false">
      <c r="A139" s="355"/>
      <c r="H139" s="338" t="str">
        <f aca="false">IF((F139&lt;&gt;0),IF((D139&gt;0)," ",F139)," ")</f>
        <v> </v>
      </c>
      <c r="I139" s="339" t="str">
        <f aca="false">IF((F139&lt;&gt;0),IF((D139&gt;0)," ",(I$1-A139))," ")</f>
        <v> </v>
      </c>
    </row>
    <row r="140" customFormat="false" ht="12.75" hidden="false" customHeight="false" outlineLevel="0" collapsed="false">
      <c r="A140" s="355"/>
      <c r="H140" s="338" t="str">
        <f aca="false">IF((F140&lt;&gt;0),IF((D140&gt;0)," ",F140)," ")</f>
        <v> </v>
      </c>
      <c r="I140" s="339" t="str">
        <f aca="false">IF((F140&lt;&gt;0),IF((D140&gt;0)," ",(I$1-A140))," ")</f>
        <v> </v>
      </c>
    </row>
    <row r="141" customFormat="false" ht="12.75" hidden="false" customHeight="false" outlineLevel="0" collapsed="false">
      <c r="A141" s="355"/>
      <c r="H141" s="338" t="str">
        <f aca="false">IF((F141&lt;&gt;0),IF((D141&gt;0)," ",F141)," ")</f>
        <v> </v>
      </c>
      <c r="I141" s="339" t="str">
        <f aca="false">IF((F141&lt;&gt;0),IF((D141&gt;0)," ",(I$1-A141))," ")</f>
        <v> </v>
      </c>
    </row>
    <row r="142" customFormat="false" ht="12.75" hidden="false" customHeight="false" outlineLevel="0" collapsed="false">
      <c r="A142" s="355"/>
      <c r="H142" s="338" t="str">
        <f aca="false">IF((F142&lt;&gt;0),IF((D142&gt;0)," ",F142)," ")</f>
        <v> </v>
      </c>
      <c r="I142" s="339" t="str">
        <f aca="false">IF((F142&lt;&gt;0),IF((D142&gt;0)," ",(I$1-A142))," ")</f>
        <v> </v>
      </c>
    </row>
    <row r="143" customFormat="false" ht="12.75" hidden="false" customHeight="false" outlineLevel="0" collapsed="false">
      <c r="A143" s="355"/>
      <c r="H143" s="338" t="str">
        <f aca="false">IF((F143&lt;&gt;0),IF((D143&gt;0)," ",F143)," ")</f>
        <v> </v>
      </c>
      <c r="I143" s="339" t="str">
        <f aca="false">IF((F143&lt;&gt;0),IF((D143&gt;0)," ",(I$1-A143))," ")</f>
        <v> </v>
      </c>
    </row>
    <row r="144" customFormat="false" ht="12.75" hidden="false" customHeight="false" outlineLevel="0" collapsed="false">
      <c r="A144" s="355"/>
      <c r="H144" s="338" t="str">
        <f aca="false">IF((F144&lt;&gt;0),IF((D144&gt;0)," ",F144)," ")</f>
        <v> </v>
      </c>
      <c r="I144" s="339" t="str">
        <f aca="false">IF((F144&lt;&gt;0),IF((D144&gt;0)," ",(I$1-A144))," ")</f>
        <v> </v>
      </c>
    </row>
    <row r="145" customFormat="false" ht="12.75" hidden="false" customHeight="false" outlineLevel="0" collapsed="false">
      <c r="A145" s="355"/>
      <c r="H145" s="338" t="str">
        <f aca="false">IF((F145&lt;&gt;0),IF((D145&gt;0)," ",F145)," ")</f>
        <v> </v>
      </c>
      <c r="I145" s="339" t="str">
        <f aca="false">IF((F145&lt;&gt;0),IF((D145&gt;0)," ",(I$1-A145))," ")</f>
        <v> </v>
      </c>
    </row>
    <row r="146" customFormat="false" ht="12.75" hidden="false" customHeight="false" outlineLevel="0" collapsed="false">
      <c r="A146" s="355"/>
      <c r="H146" s="338" t="str">
        <f aca="false">IF((F146&lt;&gt;0),IF((D146&gt;0)," ",F146)," ")</f>
        <v> </v>
      </c>
      <c r="I146" s="339" t="str">
        <f aca="false">IF((F146&lt;&gt;0),IF((D146&gt;0)," ",(I$1-A146))," ")</f>
        <v> </v>
      </c>
    </row>
    <row r="147" customFormat="false" ht="12.75" hidden="false" customHeight="false" outlineLevel="0" collapsed="false">
      <c r="A147" s="355"/>
      <c r="H147" s="338" t="str">
        <f aca="false">IF((F147&lt;&gt;0),IF((D147&gt;0)," ",F147)," ")</f>
        <v> </v>
      </c>
      <c r="I147" s="339" t="str">
        <f aca="false">IF((F147&lt;&gt;0),IF((D147&gt;0)," ",(I$1-A147))," ")</f>
        <v> </v>
      </c>
    </row>
    <row r="148" customFormat="false" ht="12.75" hidden="false" customHeight="false" outlineLevel="0" collapsed="false">
      <c r="A148" s="355"/>
      <c r="H148" s="338" t="str">
        <f aca="false">IF((F148&lt;&gt;0),IF((D148&gt;0)," ",F148)," ")</f>
        <v> </v>
      </c>
      <c r="I148" s="339" t="str">
        <f aca="false">IF((F148&lt;&gt;0),IF((D148&gt;0)," ",(I$1-A148))," ")</f>
        <v> </v>
      </c>
    </row>
    <row r="149" customFormat="false" ht="12.75" hidden="false" customHeight="false" outlineLevel="0" collapsed="false">
      <c r="A149" s="355"/>
      <c r="H149" s="338" t="str">
        <f aca="false">IF((F149&lt;&gt;0),IF((D149&gt;0)," ",F149)," ")</f>
        <v> </v>
      </c>
      <c r="I149" s="339" t="str">
        <f aca="false">IF((F149&lt;&gt;0),IF((D149&gt;0)," ",(I$1-A149))," ")</f>
        <v> </v>
      </c>
    </row>
    <row r="150" customFormat="false" ht="12.75" hidden="false" customHeight="false" outlineLevel="0" collapsed="false">
      <c r="A150" s="355"/>
      <c r="H150" s="338" t="str">
        <f aca="false">IF((F150&lt;&gt;0),IF((D150&gt;0)," ",F150)," ")</f>
        <v> </v>
      </c>
      <c r="I150" s="339" t="str">
        <f aca="false">IF((F150&lt;&gt;0),IF((D150&gt;0)," ",(I$1-A150))," ")</f>
        <v> </v>
      </c>
    </row>
    <row r="151" customFormat="false" ht="12.75" hidden="false" customHeight="false" outlineLevel="0" collapsed="false">
      <c r="A151" s="355"/>
      <c r="H151" s="338" t="str">
        <f aca="false">IF((F151&lt;&gt;0),IF((D151&gt;0)," ",F151)," ")</f>
        <v> </v>
      </c>
      <c r="I151" s="339" t="str">
        <f aca="false">IF((F151&lt;&gt;0),IF((D151&gt;0)," ",(I$1-A151))," ")</f>
        <v> </v>
      </c>
    </row>
    <row r="152" customFormat="false" ht="12.75" hidden="false" customHeight="false" outlineLevel="0" collapsed="false">
      <c r="A152" s="355"/>
      <c r="H152" s="338" t="str">
        <f aca="false">IF((F152&lt;&gt;0),IF((D152&gt;0)," ",F152)," ")</f>
        <v> </v>
      </c>
      <c r="I152" s="339" t="str">
        <f aca="false">IF((F152&lt;&gt;0),IF((D152&gt;0)," ",(I$1-A152))," ")</f>
        <v> </v>
      </c>
    </row>
    <row r="153" customFormat="false" ht="12.75" hidden="false" customHeight="false" outlineLevel="0" collapsed="false">
      <c r="A153" s="355"/>
      <c r="H153" s="338" t="str">
        <f aca="false">IF((F153&lt;&gt;0),IF((D153&gt;0)," ",F153)," ")</f>
        <v> </v>
      </c>
      <c r="I153" s="339" t="str">
        <f aca="false">IF((F153&lt;&gt;0),IF((D153&gt;0)," ",(I$1-A153))," ")</f>
        <v> </v>
      </c>
    </row>
    <row r="154" customFormat="false" ht="12.75" hidden="false" customHeight="false" outlineLevel="0" collapsed="false">
      <c r="A154" s="355"/>
      <c r="H154" s="338" t="str">
        <f aca="false">IF((F154&lt;&gt;0),IF((D154&gt;0)," ",F154)," ")</f>
        <v> </v>
      </c>
      <c r="I154" s="339" t="str">
        <f aca="false">IF((F154&lt;&gt;0),IF((D154&gt;0)," ",(I$1-A154))," ")</f>
        <v> </v>
      </c>
    </row>
    <row r="155" customFormat="false" ht="12.75" hidden="false" customHeight="false" outlineLevel="0" collapsed="false">
      <c r="A155" s="355"/>
      <c r="H155" s="338" t="str">
        <f aca="false">IF((F155&lt;&gt;0),IF((D155&gt;0)," ",F155)," ")</f>
        <v> </v>
      </c>
      <c r="I155" s="339" t="str">
        <f aca="false">IF((F155&lt;&gt;0),IF((D155&gt;0)," ",(I$1-A155))," ")</f>
        <v> </v>
      </c>
    </row>
    <row r="156" customFormat="false" ht="12.75" hidden="false" customHeight="false" outlineLevel="0" collapsed="false">
      <c r="A156" s="355"/>
      <c r="H156" s="338" t="str">
        <f aca="false">IF((F156&lt;&gt;0),IF((D156&gt;0)," ",F156)," ")</f>
        <v> </v>
      </c>
      <c r="I156" s="339" t="str">
        <f aca="false">IF((F156&lt;&gt;0),IF((D156&gt;0)," ",(I$1-A156))," ")</f>
        <v> </v>
      </c>
    </row>
    <row r="157" customFormat="false" ht="12.75" hidden="false" customHeight="false" outlineLevel="0" collapsed="false">
      <c r="A157" s="355"/>
      <c r="H157" s="338" t="str">
        <f aca="false">IF((F157&lt;&gt;0),IF((D157&gt;0)," ",F157)," ")</f>
        <v> </v>
      </c>
      <c r="I157" s="339" t="str">
        <f aca="false">IF((F157&lt;&gt;0),IF((D157&gt;0)," ",(I$1-A157))," ")</f>
        <v> </v>
      </c>
    </row>
    <row r="158" customFormat="false" ht="12.75" hidden="false" customHeight="false" outlineLevel="0" collapsed="false">
      <c r="A158" s="355"/>
      <c r="H158" s="338" t="str">
        <f aca="false">IF((F158&lt;&gt;0),IF((D158&gt;0)," ",F158)," ")</f>
        <v> </v>
      </c>
      <c r="I158" s="339" t="str">
        <f aca="false">IF((F158&lt;&gt;0),IF((D158&gt;0)," ",(I$1-A158))," ")</f>
        <v> </v>
      </c>
    </row>
    <row r="159" customFormat="false" ht="12.75" hidden="false" customHeight="false" outlineLevel="0" collapsed="false">
      <c r="A159" s="355"/>
      <c r="H159" s="338" t="str">
        <f aca="false">IF((F159&lt;&gt;0),IF((D159&gt;0)," ",F159)," ")</f>
        <v> </v>
      </c>
      <c r="I159" s="339" t="str">
        <f aca="false">IF((F159&lt;&gt;0),IF((D159&gt;0)," ",(I$1-A159))," ")</f>
        <v> </v>
      </c>
    </row>
    <row r="160" customFormat="false" ht="12.75" hidden="false" customHeight="false" outlineLevel="0" collapsed="false">
      <c r="A160" s="355"/>
      <c r="H160" s="338" t="str">
        <f aca="false">IF((F160&lt;&gt;0),IF((D160&gt;0)," ",F160)," ")</f>
        <v> </v>
      </c>
      <c r="I160" s="339" t="str">
        <f aca="false">IF((F160&lt;&gt;0),IF((D160&gt;0)," ",(I$1-A160))," ")</f>
        <v> </v>
      </c>
    </row>
    <row r="161" customFormat="false" ht="12.75" hidden="false" customHeight="false" outlineLevel="0" collapsed="false">
      <c r="A161" s="355"/>
      <c r="H161" s="338" t="str">
        <f aca="false">IF((F161&lt;&gt;0),IF((D161&gt;0)," ",F161)," ")</f>
        <v> </v>
      </c>
      <c r="I161" s="339" t="str">
        <f aca="false">IF((F161&lt;&gt;0),IF((D161&gt;0)," ",(I$1-A161))," ")</f>
        <v> </v>
      </c>
    </row>
    <row r="162" customFormat="false" ht="12.75" hidden="false" customHeight="false" outlineLevel="0" collapsed="false">
      <c r="A162" s="355"/>
      <c r="H162" s="338" t="str">
        <f aca="false">IF((F162&lt;&gt;0),IF((D162&gt;0)," ",F162)," ")</f>
        <v> </v>
      </c>
      <c r="I162" s="339" t="str">
        <f aca="false">IF((F162&lt;&gt;0),IF((D162&gt;0)," ",(I$1-A162))," ")</f>
        <v> </v>
      </c>
    </row>
    <row r="163" customFormat="false" ht="12.75" hidden="false" customHeight="false" outlineLevel="0" collapsed="false">
      <c r="A163" s="355"/>
      <c r="H163" s="338" t="str">
        <f aca="false">IF((F163&lt;&gt;0),IF((D163&gt;0)," ",F163)," ")</f>
        <v> </v>
      </c>
      <c r="I163" s="339" t="str">
        <f aca="false">IF((F163&lt;&gt;0),IF((D163&gt;0)," ",(I$1-A163))," ")</f>
        <v> </v>
      </c>
    </row>
    <row r="164" customFormat="false" ht="12.75" hidden="false" customHeight="false" outlineLevel="0" collapsed="false">
      <c r="A164" s="355"/>
      <c r="H164" s="338" t="str">
        <f aca="false">IF((F164&lt;&gt;0),IF((D164&gt;0)," ",F164)," ")</f>
        <v> </v>
      </c>
      <c r="I164" s="339" t="str">
        <f aca="false">IF((F164&lt;&gt;0),IF((D164&gt;0)," ",(I$1-A164))," ")</f>
        <v> </v>
      </c>
    </row>
    <row r="165" customFormat="false" ht="12.75" hidden="false" customHeight="false" outlineLevel="0" collapsed="false">
      <c r="A165" s="355"/>
      <c r="H165" s="338" t="str">
        <f aca="false">IF((F165&lt;&gt;0),IF((D165&gt;0)," ",F165)," ")</f>
        <v> </v>
      </c>
      <c r="I165" s="339" t="str">
        <f aca="false">IF((F165&lt;&gt;0),IF((D165&gt;0)," ",(I$1-A165))," ")</f>
        <v> </v>
      </c>
    </row>
    <row r="166" customFormat="false" ht="12.75" hidden="false" customHeight="false" outlineLevel="0" collapsed="false">
      <c r="A166" s="355"/>
      <c r="H166" s="338" t="str">
        <f aca="false">IF((F166&lt;&gt;0),IF((D166&gt;0)," ",F166)," ")</f>
        <v> </v>
      </c>
      <c r="I166" s="339" t="str">
        <f aca="false">IF((F166&lt;&gt;0),IF((D166&gt;0)," ",(I$1-A166))," ")</f>
        <v> </v>
      </c>
    </row>
    <row r="167" customFormat="false" ht="12.75" hidden="false" customHeight="false" outlineLevel="0" collapsed="false">
      <c r="A167" s="355"/>
      <c r="H167" s="338" t="str">
        <f aca="false">IF((F167&lt;&gt;0),IF((D167&gt;0)," ",F167)," ")</f>
        <v> </v>
      </c>
      <c r="I167" s="339" t="str">
        <f aca="false">IF((F167&lt;&gt;0),IF((D167&gt;0)," ",(I$1-A167))," ")</f>
        <v> </v>
      </c>
    </row>
    <row r="168" customFormat="false" ht="12.75" hidden="false" customHeight="false" outlineLevel="0" collapsed="false">
      <c r="A168" s="355"/>
      <c r="H168" s="338" t="str">
        <f aca="false">IF((F168&lt;&gt;0),IF((D168&gt;0)," ",F168)," ")</f>
        <v> </v>
      </c>
      <c r="I168" s="339" t="str">
        <f aca="false">IF((F168&lt;&gt;0),IF((D168&gt;0)," ",(I$1-A168))," ")</f>
        <v> </v>
      </c>
    </row>
    <row r="169" customFormat="false" ht="12.75" hidden="false" customHeight="false" outlineLevel="0" collapsed="false">
      <c r="A169" s="355"/>
      <c r="H169" s="338" t="str">
        <f aca="false">IF((F169&lt;&gt;0),IF((D169&gt;0)," ",F169)," ")</f>
        <v> </v>
      </c>
      <c r="I169" s="339" t="str">
        <f aca="false">IF((F169&lt;&gt;0),IF((D169&gt;0)," ",(I$1-A169))," ")</f>
        <v> </v>
      </c>
    </row>
    <row r="170" customFormat="false" ht="12.75" hidden="false" customHeight="false" outlineLevel="0" collapsed="false">
      <c r="A170" s="355"/>
      <c r="H170" s="338" t="str">
        <f aca="false">IF((F170&lt;&gt;0),IF((D170&gt;0)," ",F170)," ")</f>
        <v> </v>
      </c>
      <c r="I170" s="339" t="str">
        <f aca="false">IF((F170&lt;&gt;0),IF((D170&gt;0)," ",(I$1-A170))," ")</f>
        <v> </v>
      </c>
    </row>
    <row r="171" customFormat="false" ht="12.75" hidden="false" customHeight="false" outlineLevel="0" collapsed="false">
      <c r="A171" s="355"/>
      <c r="H171" s="338" t="str">
        <f aca="false">IF((F171&lt;&gt;0),IF((D171&gt;0)," ",F171)," ")</f>
        <v> </v>
      </c>
      <c r="I171" s="339" t="str">
        <f aca="false">IF((F171&lt;&gt;0),IF((D171&gt;0)," ",(I$1-A171))," ")</f>
        <v> </v>
      </c>
    </row>
    <row r="172" customFormat="false" ht="12.75" hidden="false" customHeight="false" outlineLevel="0" collapsed="false">
      <c r="A172" s="355"/>
      <c r="H172" s="338" t="str">
        <f aca="false">IF((F172&lt;&gt;0),IF((D172&gt;0)," ",F172)," ")</f>
        <v> </v>
      </c>
      <c r="I172" s="339" t="str">
        <f aca="false">IF((F172&lt;&gt;0),IF((D172&gt;0)," ",(I$1-A172))," ")</f>
        <v> </v>
      </c>
    </row>
    <row r="173" customFormat="false" ht="12.75" hidden="false" customHeight="false" outlineLevel="0" collapsed="false">
      <c r="A173" s="355"/>
      <c r="H173" s="338" t="str">
        <f aca="false">IF((F173&lt;&gt;0),IF((D173&gt;0)," ",F173)," ")</f>
        <v> </v>
      </c>
      <c r="I173" s="339" t="str">
        <f aca="false">IF((F173&lt;&gt;0),IF((D173&gt;0)," ",(I$1-A173))," ")</f>
        <v> </v>
      </c>
    </row>
    <row r="174" customFormat="false" ht="12.75" hidden="false" customHeight="false" outlineLevel="0" collapsed="false">
      <c r="A174" s="355"/>
      <c r="H174" s="338" t="str">
        <f aca="false">IF((F174&lt;&gt;0),IF((D174&gt;0)," ",F174)," ")</f>
        <v> </v>
      </c>
      <c r="I174" s="339" t="str">
        <f aca="false">IF((F174&lt;&gt;0),IF((D174&gt;0)," ",(I$1-A174))," ")</f>
        <v> </v>
      </c>
    </row>
    <row r="175" customFormat="false" ht="12.75" hidden="false" customHeight="false" outlineLevel="0" collapsed="false">
      <c r="A175" s="355"/>
      <c r="H175" s="338" t="str">
        <f aca="false">IF((F175&lt;&gt;0),IF((D175&gt;0)," ",F175)," ")</f>
        <v> </v>
      </c>
      <c r="I175" s="339" t="str">
        <f aca="false">IF((F175&lt;&gt;0),IF((D175&gt;0)," ",(I$1-A175))," ")</f>
        <v> </v>
      </c>
    </row>
    <row r="176" customFormat="false" ht="12.75" hidden="false" customHeight="false" outlineLevel="0" collapsed="false">
      <c r="A176" s="355"/>
      <c r="H176" s="338" t="str">
        <f aca="false">IF((F176&lt;&gt;0),IF((D176&gt;0)," ",F176)," ")</f>
        <v> </v>
      </c>
      <c r="I176" s="339" t="str">
        <f aca="false">IF((F176&lt;&gt;0),IF((D176&gt;0)," ",(I$1-A176))," ")</f>
        <v> </v>
      </c>
    </row>
    <row r="177" customFormat="false" ht="12.75" hidden="false" customHeight="false" outlineLevel="0" collapsed="false">
      <c r="A177" s="355"/>
      <c r="H177" s="338" t="str">
        <f aca="false">IF((F177&lt;&gt;0),IF((D177&gt;0)," ",F177)," ")</f>
        <v> </v>
      </c>
      <c r="I177" s="339" t="str">
        <f aca="false">IF((F177&lt;&gt;0),IF((D177&gt;0)," ",(I$1-A177))," ")</f>
        <v> </v>
      </c>
    </row>
    <row r="178" customFormat="false" ht="12.75" hidden="false" customHeight="false" outlineLevel="0" collapsed="false">
      <c r="A178" s="355"/>
      <c r="H178" s="338" t="str">
        <f aca="false">IF((F178&lt;&gt;0),IF((D178&gt;0)," ",F178)," ")</f>
        <v> </v>
      </c>
      <c r="I178" s="339" t="str">
        <f aca="false">IF((F178&lt;&gt;0),IF((D178&gt;0)," ",(I$1-A178))," ")</f>
        <v> </v>
      </c>
    </row>
    <row r="179" customFormat="false" ht="12.75" hidden="false" customHeight="false" outlineLevel="0" collapsed="false">
      <c r="A179" s="355"/>
      <c r="H179" s="338" t="str">
        <f aca="false">IF((F179&lt;&gt;0),IF((D179&gt;0)," ",F179)," ")</f>
        <v> </v>
      </c>
      <c r="I179" s="339" t="str">
        <f aca="false">IF((F179&lt;&gt;0),IF((D179&gt;0)," ",(I$1-A179))," ")</f>
        <v> </v>
      </c>
    </row>
    <row r="180" customFormat="false" ht="12.75" hidden="false" customHeight="false" outlineLevel="0" collapsed="false">
      <c r="A180" s="355"/>
      <c r="H180" s="338" t="str">
        <f aca="false">IF((F180&lt;&gt;0),IF((D180&gt;0)," ",F180)," ")</f>
        <v> </v>
      </c>
      <c r="I180" s="339" t="str">
        <f aca="false">IF((F180&lt;&gt;0),IF((D180&gt;0)," ",(I$1-A180))," ")</f>
        <v> </v>
      </c>
    </row>
    <row r="181" customFormat="false" ht="12.75" hidden="false" customHeight="false" outlineLevel="0" collapsed="false">
      <c r="A181" s="355"/>
      <c r="H181" s="338" t="str">
        <f aca="false">IF((F181&lt;&gt;0),IF((D181&gt;0)," ",F181)," ")</f>
        <v> </v>
      </c>
      <c r="I181" s="339" t="str">
        <f aca="false">IF((F181&lt;&gt;0),IF((D181&gt;0)," ",(I$1-A181))," ")</f>
        <v> </v>
      </c>
    </row>
    <row r="182" customFormat="false" ht="12.75" hidden="false" customHeight="false" outlineLevel="0" collapsed="false">
      <c r="A182" s="355"/>
      <c r="H182" s="338" t="str">
        <f aca="false">IF((F182&lt;&gt;0),IF((D182&gt;0)," ",F182)," ")</f>
        <v> </v>
      </c>
      <c r="I182" s="339" t="str">
        <f aca="false">IF((F182&lt;&gt;0),IF((D182&gt;0)," ",(I$1-A182))," ")</f>
        <v> </v>
      </c>
    </row>
    <row r="183" customFormat="false" ht="12.75" hidden="false" customHeight="false" outlineLevel="0" collapsed="false">
      <c r="A183" s="355"/>
      <c r="H183" s="338" t="str">
        <f aca="false">IF((F183&lt;&gt;0),IF((D183&gt;0)," ",F183)," ")</f>
        <v> </v>
      </c>
      <c r="I183" s="339" t="str">
        <f aca="false">IF((F183&lt;&gt;0),IF((D183&gt;0)," ",(I$1-A183))," ")</f>
        <v> </v>
      </c>
    </row>
    <row r="184" customFormat="false" ht="12.75" hidden="false" customHeight="false" outlineLevel="0" collapsed="false">
      <c r="A184" s="355"/>
      <c r="H184" s="338" t="str">
        <f aca="false">IF((F184&lt;&gt;0),IF((D184&gt;0)," ",F184)," ")</f>
        <v> </v>
      </c>
      <c r="I184" s="339" t="str">
        <f aca="false">IF((F184&lt;&gt;0),IF((D184&gt;0)," ",(I$1-A184))," ")</f>
        <v> </v>
      </c>
    </row>
    <row r="185" customFormat="false" ht="12.75" hidden="false" customHeight="false" outlineLevel="0" collapsed="false">
      <c r="A185" s="355"/>
      <c r="H185" s="338" t="str">
        <f aca="false">IF((F185&lt;&gt;0),IF((D185&gt;0)," ",F185)," ")</f>
        <v> </v>
      </c>
      <c r="I185" s="339" t="str">
        <f aca="false">IF((F185&lt;&gt;0),IF((D185&gt;0)," ",(I$1-A185))," ")</f>
        <v> </v>
      </c>
    </row>
    <row r="186" customFormat="false" ht="12.75" hidden="false" customHeight="false" outlineLevel="0" collapsed="false">
      <c r="A186" s="355"/>
      <c r="H186" s="338" t="str">
        <f aca="false">IF((F186&lt;&gt;0),IF((D186&gt;0)," ",F186)," ")</f>
        <v> </v>
      </c>
      <c r="I186" s="339" t="str">
        <f aca="false">IF((F186&lt;&gt;0),IF((D186&gt;0)," ",(I$1-A186))," ")</f>
        <v> </v>
      </c>
    </row>
    <row r="187" customFormat="false" ht="12.75" hidden="false" customHeight="false" outlineLevel="0" collapsed="false">
      <c r="A187" s="355"/>
      <c r="H187" s="338" t="str">
        <f aca="false">IF((F187&lt;&gt;0),IF((D187&gt;0)," ",F187)," ")</f>
        <v> </v>
      </c>
      <c r="I187" s="339" t="str">
        <f aca="false">IF((F187&lt;&gt;0),IF((D187&gt;0)," ",(I$1-A187))," ")</f>
        <v> </v>
      </c>
    </row>
    <row r="188" customFormat="false" ht="12.75" hidden="false" customHeight="false" outlineLevel="0" collapsed="false">
      <c r="A188" s="355"/>
      <c r="H188" s="338" t="str">
        <f aca="false">IF((F188&lt;&gt;0),IF((D188&gt;0)," ",F188)," ")</f>
        <v> </v>
      </c>
      <c r="I188" s="339" t="str">
        <f aca="false">IF((F188&lt;&gt;0),IF((D188&gt;0)," ",(I$1-A188))," ")</f>
        <v> </v>
      </c>
    </row>
    <row r="189" customFormat="false" ht="12.75" hidden="false" customHeight="false" outlineLevel="0" collapsed="false">
      <c r="A189" s="355"/>
      <c r="H189" s="338" t="str">
        <f aca="false">IF((F189&lt;&gt;0),IF((D189&gt;0)," ",F189)," ")</f>
        <v> </v>
      </c>
      <c r="I189" s="339" t="str">
        <f aca="false">IF((F189&lt;&gt;0),IF((D189&gt;0)," ",(I$1-A189))," ")</f>
        <v> </v>
      </c>
    </row>
    <row r="190" customFormat="false" ht="12.75" hidden="false" customHeight="false" outlineLevel="0" collapsed="false">
      <c r="A190" s="355"/>
      <c r="H190" s="338" t="str">
        <f aca="false">IF((F190&lt;&gt;0),IF((D190&gt;0)," ",F190)," ")</f>
        <v> </v>
      </c>
      <c r="I190" s="339" t="str">
        <f aca="false">IF((F190&lt;&gt;0),IF((D190&gt;0)," ",(I$1-A190))," ")</f>
        <v> </v>
      </c>
    </row>
    <row r="191" customFormat="false" ht="12.75" hidden="false" customHeight="false" outlineLevel="0" collapsed="false">
      <c r="A191" s="355"/>
      <c r="H191" s="338" t="str">
        <f aca="false">IF((F191&lt;&gt;0),IF((D191&gt;0)," ",F191)," ")</f>
        <v> </v>
      </c>
      <c r="I191" s="339" t="str">
        <f aca="false">IF((F191&lt;&gt;0),IF((D191&gt;0)," ",(I$1-A191))," ")</f>
        <v> </v>
      </c>
    </row>
    <row r="192" customFormat="false" ht="12.75" hidden="false" customHeight="false" outlineLevel="0" collapsed="false">
      <c r="A192" s="355"/>
      <c r="H192" s="338" t="str">
        <f aca="false">IF((F192&lt;&gt;0),IF((D192&gt;0)," ",F192)," ")</f>
        <v> </v>
      </c>
      <c r="I192" s="339" t="str">
        <f aca="false">IF((F192&lt;&gt;0),IF((D192&gt;0)," ",(I$1-A192))," ")</f>
        <v> </v>
      </c>
    </row>
    <row r="193" customFormat="false" ht="12.75" hidden="false" customHeight="false" outlineLevel="0" collapsed="false">
      <c r="A193" s="355"/>
      <c r="H193" s="338" t="str">
        <f aca="false">IF((F193&lt;&gt;0),IF((D193&gt;0)," ",F193)," ")</f>
        <v> </v>
      </c>
      <c r="I193" s="339" t="str">
        <f aca="false">IF((F193&lt;&gt;0),IF((D193&gt;0)," ",(I$1-A193))," ")</f>
        <v> </v>
      </c>
    </row>
    <row r="194" customFormat="false" ht="12.75" hidden="false" customHeight="false" outlineLevel="0" collapsed="false">
      <c r="A194" s="355"/>
      <c r="H194" s="338" t="str">
        <f aca="false">IF((F194&lt;&gt;0),IF((D194&gt;0)," ",F194)," ")</f>
        <v> </v>
      </c>
      <c r="I194" s="339" t="str">
        <f aca="false">IF((F194&lt;&gt;0),IF((D194&gt;0)," ",(I$1-A194))," ")</f>
        <v> </v>
      </c>
    </row>
    <row r="195" customFormat="false" ht="12.75" hidden="false" customHeight="false" outlineLevel="0" collapsed="false">
      <c r="A195" s="355"/>
      <c r="H195" s="338" t="str">
        <f aca="false">IF((F195&lt;&gt;0),IF((D195&gt;0)," ",F195)," ")</f>
        <v> </v>
      </c>
      <c r="I195" s="339" t="str">
        <f aca="false">IF((F195&lt;&gt;0),IF((D195&gt;0)," ",(I$1-A195))," ")</f>
        <v> </v>
      </c>
    </row>
    <row r="196" customFormat="false" ht="12.75" hidden="false" customHeight="false" outlineLevel="0" collapsed="false">
      <c r="A196" s="355"/>
      <c r="H196" s="338" t="str">
        <f aca="false">IF((F196&lt;&gt;0),IF((D196&gt;0)," ",F196)," ")</f>
        <v> </v>
      </c>
      <c r="I196" s="339" t="str">
        <f aca="false">IF((F196&lt;&gt;0),IF((D196&gt;0)," ",(I$1-A196))," ")</f>
        <v> </v>
      </c>
    </row>
    <row r="197" customFormat="false" ht="12.75" hidden="false" customHeight="false" outlineLevel="0" collapsed="false">
      <c r="A197" s="355"/>
      <c r="H197" s="338" t="str">
        <f aca="false">IF((F197&lt;&gt;0),IF((D197&gt;0)," ",F197)," ")</f>
        <v> </v>
      </c>
      <c r="I197" s="339" t="str">
        <f aca="false">IF((F197&lt;&gt;0),IF((D197&gt;0)," ",(I$1-A197))," ")</f>
        <v> </v>
      </c>
    </row>
    <row r="198" customFormat="false" ht="12.75" hidden="false" customHeight="false" outlineLevel="0" collapsed="false">
      <c r="A198" s="355"/>
      <c r="H198" s="338" t="str">
        <f aca="false">IF((F198&lt;&gt;0),IF((D198&gt;0)," ",F198)," ")</f>
        <v> </v>
      </c>
      <c r="I198" s="339" t="str">
        <f aca="false">IF((F198&lt;&gt;0),IF((D198&gt;0)," ",(I$1-A198))," ")</f>
        <v> </v>
      </c>
    </row>
    <row r="199" customFormat="false" ht="12.75" hidden="false" customHeight="false" outlineLevel="0" collapsed="false">
      <c r="A199" s="355"/>
      <c r="H199" s="338" t="str">
        <f aca="false">IF((F199&lt;&gt;0),IF((D199&gt;0)," ",F199)," ")</f>
        <v> </v>
      </c>
      <c r="I199" s="339" t="str">
        <f aca="false">IF((F199&lt;&gt;0),IF((D199&gt;0)," ",(I$1-A199))," ")</f>
        <v> </v>
      </c>
    </row>
    <row r="200" customFormat="false" ht="12.75" hidden="false" customHeight="false" outlineLevel="0" collapsed="false">
      <c r="A200" s="355"/>
      <c r="H200" s="338" t="str">
        <f aca="false">IF((F200&lt;&gt;0),IF((D200&gt;0)," ",F200)," ")</f>
        <v> </v>
      </c>
      <c r="I200" s="339" t="str">
        <f aca="false">IF((F200&lt;&gt;0),IF((D200&gt;0)," ",(I$1-A200))," ")</f>
        <v> </v>
      </c>
    </row>
    <row r="201" customFormat="false" ht="12.75" hidden="false" customHeight="false" outlineLevel="0" collapsed="false">
      <c r="A201" s="355"/>
      <c r="H201" s="338" t="str">
        <f aca="false">IF((F201&lt;&gt;0),IF((D201&gt;0)," ",F201)," ")</f>
        <v> </v>
      </c>
      <c r="I201" s="339" t="str">
        <f aca="false">IF((F201&lt;&gt;0),IF((D201&gt;0)," ",(I$1-A201))," ")</f>
        <v> </v>
      </c>
    </row>
    <row r="202" customFormat="false" ht="12.75" hidden="false" customHeight="false" outlineLevel="0" collapsed="false">
      <c r="A202" s="355"/>
      <c r="H202" s="338" t="str">
        <f aca="false">IF((F202&lt;&gt;0),IF((D202&gt;0)," ",F202)," ")</f>
        <v> </v>
      </c>
      <c r="I202" s="339" t="str">
        <f aca="false">IF((F202&lt;&gt;0),IF((D202&gt;0)," ",(I$1-A202))," ")</f>
        <v> </v>
      </c>
    </row>
    <row r="203" customFormat="false" ht="12.75" hidden="false" customHeight="false" outlineLevel="0" collapsed="false">
      <c r="A203" s="355"/>
      <c r="H203" s="338" t="str">
        <f aca="false">IF((F203&lt;&gt;0),IF((D203&gt;0)," ",F203)," ")</f>
        <v> </v>
      </c>
      <c r="I203" s="339" t="str">
        <f aca="false">IF((F203&lt;&gt;0),IF((D203&gt;0)," ",(I$1-A203))," ")</f>
        <v> </v>
      </c>
    </row>
    <row r="204" customFormat="false" ht="12.75" hidden="false" customHeight="false" outlineLevel="0" collapsed="false">
      <c r="A204" s="355"/>
      <c r="H204" s="338" t="str">
        <f aca="false">IF((F204&lt;&gt;0),IF((D204&gt;0)," ",F204)," ")</f>
        <v> </v>
      </c>
      <c r="I204" s="339" t="str">
        <f aca="false">IF((F204&lt;&gt;0),IF((D204&gt;0)," ",(I$1-A204))," ")</f>
        <v> </v>
      </c>
    </row>
    <row r="205" customFormat="false" ht="12.75" hidden="false" customHeight="false" outlineLevel="0" collapsed="false">
      <c r="A205" s="355"/>
    </row>
    <row r="206" customFormat="false" ht="12.75" hidden="false" customHeight="false" outlineLevel="0" collapsed="false">
      <c r="A206" s="355"/>
    </row>
    <row r="207" customFormat="false" ht="12.75" hidden="false" customHeight="false" outlineLevel="0" collapsed="false">
      <c r="A207" s="355"/>
    </row>
    <row r="208" customFormat="false" ht="12.75" hidden="false" customHeight="false" outlineLevel="0" collapsed="false">
      <c r="A208" s="355"/>
    </row>
    <row r="209" customFormat="false" ht="12.75" hidden="false" customHeight="false" outlineLevel="0" collapsed="false">
      <c r="A209" s="355"/>
    </row>
    <row r="210" customFormat="false" ht="12.75" hidden="false" customHeight="false" outlineLevel="0" collapsed="false">
      <c r="A210" s="355"/>
    </row>
    <row r="211" customFormat="false" ht="12.75" hidden="false" customHeight="false" outlineLevel="0" collapsed="false">
      <c r="A211" s="355"/>
    </row>
    <row r="212" customFormat="false" ht="12.75" hidden="false" customHeight="false" outlineLevel="0" collapsed="false">
      <c r="A212" s="355"/>
    </row>
    <row r="213" customFormat="false" ht="12.75" hidden="false" customHeight="false" outlineLevel="0" collapsed="false">
      <c r="A213" s="355"/>
    </row>
    <row r="214" customFormat="false" ht="12.75" hidden="false" customHeight="false" outlineLevel="0" collapsed="false">
      <c r="A214" s="355"/>
    </row>
    <row r="215" customFormat="false" ht="12.75" hidden="false" customHeight="false" outlineLevel="0" collapsed="false">
      <c r="A215" s="355"/>
    </row>
    <row r="216" customFormat="false" ht="12.75" hidden="false" customHeight="false" outlineLevel="0" collapsed="false">
      <c r="A216" s="355"/>
    </row>
    <row r="217" customFormat="false" ht="12.75" hidden="false" customHeight="false" outlineLevel="0" collapsed="false">
      <c r="A217" s="355"/>
    </row>
    <row r="218" customFormat="false" ht="12.75" hidden="false" customHeight="false" outlineLevel="0" collapsed="false">
      <c r="A218" s="355"/>
    </row>
    <row r="219" customFormat="false" ht="12.75" hidden="false" customHeight="false" outlineLevel="0" collapsed="false">
      <c r="A219" s="355"/>
    </row>
    <row r="220" customFormat="false" ht="12.75" hidden="false" customHeight="false" outlineLevel="0" collapsed="false">
      <c r="A220" s="355"/>
    </row>
    <row r="221" customFormat="false" ht="12.75" hidden="false" customHeight="false" outlineLevel="0" collapsed="false">
      <c r="A221" s="355"/>
    </row>
    <row r="222" customFormat="false" ht="12.75" hidden="false" customHeight="false" outlineLevel="0" collapsed="false">
      <c r="A222" s="355"/>
    </row>
    <row r="223" customFormat="false" ht="12.75" hidden="false" customHeight="false" outlineLevel="0" collapsed="false">
      <c r="A223" s="355"/>
    </row>
    <row r="224" customFormat="false" ht="12.75" hidden="false" customHeight="false" outlineLevel="0" collapsed="false">
      <c r="A224" s="355"/>
    </row>
    <row r="225" customFormat="false" ht="12.75" hidden="false" customHeight="false" outlineLevel="0" collapsed="false">
      <c r="A225" s="355"/>
    </row>
    <row r="226" customFormat="false" ht="12.75" hidden="false" customHeight="false" outlineLevel="0" collapsed="false">
      <c r="A226" s="355"/>
    </row>
    <row r="227" customFormat="false" ht="12.75" hidden="false" customHeight="false" outlineLevel="0" collapsed="false">
      <c r="A227" s="355"/>
    </row>
    <row r="228" customFormat="false" ht="12.75" hidden="false" customHeight="false" outlineLevel="0" collapsed="false">
      <c r="A228" s="355"/>
    </row>
    <row r="229" customFormat="false" ht="12.75" hidden="false" customHeight="false" outlineLevel="0" collapsed="false">
      <c r="A229" s="355"/>
    </row>
    <row r="230" customFormat="false" ht="12.75" hidden="false" customHeight="false" outlineLevel="0" collapsed="false">
      <c r="A230" s="355"/>
    </row>
    <row r="231" customFormat="false" ht="12.75" hidden="false" customHeight="false" outlineLevel="0" collapsed="false">
      <c r="A231" s="355"/>
    </row>
    <row r="232" customFormat="false" ht="12.75" hidden="false" customHeight="false" outlineLevel="0" collapsed="false">
      <c r="A232" s="355"/>
    </row>
    <row r="233" customFormat="false" ht="12.75" hidden="false" customHeight="false" outlineLevel="0" collapsed="false">
      <c r="A233" s="355"/>
    </row>
    <row r="234" customFormat="false" ht="12.75" hidden="false" customHeight="false" outlineLevel="0" collapsed="false">
      <c r="A234" s="355"/>
    </row>
    <row r="235" customFormat="false" ht="12.75" hidden="false" customHeight="false" outlineLevel="0" collapsed="false">
      <c r="A235" s="355"/>
    </row>
    <row r="236" customFormat="false" ht="12.75" hidden="false" customHeight="false" outlineLevel="0" collapsed="false">
      <c r="A236" s="355"/>
    </row>
    <row r="237" customFormat="false" ht="12.75" hidden="false" customHeight="false" outlineLevel="0" collapsed="false">
      <c r="A237" s="355"/>
    </row>
    <row r="238" customFormat="false" ht="12.75" hidden="false" customHeight="false" outlineLevel="0" collapsed="false">
      <c r="A238" s="355"/>
    </row>
    <row r="239" customFormat="false" ht="12.75" hidden="false" customHeight="false" outlineLevel="0" collapsed="false">
      <c r="A239" s="355"/>
    </row>
    <row r="240" customFormat="false" ht="12.75" hidden="false" customHeight="false" outlineLevel="0" collapsed="false">
      <c r="A240" s="355"/>
    </row>
    <row r="241" customFormat="false" ht="12.75" hidden="false" customHeight="false" outlineLevel="0" collapsed="false">
      <c r="A241" s="355"/>
    </row>
    <row r="242" customFormat="false" ht="12.75" hidden="false" customHeight="false" outlineLevel="0" collapsed="false">
      <c r="A242" s="355"/>
    </row>
    <row r="243" customFormat="false" ht="12.75" hidden="false" customHeight="false" outlineLevel="0" collapsed="false">
      <c r="A243" s="355"/>
    </row>
    <row r="244" customFormat="false" ht="12.75" hidden="false" customHeight="false" outlineLevel="0" collapsed="false">
      <c r="A244" s="355"/>
    </row>
    <row r="245" customFormat="false" ht="12.75" hidden="false" customHeight="false" outlineLevel="0" collapsed="false">
      <c r="A245" s="355"/>
    </row>
    <row r="246" customFormat="false" ht="12.75" hidden="false" customHeight="false" outlineLevel="0" collapsed="false">
      <c r="A246" s="355"/>
    </row>
    <row r="247" customFormat="false" ht="12.75" hidden="false" customHeight="false" outlineLevel="0" collapsed="false">
      <c r="A247" s="355"/>
    </row>
    <row r="248" customFormat="false" ht="12.75" hidden="false" customHeight="false" outlineLevel="0" collapsed="false">
      <c r="A248" s="355"/>
    </row>
    <row r="249" customFormat="false" ht="12.75" hidden="false" customHeight="false" outlineLevel="0" collapsed="false">
      <c r="A249" s="355"/>
    </row>
    <row r="250" customFormat="false" ht="12.75" hidden="false" customHeight="false" outlineLevel="0" collapsed="false">
      <c r="A250" s="355"/>
    </row>
    <row r="251" customFormat="false" ht="12.75" hidden="false" customHeight="false" outlineLevel="0" collapsed="false">
      <c r="A251" s="355"/>
    </row>
    <row r="252" customFormat="false" ht="12.75" hidden="false" customHeight="false" outlineLevel="0" collapsed="false">
      <c r="A252" s="355"/>
    </row>
    <row r="253" customFormat="false" ht="12.75" hidden="false" customHeight="false" outlineLevel="0" collapsed="false">
      <c r="A253" s="355"/>
    </row>
    <row r="254" customFormat="false" ht="12.75" hidden="false" customHeight="false" outlineLevel="0" collapsed="false">
      <c r="A254" s="355"/>
    </row>
    <row r="255" customFormat="false" ht="12.75" hidden="false" customHeight="false" outlineLevel="0" collapsed="false">
      <c r="A255" s="355"/>
    </row>
    <row r="256" customFormat="false" ht="12.75" hidden="false" customHeight="false" outlineLevel="0" collapsed="false">
      <c r="A256" s="355"/>
    </row>
    <row r="257" customFormat="false" ht="12.75" hidden="false" customHeight="false" outlineLevel="0" collapsed="false">
      <c r="A257" s="355"/>
    </row>
    <row r="258" customFormat="false" ht="12.75" hidden="false" customHeight="false" outlineLevel="0" collapsed="false">
      <c r="A258" s="355"/>
    </row>
    <row r="259" customFormat="false" ht="12.75" hidden="false" customHeight="false" outlineLevel="0" collapsed="false">
      <c r="A259" s="355"/>
    </row>
    <row r="260" customFormat="false" ht="12.75" hidden="false" customHeight="false" outlineLevel="0" collapsed="false">
      <c r="A260" s="355"/>
    </row>
    <row r="261" customFormat="false" ht="12.75" hidden="false" customHeight="false" outlineLevel="0" collapsed="false">
      <c r="A261" s="355"/>
    </row>
    <row r="262" customFormat="false" ht="12.75" hidden="false" customHeight="false" outlineLevel="0" collapsed="false">
      <c r="A262" s="355"/>
    </row>
    <row r="263" customFormat="false" ht="12.75" hidden="false" customHeight="false" outlineLevel="0" collapsed="false">
      <c r="A263" s="355"/>
    </row>
    <row r="264" customFormat="false" ht="12.75" hidden="false" customHeight="false" outlineLevel="0" collapsed="false">
      <c r="A264" s="355"/>
    </row>
    <row r="265" customFormat="false" ht="12.75" hidden="false" customHeight="false" outlineLevel="0" collapsed="false">
      <c r="A265" s="355"/>
    </row>
    <row r="266" customFormat="false" ht="12.75" hidden="false" customHeight="false" outlineLevel="0" collapsed="false">
      <c r="A266" s="355"/>
    </row>
    <row r="267" customFormat="false" ht="12.75" hidden="false" customHeight="false" outlineLevel="0" collapsed="false">
      <c r="A267" s="355"/>
    </row>
    <row r="268" customFormat="false" ht="12.75" hidden="false" customHeight="false" outlineLevel="0" collapsed="false">
      <c r="A268" s="355"/>
    </row>
    <row r="269" customFormat="false" ht="12.75" hidden="false" customHeight="false" outlineLevel="0" collapsed="false">
      <c r="A269" s="355"/>
    </row>
    <row r="270" customFormat="false" ht="12.75" hidden="false" customHeight="false" outlineLevel="0" collapsed="false">
      <c r="A270" s="355"/>
    </row>
    <row r="271" customFormat="false" ht="12.75" hidden="false" customHeight="false" outlineLevel="0" collapsed="false">
      <c r="A271" s="355"/>
    </row>
    <row r="272" customFormat="false" ht="12.75" hidden="false" customHeight="false" outlineLevel="0" collapsed="false">
      <c r="A272" s="355"/>
    </row>
    <row r="273" customFormat="false" ht="12.75" hidden="false" customHeight="false" outlineLevel="0" collapsed="false">
      <c r="A273" s="355"/>
    </row>
    <row r="274" customFormat="false" ht="12.75" hidden="false" customHeight="false" outlineLevel="0" collapsed="false">
      <c r="A274" s="355"/>
    </row>
    <row r="275" customFormat="false" ht="12.75" hidden="false" customHeight="false" outlineLevel="0" collapsed="false">
      <c r="A275" s="355"/>
    </row>
    <row r="276" customFormat="false" ht="12.75" hidden="false" customHeight="false" outlineLevel="0" collapsed="false">
      <c r="A276" s="355"/>
    </row>
    <row r="277" customFormat="false" ht="12.75" hidden="false" customHeight="false" outlineLevel="0" collapsed="false">
      <c r="A277" s="355"/>
    </row>
    <row r="278" customFormat="false" ht="12.75" hidden="false" customHeight="false" outlineLevel="0" collapsed="false">
      <c r="A278" s="355"/>
    </row>
    <row r="279" customFormat="false" ht="12.75" hidden="false" customHeight="false" outlineLevel="0" collapsed="false">
      <c r="A279" s="355"/>
    </row>
    <row r="280" customFormat="false" ht="12.75" hidden="false" customHeight="false" outlineLevel="0" collapsed="false">
      <c r="A280" s="355"/>
    </row>
    <row r="281" customFormat="false" ht="12.75" hidden="false" customHeight="false" outlineLevel="0" collapsed="false">
      <c r="A281" s="355"/>
    </row>
    <row r="282" customFormat="false" ht="12.75" hidden="false" customHeight="false" outlineLevel="0" collapsed="false">
      <c r="A282" s="355"/>
    </row>
    <row r="283" customFormat="false" ht="12.75" hidden="false" customHeight="false" outlineLevel="0" collapsed="false">
      <c r="A283" s="355"/>
    </row>
    <row r="284" customFormat="false" ht="12.75" hidden="false" customHeight="false" outlineLevel="0" collapsed="false">
      <c r="A284" s="355"/>
    </row>
    <row r="285" customFormat="false" ht="12.75" hidden="false" customHeight="false" outlineLevel="0" collapsed="false">
      <c r="A285" s="355"/>
    </row>
    <row r="286" customFormat="false" ht="12.75" hidden="false" customHeight="false" outlineLevel="0" collapsed="false">
      <c r="A286" s="355"/>
    </row>
    <row r="287" customFormat="false" ht="12.75" hidden="false" customHeight="false" outlineLevel="0" collapsed="false">
      <c r="A287" s="355"/>
    </row>
    <row r="288" customFormat="false" ht="12.75" hidden="false" customHeight="false" outlineLevel="0" collapsed="false">
      <c r="A288" s="355"/>
    </row>
    <row r="289" customFormat="false" ht="12.75" hidden="false" customHeight="false" outlineLevel="0" collapsed="false">
      <c r="A289" s="355"/>
    </row>
    <row r="290" customFormat="false" ht="12.75" hidden="false" customHeight="false" outlineLevel="0" collapsed="false">
      <c r="A290" s="355"/>
    </row>
    <row r="291" customFormat="false" ht="12.75" hidden="false" customHeight="false" outlineLevel="0" collapsed="false">
      <c r="A291" s="355"/>
    </row>
    <row r="292" customFormat="false" ht="12.75" hidden="false" customHeight="false" outlineLevel="0" collapsed="false">
      <c r="A292" s="355"/>
    </row>
    <row r="293" customFormat="false" ht="12.75" hidden="false" customHeight="false" outlineLevel="0" collapsed="false">
      <c r="A293" s="355"/>
    </row>
    <row r="294" customFormat="false" ht="12.75" hidden="false" customHeight="false" outlineLevel="0" collapsed="false">
      <c r="A294" s="355"/>
    </row>
    <row r="295" customFormat="false" ht="12.75" hidden="false" customHeight="false" outlineLevel="0" collapsed="false">
      <c r="A295" s="355"/>
    </row>
    <row r="296" customFormat="false" ht="12.75" hidden="false" customHeight="false" outlineLevel="0" collapsed="false">
      <c r="A296" s="355"/>
    </row>
    <row r="297" customFormat="false" ht="12.75" hidden="false" customHeight="false" outlineLevel="0" collapsed="false">
      <c r="A297" s="355"/>
    </row>
    <row r="298" customFormat="false" ht="12.75" hidden="false" customHeight="false" outlineLevel="0" collapsed="false">
      <c r="A298" s="355"/>
    </row>
    <row r="299" customFormat="false" ht="12.75" hidden="false" customHeight="false" outlineLevel="0" collapsed="false">
      <c r="A299" s="355"/>
    </row>
    <row r="300" customFormat="false" ht="12.75" hidden="false" customHeight="false" outlineLevel="0" collapsed="false">
      <c r="A300" s="355"/>
      <c r="B300" s="356"/>
      <c r="C300" s="357"/>
      <c r="D300" s="358"/>
      <c r="E300" s="359"/>
      <c r="F300" s="356"/>
      <c r="G300" s="356"/>
      <c r="H300" s="360"/>
      <c r="I300" s="361"/>
      <c r="J300" s="356"/>
    </row>
    <row r="301" customFormat="false" ht="12.75" hidden="false" customHeight="false" outlineLevel="0" collapsed="false">
      <c r="A301" s="333" t="s">
        <v>265</v>
      </c>
    </row>
  </sheetData>
  <mergeCells count="10">
    <mergeCell ref="A1:A3"/>
    <mergeCell ref="B1:B3"/>
    <mergeCell ref="C2:C3"/>
    <mergeCell ref="D2:D3"/>
    <mergeCell ref="E2:E3"/>
    <mergeCell ref="F2:F3"/>
    <mergeCell ref="G2:G3"/>
    <mergeCell ref="H2:H3"/>
    <mergeCell ref="I2:I3"/>
    <mergeCell ref="J2:K2"/>
  </mergeCells>
  <dataValidations count="1">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4:A300" type="date">
      <formula1>38353</formula1>
      <formula2>53327</formula2>
    </dataValidation>
  </dataValidations>
  <printOptions headings="false" gridLines="true" gridLinesSet="true" horizontalCentered="false" verticalCentered="false"/>
  <pageMargins left="0.196527777777778" right="0.39375" top="0.590972222222222" bottom="0.590972222222222"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&amp;C&amp;"Arial,Bold"&amp;11Sales Turnover</oddHeader>
    <oddFooter>&amp;L&amp;D  &amp;T&amp;C&amp;P  of  &amp;N&amp;R&amp;F  &amp;A</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62" width="9.66"/>
    <col collapsed="false" customWidth="true" hidden="false" outlineLevel="0" max="2" min="2" style="363" width="23.99"/>
    <col collapsed="false" customWidth="true" hidden="false" outlineLevel="0" max="3" min="3" style="363" width="15.99"/>
    <col collapsed="false" customWidth="true" hidden="false" outlineLevel="0" max="4" min="4" style="364" width="16.15"/>
    <col collapsed="false" customWidth="true" hidden="false" outlineLevel="0" max="5" min="5" style="365" width="9.49"/>
    <col collapsed="false" customWidth="true" hidden="false" outlineLevel="0" max="6" min="6" style="365" width="8.66"/>
    <col collapsed="false" customWidth="true" hidden="false" outlineLevel="0" max="7" min="7" style="366" width="12.66"/>
    <col collapsed="false" customWidth="true" hidden="false" outlineLevel="0" max="8" min="8" style="338" width="11.5"/>
    <col collapsed="false" customWidth="true" hidden="false" outlineLevel="0" max="9" min="9" style="367" width="10.5"/>
    <col collapsed="false" customWidth="true" hidden="false" outlineLevel="0" max="19" min="10" style="334" width="9.66"/>
    <col collapsed="false" customWidth="true" hidden="false" outlineLevel="0" max="22" min="20" style="334" width="7.66"/>
    <col collapsed="false" customWidth="true" hidden="false" outlineLevel="0" max="23" min="23" style="334" width="9.66"/>
    <col collapsed="false" customWidth="true" hidden="false" outlineLevel="0" max="24" min="24" style="363" width="24.66"/>
    <col collapsed="false" customWidth="false" hidden="false" outlineLevel="0" max="25" min="25" style="368" width="9.15"/>
    <col collapsed="false" customWidth="true" hidden="false" outlineLevel="0" max="26" min="26" style="368" width="12.66"/>
    <col collapsed="false" customWidth="false" hidden="false" outlineLevel="0" max="257" min="27" style="363" width="9.15"/>
  </cols>
  <sheetData>
    <row r="1" s="334" customFormat="true" ht="13.5" hidden="false" customHeight="true" outlineLevel="0" collapsed="false">
      <c r="A1" s="369" t="n">
        <f aca="false">G4+PurchasesJun!A1</f>
        <v>0</v>
      </c>
      <c r="B1" s="370" t="s">
        <v>266</v>
      </c>
      <c r="C1" s="344" t="n">
        <f aca="false">PurchasesJun!C1+PurchasesJul!F1+SalesJul!$E$1</f>
        <v>0</v>
      </c>
      <c r="D1" s="369" t="s">
        <v>248</v>
      </c>
      <c r="E1" s="371" t="str">
        <f aca="false">IF((G1-SUM(J1:W1)&lt;&gt;0),(G1-SUM(J1:W1))," ")</f>
        <v> </v>
      </c>
      <c r="F1" s="344" t="n">
        <f aca="false">SUM(F5:F300)</f>
        <v>0</v>
      </c>
      <c r="G1" s="343" t="n">
        <f aca="false">SUM(G4:G300)</f>
        <v>9059.25</v>
      </c>
      <c r="H1" s="372" t="n">
        <f aca="false">SUM(H5:H300)</f>
        <v>9059.25</v>
      </c>
      <c r="I1" s="373" t="n">
        <f aca="true">TODAY()</f>
        <v>46138</v>
      </c>
      <c r="J1" s="343" t="n">
        <f aca="false">SUM(J5:J300)</f>
        <v>720</v>
      </c>
      <c r="K1" s="343" t="n">
        <f aca="false">SUM(K5:K300)</f>
        <v>0</v>
      </c>
      <c r="L1" s="343" t="n">
        <f aca="false">SUM(L5:L300)</f>
        <v>0</v>
      </c>
      <c r="M1" s="343" t="n">
        <f aca="false">SUM(M5:M300)</f>
        <v>1200</v>
      </c>
      <c r="N1" s="343" t="n">
        <f aca="false">SUM(N5:N300)</f>
        <v>180</v>
      </c>
      <c r="O1" s="343" t="n">
        <f aca="false">SUM(O5:O300)</f>
        <v>159</v>
      </c>
      <c r="P1" s="343" t="n">
        <f aca="false">SUM(P3:P300)</f>
        <v>584.25</v>
      </c>
      <c r="Q1" s="343" t="n">
        <f aca="false">SUM(Q5:Q300)</f>
        <v>92</v>
      </c>
      <c r="R1" s="343" t="n">
        <f aca="false">SUM(R5:R300)</f>
        <v>480</v>
      </c>
      <c r="S1" s="343" t="n">
        <f aca="false">SUM(S5:S300)</f>
        <v>300</v>
      </c>
      <c r="T1" s="343" t="n">
        <f aca="false">SUM(T5:T300)</f>
        <v>0</v>
      </c>
      <c r="U1" s="343" t="n">
        <f aca="false">SUM(U5:U300)</f>
        <v>0</v>
      </c>
      <c r="V1" s="343" t="n">
        <f aca="false">SUM(V5:V300)</f>
        <v>4144</v>
      </c>
      <c r="W1" s="345" t="n">
        <f aca="false">SUM(W5:W300)</f>
        <v>1200</v>
      </c>
      <c r="X1" s="374" t="n">
        <f aca="false">W1+PurchasesJun!X1</f>
        <v>3000</v>
      </c>
      <c r="Y1" s="375" t="n">
        <f aca="false">SUM(Y5:Y200)</f>
        <v>0</v>
      </c>
      <c r="Z1" s="376" t="n">
        <f aca="false">Y1+PurchasesJun!Z1</f>
        <v>0</v>
      </c>
    </row>
    <row r="2" s="384" customFormat="true" ht="24" hidden="false" customHeight="true" outlineLevel="0" collapsed="false">
      <c r="A2" s="377" t="s">
        <v>267</v>
      </c>
      <c r="B2" s="378" t="str">
        <f aca="false">IF((G1-SUM(J1:W1)&lt;&gt;0),"COMPLETE EXPENSE ANALYSIS by inserting expense letter in col E","Supplier")</f>
        <v>Supplier</v>
      </c>
      <c r="C2" s="379" t="s">
        <v>268</v>
      </c>
      <c r="D2" s="379" t="s">
        <v>269</v>
      </c>
      <c r="E2" s="379" t="s">
        <v>270</v>
      </c>
      <c r="F2" s="379" t="s">
        <v>344</v>
      </c>
      <c r="G2" s="380" t="s">
        <v>272</v>
      </c>
      <c r="H2" s="381" t="s">
        <v>273</v>
      </c>
      <c r="I2" s="382" t="s">
        <v>274</v>
      </c>
      <c r="J2" s="380" t="s">
        <v>275</v>
      </c>
      <c r="K2" s="380" t="s">
        <v>276</v>
      </c>
      <c r="L2" s="380" t="s">
        <v>277</v>
      </c>
      <c r="M2" s="380" t="s">
        <v>278</v>
      </c>
      <c r="N2" s="380" t="s">
        <v>279</v>
      </c>
      <c r="O2" s="380" t="s">
        <v>280</v>
      </c>
      <c r="P2" s="380" t="s">
        <v>281</v>
      </c>
      <c r="Q2" s="380" t="s">
        <v>282</v>
      </c>
      <c r="R2" s="380" t="s">
        <v>283</v>
      </c>
      <c r="S2" s="380" t="s">
        <v>284</v>
      </c>
      <c r="T2" s="380" t="s">
        <v>285</v>
      </c>
      <c r="U2" s="380" t="s">
        <v>286</v>
      </c>
      <c r="V2" s="380" t="s">
        <v>287</v>
      </c>
      <c r="W2" s="381" t="s">
        <v>288</v>
      </c>
      <c r="X2" s="383" t="str">
        <f aca="false">IF(X1&gt;('Fixed Assets'!$E$110),"FIXED ASSETS requires updating with new additions","Fixed Assets Description  (Vehicles: make, model, date reg. and reg. mark)")</f>
        <v>FIXED ASSETS requires updating with new additions</v>
      </c>
      <c r="Y2" s="380" t="s">
        <v>289</v>
      </c>
      <c r="Z2" s="380"/>
    </row>
    <row r="3" s="386" customFormat="true" ht="12" hidden="false" customHeight="true" outlineLevel="0" collapsed="false">
      <c r="A3" s="377"/>
      <c r="B3" s="377"/>
      <c r="C3" s="377"/>
      <c r="D3" s="377"/>
      <c r="E3" s="379"/>
      <c r="F3" s="379"/>
      <c r="G3" s="380"/>
      <c r="H3" s="381"/>
      <c r="I3" s="381"/>
      <c r="J3" s="380"/>
      <c r="K3" s="380"/>
      <c r="L3" s="380"/>
      <c r="M3" s="380"/>
      <c r="N3" s="380"/>
      <c r="O3" s="380"/>
      <c r="P3" s="385" t="n">
        <f aca="false">IF((E$4="m"),G$4," ")</f>
        <v>0</v>
      </c>
      <c r="Q3" s="380"/>
      <c r="R3" s="380"/>
      <c r="S3" s="380"/>
      <c r="T3" s="380"/>
      <c r="U3" s="380"/>
      <c r="V3" s="380"/>
      <c r="W3" s="381"/>
      <c r="X3" s="383"/>
      <c r="Y3" s="380" t="s">
        <v>290</v>
      </c>
      <c r="Z3" s="380"/>
    </row>
    <row r="4" s="365" customFormat="true" ht="12.75" hidden="false" customHeight="false" outlineLevel="0" collapsed="false">
      <c r="A4" s="377"/>
      <c r="B4" s="377"/>
      <c r="C4" s="377"/>
      <c r="D4" s="377"/>
      <c r="E4" s="387" t="s">
        <v>291</v>
      </c>
      <c r="F4" s="379"/>
      <c r="G4" s="400" t="n">
        <f aca="false">IF((C1&lt;Admin!$F$22),((C1-PurchasesJun!C1)*Admin!$G$21),(C1*Admin!$G$21-(C1-Admin!$F$21)*(Admin!$G$21-Admin!$G$22)-PurchasesJun!A1))</f>
        <v>0</v>
      </c>
      <c r="H4" s="381"/>
      <c r="I4" s="381"/>
      <c r="J4" s="389" t="s">
        <v>292</v>
      </c>
      <c r="K4" s="390" t="s">
        <v>293</v>
      </c>
      <c r="L4" s="390" t="s">
        <v>294</v>
      </c>
      <c r="M4" s="390" t="s">
        <v>295</v>
      </c>
      <c r="N4" s="390" t="s">
        <v>296</v>
      </c>
      <c r="O4" s="390" t="s">
        <v>297</v>
      </c>
      <c r="P4" s="391" t="s">
        <v>298</v>
      </c>
      <c r="Q4" s="390" t="s">
        <v>299</v>
      </c>
      <c r="R4" s="390" t="s">
        <v>300</v>
      </c>
      <c r="S4" s="390" t="s">
        <v>301</v>
      </c>
      <c r="T4" s="390" t="s">
        <v>302</v>
      </c>
      <c r="U4" s="390" t="s">
        <v>303</v>
      </c>
      <c r="V4" s="390" t="s">
        <v>304</v>
      </c>
      <c r="W4" s="392" t="s">
        <v>305</v>
      </c>
      <c r="X4" s="383"/>
      <c r="Y4" s="380" t="s">
        <v>306</v>
      </c>
      <c r="Z4" s="380" t="s">
        <v>307</v>
      </c>
    </row>
    <row r="5" customFormat="false" ht="12.75" hidden="false" customHeight="true" outlineLevel="0" collapsed="false">
      <c r="A5" s="355" t="n">
        <v>45839</v>
      </c>
      <c r="B5" s="363" t="s">
        <v>239</v>
      </c>
      <c r="E5" s="365" t="s">
        <v>308</v>
      </c>
      <c r="G5" s="366" t="n">
        <v>1200</v>
      </c>
      <c r="H5" s="338" t="n">
        <f aca="false">IF((G5&lt;&gt;0),IF((D5&gt;0)," ",G5)," ")</f>
        <v>1200</v>
      </c>
      <c r="I5" s="367" t="n">
        <f aca="false">IF((G5&lt;&gt;0),IF((D5&gt;0)," ",(I$1-A5))," ")</f>
        <v>299</v>
      </c>
      <c r="J5" s="334" t="str">
        <f aca="false">IF((E5="s"),G5," ")</f>
        <v> </v>
      </c>
      <c r="K5" s="334" t="str">
        <f aca="false">IF((E5="d"),G5," ")</f>
        <v> </v>
      </c>
      <c r="L5" s="334" t="str">
        <f aca="false">IF((E5="e"),G5," ")</f>
        <v> </v>
      </c>
      <c r="M5" s="334" t="n">
        <f aca="false">IF((E5="p"),G5," ")</f>
        <v>1200</v>
      </c>
      <c r="N5" s="334" t="str">
        <f aca="false">IF((E5="r"),G5," ")</f>
        <v> </v>
      </c>
      <c r="O5" s="334" t="str">
        <f aca="false">IF((E5="g"),G5," ")</f>
        <v> </v>
      </c>
      <c r="P5" s="334" t="str">
        <f aca="false">IF((E5="m"),G5," ")</f>
        <v> </v>
      </c>
      <c r="Q5" s="334" t="str">
        <f aca="false">IF((E5="t"),G5," ")</f>
        <v> </v>
      </c>
      <c r="R5" s="334" t="str">
        <f aca="false">IF((E5="a"),G5," ")</f>
        <v> </v>
      </c>
      <c r="S5" s="334" t="str">
        <f aca="false">IF((E5="l"),G5," ")</f>
        <v> </v>
      </c>
      <c r="T5" s="334" t="str">
        <f aca="false">IF((E5="b"),G5," ")</f>
        <v> </v>
      </c>
      <c r="U5" s="334" t="str">
        <f aca="false">IF((E5="i"),G5," ")</f>
        <v> </v>
      </c>
      <c r="V5" s="334" t="str">
        <f aca="false">IF((E5="o"),G5," ")</f>
        <v> </v>
      </c>
      <c r="W5" s="334" t="str">
        <f aca="false">IF((E5="f"),G5," ")</f>
        <v> </v>
      </c>
    </row>
    <row r="6" customFormat="false" ht="12.75" hidden="false" customHeight="false" outlineLevel="0" collapsed="false">
      <c r="A6" s="355" t="n">
        <v>45839</v>
      </c>
      <c r="B6" s="363" t="s">
        <v>309</v>
      </c>
      <c r="E6" s="365" t="s">
        <v>310</v>
      </c>
      <c r="G6" s="366" t="n">
        <v>30</v>
      </c>
      <c r="H6" s="338" t="n">
        <f aca="false">IF((G6&lt;&gt;0),IF((D6&gt;0)," ",G6)," ")</f>
        <v>30</v>
      </c>
      <c r="I6" s="367" t="n">
        <f aca="false">IF((G6&lt;&gt;0),IF((D6&gt;0)," ",(I$1-A6))," ")</f>
        <v>299</v>
      </c>
      <c r="J6" s="334" t="str">
        <f aca="false">IF((E6="s"),G6," ")</f>
        <v> </v>
      </c>
      <c r="K6" s="334" t="str">
        <f aca="false">IF((E6="d"),G6," ")</f>
        <v> </v>
      </c>
      <c r="L6" s="334" t="str">
        <f aca="false">IF((E6="e"),G6," ")</f>
        <v> </v>
      </c>
      <c r="M6" s="334" t="str">
        <f aca="false">IF((E6="p"),G6," ")</f>
        <v> </v>
      </c>
      <c r="N6" s="334" t="str">
        <f aca="false">IF((E6="r"),G6," ")</f>
        <v> </v>
      </c>
      <c r="O6" s="334" t="n">
        <f aca="false">IF((E6="g"),G6," ")</f>
        <v>30</v>
      </c>
      <c r="P6" s="334" t="str">
        <f aca="false">IF((E6="m"),G6," ")</f>
        <v> </v>
      </c>
      <c r="Q6" s="334" t="str">
        <f aca="false">IF((E6="t"),G6," ")</f>
        <v> </v>
      </c>
      <c r="R6" s="334" t="str">
        <f aca="false">IF((E6="a"),G6," ")</f>
        <v> </v>
      </c>
      <c r="S6" s="334" t="str">
        <f aca="false">IF((E6="l"),G6," ")</f>
        <v> </v>
      </c>
      <c r="T6" s="334" t="str">
        <f aca="false">IF((E6="b"),G6," ")</f>
        <v> </v>
      </c>
      <c r="U6" s="334" t="str">
        <f aca="false">IF((E6="i"),G6," ")</f>
        <v> </v>
      </c>
      <c r="V6" s="334" t="str">
        <f aca="false">IF((E6="o"),G6," ")</f>
        <v> </v>
      </c>
      <c r="W6" s="334" t="str">
        <f aca="false">IF((E6="f"),G6," ")</f>
        <v> </v>
      </c>
    </row>
    <row r="7" customFormat="false" ht="12.75" hidden="false" customHeight="false" outlineLevel="0" collapsed="false">
      <c r="A7" s="355" t="n">
        <v>45839</v>
      </c>
      <c r="B7" s="363" t="s">
        <v>311</v>
      </c>
      <c r="E7" s="365" t="s">
        <v>310</v>
      </c>
      <c r="G7" s="366" t="n">
        <v>15</v>
      </c>
      <c r="H7" s="338" t="n">
        <f aca="false">IF((G7&lt;&gt;0),IF((D7&gt;0)," ",G7)," ")</f>
        <v>15</v>
      </c>
      <c r="I7" s="367" t="n">
        <f aca="false">IF((G7&lt;&gt;0),IF((D7&gt;0)," ",(I$1-A7))," ")</f>
        <v>299</v>
      </c>
      <c r="J7" s="334" t="str">
        <f aca="false">IF((E7="s"),G7," ")</f>
        <v> </v>
      </c>
      <c r="K7" s="334" t="str">
        <f aca="false">IF((E7="d"),G7," ")</f>
        <v> </v>
      </c>
      <c r="L7" s="334" t="str">
        <f aca="false">IF((E7="e"),G7," ")</f>
        <v> </v>
      </c>
      <c r="M7" s="334" t="str">
        <f aca="false">IF((E7="p"),G7," ")</f>
        <v> </v>
      </c>
      <c r="N7" s="334" t="str">
        <f aca="false">IF((E7="r"),G7," ")</f>
        <v> </v>
      </c>
      <c r="O7" s="334" t="n">
        <f aca="false">IF((E7="g"),G7," ")</f>
        <v>15</v>
      </c>
      <c r="P7" s="334" t="str">
        <f aca="false">IF((E7="m"),G7," ")</f>
        <v> </v>
      </c>
      <c r="Q7" s="334" t="str">
        <f aca="false">IF((E7="t"),G7," ")</f>
        <v> </v>
      </c>
      <c r="R7" s="334" t="str">
        <f aca="false">IF((E7="a"),G7," ")</f>
        <v> </v>
      </c>
      <c r="S7" s="334" t="str">
        <f aca="false">IF((E7="l"),G7," ")</f>
        <v> </v>
      </c>
      <c r="T7" s="334" t="str">
        <f aca="false">IF((E7="b"),G7," ")</f>
        <v> </v>
      </c>
      <c r="U7" s="334" t="str">
        <f aca="false">IF((E7="i"),G7," ")</f>
        <v> </v>
      </c>
      <c r="V7" s="334" t="str">
        <f aca="false">IF((E7="o"),G7," ")</f>
        <v> </v>
      </c>
      <c r="W7" s="334" t="str">
        <f aca="false">IF((E7="f"),G7," ")</f>
        <v> </v>
      </c>
    </row>
    <row r="8" customFormat="false" ht="12.75" hidden="false" customHeight="false" outlineLevel="0" collapsed="false">
      <c r="A8" s="355" t="n">
        <v>45839</v>
      </c>
      <c r="B8" s="363" t="s">
        <v>312</v>
      </c>
      <c r="E8" s="365" t="s">
        <v>313</v>
      </c>
      <c r="G8" s="366" t="n">
        <v>45</v>
      </c>
      <c r="H8" s="338" t="n">
        <f aca="false">IF((G8&lt;&gt;0),IF((D8&gt;0)," ",G8)," ")</f>
        <v>45</v>
      </c>
      <c r="I8" s="367" t="n">
        <f aca="false">IF((G8&lt;&gt;0),IF((D8&gt;0)," ",(I$1-A8))," ")</f>
        <v>299</v>
      </c>
      <c r="J8" s="334" t="str">
        <f aca="false">IF((E8="s"),G8," ")</f>
        <v> </v>
      </c>
      <c r="K8" s="334" t="str">
        <f aca="false">IF((E8="d"),G8," ")</f>
        <v> </v>
      </c>
      <c r="L8" s="334" t="str">
        <f aca="false">IF((E8="e"),G8," ")</f>
        <v> </v>
      </c>
      <c r="M8" s="334" t="str">
        <f aca="false">IF((E8="p"),G8," ")</f>
        <v> </v>
      </c>
      <c r="N8" s="334" t="str">
        <f aca="false">IF((E8="r"),G8," ")</f>
        <v> </v>
      </c>
      <c r="O8" s="334" t="str">
        <f aca="false">IF((E8="g"),G8," ")</f>
        <v> </v>
      </c>
      <c r="P8" s="334" t="str">
        <f aca="false">IF((E8="m"),G8," ")</f>
        <v> </v>
      </c>
      <c r="Q8" s="334" t="str">
        <f aca="false">IF((E8="t"),G8," ")</f>
        <v> </v>
      </c>
      <c r="R8" s="334" t="str">
        <f aca="false">IF((E8="a"),G8," ")</f>
        <v> </v>
      </c>
      <c r="S8" s="334" t="str">
        <f aca="false">IF((E8="l"),G8," ")</f>
        <v> </v>
      </c>
      <c r="T8" s="334" t="str">
        <f aca="false">IF((E8="b"),G8," ")</f>
        <v> </v>
      </c>
      <c r="U8" s="334" t="str">
        <f aca="false">IF((E8="i"),G8," ")</f>
        <v> </v>
      </c>
      <c r="V8" s="334" t="n">
        <f aca="false">IF((E8="o"),G8," ")</f>
        <v>45</v>
      </c>
      <c r="W8" s="334" t="str">
        <f aca="false">IF((E8="f"),G8," ")</f>
        <v> </v>
      </c>
    </row>
    <row r="9" customFormat="false" ht="12.75" hidden="false" customHeight="false" outlineLevel="0" collapsed="false">
      <c r="A9" s="355" t="n">
        <v>45839</v>
      </c>
      <c r="B9" s="363" t="s">
        <v>366</v>
      </c>
      <c r="E9" s="365" t="s">
        <v>313</v>
      </c>
      <c r="G9" s="366" t="n">
        <v>3000</v>
      </c>
      <c r="H9" s="338" t="n">
        <f aca="false">IF((G9&lt;&gt;0),IF((D9&gt;0)," ",G9)," ")</f>
        <v>3000</v>
      </c>
      <c r="I9" s="367" t="n">
        <f aca="false">IF((G9&lt;&gt;0),IF((D9&gt;0)," ",(I$1-A9))," ")</f>
        <v>299</v>
      </c>
      <c r="J9" s="334" t="str">
        <f aca="false">IF((E9="s"),G9," ")</f>
        <v> </v>
      </c>
      <c r="K9" s="334" t="str">
        <f aca="false">IF((E9="d"),G9," ")</f>
        <v> </v>
      </c>
      <c r="L9" s="334" t="str">
        <f aca="false">IF((E9="e"),G9," ")</f>
        <v> </v>
      </c>
      <c r="M9" s="334" t="str">
        <f aca="false">IF((E9="p"),G9," ")</f>
        <v> </v>
      </c>
      <c r="N9" s="334" t="str">
        <f aca="false">IF((E9="r"),G9," ")</f>
        <v> </v>
      </c>
      <c r="O9" s="334" t="str">
        <f aca="false">IF((E9="g"),G9," ")</f>
        <v> </v>
      </c>
      <c r="P9" s="334" t="str">
        <f aca="false">IF((E9="m"),G9," ")</f>
        <v> </v>
      </c>
      <c r="Q9" s="334" t="str">
        <f aca="false">IF((E9="t"),G9," ")</f>
        <v> </v>
      </c>
      <c r="R9" s="334" t="str">
        <f aca="false">IF((E9="a"),G9," ")</f>
        <v> </v>
      </c>
      <c r="S9" s="334" t="str">
        <f aca="false">IF((E9="l"),G9," ")</f>
        <v> </v>
      </c>
      <c r="T9" s="334" t="str">
        <f aca="false">IF((E9="b"),G9," ")</f>
        <v> </v>
      </c>
      <c r="U9" s="334" t="str">
        <f aca="false">IF((E9="i"),G9," ")</f>
        <v> </v>
      </c>
      <c r="V9" s="334" t="n">
        <f aca="false">IF((E9="o"),G9," ")</f>
        <v>3000</v>
      </c>
      <c r="W9" s="334" t="str">
        <f aca="false">IF((E9="f"),G9," ")</f>
        <v> </v>
      </c>
    </row>
    <row r="10" customFormat="false" ht="12.75" hidden="false" customHeight="false" outlineLevel="0" collapsed="false">
      <c r="A10" s="355" t="n">
        <v>45839</v>
      </c>
      <c r="B10" s="363" t="s">
        <v>315</v>
      </c>
      <c r="E10" s="365" t="s">
        <v>313</v>
      </c>
      <c r="G10" s="366" t="n">
        <v>24</v>
      </c>
      <c r="H10" s="338" t="n">
        <f aca="false">IF((G10&lt;&gt;0),IF((D10&gt;0)," ",G10)," ")</f>
        <v>24</v>
      </c>
      <c r="I10" s="367" t="n">
        <f aca="false">IF((G10&lt;&gt;0),IF((D10&gt;0)," ",(I$1-A10))," ")</f>
        <v>299</v>
      </c>
      <c r="J10" s="334" t="str">
        <f aca="false">IF((E10="s"),G10," ")</f>
        <v> </v>
      </c>
      <c r="K10" s="334" t="str">
        <f aca="false">IF((E10="d"),G10," ")</f>
        <v> </v>
      </c>
      <c r="L10" s="334" t="str">
        <f aca="false">IF((E10="e"),G10," ")</f>
        <v> </v>
      </c>
      <c r="M10" s="334" t="str">
        <f aca="false">IF((E10="p"),G10," ")</f>
        <v> </v>
      </c>
      <c r="N10" s="334" t="str">
        <f aca="false">IF((E10="r"),G10," ")</f>
        <v> </v>
      </c>
      <c r="O10" s="334" t="str">
        <f aca="false">IF((E10="g"),G10," ")</f>
        <v> </v>
      </c>
      <c r="P10" s="334" t="str">
        <f aca="false">IF((E10="m"),G10," ")</f>
        <v> </v>
      </c>
      <c r="Q10" s="334" t="str">
        <f aca="false">IF((E10="t"),G10," ")</f>
        <v> </v>
      </c>
      <c r="R10" s="334" t="str">
        <f aca="false">IF((E10="a"),G10," ")</f>
        <v> </v>
      </c>
      <c r="S10" s="334" t="str">
        <f aca="false">IF((E10="l"),G10," ")</f>
        <v> </v>
      </c>
      <c r="T10" s="334" t="str">
        <f aca="false">IF((E10="b"),G10," ")</f>
        <v> </v>
      </c>
      <c r="U10" s="334" t="str">
        <f aca="false">IF((E10="i"),G10," ")</f>
        <v> </v>
      </c>
      <c r="V10" s="334" t="n">
        <f aca="false">IF((E10="o"),G10," ")</f>
        <v>24</v>
      </c>
      <c r="W10" s="334" t="str">
        <f aca="false">IF((E10="f"),G10," ")</f>
        <v> </v>
      </c>
    </row>
    <row r="11" customFormat="false" ht="12.75" hidden="false" customHeight="false" outlineLevel="0" collapsed="false">
      <c r="A11" s="355" t="n">
        <v>45839</v>
      </c>
      <c r="B11" s="363" t="s">
        <v>316</v>
      </c>
      <c r="E11" s="365" t="s">
        <v>310</v>
      </c>
      <c r="G11" s="366" t="n">
        <v>18</v>
      </c>
      <c r="H11" s="338" t="n">
        <f aca="false">IF((G11&lt;&gt;0),IF((D11&gt;0)," ",G11)," ")</f>
        <v>18</v>
      </c>
      <c r="I11" s="367" t="n">
        <f aca="false">IF((G11&lt;&gt;0),IF((D11&gt;0)," ",(I$1-A11))," ")</f>
        <v>299</v>
      </c>
      <c r="J11" s="334" t="str">
        <f aca="false">IF((E11="s"),G11," ")</f>
        <v> </v>
      </c>
      <c r="K11" s="334" t="str">
        <f aca="false">IF((E11="d"),G11," ")</f>
        <v> </v>
      </c>
      <c r="L11" s="334" t="str">
        <f aca="false">IF((E11="e"),G11," ")</f>
        <v> </v>
      </c>
      <c r="M11" s="334" t="str">
        <f aca="false">IF((E11="p"),G11," ")</f>
        <v> </v>
      </c>
      <c r="N11" s="334" t="str">
        <f aca="false">IF((E11="r"),G11," ")</f>
        <v> </v>
      </c>
      <c r="O11" s="334" t="n">
        <f aca="false">IF((E11="g"),G11," ")</f>
        <v>18</v>
      </c>
      <c r="P11" s="334" t="str">
        <f aca="false">IF((E11="m"),G11," ")</f>
        <v> </v>
      </c>
      <c r="Q11" s="334" t="str">
        <f aca="false">IF((E11="t"),G11," ")</f>
        <v> </v>
      </c>
      <c r="R11" s="334" t="str">
        <f aca="false">IF((E11="a"),G11," ")</f>
        <v> </v>
      </c>
      <c r="S11" s="334" t="str">
        <f aca="false">IF((E11="l"),G11," ")</f>
        <v> </v>
      </c>
      <c r="T11" s="334" t="str">
        <f aca="false">IF((E11="b"),G11," ")</f>
        <v> </v>
      </c>
      <c r="U11" s="334" t="str">
        <f aca="false">IF((E11="i"),G11," ")</f>
        <v> </v>
      </c>
      <c r="V11" s="334" t="str">
        <f aca="false">IF((E11="o"),G11," ")</f>
        <v> </v>
      </c>
      <c r="W11" s="334" t="str">
        <f aca="false">IF((E11="f"),G11," ")</f>
        <v> </v>
      </c>
    </row>
    <row r="12" customFormat="false" ht="12.75" hidden="false" customHeight="false" outlineLevel="0" collapsed="false">
      <c r="A12" s="355" t="n">
        <v>45841</v>
      </c>
      <c r="B12" s="363" t="s">
        <v>317</v>
      </c>
      <c r="E12" s="365" t="s">
        <v>313</v>
      </c>
      <c r="G12" s="366" t="n">
        <v>180</v>
      </c>
      <c r="H12" s="338" t="n">
        <f aca="false">IF((G12&lt;&gt;0),IF((D12&gt;0)," ",G12)," ")</f>
        <v>180</v>
      </c>
      <c r="I12" s="367" t="n">
        <f aca="false">IF((G12&lt;&gt;0),IF((D12&gt;0)," ",(I$1-A12))," ")</f>
        <v>297</v>
      </c>
      <c r="J12" s="334" t="str">
        <f aca="false">IF((E12="s"),G12," ")</f>
        <v> </v>
      </c>
      <c r="K12" s="334" t="str">
        <f aca="false">IF((E12="d"),G12," ")</f>
        <v> </v>
      </c>
      <c r="L12" s="334" t="str">
        <f aca="false">IF((E12="e"),G12," ")</f>
        <v> </v>
      </c>
      <c r="M12" s="334" t="str">
        <f aca="false">IF((E12="p"),G12," ")</f>
        <v> </v>
      </c>
      <c r="N12" s="334" t="str">
        <f aca="false">IF((E12="r"),G12," ")</f>
        <v> </v>
      </c>
      <c r="O12" s="334" t="str">
        <f aca="false">IF((E12="g"),G12," ")</f>
        <v> </v>
      </c>
      <c r="P12" s="334" t="str">
        <f aca="false">IF((E12="m"),G12," ")</f>
        <v> </v>
      </c>
      <c r="Q12" s="334" t="str">
        <f aca="false">IF((E12="t"),G12," ")</f>
        <v> </v>
      </c>
      <c r="R12" s="334" t="str">
        <f aca="false">IF((E12="a"),G12," ")</f>
        <v> </v>
      </c>
      <c r="S12" s="334" t="str">
        <f aca="false">IF((E12="l"),G12," ")</f>
        <v> </v>
      </c>
      <c r="T12" s="334" t="str">
        <f aca="false">IF((E12="b"),G12," ")</f>
        <v> </v>
      </c>
      <c r="U12" s="334" t="str">
        <f aca="false">IF((E12="i"),G12," ")</f>
        <v> </v>
      </c>
      <c r="V12" s="334" t="n">
        <f aca="false">IF((E12="o"),G12," ")</f>
        <v>180</v>
      </c>
      <c r="W12" s="334" t="str">
        <f aca="false">IF((E12="f"),G12," ")</f>
        <v> </v>
      </c>
    </row>
    <row r="13" customFormat="false" ht="12.75" hidden="false" customHeight="false" outlineLevel="0" collapsed="false">
      <c r="A13" s="355" t="n">
        <v>45841</v>
      </c>
      <c r="B13" s="363" t="s">
        <v>318</v>
      </c>
      <c r="E13" s="365" t="s">
        <v>313</v>
      </c>
      <c r="G13" s="366" t="n">
        <v>22</v>
      </c>
      <c r="H13" s="338" t="n">
        <f aca="false">IF((G13&lt;&gt;0),IF((D13&gt;0)," ",G13)," ")</f>
        <v>22</v>
      </c>
      <c r="I13" s="367" t="n">
        <f aca="false">IF((G13&lt;&gt;0),IF((D13&gt;0)," ",(I$1-A13))," ")</f>
        <v>297</v>
      </c>
      <c r="J13" s="334" t="str">
        <f aca="false">IF((E13="s"),G13," ")</f>
        <v> </v>
      </c>
      <c r="K13" s="334" t="str">
        <f aca="false">IF((E13="d"),G13," ")</f>
        <v> </v>
      </c>
      <c r="L13" s="334" t="str">
        <f aca="false">IF((E13="e"),G13," ")</f>
        <v> </v>
      </c>
      <c r="M13" s="334" t="str">
        <f aca="false">IF((E13="p"),G13," ")</f>
        <v> </v>
      </c>
      <c r="N13" s="334" t="str">
        <f aca="false">IF((E13="r"),G13," ")</f>
        <v> </v>
      </c>
      <c r="O13" s="334" t="str">
        <f aca="false">IF((E13="g"),G13," ")</f>
        <v> </v>
      </c>
      <c r="P13" s="334" t="str">
        <f aca="false">IF((E13="m"),G13," ")</f>
        <v> </v>
      </c>
      <c r="Q13" s="334" t="str">
        <f aca="false">IF((E13="t"),G13," ")</f>
        <v> </v>
      </c>
      <c r="R13" s="334" t="str">
        <f aca="false">IF((E13="a"),G13," ")</f>
        <v> </v>
      </c>
      <c r="S13" s="334" t="str">
        <f aca="false">IF((E13="l"),G13," ")</f>
        <v> </v>
      </c>
      <c r="T13" s="334" t="str">
        <f aca="false">IF((E13="b"),G13," ")</f>
        <v> </v>
      </c>
      <c r="U13" s="334" t="str">
        <f aca="false">IF((E13="i"),G13," ")</f>
        <v> </v>
      </c>
      <c r="V13" s="334" t="n">
        <f aca="false">IF((E13="o"),G13," ")</f>
        <v>22</v>
      </c>
      <c r="W13" s="334" t="str">
        <f aca="false">IF((E13="f"),G13," ")</f>
        <v> </v>
      </c>
    </row>
    <row r="14" customFormat="false" ht="12.75" hidden="false" customHeight="false" outlineLevel="0" collapsed="false">
      <c r="A14" s="355" t="n">
        <v>45843</v>
      </c>
      <c r="B14" s="363" t="s">
        <v>319</v>
      </c>
      <c r="E14" s="365" t="s">
        <v>313</v>
      </c>
      <c r="G14" s="366" t="n">
        <v>24</v>
      </c>
      <c r="H14" s="338" t="n">
        <f aca="false">IF((G14&lt;&gt;0),IF((D14&gt;0)," ",G14)," ")</f>
        <v>24</v>
      </c>
      <c r="I14" s="367" t="n">
        <f aca="false">IF((G14&lt;&gt;0),IF((D14&gt;0)," ",(I$1-A14))," ")</f>
        <v>295</v>
      </c>
      <c r="J14" s="334" t="str">
        <f aca="false">IF((E14="s"),G14," ")</f>
        <v> </v>
      </c>
      <c r="K14" s="334" t="str">
        <f aca="false">IF((E14="d"),G14," ")</f>
        <v> </v>
      </c>
      <c r="L14" s="334" t="str">
        <f aca="false">IF((E14="e"),G14," ")</f>
        <v> </v>
      </c>
      <c r="M14" s="334" t="str">
        <f aca="false">IF((E14="p"),G14," ")</f>
        <v> </v>
      </c>
      <c r="N14" s="334" t="str">
        <f aca="false">IF((E14="r"),G14," ")</f>
        <v> </v>
      </c>
      <c r="O14" s="334" t="str">
        <f aca="false">IF((E14="g"),G14," ")</f>
        <v> </v>
      </c>
      <c r="P14" s="334" t="str">
        <f aca="false">IF((E14="m"),G14," ")</f>
        <v> </v>
      </c>
      <c r="Q14" s="334" t="str">
        <f aca="false">IF((E14="t"),G14," ")</f>
        <v> </v>
      </c>
      <c r="R14" s="334" t="str">
        <f aca="false">IF((E14="a"),G14," ")</f>
        <v> </v>
      </c>
      <c r="S14" s="334" t="str">
        <f aca="false">IF((E14="l"),G14," ")</f>
        <v> </v>
      </c>
      <c r="T14" s="334" t="str">
        <f aca="false">IF((E14="b"),G14," ")</f>
        <v> </v>
      </c>
      <c r="U14" s="334" t="str">
        <f aca="false">IF((E14="i"),G14," ")</f>
        <v> </v>
      </c>
      <c r="V14" s="334" t="n">
        <f aca="false">IF((E14="o"),G14," ")</f>
        <v>24</v>
      </c>
      <c r="W14" s="334" t="str">
        <f aca="false">IF((E14="f"),G14," ")</f>
        <v> </v>
      </c>
    </row>
    <row r="15" customFormat="false" ht="12.75" hidden="false" customHeight="false" outlineLevel="0" collapsed="false">
      <c r="A15" s="355" t="n">
        <v>45843</v>
      </c>
      <c r="B15" s="363" t="s">
        <v>367</v>
      </c>
      <c r="E15" s="365" t="s">
        <v>348</v>
      </c>
      <c r="G15" s="366" t="n">
        <v>480</v>
      </c>
      <c r="H15" s="338" t="n">
        <f aca="false">IF((G15&lt;&gt;0),IF((D15&gt;0)," ",G15)," ")</f>
        <v>480</v>
      </c>
      <c r="I15" s="367" t="n">
        <f aca="false">IF((G15&lt;&gt;0),IF((D15&gt;0)," ",(I$1-A15))," ")</f>
        <v>295</v>
      </c>
      <c r="J15" s="334" t="str">
        <f aca="false">IF((E15="s"),G15," ")</f>
        <v> </v>
      </c>
      <c r="K15" s="334" t="str">
        <f aca="false">IF((E15="d"),G15," ")</f>
        <v> </v>
      </c>
      <c r="L15" s="334" t="str">
        <f aca="false">IF((E15="e"),G15," ")</f>
        <v> </v>
      </c>
      <c r="M15" s="334" t="str">
        <f aca="false">IF((E15="p"),G15," ")</f>
        <v> </v>
      </c>
      <c r="N15" s="334" t="str">
        <f aca="false">IF((E15="r"),G15," ")</f>
        <v> </v>
      </c>
      <c r="O15" s="334" t="str">
        <f aca="false">IF((E15="g"),G15," ")</f>
        <v> </v>
      </c>
      <c r="P15" s="334" t="str">
        <f aca="false">IF((E15="m"),G15," ")</f>
        <v> </v>
      </c>
      <c r="Q15" s="334" t="str">
        <f aca="false">IF((E15="t"),G15," ")</f>
        <v> </v>
      </c>
      <c r="R15" s="334" t="n">
        <f aca="false">IF((E15="a"),G15," ")</f>
        <v>480</v>
      </c>
      <c r="S15" s="334" t="str">
        <f aca="false">IF((E15="l"),G15," ")</f>
        <v> </v>
      </c>
      <c r="T15" s="334" t="str">
        <f aca="false">IF((E15="b"),G15," ")</f>
        <v> </v>
      </c>
      <c r="U15" s="334" t="str">
        <f aca="false">IF((E15="i"),G15," ")</f>
        <v> </v>
      </c>
      <c r="V15" s="334" t="str">
        <f aca="false">IF((E15="o"),G15," ")</f>
        <v> </v>
      </c>
      <c r="W15" s="334" t="str">
        <f aca="false">IF((E15="f"),G15," ")</f>
        <v> </v>
      </c>
    </row>
    <row r="16" customFormat="false" ht="12.75" hidden="false" customHeight="false" outlineLevel="0" collapsed="false">
      <c r="A16" s="355" t="n">
        <v>45843</v>
      </c>
      <c r="B16" s="363" t="s">
        <v>320</v>
      </c>
      <c r="E16" s="365" t="s">
        <v>291</v>
      </c>
      <c r="G16" s="366" t="n">
        <v>180</v>
      </c>
      <c r="H16" s="338" t="n">
        <f aca="false">IF((G16&lt;&gt;0),IF((D16&gt;0)," ",G16)," ")</f>
        <v>180</v>
      </c>
      <c r="I16" s="367" t="n">
        <f aca="false">IF((G16&lt;&gt;0),IF((D16&gt;0)," ",(I$1-A16))," ")</f>
        <v>295</v>
      </c>
      <c r="J16" s="334" t="str">
        <f aca="false">IF((E16="s"),G16," ")</f>
        <v> </v>
      </c>
      <c r="K16" s="334" t="str">
        <f aca="false">IF((E16="d"),G16," ")</f>
        <v> </v>
      </c>
      <c r="L16" s="334" t="str">
        <f aca="false">IF((E16="e"),G16," ")</f>
        <v> </v>
      </c>
      <c r="M16" s="334" t="str">
        <f aca="false">IF((E16="p"),G16," ")</f>
        <v> </v>
      </c>
      <c r="N16" s="334" t="str">
        <f aca="false">IF((E16="r"),G16," ")</f>
        <v> </v>
      </c>
      <c r="O16" s="334" t="str">
        <f aca="false">IF((E16="g"),G16," ")</f>
        <v> </v>
      </c>
      <c r="P16" s="334" t="n">
        <f aca="false">IF((E16="m"),G16," ")</f>
        <v>180</v>
      </c>
      <c r="Q16" s="334" t="str">
        <f aca="false">IF((E16="t"),G16," ")</f>
        <v> </v>
      </c>
      <c r="R16" s="334" t="str">
        <f aca="false">IF((E16="a"),G16," ")</f>
        <v> </v>
      </c>
      <c r="S16" s="334" t="str">
        <f aca="false">IF((E16="l"),G16," ")</f>
        <v> </v>
      </c>
      <c r="T16" s="334" t="str">
        <f aca="false">IF((E16="b"),G16," ")</f>
        <v> </v>
      </c>
      <c r="U16" s="334" t="str">
        <f aca="false">IF((E16="i"),G16," ")</f>
        <v> </v>
      </c>
      <c r="V16" s="334" t="str">
        <f aca="false">IF((E16="o"),G16," ")</f>
        <v> </v>
      </c>
      <c r="W16" s="334" t="str">
        <f aca="false">IF((E16="f"),G16," ")</f>
        <v> </v>
      </c>
    </row>
    <row r="17" customFormat="false" ht="12.75" hidden="false" customHeight="false" outlineLevel="0" collapsed="false">
      <c r="A17" s="355" t="n">
        <v>45846</v>
      </c>
      <c r="B17" s="363" t="s">
        <v>322</v>
      </c>
      <c r="E17" s="365" t="s">
        <v>323</v>
      </c>
      <c r="G17" s="366" t="n">
        <v>48</v>
      </c>
      <c r="H17" s="338" t="n">
        <f aca="false">IF((G17&lt;&gt;0),IF((D17&gt;0)," ",G17)," ")</f>
        <v>48</v>
      </c>
      <c r="I17" s="367" t="n">
        <f aca="false">IF((G17&lt;&gt;0),IF((D17&gt;0)," ",(I$1-A17))," ")</f>
        <v>292</v>
      </c>
      <c r="J17" s="334" t="str">
        <f aca="false">IF((E17="s"),G17," ")</f>
        <v> </v>
      </c>
      <c r="K17" s="334" t="str">
        <f aca="false">IF((E17="d"),G17," ")</f>
        <v> </v>
      </c>
      <c r="L17" s="334" t="str">
        <f aca="false">IF((E17="e"),G17," ")</f>
        <v> </v>
      </c>
      <c r="M17" s="334" t="str">
        <f aca="false">IF((E17="p"),G17," ")</f>
        <v> </v>
      </c>
      <c r="N17" s="334" t="str">
        <f aca="false">IF((E17="r"),G17," ")</f>
        <v> </v>
      </c>
      <c r="O17" s="334" t="str">
        <f aca="false">IF((E17="g"),G17," ")</f>
        <v> </v>
      </c>
      <c r="P17" s="334" t="str">
        <f aca="false">IF((E17="m"),G17," ")</f>
        <v> </v>
      </c>
      <c r="Q17" s="334" t="n">
        <f aca="false">IF((E17="t"),G17," ")</f>
        <v>48</v>
      </c>
      <c r="R17" s="334" t="str">
        <f aca="false">IF((E17="a"),G17," ")</f>
        <v> </v>
      </c>
      <c r="S17" s="334" t="str">
        <f aca="false">IF((E17="l"),G17," ")</f>
        <v> </v>
      </c>
      <c r="T17" s="334" t="str">
        <f aca="false">IF((E17="b"),G17," ")</f>
        <v> </v>
      </c>
      <c r="U17" s="334" t="str">
        <f aca="false">IF((E17="i"),G17," ")</f>
        <v> </v>
      </c>
      <c r="V17" s="334" t="str">
        <f aca="false">IF((E17="o"),G17," ")</f>
        <v> </v>
      </c>
      <c r="W17" s="334" t="str">
        <f aca="false">IF((E17="f"),G17," ")</f>
        <v> </v>
      </c>
    </row>
    <row r="18" customFormat="false" ht="12.75" hidden="false" customHeight="false" outlineLevel="0" collapsed="false">
      <c r="A18" s="355" t="n">
        <v>45848</v>
      </c>
      <c r="B18" s="363" t="s">
        <v>324</v>
      </c>
      <c r="E18" s="365" t="s">
        <v>313</v>
      </c>
      <c r="G18" s="366" t="n">
        <v>36</v>
      </c>
      <c r="H18" s="338" t="n">
        <f aca="false">IF((G18&lt;&gt;0),IF((D18&gt;0)," ",G18)," ")</f>
        <v>36</v>
      </c>
      <c r="I18" s="367" t="n">
        <f aca="false">IF((G18&lt;&gt;0),IF((D18&gt;0)," ",(I$1-A18))," ")</f>
        <v>290</v>
      </c>
      <c r="J18" s="334" t="str">
        <f aca="false">IF((E18="s"),G18," ")</f>
        <v> </v>
      </c>
      <c r="K18" s="334" t="str">
        <f aca="false">IF((E18="d"),G18," ")</f>
        <v> </v>
      </c>
      <c r="L18" s="334" t="str">
        <f aca="false">IF((E18="e"),G18," ")</f>
        <v> </v>
      </c>
      <c r="M18" s="334" t="str">
        <f aca="false">IF((E18="p"),G18," ")</f>
        <v> </v>
      </c>
      <c r="N18" s="334" t="str">
        <f aca="false">IF((E18="r"),G18," ")</f>
        <v> </v>
      </c>
      <c r="O18" s="334" t="str">
        <f aca="false">IF((E18="g"),G18," ")</f>
        <v> </v>
      </c>
      <c r="P18" s="334" t="str">
        <f aca="false">IF((E18="m"),G18," ")</f>
        <v> </v>
      </c>
      <c r="Q18" s="334" t="str">
        <f aca="false">IF((E18="t"),G18," ")</f>
        <v> </v>
      </c>
      <c r="R18" s="334" t="str">
        <f aca="false">IF((E18="a"),G18," ")</f>
        <v> </v>
      </c>
      <c r="S18" s="334" t="str">
        <f aca="false">IF((E18="l"),G18," ")</f>
        <v> </v>
      </c>
      <c r="T18" s="334" t="str">
        <f aca="false">IF((E18="b"),G18," ")</f>
        <v> </v>
      </c>
      <c r="U18" s="334" t="str">
        <f aca="false">IF((E18="i"),G18," ")</f>
        <v> </v>
      </c>
      <c r="V18" s="334" t="n">
        <f aca="false">IF((E18="o"),G18," ")</f>
        <v>36</v>
      </c>
      <c r="W18" s="334" t="str">
        <f aca="false">IF((E18="f"),G18," ")</f>
        <v> </v>
      </c>
    </row>
    <row r="19" customFormat="false" ht="12.75" hidden="false" customHeight="false" outlineLevel="0" collapsed="false">
      <c r="A19" s="355" t="n">
        <v>45848</v>
      </c>
      <c r="B19" s="363" t="s">
        <v>325</v>
      </c>
      <c r="E19" s="365" t="s">
        <v>313</v>
      </c>
      <c r="G19" s="366" t="n">
        <v>180</v>
      </c>
      <c r="H19" s="338" t="n">
        <f aca="false">IF((G19&lt;&gt;0),IF((D19&gt;0)," ",G19)," ")</f>
        <v>180</v>
      </c>
      <c r="I19" s="367" t="n">
        <f aca="false">IF((G19&lt;&gt;0),IF((D19&gt;0)," ",(I$1-A19))," ")</f>
        <v>290</v>
      </c>
      <c r="J19" s="334" t="str">
        <f aca="false">IF((E19="s"),G19," ")</f>
        <v> </v>
      </c>
      <c r="K19" s="334" t="str">
        <f aca="false">IF((E19="d"),G19," ")</f>
        <v> </v>
      </c>
      <c r="L19" s="334" t="str">
        <f aca="false">IF((E19="e"),G19," ")</f>
        <v> </v>
      </c>
      <c r="M19" s="334" t="str">
        <f aca="false">IF((E19="p"),G19," ")</f>
        <v> </v>
      </c>
      <c r="N19" s="334" t="str">
        <f aca="false">IF((E19="r"),G19," ")</f>
        <v> </v>
      </c>
      <c r="O19" s="334" t="str">
        <f aca="false">IF((E19="g"),G19," ")</f>
        <v> </v>
      </c>
      <c r="P19" s="334" t="str">
        <f aca="false">IF((E19="m"),G19," ")</f>
        <v> </v>
      </c>
      <c r="Q19" s="334" t="str">
        <f aca="false">IF((E19="t"),G19," ")</f>
        <v> </v>
      </c>
      <c r="R19" s="334" t="str">
        <f aca="false">IF((E19="a"),G19," ")</f>
        <v> </v>
      </c>
      <c r="S19" s="334" t="str">
        <f aca="false">IF((E19="l"),G19," ")</f>
        <v> </v>
      </c>
      <c r="T19" s="334" t="str">
        <f aca="false">IF((E19="b"),G19," ")</f>
        <v> </v>
      </c>
      <c r="U19" s="334" t="str">
        <f aca="false">IF((E19="i"),G19," ")</f>
        <v> </v>
      </c>
      <c r="V19" s="334" t="n">
        <f aca="false">IF((E19="o"),G19," ")</f>
        <v>180</v>
      </c>
      <c r="W19" s="334" t="str">
        <f aca="false">IF((E19="f"),G19," ")</f>
        <v> </v>
      </c>
    </row>
    <row r="20" customFormat="false" ht="12.75" hidden="false" customHeight="false" outlineLevel="0" collapsed="false">
      <c r="A20" s="355" t="n">
        <v>45848</v>
      </c>
      <c r="B20" s="363" t="s">
        <v>326</v>
      </c>
      <c r="E20" s="365" t="s">
        <v>327</v>
      </c>
      <c r="G20" s="366" t="n">
        <v>720</v>
      </c>
      <c r="H20" s="338" t="n">
        <f aca="false">IF((G20&lt;&gt;0),IF((D20&gt;0)," ",G20)," ")</f>
        <v>720</v>
      </c>
      <c r="I20" s="367" t="n">
        <f aca="false">IF((G20&lt;&gt;0),IF((D20&gt;0)," ",(I$1-A20))," ")</f>
        <v>290</v>
      </c>
      <c r="J20" s="334" t="n">
        <f aca="false">IF((E20="s"),G20," ")</f>
        <v>720</v>
      </c>
      <c r="K20" s="334" t="str">
        <f aca="false">IF((E20="d"),G20," ")</f>
        <v> </v>
      </c>
      <c r="L20" s="334" t="str">
        <f aca="false">IF((E20="e"),G20," ")</f>
        <v> </v>
      </c>
      <c r="M20" s="334" t="str">
        <f aca="false">IF((E20="p"),G20," ")</f>
        <v> </v>
      </c>
      <c r="N20" s="334" t="str">
        <f aca="false">IF((E20="r"),G20," ")</f>
        <v> </v>
      </c>
      <c r="O20" s="334" t="str">
        <f aca="false">IF((E20="g"),G20," ")</f>
        <v> </v>
      </c>
      <c r="P20" s="334" t="str">
        <f aca="false">IF((E20="m"),G20," ")</f>
        <v> </v>
      </c>
      <c r="Q20" s="334" t="str">
        <f aca="false">IF((E20="t"),G20," ")</f>
        <v> </v>
      </c>
      <c r="R20" s="334" t="str">
        <f aca="false">IF((E20="a"),G20," ")</f>
        <v> </v>
      </c>
      <c r="S20" s="334" t="str">
        <f aca="false">IF((E20="l"),G20," ")</f>
        <v> </v>
      </c>
      <c r="T20" s="334" t="str">
        <f aca="false">IF((E20="b"),G20," ")</f>
        <v> </v>
      </c>
      <c r="U20" s="334" t="str">
        <f aca="false">IF((E20="i"),G20," ")</f>
        <v> </v>
      </c>
      <c r="V20" s="334" t="str">
        <f aca="false">IF((E20="o"),G20," ")</f>
        <v> </v>
      </c>
      <c r="W20" s="334" t="str">
        <f aca="false">IF((E20="f"),G20," ")</f>
        <v> </v>
      </c>
    </row>
    <row r="21" customFormat="false" ht="12.75" hidden="false" customHeight="false" outlineLevel="0" collapsed="false">
      <c r="A21" s="355" t="n">
        <v>45850</v>
      </c>
      <c r="B21" s="363" t="s">
        <v>328</v>
      </c>
      <c r="E21" s="365" t="s">
        <v>291</v>
      </c>
      <c r="G21" s="366" t="n">
        <v>18</v>
      </c>
      <c r="H21" s="338" t="n">
        <f aca="false">IF((G21&lt;&gt;0),IF((D21&gt;0)," ",G21)," ")</f>
        <v>18</v>
      </c>
      <c r="I21" s="367" t="n">
        <f aca="false">IF((G21&lt;&gt;0),IF((D21&gt;0)," ",(I$1-A21))," ")</f>
        <v>288</v>
      </c>
      <c r="J21" s="334" t="str">
        <f aca="false">IF((E21="s"),G21," ")</f>
        <v> </v>
      </c>
      <c r="K21" s="334" t="str">
        <f aca="false">IF((E21="d"),G21," ")</f>
        <v> </v>
      </c>
      <c r="L21" s="334" t="str">
        <f aca="false">IF((E21="e"),G21," ")</f>
        <v> </v>
      </c>
      <c r="M21" s="334" t="str">
        <f aca="false">IF((E21="p"),G21," ")</f>
        <v> </v>
      </c>
      <c r="N21" s="334" t="str">
        <f aca="false">IF((E21="r"),G21," ")</f>
        <v> </v>
      </c>
      <c r="O21" s="334" t="str">
        <f aca="false">IF((E21="g"),G21," ")</f>
        <v> </v>
      </c>
      <c r="P21" s="334" t="n">
        <f aca="false">IF((E21="m"),G21," ")</f>
        <v>18</v>
      </c>
      <c r="Q21" s="334" t="str">
        <f aca="false">IF((E21="t"),G21," ")</f>
        <v> </v>
      </c>
      <c r="R21" s="334" t="str">
        <f aca="false">IF((E21="a"),G21," ")</f>
        <v> </v>
      </c>
      <c r="S21" s="334" t="str">
        <f aca="false">IF((E21="l"),G21," ")</f>
        <v> </v>
      </c>
      <c r="T21" s="334" t="str">
        <f aca="false">IF((E21="b"),G21," ")</f>
        <v> </v>
      </c>
      <c r="U21" s="334" t="str">
        <f aca="false">IF((E21="i"),G21," ")</f>
        <v> </v>
      </c>
      <c r="V21" s="334" t="str">
        <f aca="false">IF((E21="o"),G21," ")</f>
        <v> </v>
      </c>
      <c r="W21" s="334" t="str">
        <f aca="false">IF((E21="f"),G21," ")</f>
        <v> </v>
      </c>
    </row>
    <row r="22" customFormat="false" ht="12.75" hidden="false" customHeight="false" outlineLevel="0" collapsed="false">
      <c r="A22" s="355" t="n">
        <v>45850</v>
      </c>
      <c r="B22" s="363" t="s">
        <v>368</v>
      </c>
      <c r="E22" s="365" t="s">
        <v>313</v>
      </c>
      <c r="G22" s="366" t="n">
        <v>480</v>
      </c>
      <c r="H22" s="338" t="n">
        <f aca="false">IF((G22&lt;&gt;0),IF((D22&gt;0)," ",G22)," ")</f>
        <v>480</v>
      </c>
      <c r="I22" s="367" t="n">
        <f aca="false">IF((G22&lt;&gt;0),IF((D22&gt;0)," ",(I$1-A22))," ")</f>
        <v>288</v>
      </c>
      <c r="J22" s="334" t="str">
        <f aca="false">IF((E22="s"),G22," ")</f>
        <v> </v>
      </c>
      <c r="K22" s="334" t="str">
        <f aca="false">IF((E22="d"),G22," ")</f>
        <v> </v>
      </c>
      <c r="L22" s="334" t="str">
        <f aca="false">IF((E22="e"),G22," ")</f>
        <v> </v>
      </c>
      <c r="M22" s="334" t="str">
        <f aca="false">IF((E22="p"),G22," ")</f>
        <v> </v>
      </c>
      <c r="N22" s="334" t="str">
        <f aca="false">IF((E22="r"),G22," ")</f>
        <v> </v>
      </c>
      <c r="O22" s="334" t="str">
        <f aca="false">IF((E22="g"),G22," ")</f>
        <v> </v>
      </c>
      <c r="P22" s="334" t="str">
        <f aca="false">IF((E22="m"),G22," ")</f>
        <v> </v>
      </c>
      <c r="Q22" s="334" t="str">
        <f aca="false">IF((E22="t"),G22," ")</f>
        <v> </v>
      </c>
      <c r="R22" s="334" t="str">
        <f aca="false">IF((E22="a"),G22," ")</f>
        <v> </v>
      </c>
      <c r="S22" s="334" t="str">
        <f aca="false">IF((E22="l"),G22," ")</f>
        <v> </v>
      </c>
      <c r="T22" s="334" t="str">
        <f aca="false">IF((E22="b"),G22," ")</f>
        <v> </v>
      </c>
      <c r="U22" s="334" t="str">
        <f aca="false">IF((E22="i"),G22," ")</f>
        <v> </v>
      </c>
      <c r="V22" s="334" t="n">
        <f aca="false">IF((E22="o"),G22," ")</f>
        <v>480</v>
      </c>
      <c r="W22" s="334" t="str">
        <f aca="false">IF((E22="f"),G22," ")</f>
        <v> </v>
      </c>
    </row>
    <row r="23" customFormat="false" ht="12.75" hidden="false" customHeight="false" outlineLevel="0" collapsed="false">
      <c r="A23" s="355" t="n">
        <v>45852</v>
      </c>
      <c r="B23" s="363" t="s">
        <v>330</v>
      </c>
      <c r="E23" s="365" t="s">
        <v>323</v>
      </c>
      <c r="G23" s="366" t="n">
        <v>24</v>
      </c>
      <c r="H23" s="338" t="n">
        <f aca="false">IF((G23&lt;&gt;0),IF((D23&gt;0)," ",G23)," ")</f>
        <v>24</v>
      </c>
      <c r="I23" s="367" t="n">
        <f aca="false">IF((G23&lt;&gt;0),IF((D23&gt;0)," ",(I$1-A23))," ")</f>
        <v>286</v>
      </c>
      <c r="J23" s="334" t="str">
        <f aca="false">IF((E23="s"),G23," ")</f>
        <v> </v>
      </c>
      <c r="K23" s="334" t="str">
        <f aca="false">IF((E23="d"),G23," ")</f>
        <v> </v>
      </c>
      <c r="L23" s="334" t="str">
        <f aca="false">IF((E23="e"),G23," ")</f>
        <v> </v>
      </c>
      <c r="M23" s="334" t="str">
        <f aca="false">IF((E23="p"),G23," ")</f>
        <v> </v>
      </c>
      <c r="N23" s="334" t="str">
        <f aca="false">IF((E23="r"),G23," ")</f>
        <v> </v>
      </c>
      <c r="O23" s="334" t="str">
        <f aca="false">IF((E23="g"),G23," ")</f>
        <v> </v>
      </c>
      <c r="P23" s="334" t="str">
        <f aca="false">IF((E23="m"),G23," ")</f>
        <v> </v>
      </c>
      <c r="Q23" s="334" t="n">
        <f aca="false">IF((E23="t"),G23," ")</f>
        <v>24</v>
      </c>
      <c r="R23" s="334" t="str">
        <f aca="false">IF((E23="a"),G23," ")</f>
        <v> </v>
      </c>
      <c r="S23" s="334" t="str">
        <f aca="false">IF((E23="l"),G23," ")</f>
        <v> </v>
      </c>
      <c r="T23" s="334" t="str">
        <f aca="false">IF((E23="b"),G23," ")</f>
        <v> </v>
      </c>
      <c r="U23" s="334" t="str">
        <f aca="false">IF((E23="i"),G23," ")</f>
        <v> </v>
      </c>
      <c r="V23" s="334" t="str">
        <f aca="false">IF((E23="o"),G23," ")</f>
        <v> </v>
      </c>
      <c r="W23" s="334" t="str">
        <f aca="false">IF((E23="f"),G23," ")</f>
        <v> </v>
      </c>
    </row>
    <row r="24" customFormat="false" ht="12.75" hidden="false" customHeight="false" outlineLevel="0" collapsed="false">
      <c r="A24" s="355" t="n">
        <v>45852</v>
      </c>
      <c r="B24" s="363" t="s">
        <v>331</v>
      </c>
      <c r="E24" s="365" t="s">
        <v>323</v>
      </c>
      <c r="G24" s="366" t="n">
        <v>12</v>
      </c>
      <c r="H24" s="338" t="n">
        <f aca="false">IF((G24&lt;&gt;0),IF((D24&gt;0)," ",G24)," ")</f>
        <v>12</v>
      </c>
      <c r="I24" s="367" t="n">
        <f aca="false">IF((G24&lt;&gt;0),IF((D24&gt;0)," ",(I$1-A24))," ")</f>
        <v>286</v>
      </c>
      <c r="J24" s="334" t="str">
        <f aca="false">IF((E24="s"),G24," ")</f>
        <v> </v>
      </c>
      <c r="K24" s="334" t="str">
        <f aca="false">IF((E24="d"),G24," ")</f>
        <v> </v>
      </c>
      <c r="L24" s="334" t="str">
        <f aca="false">IF((E24="e"),G24," ")</f>
        <v> </v>
      </c>
      <c r="M24" s="334" t="str">
        <f aca="false">IF((E24="p"),G24," ")</f>
        <v> </v>
      </c>
      <c r="N24" s="334" t="str">
        <f aca="false">IF((E24="r"),G24," ")</f>
        <v> </v>
      </c>
      <c r="O24" s="334" t="str">
        <f aca="false">IF((E24="g"),G24," ")</f>
        <v> </v>
      </c>
      <c r="P24" s="334" t="str">
        <f aca="false">IF((E24="m"),G24," ")</f>
        <v> </v>
      </c>
      <c r="Q24" s="334" t="n">
        <f aca="false">IF((E24="t"),G24," ")</f>
        <v>12</v>
      </c>
      <c r="R24" s="334" t="str">
        <f aca="false">IF((E24="a"),G24," ")</f>
        <v> </v>
      </c>
      <c r="S24" s="334" t="str">
        <f aca="false">IF((E24="l"),G24," ")</f>
        <v> </v>
      </c>
      <c r="T24" s="334" t="str">
        <f aca="false">IF((E24="b"),G24," ")</f>
        <v> </v>
      </c>
      <c r="U24" s="334" t="str">
        <f aca="false">IF((E24="i"),G24," ")</f>
        <v> </v>
      </c>
      <c r="V24" s="334" t="str">
        <f aca="false">IF((E24="o"),G24," ")</f>
        <v> </v>
      </c>
      <c r="W24" s="334" t="str">
        <f aca="false">IF((E24="f"),G24," ")</f>
        <v> </v>
      </c>
    </row>
    <row r="25" customFormat="false" ht="12.75" hidden="false" customHeight="false" outlineLevel="0" collapsed="false">
      <c r="A25" s="355" t="n">
        <v>45853</v>
      </c>
      <c r="B25" s="363" t="s">
        <v>243</v>
      </c>
      <c r="E25" s="365" t="s">
        <v>291</v>
      </c>
      <c r="G25" s="366" t="n">
        <v>150</v>
      </c>
      <c r="H25" s="338" t="n">
        <f aca="false">IF((G25&lt;&gt;0),IF((D25&gt;0)," ",G25)," ")</f>
        <v>150</v>
      </c>
      <c r="I25" s="367" t="n">
        <f aca="false">IF((G25&lt;&gt;0),IF((D25&gt;0)," ",(I$1-A25))," ")</f>
        <v>285</v>
      </c>
      <c r="J25" s="334" t="str">
        <f aca="false">IF((E25="s"),G25," ")</f>
        <v> </v>
      </c>
      <c r="K25" s="334" t="str">
        <f aca="false">IF((E25="d"),G25," ")</f>
        <v> </v>
      </c>
      <c r="L25" s="334" t="str">
        <f aca="false">IF((E25="e"),G25," ")</f>
        <v> </v>
      </c>
      <c r="M25" s="334" t="str">
        <f aca="false">IF((E25="p"),G25," ")</f>
        <v> </v>
      </c>
      <c r="N25" s="334" t="str">
        <f aca="false">IF((E25="r"),G25," ")</f>
        <v> </v>
      </c>
      <c r="O25" s="334" t="str">
        <f aca="false">IF((E25="g"),G25," ")</f>
        <v> </v>
      </c>
      <c r="P25" s="334" t="n">
        <f aca="false">IF((E25="m"),G25," ")</f>
        <v>150</v>
      </c>
      <c r="Q25" s="334" t="str">
        <f aca="false">IF((E25="t"),G25," ")</f>
        <v> </v>
      </c>
      <c r="R25" s="334" t="str">
        <f aca="false">IF((E25="a"),G25," ")</f>
        <v> </v>
      </c>
      <c r="S25" s="334" t="str">
        <f aca="false">IF((E25="l"),G25," ")</f>
        <v> </v>
      </c>
      <c r="T25" s="334" t="str">
        <f aca="false">IF((E25="b"),G25," ")</f>
        <v> </v>
      </c>
      <c r="U25" s="334" t="str">
        <f aca="false">IF((E25="i"),G25," ")</f>
        <v> </v>
      </c>
      <c r="V25" s="334" t="str">
        <f aca="false">IF((E25="o"),G25," ")</f>
        <v> </v>
      </c>
      <c r="W25" s="334" t="str">
        <f aca="false">IF((E25="f"),G25," ")</f>
        <v> </v>
      </c>
    </row>
    <row r="26" customFormat="false" ht="12.75" hidden="false" customHeight="false" outlineLevel="0" collapsed="false">
      <c r="A26" s="355" t="n">
        <v>45853</v>
      </c>
      <c r="B26" s="363" t="s">
        <v>332</v>
      </c>
      <c r="E26" s="365" t="s">
        <v>310</v>
      </c>
      <c r="G26" s="366" t="n">
        <v>12</v>
      </c>
      <c r="H26" s="338" t="n">
        <f aca="false">IF((G26&lt;&gt;0),IF((D26&gt;0)," ",G26)," ")</f>
        <v>12</v>
      </c>
      <c r="I26" s="367" t="n">
        <f aca="false">IF((G26&lt;&gt;0),IF((D26&gt;0)," ",(I$1-A26))," ")</f>
        <v>285</v>
      </c>
      <c r="J26" s="334" t="str">
        <f aca="false">IF((E26="s"),G26," ")</f>
        <v> </v>
      </c>
      <c r="K26" s="334" t="str">
        <f aca="false">IF((E26="d"),G26," ")</f>
        <v> </v>
      </c>
      <c r="L26" s="334" t="str">
        <f aca="false">IF((E26="e"),G26," ")</f>
        <v> </v>
      </c>
      <c r="M26" s="334" t="str">
        <f aca="false">IF((E26="p"),G26," ")</f>
        <v> </v>
      </c>
      <c r="N26" s="334" t="str">
        <f aca="false">IF((E26="r"),G26," ")</f>
        <v> </v>
      </c>
      <c r="O26" s="334" t="n">
        <f aca="false">IF((E26="g"),G26," ")</f>
        <v>12</v>
      </c>
      <c r="P26" s="334" t="str">
        <f aca="false">IF((E26="m"),G26," ")</f>
        <v> </v>
      </c>
      <c r="Q26" s="334" t="str">
        <f aca="false">IF((E26="t"),G26," ")</f>
        <v> </v>
      </c>
      <c r="R26" s="334" t="str">
        <f aca="false">IF((E26="a"),G26," ")</f>
        <v> </v>
      </c>
      <c r="S26" s="334" t="str">
        <f aca="false">IF((E26="l"),G26," ")</f>
        <v> </v>
      </c>
      <c r="T26" s="334" t="str">
        <f aca="false">IF((E26="b"),G26," ")</f>
        <v> </v>
      </c>
      <c r="U26" s="334" t="str">
        <f aca="false">IF((E26="i"),G26," ")</f>
        <v> </v>
      </c>
      <c r="V26" s="334" t="str">
        <f aca="false">IF((E26="o"),G26," ")</f>
        <v> </v>
      </c>
      <c r="W26" s="334" t="str">
        <f aca="false">IF((E26="f"),G26," ")</f>
        <v> </v>
      </c>
    </row>
    <row r="27" customFormat="false" ht="12.75" hidden="false" customHeight="false" outlineLevel="0" collapsed="false">
      <c r="A27" s="355" t="n">
        <v>45853</v>
      </c>
      <c r="B27" s="363" t="s">
        <v>369</v>
      </c>
      <c r="E27" s="365" t="s">
        <v>351</v>
      </c>
      <c r="G27" s="366" t="n">
        <v>1200</v>
      </c>
      <c r="H27" s="338" t="n">
        <f aca="false">IF((G27&lt;&gt;0),IF((D27&gt;0)," ",G27)," ")</f>
        <v>1200</v>
      </c>
      <c r="I27" s="367" t="n">
        <f aca="false">IF((G27&lt;&gt;0),IF((D27&gt;0)," ",(I$1-A27))," ")</f>
        <v>285</v>
      </c>
      <c r="J27" s="334" t="str">
        <f aca="false">IF((E27="s"),G27," ")</f>
        <v> </v>
      </c>
      <c r="K27" s="334" t="str">
        <f aca="false">IF((E27="d"),G27," ")</f>
        <v> </v>
      </c>
      <c r="L27" s="334" t="str">
        <f aca="false">IF((E27="e"),G27," ")</f>
        <v> </v>
      </c>
      <c r="M27" s="334" t="str">
        <f aca="false">IF((E27="p"),G27," ")</f>
        <v> </v>
      </c>
      <c r="N27" s="334" t="str">
        <f aca="false">IF((E27="r"),G27," ")</f>
        <v> </v>
      </c>
      <c r="O27" s="334" t="str">
        <f aca="false">IF((E27="g"),G27," ")</f>
        <v> </v>
      </c>
      <c r="P27" s="334" t="str">
        <f aca="false">IF((E27="m"),G27," ")</f>
        <v> </v>
      </c>
      <c r="Q27" s="334" t="str">
        <f aca="false">IF((E27="t"),G27," ")</f>
        <v> </v>
      </c>
      <c r="R27" s="334" t="str">
        <f aca="false">IF((E27="a"),G27," ")</f>
        <v> </v>
      </c>
      <c r="S27" s="334" t="str">
        <f aca="false">IF((E27="l"),G27," ")</f>
        <v> </v>
      </c>
      <c r="T27" s="334" t="str">
        <f aca="false">IF((E27="b"),G27," ")</f>
        <v> </v>
      </c>
      <c r="U27" s="334" t="str">
        <f aca="false">IF((E27="i"),G27," ")</f>
        <v> </v>
      </c>
      <c r="V27" s="334" t="str">
        <f aca="false">IF((E27="o"),G27," ")</f>
        <v> </v>
      </c>
      <c r="W27" s="334" t="n">
        <f aca="false">IF((E27="f"),G27," ")</f>
        <v>1200</v>
      </c>
    </row>
    <row r="28" customFormat="false" ht="12.75" hidden="false" customHeight="false" outlineLevel="0" collapsed="false">
      <c r="A28" s="355" t="n">
        <v>45854</v>
      </c>
      <c r="B28" s="363" t="s">
        <v>352</v>
      </c>
      <c r="E28" s="365" t="s">
        <v>310</v>
      </c>
      <c r="G28" s="366" t="n">
        <v>24</v>
      </c>
      <c r="H28" s="338" t="n">
        <f aca="false">IF((G28&lt;&gt;0),IF((D28&gt;0)," ",G28)," ")</f>
        <v>24</v>
      </c>
      <c r="I28" s="367" t="n">
        <f aca="false">IF((G28&lt;&gt;0),IF((D28&gt;0)," ",(I$1-A28))," ")</f>
        <v>284</v>
      </c>
      <c r="J28" s="334" t="str">
        <f aca="false">IF((E28="s"),G28," ")</f>
        <v> </v>
      </c>
      <c r="K28" s="334" t="str">
        <f aca="false">IF((E28="d"),G28," ")</f>
        <v> </v>
      </c>
      <c r="L28" s="334" t="str">
        <f aca="false">IF((E28="e"),G28," ")</f>
        <v> </v>
      </c>
      <c r="M28" s="334" t="str">
        <f aca="false">IF((E28="p"),G28," ")</f>
        <v> </v>
      </c>
      <c r="N28" s="334" t="str">
        <f aca="false">IF((E28="r"),G28," ")</f>
        <v> </v>
      </c>
      <c r="O28" s="334" t="n">
        <f aca="false">IF((E28="g"),G28," ")</f>
        <v>24</v>
      </c>
      <c r="P28" s="334" t="str">
        <f aca="false">IF((E28="m"),G28," ")</f>
        <v> </v>
      </c>
      <c r="Q28" s="334" t="str">
        <f aca="false">IF((E28="t"),G28," ")</f>
        <v> </v>
      </c>
      <c r="R28" s="334" t="str">
        <f aca="false">IF((E28="a"),G28," ")</f>
        <v> </v>
      </c>
      <c r="S28" s="334" t="str">
        <f aca="false">IF((E28="l"),G28," ")</f>
        <v> </v>
      </c>
      <c r="T28" s="334" t="str">
        <f aca="false">IF((E28="b"),G28," ")</f>
        <v> </v>
      </c>
      <c r="U28" s="334" t="str">
        <f aca="false">IF((E28="i"),G28," ")</f>
        <v> </v>
      </c>
      <c r="V28" s="334" t="str">
        <f aca="false">IF((E28="o"),G28," ")</f>
        <v> </v>
      </c>
      <c r="W28" s="334" t="str">
        <f aca="false">IF((E28="f"),G28," ")</f>
        <v> </v>
      </c>
    </row>
    <row r="29" customFormat="false" ht="12.75" hidden="false" customHeight="false" outlineLevel="0" collapsed="false">
      <c r="A29" s="355" t="n">
        <v>45856</v>
      </c>
      <c r="B29" s="363" t="s">
        <v>333</v>
      </c>
      <c r="E29" s="365" t="s">
        <v>291</v>
      </c>
      <c r="G29" s="366" t="n">
        <v>96</v>
      </c>
      <c r="H29" s="338" t="n">
        <f aca="false">IF((G29&lt;&gt;0),IF((D29&gt;0)," ",G29)," ")</f>
        <v>96</v>
      </c>
      <c r="I29" s="367" t="n">
        <f aca="false">IF((G29&lt;&gt;0),IF((D29&gt;0)," ",(I$1-A29))," ")</f>
        <v>282</v>
      </c>
      <c r="J29" s="334" t="str">
        <f aca="false">IF((E29="s"),G29," ")</f>
        <v> </v>
      </c>
      <c r="K29" s="334" t="str">
        <f aca="false">IF((E29="d"),G29," ")</f>
        <v> </v>
      </c>
      <c r="L29" s="334" t="str">
        <f aca="false">IF((E29="e"),G29," ")</f>
        <v> </v>
      </c>
      <c r="M29" s="334" t="str">
        <f aca="false">IF((E29="p"),G29," ")</f>
        <v> </v>
      </c>
      <c r="N29" s="334" t="str">
        <f aca="false">IF((E29="r"),G29," ")</f>
        <v> </v>
      </c>
      <c r="O29" s="334" t="str">
        <f aca="false">IF((E29="g"),G29," ")</f>
        <v> </v>
      </c>
      <c r="P29" s="334" t="n">
        <f aca="false">IF((E29="m"),G29," ")</f>
        <v>96</v>
      </c>
      <c r="Q29" s="334" t="str">
        <f aca="false">IF((E29="t"),G29," ")</f>
        <v> </v>
      </c>
      <c r="R29" s="334" t="str">
        <f aca="false">IF((E29="a"),G29," ")</f>
        <v> </v>
      </c>
      <c r="S29" s="334" t="str">
        <f aca="false">IF((E29="l"),G29," ")</f>
        <v> </v>
      </c>
      <c r="T29" s="334" t="str">
        <f aca="false">IF((E29="b"),G29," ")</f>
        <v> </v>
      </c>
      <c r="U29" s="334" t="str">
        <f aca="false">IF((E29="i"),G29," ")</f>
        <v> </v>
      </c>
      <c r="V29" s="334" t="str">
        <f aca="false">IF((E29="o"),G29," ")</f>
        <v> </v>
      </c>
      <c r="W29" s="334" t="str">
        <f aca="false">IF((E29="f"),G29," ")</f>
        <v> </v>
      </c>
    </row>
    <row r="30" customFormat="false" ht="12.75" hidden="false" customHeight="false" outlineLevel="0" collapsed="false">
      <c r="A30" s="355" t="n">
        <v>45858</v>
      </c>
      <c r="B30" s="363" t="s">
        <v>242</v>
      </c>
      <c r="E30" s="365" t="s">
        <v>310</v>
      </c>
      <c r="G30" s="366" t="n">
        <v>60</v>
      </c>
      <c r="H30" s="338" t="n">
        <f aca="false">IF((G30&lt;&gt;0),IF((D30&gt;0)," ",G30)," ")</f>
        <v>60</v>
      </c>
      <c r="I30" s="367" t="n">
        <f aca="false">IF((G30&lt;&gt;0),IF((D30&gt;0)," ",(I$1-A30))," ")</f>
        <v>280</v>
      </c>
      <c r="J30" s="334" t="str">
        <f aca="false">IF((E30="s"),G30," ")</f>
        <v> </v>
      </c>
      <c r="K30" s="334" t="str">
        <f aca="false">IF((E30="d"),G30," ")</f>
        <v> </v>
      </c>
      <c r="L30" s="334" t="str">
        <f aca="false">IF((E30="e"),G30," ")</f>
        <v> </v>
      </c>
      <c r="M30" s="334" t="str">
        <f aca="false">IF((E30="p"),G30," ")</f>
        <v> </v>
      </c>
      <c r="N30" s="334" t="str">
        <f aca="false">IF((E30="r"),G30," ")</f>
        <v> </v>
      </c>
      <c r="O30" s="334" t="n">
        <f aca="false">IF((E30="g"),G30," ")</f>
        <v>60</v>
      </c>
      <c r="P30" s="334" t="str">
        <f aca="false">IF((E30="m"),G30," ")</f>
        <v> </v>
      </c>
      <c r="Q30" s="334" t="str">
        <f aca="false">IF((E30="t"),G30," ")</f>
        <v> </v>
      </c>
      <c r="R30" s="334" t="str">
        <f aca="false">IF((E30="a"),G30," ")</f>
        <v> </v>
      </c>
      <c r="S30" s="334" t="str">
        <f aca="false">IF((E30="l"),G30," ")</f>
        <v> </v>
      </c>
      <c r="T30" s="334" t="str">
        <f aca="false">IF((E30="b"),G30," ")</f>
        <v> </v>
      </c>
      <c r="U30" s="334" t="str">
        <f aca="false">IF((E30="i"),G30," ")</f>
        <v> </v>
      </c>
      <c r="V30" s="334" t="str">
        <f aca="false">IF((E30="o"),G30," ")</f>
        <v> </v>
      </c>
      <c r="W30" s="334" t="str">
        <f aca="false">IF((E30="f"),G30," ")</f>
        <v> </v>
      </c>
    </row>
    <row r="31" customFormat="false" ht="12.75" hidden="false" customHeight="false" outlineLevel="0" collapsed="false">
      <c r="A31" s="355" t="n">
        <v>45858</v>
      </c>
      <c r="B31" s="363" t="s">
        <v>370</v>
      </c>
      <c r="E31" s="365" t="s">
        <v>313</v>
      </c>
      <c r="G31" s="366" t="n">
        <v>120</v>
      </c>
      <c r="H31" s="338" t="n">
        <f aca="false">IF((G31&lt;&gt;0),IF((D31&gt;0)," ",G31)," ")</f>
        <v>120</v>
      </c>
      <c r="I31" s="367" t="n">
        <f aca="false">IF((G31&lt;&gt;0),IF((D31&gt;0)," ",(I$1-A31))," ")</f>
        <v>280</v>
      </c>
      <c r="J31" s="334" t="str">
        <f aca="false">IF((E31="s"),G31," ")</f>
        <v> </v>
      </c>
      <c r="K31" s="334" t="str">
        <f aca="false">IF((E31="d"),G31," ")</f>
        <v> </v>
      </c>
      <c r="L31" s="334" t="str">
        <f aca="false">IF((E31="e"),G31," ")</f>
        <v> </v>
      </c>
      <c r="M31" s="334" t="str">
        <f aca="false">IF((E31="p"),G31," ")</f>
        <v> </v>
      </c>
      <c r="N31" s="334" t="str">
        <f aca="false">IF((E31="r"),G31," ")</f>
        <v> </v>
      </c>
      <c r="O31" s="334" t="str">
        <f aca="false">IF((E31="g"),G31," ")</f>
        <v> </v>
      </c>
      <c r="P31" s="334" t="str">
        <f aca="false">IF((E31="m"),G31," ")</f>
        <v> </v>
      </c>
      <c r="Q31" s="334" t="str">
        <f aca="false">IF((E31="t"),G31," ")</f>
        <v> </v>
      </c>
      <c r="R31" s="334" t="str">
        <f aca="false">IF((E31="a"),G31," ")</f>
        <v> </v>
      </c>
      <c r="S31" s="334" t="str">
        <f aca="false">IF((E31="l"),G31," ")</f>
        <v> </v>
      </c>
      <c r="T31" s="334" t="str">
        <f aca="false">IF((E31="b"),G31," ")</f>
        <v> </v>
      </c>
      <c r="U31" s="334" t="str">
        <f aca="false">IF((E31="i"),G31," ")</f>
        <v> </v>
      </c>
      <c r="V31" s="334" t="n">
        <f aca="false">IF((E31="o"),G31," ")</f>
        <v>120</v>
      </c>
      <c r="W31" s="334" t="str">
        <f aca="false">IF((E31="f"),G31," ")</f>
        <v> </v>
      </c>
    </row>
    <row r="32" customFormat="false" ht="12.75" hidden="false" customHeight="false" outlineLevel="0" collapsed="false">
      <c r="A32" s="355" t="n">
        <v>45858</v>
      </c>
      <c r="B32" s="363" t="s">
        <v>334</v>
      </c>
      <c r="E32" s="365" t="s">
        <v>335</v>
      </c>
      <c r="G32" s="366" t="n">
        <v>180</v>
      </c>
      <c r="H32" s="338" t="n">
        <f aca="false">IF((G32&lt;&gt;0),IF((D32&gt;0)," ",G32)," ")</f>
        <v>180</v>
      </c>
      <c r="I32" s="367" t="n">
        <f aca="false">IF((G32&lt;&gt;0),IF((D32&gt;0)," ",(I$1-A32))," ")</f>
        <v>280</v>
      </c>
      <c r="J32" s="334" t="str">
        <f aca="false">IF((E32="s"),G32," ")</f>
        <v> </v>
      </c>
      <c r="K32" s="334" t="str">
        <f aca="false">IF((E32="d"),G32," ")</f>
        <v> </v>
      </c>
      <c r="L32" s="334" t="str">
        <f aca="false">IF((E32="e"),G32," ")</f>
        <v> </v>
      </c>
      <c r="M32" s="334" t="str">
        <f aca="false">IF((E32="p"),G32," ")</f>
        <v> </v>
      </c>
      <c r="N32" s="334" t="n">
        <f aca="false">IF((E32="r"),G32," ")</f>
        <v>180</v>
      </c>
      <c r="O32" s="334" t="str">
        <f aca="false">IF((E32="g"),G32," ")</f>
        <v> </v>
      </c>
      <c r="P32" s="334" t="str">
        <f aca="false">IF((E32="m"),G32," ")</f>
        <v> </v>
      </c>
      <c r="Q32" s="334" t="str">
        <f aca="false">IF((E32="t"),G32," ")</f>
        <v> </v>
      </c>
      <c r="R32" s="334" t="str">
        <f aca="false">IF((E32="a"),G32," ")</f>
        <v> </v>
      </c>
      <c r="S32" s="334" t="str">
        <f aca="false">IF((E32="l"),G32," ")</f>
        <v> </v>
      </c>
      <c r="T32" s="334" t="str">
        <f aca="false">IF((E32="b"),G32," ")</f>
        <v> </v>
      </c>
      <c r="U32" s="334" t="str">
        <f aca="false">IF((E32="i"),G32," ")</f>
        <v> </v>
      </c>
      <c r="V32" s="334" t="str">
        <f aca="false">IF((E32="o"),G32," ")</f>
        <v> </v>
      </c>
      <c r="W32" s="334" t="str">
        <f aca="false">IF((E32="f"),G32," ")</f>
        <v> </v>
      </c>
    </row>
    <row r="33" customFormat="false" ht="12.75" hidden="false" customHeight="false" outlineLevel="0" collapsed="false">
      <c r="A33" s="355" t="n">
        <v>45859</v>
      </c>
      <c r="B33" s="363" t="s">
        <v>336</v>
      </c>
      <c r="E33" s="365" t="s">
        <v>323</v>
      </c>
      <c r="G33" s="366" t="n">
        <v>8</v>
      </c>
      <c r="H33" s="338" t="n">
        <f aca="false">IF((G33&lt;&gt;0),IF((D33&gt;0)," ",G33)," ")</f>
        <v>8</v>
      </c>
      <c r="I33" s="367" t="n">
        <f aca="false">IF((G33&lt;&gt;0),IF((D33&gt;0)," ",(I$1-A33))," ")</f>
        <v>279</v>
      </c>
      <c r="J33" s="334" t="str">
        <f aca="false">IF((E33="s"),G33," ")</f>
        <v> </v>
      </c>
      <c r="K33" s="334" t="str">
        <f aca="false">IF((E33="d"),G33," ")</f>
        <v> </v>
      </c>
      <c r="L33" s="334" t="str">
        <f aca="false">IF((E33="e"),G33," ")</f>
        <v> </v>
      </c>
      <c r="M33" s="334" t="str">
        <f aca="false">IF((E33="p"),G33," ")</f>
        <v> </v>
      </c>
      <c r="N33" s="334" t="str">
        <f aca="false">IF((E33="r"),G33," ")</f>
        <v> </v>
      </c>
      <c r="O33" s="334" t="str">
        <f aca="false">IF((E33="g"),G33," ")</f>
        <v> </v>
      </c>
      <c r="P33" s="334" t="str">
        <f aca="false">IF((E33="m"),G33," ")</f>
        <v> </v>
      </c>
      <c r="Q33" s="334" t="n">
        <f aca="false">IF((E33="t"),G33," ")</f>
        <v>8</v>
      </c>
      <c r="R33" s="334" t="str">
        <f aca="false">IF((E33="a"),G33," ")</f>
        <v> </v>
      </c>
      <c r="S33" s="334" t="str">
        <f aca="false">IF((E33="l"),G33," ")</f>
        <v> </v>
      </c>
      <c r="T33" s="334" t="str">
        <f aca="false">IF((E33="b"),G33," ")</f>
        <v> </v>
      </c>
      <c r="U33" s="334" t="str">
        <f aca="false">IF((E33="i"),G33," ")</f>
        <v> </v>
      </c>
      <c r="V33" s="334" t="str">
        <f aca="false">IF((E33="o"),G33," ")</f>
        <v> </v>
      </c>
      <c r="W33" s="334" t="str">
        <f aca="false">IF((E33="f"),G33," ")</f>
        <v> </v>
      </c>
    </row>
    <row r="34" customFormat="false" ht="12.75" hidden="false" customHeight="false" outlineLevel="0" collapsed="false">
      <c r="A34" s="355" t="n">
        <v>45860</v>
      </c>
      <c r="B34" s="363" t="s">
        <v>337</v>
      </c>
      <c r="E34" s="365" t="s">
        <v>313</v>
      </c>
      <c r="G34" s="366" t="n">
        <v>18</v>
      </c>
      <c r="H34" s="338" t="n">
        <f aca="false">IF((G34&lt;&gt;0),IF((D34&gt;0)," ",G34)," ")</f>
        <v>18</v>
      </c>
      <c r="I34" s="367" t="n">
        <f aca="false">IF((G34&lt;&gt;0),IF((D34&gt;0)," ",(I$1-A34))," ")</f>
        <v>278</v>
      </c>
      <c r="J34" s="334" t="str">
        <f aca="false">IF((E34="s"),G34," ")</f>
        <v> </v>
      </c>
      <c r="K34" s="334" t="str">
        <f aca="false">IF((E34="d"),G34," ")</f>
        <v> </v>
      </c>
      <c r="L34" s="334" t="str">
        <f aca="false">IF((E34="e"),G34," ")</f>
        <v> </v>
      </c>
      <c r="M34" s="334" t="str">
        <f aca="false">IF((E34="p"),G34," ")</f>
        <v> </v>
      </c>
      <c r="N34" s="334" t="str">
        <f aca="false">IF((E34="r"),G34," ")</f>
        <v> </v>
      </c>
      <c r="O34" s="334" t="str">
        <f aca="false">IF((E34="g"),G34," ")</f>
        <v> </v>
      </c>
      <c r="P34" s="334" t="str">
        <f aca="false">IF((E34="m"),G34," ")</f>
        <v> </v>
      </c>
      <c r="Q34" s="334" t="str">
        <f aca="false">IF((E34="t"),G34," ")</f>
        <v> </v>
      </c>
      <c r="R34" s="334" t="str">
        <f aca="false">IF((E34="a"),G34," ")</f>
        <v> </v>
      </c>
      <c r="S34" s="334" t="str">
        <f aca="false">IF((E34="l"),G34," ")</f>
        <v> </v>
      </c>
      <c r="T34" s="334" t="str">
        <f aca="false">IF((E34="b"),G34," ")</f>
        <v> </v>
      </c>
      <c r="U34" s="334" t="str">
        <f aca="false">IF((E34="i"),G34," ")</f>
        <v> </v>
      </c>
      <c r="V34" s="334" t="n">
        <f aca="false">IF((E34="o"),G34," ")</f>
        <v>18</v>
      </c>
      <c r="W34" s="334" t="str">
        <f aca="false">IF((E34="f"),G34," ")</f>
        <v> </v>
      </c>
    </row>
    <row r="35" customFormat="false" ht="12.75" hidden="false" customHeight="false" outlineLevel="0" collapsed="false">
      <c r="A35" s="355" t="n">
        <v>45863</v>
      </c>
      <c r="B35" s="363" t="s">
        <v>338</v>
      </c>
      <c r="E35" s="365" t="s">
        <v>313</v>
      </c>
      <c r="G35" s="366" t="n">
        <v>15</v>
      </c>
      <c r="H35" s="338" t="n">
        <f aca="false">IF((G35&lt;&gt;0),IF((D35&gt;0)," ",G35)," ")</f>
        <v>15</v>
      </c>
      <c r="I35" s="367" t="n">
        <f aca="false">IF((G35&lt;&gt;0),IF((D35&gt;0)," ",(I$1-A35))," ")</f>
        <v>275</v>
      </c>
      <c r="J35" s="334" t="str">
        <f aca="false">IF((E35="s"),G35," ")</f>
        <v> </v>
      </c>
      <c r="K35" s="334" t="str">
        <f aca="false">IF((E35="d"),G35," ")</f>
        <v> </v>
      </c>
      <c r="L35" s="334" t="str">
        <f aca="false">IF((E35="e"),G35," ")</f>
        <v> </v>
      </c>
      <c r="M35" s="334" t="str">
        <f aca="false">IF((E35="p"),G35," ")</f>
        <v> </v>
      </c>
      <c r="N35" s="334" t="str">
        <f aca="false">IF((E35="r"),G35," ")</f>
        <v> </v>
      </c>
      <c r="O35" s="334" t="str">
        <f aca="false">IF((E35="g"),G35," ")</f>
        <v> </v>
      </c>
      <c r="P35" s="334" t="str">
        <f aca="false">IF((E35="m"),G35," ")</f>
        <v> </v>
      </c>
      <c r="Q35" s="334" t="str">
        <f aca="false">IF((E35="t"),G35," ")</f>
        <v> </v>
      </c>
      <c r="R35" s="334" t="str">
        <f aca="false">IF((E35="a"),G35," ")</f>
        <v> </v>
      </c>
      <c r="S35" s="334" t="str">
        <f aca="false">IF((E35="l"),G35," ")</f>
        <v> </v>
      </c>
      <c r="T35" s="334" t="str">
        <f aca="false">IF((E35="b"),G35," ")</f>
        <v> </v>
      </c>
      <c r="U35" s="334" t="str">
        <f aca="false">IF((E35="i"),G35," ")</f>
        <v> </v>
      </c>
      <c r="V35" s="334" t="n">
        <f aca="false">IF((E35="o"),G35," ")</f>
        <v>15</v>
      </c>
      <c r="W35" s="334" t="str">
        <f aca="false">IF((E35="f"),G35," ")</f>
        <v> </v>
      </c>
    </row>
    <row r="36" customFormat="false" ht="12.75" hidden="false" customHeight="false" outlineLevel="0" collapsed="false">
      <c r="A36" s="355" t="n">
        <v>45863</v>
      </c>
      <c r="B36" s="363" t="s">
        <v>339</v>
      </c>
      <c r="E36" s="365" t="s">
        <v>291</v>
      </c>
      <c r="G36" s="366" t="n">
        <v>20.25</v>
      </c>
      <c r="H36" s="338" t="n">
        <f aca="false">IF((G36&lt;&gt;0),IF((D36&gt;0)," ",G36)," ")</f>
        <v>20.25</v>
      </c>
      <c r="I36" s="367" t="n">
        <f aca="false">IF((G36&lt;&gt;0),IF((D36&gt;0)," ",(I$1-A36))," ")</f>
        <v>275</v>
      </c>
      <c r="J36" s="334" t="str">
        <f aca="false">IF((E36="s"),G36," ")</f>
        <v> </v>
      </c>
      <c r="K36" s="334" t="str">
        <f aca="false">IF((E36="d"),G36," ")</f>
        <v> </v>
      </c>
      <c r="L36" s="334" t="str">
        <f aca="false">IF((E36="e"),G36," ")</f>
        <v> </v>
      </c>
      <c r="M36" s="334" t="str">
        <f aca="false">IF((E36="p"),G36," ")</f>
        <v> </v>
      </c>
      <c r="N36" s="334" t="str">
        <f aca="false">IF((E36="r"),G36," ")</f>
        <v> </v>
      </c>
      <c r="O36" s="334" t="str">
        <f aca="false">IF((E36="g"),G36," ")</f>
        <v> </v>
      </c>
      <c r="P36" s="334" t="n">
        <f aca="false">IF((E36="m"),G36," ")</f>
        <v>20.25</v>
      </c>
      <c r="Q36" s="334" t="str">
        <f aca="false">IF((E36="t"),G36," ")</f>
        <v> </v>
      </c>
      <c r="R36" s="334" t="str">
        <f aca="false">IF((E36="a"),G36," ")</f>
        <v> </v>
      </c>
      <c r="S36" s="334" t="str">
        <f aca="false">IF((E36="l"),G36," ")</f>
        <v> </v>
      </c>
      <c r="T36" s="334" t="str">
        <f aca="false">IF((E36="b"),G36," ")</f>
        <v> </v>
      </c>
      <c r="U36" s="334" t="str">
        <f aca="false">IF((E36="i"),G36," ")</f>
        <v> </v>
      </c>
      <c r="V36" s="334" t="str">
        <f aca="false">IF((E36="o"),G36," ")</f>
        <v> </v>
      </c>
      <c r="W36" s="334" t="str">
        <f aca="false">IF((E36="f"),G36," ")</f>
        <v> </v>
      </c>
    </row>
    <row r="37" customFormat="false" ht="12.75" hidden="false" customHeight="false" outlineLevel="0" collapsed="false">
      <c r="A37" s="355" t="n">
        <v>45866</v>
      </c>
      <c r="B37" s="363" t="s">
        <v>243</v>
      </c>
      <c r="E37" s="365" t="s">
        <v>291</v>
      </c>
      <c r="G37" s="366" t="n">
        <v>120</v>
      </c>
      <c r="H37" s="338" t="n">
        <f aca="false">IF((G37&lt;&gt;0),IF((D37&gt;0)," ",G37)," ")</f>
        <v>120</v>
      </c>
      <c r="I37" s="367" t="n">
        <f aca="false">IF((G37&lt;&gt;0),IF((D37&gt;0)," ",(I$1-A37))," ")</f>
        <v>272</v>
      </c>
      <c r="J37" s="334" t="str">
        <f aca="false">IF((E37="s"),G37," ")</f>
        <v> </v>
      </c>
      <c r="K37" s="334" t="str">
        <f aca="false">IF((E37="d"),G37," ")</f>
        <v> </v>
      </c>
      <c r="L37" s="334" t="str">
        <f aca="false">IF((E37="e"),G37," ")</f>
        <v> </v>
      </c>
      <c r="M37" s="334" t="str">
        <f aca="false">IF((E37="p"),G37," ")</f>
        <v> </v>
      </c>
      <c r="N37" s="334" t="str">
        <f aca="false">IF((E37="r"),G37," ")</f>
        <v> </v>
      </c>
      <c r="O37" s="334" t="str">
        <f aca="false">IF((E37="g"),G37," ")</f>
        <v> </v>
      </c>
      <c r="P37" s="334" t="n">
        <f aca="false">IF((E37="m"),G37," ")</f>
        <v>120</v>
      </c>
      <c r="Q37" s="334" t="str">
        <f aca="false">IF((E37="t"),G37," ")</f>
        <v> </v>
      </c>
      <c r="R37" s="334" t="str">
        <f aca="false">IF((E37="a"),G37," ")</f>
        <v> </v>
      </c>
      <c r="S37" s="334" t="str">
        <f aca="false">IF((E37="l"),G37," ")</f>
        <v> </v>
      </c>
      <c r="T37" s="334" t="str">
        <f aca="false">IF((E37="b"),G37," ")</f>
        <v> </v>
      </c>
      <c r="U37" s="334" t="str">
        <f aca="false">IF((E37="i"),G37," ")</f>
        <v> </v>
      </c>
      <c r="V37" s="334" t="str">
        <f aca="false">IF((E37="o"),G37," ")</f>
        <v> </v>
      </c>
      <c r="W37" s="334" t="str">
        <f aca="false">IF((E37="f"),G37," ")</f>
        <v> </v>
      </c>
    </row>
    <row r="38" customFormat="false" ht="12.75" hidden="false" customHeight="false" outlineLevel="0" collapsed="false">
      <c r="A38" s="355" t="n">
        <v>45869</v>
      </c>
      <c r="B38" s="363" t="s">
        <v>240</v>
      </c>
      <c r="E38" s="365" t="s">
        <v>340</v>
      </c>
      <c r="G38" s="366" t="n">
        <v>300</v>
      </c>
      <c r="H38" s="338" t="n">
        <f aca="false">IF((G38&lt;&gt;0),IF((D38&gt;0)," ",G38)," ")</f>
        <v>300</v>
      </c>
      <c r="I38" s="367" t="n">
        <f aca="false">IF((G38&lt;&gt;0),IF((D38&gt;0)," ",(I$1-A38))," ")</f>
        <v>269</v>
      </c>
      <c r="J38" s="334" t="str">
        <f aca="false">IF((E38="s"),G38," ")</f>
        <v> </v>
      </c>
      <c r="K38" s="334" t="str">
        <f aca="false">IF((E38="d"),G38," ")</f>
        <v> </v>
      </c>
      <c r="L38" s="334" t="str">
        <f aca="false">IF((E38="e"),G38," ")</f>
        <v> </v>
      </c>
      <c r="M38" s="334" t="str">
        <f aca="false">IF((E38="p"),G38," ")</f>
        <v> </v>
      </c>
      <c r="N38" s="334" t="str">
        <f aca="false">IF((E38="r"),G38," ")</f>
        <v> </v>
      </c>
      <c r="O38" s="334" t="str">
        <f aca="false">IF((E38="g"),G38," ")</f>
        <v> </v>
      </c>
      <c r="P38" s="334" t="str">
        <f aca="false">IF((E38="m"),G38," ")</f>
        <v> </v>
      </c>
      <c r="Q38" s="334" t="str">
        <f aca="false">IF((E38="t"),G38," ")</f>
        <v> </v>
      </c>
      <c r="R38" s="334" t="str">
        <f aca="false">IF((E38="a"),G38," ")</f>
        <v> </v>
      </c>
      <c r="S38" s="334" t="n">
        <f aca="false">IF((E38="l"),G38," ")</f>
        <v>300</v>
      </c>
      <c r="T38" s="334" t="str">
        <f aca="false">IF((E38="b"),G38," ")</f>
        <v> </v>
      </c>
      <c r="U38" s="334" t="str">
        <f aca="false">IF((E38="i"),G38," ")</f>
        <v> </v>
      </c>
      <c r="V38" s="334" t="str">
        <f aca="false">IF((E38="o"),G38," ")</f>
        <v> </v>
      </c>
      <c r="W38" s="334" t="str">
        <f aca="false">IF((E38="f"),G38," ")</f>
        <v> </v>
      </c>
    </row>
    <row r="39" customFormat="false" ht="12.75" hidden="false" customHeight="false" outlineLevel="0" collapsed="false">
      <c r="A39" s="355"/>
      <c r="H39" s="338" t="str">
        <f aca="false">IF((G39&lt;&gt;0),IF((D39&gt;0)," ",G39)," ")</f>
        <v> </v>
      </c>
      <c r="I39" s="367" t="str">
        <f aca="false">IF((G39&lt;&gt;0),IF((D39&gt;0)," ",(I$1-A39))," ")</f>
        <v> </v>
      </c>
      <c r="J39" s="334" t="str">
        <f aca="false">IF((E39="s"),G39," ")</f>
        <v> </v>
      </c>
      <c r="K39" s="334" t="str">
        <f aca="false">IF((E39="d"),G39," ")</f>
        <v> </v>
      </c>
      <c r="L39" s="334" t="str">
        <f aca="false">IF((E39="e"),G39," ")</f>
        <v> </v>
      </c>
      <c r="M39" s="334" t="str">
        <f aca="false">IF((E39="p"),G39," ")</f>
        <v> </v>
      </c>
      <c r="N39" s="334" t="str">
        <f aca="false">IF((E39="r"),G39," ")</f>
        <v> </v>
      </c>
      <c r="O39" s="334" t="str">
        <f aca="false">IF((E39="g"),G39," ")</f>
        <v> </v>
      </c>
      <c r="P39" s="334" t="str">
        <f aca="false">IF((E39="m"),G39," ")</f>
        <v> </v>
      </c>
      <c r="Q39" s="334" t="str">
        <f aca="false">IF((E39="t"),G39," ")</f>
        <v> </v>
      </c>
      <c r="R39" s="334" t="str">
        <f aca="false">IF((E39="a"),G39," ")</f>
        <v> </v>
      </c>
      <c r="S39" s="334" t="str">
        <f aca="false">IF((E39="l"),G39," ")</f>
        <v> </v>
      </c>
      <c r="T39" s="334" t="str">
        <f aca="false">IF((E39="b"),G39," ")</f>
        <v> </v>
      </c>
      <c r="U39" s="334" t="str">
        <f aca="false">IF((E39="i"),G39," ")</f>
        <v> </v>
      </c>
      <c r="V39" s="334" t="str">
        <f aca="false">IF((E39="o"),G39," ")</f>
        <v> </v>
      </c>
      <c r="W39" s="334" t="str">
        <f aca="false">IF((E39="f"),G39," ")</f>
        <v> </v>
      </c>
    </row>
    <row r="40" customFormat="false" ht="12.75" hidden="false" customHeight="false" outlineLevel="0" collapsed="false">
      <c r="A40" s="355"/>
      <c r="H40" s="338" t="str">
        <f aca="false">IF((G40&lt;&gt;0),IF((D40&gt;0)," ",G40)," ")</f>
        <v> </v>
      </c>
      <c r="I40" s="367" t="str">
        <f aca="false">IF((G40&lt;&gt;0),IF((D40&gt;0)," ",(I$1-A40))," ")</f>
        <v> </v>
      </c>
      <c r="J40" s="334" t="str">
        <f aca="false">IF((E40="s"),G40," ")</f>
        <v> </v>
      </c>
      <c r="K40" s="334" t="str">
        <f aca="false">IF((E40="d"),G40," ")</f>
        <v> </v>
      </c>
      <c r="L40" s="334" t="str">
        <f aca="false">IF((E40="e"),G40," ")</f>
        <v> </v>
      </c>
      <c r="M40" s="334" t="str">
        <f aca="false">IF((E40="p"),G40," ")</f>
        <v> </v>
      </c>
      <c r="N40" s="334" t="str">
        <f aca="false">IF((E40="r"),G40," ")</f>
        <v> </v>
      </c>
      <c r="O40" s="334" t="str">
        <f aca="false">IF((E40="g"),G40," ")</f>
        <v> </v>
      </c>
      <c r="P40" s="334" t="str">
        <f aca="false">IF((E40="m"),G40," ")</f>
        <v> </v>
      </c>
      <c r="Q40" s="334" t="str">
        <f aca="false">IF((E40="t"),G40," ")</f>
        <v> </v>
      </c>
      <c r="R40" s="334" t="str">
        <f aca="false">IF((E40="a"),G40," ")</f>
        <v> </v>
      </c>
      <c r="S40" s="334" t="str">
        <f aca="false">IF((E40="l"),G40," ")</f>
        <v> </v>
      </c>
      <c r="T40" s="334" t="str">
        <f aca="false">IF((E40="b"),G40," ")</f>
        <v> </v>
      </c>
      <c r="U40" s="334" t="str">
        <f aca="false">IF((E40="i"),G40," ")</f>
        <v> </v>
      </c>
      <c r="V40" s="334" t="str">
        <f aca="false">IF((E40="o"),G40," ")</f>
        <v> </v>
      </c>
      <c r="W40" s="334" t="str">
        <f aca="false">IF((E40="f"),G40," ")</f>
        <v> </v>
      </c>
    </row>
    <row r="41" customFormat="false" ht="12.75" hidden="false" customHeight="false" outlineLevel="0" collapsed="false">
      <c r="A41" s="355"/>
      <c r="H41" s="338" t="str">
        <f aca="false">IF((G41&lt;&gt;0),IF((D41&gt;0)," ",G41)," ")</f>
        <v> </v>
      </c>
      <c r="I41" s="367" t="str">
        <f aca="false">IF((G41&lt;&gt;0),IF((D41&gt;0)," ",(I$1-A41))," ")</f>
        <v> </v>
      </c>
      <c r="J41" s="334" t="str">
        <f aca="false">IF((E41="s"),G41," ")</f>
        <v> </v>
      </c>
      <c r="K41" s="334" t="str">
        <f aca="false">IF((E41="d"),G41," ")</f>
        <v> </v>
      </c>
      <c r="L41" s="334" t="str">
        <f aca="false">IF((E41="e"),G41," ")</f>
        <v> </v>
      </c>
      <c r="M41" s="334" t="str">
        <f aca="false">IF((E41="p"),G41," ")</f>
        <v> </v>
      </c>
      <c r="N41" s="334" t="str">
        <f aca="false">IF((E41="r"),G41," ")</f>
        <v> </v>
      </c>
      <c r="O41" s="334" t="str">
        <f aca="false">IF((E41="g"),G41," ")</f>
        <v> </v>
      </c>
      <c r="P41" s="334" t="str">
        <f aca="false">IF((E41="m"),G41," ")</f>
        <v> </v>
      </c>
      <c r="Q41" s="334" t="str">
        <f aca="false">IF((E41="t"),G41," ")</f>
        <v> </v>
      </c>
      <c r="R41" s="334" t="str">
        <f aca="false">IF((E41="a"),G41," ")</f>
        <v> </v>
      </c>
      <c r="S41" s="334" t="str">
        <f aca="false">IF((E41="l"),G41," ")</f>
        <v> </v>
      </c>
      <c r="T41" s="334" t="str">
        <f aca="false">IF((E41="b"),G41," ")</f>
        <v> </v>
      </c>
      <c r="U41" s="334" t="str">
        <f aca="false">IF((E41="i"),G41," ")</f>
        <v> </v>
      </c>
      <c r="V41" s="334" t="str">
        <f aca="false">IF((E41="o"),G41," ")</f>
        <v> </v>
      </c>
      <c r="W41" s="334" t="str">
        <f aca="false">IF((E41="f"),G41," ")</f>
        <v> </v>
      </c>
    </row>
    <row r="42" customFormat="false" ht="12.75" hidden="false" customHeight="false" outlineLevel="0" collapsed="false">
      <c r="A42" s="355"/>
      <c r="H42" s="338" t="str">
        <f aca="false">IF((G42&lt;&gt;0),IF((D42&gt;0)," ",G42)," ")</f>
        <v> </v>
      </c>
      <c r="I42" s="367" t="str">
        <f aca="false">IF((G42&lt;&gt;0),IF((D42&gt;0)," ",(I$1-A42))," ")</f>
        <v> </v>
      </c>
      <c r="J42" s="334" t="str">
        <f aca="false">IF((E42="s"),G42," ")</f>
        <v> </v>
      </c>
      <c r="K42" s="334" t="str">
        <f aca="false">IF((E42="d"),G42," ")</f>
        <v> </v>
      </c>
      <c r="L42" s="334" t="str">
        <f aca="false">IF((E42="e"),G42," ")</f>
        <v> </v>
      </c>
      <c r="M42" s="334" t="str">
        <f aca="false">IF((E42="p"),G42," ")</f>
        <v> </v>
      </c>
      <c r="N42" s="334" t="str">
        <f aca="false">IF((E42="r"),G42," ")</f>
        <v> </v>
      </c>
      <c r="O42" s="334" t="str">
        <f aca="false">IF((E42="g"),G42," ")</f>
        <v> </v>
      </c>
      <c r="P42" s="334" t="str">
        <f aca="false">IF((E42="m"),G42," ")</f>
        <v> </v>
      </c>
      <c r="Q42" s="334" t="str">
        <f aca="false">IF((E42="t"),G42," ")</f>
        <v> </v>
      </c>
      <c r="R42" s="334" t="str">
        <f aca="false">IF((E42="a"),G42," ")</f>
        <v> </v>
      </c>
      <c r="S42" s="334" t="str">
        <f aca="false">IF((E42="l"),G42," ")</f>
        <v> </v>
      </c>
      <c r="T42" s="334" t="str">
        <f aca="false">IF((E42="b"),G42," ")</f>
        <v> </v>
      </c>
      <c r="U42" s="334" t="str">
        <f aca="false">IF((E42="i"),G42," ")</f>
        <v> </v>
      </c>
      <c r="V42" s="334" t="str">
        <f aca="false">IF((E42="o"),G42," ")</f>
        <v> </v>
      </c>
      <c r="W42" s="334" t="str">
        <f aca="false">IF((E42="f"),G42," ")</f>
        <v> </v>
      </c>
    </row>
    <row r="43" customFormat="false" ht="12.75" hidden="false" customHeight="false" outlineLevel="0" collapsed="false">
      <c r="A43" s="355"/>
      <c r="H43" s="338" t="str">
        <f aca="false">IF((G43&lt;&gt;0),IF((D43&gt;0)," ",G43)," ")</f>
        <v> </v>
      </c>
      <c r="I43" s="367" t="str">
        <f aca="false">IF((G43&lt;&gt;0),IF((D43&gt;0)," ",(I$1-A43))," ")</f>
        <v> </v>
      </c>
      <c r="J43" s="334" t="str">
        <f aca="false">IF((E43="s"),G43," ")</f>
        <v> </v>
      </c>
      <c r="K43" s="334" t="str">
        <f aca="false">IF((E43="d"),G43," ")</f>
        <v> </v>
      </c>
      <c r="L43" s="334" t="str">
        <f aca="false">IF((E43="e"),G43," ")</f>
        <v> </v>
      </c>
      <c r="M43" s="334" t="str">
        <f aca="false">IF((E43="p"),G43," ")</f>
        <v> </v>
      </c>
      <c r="N43" s="334" t="str">
        <f aca="false">IF((E43="r"),G43," ")</f>
        <v> </v>
      </c>
      <c r="O43" s="334" t="str">
        <f aca="false">IF((E43="g"),G43," ")</f>
        <v> </v>
      </c>
      <c r="P43" s="334" t="str">
        <f aca="false">IF((E43="m"),G43," ")</f>
        <v> </v>
      </c>
      <c r="Q43" s="334" t="str">
        <f aca="false">IF((E43="t"),G43," ")</f>
        <v> </v>
      </c>
      <c r="R43" s="334" t="str">
        <f aca="false">IF((E43="a"),G43," ")</f>
        <v> </v>
      </c>
      <c r="S43" s="334" t="str">
        <f aca="false">IF((E43="l"),G43," ")</f>
        <v> </v>
      </c>
      <c r="T43" s="334" t="str">
        <f aca="false">IF((E43="b"),G43," ")</f>
        <v> </v>
      </c>
      <c r="U43" s="334" t="str">
        <f aca="false">IF((E43="i"),G43," ")</f>
        <v> </v>
      </c>
      <c r="V43" s="334" t="str">
        <f aca="false">IF((E43="o"),G43," ")</f>
        <v> </v>
      </c>
      <c r="W43" s="334" t="str">
        <f aca="false">IF((E43="f"),G43," ")</f>
        <v> </v>
      </c>
    </row>
    <row r="44" customFormat="false" ht="12.75" hidden="false" customHeight="false" outlineLevel="0" collapsed="false">
      <c r="A44" s="355"/>
      <c r="H44" s="338" t="str">
        <f aca="false">IF((G44&lt;&gt;0),IF((D44&gt;0)," ",G44)," ")</f>
        <v> </v>
      </c>
      <c r="I44" s="367" t="str">
        <f aca="false">IF((G44&lt;&gt;0),IF((D44&gt;0)," ",(I$1-A44))," ")</f>
        <v> </v>
      </c>
      <c r="J44" s="334" t="str">
        <f aca="false">IF((E44="s"),G44," ")</f>
        <v> </v>
      </c>
      <c r="K44" s="334" t="str">
        <f aca="false">IF((E44="d"),G44," ")</f>
        <v> </v>
      </c>
      <c r="L44" s="334" t="str">
        <f aca="false">IF((E44="e"),G44," ")</f>
        <v> </v>
      </c>
      <c r="M44" s="334" t="str">
        <f aca="false">IF((E44="p"),G44," ")</f>
        <v> </v>
      </c>
      <c r="N44" s="334" t="str">
        <f aca="false">IF((E44="r"),G44," ")</f>
        <v> </v>
      </c>
      <c r="O44" s="334" t="str">
        <f aca="false">IF((E44="g"),G44," ")</f>
        <v> </v>
      </c>
      <c r="P44" s="334" t="str">
        <f aca="false">IF((E44="m"),G44," ")</f>
        <v> </v>
      </c>
      <c r="Q44" s="334" t="str">
        <f aca="false">IF((E44="t"),G44," ")</f>
        <v> </v>
      </c>
      <c r="R44" s="334" t="str">
        <f aca="false">IF((E44="a"),G44," ")</f>
        <v> </v>
      </c>
      <c r="S44" s="334" t="str">
        <f aca="false">IF((E44="l"),G44," ")</f>
        <v> </v>
      </c>
      <c r="T44" s="334" t="str">
        <f aca="false">IF((E44="b"),G44," ")</f>
        <v> </v>
      </c>
      <c r="U44" s="334" t="str">
        <f aca="false">IF((E44="i"),G44," ")</f>
        <v> </v>
      </c>
      <c r="V44" s="334" t="str">
        <f aca="false">IF((E44="o"),G44," ")</f>
        <v> </v>
      </c>
      <c r="W44" s="334" t="str">
        <f aca="false">IF((E44="f"),G44," ")</f>
        <v> </v>
      </c>
    </row>
    <row r="45" customFormat="false" ht="12.75" hidden="false" customHeight="false" outlineLevel="0" collapsed="false">
      <c r="A45" s="355"/>
      <c r="H45" s="338" t="str">
        <f aca="false">IF((G45&lt;&gt;0),IF((D45&gt;0)," ",G45)," ")</f>
        <v> </v>
      </c>
      <c r="I45" s="367" t="str">
        <f aca="false">IF((G45&lt;&gt;0),IF((D45&gt;0)," ",(I$1-A45))," ")</f>
        <v> </v>
      </c>
      <c r="J45" s="334" t="str">
        <f aca="false">IF((E45="s"),G45," ")</f>
        <v> </v>
      </c>
      <c r="K45" s="334" t="str">
        <f aca="false">IF((E45="d"),G45," ")</f>
        <v> </v>
      </c>
      <c r="L45" s="334" t="str">
        <f aca="false">IF((E45="e"),G45," ")</f>
        <v> </v>
      </c>
      <c r="M45" s="334" t="str">
        <f aca="false">IF((E45="p"),G45," ")</f>
        <v> </v>
      </c>
      <c r="N45" s="334" t="str">
        <f aca="false">IF((E45="r"),G45," ")</f>
        <v> </v>
      </c>
      <c r="O45" s="334" t="str">
        <f aca="false">IF((E45="g"),G45," ")</f>
        <v> </v>
      </c>
      <c r="P45" s="334" t="str">
        <f aca="false">IF((E45="m"),G45," ")</f>
        <v> </v>
      </c>
      <c r="Q45" s="334" t="str">
        <f aca="false">IF((E45="t"),G45," ")</f>
        <v> </v>
      </c>
      <c r="R45" s="334" t="str">
        <f aca="false">IF((E45="a"),G45," ")</f>
        <v> </v>
      </c>
      <c r="S45" s="334" t="str">
        <f aca="false">IF((E45="l"),G45," ")</f>
        <v> </v>
      </c>
      <c r="T45" s="334" t="str">
        <f aca="false">IF((E45="b"),G45," ")</f>
        <v> </v>
      </c>
      <c r="U45" s="334" t="str">
        <f aca="false">IF((E45="i"),G45," ")</f>
        <v> </v>
      </c>
      <c r="V45" s="334" t="str">
        <f aca="false">IF((E45="o"),G45," ")</f>
        <v> </v>
      </c>
      <c r="W45" s="334" t="str">
        <f aca="false">IF((E45="f"),G45," ")</f>
        <v> </v>
      </c>
    </row>
    <row r="46" customFormat="false" ht="12.75" hidden="false" customHeight="false" outlineLevel="0" collapsed="false">
      <c r="A46" s="355"/>
      <c r="H46" s="338" t="str">
        <f aca="false">IF((G46&lt;&gt;0),IF((D46&gt;0)," ",G46)," ")</f>
        <v> </v>
      </c>
      <c r="I46" s="367" t="str">
        <f aca="false">IF((G46&lt;&gt;0),IF((D46&gt;0)," ",(I$1-A46))," ")</f>
        <v> </v>
      </c>
      <c r="J46" s="334" t="str">
        <f aca="false">IF((E46="s"),G46," ")</f>
        <v> </v>
      </c>
      <c r="K46" s="334" t="str">
        <f aca="false">IF((E46="d"),G46," ")</f>
        <v> </v>
      </c>
      <c r="L46" s="334" t="str">
        <f aca="false">IF((E46="e"),G46," ")</f>
        <v> </v>
      </c>
      <c r="M46" s="334" t="str">
        <f aca="false">IF((E46="p"),G46," ")</f>
        <v> </v>
      </c>
      <c r="N46" s="334" t="str">
        <f aca="false">IF((E46="r"),G46," ")</f>
        <v> </v>
      </c>
      <c r="O46" s="334" t="str">
        <f aca="false">IF((E46="g"),G46," ")</f>
        <v> </v>
      </c>
      <c r="P46" s="334" t="str">
        <f aca="false">IF((E46="m"),G46," ")</f>
        <v> </v>
      </c>
      <c r="Q46" s="334" t="str">
        <f aca="false">IF((E46="t"),G46," ")</f>
        <v> </v>
      </c>
      <c r="R46" s="334" t="str">
        <f aca="false">IF((E46="a"),G46," ")</f>
        <v> </v>
      </c>
      <c r="S46" s="334" t="str">
        <f aca="false">IF((E46="l"),G46," ")</f>
        <v> </v>
      </c>
      <c r="T46" s="334" t="str">
        <f aca="false">IF((E46="b"),G46," ")</f>
        <v> </v>
      </c>
      <c r="U46" s="334" t="str">
        <f aca="false">IF((E46="i"),G46," ")</f>
        <v> </v>
      </c>
      <c r="V46" s="334" t="str">
        <f aca="false">IF((E46="o"),G46," ")</f>
        <v> </v>
      </c>
      <c r="W46" s="334" t="str">
        <f aca="false">IF((E46="f"),G46," ")</f>
        <v> </v>
      </c>
    </row>
    <row r="47" customFormat="false" ht="12.75" hidden="false" customHeight="false" outlineLevel="0" collapsed="false">
      <c r="A47" s="355"/>
      <c r="H47" s="338" t="str">
        <f aca="false">IF((G47&lt;&gt;0),IF((D47&gt;0)," ",G47)," ")</f>
        <v> </v>
      </c>
      <c r="I47" s="367" t="str">
        <f aca="false">IF((G47&lt;&gt;0),IF((D47&gt;0)," ",(I$1-A47))," ")</f>
        <v> </v>
      </c>
      <c r="J47" s="334" t="str">
        <f aca="false">IF((E47="s"),G47," ")</f>
        <v> </v>
      </c>
      <c r="K47" s="334" t="str">
        <f aca="false">IF((E47="d"),G47," ")</f>
        <v> </v>
      </c>
      <c r="L47" s="334" t="str">
        <f aca="false">IF((E47="e"),G47," ")</f>
        <v> </v>
      </c>
      <c r="M47" s="334" t="str">
        <f aca="false">IF((E47="p"),G47," ")</f>
        <v> </v>
      </c>
      <c r="N47" s="334" t="str">
        <f aca="false">IF((E47="r"),G47," ")</f>
        <v> </v>
      </c>
      <c r="O47" s="334" t="str">
        <f aca="false">IF((E47="g"),G47," ")</f>
        <v> </v>
      </c>
      <c r="P47" s="334" t="str">
        <f aca="false">IF((E47="m"),G47," ")</f>
        <v> </v>
      </c>
      <c r="Q47" s="334" t="str">
        <f aca="false">IF((E47="t"),G47," ")</f>
        <v> </v>
      </c>
      <c r="R47" s="334" t="str">
        <f aca="false">IF((E47="a"),G47," ")</f>
        <v> </v>
      </c>
      <c r="S47" s="334" t="str">
        <f aca="false">IF((E47="l"),G47," ")</f>
        <v> </v>
      </c>
      <c r="T47" s="334" t="str">
        <f aca="false">IF((E47="b"),G47," ")</f>
        <v> </v>
      </c>
      <c r="U47" s="334" t="str">
        <f aca="false">IF((E47="i"),G47," ")</f>
        <v> </v>
      </c>
      <c r="V47" s="334" t="str">
        <f aca="false">IF((E47="o"),G47," ")</f>
        <v> </v>
      </c>
      <c r="W47" s="334" t="str">
        <f aca="false">IF((E47="f"),G47," ")</f>
        <v> </v>
      </c>
    </row>
    <row r="48" customFormat="false" ht="12.75" hidden="false" customHeight="false" outlineLevel="0" collapsed="false">
      <c r="A48" s="355"/>
      <c r="H48" s="338" t="str">
        <f aca="false">IF((G48&lt;&gt;0),IF((D48&gt;0)," ",G48)," ")</f>
        <v> </v>
      </c>
      <c r="I48" s="367" t="str">
        <f aca="false">IF((G48&lt;&gt;0),IF((D48&gt;0)," ",(I$1-A48))," ")</f>
        <v> </v>
      </c>
      <c r="J48" s="334" t="str">
        <f aca="false">IF((E48="s"),G48," ")</f>
        <v> </v>
      </c>
      <c r="K48" s="334" t="str">
        <f aca="false">IF((E48="d"),G48," ")</f>
        <v> </v>
      </c>
      <c r="L48" s="334" t="str">
        <f aca="false">IF((E48="e"),G48," ")</f>
        <v> </v>
      </c>
      <c r="M48" s="334" t="str">
        <f aca="false">IF((E48="p"),G48," ")</f>
        <v> </v>
      </c>
      <c r="N48" s="334" t="str">
        <f aca="false">IF((E48="r"),G48," ")</f>
        <v> </v>
      </c>
      <c r="O48" s="334" t="str">
        <f aca="false">IF((E48="g"),G48," ")</f>
        <v> </v>
      </c>
      <c r="P48" s="334" t="str">
        <f aca="false">IF((E48="m"),G48," ")</f>
        <v> </v>
      </c>
      <c r="Q48" s="334" t="str">
        <f aca="false">IF((E48="t"),G48," ")</f>
        <v> </v>
      </c>
      <c r="R48" s="334" t="str">
        <f aca="false">IF((E48="a"),G48," ")</f>
        <v> </v>
      </c>
      <c r="S48" s="334" t="str">
        <f aca="false">IF((E48="l"),G48," ")</f>
        <v> </v>
      </c>
      <c r="T48" s="334" t="str">
        <f aca="false">IF((E48="b"),G48," ")</f>
        <v> </v>
      </c>
      <c r="U48" s="334" t="str">
        <f aca="false">IF((E48="i"),G48," ")</f>
        <v> </v>
      </c>
      <c r="V48" s="334" t="str">
        <f aca="false">IF((E48="o"),G48," ")</f>
        <v> </v>
      </c>
      <c r="W48" s="334" t="str">
        <f aca="false">IF((E48="f"),G48," ")</f>
        <v> </v>
      </c>
    </row>
    <row r="49" customFormat="false" ht="12.75" hidden="false" customHeight="false" outlineLevel="0" collapsed="false">
      <c r="A49" s="355"/>
      <c r="H49" s="338" t="str">
        <f aca="false">IF((G49&lt;&gt;0),IF((D49&gt;0)," ",G49)," ")</f>
        <v> </v>
      </c>
      <c r="I49" s="367" t="str">
        <f aca="false">IF((G49&lt;&gt;0),IF((D49&gt;0)," ",(I$1-A49))," ")</f>
        <v> </v>
      </c>
      <c r="J49" s="334" t="str">
        <f aca="false">IF((E49="s"),G49," ")</f>
        <v> </v>
      </c>
      <c r="K49" s="334" t="str">
        <f aca="false">IF((E49="d"),G49," ")</f>
        <v> </v>
      </c>
      <c r="L49" s="334" t="str">
        <f aca="false">IF((E49="e"),G49," ")</f>
        <v> </v>
      </c>
      <c r="M49" s="334" t="str">
        <f aca="false">IF((E49="p"),G49," ")</f>
        <v> </v>
      </c>
      <c r="N49" s="334" t="str">
        <f aca="false">IF((E49="r"),G49," ")</f>
        <v> </v>
      </c>
      <c r="O49" s="334" t="str">
        <f aca="false">IF((E49="g"),G49," ")</f>
        <v> </v>
      </c>
      <c r="P49" s="334" t="str">
        <f aca="false">IF((E49="m"),G49," ")</f>
        <v> </v>
      </c>
      <c r="Q49" s="334" t="str">
        <f aca="false">IF((E49="t"),G49," ")</f>
        <v> </v>
      </c>
      <c r="R49" s="334" t="str">
        <f aca="false">IF((E49="a"),G49," ")</f>
        <v> </v>
      </c>
      <c r="S49" s="334" t="str">
        <f aca="false">IF((E49="l"),G49," ")</f>
        <v> </v>
      </c>
      <c r="T49" s="334" t="str">
        <f aca="false">IF((E49="b"),G49," ")</f>
        <v> </v>
      </c>
      <c r="U49" s="334" t="str">
        <f aca="false">IF((E49="i"),G49," ")</f>
        <v> </v>
      </c>
      <c r="V49" s="334" t="str">
        <f aca="false">IF((E49="o"),G49," ")</f>
        <v> </v>
      </c>
      <c r="W49" s="334" t="str">
        <f aca="false">IF((E49="f"),G49," ")</f>
        <v> </v>
      </c>
    </row>
    <row r="50" customFormat="false" ht="12.75" hidden="false" customHeight="false" outlineLevel="0" collapsed="false">
      <c r="A50" s="355"/>
      <c r="H50" s="338" t="str">
        <f aca="false">IF((G50&lt;&gt;0),IF((D50&gt;0)," ",G50)," ")</f>
        <v> </v>
      </c>
      <c r="I50" s="367" t="str">
        <f aca="false">IF((G50&lt;&gt;0),IF((D50&gt;0)," ",(I$1-A50))," ")</f>
        <v> </v>
      </c>
      <c r="J50" s="334" t="str">
        <f aca="false">IF((E50="s"),G50," ")</f>
        <v> </v>
      </c>
      <c r="K50" s="334" t="str">
        <f aca="false">IF((E50="d"),G50," ")</f>
        <v> </v>
      </c>
      <c r="L50" s="334" t="str">
        <f aca="false">IF((E50="e"),G50," ")</f>
        <v> </v>
      </c>
      <c r="M50" s="334" t="str">
        <f aca="false">IF((E50="p"),G50," ")</f>
        <v> </v>
      </c>
      <c r="N50" s="334" t="str">
        <f aca="false">IF((E50="r"),G50," ")</f>
        <v> </v>
      </c>
      <c r="O50" s="334" t="str">
        <f aca="false">IF((E50="g"),G50," ")</f>
        <v> </v>
      </c>
      <c r="P50" s="334" t="str">
        <f aca="false">IF((E50="m"),G50," ")</f>
        <v> </v>
      </c>
      <c r="Q50" s="334" t="str">
        <f aca="false">IF((E50="t"),G50," ")</f>
        <v> </v>
      </c>
      <c r="R50" s="334" t="str">
        <f aca="false">IF((E50="a"),G50," ")</f>
        <v> </v>
      </c>
      <c r="S50" s="334" t="str">
        <f aca="false">IF((E50="l"),G50," ")</f>
        <v> </v>
      </c>
      <c r="T50" s="334" t="str">
        <f aca="false">IF((E50="b"),G50," ")</f>
        <v> </v>
      </c>
      <c r="U50" s="334" t="str">
        <f aca="false">IF((E50="i"),G50," ")</f>
        <v> </v>
      </c>
      <c r="V50" s="334" t="str">
        <f aca="false">IF((E50="o"),G50," ")</f>
        <v> </v>
      </c>
      <c r="W50" s="334" t="str">
        <f aca="false">IF((E50="f"),G50," ")</f>
        <v> </v>
      </c>
    </row>
    <row r="51" customFormat="false" ht="12.75" hidden="false" customHeight="false" outlineLevel="0" collapsed="false">
      <c r="A51" s="355"/>
      <c r="H51" s="338" t="str">
        <f aca="false">IF((G51&lt;&gt;0),IF((D51&gt;0)," ",G51)," ")</f>
        <v> </v>
      </c>
      <c r="I51" s="367" t="str">
        <f aca="false">IF((G51&lt;&gt;0),IF((D51&gt;0)," ",(I$1-A51))," ")</f>
        <v> </v>
      </c>
      <c r="J51" s="334" t="str">
        <f aca="false">IF((E51="s"),G51," ")</f>
        <v> </v>
      </c>
      <c r="K51" s="334" t="str">
        <f aca="false">IF((E51="d"),G51," ")</f>
        <v> </v>
      </c>
      <c r="L51" s="334" t="str">
        <f aca="false">IF((E51="e"),G51," ")</f>
        <v> </v>
      </c>
      <c r="M51" s="334" t="str">
        <f aca="false">IF((E51="p"),G51," ")</f>
        <v> </v>
      </c>
      <c r="N51" s="334" t="str">
        <f aca="false">IF((E51="r"),G51," ")</f>
        <v> </v>
      </c>
      <c r="O51" s="334" t="str">
        <f aca="false">IF((E51="g"),G51," ")</f>
        <v> </v>
      </c>
      <c r="P51" s="334" t="str">
        <f aca="false">IF((E51="m"),G51," ")</f>
        <v> </v>
      </c>
      <c r="Q51" s="334" t="str">
        <f aca="false">IF((E51="t"),G51," ")</f>
        <v> </v>
      </c>
      <c r="R51" s="334" t="str">
        <f aca="false">IF((E51="a"),G51," ")</f>
        <v> </v>
      </c>
      <c r="S51" s="334" t="str">
        <f aca="false">IF((E51="l"),G51," ")</f>
        <v> </v>
      </c>
      <c r="T51" s="334" t="str">
        <f aca="false">IF((E51="b"),G51," ")</f>
        <v> </v>
      </c>
      <c r="U51" s="334" t="str">
        <f aca="false">IF((E51="i"),G51," ")</f>
        <v> </v>
      </c>
      <c r="V51" s="334" t="str">
        <f aca="false">IF((E51="o"),G51," ")</f>
        <v> </v>
      </c>
      <c r="W51" s="334" t="str">
        <f aca="false">IF((E51="f"),G51," ")</f>
        <v> </v>
      </c>
    </row>
    <row r="52" customFormat="false" ht="12.75" hidden="false" customHeight="false" outlineLevel="0" collapsed="false">
      <c r="A52" s="355"/>
      <c r="H52" s="338" t="str">
        <f aca="false">IF((G52&lt;&gt;0),IF((D52&gt;0)," ",G52)," ")</f>
        <v> </v>
      </c>
      <c r="I52" s="367" t="str">
        <f aca="false">IF((G52&lt;&gt;0),IF((D52&gt;0)," ",(I$1-A52))," ")</f>
        <v> </v>
      </c>
      <c r="J52" s="334" t="str">
        <f aca="false">IF((E52="s"),G52," ")</f>
        <v> </v>
      </c>
      <c r="K52" s="334" t="str">
        <f aca="false">IF((E52="d"),G52," ")</f>
        <v> </v>
      </c>
      <c r="L52" s="334" t="str">
        <f aca="false">IF((E52="e"),G52," ")</f>
        <v> </v>
      </c>
      <c r="M52" s="334" t="str">
        <f aca="false">IF((E52="p"),G52," ")</f>
        <v> </v>
      </c>
      <c r="N52" s="334" t="str">
        <f aca="false">IF((E52="r"),G52," ")</f>
        <v> </v>
      </c>
      <c r="O52" s="334" t="str">
        <f aca="false">IF((E52="g"),G52," ")</f>
        <v> </v>
      </c>
      <c r="P52" s="334" t="str">
        <f aca="false">IF((E52="m"),G52," ")</f>
        <v> </v>
      </c>
      <c r="Q52" s="334" t="str">
        <f aca="false">IF((E52="t"),G52," ")</f>
        <v> </v>
      </c>
      <c r="R52" s="334" t="str">
        <f aca="false">IF((E52="a"),G52," ")</f>
        <v> </v>
      </c>
      <c r="S52" s="334" t="str">
        <f aca="false">IF((E52="l"),G52," ")</f>
        <v> </v>
      </c>
      <c r="T52" s="334" t="str">
        <f aca="false">IF((E52="b"),G52," ")</f>
        <v> </v>
      </c>
      <c r="U52" s="334" t="str">
        <f aca="false">IF((E52="i"),G52," ")</f>
        <v> </v>
      </c>
      <c r="V52" s="334" t="str">
        <f aca="false">IF((E52="o"),G52," ")</f>
        <v> </v>
      </c>
      <c r="W52" s="334" t="str">
        <f aca="false">IF((E52="f"),G52," ")</f>
        <v> </v>
      </c>
    </row>
    <row r="53" customFormat="false" ht="12.75" hidden="false" customHeight="false" outlineLevel="0" collapsed="false">
      <c r="A53" s="355"/>
      <c r="H53" s="338" t="str">
        <f aca="false">IF((G53&lt;&gt;0),IF((D53&gt;0)," ",G53)," ")</f>
        <v> </v>
      </c>
      <c r="I53" s="367" t="str">
        <f aca="false">IF((G53&lt;&gt;0),IF((D53&gt;0)," ",(I$1-A53))," ")</f>
        <v> </v>
      </c>
      <c r="J53" s="334" t="str">
        <f aca="false">IF((E53="s"),G53," ")</f>
        <v> </v>
      </c>
      <c r="K53" s="334" t="str">
        <f aca="false">IF((E53="d"),G53," ")</f>
        <v> </v>
      </c>
      <c r="L53" s="334" t="str">
        <f aca="false">IF((E53="e"),G53," ")</f>
        <v> </v>
      </c>
      <c r="M53" s="334" t="str">
        <f aca="false">IF((E53="p"),G53," ")</f>
        <v> </v>
      </c>
      <c r="N53" s="334" t="str">
        <f aca="false">IF((E53="r"),G53," ")</f>
        <v> </v>
      </c>
      <c r="O53" s="334" t="str">
        <f aca="false">IF((E53="g"),G53," ")</f>
        <v> </v>
      </c>
      <c r="P53" s="334" t="str">
        <f aca="false">IF((E53="m"),G53," ")</f>
        <v> </v>
      </c>
      <c r="Q53" s="334" t="str">
        <f aca="false">IF((E53="t"),G53," ")</f>
        <v> </v>
      </c>
      <c r="R53" s="334" t="str">
        <f aca="false">IF((E53="a"),G53," ")</f>
        <v> </v>
      </c>
      <c r="S53" s="334" t="str">
        <f aca="false">IF((E53="l"),G53," ")</f>
        <v> </v>
      </c>
      <c r="T53" s="334" t="str">
        <f aca="false">IF((E53="b"),G53," ")</f>
        <v> </v>
      </c>
      <c r="U53" s="334" t="str">
        <f aca="false">IF((E53="i"),G53," ")</f>
        <v> </v>
      </c>
      <c r="V53" s="334" t="str">
        <f aca="false">IF((E53="o"),G53," ")</f>
        <v> </v>
      </c>
      <c r="W53" s="334" t="str">
        <f aca="false">IF((E53="f"),G53," ")</f>
        <v> </v>
      </c>
    </row>
    <row r="54" customFormat="false" ht="12.75" hidden="false" customHeight="false" outlineLevel="0" collapsed="false">
      <c r="A54" s="355"/>
      <c r="H54" s="338" t="str">
        <f aca="false">IF((G54&lt;&gt;0),IF((D54&gt;0)," ",G54)," ")</f>
        <v> </v>
      </c>
      <c r="I54" s="367" t="str">
        <f aca="false">IF((G54&lt;&gt;0),IF((D54&gt;0)," ",(I$1-A54))," ")</f>
        <v> </v>
      </c>
      <c r="J54" s="334" t="str">
        <f aca="false">IF((E54="s"),G54," ")</f>
        <v> </v>
      </c>
      <c r="K54" s="334" t="str">
        <f aca="false">IF((E54="d"),G54," ")</f>
        <v> </v>
      </c>
      <c r="L54" s="334" t="str">
        <f aca="false">IF((E54="e"),G54," ")</f>
        <v> </v>
      </c>
      <c r="M54" s="334" t="str">
        <f aca="false">IF((E54="p"),G54," ")</f>
        <v> </v>
      </c>
      <c r="N54" s="334" t="str">
        <f aca="false">IF((E54="r"),G54," ")</f>
        <v> </v>
      </c>
      <c r="O54" s="334" t="str">
        <f aca="false">IF((E54="g"),G54," ")</f>
        <v> </v>
      </c>
      <c r="P54" s="334" t="str">
        <f aca="false">IF((E54="m"),G54," ")</f>
        <v> </v>
      </c>
      <c r="Q54" s="334" t="str">
        <f aca="false">IF((E54="t"),G54," ")</f>
        <v> </v>
      </c>
      <c r="R54" s="334" t="str">
        <f aca="false">IF((E54="a"),G54," ")</f>
        <v> </v>
      </c>
      <c r="S54" s="334" t="str">
        <f aca="false">IF((E54="l"),G54," ")</f>
        <v> </v>
      </c>
      <c r="T54" s="334" t="str">
        <f aca="false">IF((E54="b"),G54," ")</f>
        <v> </v>
      </c>
      <c r="U54" s="334" t="str">
        <f aca="false">IF((E54="i"),G54," ")</f>
        <v> </v>
      </c>
      <c r="V54" s="334" t="str">
        <f aca="false">IF((E54="o"),G54," ")</f>
        <v> </v>
      </c>
      <c r="W54" s="334" t="str">
        <f aca="false">IF((E54="f"),G54," ")</f>
        <v> </v>
      </c>
    </row>
    <row r="55" customFormat="false" ht="12.75" hidden="false" customHeight="false" outlineLevel="0" collapsed="false">
      <c r="A55" s="355"/>
      <c r="H55" s="338" t="str">
        <f aca="false">IF((G55&lt;&gt;0),IF((D55&gt;0)," ",G55)," ")</f>
        <v> </v>
      </c>
      <c r="I55" s="367" t="str">
        <f aca="false">IF((G55&lt;&gt;0),IF((D55&gt;0)," ",(I$1-A55))," ")</f>
        <v> </v>
      </c>
      <c r="J55" s="334" t="str">
        <f aca="false">IF((E55="s"),G55," ")</f>
        <v> </v>
      </c>
      <c r="K55" s="334" t="str">
        <f aca="false">IF((E55="d"),G55," ")</f>
        <v> </v>
      </c>
      <c r="L55" s="334" t="str">
        <f aca="false">IF((E55="e"),G55," ")</f>
        <v> </v>
      </c>
      <c r="M55" s="334" t="str">
        <f aca="false">IF((E55="p"),G55," ")</f>
        <v> </v>
      </c>
      <c r="N55" s="334" t="str">
        <f aca="false">IF((E55="r"),G55," ")</f>
        <v> </v>
      </c>
      <c r="O55" s="334" t="str">
        <f aca="false">IF((E55="g"),G55," ")</f>
        <v> </v>
      </c>
      <c r="P55" s="334" t="str">
        <f aca="false">IF((E55="m"),G55," ")</f>
        <v> </v>
      </c>
      <c r="Q55" s="334" t="str">
        <f aca="false">IF((E55="t"),G55," ")</f>
        <v> </v>
      </c>
      <c r="R55" s="334" t="str">
        <f aca="false">IF((E55="a"),G55," ")</f>
        <v> </v>
      </c>
      <c r="S55" s="334" t="str">
        <f aca="false">IF((E55="l"),G55," ")</f>
        <v> </v>
      </c>
      <c r="T55" s="334" t="str">
        <f aca="false">IF((E55="b"),G55," ")</f>
        <v> </v>
      </c>
      <c r="U55" s="334" t="str">
        <f aca="false">IF((E55="i"),G55," ")</f>
        <v> </v>
      </c>
      <c r="V55" s="334" t="str">
        <f aca="false">IF((E55="o"),G55," ")</f>
        <v> </v>
      </c>
      <c r="W55" s="334" t="str">
        <f aca="false">IF((E55="f"),G55," ")</f>
        <v> </v>
      </c>
    </row>
    <row r="56" customFormat="false" ht="12.75" hidden="false" customHeight="false" outlineLevel="0" collapsed="false">
      <c r="A56" s="355"/>
      <c r="H56" s="338" t="str">
        <f aca="false">IF((G56&lt;&gt;0),IF((D56&gt;0)," ",G56)," ")</f>
        <v> </v>
      </c>
      <c r="I56" s="367" t="str">
        <f aca="false">IF((G56&lt;&gt;0),IF((D56&gt;0)," ",(I$1-A56))," ")</f>
        <v> </v>
      </c>
      <c r="J56" s="334" t="str">
        <f aca="false">IF((E56="s"),G56," ")</f>
        <v> </v>
      </c>
      <c r="K56" s="334" t="str">
        <f aca="false">IF((E56="d"),G56," ")</f>
        <v> </v>
      </c>
      <c r="L56" s="334" t="str">
        <f aca="false">IF((E56="e"),G56," ")</f>
        <v> </v>
      </c>
      <c r="M56" s="334" t="str">
        <f aca="false">IF((E56="p"),G56," ")</f>
        <v> </v>
      </c>
      <c r="N56" s="334" t="str">
        <f aca="false">IF((E56="r"),G56," ")</f>
        <v> </v>
      </c>
      <c r="O56" s="334" t="str">
        <f aca="false">IF((E56="g"),G56," ")</f>
        <v> </v>
      </c>
      <c r="P56" s="334" t="str">
        <f aca="false">IF((E56="m"),G56," ")</f>
        <v> </v>
      </c>
      <c r="Q56" s="334" t="str">
        <f aca="false">IF((E56="t"),G56," ")</f>
        <v> </v>
      </c>
      <c r="R56" s="334" t="str">
        <f aca="false">IF((E56="a"),G56," ")</f>
        <v> </v>
      </c>
      <c r="S56" s="334" t="str">
        <f aca="false">IF((E56="l"),G56," ")</f>
        <v> </v>
      </c>
      <c r="T56" s="334" t="str">
        <f aca="false">IF((E56="b"),G56," ")</f>
        <v> </v>
      </c>
      <c r="U56" s="334" t="str">
        <f aca="false">IF((E56="i"),G56," ")</f>
        <v> </v>
      </c>
      <c r="V56" s="334" t="str">
        <f aca="false">IF((E56="o"),G56," ")</f>
        <v> </v>
      </c>
      <c r="W56" s="334" t="str">
        <f aca="false">IF((E56="f"),G56," ")</f>
        <v> </v>
      </c>
    </row>
    <row r="57" customFormat="false" ht="12.75" hidden="false" customHeight="false" outlineLevel="0" collapsed="false">
      <c r="A57" s="355"/>
      <c r="H57" s="338" t="str">
        <f aca="false">IF((G57&lt;&gt;0),IF((D57&gt;0)," ",G57)," ")</f>
        <v> </v>
      </c>
      <c r="I57" s="367" t="str">
        <f aca="false">IF((G57&lt;&gt;0),IF((D57&gt;0)," ",(I$1-A57))," ")</f>
        <v> </v>
      </c>
      <c r="J57" s="334" t="str">
        <f aca="false">IF((E57="s"),G57," ")</f>
        <v> </v>
      </c>
      <c r="K57" s="334" t="str">
        <f aca="false">IF((E57="d"),G57," ")</f>
        <v> </v>
      </c>
      <c r="L57" s="334" t="str">
        <f aca="false">IF((E57="e"),G57," ")</f>
        <v> </v>
      </c>
      <c r="M57" s="334" t="str">
        <f aca="false">IF((E57="p"),G57," ")</f>
        <v> </v>
      </c>
      <c r="N57" s="334" t="str">
        <f aca="false">IF((E57="r"),G57," ")</f>
        <v> </v>
      </c>
      <c r="O57" s="334" t="str">
        <f aca="false">IF((E57="g"),G57," ")</f>
        <v> </v>
      </c>
      <c r="P57" s="334" t="str">
        <f aca="false">IF((E57="m"),G57," ")</f>
        <v> </v>
      </c>
      <c r="Q57" s="334" t="str">
        <f aca="false">IF((E57="t"),G57," ")</f>
        <v> </v>
      </c>
      <c r="R57" s="334" t="str">
        <f aca="false">IF((E57="a"),G57," ")</f>
        <v> </v>
      </c>
      <c r="S57" s="334" t="str">
        <f aca="false">IF((E57="l"),G57," ")</f>
        <v> </v>
      </c>
      <c r="T57" s="334" t="str">
        <f aca="false">IF((E57="b"),G57," ")</f>
        <v> </v>
      </c>
      <c r="U57" s="334" t="str">
        <f aca="false">IF((E57="i"),G57," ")</f>
        <v> </v>
      </c>
      <c r="V57" s="334" t="str">
        <f aca="false">IF((E57="o"),G57," ")</f>
        <v> </v>
      </c>
      <c r="W57" s="334" t="str">
        <f aca="false">IF((E57="f"),G57," ")</f>
        <v> </v>
      </c>
    </row>
    <row r="58" customFormat="false" ht="12.75" hidden="false" customHeight="false" outlineLevel="0" collapsed="false">
      <c r="A58" s="355"/>
      <c r="H58" s="338" t="str">
        <f aca="false">IF((G58&lt;&gt;0),IF((D58&gt;0)," ",G58)," ")</f>
        <v> </v>
      </c>
      <c r="I58" s="367" t="str">
        <f aca="false">IF((G58&lt;&gt;0),IF((D58&gt;0)," ",(I$1-A58))," ")</f>
        <v> </v>
      </c>
      <c r="J58" s="334" t="str">
        <f aca="false">IF((E58="s"),G58," ")</f>
        <v> </v>
      </c>
      <c r="K58" s="334" t="str">
        <f aca="false">IF((E58="d"),G58," ")</f>
        <v> </v>
      </c>
      <c r="L58" s="334" t="str">
        <f aca="false">IF((E58="e"),G58," ")</f>
        <v> </v>
      </c>
      <c r="M58" s="334" t="str">
        <f aca="false">IF((E58="p"),G58," ")</f>
        <v> </v>
      </c>
      <c r="N58" s="334" t="str">
        <f aca="false">IF((E58="r"),G58," ")</f>
        <v> </v>
      </c>
      <c r="O58" s="334" t="str">
        <f aca="false">IF((E58="g"),G58," ")</f>
        <v> </v>
      </c>
      <c r="P58" s="334" t="str">
        <f aca="false">IF((E58="m"),G58," ")</f>
        <v> </v>
      </c>
      <c r="Q58" s="334" t="str">
        <f aca="false">IF((E58="t"),G58," ")</f>
        <v> </v>
      </c>
      <c r="R58" s="334" t="str">
        <f aca="false">IF((E58="a"),G58," ")</f>
        <v> </v>
      </c>
      <c r="S58" s="334" t="str">
        <f aca="false">IF((E58="l"),G58," ")</f>
        <v> </v>
      </c>
      <c r="T58" s="334" t="str">
        <f aca="false">IF((E58="b"),G58," ")</f>
        <v> </v>
      </c>
      <c r="U58" s="334" t="str">
        <f aca="false">IF((E58="i"),G58," ")</f>
        <v> </v>
      </c>
      <c r="V58" s="334" t="str">
        <f aca="false">IF((E58="o"),G58," ")</f>
        <v> </v>
      </c>
      <c r="W58" s="334" t="str">
        <f aca="false">IF((E58="f"),G58," ")</f>
        <v> </v>
      </c>
    </row>
    <row r="59" customFormat="false" ht="12.75" hidden="false" customHeight="false" outlineLevel="0" collapsed="false">
      <c r="A59" s="355"/>
      <c r="H59" s="338" t="str">
        <f aca="false">IF((G59&lt;&gt;0),IF((D59&gt;0)," ",G59)," ")</f>
        <v> </v>
      </c>
      <c r="I59" s="367" t="str">
        <f aca="false">IF((G59&lt;&gt;0),IF((D59&gt;0)," ",(I$1-A59))," ")</f>
        <v> </v>
      </c>
      <c r="J59" s="334" t="str">
        <f aca="false">IF((E59="s"),G59," ")</f>
        <v> </v>
      </c>
      <c r="K59" s="334" t="str">
        <f aca="false">IF((E59="d"),G59," ")</f>
        <v> </v>
      </c>
      <c r="L59" s="334" t="str">
        <f aca="false">IF((E59="e"),G59," ")</f>
        <v> </v>
      </c>
      <c r="M59" s="334" t="str">
        <f aca="false">IF((E59="p"),G59," ")</f>
        <v> </v>
      </c>
      <c r="N59" s="334" t="str">
        <f aca="false">IF((E59="r"),G59," ")</f>
        <v> </v>
      </c>
      <c r="O59" s="334" t="str">
        <f aca="false">IF((E59="g"),G59," ")</f>
        <v> </v>
      </c>
      <c r="P59" s="334" t="str">
        <f aca="false">IF((E59="m"),G59," ")</f>
        <v> </v>
      </c>
      <c r="Q59" s="334" t="str">
        <f aca="false">IF((E59="t"),G59," ")</f>
        <v> </v>
      </c>
      <c r="R59" s="334" t="str">
        <f aca="false">IF((E59="a"),G59," ")</f>
        <v> </v>
      </c>
      <c r="S59" s="334" t="str">
        <f aca="false">IF((E59="l"),G59," ")</f>
        <v> </v>
      </c>
      <c r="T59" s="334" t="str">
        <f aca="false">IF((E59="b"),G59," ")</f>
        <v> </v>
      </c>
      <c r="U59" s="334" t="str">
        <f aca="false">IF((E59="i"),G59," ")</f>
        <v> </v>
      </c>
      <c r="V59" s="334" t="str">
        <f aca="false">IF((E59="o"),G59," ")</f>
        <v> </v>
      </c>
      <c r="W59" s="334" t="str">
        <f aca="false">IF((E59="f"),G59," ")</f>
        <v> </v>
      </c>
    </row>
    <row r="60" customFormat="false" ht="12.75" hidden="false" customHeight="false" outlineLevel="0" collapsed="false">
      <c r="A60" s="355"/>
      <c r="H60" s="338" t="str">
        <f aca="false">IF((G60&lt;&gt;0),IF((D60&gt;0)," ",G60)," ")</f>
        <v> </v>
      </c>
      <c r="I60" s="367" t="str">
        <f aca="false">IF((G60&lt;&gt;0),IF((D60&gt;0)," ",(I$1-A60))," ")</f>
        <v> </v>
      </c>
      <c r="J60" s="334" t="str">
        <f aca="false">IF((E60="s"),G60," ")</f>
        <v> </v>
      </c>
      <c r="K60" s="334" t="str">
        <f aca="false">IF((E60="d"),G60," ")</f>
        <v> </v>
      </c>
      <c r="L60" s="334" t="str">
        <f aca="false">IF((E60="e"),G60," ")</f>
        <v> </v>
      </c>
      <c r="M60" s="334" t="str">
        <f aca="false">IF((E60="p"),G60," ")</f>
        <v> </v>
      </c>
      <c r="N60" s="334" t="str">
        <f aca="false">IF((E60="r"),G60," ")</f>
        <v> </v>
      </c>
      <c r="O60" s="334" t="str">
        <f aca="false">IF((E60="g"),G60," ")</f>
        <v> </v>
      </c>
      <c r="P60" s="334" t="str">
        <f aca="false">IF((E60="m"),G60," ")</f>
        <v> </v>
      </c>
      <c r="Q60" s="334" t="str">
        <f aca="false">IF((E60="t"),G60," ")</f>
        <v> </v>
      </c>
      <c r="R60" s="334" t="str">
        <f aca="false">IF((E60="a"),G60," ")</f>
        <v> </v>
      </c>
      <c r="S60" s="334" t="str">
        <f aca="false">IF((E60="l"),G60," ")</f>
        <v> </v>
      </c>
      <c r="T60" s="334" t="str">
        <f aca="false">IF((E60="b"),G60," ")</f>
        <v> </v>
      </c>
      <c r="U60" s="334" t="str">
        <f aca="false">IF((E60="i"),G60," ")</f>
        <v> </v>
      </c>
      <c r="V60" s="334" t="str">
        <f aca="false">IF((E60="o"),G60," ")</f>
        <v> </v>
      </c>
      <c r="W60" s="334" t="str">
        <f aca="false">IF((E60="f"),G60," ")</f>
        <v> </v>
      </c>
    </row>
    <row r="61" customFormat="false" ht="12.75" hidden="false" customHeight="false" outlineLevel="0" collapsed="false">
      <c r="A61" s="355"/>
      <c r="H61" s="338" t="str">
        <f aca="false">IF((G61&lt;&gt;0),IF((D61&gt;0)," ",G61)," ")</f>
        <v> </v>
      </c>
      <c r="I61" s="367" t="str">
        <f aca="false">IF((G61&lt;&gt;0),IF((D61&gt;0)," ",(I$1-A61))," ")</f>
        <v> </v>
      </c>
      <c r="J61" s="334" t="str">
        <f aca="false">IF((E61="s"),G61," ")</f>
        <v> </v>
      </c>
      <c r="K61" s="334" t="str">
        <f aca="false">IF((E61="d"),G61," ")</f>
        <v> </v>
      </c>
      <c r="L61" s="334" t="str">
        <f aca="false">IF((E61="e"),G61," ")</f>
        <v> </v>
      </c>
      <c r="M61" s="334" t="str">
        <f aca="false">IF((E61="p"),G61," ")</f>
        <v> </v>
      </c>
      <c r="N61" s="334" t="str">
        <f aca="false">IF((E61="r"),G61," ")</f>
        <v> </v>
      </c>
      <c r="O61" s="334" t="str">
        <f aca="false">IF((E61="g"),G61," ")</f>
        <v> </v>
      </c>
      <c r="P61" s="334" t="str">
        <f aca="false">IF((E61="m"),G61," ")</f>
        <v> </v>
      </c>
      <c r="Q61" s="334" t="str">
        <f aca="false">IF((E61="t"),G61," ")</f>
        <v> </v>
      </c>
      <c r="R61" s="334" t="str">
        <f aca="false">IF((E61="a"),G61," ")</f>
        <v> </v>
      </c>
      <c r="S61" s="334" t="str">
        <f aca="false">IF((E61="l"),G61," ")</f>
        <v> </v>
      </c>
      <c r="T61" s="334" t="str">
        <f aca="false">IF((E61="b"),G61," ")</f>
        <v> </v>
      </c>
      <c r="U61" s="334" t="str">
        <f aca="false">IF((E61="i"),G61," ")</f>
        <v> </v>
      </c>
      <c r="V61" s="334" t="str">
        <f aca="false">IF((E61="o"),G61," ")</f>
        <v> </v>
      </c>
      <c r="W61" s="334" t="str">
        <f aca="false">IF((E61="f"),G61," ")</f>
        <v> </v>
      </c>
    </row>
    <row r="62" customFormat="false" ht="12.75" hidden="false" customHeight="false" outlineLevel="0" collapsed="false">
      <c r="A62" s="355"/>
      <c r="H62" s="338" t="str">
        <f aca="false">IF((G62&lt;&gt;0),IF((D62&gt;0)," ",G62)," ")</f>
        <v> </v>
      </c>
      <c r="I62" s="367" t="str">
        <f aca="false">IF((G62&lt;&gt;0),IF((D62&gt;0)," ",(I$1-A62))," ")</f>
        <v> </v>
      </c>
      <c r="J62" s="334" t="str">
        <f aca="false">IF((E62="s"),G62," ")</f>
        <v> </v>
      </c>
      <c r="K62" s="334" t="str">
        <f aca="false">IF((E62="d"),G62," ")</f>
        <v> </v>
      </c>
      <c r="L62" s="334" t="str">
        <f aca="false">IF((E62="e"),G62," ")</f>
        <v> </v>
      </c>
      <c r="M62" s="334" t="str">
        <f aca="false">IF((E62="p"),G62," ")</f>
        <v> </v>
      </c>
      <c r="N62" s="334" t="str">
        <f aca="false">IF((E62="r"),G62," ")</f>
        <v> </v>
      </c>
      <c r="O62" s="334" t="str">
        <f aca="false">IF((E62="g"),G62," ")</f>
        <v> </v>
      </c>
      <c r="P62" s="334" t="str">
        <f aca="false">IF((E62="m"),G62," ")</f>
        <v> </v>
      </c>
      <c r="Q62" s="334" t="str">
        <f aca="false">IF((E62="t"),G62," ")</f>
        <v> </v>
      </c>
      <c r="R62" s="334" t="str">
        <f aca="false">IF((E62="a"),G62," ")</f>
        <v> </v>
      </c>
      <c r="S62" s="334" t="str">
        <f aca="false">IF((E62="l"),G62," ")</f>
        <v> </v>
      </c>
      <c r="T62" s="334" t="str">
        <f aca="false">IF((E62="b"),G62," ")</f>
        <v> </v>
      </c>
      <c r="U62" s="334" t="str">
        <f aca="false">IF((E62="i"),G62," ")</f>
        <v> </v>
      </c>
      <c r="V62" s="334" t="str">
        <f aca="false">IF((E62="o"),G62," ")</f>
        <v> </v>
      </c>
      <c r="W62" s="334" t="str">
        <f aca="false">IF((E62="f"),G62," ")</f>
        <v> </v>
      </c>
    </row>
    <row r="63" customFormat="false" ht="12.75" hidden="false" customHeight="false" outlineLevel="0" collapsed="false">
      <c r="A63" s="355"/>
      <c r="H63" s="338" t="str">
        <f aca="false">IF((G63&lt;&gt;0),IF((D63&gt;0)," ",G63)," ")</f>
        <v> </v>
      </c>
      <c r="I63" s="367" t="str">
        <f aca="false">IF((G63&lt;&gt;0),IF((D63&gt;0)," ",(I$1-A63))," ")</f>
        <v> </v>
      </c>
      <c r="J63" s="334" t="str">
        <f aca="false">IF((E63="s"),G63," ")</f>
        <v> </v>
      </c>
      <c r="K63" s="334" t="str">
        <f aca="false">IF((E63="d"),G63," ")</f>
        <v> </v>
      </c>
      <c r="L63" s="334" t="str">
        <f aca="false">IF((E63="e"),G63," ")</f>
        <v> </v>
      </c>
      <c r="M63" s="334" t="str">
        <f aca="false">IF((E63="p"),G63," ")</f>
        <v> </v>
      </c>
      <c r="N63" s="334" t="str">
        <f aca="false">IF((E63="r"),G63," ")</f>
        <v> </v>
      </c>
      <c r="O63" s="334" t="str">
        <f aca="false">IF((E63="g"),G63," ")</f>
        <v> </v>
      </c>
      <c r="P63" s="334" t="str">
        <f aca="false">IF((E63="m"),G63," ")</f>
        <v> </v>
      </c>
      <c r="Q63" s="334" t="str">
        <f aca="false">IF((E63="t"),G63," ")</f>
        <v> </v>
      </c>
      <c r="R63" s="334" t="str">
        <f aca="false">IF((E63="a"),G63," ")</f>
        <v> </v>
      </c>
      <c r="S63" s="334" t="str">
        <f aca="false">IF((E63="l"),G63," ")</f>
        <v> </v>
      </c>
      <c r="T63" s="334" t="str">
        <f aca="false">IF((E63="b"),G63," ")</f>
        <v> </v>
      </c>
      <c r="U63" s="334" t="str">
        <f aca="false">IF((E63="i"),G63," ")</f>
        <v> </v>
      </c>
      <c r="V63" s="334" t="str">
        <f aca="false">IF((E63="o"),G63," ")</f>
        <v> </v>
      </c>
      <c r="W63" s="334" t="str">
        <f aca="false">IF((E63="f"),G63," ")</f>
        <v> </v>
      </c>
    </row>
    <row r="64" customFormat="false" ht="12.75" hidden="false" customHeight="false" outlineLevel="0" collapsed="false">
      <c r="A64" s="355"/>
      <c r="H64" s="338" t="str">
        <f aca="false">IF((G64&lt;&gt;0),IF((D64&gt;0)," ",G64)," ")</f>
        <v> </v>
      </c>
      <c r="I64" s="367" t="str">
        <f aca="false">IF((G64&lt;&gt;0),IF((D64&gt;0)," ",(I$1-A64))," ")</f>
        <v> </v>
      </c>
      <c r="J64" s="334" t="str">
        <f aca="false">IF((E64="s"),G64," ")</f>
        <v> </v>
      </c>
      <c r="K64" s="334" t="str">
        <f aca="false">IF((E64="d"),G64," ")</f>
        <v> </v>
      </c>
      <c r="L64" s="334" t="str">
        <f aca="false">IF((E64="e"),G64," ")</f>
        <v> </v>
      </c>
      <c r="M64" s="334" t="str">
        <f aca="false">IF((E64="p"),G64," ")</f>
        <v> </v>
      </c>
      <c r="N64" s="334" t="str">
        <f aca="false">IF((E64="r"),G64," ")</f>
        <v> </v>
      </c>
      <c r="O64" s="334" t="str">
        <f aca="false">IF((E64="g"),G64," ")</f>
        <v> </v>
      </c>
      <c r="P64" s="334" t="str">
        <f aca="false">IF((E64="m"),G64," ")</f>
        <v> </v>
      </c>
      <c r="Q64" s="334" t="str">
        <f aca="false">IF((E64="t"),G64," ")</f>
        <v> </v>
      </c>
      <c r="R64" s="334" t="str">
        <f aca="false">IF((E64="a"),G64," ")</f>
        <v> </v>
      </c>
      <c r="S64" s="334" t="str">
        <f aca="false">IF((E64="l"),G64," ")</f>
        <v> </v>
      </c>
      <c r="T64" s="334" t="str">
        <f aca="false">IF((E64="b"),G64," ")</f>
        <v> </v>
      </c>
      <c r="U64" s="334" t="str">
        <f aca="false">IF((E64="i"),G64," ")</f>
        <v> </v>
      </c>
      <c r="V64" s="334" t="str">
        <f aca="false">IF((E64="o"),G64," ")</f>
        <v> </v>
      </c>
      <c r="W64" s="334" t="str">
        <f aca="false">IF((E64="f"),G64," ")</f>
        <v> </v>
      </c>
    </row>
    <row r="65" customFormat="false" ht="12.75" hidden="false" customHeight="false" outlineLevel="0" collapsed="false">
      <c r="A65" s="355"/>
      <c r="H65" s="338" t="str">
        <f aca="false">IF((G65&lt;&gt;0),IF((D65&gt;0)," ",G65)," ")</f>
        <v> </v>
      </c>
      <c r="I65" s="367" t="str">
        <f aca="false">IF((G65&lt;&gt;0),IF((D65&gt;0)," ",(I$1-A65))," ")</f>
        <v> </v>
      </c>
      <c r="J65" s="334" t="str">
        <f aca="false">IF((E65="s"),G65," ")</f>
        <v> </v>
      </c>
      <c r="K65" s="334" t="str">
        <f aca="false">IF((E65="d"),G65," ")</f>
        <v> </v>
      </c>
      <c r="L65" s="334" t="str">
        <f aca="false">IF((E65="e"),G65," ")</f>
        <v> </v>
      </c>
      <c r="M65" s="334" t="str">
        <f aca="false">IF((E65="p"),G65," ")</f>
        <v> </v>
      </c>
      <c r="N65" s="334" t="str">
        <f aca="false">IF((E65="r"),G65," ")</f>
        <v> </v>
      </c>
      <c r="O65" s="334" t="str">
        <f aca="false">IF((E65="g"),G65," ")</f>
        <v> </v>
      </c>
      <c r="P65" s="334" t="str">
        <f aca="false">IF((E65="m"),G65," ")</f>
        <v> </v>
      </c>
      <c r="Q65" s="334" t="str">
        <f aca="false">IF((E65="t"),G65," ")</f>
        <v> </v>
      </c>
      <c r="R65" s="334" t="str">
        <f aca="false">IF((E65="a"),G65," ")</f>
        <v> </v>
      </c>
      <c r="S65" s="334" t="str">
        <f aca="false">IF((E65="l"),G65," ")</f>
        <v> </v>
      </c>
      <c r="T65" s="334" t="str">
        <f aca="false">IF((E65="b"),G65," ")</f>
        <v> </v>
      </c>
      <c r="U65" s="334" t="str">
        <f aca="false">IF((E65="i"),G65," ")</f>
        <v> </v>
      </c>
      <c r="V65" s="334" t="str">
        <f aca="false">IF((E65="o"),G65," ")</f>
        <v> </v>
      </c>
      <c r="W65" s="334" t="str">
        <f aca="false">IF((E65="f"),G65," ")</f>
        <v> </v>
      </c>
    </row>
    <row r="66" customFormat="false" ht="12.75" hidden="false" customHeight="false" outlineLevel="0" collapsed="false">
      <c r="A66" s="355"/>
      <c r="H66" s="338" t="str">
        <f aca="false">IF((G66&lt;&gt;0),IF((D66&gt;0)," ",G66)," ")</f>
        <v> </v>
      </c>
      <c r="I66" s="367" t="str">
        <f aca="false">IF((G66&lt;&gt;0),IF((D66&gt;0)," ",(I$1-A66))," ")</f>
        <v> </v>
      </c>
      <c r="J66" s="334" t="str">
        <f aca="false">IF((E66="s"),G66," ")</f>
        <v> </v>
      </c>
      <c r="K66" s="334" t="str">
        <f aca="false">IF((E66="d"),G66," ")</f>
        <v> </v>
      </c>
      <c r="L66" s="334" t="str">
        <f aca="false">IF((E66="e"),G66," ")</f>
        <v> </v>
      </c>
      <c r="M66" s="334" t="str">
        <f aca="false">IF((E66="p"),G66," ")</f>
        <v> </v>
      </c>
      <c r="N66" s="334" t="str">
        <f aca="false">IF((E66="r"),G66," ")</f>
        <v> </v>
      </c>
      <c r="O66" s="334" t="str">
        <f aca="false">IF((E66="g"),G66," ")</f>
        <v> </v>
      </c>
      <c r="P66" s="334" t="str">
        <f aca="false">IF((E66="m"),G66," ")</f>
        <v> </v>
      </c>
      <c r="Q66" s="334" t="str">
        <f aca="false">IF((E66="t"),G66," ")</f>
        <v> </v>
      </c>
      <c r="R66" s="334" t="str">
        <f aca="false">IF((E66="a"),G66," ")</f>
        <v> </v>
      </c>
      <c r="S66" s="334" t="str">
        <f aca="false">IF((E66="l"),G66," ")</f>
        <v> </v>
      </c>
      <c r="T66" s="334" t="str">
        <f aca="false">IF((E66="b"),G66," ")</f>
        <v> </v>
      </c>
      <c r="U66" s="334" t="str">
        <f aca="false">IF((E66="i"),G66," ")</f>
        <v> </v>
      </c>
      <c r="V66" s="334" t="str">
        <f aca="false">IF((E66="o"),G66," ")</f>
        <v> </v>
      </c>
      <c r="W66" s="334" t="str">
        <f aca="false">IF((E66="f"),G66," ")</f>
        <v> </v>
      </c>
    </row>
    <row r="67" customFormat="false" ht="12.75" hidden="false" customHeight="false" outlineLevel="0" collapsed="false">
      <c r="A67" s="355"/>
      <c r="H67" s="338" t="str">
        <f aca="false">IF((G67&lt;&gt;0),IF((D67&gt;0)," ",G67)," ")</f>
        <v> </v>
      </c>
      <c r="I67" s="367" t="str">
        <f aca="false">IF((G67&lt;&gt;0),IF((D67&gt;0)," ",(I$1-A67))," ")</f>
        <v> </v>
      </c>
      <c r="J67" s="334" t="str">
        <f aca="false">IF((E67="s"),G67," ")</f>
        <v> </v>
      </c>
      <c r="K67" s="334" t="str">
        <f aca="false">IF((E67="d"),G67," ")</f>
        <v> </v>
      </c>
      <c r="L67" s="334" t="str">
        <f aca="false">IF((E67="e"),G67," ")</f>
        <v> </v>
      </c>
      <c r="M67" s="334" t="str">
        <f aca="false">IF((E67="p"),G67," ")</f>
        <v> </v>
      </c>
      <c r="N67" s="334" t="str">
        <f aca="false">IF((E67="r"),G67," ")</f>
        <v> </v>
      </c>
      <c r="O67" s="334" t="str">
        <f aca="false">IF((E67="g"),G67," ")</f>
        <v> </v>
      </c>
      <c r="P67" s="334" t="str">
        <f aca="false">IF((E67="m"),G67," ")</f>
        <v> </v>
      </c>
      <c r="Q67" s="334" t="str">
        <f aca="false">IF((E67="t"),G67," ")</f>
        <v> </v>
      </c>
      <c r="R67" s="334" t="str">
        <f aca="false">IF((E67="a"),G67," ")</f>
        <v> </v>
      </c>
      <c r="S67" s="334" t="str">
        <f aca="false">IF((E67="l"),G67," ")</f>
        <v> </v>
      </c>
      <c r="T67" s="334" t="str">
        <f aca="false">IF((E67="b"),G67," ")</f>
        <v> </v>
      </c>
      <c r="U67" s="334" t="str">
        <f aca="false">IF((E67="i"),G67," ")</f>
        <v> </v>
      </c>
      <c r="V67" s="334" t="str">
        <f aca="false">IF((E67="o"),G67," ")</f>
        <v> </v>
      </c>
      <c r="W67" s="334" t="str">
        <f aca="false">IF((E67="f"),G67," ")</f>
        <v> </v>
      </c>
    </row>
    <row r="68" customFormat="false" ht="12.75" hidden="false" customHeight="false" outlineLevel="0" collapsed="false">
      <c r="A68" s="355"/>
      <c r="H68" s="338" t="str">
        <f aca="false">IF((G68&lt;&gt;0),IF((D68&gt;0)," ",G68)," ")</f>
        <v> </v>
      </c>
      <c r="I68" s="367" t="str">
        <f aca="false">IF((G68&lt;&gt;0),IF((D68&gt;0)," ",(I$1-A68))," ")</f>
        <v> </v>
      </c>
      <c r="J68" s="334" t="str">
        <f aca="false">IF((E68="s"),G68," ")</f>
        <v> </v>
      </c>
      <c r="K68" s="334" t="str">
        <f aca="false">IF((E68="d"),G68," ")</f>
        <v> </v>
      </c>
      <c r="L68" s="334" t="str">
        <f aca="false">IF((E68="e"),G68," ")</f>
        <v> </v>
      </c>
      <c r="M68" s="334" t="str">
        <f aca="false">IF((E68="p"),G68," ")</f>
        <v> </v>
      </c>
      <c r="N68" s="334" t="str">
        <f aca="false">IF((E68="r"),G68," ")</f>
        <v> </v>
      </c>
      <c r="O68" s="334" t="str">
        <f aca="false">IF((E68="g"),G68," ")</f>
        <v> </v>
      </c>
      <c r="P68" s="334" t="str">
        <f aca="false">IF((E68="m"),G68," ")</f>
        <v> </v>
      </c>
      <c r="Q68" s="334" t="str">
        <f aca="false">IF((E68="t"),G68," ")</f>
        <v> </v>
      </c>
      <c r="R68" s="334" t="str">
        <f aca="false">IF((E68="a"),G68," ")</f>
        <v> </v>
      </c>
      <c r="S68" s="334" t="str">
        <f aca="false">IF((E68="l"),G68," ")</f>
        <v> </v>
      </c>
      <c r="T68" s="334" t="str">
        <f aca="false">IF((E68="b"),G68," ")</f>
        <v> </v>
      </c>
      <c r="U68" s="334" t="str">
        <f aca="false">IF((E68="i"),G68," ")</f>
        <v> </v>
      </c>
      <c r="V68" s="334" t="str">
        <f aca="false">IF((E68="o"),G68," ")</f>
        <v> </v>
      </c>
      <c r="W68" s="334" t="str">
        <f aca="false">IF((E68="f"),G68," ")</f>
        <v> </v>
      </c>
    </row>
    <row r="69" customFormat="false" ht="12.75" hidden="false" customHeight="false" outlineLevel="0" collapsed="false">
      <c r="A69" s="355"/>
      <c r="E69" s="365" t="str">
        <f aca="false">IF((G69&lt;&gt;0),"Enter Letter"," ")</f>
        <v> </v>
      </c>
      <c r="H69" s="338" t="str">
        <f aca="false">IF((G69&lt;&gt;0),IF((D69&gt;0)," ",G69)," ")</f>
        <v> </v>
      </c>
      <c r="I69" s="367" t="str">
        <f aca="false">IF((G69&lt;&gt;0),IF((D69&gt;0)," ",(I$1-A69))," ")</f>
        <v> </v>
      </c>
      <c r="J69" s="334" t="str">
        <f aca="false">IF((E69="s"),G69," ")</f>
        <v> </v>
      </c>
      <c r="K69" s="334" t="str">
        <f aca="false">IF((E69="d"),G69," ")</f>
        <v> </v>
      </c>
      <c r="L69" s="334" t="str">
        <f aca="false">IF((E69="e"),G69," ")</f>
        <v> </v>
      </c>
      <c r="M69" s="334" t="str">
        <f aca="false">IF((E69="p"),G69," ")</f>
        <v> </v>
      </c>
      <c r="N69" s="334" t="str">
        <f aca="false">IF((E69="r"),G69," ")</f>
        <v> </v>
      </c>
      <c r="O69" s="334" t="str">
        <f aca="false">IF((E69="g"),G69," ")</f>
        <v> </v>
      </c>
      <c r="P69" s="334" t="str">
        <f aca="false">IF((E69="m"),G69," ")</f>
        <v> </v>
      </c>
      <c r="Q69" s="334" t="str">
        <f aca="false">IF((E69="t"),G69," ")</f>
        <v> </v>
      </c>
      <c r="R69" s="334" t="str">
        <f aca="false">IF((E69="a"),G69," ")</f>
        <v> </v>
      </c>
      <c r="S69" s="334" t="str">
        <f aca="false">IF((E69="l"),G69," ")</f>
        <v> </v>
      </c>
      <c r="T69" s="334" t="str">
        <f aca="false">IF((E69="b"),G69," ")</f>
        <v> </v>
      </c>
      <c r="U69" s="334" t="str">
        <f aca="false">IF((E69="i"),G69," ")</f>
        <v> </v>
      </c>
      <c r="V69" s="334" t="str">
        <f aca="false">IF((E69="o"),G69," ")</f>
        <v> </v>
      </c>
      <c r="W69" s="334" t="str">
        <f aca="false">IF((E69="f"),G69," ")</f>
        <v> </v>
      </c>
    </row>
    <row r="70" customFormat="false" ht="12.75" hidden="false" customHeight="false" outlineLevel="0" collapsed="false">
      <c r="A70" s="355"/>
      <c r="E70" s="365" t="str">
        <f aca="false">IF((G70&lt;&gt;0),"Enter Letter"," ")</f>
        <v> </v>
      </c>
      <c r="H70" s="338" t="str">
        <f aca="false">IF((G70&lt;&gt;0),IF((D70&gt;0)," ",G70)," ")</f>
        <v> </v>
      </c>
      <c r="I70" s="367" t="str">
        <f aca="false">IF((G70&lt;&gt;0),IF((D70&gt;0)," ",(I$1-A70))," ")</f>
        <v> </v>
      </c>
      <c r="J70" s="334" t="str">
        <f aca="false">IF((E70="s"),G70," ")</f>
        <v> </v>
      </c>
      <c r="K70" s="334" t="str">
        <f aca="false">IF((E70="d"),G70," ")</f>
        <v> </v>
      </c>
      <c r="L70" s="334" t="str">
        <f aca="false">IF((E70="e"),G70," ")</f>
        <v> </v>
      </c>
      <c r="M70" s="334" t="str">
        <f aca="false">IF((E70="p"),G70," ")</f>
        <v> </v>
      </c>
      <c r="N70" s="334" t="str">
        <f aca="false">IF((E70="r"),G70," ")</f>
        <v> </v>
      </c>
      <c r="O70" s="334" t="str">
        <f aca="false">IF((E70="g"),G70," ")</f>
        <v> </v>
      </c>
      <c r="P70" s="334" t="str">
        <f aca="false">IF((E70="m"),G70," ")</f>
        <v> </v>
      </c>
      <c r="Q70" s="334" t="str">
        <f aca="false">IF((E70="t"),G70," ")</f>
        <v> </v>
      </c>
      <c r="R70" s="334" t="str">
        <f aca="false">IF((E70="a"),G70," ")</f>
        <v> </v>
      </c>
      <c r="S70" s="334" t="str">
        <f aca="false">IF((E70="l"),G70," ")</f>
        <v> </v>
      </c>
      <c r="T70" s="334" t="str">
        <f aca="false">IF((E70="b"),G70," ")</f>
        <v> </v>
      </c>
      <c r="U70" s="334" t="str">
        <f aca="false">IF((E70="i"),G70," ")</f>
        <v> </v>
      </c>
      <c r="V70" s="334" t="str">
        <f aca="false">IF((E70="o"),G70," ")</f>
        <v> </v>
      </c>
      <c r="W70" s="334" t="str">
        <f aca="false">IF((E70="f"),G70," ")</f>
        <v> </v>
      </c>
    </row>
    <row r="71" customFormat="false" ht="12.75" hidden="false" customHeight="false" outlineLevel="0" collapsed="false">
      <c r="A71" s="355"/>
      <c r="E71" s="365" t="str">
        <f aca="false">IF((G71&lt;&gt;0),"Enter Letter"," ")</f>
        <v> </v>
      </c>
      <c r="H71" s="338" t="str">
        <f aca="false">IF((G71&lt;&gt;0),IF((D71&gt;0)," ",G71)," ")</f>
        <v> </v>
      </c>
      <c r="I71" s="367" t="str">
        <f aca="false">IF((G71&lt;&gt;0),IF((D71&gt;0)," ",(I$1-A71))," ")</f>
        <v> </v>
      </c>
      <c r="J71" s="334" t="str">
        <f aca="false">IF((E71="s"),G71," ")</f>
        <v> </v>
      </c>
      <c r="K71" s="334" t="str">
        <f aca="false">IF((E71="d"),G71," ")</f>
        <v> </v>
      </c>
      <c r="L71" s="334" t="str">
        <f aca="false">IF((E71="e"),G71," ")</f>
        <v> </v>
      </c>
      <c r="M71" s="334" t="str">
        <f aca="false">IF((E71="p"),G71," ")</f>
        <v> </v>
      </c>
      <c r="N71" s="334" t="str">
        <f aca="false">IF((E71="r"),G71," ")</f>
        <v> </v>
      </c>
      <c r="O71" s="334" t="str">
        <f aca="false">IF((E71="g"),G71," ")</f>
        <v> </v>
      </c>
      <c r="P71" s="334" t="str">
        <f aca="false">IF((E71="m"),G71," ")</f>
        <v> </v>
      </c>
      <c r="Q71" s="334" t="str">
        <f aca="false">IF((E71="t"),G71," ")</f>
        <v> </v>
      </c>
      <c r="R71" s="334" t="str">
        <f aca="false">IF((E71="a"),G71," ")</f>
        <v> </v>
      </c>
      <c r="S71" s="334" t="str">
        <f aca="false">IF((E71="l"),G71," ")</f>
        <v> </v>
      </c>
      <c r="T71" s="334" t="str">
        <f aca="false">IF((E71="b"),G71," ")</f>
        <v> </v>
      </c>
      <c r="U71" s="334" t="str">
        <f aca="false">IF((E71="i"),G71," ")</f>
        <v> </v>
      </c>
      <c r="V71" s="334" t="str">
        <f aca="false">IF((E71="o"),G71," ")</f>
        <v> </v>
      </c>
      <c r="W71" s="334" t="str">
        <f aca="false">IF((E71="f"),G71," ")</f>
        <v> </v>
      </c>
    </row>
    <row r="72" customFormat="false" ht="12.75" hidden="false" customHeight="false" outlineLevel="0" collapsed="false">
      <c r="A72" s="355"/>
      <c r="E72" s="365" t="str">
        <f aca="false">IF((G72&lt;&gt;0),"Enter Letter"," ")</f>
        <v> </v>
      </c>
      <c r="H72" s="338" t="str">
        <f aca="false">IF((G72&lt;&gt;0),IF((D72&gt;0)," ",G72)," ")</f>
        <v> </v>
      </c>
      <c r="I72" s="367" t="str">
        <f aca="false">IF((G72&lt;&gt;0),IF((D72&gt;0)," ",(I$1-A72))," ")</f>
        <v> </v>
      </c>
      <c r="J72" s="334" t="str">
        <f aca="false">IF((E72="s"),G72," ")</f>
        <v> </v>
      </c>
      <c r="K72" s="334" t="str">
        <f aca="false">IF((E72="d"),G72," ")</f>
        <v> </v>
      </c>
      <c r="L72" s="334" t="str">
        <f aca="false">IF((E72="e"),G72," ")</f>
        <v> </v>
      </c>
      <c r="M72" s="334" t="str">
        <f aca="false">IF((E72="p"),G72," ")</f>
        <v> </v>
      </c>
      <c r="N72" s="334" t="str">
        <f aca="false">IF((E72="r"),G72," ")</f>
        <v> </v>
      </c>
      <c r="O72" s="334" t="str">
        <f aca="false">IF((E72="g"),G72," ")</f>
        <v> </v>
      </c>
      <c r="P72" s="334" t="str">
        <f aca="false">IF((E72="m"),G72," ")</f>
        <v> </v>
      </c>
      <c r="Q72" s="334" t="str">
        <f aca="false">IF((E72="t"),G72," ")</f>
        <v> </v>
      </c>
      <c r="R72" s="334" t="str">
        <f aca="false">IF((E72="a"),G72," ")</f>
        <v> </v>
      </c>
      <c r="S72" s="334" t="str">
        <f aca="false">IF((E72="l"),G72," ")</f>
        <v> </v>
      </c>
      <c r="T72" s="334" t="str">
        <f aca="false">IF((E72="b"),G72," ")</f>
        <v> </v>
      </c>
      <c r="U72" s="334" t="str">
        <f aca="false">IF((E72="i"),G72," ")</f>
        <v> </v>
      </c>
      <c r="V72" s="334" t="str">
        <f aca="false">IF((E72="o"),G72," ")</f>
        <v> </v>
      </c>
      <c r="W72" s="334" t="str">
        <f aca="false">IF((E72="f"),G72," ")</f>
        <v> </v>
      </c>
    </row>
    <row r="73" customFormat="false" ht="12.75" hidden="false" customHeight="false" outlineLevel="0" collapsed="false">
      <c r="A73" s="355"/>
      <c r="E73" s="365" t="str">
        <f aca="false">IF((G73&lt;&gt;0),"Enter Letter"," ")</f>
        <v> </v>
      </c>
      <c r="H73" s="338" t="str">
        <f aca="false">IF((G73&lt;&gt;0),IF((D73&gt;0)," ",G73)," ")</f>
        <v> </v>
      </c>
      <c r="I73" s="367" t="str">
        <f aca="false">IF((G73&lt;&gt;0),IF((D73&gt;0)," ",(I$1-A73))," ")</f>
        <v> </v>
      </c>
      <c r="J73" s="334" t="str">
        <f aca="false">IF((E73="s"),G73," ")</f>
        <v> </v>
      </c>
      <c r="K73" s="334" t="str">
        <f aca="false">IF((E73="d"),G73," ")</f>
        <v> </v>
      </c>
      <c r="L73" s="334" t="str">
        <f aca="false">IF((E73="e"),G73," ")</f>
        <v> </v>
      </c>
      <c r="M73" s="334" t="str">
        <f aca="false">IF((E73="p"),G73," ")</f>
        <v> </v>
      </c>
      <c r="N73" s="334" t="str">
        <f aca="false">IF((E73="r"),G73," ")</f>
        <v> </v>
      </c>
      <c r="O73" s="334" t="str">
        <f aca="false">IF((E73="g"),G73," ")</f>
        <v> </v>
      </c>
      <c r="P73" s="334" t="str">
        <f aca="false">IF((E73="m"),G73," ")</f>
        <v> </v>
      </c>
      <c r="Q73" s="334" t="str">
        <f aca="false">IF((E73="t"),G73," ")</f>
        <v> </v>
      </c>
      <c r="R73" s="334" t="str">
        <f aca="false">IF((E73="a"),G73," ")</f>
        <v> </v>
      </c>
      <c r="S73" s="334" t="str">
        <f aca="false">IF((E73="l"),G73," ")</f>
        <v> </v>
      </c>
      <c r="T73" s="334" t="str">
        <f aca="false">IF((E73="b"),G73," ")</f>
        <v> </v>
      </c>
      <c r="U73" s="334" t="str">
        <f aca="false">IF((E73="i"),G73," ")</f>
        <v> </v>
      </c>
      <c r="V73" s="334" t="str">
        <f aca="false">IF((E73="o"),G73," ")</f>
        <v> </v>
      </c>
      <c r="W73" s="334" t="str">
        <f aca="false">IF((E73="f"),G73," ")</f>
        <v> </v>
      </c>
    </row>
    <row r="74" customFormat="false" ht="12.75" hidden="false" customHeight="false" outlineLevel="0" collapsed="false">
      <c r="A74" s="355"/>
      <c r="E74" s="365" t="str">
        <f aca="false">IF((G74&lt;&gt;0),"Enter Letter"," ")</f>
        <v> </v>
      </c>
      <c r="H74" s="338" t="str">
        <f aca="false">IF((G74&lt;&gt;0),IF((D74&gt;0)," ",G74)," ")</f>
        <v> </v>
      </c>
      <c r="I74" s="367" t="str">
        <f aca="false">IF((G74&lt;&gt;0),IF((D74&gt;0)," ",(I$1-A74))," ")</f>
        <v> </v>
      </c>
      <c r="J74" s="334" t="str">
        <f aca="false">IF((E74="s"),G74," ")</f>
        <v> </v>
      </c>
      <c r="K74" s="334" t="str">
        <f aca="false">IF((E74="d"),G74," ")</f>
        <v> </v>
      </c>
      <c r="L74" s="334" t="str">
        <f aca="false">IF((E74="e"),G74," ")</f>
        <v> </v>
      </c>
      <c r="M74" s="334" t="str">
        <f aca="false">IF((E74="p"),G74," ")</f>
        <v> </v>
      </c>
      <c r="N74" s="334" t="str">
        <f aca="false">IF((E74="r"),G74," ")</f>
        <v> </v>
      </c>
      <c r="O74" s="334" t="str">
        <f aca="false">IF((E74="g"),G74," ")</f>
        <v> </v>
      </c>
      <c r="P74" s="334" t="str">
        <f aca="false">IF((E74="m"),G74," ")</f>
        <v> </v>
      </c>
      <c r="Q74" s="334" t="str">
        <f aca="false">IF((E74="t"),G74," ")</f>
        <v> </v>
      </c>
      <c r="R74" s="334" t="str">
        <f aca="false">IF((E74="a"),G74," ")</f>
        <v> </v>
      </c>
      <c r="S74" s="334" t="str">
        <f aca="false">IF((E74="l"),G74," ")</f>
        <v> </v>
      </c>
      <c r="T74" s="334" t="str">
        <f aca="false">IF((E74="b"),G74," ")</f>
        <v> </v>
      </c>
      <c r="U74" s="334" t="str">
        <f aca="false">IF((E74="i"),G74," ")</f>
        <v> </v>
      </c>
      <c r="V74" s="334" t="str">
        <f aca="false">IF((E74="o"),G74," ")</f>
        <v> </v>
      </c>
      <c r="W74" s="334" t="str">
        <f aca="false">IF((E74="f"),G74," ")</f>
        <v> </v>
      </c>
    </row>
    <row r="75" customFormat="false" ht="12.75" hidden="false" customHeight="false" outlineLevel="0" collapsed="false">
      <c r="A75" s="355"/>
      <c r="E75" s="365" t="str">
        <f aca="false">IF((G75&lt;&gt;0),"Enter Letter"," ")</f>
        <v> </v>
      </c>
      <c r="H75" s="338" t="str">
        <f aca="false">IF((G75&lt;&gt;0),IF((D75&gt;0)," ",G75)," ")</f>
        <v> </v>
      </c>
      <c r="I75" s="367" t="str">
        <f aca="false">IF((G75&lt;&gt;0),IF((D75&gt;0)," ",(I$1-A75))," ")</f>
        <v> </v>
      </c>
      <c r="J75" s="334" t="str">
        <f aca="false">IF((E75="s"),G75," ")</f>
        <v> </v>
      </c>
      <c r="K75" s="334" t="str">
        <f aca="false">IF((E75="d"),G75," ")</f>
        <v> </v>
      </c>
      <c r="L75" s="334" t="str">
        <f aca="false">IF((E75="e"),G75," ")</f>
        <v> </v>
      </c>
      <c r="M75" s="334" t="str">
        <f aca="false">IF((E75="p"),G75," ")</f>
        <v> </v>
      </c>
      <c r="N75" s="334" t="str">
        <f aca="false">IF((E75="r"),G75," ")</f>
        <v> </v>
      </c>
      <c r="O75" s="334" t="str">
        <f aca="false">IF((E75="g"),G75," ")</f>
        <v> </v>
      </c>
      <c r="P75" s="334" t="str">
        <f aca="false">IF((E75="m"),G75," ")</f>
        <v> </v>
      </c>
      <c r="Q75" s="334" t="str">
        <f aca="false">IF((E75="t"),G75," ")</f>
        <v> </v>
      </c>
      <c r="R75" s="334" t="str">
        <f aca="false">IF((E75="a"),G75," ")</f>
        <v> </v>
      </c>
      <c r="S75" s="334" t="str">
        <f aca="false">IF((E75="l"),G75," ")</f>
        <v> </v>
      </c>
      <c r="T75" s="334" t="str">
        <f aca="false">IF((E75="b"),G75," ")</f>
        <v> </v>
      </c>
      <c r="U75" s="334" t="str">
        <f aca="false">IF((E75="i"),G75," ")</f>
        <v> </v>
      </c>
      <c r="V75" s="334" t="str">
        <f aca="false">IF((E75="o"),G75," ")</f>
        <v> </v>
      </c>
      <c r="W75" s="334" t="str">
        <f aca="false">IF((E75="f"),G75," ")</f>
        <v> </v>
      </c>
    </row>
    <row r="76" customFormat="false" ht="12.75" hidden="false" customHeight="false" outlineLevel="0" collapsed="false">
      <c r="A76" s="355"/>
      <c r="E76" s="365" t="str">
        <f aca="false">IF((G76&lt;&gt;0),"Enter Letter"," ")</f>
        <v> </v>
      </c>
      <c r="H76" s="338" t="str">
        <f aca="false">IF((G76&lt;&gt;0),IF((D76&gt;0)," ",G76)," ")</f>
        <v> </v>
      </c>
      <c r="I76" s="367" t="str">
        <f aca="false">IF((G76&lt;&gt;0),IF((D76&gt;0)," ",(I$1-A76))," ")</f>
        <v> </v>
      </c>
      <c r="J76" s="334" t="str">
        <f aca="false">IF((E76="s"),G76," ")</f>
        <v> </v>
      </c>
      <c r="K76" s="334" t="str">
        <f aca="false">IF((E76="d"),G76," ")</f>
        <v> </v>
      </c>
      <c r="L76" s="334" t="str">
        <f aca="false">IF((E76="e"),G76," ")</f>
        <v> </v>
      </c>
      <c r="M76" s="334" t="str">
        <f aca="false">IF((E76="p"),G76," ")</f>
        <v> </v>
      </c>
      <c r="N76" s="334" t="str">
        <f aca="false">IF((E76="r"),G76," ")</f>
        <v> </v>
      </c>
      <c r="O76" s="334" t="str">
        <f aca="false">IF((E76="g"),G76," ")</f>
        <v> </v>
      </c>
      <c r="P76" s="334" t="str">
        <f aca="false">IF((E76="m"),G76," ")</f>
        <v> </v>
      </c>
      <c r="Q76" s="334" t="str">
        <f aca="false">IF((E76="t"),G76," ")</f>
        <v> </v>
      </c>
      <c r="R76" s="334" t="str">
        <f aca="false">IF((E76="a"),G76," ")</f>
        <v> </v>
      </c>
      <c r="S76" s="334" t="str">
        <f aca="false">IF((E76="l"),G76," ")</f>
        <v> </v>
      </c>
      <c r="T76" s="334" t="str">
        <f aca="false">IF((E76="b"),G76," ")</f>
        <v> </v>
      </c>
      <c r="U76" s="334" t="str">
        <f aca="false">IF((E76="i"),G76," ")</f>
        <v> </v>
      </c>
      <c r="V76" s="334" t="str">
        <f aca="false">IF((E76="o"),G76," ")</f>
        <v> </v>
      </c>
      <c r="W76" s="334" t="str">
        <f aca="false">IF((E76="f"),G76," ")</f>
        <v> </v>
      </c>
    </row>
    <row r="77" customFormat="false" ht="12.75" hidden="false" customHeight="false" outlineLevel="0" collapsed="false">
      <c r="A77" s="355"/>
      <c r="E77" s="365" t="str">
        <f aca="false">IF((G77&lt;&gt;0),"Enter Letter"," ")</f>
        <v> </v>
      </c>
      <c r="H77" s="338" t="str">
        <f aca="false">IF((G77&lt;&gt;0),IF((D77&gt;0)," ",G77)," ")</f>
        <v> </v>
      </c>
      <c r="I77" s="367" t="str">
        <f aca="false">IF((G77&lt;&gt;0),IF((D77&gt;0)," ",(I$1-A77))," ")</f>
        <v> </v>
      </c>
      <c r="J77" s="334" t="str">
        <f aca="false">IF((E77="s"),G77," ")</f>
        <v> </v>
      </c>
      <c r="K77" s="334" t="str">
        <f aca="false">IF((E77="d"),G77," ")</f>
        <v> </v>
      </c>
      <c r="L77" s="334" t="str">
        <f aca="false">IF((E77="e"),G77," ")</f>
        <v> </v>
      </c>
      <c r="M77" s="334" t="str">
        <f aca="false">IF((E77="p"),G77," ")</f>
        <v> </v>
      </c>
      <c r="N77" s="334" t="str">
        <f aca="false">IF((E77="r"),G77," ")</f>
        <v> </v>
      </c>
      <c r="O77" s="334" t="str">
        <f aca="false">IF((E77="g"),G77," ")</f>
        <v> </v>
      </c>
      <c r="P77" s="334" t="str">
        <f aca="false">IF((E77="m"),G77," ")</f>
        <v> </v>
      </c>
      <c r="Q77" s="334" t="str">
        <f aca="false">IF((E77="t"),G77," ")</f>
        <v> </v>
      </c>
      <c r="R77" s="334" t="str">
        <f aca="false">IF((E77="a"),G77," ")</f>
        <v> </v>
      </c>
      <c r="S77" s="334" t="str">
        <f aca="false">IF((E77="l"),G77," ")</f>
        <v> </v>
      </c>
      <c r="T77" s="334" t="str">
        <f aca="false">IF((E77="b"),G77," ")</f>
        <v> </v>
      </c>
      <c r="U77" s="334" t="str">
        <f aca="false">IF((E77="i"),G77," ")</f>
        <v> </v>
      </c>
      <c r="V77" s="334" t="str">
        <f aca="false">IF((E77="o"),G77," ")</f>
        <v> </v>
      </c>
      <c r="W77" s="334" t="str">
        <f aca="false">IF((E77="f"),G77," ")</f>
        <v> </v>
      </c>
    </row>
    <row r="78" customFormat="false" ht="12.75" hidden="false" customHeight="false" outlineLevel="0" collapsed="false">
      <c r="A78" s="355"/>
      <c r="E78" s="365" t="str">
        <f aca="false">IF((G78&lt;&gt;0),"Enter Letter"," ")</f>
        <v> </v>
      </c>
      <c r="H78" s="338" t="str">
        <f aca="false">IF((G78&lt;&gt;0),IF((D78&gt;0)," ",G78)," ")</f>
        <v> </v>
      </c>
      <c r="I78" s="367" t="str">
        <f aca="false">IF((G78&lt;&gt;0),IF((D78&gt;0)," ",(I$1-A78))," ")</f>
        <v> </v>
      </c>
      <c r="J78" s="334" t="str">
        <f aca="false">IF((E78="s"),G78," ")</f>
        <v> </v>
      </c>
      <c r="K78" s="334" t="str">
        <f aca="false">IF((E78="d"),G78," ")</f>
        <v> </v>
      </c>
      <c r="L78" s="334" t="str">
        <f aca="false">IF((E78="e"),G78," ")</f>
        <v> </v>
      </c>
      <c r="M78" s="334" t="str">
        <f aca="false">IF((E78="p"),G78," ")</f>
        <v> </v>
      </c>
      <c r="N78" s="334" t="str">
        <f aca="false">IF((E78="r"),G78," ")</f>
        <v> </v>
      </c>
      <c r="O78" s="334" t="str">
        <f aca="false">IF((E78="g"),G78," ")</f>
        <v> </v>
      </c>
      <c r="P78" s="334" t="str">
        <f aca="false">IF((E78="m"),G78," ")</f>
        <v> </v>
      </c>
      <c r="Q78" s="334" t="str">
        <f aca="false">IF((E78="t"),G78," ")</f>
        <v> </v>
      </c>
      <c r="R78" s="334" t="str">
        <f aca="false">IF((E78="a"),G78," ")</f>
        <v> </v>
      </c>
      <c r="S78" s="334" t="str">
        <f aca="false">IF((E78="l"),G78," ")</f>
        <v> </v>
      </c>
      <c r="T78" s="334" t="str">
        <f aca="false">IF((E78="b"),G78," ")</f>
        <v> </v>
      </c>
      <c r="U78" s="334" t="str">
        <f aca="false">IF((E78="i"),G78," ")</f>
        <v> </v>
      </c>
      <c r="V78" s="334" t="str">
        <f aca="false">IF((E78="o"),G78," ")</f>
        <v> </v>
      </c>
      <c r="W78" s="334" t="str">
        <f aca="false">IF((E78="f"),G78," ")</f>
        <v> </v>
      </c>
    </row>
    <row r="79" customFormat="false" ht="12.75" hidden="false" customHeight="false" outlineLevel="0" collapsed="false">
      <c r="A79" s="355"/>
      <c r="E79" s="365" t="str">
        <f aca="false">IF((G79&lt;&gt;0),"Enter Letter"," ")</f>
        <v> </v>
      </c>
      <c r="H79" s="338" t="str">
        <f aca="false">IF((G79&lt;&gt;0),IF((D79&gt;0)," ",G79)," ")</f>
        <v> </v>
      </c>
      <c r="I79" s="367" t="str">
        <f aca="false">IF((G79&lt;&gt;0),IF((D79&gt;0)," ",(I$1-A79))," ")</f>
        <v> </v>
      </c>
      <c r="J79" s="334" t="str">
        <f aca="false">IF((E79="s"),G79," ")</f>
        <v> </v>
      </c>
      <c r="K79" s="334" t="str">
        <f aca="false">IF((E79="d"),G79," ")</f>
        <v> </v>
      </c>
      <c r="L79" s="334" t="str">
        <f aca="false">IF((E79="e"),G79," ")</f>
        <v> </v>
      </c>
      <c r="M79" s="334" t="str">
        <f aca="false">IF((E79="p"),G79," ")</f>
        <v> </v>
      </c>
      <c r="N79" s="334" t="str">
        <f aca="false">IF((E79="r"),G79," ")</f>
        <v> </v>
      </c>
      <c r="O79" s="334" t="str">
        <f aca="false">IF((E79="g"),G79," ")</f>
        <v> </v>
      </c>
      <c r="P79" s="334" t="str">
        <f aca="false">IF((E79="m"),G79," ")</f>
        <v> </v>
      </c>
      <c r="Q79" s="334" t="str">
        <f aca="false">IF((E79="t"),G79," ")</f>
        <v> </v>
      </c>
      <c r="R79" s="334" t="str">
        <f aca="false">IF((E79="a"),G79," ")</f>
        <v> </v>
      </c>
      <c r="S79" s="334" t="str">
        <f aca="false">IF((E79="l"),G79," ")</f>
        <v> </v>
      </c>
      <c r="T79" s="334" t="str">
        <f aca="false">IF((E79="b"),G79," ")</f>
        <v> </v>
      </c>
      <c r="U79" s="334" t="str">
        <f aca="false">IF((E79="i"),G79," ")</f>
        <v> </v>
      </c>
      <c r="V79" s="334" t="str">
        <f aca="false">IF((E79="o"),G79," ")</f>
        <v> </v>
      </c>
      <c r="W79" s="334" t="str">
        <f aca="false">IF((E79="f"),G79," ")</f>
        <v> </v>
      </c>
    </row>
    <row r="80" customFormat="false" ht="12.75" hidden="false" customHeight="false" outlineLevel="0" collapsed="false">
      <c r="A80" s="355"/>
      <c r="E80" s="365" t="str">
        <f aca="false">IF((G80&lt;&gt;0),"Enter Letter"," ")</f>
        <v> </v>
      </c>
      <c r="H80" s="338" t="str">
        <f aca="false">IF((G80&lt;&gt;0),IF((D80&gt;0)," ",G80)," ")</f>
        <v> </v>
      </c>
      <c r="I80" s="367" t="str">
        <f aca="false">IF((G80&lt;&gt;0),IF((D80&gt;0)," ",(I$1-A80))," ")</f>
        <v> </v>
      </c>
      <c r="J80" s="334" t="str">
        <f aca="false">IF((E80="s"),G80," ")</f>
        <v> </v>
      </c>
      <c r="K80" s="334" t="str">
        <f aca="false">IF((E80="d"),G80," ")</f>
        <v> </v>
      </c>
      <c r="L80" s="334" t="str">
        <f aca="false">IF((E80="e"),G80," ")</f>
        <v> </v>
      </c>
      <c r="M80" s="334" t="str">
        <f aca="false">IF((E80="p"),G80," ")</f>
        <v> </v>
      </c>
      <c r="N80" s="334" t="str">
        <f aca="false">IF((E80="r"),G80," ")</f>
        <v> </v>
      </c>
      <c r="O80" s="334" t="str">
        <f aca="false">IF((E80="g"),G80," ")</f>
        <v> </v>
      </c>
      <c r="P80" s="334" t="str">
        <f aca="false">IF((E80="m"),G80," ")</f>
        <v> </v>
      </c>
      <c r="Q80" s="334" t="str">
        <f aca="false">IF((E80="t"),G80," ")</f>
        <v> </v>
      </c>
      <c r="R80" s="334" t="str">
        <f aca="false">IF((E80="a"),G80," ")</f>
        <v> </v>
      </c>
      <c r="S80" s="334" t="str">
        <f aca="false">IF((E80="l"),G80," ")</f>
        <v> </v>
      </c>
      <c r="T80" s="334" t="str">
        <f aca="false">IF((E80="b"),G80," ")</f>
        <v> </v>
      </c>
      <c r="U80" s="334" t="str">
        <f aca="false">IF((E80="i"),G80," ")</f>
        <v> </v>
      </c>
      <c r="V80" s="334" t="str">
        <f aca="false">IF((E80="o"),G80," ")</f>
        <v> </v>
      </c>
      <c r="W80" s="334" t="str">
        <f aca="false">IF((E80="f"),G80," ")</f>
        <v> </v>
      </c>
    </row>
    <row r="81" customFormat="false" ht="12.75" hidden="false" customHeight="false" outlineLevel="0" collapsed="false">
      <c r="A81" s="355"/>
      <c r="E81" s="365" t="str">
        <f aca="false">IF((G81&lt;&gt;0),"Enter Letter"," ")</f>
        <v> </v>
      </c>
      <c r="H81" s="338" t="str">
        <f aca="false">IF((G81&lt;&gt;0),IF((D81&gt;0)," ",G81)," ")</f>
        <v> </v>
      </c>
      <c r="I81" s="367" t="str">
        <f aca="false">IF((G81&lt;&gt;0),IF((D81&gt;0)," ",(I$1-A81))," ")</f>
        <v> </v>
      </c>
      <c r="J81" s="334" t="str">
        <f aca="false">IF((E81="s"),G81," ")</f>
        <v> </v>
      </c>
      <c r="K81" s="334" t="str">
        <f aca="false">IF((E81="d"),G81," ")</f>
        <v> </v>
      </c>
      <c r="L81" s="334" t="str">
        <f aca="false">IF((E81="e"),G81," ")</f>
        <v> </v>
      </c>
      <c r="M81" s="334" t="str">
        <f aca="false">IF((E81="p"),G81," ")</f>
        <v> </v>
      </c>
      <c r="N81" s="334" t="str">
        <f aca="false">IF((E81="r"),G81," ")</f>
        <v> </v>
      </c>
      <c r="O81" s="334" t="str">
        <f aca="false">IF((E81="g"),G81," ")</f>
        <v> </v>
      </c>
      <c r="P81" s="334" t="str">
        <f aca="false">IF((E81="m"),G81," ")</f>
        <v> </v>
      </c>
      <c r="Q81" s="334" t="str">
        <f aca="false">IF((E81="t"),G81," ")</f>
        <v> </v>
      </c>
      <c r="R81" s="334" t="str">
        <f aca="false">IF((E81="a"),G81," ")</f>
        <v> </v>
      </c>
      <c r="S81" s="334" t="str">
        <f aca="false">IF((E81="l"),G81," ")</f>
        <v> </v>
      </c>
      <c r="T81" s="334" t="str">
        <f aca="false">IF((E81="b"),G81," ")</f>
        <v> </v>
      </c>
      <c r="U81" s="334" t="str">
        <f aca="false">IF((E81="i"),G81," ")</f>
        <v> </v>
      </c>
      <c r="V81" s="334" t="str">
        <f aca="false">IF((E81="o"),G81," ")</f>
        <v> </v>
      </c>
      <c r="W81" s="334" t="str">
        <f aca="false">IF((E81="f"),G81," ")</f>
        <v> </v>
      </c>
    </row>
    <row r="82" customFormat="false" ht="12.75" hidden="false" customHeight="false" outlineLevel="0" collapsed="false">
      <c r="A82" s="355"/>
      <c r="E82" s="365" t="str">
        <f aca="false">IF((G82&lt;&gt;0),"Enter Letter"," ")</f>
        <v> </v>
      </c>
      <c r="H82" s="338" t="str">
        <f aca="false">IF((G82&lt;&gt;0),IF((D82&gt;0)," ",G82)," ")</f>
        <v> </v>
      </c>
      <c r="I82" s="367" t="str">
        <f aca="false">IF((G82&lt;&gt;0),IF((D82&gt;0)," ",(I$1-A82))," ")</f>
        <v> </v>
      </c>
      <c r="J82" s="334" t="str">
        <f aca="false">IF((E82="s"),G82," ")</f>
        <v> </v>
      </c>
      <c r="K82" s="334" t="str">
        <f aca="false">IF((E82="d"),G82," ")</f>
        <v> </v>
      </c>
      <c r="L82" s="334" t="str">
        <f aca="false">IF((E82="e"),G82," ")</f>
        <v> </v>
      </c>
      <c r="M82" s="334" t="str">
        <f aca="false">IF((E82="p"),G82," ")</f>
        <v> </v>
      </c>
      <c r="N82" s="334" t="str">
        <f aca="false">IF((E82="r"),G82," ")</f>
        <v> </v>
      </c>
      <c r="O82" s="334" t="str">
        <f aca="false">IF((E82="g"),G82," ")</f>
        <v> </v>
      </c>
      <c r="P82" s="334" t="str">
        <f aca="false">IF((E82="m"),G82," ")</f>
        <v> </v>
      </c>
      <c r="Q82" s="334" t="str">
        <f aca="false">IF((E82="t"),G82," ")</f>
        <v> </v>
      </c>
      <c r="R82" s="334" t="str">
        <f aca="false">IF((E82="a"),G82," ")</f>
        <v> </v>
      </c>
      <c r="S82" s="334" t="str">
        <f aca="false">IF((E82="l"),G82," ")</f>
        <v> </v>
      </c>
      <c r="T82" s="334" t="str">
        <f aca="false">IF((E82="b"),G82," ")</f>
        <v> </v>
      </c>
      <c r="U82" s="334" t="str">
        <f aca="false">IF((E82="i"),G82," ")</f>
        <v> </v>
      </c>
      <c r="V82" s="334" t="str">
        <f aca="false">IF((E82="o"),G82," ")</f>
        <v> </v>
      </c>
      <c r="W82" s="334" t="str">
        <f aca="false">IF((E82="f"),G82," ")</f>
        <v> </v>
      </c>
    </row>
    <row r="83" customFormat="false" ht="12.75" hidden="false" customHeight="false" outlineLevel="0" collapsed="false">
      <c r="A83" s="355"/>
      <c r="E83" s="365" t="str">
        <f aca="false">IF((G83&lt;&gt;0),"Enter Letter"," ")</f>
        <v> </v>
      </c>
      <c r="H83" s="338" t="str">
        <f aca="false">IF((G83&lt;&gt;0),IF((D83&gt;0)," ",G83)," ")</f>
        <v> </v>
      </c>
      <c r="I83" s="367" t="str">
        <f aca="false">IF((G83&lt;&gt;0),IF((D83&gt;0)," ",(I$1-A83))," ")</f>
        <v> </v>
      </c>
      <c r="J83" s="334" t="str">
        <f aca="false">IF((E83="s"),G83," ")</f>
        <v> </v>
      </c>
      <c r="K83" s="334" t="str">
        <f aca="false">IF((E83="d"),G83," ")</f>
        <v> </v>
      </c>
      <c r="L83" s="334" t="str">
        <f aca="false">IF((E83="e"),G83," ")</f>
        <v> </v>
      </c>
      <c r="M83" s="334" t="str">
        <f aca="false">IF((E83="p"),G83," ")</f>
        <v> </v>
      </c>
      <c r="N83" s="334" t="str">
        <f aca="false">IF((E83="r"),G83," ")</f>
        <v> </v>
      </c>
      <c r="O83" s="334" t="str">
        <f aca="false">IF((E83="g"),G83," ")</f>
        <v> </v>
      </c>
      <c r="P83" s="334" t="str">
        <f aca="false">IF((E83="m"),G83," ")</f>
        <v> </v>
      </c>
      <c r="Q83" s="334" t="str">
        <f aca="false">IF((E83="t"),G83," ")</f>
        <v> </v>
      </c>
      <c r="R83" s="334" t="str">
        <f aca="false">IF((E83="a"),G83," ")</f>
        <v> </v>
      </c>
      <c r="S83" s="334" t="str">
        <f aca="false">IF((E83="l"),G83," ")</f>
        <v> </v>
      </c>
      <c r="T83" s="334" t="str">
        <f aca="false">IF((E83="b"),G83," ")</f>
        <v> </v>
      </c>
      <c r="U83" s="334" t="str">
        <f aca="false">IF((E83="i"),G83," ")</f>
        <v> </v>
      </c>
      <c r="V83" s="334" t="str">
        <f aca="false">IF((E83="o"),G83," ")</f>
        <v> </v>
      </c>
      <c r="W83" s="334" t="str">
        <f aca="false">IF((E83="f"),G83," ")</f>
        <v> </v>
      </c>
    </row>
    <row r="84" customFormat="false" ht="12.75" hidden="false" customHeight="false" outlineLevel="0" collapsed="false">
      <c r="A84" s="355"/>
      <c r="E84" s="365" t="str">
        <f aca="false">IF((G84&lt;&gt;0),"Enter Letter"," ")</f>
        <v> </v>
      </c>
      <c r="H84" s="338" t="str">
        <f aca="false">IF((G84&lt;&gt;0),IF((D84&gt;0)," ",G84)," ")</f>
        <v> </v>
      </c>
      <c r="I84" s="367" t="str">
        <f aca="false">IF((G84&lt;&gt;0),IF((D84&gt;0)," ",(I$1-A84))," ")</f>
        <v> </v>
      </c>
      <c r="J84" s="334" t="str">
        <f aca="false">IF((E84="s"),G84," ")</f>
        <v> </v>
      </c>
      <c r="K84" s="334" t="str">
        <f aca="false">IF((E84="d"),G84," ")</f>
        <v> </v>
      </c>
      <c r="L84" s="334" t="str">
        <f aca="false">IF((E84="e"),G84," ")</f>
        <v> </v>
      </c>
      <c r="M84" s="334" t="str">
        <f aca="false">IF((E84="p"),G84," ")</f>
        <v> </v>
      </c>
      <c r="N84" s="334" t="str">
        <f aca="false">IF((E84="r"),G84," ")</f>
        <v> </v>
      </c>
      <c r="O84" s="334" t="str">
        <f aca="false">IF((E84="g"),G84," ")</f>
        <v> </v>
      </c>
      <c r="P84" s="334" t="str">
        <f aca="false">IF((E84="m"),G84," ")</f>
        <v> </v>
      </c>
      <c r="Q84" s="334" t="str">
        <f aca="false">IF((E84="t"),G84," ")</f>
        <v> </v>
      </c>
      <c r="R84" s="334" t="str">
        <f aca="false">IF((E84="a"),G84," ")</f>
        <v> </v>
      </c>
      <c r="S84" s="334" t="str">
        <f aca="false">IF((E84="l"),G84," ")</f>
        <v> </v>
      </c>
      <c r="T84" s="334" t="str">
        <f aca="false">IF((E84="b"),G84," ")</f>
        <v> </v>
      </c>
      <c r="U84" s="334" t="str">
        <f aca="false">IF((E84="i"),G84," ")</f>
        <v> </v>
      </c>
      <c r="V84" s="334" t="str">
        <f aca="false">IF((E84="o"),G84," ")</f>
        <v> </v>
      </c>
      <c r="W84" s="334" t="str">
        <f aca="false">IF((E84="f"),G84," ")</f>
        <v> </v>
      </c>
    </row>
    <row r="85" customFormat="false" ht="12.75" hidden="false" customHeight="false" outlineLevel="0" collapsed="false">
      <c r="A85" s="355"/>
      <c r="E85" s="365" t="str">
        <f aca="false">IF((G85&lt;&gt;0),"Enter Letter"," ")</f>
        <v> </v>
      </c>
      <c r="H85" s="338" t="str">
        <f aca="false">IF((G85&lt;&gt;0),IF((D85&gt;0)," ",G85)," ")</f>
        <v> </v>
      </c>
      <c r="I85" s="367" t="str">
        <f aca="false">IF((G85&lt;&gt;0),IF((D85&gt;0)," ",(I$1-A85))," ")</f>
        <v> </v>
      </c>
      <c r="J85" s="334" t="str">
        <f aca="false">IF((E85="s"),G85," ")</f>
        <v> </v>
      </c>
      <c r="K85" s="334" t="str">
        <f aca="false">IF((E85="d"),G85," ")</f>
        <v> </v>
      </c>
      <c r="L85" s="334" t="str">
        <f aca="false">IF((E85="e"),G85," ")</f>
        <v> </v>
      </c>
      <c r="M85" s="334" t="str">
        <f aca="false">IF((E85="p"),G85," ")</f>
        <v> </v>
      </c>
      <c r="N85" s="334" t="str">
        <f aca="false">IF((E85="r"),G85," ")</f>
        <v> </v>
      </c>
      <c r="O85" s="334" t="str">
        <f aca="false">IF((E85="g"),G85," ")</f>
        <v> </v>
      </c>
      <c r="P85" s="334" t="str">
        <f aca="false">IF((E85="m"),G85," ")</f>
        <v> </v>
      </c>
      <c r="Q85" s="334" t="str">
        <f aca="false">IF((E85="t"),G85," ")</f>
        <v> </v>
      </c>
      <c r="R85" s="334" t="str">
        <f aca="false">IF((E85="a"),G85," ")</f>
        <v> </v>
      </c>
      <c r="S85" s="334" t="str">
        <f aca="false">IF((E85="l"),G85," ")</f>
        <v> </v>
      </c>
      <c r="T85" s="334" t="str">
        <f aca="false">IF((E85="b"),G85," ")</f>
        <v> </v>
      </c>
      <c r="U85" s="334" t="str">
        <f aca="false">IF((E85="i"),G85," ")</f>
        <v> </v>
      </c>
      <c r="V85" s="334" t="str">
        <f aca="false">IF((E85="o"),G85," ")</f>
        <v> </v>
      </c>
      <c r="W85" s="334" t="str">
        <f aca="false">IF((E85="f"),G85," ")</f>
        <v> </v>
      </c>
    </row>
    <row r="86" customFormat="false" ht="12.75" hidden="false" customHeight="false" outlineLevel="0" collapsed="false">
      <c r="A86" s="355"/>
      <c r="E86" s="365" t="str">
        <f aca="false">IF((G86&lt;&gt;0),"Enter Letter"," ")</f>
        <v> </v>
      </c>
      <c r="H86" s="338" t="str">
        <f aca="false">IF((G86&lt;&gt;0),IF((D86&gt;0)," ",G86)," ")</f>
        <v> </v>
      </c>
      <c r="I86" s="367" t="str">
        <f aca="false">IF((G86&lt;&gt;0),IF((D86&gt;0)," ",(I$1-A86))," ")</f>
        <v> </v>
      </c>
      <c r="J86" s="334" t="str">
        <f aca="false">IF((E86="s"),G86," ")</f>
        <v> </v>
      </c>
      <c r="K86" s="334" t="str">
        <f aca="false">IF((E86="d"),G86," ")</f>
        <v> </v>
      </c>
      <c r="L86" s="334" t="str">
        <f aca="false">IF((E86="e"),G86," ")</f>
        <v> </v>
      </c>
      <c r="M86" s="334" t="str">
        <f aca="false">IF((E86="p"),G86," ")</f>
        <v> </v>
      </c>
      <c r="N86" s="334" t="str">
        <f aca="false">IF((E86="r"),G86," ")</f>
        <v> </v>
      </c>
      <c r="O86" s="334" t="str">
        <f aca="false">IF((E86="g"),G86," ")</f>
        <v> </v>
      </c>
      <c r="P86" s="334" t="str">
        <f aca="false">IF((E86="m"),G86," ")</f>
        <v> </v>
      </c>
      <c r="Q86" s="334" t="str">
        <f aca="false">IF((E86="t"),G86," ")</f>
        <v> </v>
      </c>
      <c r="R86" s="334" t="str">
        <f aca="false">IF((E86="a"),G86," ")</f>
        <v> </v>
      </c>
      <c r="S86" s="334" t="str">
        <f aca="false">IF((E86="l"),G86," ")</f>
        <v> </v>
      </c>
      <c r="T86" s="334" t="str">
        <f aca="false">IF((E86="b"),G86," ")</f>
        <v> </v>
      </c>
      <c r="U86" s="334" t="str">
        <f aca="false">IF((E86="i"),G86," ")</f>
        <v> </v>
      </c>
      <c r="V86" s="334" t="str">
        <f aca="false">IF((E86="o"),G86," ")</f>
        <v> </v>
      </c>
      <c r="W86" s="334" t="str">
        <f aca="false">IF((E86="f"),G86," ")</f>
        <v> </v>
      </c>
    </row>
    <row r="87" customFormat="false" ht="12.75" hidden="false" customHeight="false" outlineLevel="0" collapsed="false">
      <c r="A87" s="355"/>
      <c r="E87" s="365" t="str">
        <f aca="false">IF((G87&lt;&gt;0),"Enter Letter"," ")</f>
        <v> </v>
      </c>
      <c r="H87" s="338" t="str">
        <f aca="false">IF((G87&lt;&gt;0),IF((D87&gt;0)," ",G87)," ")</f>
        <v> </v>
      </c>
      <c r="I87" s="367" t="str">
        <f aca="false">IF((G87&lt;&gt;0),IF((D87&gt;0)," ",(I$1-A87))," ")</f>
        <v> </v>
      </c>
      <c r="J87" s="334" t="str">
        <f aca="false">IF((E87="s"),G87," ")</f>
        <v> </v>
      </c>
      <c r="K87" s="334" t="str">
        <f aca="false">IF((E87="d"),G87," ")</f>
        <v> </v>
      </c>
      <c r="L87" s="334" t="str">
        <f aca="false">IF((E87="e"),G87," ")</f>
        <v> </v>
      </c>
      <c r="M87" s="334" t="str">
        <f aca="false">IF((E87="p"),G87," ")</f>
        <v> </v>
      </c>
      <c r="N87" s="334" t="str">
        <f aca="false">IF((E87="r"),G87," ")</f>
        <v> </v>
      </c>
      <c r="O87" s="334" t="str">
        <f aca="false">IF((E87="g"),G87," ")</f>
        <v> </v>
      </c>
      <c r="P87" s="334" t="str">
        <f aca="false">IF((E87="m"),G87," ")</f>
        <v> </v>
      </c>
      <c r="Q87" s="334" t="str">
        <f aca="false">IF((E87="t"),G87," ")</f>
        <v> </v>
      </c>
      <c r="R87" s="334" t="str">
        <f aca="false">IF((E87="a"),G87," ")</f>
        <v> </v>
      </c>
      <c r="S87" s="334" t="str">
        <f aca="false">IF((E87="l"),G87," ")</f>
        <v> </v>
      </c>
      <c r="T87" s="334" t="str">
        <f aca="false">IF((E87="b"),G87," ")</f>
        <v> </v>
      </c>
      <c r="U87" s="334" t="str">
        <f aca="false">IF((E87="i"),G87," ")</f>
        <v> </v>
      </c>
      <c r="V87" s="334" t="str">
        <f aca="false">IF((E87="o"),G87," ")</f>
        <v> </v>
      </c>
      <c r="W87" s="334" t="str">
        <f aca="false">IF((E87="f"),G87," ")</f>
        <v> </v>
      </c>
    </row>
    <row r="88" customFormat="false" ht="12.75" hidden="false" customHeight="false" outlineLevel="0" collapsed="false">
      <c r="A88" s="355"/>
      <c r="E88" s="365" t="str">
        <f aca="false">IF((G88&lt;&gt;0),"Enter Letter"," ")</f>
        <v> </v>
      </c>
      <c r="H88" s="338" t="str">
        <f aca="false">IF((G88&lt;&gt;0),IF((D88&gt;0)," ",G88)," ")</f>
        <v> </v>
      </c>
      <c r="I88" s="367" t="str">
        <f aca="false">IF((G88&lt;&gt;0),IF((D88&gt;0)," ",(I$1-A88))," ")</f>
        <v> </v>
      </c>
      <c r="J88" s="334" t="str">
        <f aca="false">IF((E88="s"),G88," ")</f>
        <v> </v>
      </c>
      <c r="K88" s="334" t="str">
        <f aca="false">IF((E88="d"),G88," ")</f>
        <v> </v>
      </c>
      <c r="L88" s="334" t="str">
        <f aca="false">IF((E88="e"),G88," ")</f>
        <v> </v>
      </c>
      <c r="M88" s="334" t="str">
        <f aca="false">IF((E88="p"),G88," ")</f>
        <v> </v>
      </c>
      <c r="N88" s="334" t="str">
        <f aca="false">IF((E88="r"),G88," ")</f>
        <v> </v>
      </c>
      <c r="O88" s="334" t="str">
        <f aca="false">IF((E88="g"),G88," ")</f>
        <v> </v>
      </c>
      <c r="P88" s="334" t="str">
        <f aca="false">IF((E88="m"),G88," ")</f>
        <v> </v>
      </c>
      <c r="Q88" s="334" t="str">
        <f aca="false">IF((E88="t"),G88," ")</f>
        <v> </v>
      </c>
      <c r="R88" s="334" t="str">
        <f aca="false">IF((E88="a"),G88," ")</f>
        <v> </v>
      </c>
      <c r="S88" s="334" t="str">
        <f aca="false">IF((E88="l"),G88," ")</f>
        <v> </v>
      </c>
      <c r="T88" s="334" t="str">
        <f aca="false">IF((E88="b"),G88," ")</f>
        <v> </v>
      </c>
      <c r="U88" s="334" t="str">
        <f aca="false">IF((E88="i"),G88," ")</f>
        <v> </v>
      </c>
      <c r="V88" s="334" t="str">
        <f aca="false">IF((E88="o"),G88," ")</f>
        <v> </v>
      </c>
      <c r="W88" s="334" t="str">
        <f aca="false">IF((E88="f"),G88," ")</f>
        <v> </v>
      </c>
    </row>
    <row r="89" customFormat="false" ht="12.75" hidden="false" customHeight="false" outlineLevel="0" collapsed="false">
      <c r="A89" s="355"/>
      <c r="E89" s="365" t="str">
        <f aca="false">IF((G89&lt;&gt;0),"Enter Letter"," ")</f>
        <v> </v>
      </c>
      <c r="H89" s="338" t="str">
        <f aca="false">IF((G89&lt;&gt;0),IF((D89&gt;0)," ",G89)," ")</f>
        <v> </v>
      </c>
      <c r="I89" s="367" t="str">
        <f aca="false">IF((G89&lt;&gt;0),IF((D89&gt;0)," ",(I$1-A89))," ")</f>
        <v> </v>
      </c>
      <c r="J89" s="334" t="str">
        <f aca="false">IF((E89="s"),G89," ")</f>
        <v> </v>
      </c>
      <c r="K89" s="334" t="str">
        <f aca="false">IF((E89="d"),G89," ")</f>
        <v> </v>
      </c>
      <c r="L89" s="334" t="str">
        <f aca="false">IF((E89="e"),G89," ")</f>
        <v> </v>
      </c>
      <c r="M89" s="334" t="str">
        <f aca="false">IF((E89="p"),G89," ")</f>
        <v> </v>
      </c>
      <c r="N89" s="334" t="str">
        <f aca="false">IF((E89="r"),G89," ")</f>
        <v> </v>
      </c>
      <c r="O89" s="334" t="str">
        <f aca="false">IF((E89="g"),G89," ")</f>
        <v> </v>
      </c>
      <c r="P89" s="334" t="str">
        <f aca="false">IF((E89="m"),G89," ")</f>
        <v> </v>
      </c>
      <c r="Q89" s="334" t="str">
        <f aca="false">IF((E89="t"),G89," ")</f>
        <v> </v>
      </c>
      <c r="R89" s="334" t="str">
        <f aca="false">IF((E89="a"),G89," ")</f>
        <v> </v>
      </c>
      <c r="S89" s="334" t="str">
        <f aca="false">IF((E89="l"),G89," ")</f>
        <v> </v>
      </c>
      <c r="T89" s="334" t="str">
        <f aca="false">IF((E89="b"),G89," ")</f>
        <v> </v>
      </c>
      <c r="U89" s="334" t="str">
        <f aca="false">IF((E89="i"),G89," ")</f>
        <v> </v>
      </c>
      <c r="V89" s="334" t="str">
        <f aca="false">IF((E89="o"),G89," ")</f>
        <v> </v>
      </c>
      <c r="W89" s="334" t="str">
        <f aca="false">IF((E89="f"),G89," ")</f>
        <v> </v>
      </c>
    </row>
    <row r="90" customFormat="false" ht="12.75" hidden="false" customHeight="false" outlineLevel="0" collapsed="false">
      <c r="A90" s="355"/>
      <c r="E90" s="365" t="str">
        <f aca="false">IF((G90&lt;&gt;0),"Enter Letter"," ")</f>
        <v> </v>
      </c>
      <c r="H90" s="338" t="str">
        <f aca="false">IF((G90&lt;&gt;0),IF((D90&gt;0)," ",G90)," ")</f>
        <v> </v>
      </c>
      <c r="I90" s="367" t="str">
        <f aca="false">IF((G90&lt;&gt;0),IF((D90&gt;0)," ",(I$1-A90))," ")</f>
        <v> </v>
      </c>
      <c r="J90" s="334" t="str">
        <f aca="false">IF((E90="s"),G90," ")</f>
        <v> </v>
      </c>
      <c r="K90" s="334" t="str">
        <f aca="false">IF((E90="d"),G90," ")</f>
        <v> </v>
      </c>
      <c r="L90" s="334" t="str">
        <f aca="false">IF((E90="e"),G90," ")</f>
        <v> </v>
      </c>
      <c r="M90" s="334" t="str">
        <f aca="false">IF((E90="p"),G90," ")</f>
        <v> </v>
      </c>
      <c r="N90" s="334" t="str">
        <f aca="false">IF((E90="r"),G90," ")</f>
        <v> </v>
      </c>
      <c r="O90" s="334" t="str">
        <f aca="false">IF((E90="g"),G90," ")</f>
        <v> </v>
      </c>
      <c r="P90" s="334" t="str">
        <f aca="false">IF((E90="m"),G90," ")</f>
        <v> </v>
      </c>
      <c r="Q90" s="334" t="str">
        <f aca="false">IF((E90="t"),G90," ")</f>
        <v> </v>
      </c>
      <c r="R90" s="334" t="str">
        <f aca="false">IF((E90="a"),G90," ")</f>
        <v> </v>
      </c>
      <c r="S90" s="334" t="str">
        <f aca="false">IF((E90="l"),G90," ")</f>
        <v> </v>
      </c>
      <c r="T90" s="334" t="str">
        <f aca="false">IF((E90="b"),G90," ")</f>
        <v> </v>
      </c>
      <c r="U90" s="334" t="str">
        <f aca="false">IF((E90="i"),G90," ")</f>
        <v> </v>
      </c>
      <c r="V90" s="334" t="str">
        <f aca="false">IF((E90="o"),G90," ")</f>
        <v> </v>
      </c>
      <c r="W90" s="334" t="str">
        <f aca="false">IF((E90="f"),G90," ")</f>
        <v> </v>
      </c>
    </row>
    <row r="91" customFormat="false" ht="12.75" hidden="false" customHeight="false" outlineLevel="0" collapsed="false">
      <c r="A91" s="355"/>
      <c r="E91" s="365" t="str">
        <f aca="false">IF((G91&lt;&gt;0),"Enter Letter"," ")</f>
        <v> </v>
      </c>
      <c r="H91" s="338" t="str">
        <f aca="false">IF((G91&lt;&gt;0),IF((D91&gt;0)," ",G91)," ")</f>
        <v> </v>
      </c>
      <c r="I91" s="367" t="str">
        <f aca="false">IF((G91&lt;&gt;0),IF((D91&gt;0)," ",(I$1-A91))," ")</f>
        <v> </v>
      </c>
      <c r="J91" s="334" t="str">
        <f aca="false">IF((E91="s"),G91," ")</f>
        <v> </v>
      </c>
      <c r="K91" s="334" t="str">
        <f aca="false">IF((E91="d"),G91," ")</f>
        <v> </v>
      </c>
      <c r="L91" s="334" t="str">
        <f aca="false">IF((E91="e"),G91," ")</f>
        <v> </v>
      </c>
      <c r="M91" s="334" t="str">
        <f aca="false">IF((E91="p"),G91," ")</f>
        <v> </v>
      </c>
      <c r="N91" s="334" t="str">
        <f aca="false">IF((E91="r"),G91," ")</f>
        <v> </v>
      </c>
      <c r="O91" s="334" t="str">
        <f aca="false">IF((E91="g"),G91," ")</f>
        <v> </v>
      </c>
      <c r="P91" s="334" t="str">
        <f aca="false">IF((E91="m"),G91," ")</f>
        <v> </v>
      </c>
      <c r="Q91" s="334" t="str">
        <f aca="false">IF((E91="t"),G91," ")</f>
        <v> </v>
      </c>
      <c r="R91" s="334" t="str">
        <f aca="false">IF((E91="a"),G91," ")</f>
        <v> </v>
      </c>
      <c r="S91" s="334" t="str">
        <f aca="false">IF((E91="l"),G91," ")</f>
        <v> </v>
      </c>
      <c r="T91" s="334" t="str">
        <f aca="false">IF((E91="b"),G91," ")</f>
        <v> </v>
      </c>
      <c r="U91" s="334" t="str">
        <f aca="false">IF((E91="i"),G91," ")</f>
        <v> </v>
      </c>
      <c r="V91" s="334" t="str">
        <f aca="false">IF((E91="o"),G91," ")</f>
        <v> </v>
      </c>
      <c r="W91" s="334" t="str">
        <f aca="false">IF((E91="f"),G91," ")</f>
        <v> </v>
      </c>
    </row>
    <row r="92" customFormat="false" ht="12.75" hidden="false" customHeight="false" outlineLevel="0" collapsed="false">
      <c r="A92" s="355"/>
      <c r="E92" s="365" t="str">
        <f aca="false">IF((G92&lt;&gt;0),"Enter Letter"," ")</f>
        <v> </v>
      </c>
      <c r="H92" s="338" t="str">
        <f aca="false">IF((G92&lt;&gt;0),IF((D92&gt;0)," ",G92)," ")</f>
        <v> </v>
      </c>
      <c r="I92" s="367" t="str">
        <f aca="false">IF((G92&lt;&gt;0),IF((D92&gt;0)," ",(I$1-A92))," ")</f>
        <v> </v>
      </c>
      <c r="J92" s="334" t="str">
        <f aca="false">IF((E92="s"),G92," ")</f>
        <v> </v>
      </c>
      <c r="K92" s="334" t="str">
        <f aca="false">IF((E92="d"),G92," ")</f>
        <v> </v>
      </c>
      <c r="L92" s="334" t="str">
        <f aca="false">IF((E92="e"),G92," ")</f>
        <v> </v>
      </c>
      <c r="M92" s="334" t="str">
        <f aca="false">IF((E92="p"),G92," ")</f>
        <v> </v>
      </c>
      <c r="N92" s="334" t="str">
        <f aca="false">IF((E92="r"),G92," ")</f>
        <v> </v>
      </c>
      <c r="O92" s="334" t="str">
        <f aca="false">IF((E92="g"),G92," ")</f>
        <v> </v>
      </c>
      <c r="P92" s="334" t="str">
        <f aca="false">IF((E92="m"),G92," ")</f>
        <v> </v>
      </c>
      <c r="Q92" s="334" t="str">
        <f aca="false">IF((E92="t"),G92," ")</f>
        <v> </v>
      </c>
      <c r="R92" s="334" t="str">
        <f aca="false">IF((E92="a"),G92," ")</f>
        <v> </v>
      </c>
      <c r="S92" s="334" t="str">
        <f aca="false">IF((E92="l"),G92," ")</f>
        <v> </v>
      </c>
      <c r="T92" s="334" t="str">
        <f aca="false">IF((E92="b"),G92," ")</f>
        <v> </v>
      </c>
      <c r="U92" s="334" t="str">
        <f aca="false">IF((E92="i"),G92," ")</f>
        <v> </v>
      </c>
      <c r="V92" s="334" t="str">
        <f aca="false">IF((E92="o"),G92," ")</f>
        <v> </v>
      </c>
      <c r="W92" s="334" t="str">
        <f aca="false">IF((E92="f"),G92," ")</f>
        <v> </v>
      </c>
    </row>
    <row r="93" customFormat="false" ht="12.75" hidden="false" customHeight="false" outlineLevel="0" collapsed="false">
      <c r="A93" s="355"/>
      <c r="E93" s="365" t="str">
        <f aca="false">IF((G93&lt;&gt;0),"Enter Letter"," ")</f>
        <v> </v>
      </c>
      <c r="H93" s="338" t="str">
        <f aca="false">IF((G93&lt;&gt;0),IF((D93&gt;0)," ",G93)," ")</f>
        <v> </v>
      </c>
      <c r="I93" s="367" t="str">
        <f aca="false">IF((G93&lt;&gt;0),IF((D93&gt;0)," ",(I$1-A93))," ")</f>
        <v> </v>
      </c>
      <c r="J93" s="334" t="str">
        <f aca="false">IF((E93="s"),G93," ")</f>
        <v> </v>
      </c>
      <c r="K93" s="334" t="str">
        <f aca="false">IF((E93="d"),G93," ")</f>
        <v> </v>
      </c>
      <c r="L93" s="334" t="str">
        <f aca="false">IF((E93="e"),G93," ")</f>
        <v> </v>
      </c>
      <c r="M93" s="334" t="str">
        <f aca="false">IF((E93="p"),G93," ")</f>
        <v> </v>
      </c>
      <c r="N93" s="334" t="str">
        <f aca="false">IF((E93="r"),G93," ")</f>
        <v> </v>
      </c>
      <c r="O93" s="334" t="str">
        <f aca="false">IF((E93="g"),G93," ")</f>
        <v> </v>
      </c>
      <c r="P93" s="334" t="str">
        <f aca="false">IF((E93="m"),G93," ")</f>
        <v> </v>
      </c>
      <c r="Q93" s="334" t="str">
        <f aca="false">IF((E93="t"),G93," ")</f>
        <v> </v>
      </c>
      <c r="R93" s="334" t="str">
        <f aca="false">IF((E93="a"),G93," ")</f>
        <v> </v>
      </c>
      <c r="S93" s="334" t="str">
        <f aca="false">IF((E93="l"),G93," ")</f>
        <v> </v>
      </c>
      <c r="T93" s="334" t="str">
        <f aca="false">IF((E93="b"),G93," ")</f>
        <v> </v>
      </c>
      <c r="U93" s="334" t="str">
        <f aca="false">IF((E93="i"),G93," ")</f>
        <v> </v>
      </c>
      <c r="V93" s="334" t="str">
        <f aca="false">IF((E93="o"),G93," ")</f>
        <v> </v>
      </c>
      <c r="W93" s="334" t="str">
        <f aca="false">IF((E93="f"),G93," ")</f>
        <v> </v>
      </c>
    </row>
    <row r="94" customFormat="false" ht="12.75" hidden="false" customHeight="false" outlineLevel="0" collapsed="false">
      <c r="A94" s="355"/>
      <c r="E94" s="365" t="str">
        <f aca="false">IF((G94&lt;&gt;0),"Enter Letter"," ")</f>
        <v> </v>
      </c>
      <c r="H94" s="338" t="str">
        <f aca="false">IF((G94&lt;&gt;0),IF((D94&gt;0)," ",G94)," ")</f>
        <v> </v>
      </c>
      <c r="I94" s="367" t="str">
        <f aca="false">IF((G94&lt;&gt;0),IF((D94&gt;0)," ",(I$1-A94))," ")</f>
        <v> </v>
      </c>
      <c r="J94" s="334" t="str">
        <f aca="false">IF((E94="s"),G94," ")</f>
        <v> </v>
      </c>
      <c r="K94" s="334" t="str">
        <f aca="false">IF((E94="d"),G94," ")</f>
        <v> </v>
      </c>
      <c r="L94" s="334" t="str">
        <f aca="false">IF((E94="e"),G94," ")</f>
        <v> </v>
      </c>
      <c r="M94" s="334" t="str">
        <f aca="false">IF((E94="p"),G94," ")</f>
        <v> </v>
      </c>
      <c r="N94" s="334" t="str">
        <f aca="false">IF((E94="r"),G94," ")</f>
        <v> </v>
      </c>
      <c r="O94" s="334" t="str">
        <f aca="false">IF((E94="g"),G94," ")</f>
        <v> </v>
      </c>
      <c r="P94" s="334" t="str">
        <f aca="false">IF((E94="m"),G94," ")</f>
        <v> </v>
      </c>
      <c r="Q94" s="334" t="str">
        <f aca="false">IF((E94="t"),G94," ")</f>
        <v> </v>
      </c>
      <c r="R94" s="334" t="str">
        <f aca="false">IF((E94="a"),G94," ")</f>
        <v> </v>
      </c>
      <c r="S94" s="334" t="str">
        <f aca="false">IF((E94="l"),G94," ")</f>
        <v> </v>
      </c>
      <c r="T94" s="334" t="str">
        <f aca="false">IF((E94="b"),G94," ")</f>
        <v> </v>
      </c>
      <c r="U94" s="334" t="str">
        <f aca="false">IF((E94="i"),G94," ")</f>
        <v> </v>
      </c>
      <c r="V94" s="334" t="str">
        <f aca="false">IF((E94="o"),G94," ")</f>
        <v> </v>
      </c>
      <c r="W94" s="334" t="str">
        <f aca="false">IF((E94="f"),G94," ")</f>
        <v> </v>
      </c>
    </row>
    <row r="95" customFormat="false" ht="12.75" hidden="false" customHeight="false" outlineLevel="0" collapsed="false">
      <c r="A95" s="355"/>
      <c r="E95" s="365" t="str">
        <f aca="false">IF((G95&lt;&gt;0),"Enter Letter"," ")</f>
        <v> </v>
      </c>
      <c r="H95" s="338" t="str">
        <f aca="false">IF((G95&lt;&gt;0),IF((D95&gt;0)," ",G95)," ")</f>
        <v> </v>
      </c>
      <c r="I95" s="367" t="str">
        <f aca="false">IF((G95&lt;&gt;0),IF((D95&gt;0)," ",(I$1-A95))," ")</f>
        <v> </v>
      </c>
      <c r="J95" s="334" t="str">
        <f aca="false">IF((E95="s"),G95," ")</f>
        <v> </v>
      </c>
      <c r="K95" s="334" t="str">
        <f aca="false">IF((E95="d"),G95," ")</f>
        <v> </v>
      </c>
      <c r="L95" s="334" t="str">
        <f aca="false">IF((E95="e"),G95," ")</f>
        <v> </v>
      </c>
      <c r="M95" s="334" t="str">
        <f aca="false">IF((E95="p"),G95," ")</f>
        <v> </v>
      </c>
      <c r="N95" s="334" t="str">
        <f aca="false">IF((E95="r"),G95," ")</f>
        <v> </v>
      </c>
      <c r="O95" s="334" t="str">
        <f aca="false">IF((E95="g"),G95," ")</f>
        <v> </v>
      </c>
      <c r="P95" s="334" t="str">
        <f aca="false">IF((E95="m"),G95," ")</f>
        <v> </v>
      </c>
      <c r="Q95" s="334" t="str">
        <f aca="false">IF((E95="t"),G95," ")</f>
        <v> </v>
      </c>
      <c r="R95" s="334" t="str">
        <f aca="false">IF((E95="a"),G95," ")</f>
        <v> </v>
      </c>
      <c r="S95" s="334" t="str">
        <f aca="false">IF((E95="l"),G95," ")</f>
        <v> </v>
      </c>
      <c r="T95" s="334" t="str">
        <f aca="false">IF((E95="b"),G95," ")</f>
        <v> </v>
      </c>
      <c r="U95" s="334" t="str">
        <f aca="false">IF((E95="i"),G95," ")</f>
        <v> </v>
      </c>
      <c r="V95" s="334" t="str">
        <f aca="false">IF((E95="o"),G95," ")</f>
        <v> </v>
      </c>
      <c r="W95" s="334" t="str">
        <f aca="false">IF((E95="f"),G95," ")</f>
        <v> </v>
      </c>
    </row>
    <row r="96" customFormat="false" ht="12.75" hidden="false" customHeight="false" outlineLevel="0" collapsed="false">
      <c r="A96" s="355"/>
      <c r="E96" s="365" t="str">
        <f aca="false">IF((G96&lt;&gt;0),"Enter Letter"," ")</f>
        <v> </v>
      </c>
      <c r="H96" s="338" t="str">
        <f aca="false">IF((G96&lt;&gt;0),IF((D96&gt;0)," ",G96)," ")</f>
        <v> </v>
      </c>
      <c r="I96" s="367" t="str">
        <f aca="false">IF((G96&lt;&gt;0),IF((D96&gt;0)," ",(I$1-A96))," ")</f>
        <v> </v>
      </c>
      <c r="J96" s="334" t="str">
        <f aca="false">IF((E96="s"),G96," ")</f>
        <v> </v>
      </c>
      <c r="K96" s="334" t="str">
        <f aca="false">IF((E96="d"),G96," ")</f>
        <v> </v>
      </c>
      <c r="L96" s="334" t="str">
        <f aca="false">IF((E96="e"),G96," ")</f>
        <v> </v>
      </c>
      <c r="M96" s="334" t="str">
        <f aca="false">IF((E96="p"),G96," ")</f>
        <v> </v>
      </c>
      <c r="N96" s="334" t="str">
        <f aca="false">IF((E96="r"),G96," ")</f>
        <v> </v>
      </c>
      <c r="O96" s="334" t="str">
        <f aca="false">IF((E96="g"),G96," ")</f>
        <v> </v>
      </c>
      <c r="P96" s="334" t="str">
        <f aca="false">IF((E96="m"),G96," ")</f>
        <v> </v>
      </c>
      <c r="Q96" s="334" t="str">
        <f aca="false">IF((E96="t"),G96," ")</f>
        <v> </v>
      </c>
      <c r="R96" s="334" t="str">
        <f aca="false">IF((E96="a"),G96," ")</f>
        <v> </v>
      </c>
      <c r="S96" s="334" t="str">
        <f aca="false">IF((E96="l"),G96," ")</f>
        <v> </v>
      </c>
      <c r="T96" s="334" t="str">
        <f aca="false">IF((E96="b"),G96," ")</f>
        <v> </v>
      </c>
      <c r="U96" s="334" t="str">
        <f aca="false">IF((E96="i"),G96," ")</f>
        <v> </v>
      </c>
      <c r="V96" s="334" t="str">
        <f aca="false">IF((E96="o"),G96," ")</f>
        <v> </v>
      </c>
      <c r="W96" s="334" t="str">
        <f aca="false">IF((E96="f"),G96," ")</f>
        <v> </v>
      </c>
    </row>
    <row r="97" customFormat="false" ht="12.75" hidden="false" customHeight="false" outlineLevel="0" collapsed="false">
      <c r="A97" s="355"/>
      <c r="E97" s="365" t="str">
        <f aca="false">IF((G97&lt;&gt;0),"Enter Letter"," ")</f>
        <v> </v>
      </c>
      <c r="H97" s="338" t="str">
        <f aca="false">IF((G97&lt;&gt;0),IF((D97&gt;0)," ",G97)," ")</f>
        <v> </v>
      </c>
      <c r="I97" s="367" t="str">
        <f aca="false">IF((G97&lt;&gt;0),IF((D97&gt;0)," ",(I$1-A97))," ")</f>
        <v> </v>
      </c>
      <c r="J97" s="334" t="str">
        <f aca="false">IF((E97="s"),G97," ")</f>
        <v> </v>
      </c>
      <c r="K97" s="334" t="str">
        <f aca="false">IF((E97="d"),G97," ")</f>
        <v> </v>
      </c>
      <c r="L97" s="334" t="str">
        <f aca="false">IF((E97="e"),G97," ")</f>
        <v> </v>
      </c>
      <c r="M97" s="334" t="str">
        <f aca="false">IF((E97="p"),G97," ")</f>
        <v> </v>
      </c>
      <c r="N97" s="334" t="str">
        <f aca="false">IF((E97="r"),G97," ")</f>
        <v> </v>
      </c>
      <c r="O97" s="334" t="str">
        <f aca="false">IF((E97="g"),G97," ")</f>
        <v> </v>
      </c>
      <c r="P97" s="334" t="str">
        <f aca="false">IF((E97="m"),G97," ")</f>
        <v> </v>
      </c>
      <c r="Q97" s="334" t="str">
        <f aca="false">IF((E97="t"),G97," ")</f>
        <v> </v>
      </c>
      <c r="R97" s="334" t="str">
        <f aca="false">IF((E97="a"),G97," ")</f>
        <v> </v>
      </c>
      <c r="S97" s="334" t="str">
        <f aca="false">IF((E97="l"),G97," ")</f>
        <v> </v>
      </c>
      <c r="T97" s="334" t="str">
        <f aca="false">IF((E97="b"),G97," ")</f>
        <v> </v>
      </c>
      <c r="U97" s="334" t="str">
        <f aca="false">IF((E97="i"),G97," ")</f>
        <v> </v>
      </c>
      <c r="V97" s="334" t="str">
        <f aca="false">IF((E97="o"),G97," ")</f>
        <v> </v>
      </c>
      <c r="W97" s="334" t="str">
        <f aca="false">IF((E97="f"),G97," ")</f>
        <v> </v>
      </c>
    </row>
    <row r="98" customFormat="false" ht="12.75" hidden="false" customHeight="false" outlineLevel="0" collapsed="false">
      <c r="A98" s="355"/>
      <c r="E98" s="365" t="str">
        <f aca="false">IF((G98&lt;&gt;0),"Enter Letter"," ")</f>
        <v> </v>
      </c>
      <c r="H98" s="338" t="str">
        <f aca="false">IF((G98&lt;&gt;0),IF((D98&gt;0)," ",G98)," ")</f>
        <v> </v>
      </c>
      <c r="I98" s="367" t="str">
        <f aca="false">IF((G98&lt;&gt;0),IF((D98&gt;0)," ",(I$1-A98))," ")</f>
        <v> </v>
      </c>
      <c r="J98" s="334" t="str">
        <f aca="false">IF((E98="s"),G98," ")</f>
        <v> </v>
      </c>
      <c r="K98" s="334" t="str">
        <f aca="false">IF((E98="d"),G98," ")</f>
        <v> </v>
      </c>
      <c r="L98" s="334" t="str">
        <f aca="false">IF((E98="e"),G98," ")</f>
        <v> </v>
      </c>
      <c r="M98" s="334" t="str">
        <f aca="false">IF((E98="p"),G98," ")</f>
        <v> </v>
      </c>
      <c r="N98" s="334" t="str">
        <f aca="false">IF((E98="r"),G98," ")</f>
        <v> </v>
      </c>
      <c r="O98" s="334" t="str">
        <f aca="false">IF((E98="g"),G98," ")</f>
        <v> </v>
      </c>
      <c r="P98" s="334" t="str">
        <f aca="false">IF((E98="m"),G98," ")</f>
        <v> </v>
      </c>
      <c r="Q98" s="334" t="str">
        <f aca="false">IF((E98="t"),G98," ")</f>
        <v> </v>
      </c>
      <c r="R98" s="334" t="str">
        <f aca="false">IF((E98="a"),G98," ")</f>
        <v> </v>
      </c>
      <c r="S98" s="334" t="str">
        <f aca="false">IF((E98="l"),G98," ")</f>
        <v> </v>
      </c>
      <c r="T98" s="334" t="str">
        <f aca="false">IF((E98="b"),G98," ")</f>
        <v> </v>
      </c>
      <c r="U98" s="334" t="str">
        <f aca="false">IF((E98="i"),G98," ")</f>
        <v> </v>
      </c>
      <c r="V98" s="334" t="str">
        <f aca="false">IF((E98="o"),G98," ")</f>
        <v> </v>
      </c>
      <c r="W98" s="334" t="str">
        <f aca="false">IF((E98="f"),G98," ")</f>
        <v> </v>
      </c>
    </row>
    <row r="99" customFormat="false" ht="12.75" hidden="false" customHeight="false" outlineLevel="0" collapsed="false">
      <c r="A99" s="355"/>
      <c r="E99" s="365" t="str">
        <f aca="false">IF((G99&lt;&gt;0),"Enter Letter"," ")</f>
        <v> </v>
      </c>
      <c r="H99" s="338" t="str">
        <f aca="false">IF((G99&lt;&gt;0),IF((D99&gt;0)," ",G99)," ")</f>
        <v> </v>
      </c>
      <c r="I99" s="367" t="str">
        <f aca="false">IF((G99&lt;&gt;0),IF((D99&gt;0)," ",(I$1-A99))," ")</f>
        <v> </v>
      </c>
      <c r="J99" s="334" t="str">
        <f aca="false">IF((E99="s"),G99," ")</f>
        <v> </v>
      </c>
      <c r="K99" s="334" t="str">
        <f aca="false">IF((E99="d"),G99," ")</f>
        <v> </v>
      </c>
      <c r="L99" s="334" t="str">
        <f aca="false">IF((E99="e"),G99," ")</f>
        <v> </v>
      </c>
      <c r="M99" s="334" t="str">
        <f aca="false">IF((E99="p"),G99," ")</f>
        <v> </v>
      </c>
      <c r="N99" s="334" t="str">
        <f aca="false">IF((E99="r"),G99," ")</f>
        <v> </v>
      </c>
      <c r="O99" s="334" t="str">
        <f aca="false">IF((E99="g"),G99," ")</f>
        <v> </v>
      </c>
      <c r="P99" s="334" t="str">
        <f aca="false">IF((E99="m"),G99," ")</f>
        <v> </v>
      </c>
      <c r="Q99" s="334" t="str">
        <f aca="false">IF((E99="t"),G99," ")</f>
        <v> </v>
      </c>
      <c r="R99" s="334" t="str">
        <f aca="false">IF((E99="a"),G99," ")</f>
        <v> </v>
      </c>
      <c r="S99" s="334" t="str">
        <f aca="false">IF((E99="l"),G99," ")</f>
        <v> </v>
      </c>
      <c r="T99" s="334" t="str">
        <f aca="false">IF((E99="b"),G99," ")</f>
        <v> </v>
      </c>
      <c r="U99" s="334" t="str">
        <f aca="false">IF((E99="i"),G99," ")</f>
        <v> </v>
      </c>
      <c r="V99" s="334" t="str">
        <f aca="false">IF((E99="o"),G99," ")</f>
        <v> </v>
      </c>
      <c r="W99" s="334" t="str">
        <f aca="false">IF((E99="f"),G99," ")</f>
        <v> </v>
      </c>
    </row>
    <row r="100" customFormat="false" ht="12.75" hidden="false" customHeight="false" outlineLevel="0" collapsed="false">
      <c r="A100" s="355"/>
      <c r="E100" s="365" t="str">
        <f aca="false">IF((G100&lt;&gt;0),"Enter Letter"," ")</f>
        <v> </v>
      </c>
      <c r="H100" s="338" t="str">
        <f aca="false">IF((G100&lt;&gt;0),IF((D100&gt;0)," ",G100)," ")</f>
        <v> </v>
      </c>
      <c r="I100" s="367" t="str">
        <f aca="false">IF((G100&lt;&gt;0),IF((D100&gt;0)," ",(I$1-A100))," ")</f>
        <v> </v>
      </c>
      <c r="J100" s="334" t="str">
        <f aca="false">IF((E100="s"),G100," ")</f>
        <v> </v>
      </c>
      <c r="K100" s="334" t="str">
        <f aca="false">IF((E100="d"),G100," ")</f>
        <v> </v>
      </c>
      <c r="L100" s="334" t="str">
        <f aca="false">IF((E100="e"),G100," ")</f>
        <v> </v>
      </c>
      <c r="M100" s="334" t="str">
        <f aca="false">IF((E100="p"),G100," ")</f>
        <v> </v>
      </c>
      <c r="N100" s="334" t="str">
        <f aca="false">IF((E100="r"),G100," ")</f>
        <v> </v>
      </c>
      <c r="O100" s="334" t="str">
        <f aca="false">IF((E100="g"),G100," ")</f>
        <v> </v>
      </c>
      <c r="P100" s="334" t="str">
        <f aca="false">IF((E100="m"),G100," ")</f>
        <v> </v>
      </c>
      <c r="Q100" s="334" t="str">
        <f aca="false">IF((E100="t"),G100," ")</f>
        <v> </v>
      </c>
      <c r="R100" s="334" t="str">
        <f aca="false">IF((E100="a"),G100," ")</f>
        <v> </v>
      </c>
      <c r="S100" s="334" t="str">
        <f aca="false">IF((E100="l"),G100," ")</f>
        <v> </v>
      </c>
      <c r="T100" s="334" t="str">
        <f aca="false">IF((E100="b"),G100," ")</f>
        <v> </v>
      </c>
      <c r="U100" s="334" t="str">
        <f aca="false">IF((E100="i"),G100," ")</f>
        <v> </v>
      </c>
      <c r="V100" s="334" t="str">
        <f aca="false">IF((E100="o"),G100," ")</f>
        <v> </v>
      </c>
      <c r="W100" s="334" t="str">
        <f aca="false">IF((E100="f"),G100," ")</f>
        <v> </v>
      </c>
    </row>
    <row r="101" customFormat="false" ht="12.75" hidden="false" customHeight="false" outlineLevel="0" collapsed="false">
      <c r="A101" s="355"/>
      <c r="E101" s="365" t="str">
        <f aca="false">IF((G101&lt;&gt;0),"Enter Letter"," ")</f>
        <v> </v>
      </c>
      <c r="H101" s="338" t="str">
        <f aca="false">IF((G101&lt;&gt;0),IF((D101&gt;0)," ",G101)," ")</f>
        <v> </v>
      </c>
      <c r="I101" s="367" t="str">
        <f aca="false">IF((G101&lt;&gt;0),IF((D101&gt;0)," ",(I$1-A101))," ")</f>
        <v> </v>
      </c>
      <c r="J101" s="334" t="str">
        <f aca="false">IF((E101="s"),G101," ")</f>
        <v> </v>
      </c>
      <c r="K101" s="334" t="str">
        <f aca="false">IF((E101="d"),G101," ")</f>
        <v> </v>
      </c>
      <c r="L101" s="334" t="str">
        <f aca="false">IF((E101="e"),G101," ")</f>
        <v> </v>
      </c>
      <c r="M101" s="334" t="str">
        <f aca="false">IF((E101="p"),G101," ")</f>
        <v> </v>
      </c>
      <c r="N101" s="334" t="str">
        <f aca="false">IF((E101="r"),G101," ")</f>
        <v> </v>
      </c>
      <c r="O101" s="334" t="str">
        <f aca="false">IF((E101="g"),G101," ")</f>
        <v> </v>
      </c>
      <c r="P101" s="334" t="str">
        <f aca="false">IF((E101="m"),G101," ")</f>
        <v> </v>
      </c>
      <c r="Q101" s="334" t="str">
        <f aca="false">IF((E101="t"),G101," ")</f>
        <v> </v>
      </c>
      <c r="R101" s="334" t="str">
        <f aca="false">IF((E101="a"),G101," ")</f>
        <v> </v>
      </c>
      <c r="S101" s="334" t="str">
        <f aca="false">IF((E101="l"),G101," ")</f>
        <v> </v>
      </c>
      <c r="T101" s="334" t="str">
        <f aca="false">IF((E101="b"),G101," ")</f>
        <v> </v>
      </c>
      <c r="U101" s="334" t="str">
        <f aca="false">IF((E101="i"),G101," ")</f>
        <v> </v>
      </c>
      <c r="V101" s="334" t="str">
        <f aca="false">IF((E101="o"),G101," ")</f>
        <v> </v>
      </c>
      <c r="W101" s="334" t="str">
        <f aca="false">IF((E101="f"),G101," ")</f>
        <v> </v>
      </c>
    </row>
    <row r="102" customFormat="false" ht="12.75" hidden="false" customHeight="false" outlineLevel="0" collapsed="false">
      <c r="A102" s="355"/>
      <c r="E102" s="365" t="str">
        <f aca="false">IF((G102&lt;&gt;0),"Enter Letter"," ")</f>
        <v> </v>
      </c>
      <c r="H102" s="338" t="str">
        <f aca="false">IF((G102&lt;&gt;0),IF((D102&gt;0)," ",G102)," ")</f>
        <v> </v>
      </c>
      <c r="I102" s="367" t="str">
        <f aca="false">IF((G102&lt;&gt;0),IF((D102&gt;0)," ",(I$1-A102))," ")</f>
        <v> </v>
      </c>
      <c r="J102" s="334" t="str">
        <f aca="false">IF((E102="s"),G102," ")</f>
        <v> </v>
      </c>
      <c r="K102" s="334" t="str">
        <f aca="false">IF((E102="d"),G102," ")</f>
        <v> </v>
      </c>
      <c r="L102" s="334" t="str">
        <f aca="false">IF((E102="e"),G102," ")</f>
        <v> </v>
      </c>
      <c r="M102" s="334" t="str">
        <f aca="false">IF((E102="p"),G102," ")</f>
        <v> </v>
      </c>
      <c r="N102" s="334" t="str">
        <f aca="false">IF((E102="r"),G102," ")</f>
        <v> </v>
      </c>
      <c r="O102" s="334" t="str">
        <f aca="false">IF((E102="g"),G102," ")</f>
        <v> </v>
      </c>
      <c r="P102" s="334" t="str">
        <f aca="false">IF((E102="m"),G102," ")</f>
        <v> </v>
      </c>
      <c r="Q102" s="334" t="str">
        <f aca="false">IF((E102="t"),G102," ")</f>
        <v> </v>
      </c>
      <c r="R102" s="334" t="str">
        <f aca="false">IF((E102="a"),G102," ")</f>
        <v> </v>
      </c>
      <c r="S102" s="334" t="str">
        <f aca="false">IF((E102="l"),G102," ")</f>
        <v> </v>
      </c>
      <c r="T102" s="334" t="str">
        <f aca="false">IF((E102="b"),G102," ")</f>
        <v> </v>
      </c>
      <c r="U102" s="334" t="str">
        <f aca="false">IF((E102="i"),G102," ")</f>
        <v> </v>
      </c>
      <c r="V102" s="334" t="str">
        <f aca="false">IF((E102="o"),G102," ")</f>
        <v> </v>
      </c>
      <c r="W102" s="334" t="str">
        <f aca="false">IF((E102="f"),G102," ")</f>
        <v> </v>
      </c>
    </row>
    <row r="103" customFormat="false" ht="12.75" hidden="false" customHeight="false" outlineLevel="0" collapsed="false">
      <c r="A103" s="355"/>
      <c r="E103" s="365" t="str">
        <f aca="false">IF((G103&lt;&gt;0),"Enter Letter"," ")</f>
        <v> </v>
      </c>
      <c r="H103" s="338" t="str">
        <f aca="false">IF((G103&lt;&gt;0),IF((D103&gt;0)," ",G103)," ")</f>
        <v> </v>
      </c>
      <c r="I103" s="367" t="str">
        <f aca="false">IF((G103&lt;&gt;0),IF((D103&gt;0)," ",(I$1-A103))," ")</f>
        <v> </v>
      </c>
      <c r="J103" s="334" t="str">
        <f aca="false">IF((E103="s"),G103," ")</f>
        <v> </v>
      </c>
      <c r="K103" s="334" t="str">
        <f aca="false">IF((E103="d"),G103," ")</f>
        <v> </v>
      </c>
      <c r="L103" s="334" t="str">
        <f aca="false">IF((E103="e"),G103," ")</f>
        <v> </v>
      </c>
      <c r="M103" s="334" t="str">
        <f aca="false">IF((E103="p"),G103," ")</f>
        <v> </v>
      </c>
      <c r="N103" s="334" t="str">
        <f aca="false">IF((E103="r"),G103," ")</f>
        <v> </v>
      </c>
      <c r="O103" s="334" t="str">
        <f aca="false">IF((E103="g"),G103," ")</f>
        <v> </v>
      </c>
      <c r="P103" s="334" t="str">
        <f aca="false">IF((E103="m"),G103," ")</f>
        <v> </v>
      </c>
      <c r="Q103" s="334" t="str">
        <f aca="false">IF((E103="t"),G103," ")</f>
        <v> </v>
      </c>
      <c r="R103" s="334" t="str">
        <f aca="false">IF((E103="a"),G103," ")</f>
        <v> </v>
      </c>
      <c r="S103" s="334" t="str">
        <f aca="false">IF((E103="l"),G103," ")</f>
        <v> </v>
      </c>
      <c r="T103" s="334" t="str">
        <f aca="false">IF((E103="b"),G103," ")</f>
        <v> </v>
      </c>
      <c r="U103" s="334" t="str">
        <f aca="false">IF((E103="i"),G103," ")</f>
        <v> </v>
      </c>
      <c r="V103" s="334" t="str">
        <f aca="false">IF((E103="o"),G103," ")</f>
        <v> </v>
      </c>
      <c r="W103" s="334" t="str">
        <f aca="false">IF((E103="f"),G103," ")</f>
        <v> </v>
      </c>
    </row>
    <row r="104" customFormat="false" ht="12.75" hidden="false" customHeight="false" outlineLevel="0" collapsed="false">
      <c r="A104" s="355"/>
      <c r="E104" s="365" t="str">
        <f aca="false">IF((G104&lt;&gt;0),"Enter Letter"," ")</f>
        <v> </v>
      </c>
      <c r="H104" s="338" t="str">
        <f aca="false">IF((G104&lt;&gt;0),IF((D104&gt;0)," ",G104)," ")</f>
        <v> </v>
      </c>
      <c r="I104" s="367" t="str">
        <f aca="false">IF((G104&lt;&gt;0),IF((D104&gt;0)," ",(I$1-A104))," ")</f>
        <v> </v>
      </c>
      <c r="J104" s="334" t="str">
        <f aca="false">IF((E104="s"),G104," ")</f>
        <v> </v>
      </c>
      <c r="K104" s="334" t="str">
        <f aca="false">IF((E104="d"),G104," ")</f>
        <v> </v>
      </c>
      <c r="L104" s="334" t="str">
        <f aca="false">IF((E104="e"),G104," ")</f>
        <v> </v>
      </c>
      <c r="M104" s="334" t="str">
        <f aca="false">IF((E104="p"),G104," ")</f>
        <v> </v>
      </c>
      <c r="N104" s="334" t="str">
        <f aca="false">IF((E104="r"),G104," ")</f>
        <v> </v>
      </c>
      <c r="O104" s="334" t="str">
        <f aca="false">IF((E104="g"),G104," ")</f>
        <v> </v>
      </c>
      <c r="P104" s="334" t="str">
        <f aca="false">IF((E104="m"),G104," ")</f>
        <v> </v>
      </c>
      <c r="Q104" s="334" t="str">
        <f aca="false">IF((E104="t"),G104," ")</f>
        <v> </v>
      </c>
      <c r="R104" s="334" t="str">
        <f aca="false">IF((E104="a"),G104," ")</f>
        <v> </v>
      </c>
      <c r="S104" s="334" t="str">
        <f aca="false">IF((E104="l"),G104," ")</f>
        <v> </v>
      </c>
      <c r="T104" s="334" t="str">
        <f aca="false">IF((E104="b"),G104," ")</f>
        <v> </v>
      </c>
      <c r="U104" s="334" t="str">
        <f aca="false">IF((E104="i"),G104," ")</f>
        <v> </v>
      </c>
      <c r="V104" s="334" t="str">
        <f aca="false">IF((E104="o"),G104," ")</f>
        <v> </v>
      </c>
      <c r="W104" s="334" t="str">
        <f aca="false">IF((E104="f"),G104," ")</f>
        <v> </v>
      </c>
    </row>
    <row r="105" customFormat="false" ht="12.75" hidden="false" customHeight="false" outlineLevel="0" collapsed="false">
      <c r="A105" s="355"/>
      <c r="E105" s="365" t="str">
        <f aca="false">IF((G105&lt;&gt;0),"Enter Letter"," ")</f>
        <v> </v>
      </c>
      <c r="H105" s="338" t="str">
        <f aca="false">IF((G105&lt;&gt;0),IF((D105&gt;0)," ",G105)," ")</f>
        <v> </v>
      </c>
      <c r="I105" s="367" t="str">
        <f aca="false">IF((G105&lt;&gt;0),IF((D105&gt;0)," ",(I$1-A105))," ")</f>
        <v> </v>
      </c>
      <c r="J105" s="334" t="str">
        <f aca="false">IF((E105="s"),G105," ")</f>
        <v> </v>
      </c>
      <c r="K105" s="334" t="str">
        <f aca="false">IF((E105="d"),G105," ")</f>
        <v> </v>
      </c>
      <c r="L105" s="334" t="str">
        <f aca="false">IF((E105="e"),G105," ")</f>
        <v> </v>
      </c>
      <c r="M105" s="334" t="str">
        <f aca="false">IF((E105="p"),G105," ")</f>
        <v> </v>
      </c>
      <c r="N105" s="334" t="str">
        <f aca="false">IF((E105="r"),G105," ")</f>
        <v> </v>
      </c>
      <c r="O105" s="334" t="str">
        <f aca="false">IF((E105="g"),G105," ")</f>
        <v> </v>
      </c>
      <c r="P105" s="334" t="str">
        <f aca="false">IF((E105="m"),G105," ")</f>
        <v> </v>
      </c>
      <c r="Q105" s="334" t="str">
        <f aca="false">IF((E105="t"),G105," ")</f>
        <v> </v>
      </c>
      <c r="R105" s="334" t="str">
        <f aca="false">IF((E105="a"),G105," ")</f>
        <v> </v>
      </c>
      <c r="S105" s="334" t="str">
        <f aca="false">IF((E105="l"),G105," ")</f>
        <v> </v>
      </c>
      <c r="T105" s="334" t="str">
        <f aca="false">IF((E105="b"),G105," ")</f>
        <v> </v>
      </c>
      <c r="U105" s="334" t="str">
        <f aca="false">IF((E105="i"),G105," ")</f>
        <v> </v>
      </c>
      <c r="V105" s="334" t="str">
        <f aca="false">IF((E105="o"),G105," ")</f>
        <v> </v>
      </c>
      <c r="W105" s="334" t="str">
        <f aca="false">IF((E105="f"),G105," ")</f>
        <v> </v>
      </c>
    </row>
    <row r="106" customFormat="false" ht="12.75" hidden="false" customHeight="false" outlineLevel="0" collapsed="false">
      <c r="A106" s="355"/>
      <c r="E106" s="365" t="str">
        <f aca="false">IF((G106&lt;&gt;0),"Enter Letter"," ")</f>
        <v> </v>
      </c>
      <c r="H106" s="338" t="str">
        <f aca="false">IF((G106&lt;&gt;0),IF((D106&gt;0)," ",G106)," ")</f>
        <v> </v>
      </c>
      <c r="I106" s="367" t="str">
        <f aca="false">IF((G106&lt;&gt;0),IF((D106&gt;0)," ",(I$1-A106))," ")</f>
        <v> </v>
      </c>
      <c r="J106" s="334" t="str">
        <f aca="false">IF((E106="s"),G106," ")</f>
        <v> </v>
      </c>
      <c r="K106" s="334" t="str">
        <f aca="false">IF((E106="d"),G106," ")</f>
        <v> </v>
      </c>
      <c r="L106" s="334" t="str">
        <f aca="false">IF((E106="e"),G106," ")</f>
        <v> </v>
      </c>
      <c r="M106" s="334" t="str">
        <f aca="false">IF((E106="p"),G106," ")</f>
        <v> </v>
      </c>
      <c r="N106" s="334" t="str">
        <f aca="false">IF((E106="r"),G106," ")</f>
        <v> </v>
      </c>
      <c r="O106" s="334" t="str">
        <f aca="false">IF((E106="g"),G106," ")</f>
        <v> </v>
      </c>
      <c r="P106" s="334" t="str">
        <f aca="false">IF((E106="m"),G106," ")</f>
        <v> </v>
      </c>
      <c r="Q106" s="334" t="str">
        <f aca="false">IF((E106="t"),G106," ")</f>
        <v> </v>
      </c>
      <c r="R106" s="334" t="str">
        <f aca="false">IF((E106="a"),G106," ")</f>
        <v> </v>
      </c>
      <c r="S106" s="334" t="str">
        <f aca="false">IF((E106="l"),G106," ")</f>
        <v> </v>
      </c>
      <c r="T106" s="334" t="str">
        <f aca="false">IF((E106="b"),G106," ")</f>
        <v> </v>
      </c>
      <c r="U106" s="334" t="str">
        <f aca="false">IF((E106="i"),G106," ")</f>
        <v> </v>
      </c>
      <c r="V106" s="334" t="str">
        <f aca="false">IF((E106="o"),G106," ")</f>
        <v> </v>
      </c>
      <c r="W106" s="334" t="str">
        <f aca="false">IF((E106="f"),G106," ")</f>
        <v> </v>
      </c>
    </row>
    <row r="107" customFormat="false" ht="12.75" hidden="false" customHeight="false" outlineLevel="0" collapsed="false">
      <c r="A107" s="355"/>
      <c r="E107" s="365" t="str">
        <f aca="false">IF((G107&lt;&gt;0),"Enter Letter"," ")</f>
        <v> </v>
      </c>
      <c r="H107" s="338" t="str">
        <f aca="false">IF((G107&lt;&gt;0),IF((D107&gt;0)," ",G107)," ")</f>
        <v> </v>
      </c>
      <c r="I107" s="367" t="str">
        <f aca="false">IF((G107&lt;&gt;0),IF((D107&gt;0)," ",(I$1-A107))," ")</f>
        <v> </v>
      </c>
      <c r="J107" s="334" t="str">
        <f aca="false">IF((E107="s"),G107," ")</f>
        <v> </v>
      </c>
      <c r="K107" s="334" t="str">
        <f aca="false">IF((E107="d"),G107," ")</f>
        <v> </v>
      </c>
      <c r="L107" s="334" t="str">
        <f aca="false">IF((E107="e"),G107," ")</f>
        <v> </v>
      </c>
      <c r="M107" s="334" t="str">
        <f aca="false">IF((E107="p"),G107," ")</f>
        <v> </v>
      </c>
      <c r="N107" s="334" t="str">
        <f aca="false">IF((E107="r"),G107," ")</f>
        <v> </v>
      </c>
      <c r="O107" s="334" t="str">
        <f aca="false">IF((E107="g"),G107," ")</f>
        <v> </v>
      </c>
      <c r="P107" s="334" t="str">
        <f aca="false">IF((E107="m"),G107," ")</f>
        <v> </v>
      </c>
      <c r="Q107" s="334" t="str">
        <f aca="false">IF((E107="t"),G107," ")</f>
        <v> </v>
      </c>
      <c r="R107" s="334" t="str">
        <f aca="false">IF((E107="a"),G107," ")</f>
        <v> </v>
      </c>
      <c r="S107" s="334" t="str">
        <f aca="false">IF((E107="l"),G107," ")</f>
        <v> </v>
      </c>
      <c r="T107" s="334" t="str">
        <f aca="false">IF((E107="b"),G107," ")</f>
        <v> </v>
      </c>
      <c r="U107" s="334" t="str">
        <f aca="false">IF((E107="i"),G107," ")</f>
        <v> </v>
      </c>
      <c r="V107" s="334" t="str">
        <f aca="false">IF((E107="o"),G107," ")</f>
        <v> </v>
      </c>
      <c r="W107" s="334" t="str">
        <f aca="false">IF((E107="f"),G107," ")</f>
        <v> </v>
      </c>
    </row>
    <row r="108" customFormat="false" ht="12.75" hidden="false" customHeight="false" outlineLevel="0" collapsed="false">
      <c r="A108" s="355"/>
      <c r="E108" s="365" t="str">
        <f aca="false">IF((G108&lt;&gt;0),"Enter Letter"," ")</f>
        <v> </v>
      </c>
      <c r="H108" s="338" t="str">
        <f aca="false">IF((G108&lt;&gt;0),IF((D108&gt;0)," ",G108)," ")</f>
        <v> </v>
      </c>
      <c r="I108" s="367" t="str">
        <f aca="false">IF((G108&lt;&gt;0),IF((D108&gt;0)," ",(I$1-A108))," ")</f>
        <v> </v>
      </c>
      <c r="J108" s="334" t="str">
        <f aca="false">IF((E108="s"),G108," ")</f>
        <v> </v>
      </c>
      <c r="K108" s="334" t="str">
        <f aca="false">IF((E108="d"),G108," ")</f>
        <v> </v>
      </c>
      <c r="L108" s="334" t="str">
        <f aca="false">IF((E108="e"),G108," ")</f>
        <v> </v>
      </c>
      <c r="M108" s="334" t="str">
        <f aca="false">IF((E108="p"),G108," ")</f>
        <v> </v>
      </c>
      <c r="N108" s="334" t="str">
        <f aca="false">IF((E108="r"),G108," ")</f>
        <v> </v>
      </c>
      <c r="O108" s="334" t="str">
        <f aca="false">IF((E108="g"),G108," ")</f>
        <v> </v>
      </c>
      <c r="P108" s="334" t="str">
        <f aca="false">IF((E108="m"),G108," ")</f>
        <v> </v>
      </c>
      <c r="Q108" s="334" t="str">
        <f aca="false">IF((E108="t"),G108," ")</f>
        <v> </v>
      </c>
      <c r="R108" s="334" t="str">
        <f aca="false">IF((E108="a"),G108," ")</f>
        <v> </v>
      </c>
      <c r="S108" s="334" t="str">
        <f aca="false">IF((E108="l"),G108," ")</f>
        <v> </v>
      </c>
      <c r="T108" s="334" t="str">
        <f aca="false">IF((E108="b"),G108," ")</f>
        <v> </v>
      </c>
      <c r="U108" s="334" t="str">
        <f aca="false">IF((E108="i"),G108," ")</f>
        <v> </v>
      </c>
      <c r="V108" s="334" t="str">
        <f aca="false">IF((E108="o"),G108," ")</f>
        <v> </v>
      </c>
      <c r="W108" s="334" t="str">
        <f aca="false">IF((E108="f"),G108," ")</f>
        <v> </v>
      </c>
    </row>
    <row r="109" customFormat="false" ht="12.75" hidden="false" customHeight="false" outlineLevel="0" collapsed="false">
      <c r="A109" s="355"/>
      <c r="E109" s="365" t="str">
        <f aca="false">IF((G109&lt;&gt;0),"Enter Letter"," ")</f>
        <v> </v>
      </c>
      <c r="H109" s="338" t="str">
        <f aca="false">IF((G109&lt;&gt;0),IF((D109&gt;0)," ",G109)," ")</f>
        <v> </v>
      </c>
      <c r="I109" s="367" t="str">
        <f aca="false">IF((G109&lt;&gt;0),IF((D109&gt;0)," ",(I$1-A109))," ")</f>
        <v> </v>
      </c>
      <c r="J109" s="334" t="str">
        <f aca="false">IF((E109="s"),G109," ")</f>
        <v> </v>
      </c>
      <c r="K109" s="334" t="str">
        <f aca="false">IF((E109="d"),G109," ")</f>
        <v> </v>
      </c>
      <c r="L109" s="334" t="str">
        <f aca="false">IF((E109="e"),G109," ")</f>
        <v> </v>
      </c>
      <c r="M109" s="334" t="str">
        <f aca="false">IF((E109="p"),G109," ")</f>
        <v> </v>
      </c>
      <c r="N109" s="334" t="str">
        <f aca="false">IF((E109="r"),G109," ")</f>
        <v> </v>
      </c>
      <c r="O109" s="334" t="str">
        <f aca="false">IF((E109="g"),G109," ")</f>
        <v> </v>
      </c>
      <c r="P109" s="334" t="str">
        <f aca="false">IF((E109="m"),G109," ")</f>
        <v> </v>
      </c>
      <c r="Q109" s="334" t="str">
        <f aca="false">IF((E109="t"),G109," ")</f>
        <v> </v>
      </c>
      <c r="R109" s="334" t="str">
        <f aca="false">IF((E109="a"),G109," ")</f>
        <v> </v>
      </c>
      <c r="S109" s="334" t="str">
        <f aca="false">IF((E109="l"),G109," ")</f>
        <v> </v>
      </c>
      <c r="T109" s="334" t="str">
        <f aca="false">IF((E109="b"),G109," ")</f>
        <v> </v>
      </c>
      <c r="U109" s="334" t="str">
        <f aca="false">IF((E109="i"),G109," ")</f>
        <v> </v>
      </c>
      <c r="V109" s="334" t="str">
        <f aca="false">IF((E109="o"),G109," ")</f>
        <v> </v>
      </c>
      <c r="W109" s="334" t="str">
        <f aca="false">IF((E109="f"),G109," ")</f>
        <v> </v>
      </c>
    </row>
    <row r="110" customFormat="false" ht="12.75" hidden="false" customHeight="false" outlineLevel="0" collapsed="false">
      <c r="A110" s="355"/>
      <c r="E110" s="365" t="str">
        <f aca="false">IF((G110&lt;&gt;0),"Enter Letter"," ")</f>
        <v> </v>
      </c>
      <c r="H110" s="338" t="str">
        <f aca="false">IF((G110&lt;&gt;0),IF((D110&gt;0)," ",G110)," ")</f>
        <v> </v>
      </c>
      <c r="I110" s="367" t="str">
        <f aca="false">IF((G110&lt;&gt;0),IF((D110&gt;0)," ",(I$1-A110))," ")</f>
        <v> </v>
      </c>
      <c r="J110" s="334" t="str">
        <f aca="false">IF((E110="s"),G110," ")</f>
        <v> </v>
      </c>
      <c r="K110" s="334" t="str">
        <f aca="false">IF((E110="d"),G110," ")</f>
        <v> </v>
      </c>
      <c r="L110" s="334" t="str">
        <f aca="false">IF((E110="e"),G110," ")</f>
        <v> </v>
      </c>
      <c r="M110" s="334" t="str">
        <f aca="false">IF((E110="p"),G110," ")</f>
        <v> </v>
      </c>
      <c r="N110" s="334" t="str">
        <f aca="false">IF((E110="r"),G110," ")</f>
        <v> </v>
      </c>
      <c r="O110" s="334" t="str">
        <f aca="false">IF((E110="g"),G110," ")</f>
        <v> </v>
      </c>
      <c r="P110" s="334" t="str">
        <f aca="false">IF((E110="m"),G110," ")</f>
        <v> </v>
      </c>
      <c r="Q110" s="334" t="str">
        <f aca="false">IF((E110="t"),G110," ")</f>
        <v> </v>
      </c>
      <c r="R110" s="334" t="str">
        <f aca="false">IF((E110="a"),G110," ")</f>
        <v> </v>
      </c>
      <c r="S110" s="334" t="str">
        <f aca="false">IF((E110="l"),G110," ")</f>
        <v> </v>
      </c>
      <c r="T110" s="334" t="str">
        <f aca="false">IF((E110="b"),G110," ")</f>
        <v> </v>
      </c>
      <c r="U110" s="334" t="str">
        <f aca="false">IF((E110="i"),G110," ")</f>
        <v> </v>
      </c>
      <c r="V110" s="334" t="str">
        <f aca="false">IF((E110="o"),G110," ")</f>
        <v> </v>
      </c>
      <c r="W110" s="334" t="str">
        <f aca="false">IF((E110="f"),G110," ")</f>
        <v> </v>
      </c>
    </row>
    <row r="111" customFormat="false" ht="12.75" hidden="false" customHeight="false" outlineLevel="0" collapsed="false">
      <c r="A111" s="355"/>
      <c r="E111" s="365" t="str">
        <f aca="false">IF((G111&lt;&gt;0),"Enter Letter"," ")</f>
        <v> </v>
      </c>
      <c r="H111" s="338" t="str">
        <f aca="false">IF((G111&lt;&gt;0),IF((D111&gt;0)," ",G111)," ")</f>
        <v> </v>
      </c>
      <c r="I111" s="367" t="str">
        <f aca="false">IF((G111&lt;&gt;0),IF((D111&gt;0)," ",(I$1-A111))," ")</f>
        <v> </v>
      </c>
      <c r="J111" s="334" t="str">
        <f aca="false">IF((E111="s"),G111," ")</f>
        <v> </v>
      </c>
      <c r="K111" s="334" t="str">
        <f aca="false">IF((E111="d"),G111," ")</f>
        <v> </v>
      </c>
      <c r="L111" s="334" t="str">
        <f aca="false">IF((E111="e"),G111," ")</f>
        <v> </v>
      </c>
      <c r="M111" s="334" t="str">
        <f aca="false">IF((E111="p"),G111," ")</f>
        <v> </v>
      </c>
      <c r="N111" s="334" t="str">
        <f aca="false">IF((E111="r"),G111," ")</f>
        <v> </v>
      </c>
      <c r="O111" s="334" t="str">
        <f aca="false">IF((E111="g"),G111," ")</f>
        <v> </v>
      </c>
      <c r="P111" s="334" t="str">
        <f aca="false">IF((E111="m"),G111," ")</f>
        <v> </v>
      </c>
      <c r="Q111" s="334" t="str">
        <f aca="false">IF((E111="t"),G111," ")</f>
        <v> </v>
      </c>
      <c r="R111" s="334" t="str">
        <f aca="false">IF((E111="a"),G111," ")</f>
        <v> </v>
      </c>
      <c r="S111" s="334" t="str">
        <f aca="false">IF((E111="l"),G111," ")</f>
        <v> </v>
      </c>
      <c r="T111" s="334" t="str">
        <f aca="false">IF((E111="b"),G111," ")</f>
        <v> </v>
      </c>
      <c r="U111" s="334" t="str">
        <f aca="false">IF((E111="i"),G111," ")</f>
        <v> </v>
      </c>
      <c r="V111" s="334" t="str">
        <f aca="false">IF((E111="o"),G111," ")</f>
        <v> </v>
      </c>
      <c r="W111" s="334" t="str">
        <f aca="false">IF((E111="f"),G111," ")</f>
        <v> </v>
      </c>
    </row>
    <row r="112" customFormat="false" ht="12.75" hidden="false" customHeight="false" outlineLevel="0" collapsed="false">
      <c r="A112" s="355"/>
      <c r="E112" s="365" t="str">
        <f aca="false">IF((G112&lt;&gt;0),"Enter Letter"," ")</f>
        <v> </v>
      </c>
      <c r="H112" s="338" t="str">
        <f aca="false">IF((G112&lt;&gt;0),IF((D112&gt;0)," ",G112)," ")</f>
        <v> </v>
      </c>
      <c r="I112" s="367" t="str">
        <f aca="false">IF((G112&lt;&gt;0),IF((D112&gt;0)," ",(I$1-A112))," ")</f>
        <v> </v>
      </c>
      <c r="J112" s="334" t="str">
        <f aca="false">IF((E112="s"),G112," ")</f>
        <v> </v>
      </c>
      <c r="K112" s="334" t="str">
        <f aca="false">IF((E112="d"),G112," ")</f>
        <v> </v>
      </c>
      <c r="L112" s="334" t="str">
        <f aca="false">IF((E112="e"),G112," ")</f>
        <v> </v>
      </c>
      <c r="M112" s="334" t="str">
        <f aca="false">IF((E112="p"),G112," ")</f>
        <v> </v>
      </c>
      <c r="N112" s="334" t="str">
        <f aca="false">IF((E112="r"),G112," ")</f>
        <v> </v>
      </c>
      <c r="O112" s="334" t="str">
        <f aca="false">IF((E112="g"),G112," ")</f>
        <v> </v>
      </c>
      <c r="P112" s="334" t="str">
        <f aca="false">IF((E112="m"),G112," ")</f>
        <v> </v>
      </c>
      <c r="Q112" s="334" t="str">
        <f aca="false">IF((E112="t"),G112," ")</f>
        <v> </v>
      </c>
      <c r="R112" s="334" t="str">
        <f aca="false">IF((E112="a"),G112," ")</f>
        <v> </v>
      </c>
      <c r="S112" s="334" t="str">
        <f aca="false">IF((E112="l"),G112," ")</f>
        <v> </v>
      </c>
      <c r="T112" s="334" t="str">
        <f aca="false">IF((E112="b"),G112," ")</f>
        <v> </v>
      </c>
      <c r="U112" s="334" t="str">
        <f aca="false">IF((E112="i"),G112," ")</f>
        <v> </v>
      </c>
      <c r="V112" s="334" t="str">
        <f aca="false">IF((E112="o"),G112," ")</f>
        <v> </v>
      </c>
      <c r="W112" s="334" t="str">
        <f aca="false">IF((E112="f"),G112," ")</f>
        <v> </v>
      </c>
    </row>
    <row r="113" customFormat="false" ht="12.75" hidden="false" customHeight="false" outlineLevel="0" collapsed="false">
      <c r="A113" s="355"/>
      <c r="E113" s="365" t="str">
        <f aca="false">IF((G113&lt;&gt;0),"Enter Letter"," ")</f>
        <v> </v>
      </c>
      <c r="H113" s="338" t="str">
        <f aca="false">IF((G113&lt;&gt;0),IF((D113&gt;0)," ",G113)," ")</f>
        <v> </v>
      </c>
      <c r="I113" s="367" t="str">
        <f aca="false">IF((G113&lt;&gt;0),IF((D113&gt;0)," ",(I$1-A113))," ")</f>
        <v> </v>
      </c>
      <c r="J113" s="334" t="str">
        <f aca="false">IF((E113="s"),G113," ")</f>
        <v> </v>
      </c>
      <c r="K113" s="334" t="str">
        <f aca="false">IF((E113="d"),G113," ")</f>
        <v> </v>
      </c>
      <c r="L113" s="334" t="str">
        <f aca="false">IF((E113="e"),G113," ")</f>
        <v> </v>
      </c>
      <c r="M113" s="334" t="str">
        <f aca="false">IF((E113="p"),G113," ")</f>
        <v> </v>
      </c>
      <c r="N113" s="334" t="str">
        <f aca="false">IF((E113="r"),G113," ")</f>
        <v> </v>
      </c>
      <c r="O113" s="334" t="str">
        <f aca="false">IF((E113="g"),G113," ")</f>
        <v> </v>
      </c>
      <c r="P113" s="334" t="str">
        <f aca="false">IF((E113="m"),G113," ")</f>
        <v> </v>
      </c>
      <c r="Q113" s="334" t="str">
        <f aca="false">IF((E113="t"),G113," ")</f>
        <v> </v>
      </c>
      <c r="R113" s="334" t="str">
        <f aca="false">IF((E113="a"),G113," ")</f>
        <v> </v>
      </c>
      <c r="S113" s="334" t="str">
        <f aca="false">IF((E113="l"),G113," ")</f>
        <v> </v>
      </c>
      <c r="T113" s="334" t="str">
        <f aca="false">IF((E113="b"),G113," ")</f>
        <v> </v>
      </c>
      <c r="U113" s="334" t="str">
        <f aca="false">IF((E113="i"),G113," ")</f>
        <v> </v>
      </c>
      <c r="V113" s="334" t="str">
        <f aca="false">IF((E113="o"),G113," ")</f>
        <v> </v>
      </c>
      <c r="W113" s="334" t="str">
        <f aca="false">IF((E113="f"),G113," ")</f>
        <v> </v>
      </c>
    </row>
    <row r="114" customFormat="false" ht="12.75" hidden="false" customHeight="false" outlineLevel="0" collapsed="false">
      <c r="A114" s="355"/>
      <c r="E114" s="365" t="str">
        <f aca="false">IF((G114&lt;&gt;0),"Enter Letter"," ")</f>
        <v> </v>
      </c>
      <c r="H114" s="338" t="str">
        <f aca="false">IF((G114&lt;&gt;0),IF((D114&gt;0)," ",G114)," ")</f>
        <v> </v>
      </c>
      <c r="I114" s="367" t="str">
        <f aca="false">IF((G114&lt;&gt;0),IF((D114&gt;0)," ",(I$1-A114))," ")</f>
        <v> </v>
      </c>
      <c r="J114" s="334" t="str">
        <f aca="false">IF((E114="s"),G114," ")</f>
        <v> </v>
      </c>
      <c r="K114" s="334" t="str">
        <f aca="false">IF((E114="d"),G114," ")</f>
        <v> </v>
      </c>
      <c r="L114" s="334" t="str">
        <f aca="false">IF((E114="e"),G114," ")</f>
        <v> </v>
      </c>
      <c r="M114" s="334" t="str">
        <f aca="false">IF((E114="p"),G114," ")</f>
        <v> </v>
      </c>
      <c r="N114" s="334" t="str">
        <f aca="false">IF((E114="r"),G114," ")</f>
        <v> </v>
      </c>
      <c r="O114" s="334" t="str">
        <f aca="false">IF((E114="g"),G114," ")</f>
        <v> </v>
      </c>
      <c r="P114" s="334" t="str">
        <f aca="false">IF((E114="m"),G114," ")</f>
        <v> </v>
      </c>
      <c r="Q114" s="334" t="str">
        <f aca="false">IF((E114="t"),G114," ")</f>
        <v> </v>
      </c>
      <c r="R114" s="334" t="str">
        <f aca="false">IF((E114="a"),G114," ")</f>
        <v> </v>
      </c>
      <c r="S114" s="334" t="str">
        <f aca="false">IF((E114="l"),G114," ")</f>
        <v> </v>
      </c>
      <c r="T114" s="334" t="str">
        <f aca="false">IF((E114="b"),G114," ")</f>
        <v> </v>
      </c>
      <c r="U114" s="334" t="str">
        <f aca="false">IF((E114="i"),G114," ")</f>
        <v> </v>
      </c>
      <c r="V114" s="334" t="str">
        <f aca="false">IF((E114="o"),G114," ")</f>
        <v> </v>
      </c>
      <c r="W114" s="334" t="str">
        <f aca="false">IF((E114="f"),G114," ")</f>
        <v> </v>
      </c>
    </row>
    <row r="115" customFormat="false" ht="12.75" hidden="false" customHeight="false" outlineLevel="0" collapsed="false">
      <c r="A115" s="355"/>
      <c r="E115" s="365" t="str">
        <f aca="false">IF((G115&lt;&gt;0),"Enter Letter"," ")</f>
        <v> </v>
      </c>
      <c r="H115" s="338" t="str">
        <f aca="false">IF((G115&lt;&gt;0),IF((D115&gt;0)," ",G115)," ")</f>
        <v> </v>
      </c>
      <c r="I115" s="367" t="str">
        <f aca="false">IF((G115&lt;&gt;0),IF((D115&gt;0)," ",(I$1-A115))," ")</f>
        <v> </v>
      </c>
      <c r="J115" s="334" t="str">
        <f aca="false">IF((E115="s"),G115," ")</f>
        <v> </v>
      </c>
      <c r="K115" s="334" t="str">
        <f aca="false">IF((E115="d"),G115," ")</f>
        <v> </v>
      </c>
      <c r="L115" s="334" t="str">
        <f aca="false">IF((E115="e"),G115," ")</f>
        <v> </v>
      </c>
      <c r="M115" s="334" t="str">
        <f aca="false">IF((E115="p"),G115," ")</f>
        <v> </v>
      </c>
      <c r="N115" s="334" t="str">
        <f aca="false">IF((E115="r"),G115," ")</f>
        <v> </v>
      </c>
      <c r="O115" s="334" t="str">
        <f aca="false">IF((E115="g"),G115," ")</f>
        <v> </v>
      </c>
      <c r="P115" s="334" t="str">
        <f aca="false">IF((E115="m"),G115," ")</f>
        <v> </v>
      </c>
      <c r="Q115" s="334" t="str">
        <f aca="false">IF((E115="t"),G115," ")</f>
        <v> </v>
      </c>
      <c r="R115" s="334" t="str">
        <f aca="false">IF((E115="a"),G115," ")</f>
        <v> </v>
      </c>
      <c r="S115" s="334" t="str">
        <f aca="false">IF((E115="l"),G115," ")</f>
        <v> </v>
      </c>
      <c r="T115" s="334" t="str">
        <f aca="false">IF((E115="b"),G115," ")</f>
        <v> </v>
      </c>
      <c r="U115" s="334" t="str">
        <f aca="false">IF((E115="i"),G115," ")</f>
        <v> </v>
      </c>
      <c r="V115" s="334" t="str">
        <f aca="false">IF((E115="o"),G115," ")</f>
        <v> </v>
      </c>
      <c r="W115" s="334" t="str">
        <f aca="false">IF((E115="f"),G115," ")</f>
        <v> </v>
      </c>
    </row>
    <row r="116" customFormat="false" ht="12.75" hidden="false" customHeight="false" outlineLevel="0" collapsed="false">
      <c r="A116" s="355"/>
      <c r="E116" s="365" t="str">
        <f aca="false">IF((G116&lt;&gt;0),"Enter Letter"," ")</f>
        <v> </v>
      </c>
      <c r="H116" s="338" t="str">
        <f aca="false">IF((G116&lt;&gt;0),IF((D116&gt;0)," ",G116)," ")</f>
        <v> </v>
      </c>
      <c r="I116" s="367" t="str">
        <f aca="false">IF((G116&lt;&gt;0),IF((D116&gt;0)," ",(I$1-A116))," ")</f>
        <v> </v>
      </c>
      <c r="J116" s="334" t="str">
        <f aca="false">IF((E116="s"),G116," ")</f>
        <v> </v>
      </c>
      <c r="K116" s="334" t="str">
        <f aca="false">IF((E116="d"),G116," ")</f>
        <v> </v>
      </c>
      <c r="L116" s="334" t="str">
        <f aca="false">IF((E116="e"),G116," ")</f>
        <v> </v>
      </c>
      <c r="M116" s="334" t="str">
        <f aca="false">IF((E116="p"),G116," ")</f>
        <v> </v>
      </c>
      <c r="N116" s="334" t="str">
        <f aca="false">IF((E116="r"),G116," ")</f>
        <v> </v>
      </c>
      <c r="O116" s="334" t="str">
        <f aca="false">IF((E116="g"),G116," ")</f>
        <v> </v>
      </c>
      <c r="P116" s="334" t="str">
        <f aca="false">IF((E116="m"),G116," ")</f>
        <v> </v>
      </c>
      <c r="Q116" s="334" t="str">
        <f aca="false">IF((E116="t"),G116," ")</f>
        <v> </v>
      </c>
      <c r="R116" s="334" t="str">
        <f aca="false">IF((E116="a"),G116," ")</f>
        <v> </v>
      </c>
      <c r="S116" s="334" t="str">
        <f aca="false">IF((E116="l"),G116," ")</f>
        <v> </v>
      </c>
      <c r="T116" s="334" t="str">
        <f aca="false">IF((E116="b"),G116," ")</f>
        <v> </v>
      </c>
      <c r="U116" s="334" t="str">
        <f aca="false">IF((E116="i"),G116," ")</f>
        <v> </v>
      </c>
      <c r="V116" s="334" t="str">
        <f aca="false">IF((E116="o"),G116," ")</f>
        <v> </v>
      </c>
      <c r="W116" s="334" t="str">
        <f aca="false">IF((E116="f"),G116," ")</f>
        <v> </v>
      </c>
    </row>
    <row r="117" customFormat="false" ht="12.75" hidden="false" customHeight="false" outlineLevel="0" collapsed="false">
      <c r="A117" s="355"/>
      <c r="E117" s="365" t="str">
        <f aca="false">IF((G117&lt;&gt;0),"Enter Letter"," ")</f>
        <v> </v>
      </c>
      <c r="H117" s="338" t="str">
        <f aca="false">IF((G117&lt;&gt;0),IF((D117&gt;0)," ",G117)," ")</f>
        <v> </v>
      </c>
      <c r="I117" s="367" t="str">
        <f aca="false">IF((G117&lt;&gt;0),IF((D117&gt;0)," ",(I$1-A117))," ")</f>
        <v> </v>
      </c>
      <c r="J117" s="334" t="str">
        <f aca="false">IF((E117="s"),G117," ")</f>
        <v> </v>
      </c>
      <c r="K117" s="334" t="str">
        <f aca="false">IF((E117="d"),G117," ")</f>
        <v> </v>
      </c>
      <c r="L117" s="334" t="str">
        <f aca="false">IF((E117="e"),G117," ")</f>
        <v> </v>
      </c>
      <c r="M117" s="334" t="str">
        <f aca="false">IF((E117="p"),G117," ")</f>
        <v> </v>
      </c>
      <c r="N117" s="334" t="str">
        <f aca="false">IF((E117="r"),G117," ")</f>
        <v> </v>
      </c>
      <c r="O117" s="334" t="str">
        <f aca="false">IF((E117="g"),G117," ")</f>
        <v> </v>
      </c>
      <c r="P117" s="334" t="str">
        <f aca="false">IF((E117="m"),G117," ")</f>
        <v> </v>
      </c>
      <c r="Q117" s="334" t="str">
        <f aca="false">IF((E117="t"),G117," ")</f>
        <v> </v>
      </c>
      <c r="R117" s="334" t="str">
        <f aca="false">IF((E117="a"),G117," ")</f>
        <v> </v>
      </c>
      <c r="S117" s="334" t="str">
        <f aca="false">IF((E117="l"),G117," ")</f>
        <v> </v>
      </c>
      <c r="T117" s="334" t="str">
        <f aca="false">IF((E117="b"),G117," ")</f>
        <v> </v>
      </c>
      <c r="U117" s="334" t="str">
        <f aca="false">IF((E117="i"),G117," ")</f>
        <v> </v>
      </c>
      <c r="V117" s="334" t="str">
        <f aca="false">IF((E117="o"),G117," ")</f>
        <v> </v>
      </c>
      <c r="W117" s="334" t="str">
        <f aca="false">IF((E117="f"),G117," ")</f>
        <v> </v>
      </c>
    </row>
    <row r="118" customFormat="false" ht="12.75" hidden="false" customHeight="false" outlineLevel="0" collapsed="false">
      <c r="A118" s="355"/>
      <c r="E118" s="365" t="str">
        <f aca="false">IF((G118&lt;&gt;0),"Enter Letter"," ")</f>
        <v> </v>
      </c>
      <c r="H118" s="338" t="str">
        <f aca="false">IF((G118&lt;&gt;0),IF((D118&gt;0)," ",G118)," ")</f>
        <v> </v>
      </c>
      <c r="I118" s="367" t="str">
        <f aca="false">IF((G118&lt;&gt;0),IF((D118&gt;0)," ",(I$1-A118))," ")</f>
        <v> </v>
      </c>
      <c r="J118" s="334" t="str">
        <f aca="false">IF((E118="s"),G118," ")</f>
        <v> </v>
      </c>
      <c r="K118" s="334" t="str">
        <f aca="false">IF((E118="d"),G118," ")</f>
        <v> </v>
      </c>
      <c r="L118" s="334" t="str">
        <f aca="false">IF((E118="e"),G118," ")</f>
        <v> </v>
      </c>
      <c r="M118" s="334" t="str">
        <f aca="false">IF((E118="p"),G118," ")</f>
        <v> </v>
      </c>
      <c r="N118" s="334" t="str">
        <f aca="false">IF((E118="r"),G118," ")</f>
        <v> </v>
      </c>
      <c r="O118" s="334" t="str">
        <f aca="false">IF((E118="g"),G118," ")</f>
        <v> </v>
      </c>
      <c r="P118" s="334" t="str">
        <f aca="false">IF((E118="m"),G118," ")</f>
        <v> </v>
      </c>
      <c r="Q118" s="334" t="str">
        <f aca="false">IF((E118="t"),G118," ")</f>
        <v> </v>
      </c>
      <c r="R118" s="334" t="str">
        <f aca="false">IF((E118="a"),G118," ")</f>
        <v> </v>
      </c>
      <c r="S118" s="334" t="str">
        <f aca="false">IF((E118="l"),G118," ")</f>
        <v> </v>
      </c>
      <c r="T118" s="334" t="str">
        <f aca="false">IF((E118="b"),G118," ")</f>
        <v> </v>
      </c>
      <c r="U118" s="334" t="str">
        <f aca="false">IF((E118="i"),G118," ")</f>
        <v> </v>
      </c>
      <c r="V118" s="334" t="str">
        <f aca="false">IF((E118="o"),G118," ")</f>
        <v> </v>
      </c>
      <c r="W118" s="334" t="str">
        <f aca="false">IF((E118="f"),G118," ")</f>
        <v> </v>
      </c>
    </row>
    <row r="119" customFormat="false" ht="12.75" hidden="false" customHeight="false" outlineLevel="0" collapsed="false">
      <c r="A119" s="355"/>
      <c r="E119" s="365" t="str">
        <f aca="false">IF((G119&lt;&gt;0),"Enter Letter"," ")</f>
        <v> </v>
      </c>
      <c r="H119" s="338" t="str">
        <f aca="false">IF((G119&lt;&gt;0),IF((D119&gt;0)," ",G119)," ")</f>
        <v> </v>
      </c>
      <c r="I119" s="367" t="str">
        <f aca="false">IF((G119&lt;&gt;0),IF((D119&gt;0)," ",(I$1-A119))," ")</f>
        <v> </v>
      </c>
      <c r="J119" s="334" t="str">
        <f aca="false">IF((E119="s"),G119," ")</f>
        <v> </v>
      </c>
      <c r="K119" s="334" t="str">
        <f aca="false">IF((E119="d"),G119," ")</f>
        <v> </v>
      </c>
      <c r="L119" s="334" t="str">
        <f aca="false">IF((E119="e"),G119," ")</f>
        <v> </v>
      </c>
      <c r="M119" s="334" t="str">
        <f aca="false">IF((E119="p"),G119," ")</f>
        <v> </v>
      </c>
      <c r="N119" s="334" t="str">
        <f aca="false">IF((E119="r"),G119," ")</f>
        <v> </v>
      </c>
      <c r="O119" s="334" t="str">
        <f aca="false">IF((E119="g"),G119," ")</f>
        <v> </v>
      </c>
      <c r="P119" s="334" t="str">
        <f aca="false">IF((E119="m"),G119," ")</f>
        <v> </v>
      </c>
      <c r="Q119" s="334" t="str">
        <f aca="false">IF((E119="t"),G119," ")</f>
        <v> </v>
      </c>
      <c r="R119" s="334" t="str">
        <f aca="false">IF((E119="a"),G119," ")</f>
        <v> </v>
      </c>
      <c r="S119" s="334" t="str">
        <f aca="false">IF((E119="l"),G119," ")</f>
        <v> </v>
      </c>
      <c r="T119" s="334" t="str">
        <f aca="false">IF((E119="b"),G119," ")</f>
        <v> </v>
      </c>
      <c r="U119" s="334" t="str">
        <f aca="false">IF((E119="i"),G119," ")</f>
        <v> </v>
      </c>
      <c r="V119" s="334" t="str">
        <f aca="false">IF((E119="o"),G119," ")</f>
        <v> </v>
      </c>
      <c r="W119" s="334" t="str">
        <f aca="false">IF((E119="f"),G119," ")</f>
        <v> </v>
      </c>
    </row>
    <row r="120" customFormat="false" ht="12.75" hidden="false" customHeight="false" outlineLevel="0" collapsed="false">
      <c r="A120" s="355"/>
      <c r="E120" s="365" t="str">
        <f aca="false">IF((G120&lt;&gt;0),"Enter Letter"," ")</f>
        <v> </v>
      </c>
      <c r="H120" s="338" t="str">
        <f aca="false">IF((G120&lt;&gt;0),IF((D120&gt;0)," ",G120)," ")</f>
        <v> </v>
      </c>
      <c r="I120" s="367" t="str">
        <f aca="false">IF((G120&lt;&gt;0),IF((D120&gt;0)," ",(I$1-A120))," ")</f>
        <v> </v>
      </c>
      <c r="J120" s="334" t="str">
        <f aca="false">IF((E120="s"),G120," ")</f>
        <v> </v>
      </c>
      <c r="K120" s="334" t="str">
        <f aca="false">IF((E120="d"),G120," ")</f>
        <v> </v>
      </c>
      <c r="L120" s="334" t="str">
        <f aca="false">IF((E120="e"),G120," ")</f>
        <v> </v>
      </c>
      <c r="M120" s="334" t="str">
        <f aca="false">IF((E120="p"),G120," ")</f>
        <v> </v>
      </c>
      <c r="N120" s="334" t="str">
        <f aca="false">IF((E120="r"),G120," ")</f>
        <v> </v>
      </c>
      <c r="O120" s="334" t="str">
        <f aca="false">IF((E120="g"),G120," ")</f>
        <v> </v>
      </c>
      <c r="P120" s="334" t="str">
        <f aca="false">IF((E120="m"),G120," ")</f>
        <v> </v>
      </c>
      <c r="Q120" s="334" t="str">
        <f aca="false">IF((E120="t"),G120," ")</f>
        <v> </v>
      </c>
      <c r="R120" s="334" t="str">
        <f aca="false">IF((E120="a"),G120," ")</f>
        <v> </v>
      </c>
      <c r="S120" s="334" t="str">
        <f aca="false">IF((E120="l"),G120," ")</f>
        <v> </v>
      </c>
      <c r="T120" s="334" t="str">
        <f aca="false">IF((E120="b"),G120," ")</f>
        <v> </v>
      </c>
      <c r="U120" s="334" t="str">
        <f aca="false">IF((E120="i"),G120," ")</f>
        <v> </v>
      </c>
      <c r="V120" s="334" t="str">
        <f aca="false">IF((E120="o"),G120," ")</f>
        <v> </v>
      </c>
      <c r="W120" s="334" t="str">
        <f aca="false">IF((E120="f"),G120," ")</f>
        <v> </v>
      </c>
    </row>
    <row r="121" customFormat="false" ht="12.75" hidden="false" customHeight="false" outlineLevel="0" collapsed="false">
      <c r="A121" s="355"/>
      <c r="E121" s="365" t="str">
        <f aca="false">IF((G121&lt;&gt;0),"Enter Letter"," ")</f>
        <v> </v>
      </c>
      <c r="H121" s="338" t="str">
        <f aca="false">IF((G121&lt;&gt;0),IF((D121&gt;0)," ",G121)," ")</f>
        <v> </v>
      </c>
      <c r="I121" s="367" t="str">
        <f aca="false">IF((G121&lt;&gt;0),IF((D121&gt;0)," ",(I$1-A121))," ")</f>
        <v> </v>
      </c>
      <c r="J121" s="334" t="str">
        <f aca="false">IF((E121="s"),G121," ")</f>
        <v> </v>
      </c>
      <c r="K121" s="334" t="str">
        <f aca="false">IF((E121="d"),G121," ")</f>
        <v> </v>
      </c>
      <c r="L121" s="334" t="str">
        <f aca="false">IF((E121="e"),G121," ")</f>
        <v> </v>
      </c>
      <c r="M121" s="334" t="str">
        <f aca="false">IF((E121="p"),G121," ")</f>
        <v> </v>
      </c>
      <c r="N121" s="334" t="str">
        <f aca="false">IF((E121="r"),G121," ")</f>
        <v> </v>
      </c>
      <c r="O121" s="334" t="str">
        <f aca="false">IF((E121="g"),G121," ")</f>
        <v> </v>
      </c>
      <c r="P121" s="334" t="str">
        <f aca="false">IF((E121="m"),G121," ")</f>
        <v> </v>
      </c>
      <c r="Q121" s="334" t="str">
        <f aca="false">IF((E121="t"),G121," ")</f>
        <v> </v>
      </c>
      <c r="R121" s="334" t="str">
        <f aca="false">IF((E121="a"),G121," ")</f>
        <v> </v>
      </c>
      <c r="S121" s="334" t="str">
        <f aca="false">IF((E121="l"),G121," ")</f>
        <v> </v>
      </c>
      <c r="T121" s="334" t="str">
        <f aca="false">IF((E121="b"),G121," ")</f>
        <v> </v>
      </c>
      <c r="U121" s="334" t="str">
        <f aca="false">IF((E121="i"),G121," ")</f>
        <v> </v>
      </c>
      <c r="V121" s="334" t="str">
        <f aca="false">IF((E121="o"),G121," ")</f>
        <v> </v>
      </c>
      <c r="W121" s="334" t="str">
        <f aca="false">IF((E121="f"),G121," ")</f>
        <v> </v>
      </c>
    </row>
    <row r="122" customFormat="false" ht="12.75" hidden="false" customHeight="false" outlineLevel="0" collapsed="false">
      <c r="A122" s="355"/>
      <c r="E122" s="365" t="str">
        <f aca="false">IF((G122&lt;&gt;0),"Enter Letter"," ")</f>
        <v> </v>
      </c>
      <c r="H122" s="338" t="str">
        <f aca="false">IF((G122&lt;&gt;0),IF((D122&gt;0)," ",G122)," ")</f>
        <v> </v>
      </c>
      <c r="I122" s="367" t="str">
        <f aca="false">IF((G122&lt;&gt;0),IF((D122&gt;0)," ",(I$1-A122))," ")</f>
        <v> </v>
      </c>
      <c r="J122" s="334" t="str">
        <f aca="false">IF((E122="s"),G122," ")</f>
        <v> </v>
      </c>
      <c r="K122" s="334" t="str">
        <f aca="false">IF((E122="d"),G122," ")</f>
        <v> </v>
      </c>
      <c r="L122" s="334" t="str">
        <f aca="false">IF((E122="e"),G122," ")</f>
        <v> </v>
      </c>
      <c r="M122" s="334" t="str">
        <f aca="false">IF((E122="p"),G122," ")</f>
        <v> </v>
      </c>
      <c r="N122" s="334" t="str">
        <f aca="false">IF((E122="r"),G122," ")</f>
        <v> </v>
      </c>
      <c r="O122" s="334" t="str">
        <f aca="false">IF((E122="g"),G122," ")</f>
        <v> </v>
      </c>
      <c r="P122" s="334" t="str">
        <f aca="false">IF((E122="m"),G122," ")</f>
        <v> </v>
      </c>
      <c r="Q122" s="334" t="str">
        <f aca="false">IF((E122="t"),G122," ")</f>
        <v> </v>
      </c>
      <c r="R122" s="334" t="str">
        <f aca="false">IF((E122="a"),G122," ")</f>
        <v> </v>
      </c>
      <c r="S122" s="334" t="str">
        <f aca="false">IF((E122="l"),G122," ")</f>
        <v> </v>
      </c>
      <c r="T122" s="334" t="str">
        <f aca="false">IF((E122="b"),G122," ")</f>
        <v> </v>
      </c>
      <c r="U122" s="334" t="str">
        <f aca="false">IF((E122="i"),G122," ")</f>
        <v> </v>
      </c>
      <c r="V122" s="334" t="str">
        <f aca="false">IF((E122="o"),G122," ")</f>
        <v> </v>
      </c>
      <c r="W122" s="334" t="str">
        <f aca="false">IF((E122="f"),G122," ")</f>
        <v> </v>
      </c>
    </row>
    <row r="123" customFormat="false" ht="12.75" hidden="false" customHeight="false" outlineLevel="0" collapsed="false">
      <c r="A123" s="355"/>
      <c r="E123" s="365" t="str">
        <f aca="false">IF((G123&lt;&gt;0),"Enter Letter"," ")</f>
        <v> </v>
      </c>
      <c r="H123" s="338" t="str">
        <f aca="false">IF((G123&lt;&gt;0),IF((D123&gt;0)," ",G123)," ")</f>
        <v> </v>
      </c>
      <c r="I123" s="367" t="str">
        <f aca="false">IF((G123&lt;&gt;0),IF((D123&gt;0)," ",(I$1-A123))," ")</f>
        <v> </v>
      </c>
      <c r="J123" s="334" t="str">
        <f aca="false">IF((E123="s"),G123," ")</f>
        <v> </v>
      </c>
      <c r="K123" s="334" t="str">
        <f aca="false">IF((E123="d"),G123," ")</f>
        <v> </v>
      </c>
      <c r="L123" s="334" t="str">
        <f aca="false">IF((E123="e"),G123," ")</f>
        <v> </v>
      </c>
      <c r="M123" s="334" t="str">
        <f aca="false">IF((E123="p"),G123," ")</f>
        <v> </v>
      </c>
      <c r="N123" s="334" t="str">
        <f aca="false">IF((E123="r"),G123," ")</f>
        <v> </v>
      </c>
      <c r="O123" s="334" t="str">
        <f aca="false">IF((E123="g"),G123," ")</f>
        <v> </v>
      </c>
      <c r="P123" s="334" t="str">
        <f aca="false">IF((E123="m"),G123," ")</f>
        <v> </v>
      </c>
      <c r="Q123" s="334" t="str">
        <f aca="false">IF((E123="t"),G123," ")</f>
        <v> </v>
      </c>
      <c r="R123" s="334" t="str">
        <f aca="false">IF((E123="a"),G123," ")</f>
        <v> </v>
      </c>
      <c r="S123" s="334" t="str">
        <f aca="false">IF((E123="l"),G123," ")</f>
        <v> </v>
      </c>
      <c r="T123" s="334" t="str">
        <f aca="false">IF((E123="b"),G123," ")</f>
        <v> </v>
      </c>
      <c r="U123" s="334" t="str">
        <f aca="false">IF((E123="i"),G123," ")</f>
        <v> </v>
      </c>
      <c r="V123" s="334" t="str">
        <f aca="false">IF((E123="o"),G123," ")</f>
        <v> </v>
      </c>
      <c r="W123" s="334" t="str">
        <f aca="false">IF((E123="f"),G123," ")</f>
        <v> </v>
      </c>
    </row>
    <row r="124" customFormat="false" ht="12.75" hidden="false" customHeight="false" outlineLevel="0" collapsed="false">
      <c r="A124" s="355"/>
      <c r="E124" s="365" t="str">
        <f aca="false">IF((G124&lt;&gt;0),"Enter Letter"," ")</f>
        <v> </v>
      </c>
      <c r="H124" s="338" t="str">
        <f aca="false">IF((G124&lt;&gt;0),IF((D124&gt;0)," ",G124)," ")</f>
        <v> </v>
      </c>
      <c r="I124" s="367" t="str">
        <f aca="false">IF((G124&lt;&gt;0),IF((D124&gt;0)," ",(I$1-A124))," ")</f>
        <v> </v>
      </c>
      <c r="J124" s="334" t="str">
        <f aca="false">IF((E124="s"),G124," ")</f>
        <v> </v>
      </c>
      <c r="K124" s="334" t="str">
        <f aca="false">IF((E124="d"),G124," ")</f>
        <v> </v>
      </c>
      <c r="L124" s="334" t="str">
        <f aca="false">IF((E124="e"),G124," ")</f>
        <v> </v>
      </c>
      <c r="M124" s="334" t="str">
        <f aca="false">IF((E124="p"),G124," ")</f>
        <v> </v>
      </c>
      <c r="N124" s="334" t="str">
        <f aca="false">IF((E124="r"),G124," ")</f>
        <v> </v>
      </c>
      <c r="O124" s="334" t="str">
        <f aca="false">IF((E124="g"),G124," ")</f>
        <v> </v>
      </c>
      <c r="P124" s="334" t="str">
        <f aca="false">IF((E124="m"),G124," ")</f>
        <v> </v>
      </c>
      <c r="Q124" s="334" t="str">
        <f aca="false">IF((E124="t"),G124," ")</f>
        <v> </v>
      </c>
      <c r="R124" s="334" t="str">
        <f aca="false">IF((E124="a"),G124," ")</f>
        <v> </v>
      </c>
      <c r="S124" s="334" t="str">
        <f aca="false">IF((E124="l"),G124," ")</f>
        <v> </v>
      </c>
      <c r="T124" s="334" t="str">
        <f aca="false">IF((E124="b"),G124," ")</f>
        <v> </v>
      </c>
      <c r="U124" s="334" t="str">
        <f aca="false">IF((E124="i"),G124," ")</f>
        <v> </v>
      </c>
      <c r="V124" s="334" t="str">
        <f aca="false">IF((E124="o"),G124," ")</f>
        <v> </v>
      </c>
      <c r="W124" s="334" t="str">
        <f aca="false">IF((E124="f"),G124," ")</f>
        <v> </v>
      </c>
    </row>
    <row r="125" customFormat="false" ht="12.75" hidden="false" customHeight="false" outlineLevel="0" collapsed="false">
      <c r="A125" s="355"/>
      <c r="E125" s="365" t="str">
        <f aca="false">IF((G125&lt;&gt;0),"Enter Letter"," ")</f>
        <v> </v>
      </c>
      <c r="H125" s="338" t="str">
        <f aca="false">IF((G125&lt;&gt;0),IF((D125&gt;0)," ",G125)," ")</f>
        <v> </v>
      </c>
      <c r="I125" s="367" t="str">
        <f aca="false">IF((G125&lt;&gt;0),IF((D125&gt;0)," ",(I$1-A125))," ")</f>
        <v> </v>
      </c>
      <c r="J125" s="334" t="str">
        <f aca="false">IF((E125="s"),G125," ")</f>
        <v> </v>
      </c>
      <c r="K125" s="334" t="str">
        <f aca="false">IF((E125="d"),G125," ")</f>
        <v> </v>
      </c>
      <c r="L125" s="334" t="str">
        <f aca="false">IF((E125="e"),G125," ")</f>
        <v> </v>
      </c>
      <c r="M125" s="334" t="str">
        <f aca="false">IF((E125="p"),G125," ")</f>
        <v> </v>
      </c>
      <c r="N125" s="334" t="str">
        <f aca="false">IF((E125="r"),G125," ")</f>
        <v> </v>
      </c>
      <c r="O125" s="334" t="str">
        <f aca="false">IF((E125="g"),G125," ")</f>
        <v> </v>
      </c>
      <c r="P125" s="334" t="str">
        <f aca="false">IF((E125="m"),G125," ")</f>
        <v> </v>
      </c>
      <c r="Q125" s="334" t="str">
        <f aca="false">IF((E125="t"),G125," ")</f>
        <v> </v>
      </c>
      <c r="R125" s="334" t="str">
        <f aca="false">IF((E125="a"),G125," ")</f>
        <v> </v>
      </c>
      <c r="S125" s="334" t="str">
        <f aca="false">IF((E125="l"),G125," ")</f>
        <v> </v>
      </c>
      <c r="T125" s="334" t="str">
        <f aca="false">IF((E125="b"),G125," ")</f>
        <v> </v>
      </c>
      <c r="U125" s="334" t="str">
        <f aca="false">IF((E125="i"),G125," ")</f>
        <v> </v>
      </c>
      <c r="V125" s="334" t="str">
        <f aca="false">IF((E125="o"),G125," ")</f>
        <v> </v>
      </c>
      <c r="W125" s="334" t="str">
        <f aca="false">IF((E125="f"),G125," ")</f>
        <v> </v>
      </c>
    </row>
    <row r="126" customFormat="false" ht="12.75" hidden="false" customHeight="false" outlineLevel="0" collapsed="false">
      <c r="A126" s="355"/>
      <c r="E126" s="365" t="str">
        <f aca="false">IF((G126&lt;&gt;0),"Enter Letter"," ")</f>
        <v> </v>
      </c>
      <c r="H126" s="338" t="str">
        <f aca="false">IF((G126&lt;&gt;0),IF((D126&gt;0)," ",G126)," ")</f>
        <v> </v>
      </c>
      <c r="I126" s="367" t="str">
        <f aca="false">IF((G126&lt;&gt;0),IF((D126&gt;0)," ",(I$1-A126))," ")</f>
        <v> </v>
      </c>
      <c r="J126" s="334" t="str">
        <f aca="false">IF((E126="s"),G126," ")</f>
        <v> </v>
      </c>
      <c r="K126" s="334" t="str">
        <f aca="false">IF((E126="d"),G126," ")</f>
        <v> </v>
      </c>
      <c r="L126" s="334" t="str">
        <f aca="false">IF((E126="e"),G126," ")</f>
        <v> </v>
      </c>
      <c r="M126" s="334" t="str">
        <f aca="false">IF((E126="p"),G126," ")</f>
        <v> </v>
      </c>
      <c r="N126" s="334" t="str">
        <f aca="false">IF((E126="r"),G126," ")</f>
        <v> </v>
      </c>
      <c r="O126" s="334" t="str">
        <f aca="false">IF((E126="g"),G126," ")</f>
        <v> </v>
      </c>
      <c r="P126" s="334" t="str">
        <f aca="false">IF((E126="m"),G126," ")</f>
        <v> </v>
      </c>
      <c r="Q126" s="334" t="str">
        <f aca="false">IF((E126="t"),G126," ")</f>
        <v> </v>
      </c>
      <c r="R126" s="334" t="str">
        <f aca="false">IF((E126="a"),G126," ")</f>
        <v> </v>
      </c>
      <c r="S126" s="334" t="str">
        <f aca="false">IF((E126="l"),G126," ")</f>
        <v> </v>
      </c>
      <c r="T126" s="334" t="str">
        <f aca="false">IF((E126="b"),G126," ")</f>
        <v> </v>
      </c>
      <c r="U126" s="334" t="str">
        <f aca="false">IF((E126="i"),G126," ")</f>
        <v> </v>
      </c>
      <c r="V126" s="334" t="str">
        <f aca="false">IF((E126="o"),G126," ")</f>
        <v> </v>
      </c>
      <c r="W126" s="334" t="str">
        <f aca="false">IF((E126="f"),G126," ")</f>
        <v> </v>
      </c>
    </row>
    <row r="127" customFormat="false" ht="12.75" hidden="false" customHeight="false" outlineLevel="0" collapsed="false">
      <c r="A127" s="355"/>
      <c r="E127" s="365" t="str">
        <f aca="false">IF((G127&lt;&gt;0),"Enter Letter"," ")</f>
        <v> </v>
      </c>
      <c r="H127" s="338" t="str">
        <f aca="false">IF((G127&lt;&gt;0),IF((D127&gt;0)," ",G127)," ")</f>
        <v> </v>
      </c>
      <c r="I127" s="367" t="str">
        <f aca="false">IF((G127&lt;&gt;0),IF((D127&gt;0)," ",(I$1-A127))," ")</f>
        <v> </v>
      </c>
      <c r="J127" s="334" t="str">
        <f aca="false">IF((E127="s"),G127," ")</f>
        <v> </v>
      </c>
      <c r="K127" s="334" t="str">
        <f aca="false">IF((E127="d"),G127," ")</f>
        <v> </v>
      </c>
      <c r="L127" s="334" t="str">
        <f aca="false">IF((E127="e"),G127," ")</f>
        <v> </v>
      </c>
      <c r="M127" s="334" t="str">
        <f aca="false">IF((E127="p"),G127," ")</f>
        <v> </v>
      </c>
      <c r="N127" s="334" t="str">
        <f aca="false">IF((E127="r"),G127," ")</f>
        <v> </v>
      </c>
      <c r="O127" s="334" t="str">
        <f aca="false">IF((E127="g"),G127," ")</f>
        <v> </v>
      </c>
      <c r="P127" s="334" t="str">
        <f aca="false">IF((E127="m"),G127," ")</f>
        <v> </v>
      </c>
      <c r="Q127" s="334" t="str">
        <f aca="false">IF((E127="t"),G127," ")</f>
        <v> </v>
      </c>
      <c r="R127" s="334" t="str">
        <f aca="false">IF((E127="a"),G127," ")</f>
        <v> </v>
      </c>
      <c r="S127" s="334" t="str">
        <f aca="false">IF((E127="l"),G127," ")</f>
        <v> </v>
      </c>
      <c r="T127" s="334" t="str">
        <f aca="false">IF((E127="b"),G127," ")</f>
        <v> </v>
      </c>
      <c r="U127" s="334" t="str">
        <f aca="false">IF((E127="i"),G127," ")</f>
        <v> </v>
      </c>
      <c r="V127" s="334" t="str">
        <f aca="false">IF((E127="o"),G127," ")</f>
        <v> </v>
      </c>
      <c r="W127" s="334" t="str">
        <f aca="false">IF((E127="f"),G127," ")</f>
        <v> </v>
      </c>
    </row>
    <row r="128" customFormat="false" ht="12.75" hidden="false" customHeight="false" outlineLevel="0" collapsed="false">
      <c r="A128" s="355"/>
      <c r="E128" s="365" t="str">
        <f aca="false">IF((G128&lt;&gt;0),"Enter Letter"," ")</f>
        <v> </v>
      </c>
      <c r="H128" s="338" t="str">
        <f aca="false">IF((G128&lt;&gt;0),IF((D128&gt;0)," ",G128)," ")</f>
        <v> </v>
      </c>
      <c r="I128" s="367" t="str">
        <f aca="false">IF((G128&lt;&gt;0),IF((D128&gt;0)," ",(I$1-A128))," ")</f>
        <v> </v>
      </c>
      <c r="J128" s="334" t="str">
        <f aca="false">IF((E128="s"),G128," ")</f>
        <v> </v>
      </c>
      <c r="K128" s="334" t="str">
        <f aca="false">IF((E128="d"),G128," ")</f>
        <v> </v>
      </c>
      <c r="L128" s="334" t="str">
        <f aca="false">IF((E128="e"),G128," ")</f>
        <v> </v>
      </c>
      <c r="M128" s="334" t="str">
        <f aca="false">IF((E128="p"),G128," ")</f>
        <v> </v>
      </c>
      <c r="N128" s="334" t="str">
        <f aca="false">IF((E128="r"),G128," ")</f>
        <v> </v>
      </c>
      <c r="O128" s="334" t="str">
        <f aca="false">IF((E128="g"),G128," ")</f>
        <v> </v>
      </c>
      <c r="P128" s="334" t="str">
        <f aca="false">IF((E128="m"),G128," ")</f>
        <v> </v>
      </c>
      <c r="Q128" s="334" t="str">
        <f aca="false">IF((E128="t"),G128," ")</f>
        <v> </v>
      </c>
      <c r="R128" s="334" t="str">
        <f aca="false">IF((E128="a"),G128," ")</f>
        <v> </v>
      </c>
      <c r="S128" s="334" t="str">
        <f aca="false">IF((E128="l"),G128," ")</f>
        <v> </v>
      </c>
      <c r="T128" s="334" t="str">
        <f aca="false">IF((E128="b"),G128," ")</f>
        <v> </v>
      </c>
      <c r="U128" s="334" t="str">
        <f aca="false">IF((E128="i"),G128," ")</f>
        <v> </v>
      </c>
      <c r="V128" s="334" t="str">
        <f aca="false">IF((E128="o"),G128," ")</f>
        <v> </v>
      </c>
      <c r="W128" s="334" t="str">
        <f aca="false">IF((E128="f"),G128," ")</f>
        <v> </v>
      </c>
    </row>
    <row r="129" customFormat="false" ht="12.75" hidden="false" customHeight="false" outlineLevel="0" collapsed="false">
      <c r="A129" s="355"/>
      <c r="E129" s="365" t="str">
        <f aca="false">IF((G129&lt;&gt;0),"Enter Letter"," ")</f>
        <v> </v>
      </c>
      <c r="H129" s="338" t="str">
        <f aca="false">IF((G129&lt;&gt;0),IF((D129&gt;0)," ",G129)," ")</f>
        <v> </v>
      </c>
      <c r="I129" s="367" t="str">
        <f aca="false">IF((G129&lt;&gt;0),IF((D129&gt;0)," ",(I$1-A129))," ")</f>
        <v> </v>
      </c>
      <c r="J129" s="334" t="str">
        <f aca="false">IF((E129="s"),G129," ")</f>
        <v> </v>
      </c>
      <c r="K129" s="334" t="str">
        <f aca="false">IF((E129="d"),G129," ")</f>
        <v> </v>
      </c>
      <c r="L129" s="334" t="str">
        <f aca="false">IF((E129="e"),G129," ")</f>
        <v> </v>
      </c>
      <c r="M129" s="334" t="str">
        <f aca="false">IF((E129="p"),G129," ")</f>
        <v> </v>
      </c>
      <c r="N129" s="334" t="str">
        <f aca="false">IF((E129="r"),G129," ")</f>
        <v> </v>
      </c>
      <c r="O129" s="334" t="str">
        <f aca="false">IF((E129="g"),G129," ")</f>
        <v> </v>
      </c>
      <c r="P129" s="334" t="str">
        <f aca="false">IF((E129="m"),G129," ")</f>
        <v> </v>
      </c>
      <c r="Q129" s="334" t="str">
        <f aca="false">IF((E129="t"),G129," ")</f>
        <v> </v>
      </c>
      <c r="R129" s="334" t="str">
        <f aca="false">IF((E129="a"),G129," ")</f>
        <v> </v>
      </c>
      <c r="S129" s="334" t="str">
        <f aca="false">IF((E129="l"),G129," ")</f>
        <v> </v>
      </c>
      <c r="T129" s="334" t="str">
        <f aca="false">IF((E129="b"),G129," ")</f>
        <v> </v>
      </c>
      <c r="U129" s="334" t="str">
        <f aca="false">IF((E129="i"),G129," ")</f>
        <v> </v>
      </c>
      <c r="V129" s="334" t="str">
        <f aca="false">IF((E129="o"),G129," ")</f>
        <v> </v>
      </c>
      <c r="W129" s="334" t="str">
        <f aca="false">IF((E129="f"),G129," ")</f>
        <v> </v>
      </c>
    </row>
    <row r="130" customFormat="false" ht="12.75" hidden="false" customHeight="false" outlineLevel="0" collapsed="false">
      <c r="A130" s="355"/>
      <c r="E130" s="365" t="str">
        <f aca="false">IF((G130&lt;&gt;0),"Enter Letter"," ")</f>
        <v> </v>
      </c>
      <c r="H130" s="338" t="str">
        <f aca="false">IF((G130&lt;&gt;0),IF((D130&gt;0)," ",G130)," ")</f>
        <v> </v>
      </c>
      <c r="I130" s="367" t="str">
        <f aca="false">IF((G130&lt;&gt;0),IF((D130&gt;0)," ",(I$1-A130))," ")</f>
        <v> </v>
      </c>
      <c r="J130" s="334" t="str">
        <f aca="false">IF((E130="s"),G130," ")</f>
        <v> </v>
      </c>
      <c r="K130" s="334" t="str">
        <f aca="false">IF((E130="d"),G130," ")</f>
        <v> </v>
      </c>
      <c r="L130" s="334" t="str">
        <f aca="false">IF((E130="e"),G130," ")</f>
        <v> </v>
      </c>
      <c r="M130" s="334" t="str">
        <f aca="false">IF((E130="p"),G130," ")</f>
        <v> </v>
      </c>
      <c r="N130" s="334" t="str">
        <f aca="false">IF((E130="r"),G130," ")</f>
        <v> </v>
      </c>
      <c r="O130" s="334" t="str">
        <f aca="false">IF((E130="g"),G130," ")</f>
        <v> </v>
      </c>
      <c r="P130" s="334" t="str">
        <f aca="false">IF((E130="m"),G130," ")</f>
        <v> </v>
      </c>
      <c r="Q130" s="334" t="str">
        <f aca="false">IF((E130="t"),G130," ")</f>
        <v> </v>
      </c>
      <c r="R130" s="334" t="str">
        <f aca="false">IF((E130="a"),G130," ")</f>
        <v> </v>
      </c>
      <c r="S130" s="334" t="str">
        <f aca="false">IF((E130="l"),G130," ")</f>
        <v> </v>
      </c>
      <c r="T130" s="334" t="str">
        <f aca="false">IF((E130="b"),G130," ")</f>
        <v> </v>
      </c>
      <c r="U130" s="334" t="str">
        <f aca="false">IF((E130="i"),G130," ")</f>
        <v> </v>
      </c>
      <c r="V130" s="334" t="str">
        <f aca="false">IF((E130="o"),G130," ")</f>
        <v> </v>
      </c>
      <c r="W130" s="334" t="str">
        <f aca="false">IF((E130="f"),G130," ")</f>
        <v> </v>
      </c>
    </row>
    <row r="131" customFormat="false" ht="12.75" hidden="false" customHeight="false" outlineLevel="0" collapsed="false">
      <c r="A131" s="355"/>
      <c r="E131" s="365" t="str">
        <f aca="false">IF((G131&lt;&gt;0),"Enter Letter"," ")</f>
        <v> </v>
      </c>
      <c r="H131" s="338" t="str">
        <f aca="false">IF((G131&lt;&gt;0),IF((D131&gt;0)," ",G131)," ")</f>
        <v> </v>
      </c>
      <c r="I131" s="367" t="str">
        <f aca="false">IF((G131&lt;&gt;0),IF((D131&gt;0)," ",(I$1-A131))," ")</f>
        <v> </v>
      </c>
      <c r="J131" s="334" t="str">
        <f aca="false">IF((E131="s"),G131," ")</f>
        <v> </v>
      </c>
      <c r="K131" s="334" t="str">
        <f aca="false">IF((E131="d"),G131," ")</f>
        <v> </v>
      </c>
      <c r="L131" s="334" t="str">
        <f aca="false">IF((E131="e"),G131," ")</f>
        <v> </v>
      </c>
      <c r="M131" s="334" t="str">
        <f aca="false">IF((E131="p"),G131," ")</f>
        <v> </v>
      </c>
      <c r="N131" s="334" t="str">
        <f aca="false">IF((E131="r"),G131," ")</f>
        <v> </v>
      </c>
      <c r="O131" s="334" t="str">
        <f aca="false">IF((E131="g"),G131," ")</f>
        <v> </v>
      </c>
      <c r="P131" s="334" t="str">
        <f aca="false">IF((E131="m"),G131," ")</f>
        <v> </v>
      </c>
      <c r="Q131" s="334" t="str">
        <f aca="false">IF((E131="t"),G131," ")</f>
        <v> </v>
      </c>
      <c r="R131" s="334" t="str">
        <f aca="false">IF((E131="a"),G131," ")</f>
        <v> </v>
      </c>
      <c r="S131" s="334" t="str">
        <f aca="false">IF((E131="l"),G131," ")</f>
        <v> </v>
      </c>
      <c r="T131" s="334" t="str">
        <f aca="false">IF((E131="b"),G131," ")</f>
        <v> </v>
      </c>
      <c r="U131" s="334" t="str">
        <f aca="false">IF((E131="i"),G131," ")</f>
        <v> </v>
      </c>
      <c r="V131" s="334" t="str">
        <f aca="false">IF((E131="o"),G131," ")</f>
        <v> </v>
      </c>
      <c r="W131" s="334" t="str">
        <f aca="false">IF((E131="f"),G131," ")</f>
        <v> </v>
      </c>
    </row>
    <row r="132" customFormat="false" ht="12.75" hidden="false" customHeight="false" outlineLevel="0" collapsed="false">
      <c r="A132" s="355"/>
      <c r="E132" s="365" t="str">
        <f aca="false">IF((G132&lt;&gt;0),"Enter Letter"," ")</f>
        <v> </v>
      </c>
      <c r="H132" s="338" t="str">
        <f aca="false">IF((G132&lt;&gt;0),IF((D132&gt;0)," ",G132)," ")</f>
        <v> </v>
      </c>
      <c r="I132" s="367" t="str">
        <f aca="false">IF((G132&lt;&gt;0),IF((D132&gt;0)," ",(I$1-A132))," ")</f>
        <v> </v>
      </c>
      <c r="J132" s="334" t="str">
        <f aca="false">IF((E132="s"),G132," ")</f>
        <v> </v>
      </c>
      <c r="K132" s="334" t="str">
        <f aca="false">IF((E132="d"),G132," ")</f>
        <v> </v>
      </c>
      <c r="L132" s="334" t="str">
        <f aca="false">IF((E132="e"),G132," ")</f>
        <v> </v>
      </c>
      <c r="M132" s="334" t="str">
        <f aca="false">IF((E132="p"),G132," ")</f>
        <v> </v>
      </c>
      <c r="N132" s="334" t="str">
        <f aca="false">IF((E132="r"),G132," ")</f>
        <v> </v>
      </c>
      <c r="O132" s="334" t="str">
        <f aca="false">IF((E132="g"),G132," ")</f>
        <v> </v>
      </c>
      <c r="P132" s="334" t="str">
        <f aca="false">IF((E132="m"),G132," ")</f>
        <v> </v>
      </c>
      <c r="Q132" s="334" t="str">
        <f aca="false">IF((E132="t"),G132," ")</f>
        <v> </v>
      </c>
      <c r="R132" s="334" t="str">
        <f aca="false">IF((E132="a"),G132," ")</f>
        <v> </v>
      </c>
      <c r="S132" s="334" t="str">
        <f aca="false">IF((E132="l"),G132," ")</f>
        <v> </v>
      </c>
      <c r="T132" s="334" t="str">
        <f aca="false">IF((E132="b"),G132," ")</f>
        <v> </v>
      </c>
      <c r="U132" s="334" t="str">
        <f aca="false">IF((E132="i"),G132," ")</f>
        <v> </v>
      </c>
      <c r="V132" s="334" t="str">
        <f aca="false">IF((E132="o"),G132," ")</f>
        <v> </v>
      </c>
      <c r="W132" s="334" t="str">
        <f aca="false">IF((E132="f"),G132," ")</f>
        <v> </v>
      </c>
    </row>
    <row r="133" customFormat="false" ht="12.75" hidden="false" customHeight="false" outlineLevel="0" collapsed="false">
      <c r="A133" s="355"/>
      <c r="E133" s="365" t="str">
        <f aca="false">IF((G133&lt;&gt;0),"Enter Letter"," ")</f>
        <v> </v>
      </c>
      <c r="H133" s="338" t="str">
        <f aca="false">IF((G133&lt;&gt;0),IF((D133&gt;0)," ",G133)," ")</f>
        <v> </v>
      </c>
      <c r="I133" s="367" t="str">
        <f aca="false">IF((G133&lt;&gt;0),IF((D133&gt;0)," ",(I$1-A133))," ")</f>
        <v> </v>
      </c>
      <c r="J133" s="334" t="str">
        <f aca="false">IF((E133="s"),G133," ")</f>
        <v> </v>
      </c>
      <c r="K133" s="334" t="str">
        <f aca="false">IF((E133="d"),G133," ")</f>
        <v> </v>
      </c>
      <c r="L133" s="334" t="str">
        <f aca="false">IF((E133="e"),G133," ")</f>
        <v> </v>
      </c>
      <c r="M133" s="334" t="str">
        <f aca="false">IF((E133="p"),G133," ")</f>
        <v> </v>
      </c>
      <c r="N133" s="334" t="str">
        <f aca="false">IF((E133="r"),G133," ")</f>
        <v> </v>
      </c>
      <c r="O133" s="334" t="str">
        <f aca="false">IF((E133="g"),G133," ")</f>
        <v> </v>
      </c>
      <c r="P133" s="334" t="str">
        <f aca="false">IF((E133="m"),G133," ")</f>
        <v> </v>
      </c>
      <c r="Q133" s="334" t="str">
        <f aca="false">IF((E133="t"),G133," ")</f>
        <v> </v>
      </c>
      <c r="R133" s="334" t="str">
        <f aca="false">IF((E133="a"),G133," ")</f>
        <v> </v>
      </c>
      <c r="S133" s="334" t="str">
        <f aca="false">IF((E133="l"),G133," ")</f>
        <v> </v>
      </c>
      <c r="T133" s="334" t="str">
        <f aca="false">IF((E133="b"),G133," ")</f>
        <v> </v>
      </c>
      <c r="U133" s="334" t="str">
        <f aca="false">IF((E133="i"),G133," ")</f>
        <v> </v>
      </c>
      <c r="V133" s="334" t="str">
        <f aca="false">IF((E133="o"),G133," ")</f>
        <v> </v>
      </c>
      <c r="W133" s="334" t="str">
        <f aca="false">IF((E133="f"),G133," ")</f>
        <v> </v>
      </c>
    </row>
    <row r="134" customFormat="false" ht="12.75" hidden="false" customHeight="false" outlineLevel="0" collapsed="false">
      <c r="A134" s="355"/>
      <c r="E134" s="365" t="str">
        <f aca="false">IF((G134&lt;&gt;0),"Enter Letter"," ")</f>
        <v> </v>
      </c>
      <c r="H134" s="338" t="str">
        <f aca="false">IF((G134&lt;&gt;0),IF((D134&gt;0)," ",G134)," ")</f>
        <v> </v>
      </c>
      <c r="I134" s="367" t="str">
        <f aca="false">IF((G134&lt;&gt;0),IF((D134&gt;0)," ",(I$1-A134))," ")</f>
        <v> </v>
      </c>
      <c r="J134" s="334" t="str">
        <f aca="false">IF((E134="s"),G134," ")</f>
        <v> </v>
      </c>
      <c r="K134" s="334" t="str">
        <f aca="false">IF((E134="d"),G134," ")</f>
        <v> </v>
      </c>
      <c r="L134" s="334" t="str">
        <f aca="false">IF((E134="e"),G134," ")</f>
        <v> </v>
      </c>
      <c r="M134" s="334" t="str">
        <f aca="false">IF((E134="p"),G134," ")</f>
        <v> </v>
      </c>
      <c r="N134" s="334" t="str">
        <f aca="false">IF((E134="r"),G134," ")</f>
        <v> </v>
      </c>
      <c r="O134" s="334" t="str">
        <f aca="false">IF((E134="g"),G134," ")</f>
        <v> </v>
      </c>
      <c r="P134" s="334" t="str">
        <f aca="false">IF((E134="m"),G134," ")</f>
        <v> </v>
      </c>
      <c r="Q134" s="334" t="str">
        <f aca="false">IF((E134="t"),G134," ")</f>
        <v> </v>
      </c>
      <c r="R134" s="334" t="str">
        <f aca="false">IF((E134="a"),G134," ")</f>
        <v> </v>
      </c>
      <c r="S134" s="334" t="str">
        <f aca="false">IF((E134="l"),G134," ")</f>
        <v> </v>
      </c>
      <c r="T134" s="334" t="str">
        <f aca="false">IF((E134="b"),G134," ")</f>
        <v> </v>
      </c>
      <c r="U134" s="334" t="str">
        <f aca="false">IF((E134="i"),G134," ")</f>
        <v> </v>
      </c>
      <c r="V134" s="334" t="str">
        <f aca="false">IF((E134="o"),G134," ")</f>
        <v> </v>
      </c>
      <c r="W134" s="334" t="str">
        <f aca="false">IF((E134="f"),G134," ")</f>
        <v> </v>
      </c>
    </row>
    <row r="135" customFormat="false" ht="12.75" hidden="false" customHeight="false" outlineLevel="0" collapsed="false">
      <c r="A135" s="355"/>
      <c r="E135" s="365" t="str">
        <f aca="false">IF((G135&lt;&gt;0),"Enter Letter"," ")</f>
        <v> </v>
      </c>
      <c r="H135" s="338" t="str">
        <f aca="false">IF((G135&lt;&gt;0),IF((D135&gt;0)," ",G135)," ")</f>
        <v> </v>
      </c>
      <c r="I135" s="367" t="str">
        <f aca="false">IF((G135&lt;&gt;0),IF((D135&gt;0)," ",(I$1-A135))," ")</f>
        <v> </v>
      </c>
      <c r="J135" s="334" t="str">
        <f aca="false">IF((E135="s"),G135," ")</f>
        <v> </v>
      </c>
      <c r="K135" s="334" t="str">
        <f aca="false">IF((E135="d"),G135," ")</f>
        <v> </v>
      </c>
      <c r="L135" s="334" t="str">
        <f aca="false">IF((E135="e"),G135," ")</f>
        <v> </v>
      </c>
      <c r="M135" s="334" t="str">
        <f aca="false">IF((E135="p"),G135," ")</f>
        <v> </v>
      </c>
      <c r="N135" s="334" t="str">
        <f aca="false">IF((E135="r"),G135," ")</f>
        <v> </v>
      </c>
      <c r="O135" s="334" t="str">
        <f aca="false">IF((E135="g"),G135," ")</f>
        <v> </v>
      </c>
      <c r="P135" s="334" t="str">
        <f aca="false">IF((E135="m"),G135," ")</f>
        <v> </v>
      </c>
      <c r="Q135" s="334" t="str">
        <f aca="false">IF((E135="t"),G135," ")</f>
        <v> </v>
      </c>
      <c r="R135" s="334" t="str">
        <f aca="false">IF((E135="a"),G135," ")</f>
        <v> </v>
      </c>
      <c r="S135" s="334" t="str">
        <f aca="false">IF((E135="l"),G135," ")</f>
        <v> </v>
      </c>
      <c r="T135" s="334" t="str">
        <f aca="false">IF((E135="b"),G135," ")</f>
        <v> </v>
      </c>
      <c r="U135" s="334" t="str">
        <f aca="false">IF((E135="i"),G135," ")</f>
        <v> </v>
      </c>
      <c r="V135" s="334" t="str">
        <f aca="false">IF((E135="o"),G135," ")</f>
        <v> </v>
      </c>
      <c r="W135" s="334" t="str">
        <f aca="false">IF((E135="f"),G135," ")</f>
        <v> </v>
      </c>
    </row>
    <row r="136" customFormat="false" ht="12.75" hidden="false" customHeight="false" outlineLevel="0" collapsed="false">
      <c r="A136" s="355"/>
      <c r="E136" s="365" t="str">
        <f aca="false">IF((G136&lt;&gt;0),"Enter Letter"," ")</f>
        <v> </v>
      </c>
      <c r="H136" s="338" t="str">
        <f aca="false">IF((G136&lt;&gt;0),IF((D136&gt;0)," ",G136)," ")</f>
        <v> </v>
      </c>
      <c r="I136" s="367" t="str">
        <f aca="false">IF((G136&lt;&gt;0),IF((D136&gt;0)," ",(I$1-A136))," ")</f>
        <v> </v>
      </c>
      <c r="J136" s="334" t="str">
        <f aca="false">IF((E136="s"),G136," ")</f>
        <v> </v>
      </c>
      <c r="K136" s="334" t="str">
        <f aca="false">IF((E136="d"),G136," ")</f>
        <v> </v>
      </c>
      <c r="L136" s="334" t="str">
        <f aca="false">IF((E136="e"),G136," ")</f>
        <v> </v>
      </c>
      <c r="M136" s="334" t="str">
        <f aca="false">IF((E136="p"),G136," ")</f>
        <v> </v>
      </c>
      <c r="N136" s="334" t="str">
        <f aca="false">IF((E136="r"),G136," ")</f>
        <v> </v>
      </c>
      <c r="O136" s="334" t="str">
        <f aca="false">IF((E136="g"),G136," ")</f>
        <v> </v>
      </c>
      <c r="P136" s="334" t="str">
        <f aca="false">IF((E136="m"),G136," ")</f>
        <v> </v>
      </c>
      <c r="Q136" s="334" t="str">
        <f aca="false">IF((E136="t"),G136," ")</f>
        <v> </v>
      </c>
      <c r="R136" s="334" t="str">
        <f aca="false">IF((E136="a"),G136," ")</f>
        <v> </v>
      </c>
      <c r="S136" s="334" t="str">
        <f aca="false">IF((E136="l"),G136," ")</f>
        <v> </v>
      </c>
      <c r="T136" s="334" t="str">
        <f aca="false">IF((E136="b"),G136," ")</f>
        <v> </v>
      </c>
      <c r="U136" s="334" t="str">
        <f aca="false">IF((E136="i"),G136," ")</f>
        <v> </v>
      </c>
      <c r="V136" s="334" t="str">
        <f aca="false">IF((E136="o"),G136," ")</f>
        <v> </v>
      </c>
      <c r="W136" s="334" t="str">
        <f aca="false">IF((E136="f"),G136," ")</f>
        <v> </v>
      </c>
    </row>
    <row r="137" customFormat="false" ht="12.75" hidden="false" customHeight="false" outlineLevel="0" collapsed="false">
      <c r="A137" s="355"/>
      <c r="E137" s="365" t="str">
        <f aca="false">IF((G137&lt;&gt;0),"Enter Letter"," ")</f>
        <v> </v>
      </c>
      <c r="H137" s="338" t="str">
        <f aca="false">IF((G137&lt;&gt;0),IF((D137&gt;0)," ",G137)," ")</f>
        <v> </v>
      </c>
      <c r="I137" s="367" t="str">
        <f aca="false">IF((G137&lt;&gt;0),IF((D137&gt;0)," ",(I$1-A137))," ")</f>
        <v> </v>
      </c>
      <c r="J137" s="334" t="str">
        <f aca="false">IF((E137="s"),G137," ")</f>
        <v> </v>
      </c>
      <c r="K137" s="334" t="str">
        <f aca="false">IF((E137="d"),G137," ")</f>
        <v> </v>
      </c>
      <c r="L137" s="334" t="str">
        <f aca="false">IF((E137="e"),G137," ")</f>
        <v> </v>
      </c>
      <c r="M137" s="334" t="str">
        <f aca="false">IF((E137="p"),G137," ")</f>
        <v> </v>
      </c>
      <c r="N137" s="334" t="str">
        <f aca="false">IF((E137="r"),G137," ")</f>
        <v> </v>
      </c>
      <c r="O137" s="334" t="str">
        <f aca="false">IF((E137="g"),G137," ")</f>
        <v> </v>
      </c>
      <c r="P137" s="334" t="str">
        <f aca="false">IF((E137="m"),G137," ")</f>
        <v> </v>
      </c>
      <c r="Q137" s="334" t="str">
        <f aca="false">IF((E137="t"),G137," ")</f>
        <v> </v>
      </c>
      <c r="R137" s="334" t="str">
        <f aca="false">IF((E137="a"),G137," ")</f>
        <v> </v>
      </c>
      <c r="S137" s="334" t="str">
        <f aca="false">IF((E137="l"),G137," ")</f>
        <v> </v>
      </c>
      <c r="T137" s="334" t="str">
        <f aca="false">IF((E137="b"),G137," ")</f>
        <v> </v>
      </c>
      <c r="U137" s="334" t="str">
        <f aca="false">IF((E137="i"),G137," ")</f>
        <v> </v>
      </c>
      <c r="V137" s="334" t="str">
        <f aca="false">IF((E137="o"),G137," ")</f>
        <v> </v>
      </c>
      <c r="W137" s="334" t="str">
        <f aca="false">IF((E137="f"),G137," ")</f>
        <v> </v>
      </c>
    </row>
    <row r="138" customFormat="false" ht="12.75" hidden="false" customHeight="false" outlineLevel="0" collapsed="false">
      <c r="A138" s="355"/>
      <c r="E138" s="365" t="str">
        <f aca="false">IF((G138&lt;&gt;0),"Enter Letter"," ")</f>
        <v> </v>
      </c>
      <c r="H138" s="338" t="str">
        <f aca="false">IF((G138&lt;&gt;0),IF((D138&gt;0)," ",G138)," ")</f>
        <v> </v>
      </c>
      <c r="I138" s="367" t="str">
        <f aca="false">IF((G138&lt;&gt;0),IF((D138&gt;0)," ",(I$1-A138))," ")</f>
        <v> </v>
      </c>
      <c r="J138" s="334" t="str">
        <f aca="false">IF((E138="s"),G138," ")</f>
        <v> </v>
      </c>
      <c r="K138" s="334" t="str">
        <f aca="false">IF((E138="d"),G138," ")</f>
        <v> </v>
      </c>
      <c r="L138" s="334" t="str">
        <f aca="false">IF((E138="e"),G138," ")</f>
        <v> </v>
      </c>
      <c r="M138" s="334" t="str">
        <f aca="false">IF((E138="p"),G138," ")</f>
        <v> </v>
      </c>
      <c r="N138" s="334" t="str">
        <f aca="false">IF((E138="r"),G138," ")</f>
        <v> </v>
      </c>
      <c r="O138" s="334" t="str">
        <f aca="false">IF((E138="g"),G138," ")</f>
        <v> </v>
      </c>
      <c r="P138" s="334" t="str">
        <f aca="false">IF((E138="m"),G138," ")</f>
        <v> </v>
      </c>
      <c r="Q138" s="334" t="str">
        <f aca="false">IF((E138="t"),G138," ")</f>
        <v> </v>
      </c>
      <c r="R138" s="334" t="str">
        <f aca="false">IF((E138="a"),G138," ")</f>
        <v> </v>
      </c>
      <c r="S138" s="334" t="str">
        <f aca="false">IF((E138="l"),G138," ")</f>
        <v> </v>
      </c>
      <c r="T138" s="334" t="str">
        <f aca="false">IF((E138="b"),G138," ")</f>
        <v> </v>
      </c>
      <c r="U138" s="334" t="str">
        <f aca="false">IF((E138="i"),G138," ")</f>
        <v> </v>
      </c>
      <c r="V138" s="334" t="str">
        <f aca="false">IF((E138="o"),G138," ")</f>
        <v> </v>
      </c>
      <c r="W138" s="334" t="str">
        <f aca="false">IF((E138="f"),G138," ")</f>
        <v> </v>
      </c>
    </row>
    <row r="139" customFormat="false" ht="12.75" hidden="false" customHeight="false" outlineLevel="0" collapsed="false">
      <c r="A139" s="355"/>
      <c r="E139" s="365" t="str">
        <f aca="false">IF((G139&lt;&gt;0),"Enter Letter"," ")</f>
        <v> </v>
      </c>
      <c r="H139" s="338" t="str">
        <f aca="false">IF((G139&lt;&gt;0),IF((D139&gt;0)," ",G139)," ")</f>
        <v> </v>
      </c>
      <c r="I139" s="367" t="str">
        <f aca="false">IF((G139&lt;&gt;0),IF((D139&gt;0)," ",(I$1-A139))," ")</f>
        <v> </v>
      </c>
      <c r="J139" s="334" t="str">
        <f aca="false">IF((E139="s"),G139," ")</f>
        <v> </v>
      </c>
      <c r="K139" s="334" t="str">
        <f aca="false">IF((E139="d"),G139," ")</f>
        <v> </v>
      </c>
      <c r="L139" s="334" t="str">
        <f aca="false">IF((E139="e"),G139," ")</f>
        <v> </v>
      </c>
      <c r="M139" s="334" t="str">
        <f aca="false">IF((E139="p"),G139," ")</f>
        <v> </v>
      </c>
      <c r="N139" s="334" t="str">
        <f aca="false">IF((E139="r"),G139," ")</f>
        <v> </v>
      </c>
      <c r="O139" s="334" t="str">
        <f aca="false">IF((E139="g"),G139," ")</f>
        <v> </v>
      </c>
      <c r="P139" s="334" t="str">
        <f aca="false">IF((E139="m"),G139," ")</f>
        <v> </v>
      </c>
      <c r="Q139" s="334" t="str">
        <f aca="false">IF((E139="t"),G139," ")</f>
        <v> </v>
      </c>
      <c r="R139" s="334" t="str">
        <f aca="false">IF((E139="a"),G139," ")</f>
        <v> </v>
      </c>
      <c r="S139" s="334" t="str">
        <f aca="false">IF((E139="l"),G139," ")</f>
        <v> </v>
      </c>
      <c r="T139" s="334" t="str">
        <f aca="false">IF((E139="b"),G139," ")</f>
        <v> </v>
      </c>
      <c r="U139" s="334" t="str">
        <f aca="false">IF((E139="i"),G139," ")</f>
        <v> </v>
      </c>
      <c r="V139" s="334" t="str">
        <f aca="false">IF((E139="o"),G139," ")</f>
        <v> </v>
      </c>
      <c r="W139" s="334" t="str">
        <f aca="false">IF((E139="f"),G139," ")</f>
        <v> </v>
      </c>
    </row>
    <row r="140" customFormat="false" ht="12.75" hidden="false" customHeight="false" outlineLevel="0" collapsed="false">
      <c r="A140" s="355"/>
      <c r="E140" s="365" t="str">
        <f aca="false">IF((G140&lt;&gt;0),"Enter Letter"," ")</f>
        <v> </v>
      </c>
      <c r="H140" s="338" t="str">
        <f aca="false">IF((G140&lt;&gt;0),IF((D140&gt;0)," ",G140)," ")</f>
        <v> </v>
      </c>
      <c r="I140" s="367" t="str">
        <f aca="false">IF((G140&lt;&gt;0),IF((D140&gt;0)," ",(I$1-A140))," ")</f>
        <v> </v>
      </c>
      <c r="J140" s="334" t="str">
        <f aca="false">IF((E140="s"),G140," ")</f>
        <v> </v>
      </c>
      <c r="K140" s="334" t="str">
        <f aca="false">IF((E140="d"),G140," ")</f>
        <v> </v>
      </c>
      <c r="L140" s="334" t="str">
        <f aca="false">IF((E140="e"),G140," ")</f>
        <v> </v>
      </c>
      <c r="M140" s="334" t="str">
        <f aca="false">IF((E140="p"),G140," ")</f>
        <v> </v>
      </c>
      <c r="N140" s="334" t="str">
        <f aca="false">IF((E140="r"),G140," ")</f>
        <v> </v>
      </c>
      <c r="O140" s="334" t="str">
        <f aca="false">IF((E140="g"),G140," ")</f>
        <v> </v>
      </c>
      <c r="P140" s="334" t="str">
        <f aca="false">IF((E140="m"),G140," ")</f>
        <v> </v>
      </c>
      <c r="Q140" s="334" t="str">
        <f aca="false">IF((E140="t"),G140," ")</f>
        <v> </v>
      </c>
      <c r="R140" s="334" t="str">
        <f aca="false">IF((E140="a"),G140," ")</f>
        <v> </v>
      </c>
      <c r="S140" s="334" t="str">
        <f aca="false">IF((E140="l"),G140," ")</f>
        <v> </v>
      </c>
      <c r="T140" s="334" t="str">
        <f aca="false">IF((E140="b"),G140," ")</f>
        <v> </v>
      </c>
      <c r="U140" s="334" t="str">
        <f aca="false">IF((E140="i"),G140," ")</f>
        <v> </v>
      </c>
      <c r="V140" s="334" t="str">
        <f aca="false">IF((E140="o"),G140," ")</f>
        <v> </v>
      </c>
      <c r="W140" s="334" t="str">
        <f aca="false">IF((E140="f"),G140," ")</f>
        <v> </v>
      </c>
    </row>
    <row r="141" customFormat="false" ht="12.75" hidden="false" customHeight="false" outlineLevel="0" collapsed="false">
      <c r="A141" s="355"/>
      <c r="E141" s="365" t="str">
        <f aca="false">IF((G141&lt;&gt;0),"Enter Letter"," ")</f>
        <v> </v>
      </c>
      <c r="H141" s="338" t="str">
        <f aca="false">IF((G141&lt;&gt;0),IF((D141&gt;0)," ",G141)," ")</f>
        <v> </v>
      </c>
      <c r="I141" s="367" t="str">
        <f aca="false">IF((G141&lt;&gt;0),IF((D141&gt;0)," ",(I$1-A141))," ")</f>
        <v> </v>
      </c>
      <c r="J141" s="334" t="str">
        <f aca="false">IF((E141="s"),G141," ")</f>
        <v> </v>
      </c>
      <c r="K141" s="334" t="str">
        <f aca="false">IF((E141="d"),G141," ")</f>
        <v> </v>
      </c>
      <c r="L141" s="334" t="str">
        <f aca="false">IF((E141="e"),G141," ")</f>
        <v> </v>
      </c>
      <c r="M141" s="334" t="str">
        <f aca="false">IF((E141="p"),G141," ")</f>
        <v> </v>
      </c>
      <c r="N141" s="334" t="str">
        <f aca="false">IF((E141="r"),G141," ")</f>
        <v> </v>
      </c>
      <c r="O141" s="334" t="str">
        <f aca="false">IF((E141="g"),G141," ")</f>
        <v> </v>
      </c>
      <c r="P141" s="334" t="str">
        <f aca="false">IF((E141="m"),G141," ")</f>
        <v> </v>
      </c>
      <c r="Q141" s="334" t="str">
        <f aca="false">IF((E141="t"),G141," ")</f>
        <v> </v>
      </c>
      <c r="R141" s="334" t="str">
        <f aca="false">IF((E141="a"),G141," ")</f>
        <v> </v>
      </c>
      <c r="S141" s="334" t="str">
        <f aca="false">IF((E141="l"),G141," ")</f>
        <v> </v>
      </c>
      <c r="T141" s="334" t="str">
        <f aca="false">IF((E141="b"),G141," ")</f>
        <v> </v>
      </c>
      <c r="U141" s="334" t="str">
        <f aca="false">IF((E141="i"),G141," ")</f>
        <v> </v>
      </c>
      <c r="V141" s="334" t="str">
        <f aca="false">IF((E141="o"),G141," ")</f>
        <v> </v>
      </c>
      <c r="W141" s="334" t="str">
        <f aca="false">IF((E141="f"),G141," ")</f>
        <v> </v>
      </c>
    </row>
    <row r="142" customFormat="false" ht="12.75" hidden="false" customHeight="false" outlineLevel="0" collapsed="false">
      <c r="A142" s="355"/>
      <c r="E142" s="365" t="str">
        <f aca="false">IF((G142&lt;&gt;0),"Enter Letter"," ")</f>
        <v> </v>
      </c>
      <c r="H142" s="338" t="str">
        <f aca="false">IF((G142&lt;&gt;0),IF((D142&gt;0)," ",G142)," ")</f>
        <v> </v>
      </c>
      <c r="I142" s="367" t="str">
        <f aca="false">IF((G142&lt;&gt;0),IF((D142&gt;0)," ",(I$1-A142))," ")</f>
        <v> </v>
      </c>
      <c r="J142" s="334" t="str">
        <f aca="false">IF((E142="s"),G142," ")</f>
        <v> </v>
      </c>
      <c r="K142" s="334" t="str">
        <f aca="false">IF((E142="d"),G142," ")</f>
        <v> </v>
      </c>
      <c r="L142" s="334" t="str">
        <f aca="false">IF((E142="e"),G142," ")</f>
        <v> </v>
      </c>
      <c r="M142" s="334" t="str">
        <f aca="false">IF((E142="p"),G142," ")</f>
        <v> </v>
      </c>
      <c r="N142" s="334" t="str">
        <f aca="false">IF((E142="r"),G142," ")</f>
        <v> </v>
      </c>
      <c r="O142" s="334" t="str">
        <f aca="false">IF((E142="g"),G142," ")</f>
        <v> </v>
      </c>
      <c r="P142" s="334" t="str">
        <f aca="false">IF((E142="m"),G142," ")</f>
        <v> </v>
      </c>
      <c r="Q142" s="334" t="str">
        <f aca="false">IF((E142="t"),G142," ")</f>
        <v> </v>
      </c>
      <c r="R142" s="334" t="str">
        <f aca="false">IF((E142="a"),G142," ")</f>
        <v> </v>
      </c>
      <c r="S142" s="334" t="str">
        <f aca="false">IF((E142="l"),G142," ")</f>
        <v> </v>
      </c>
      <c r="T142" s="334" t="str">
        <f aca="false">IF((E142="b"),G142," ")</f>
        <v> </v>
      </c>
      <c r="U142" s="334" t="str">
        <f aca="false">IF((E142="i"),G142," ")</f>
        <v> </v>
      </c>
      <c r="V142" s="334" t="str">
        <f aca="false">IF((E142="o"),G142," ")</f>
        <v> </v>
      </c>
      <c r="W142" s="334" t="str">
        <f aca="false">IF((E142="f"),G142," ")</f>
        <v> </v>
      </c>
    </row>
    <row r="143" customFormat="false" ht="12.75" hidden="false" customHeight="false" outlineLevel="0" collapsed="false">
      <c r="A143" s="355"/>
      <c r="E143" s="365" t="str">
        <f aca="false">IF((G143&lt;&gt;0),"Enter Letter"," ")</f>
        <v> </v>
      </c>
      <c r="H143" s="338" t="str">
        <f aca="false">IF((G143&lt;&gt;0),IF((D143&gt;0)," ",G143)," ")</f>
        <v> </v>
      </c>
      <c r="I143" s="367" t="str">
        <f aca="false">IF((G143&lt;&gt;0),IF((D143&gt;0)," ",(I$1-A143))," ")</f>
        <v> </v>
      </c>
      <c r="J143" s="334" t="str">
        <f aca="false">IF((E143="s"),G143," ")</f>
        <v> </v>
      </c>
      <c r="K143" s="334" t="str">
        <f aca="false">IF((E143="d"),G143," ")</f>
        <v> </v>
      </c>
      <c r="L143" s="334" t="str">
        <f aca="false">IF((E143="e"),G143," ")</f>
        <v> </v>
      </c>
      <c r="M143" s="334" t="str">
        <f aca="false">IF((E143="p"),G143," ")</f>
        <v> </v>
      </c>
      <c r="N143" s="334" t="str">
        <f aca="false">IF((E143="r"),G143," ")</f>
        <v> </v>
      </c>
      <c r="O143" s="334" t="str">
        <f aca="false">IF((E143="g"),G143," ")</f>
        <v> </v>
      </c>
      <c r="P143" s="334" t="str">
        <f aca="false">IF((E143="m"),G143," ")</f>
        <v> </v>
      </c>
      <c r="Q143" s="334" t="str">
        <f aca="false">IF((E143="t"),G143," ")</f>
        <v> </v>
      </c>
      <c r="R143" s="334" t="str">
        <f aca="false">IF((E143="a"),G143," ")</f>
        <v> </v>
      </c>
      <c r="S143" s="334" t="str">
        <f aca="false">IF((E143="l"),G143," ")</f>
        <v> </v>
      </c>
      <c r="T143" s="334" t="str">
        <f aca="false">IF((E143="b"),G143," ")</f>
        <v> </v>
      </c>
      <c r="U143" s="334" t="str">
        <f aca="false">IF((E143="i"),G143," ")</f>
        <v> </v>
      </c>
      <c r="V143" s="334" t="str">
        <f aca="false">IF((E143="o"),G143," ")</f>
        <v> </v>
      </c>
      <c r="W143" s="334" t="str">
        <f aca="false">IF((E143="f"),G143," ")</f>
        <v> </v>
      </c>
    </row>
    <row r="144" customFormat="false" ht="12.75" hidden="false" customHeight="false" outlineLevel="0" collapsed="false">
      <c r="A144" s="355"/>
      <c r="E144" s="365" t="str">
        <f aca="false">IF((G144&lt;&gt;0),"Enter Letter"," ")</f>
        <v> </v>
      </c>
      <c r="H144" s="338" t="str">
        <f aca="false">IF((G144&lt;&gt;0),IF((D144&gt;0)," ",G144)," ")</f>
        <v> </v>
      </c>
      <c r="I144" s="367" t="str">
        <f aca="false">IF((G144&lt;&gt;0),IF((D144&gt;0)," ",(I$1-A144))," ")</f>
        <v> </v>
      </c>
      <c r="J144" s="334" t="str">
        <f aca="false">IF((E144="s"),G144," ")</f>
        <v> </v>
      </c>
      <c r="K144" s="334" t="str">
        <f aca="false">IF((E144="d"),G144," ")</f>
        <v> </v>
      </c>
      <c r="L144" s="334" t="str">
        <f aca="false">IF((E144="e"),G144," ")</f>
        <v> </v>
      </c>
      <c r="M144" s="334" t="str">
        <f aca="false">IF((E144="p"),G144," ")</f>
        <v> </v>
      </c>
      <c r="N144" s="334" t="str">
        <f aca="false">IF((E144="r"),G144," ")</f>
        <v> </v>
      </c>
      <c r="O144" s="334" t="str">
        <f aca="false">IF((E144="g"),G144," ")</f>
        <v> </v>
      </c>
      <c r="P144" s="334" t="str">
        <f aca="false">IF((E144="m"),G144," ")</f>
        <v> </v>
      </c>
      <c r="Q144" s="334" t="str">
        <f aca="false">IF((E144="t"),G144," ")</f>
        <v> </v>
      </c>
      <c r="R144" s="334" t="str">
        <f aca="false">IF((E144="a"),G144," ")</f>
        <v> </v>
      </c>
      <c r="S144" s="334" t="str">
        <f aca="false">IF((E144="l"),G144," ")</f>
        <v> </v>
      </c>
      <c r="T144" s="334" t="str">
        <f aca="false">IF((E144="b"),G144," ")</f>
        <v> </v>
      </c>
      <c r="U144" s="334" t="str">
        <f aca="false">IF((E144="i"),G144," ")</f>
        <v> </v>
      </c>
      <c r="V144" s="334" t="str">
        <f aca="false">IF((E144="o"),G144," ")</f>
        <v> </v>
      </c>
      <c r="W144" s="334" t="str">
        <f aca="false">IF((E144="f"),G144," ")</f>
        <v> </v>
      </c>
    </row>
    <row r="145" customFormat="false" ht="12.75" hidden="false" customHeight="false" outlineLevel="0" collapsed="false">
      <c r="A145" s="355"/>
      <c r="E145" s="365" t="str">
        <f aca="false">IF((G145&lt;&gt;0),"Enter Letter"," ")</f>
        <v> </v>
      </c>
      <c r="H145" s="338" t="str">
        <f aca="false">IF((G145&lt;&gt;0),IF((D145&gt;0)," ",G145)," ")</f>
        <v> </v>
      </c>
      <c r="I145" s="367" t="str">
        <f aca="false">IF((G145&lt;&gt;0),IF((D145&gt;0)," ",(I$1-A145))," ")</f>
        <v> </v>
      </c>
      <c r="J145" s="334" t="str">
        <f aca="false">IF((E145="s"),G145," ")</f>
        <v> </v>
      </c>
      <c r="K145" s="334" t="str">
        <f aca="false">IF((E145="d"),G145," ")</f>
        <v> </v>
      </c>
      <c r="L145" s="334" t="str">
        <f aca="false">IF((E145="e"),G145," ")</f>
        <v> </v>
      </c>
      <c r="M145" s="334" t="str">
        <f aca="false">IF((E145="p"),G145," ")</f>
        <v> </v>
      </c>
      <c r="N145" s="334" t="str">
        <f aca="false">IF((E145="r"),G145," ")</f>
        <v> </v>
      </c>
      <c r="O145" s="334" t="str">
        <f aca="false">IF((E145="g"),G145," ")</f>
        <v> </v>
      </c>
      <c r="P145" s="334" t="str">
        <f aca="false">IF((E145="m"),G145," ")</f>
        <v> </v>
      </c>
      <c r="Q145" s="334" t="str">
        <f aca="false">IF((E145="t"),G145," ")</f>
        <v> </v>
      </c>
      <c r="R145" s="334" t="str">
        <f aca="false">IF((E145="a"),G145," ")</f>
        <v> </v>
      </c>
      <c r="S145" s="334" t="str">
        <f aca="false">IF((E145="l"),G145," ")</f>
        <v> </v>
      </c>
      <c r="T145" s="334" t="str">
        <f aca="false">IF((E145="b"),G145," ")</f>
        <v> </v>
      </c>
      <c r="U145" s="334" t="str">
        <f aca="false">IF((E145="i"),G145," ")</f>
        <v> </v>
      </c>
      <c r="V145" s="334" t="str">
        <f aca="false">IF((E145="o"),G145," ")</f>
        <v> </v>
      </c>
      <c r="W145" s="334" t="str">
        <f aca="false">IF((E145="f"),G145," ")</f>
        <v> </v>
      </c>
    </row>
    <row r="146" customFormat="false" ht="12.75" hidden="false" customHeight="false" outlineLevel="0" collapsed="false">
      <c r="A146" s="355"/>
      <c r="E146" s="365" t="str">
        <f aca="false">IF((G146&lt;&gt;0),"Enter Letter"," ")</f>
        <v> </v>
      </c>
      <c r="H146" s="338" t="str">
        <f aca="false">IF((G146&lt;&gt;0),IF((D146&gt;0)," ",G146)," ")</f>
        <v> </v>
      </c>
      <c r="I146" s="367" t="str">
        <f aca="false">IF((G146&lt;&gt;0),IF((D146&gt;0)," ",(I$1-A146))," ")</f>
        <v> </v>
      </c>
      <c r="J146" s="334" t="str">
        <f aca="false">IF((E146="s"),G146," ")</f>
        <v> </v>
      </c>
      <c r="K146" s="334" t="str">
        <f aca="false">IF((E146="d"),G146," ")</f>
        <v> </v>
      </c>
      <c r="L146" s="334" t="str">
        <f aca="false">IF((E146="e"),G146," ")</f>
        <v> </v>
      </c>
      <c r="M146" s="334" t="str">
        <f aca="false">IF((E146="p"),G146," ")</f>
        <v> </v>
      </c>
      <c r="N146" s="334" t="str">
        <f aca="false">IF((E146="r"),G146," ")</f>
        <v> </v>
      </c>
      <c r="O146" s="334" t="str">
        <f aca="false">IF((E146="g"),G146," ")</f>
        <v> </v>
      </c>
      <c r="P146" s="334" t="str">
        <f aca="false">IF((E146="m"),G146," ")</f>
        <v> </v>
      </c>
      <c r="Q146" s="334" t="str">
        <f aca="false">IF((E146="t"),G146," ")</f>
        <v> </v>
      </c>
      <c r="R146" s="334" t="str">
        <f aca="false">IF((E146="a"),G146," ")</f>
        <v> </v>
      </c>
      <c r="S146" s="334" t="str">
        <f aca="false">IF((E146="l"),G146," ")</f>
        <v> </v>
      </c>
      <c r="T146" s="334" t="str">
        <f aca="false">IF((E146="b"),G146," ")</f>
        <v> </v>
      </c>
      <c r="U146" s="334" t="str">
        <f aca="false">IF((E146="i"),G146," ")</f>
        <v> </v>
      </c>
      <c r="V146" s="334" t="str">
        <f aca="false">IF((E146="o"),G146," ")</f>
        <v> </v>
      </c>
      <c r="W146" s="334" t="str">
        <f aca="false">IF((E146="f"),G146," ")</f>
        <v> </v>
      </c>
    </row>
    <row r="147" customFormat="false" ht="12.75" hidden="false" customHeight="false" outlineLevel="0" collapsed="false">
      <c r="A147" s="355"/>
      <c r="E147" s="365" t="str">
        <f aca="false">IF((G147&lt;&gt;0),"Enter Letter"," ")</f>
        <v> </v>
      </c>
      <c r="H147" s="338" t="str">
        <f aca="false">IF((G147&lt;&gt;0),IF((D147&gt;0)," ",G147)," ")</f>
        <v> </v>
      </c>
      <c r="I147" s="367" t="str">
        <f aca="false">IF((G147&lt;&gt;0),IF((D147&gt;0)," ",(I$1-A147))," ")</f>
        <v> </v>
      </c>
      <c r="J147" s="334" t="str">
        <f aca="false">IF((E147="s"),G147," ")</f>
        <v> </v>
      </c>
      <c r="K147" s="334" t="str">
        <f aca="false">IF((E147="d"),G147," ")</f>
        <v> </v>
      </c>
      <c r="L147" s="334" t="str">
        <f aca="false">IF((E147="e"),G147," ")</f>
        <v> </v>
      </c>
      <c r="M147" s="334" t="str">
        <f aca="false">IF((E147="p"),G147," ")</f>
        <v> </v>
      </c>
      <c r="N147" s="334" t="str">
        <f aca="false">IF((E147="r"),G147," ")</f>
        <v> </v>
      </c>
      <c r="O147" s="334" t="str">
        <f aca="false">IF((E147="g"),G147," ")</f>
        <v> </v>
      </c>
      <c r="P147" s="334" t="str">
        <f aca="false">IF((E147="m"),G147," ")</f>
        <v> </v>
      </c>
      <c r="Q147" s="334" t="str">
        <f aca="false">IF((E147="t"),G147," ")</f>
        <v> </v>
      </c>
      <c r="R147" s="334" t="str">
        <f aca="false">IF((E147="a"),G147," ")</f>
        <v> </v>
      </c>
      <c r="S147" s="334" t="str">
        <f aca="false">IF((E147="l"),G147," ")</f>
        <v> </v>
      </c>
      <c r="T147" s="334" t="str">
        <f aca="false">IF((E147="b"),G147," ")</f>
        <v> </v>
      </c>
      <c r="U147" s="334" t="str">
        <f aca="false">IF((E147="i"),G147," ")</f>
        <v> </v>
      </c>
      <c r="V147" s="334" t="str">
        <f aca="false">IF((E147="o"),G147," ")</f>
        <v> </v>
      </c>
      <c r="W147" s="334" t="str">
        <f aca="false">IF((E147="f"),G147," ")</f>
        <v> </v>
      </c>
    </row>
    <row r="148" customFormat="false" ht="12.75" hidden="false" customHeight="false" outlineLevel="0" collapsed="false">
      <c r="A148" s="355"/>
      <c r="E148" s="365" t="str">
        <f aca="false">IF((G148&lt;&gt;0),"Enter Letter"," ")</f>
        <v> </v>
      </c>
      <c r="H148" s="338" t="str">
        <f aca="false">IF((G148&lt;&gt;0),IF((D148&gt;0)," ",G148)," ")</f>
        <v> </v>
      </c>
      <c r="I148" s="367" t="str">
        <f aca="false">IF((G148&lt;&gt;0),IF((D148&gt;0)," ",(I$1-A148))," ")</f>
        <v> </v>
      </c>
      <c r="J148" s="334" t="str">
        <f aca="false">IF((E148="s"),G148," ")</f>
        <v> </v>
      </c>
      <c r="K148" s="334" t="str">
        <f aca="false">IF((E148="d"),G148," ")</f>
        <v> </v>
      </c>
      <c r="L148" s="334" t="str">
        <f aca="false">IF((E148="e"),G148," ")</f>
        <v> </v>
      </c>
      <c r="M148" s="334" t="str">
        <f aca="false">IF((E148="p"),G148," ")</f>
        <v> </v>
      </c>
      <c r="N148" s="334" t="str">
        <f aca="false">IF((E148="r"),G148," ")</f>
        <v> </v>
      </c>
      <c r="O148" s="334" t="str">
        <f aca="false">IF((E148="g"),G148," ")</f>
        <v> </v>
      </c>
      <c r="P148" s="334" t="str">
        <f aca="false">IF((E148="m"),G148," ")</f>
        <v> </v>
      </c>
      <c r="Q148" s="334" t="str">
        <f aca="false">IF((E148="t"),G148," ")</f>
        <v> </v>
      </c>
      <c r="R148" s="334" t="str">
        <f aca="false">IF((E148="a"),G148," ")</f>
        <v> </v>
      </c>
      <c r="S148" s="334" t="str">
        <f aca="false">IF((E148="l"),G148," ")</f>
        <v> </v>
      </c>
      <c r="T148" s="334" t="str">
        <f aca="false">IF((E148="b"),G148," ")</f>
        <v> </v>
      </c>
      <c r="U148" s="334" t="str">
        <f aca="false">IF((E148="i"),G148," ")</f>
        <v> </v>
      </c>
      <c r="V148" s="334" t="str">
        <f aca="false">IF((E148="o"),G148," ")</f>
        <v> </v>
      </c>
      <c r="W148" s="334" t="str">
        <f aca="false">IF((E148="f"),G148," ")</f>
        <v> </v>
      </c>
    </row>
    <row r="149" customFormat="false" ht="12.75" hidden="false" customHeight="false" outlineLevel="0" collapsed="false">
      <c r="A149" s="355"/>
      <c r="E149" s="365" t="str">
        <f aca="false">IF((G149&lt;&gt;0),"Enter Letter"," ")</f>
        <v> </v>
      </c>
      <c r="H149" s="338" t="str">
        <f aca="false">IF((G149&lt;&gt;0),IF((D149&gt;0)," ",G149)," ")</f>
        <v> </v>
      </c>
      <c r="I149" s="367" t="str">
        <f aca="false">IF((G149&lt;&gt;0),IF((D149&gt;0)," ",(I$1-A149))," ")</f>
        <v> </v>
      </c>
      <c r="J149" s="334" t="str">
        <f aca="false">IF((E149="s"),G149," ")</f>
        <v> </v>
      </c>
      <c r="K149" s="334" t="str">
        <f aca="false">IF((E149="d"),G149," ")</f>
        <v> </v>
      </c>
      <c r="L149" s="334" t="str">
        <f aca="false">IF((E149="e"),G149," ")</f>
        <v> </v>
      </c>
      <c r="M149" s="334" t="str">
        <f aca="false">IF((E149="p"),G149," ")</f>
        <v> </v>
      </c>
      <c r="N149" s="334" t="str">
        <f aca="false">IF((E149="r"),G149," ")</f>
        <v> </v>
      </c>
      <c r="O149" s="334" t="str">
        <f aca="false">IF((E149="g"),G149," ")</f>
        <v> </v>
      </c>
      <c r="P149" s="334" t="str">
        <f aca="false">IF((E149="m"),G149," ")</f>
        <v> </v>
      </c>
      <c r="Q149" s="334" t="str">
        <f aca="false">IF((E149="t"),G149," ")</f>
        <v> </v>
      </c>
      <c r="R149" s="334" t="str">
        <f aca="false">IF((E149="a"),G149," ")</f>
        <v> </v>
      </c>
      <c r="S149" s="334" t="str">
        <f aca="false">IF((E149="l"),G149," ")</f>
        <v> </v>
      </c>
      <c r="T149" s="334" t="str">
        <f aca="false">IF((E149="b"),G149," ")</f>
        <v> </v>
      </c>
      <c r="U149" s="334" t="str">
        <f aca="false">IF((E149="i"),G149," ")</f>
        <v> </v>
      </c>
      <c r="V149" s="334" t="str">
        <f aca="false">IF((E149="o"),G149," ")</f>
        <v> </v>
      </c>
      <c r="W149" s="334" t="str">
        <f aca="false">IF((E149="f"),G149," ")</f>
        <v> </v>
      </c>
    </row>
    <row r="150" customFormat="false" ht="12.75" hidden="false" customHeight="false" outlineLevel="0" collapsed="false">
      <c r="A150" s="355"/>
      <c r="E150" s="365" t="str">
        <f aca="false">IF((G150&lt;&gt;0),"Enter Letter"," ")</f>
        <v> </v>
      </c>
      <c r="H150" s="338" t="str">
        <f aca="false">IF((G150&lt;&gt;0),IF((D150&gt;0)," ",G150)," ")</f>
        <v> </v>
      </c>
      <c r="I150" s="367" t="str">
        <f aca="false">IF((G150&lt;&gt;0),IF((D150&gt;0)," ",(I$1-A150))," ")</f>
        <v> </v>
      </c>
      <c r="J150" s="334" t="str">
        <f aca="false">IF((E150="s"),G150," ")</f>
        <v> </v>
      </c>
      <c r="K150" s="334" t="str">
        <f aca="false">IF((E150="d"),G150," ")</f>
        <v> </v>
      </c>
      <c r="L150" s="334" t="str">
        <f aca="false">IF((E150="e"),G150," ")</f>
        <v> </v>
      </c>
      <c r="M150" s="334" t="str">
        <f aca="false">IF((E150="p"),G150," ")</f>
        <v> </v>
      </c>
      <c r="N150" s="334" t="str">
        <f aca="false">IF((E150="r"),G150," ")</f>
        <v> </v>
      </c>
      <c r="O150" s="334" t="str">
        <f aca="false">IF((E150="g"),G150," ")</f>
        <v> </v>
      </c>
      <c r="P150" s="334" t="str">
        <f aca="false">IF((E150="m"),G150," ")</f>
        <v> </v>
      </c>
      <c r="Q150" s="334" t="str">
        <f aca="false">IF((E150="t"),G150," ")</f>
        <v> </v>
      </c>
      <c r="R150" s="334" t="str">
        <f aca="false">IF((E150="a"),G150," ")</f>
        <v> </v>
      </c>
      <c r="S150" s="334" t="str">
        <f aca="false">IF((E150="l"),G150," ")</f>
        <v> </v>
      </c>
      <c r="T150" s="334" t="str">
        <f aca="false">IF((E150="b"),G150," ")</f>
        <v> </v>
      </c>
      <c r="U150" s="334" t="str">
        <f aca="false">IF((E150="i"),G150," ")</f>
        <v> </v>
      </c>
      <c r="V150" s="334" t="str">
        <f aca="false">IF((E150="o"),G150," ")</f>
        <v> </v>
      </c>
      <c r="W150" s="334" t="str">
        <f aca="false">IF((E150="f"),G150," ")</f>
        <v> </v>
      </c>
    </row>
    <row r="151" customFormat="false" ht="12.75" hidden="false" customHeight="false" outlineLevel="0" collapsed="false">
      <c r="A151" s="355"/>
      <c r="E151" s="365" t="str">
        <f aca="false">IF((G151&lt;&gt;0),"Enter Letter"," ")</f>
        <v> </v>
      </c>
      <c r="H151" s="338" t="str">
        <f aca="false">IF((G151&lt;&gt;0),IF((D151&gt;0)," ",G151)," ")</f>
        <v> </v>
      </c>
      <c r="I151" s="367" t="str">
        <f aca="false">IF((G151&lt;&gt;0),IF((D151&gt;0)," ",(I$1-A151))," ")</f>
        <v> </v>
      </c>
      <c r="J151" s="334" t="str">
        <f aca="false">IF((E151="s"),G151," ")</f>
        <v> </v>
      </c>
      <c r="K151" s="334" t="str">
        <f aca="false">IF((E151="d"),G151," ")</f>
        <v> </v>
      </c>
      <c r="L151" s="334" t="str">
        <f aca="false">IF((E151="e"),G151," ")</f>
        <v> </v>
      </c>
      <c r="M151" s="334" t="str">
        <f aca="false">IF((E151="p"),G151," ")</f>
        <v> </v>
      </c>
      <c r="N151" s="334" t="str">
        <f aca="false">IF((E151="r"),G151," ")</f>
        <v> </v>
      </c>
      <c r="O151" s="334" t="str">
        <f aca="false">IF((E151="g"),G151," ")</f>
        <v> </v>
      </c>
      <c r="P151" s="334" t="str">
        <f aca="false">IF((E151="m"),G151," ")</f>
        <v> </v>
      </c>
      <c r="Q151" s="334" t="str">
        <f aca="false">IF((E151="t"),G151," ")</f>
        <v> </v>
      </c>
      <c r="R151" s="334" t="str">
        <f aca="false">IF((E151="a"),G151," ")</f>
        <v> </v>
      </c>
      <c r="S151" s="334" t="str">
        <f aca="false">IF((E151="l"),G151," ")</f>
        <v> </v>
      </c>
      <c r="T151" s="334" t="str">
        <f aca="false">IF((E151="b"),G151," ")</f>
        <v> </v>
      </c>
      <c r="U151" s="334" t="str">
        <f aca="false">IF((E151="i"),G151," ")</f>
        <v> </v>
      </c>
      <c r="V151" s="334" t="str">
        <f aca="false">IF((E151="o"),G151," ")</f>
        <v> </v>
      </c>
      <c r="W151" s="334" t="str">
        <f aca="false">IF((E151="f"),G151," ")</f>
        <v> </v>
      </c>
    </row>
    <row r="152" customFormat="false" ht="12.75" hidden="false" customHeight="false" outlineLevel="0" collapsed="false">
      <c r="A152" s="355"/>
      <c r="E152" s="365" t="str">
        <f aca="false">IF((G152&lt;&gt;0),"Enter Letter"," ")</f>
        <v> </v>
      </c>
      <c r="H152" s="338" t="str">
        <f aca="false">IF((G152&lt;&gt;0),IF((D152&gt;0)," ",G152)," ")</f>
        <v> </v>
      </c>
      <c r="I152" s="367" t="str">
        <f aca="false">IF((G152&lt;&gt;0),IF((D152&gt;0)," ",(I$1-A152))," ")</f>
        <v> </v>
      </c>
      <c r="J152" s="334" t="str">
        <f aca="false">IF((E152="s"),G152," ")</f>
        <v> </v>
      </c>
      <c r="K152" s="334" t="str">
        <f aca="false">IF((E152="d"),G152," ")</f>
        <v> </v>
      </c>
      <c r="L152" s="334" t="str">
        <f aca="false">IF((E152="e"),G152," ")</f>
        <v> </v>
      </c>
      <c r="M152" s="334" t="str">
        <f aca="false">IF((E152="p"),G152," ")</f>
        <v> </v>
      </c>
      <c r="N152" s="334" t="str">
        <f aca="false">IF((E152="r"),G152," ")</f>
        <v> </v>
      </c>
      <c r="O152" s="334" t="str">
        <f aca="false">IF((E152="g"),G152," ")</f>
        <v> </v>
      </c>
      <c r="P152" s="334" t="str">
        <f aca="false">IF((E152="m"),G152," ")</f>
        <v> </v>
      </c>
      <c r="Q152" s="334" t="str">
        <f aca="false">IF((E152="t"),G152," ")</f>
        <v> </v>
      </c>
      <c r="R152" s="334" t="str">
        <f aca="false">IF((E152="a"),G152," ")</f>
        <v> </v>
      </c>
      <c r="S152" s="334" t="str">
        <f aca="false">IF((E152="l"),G152," ")</f>
        <v> </v>
      </c>
      <c r="T152" s="334" t="str">
        <f aca="false">IF((E152="b"),G152," ")</f>
        <v> </v>
      </c>
      <c r="U152" s="334" t="str">
        <f aca="false">IF((E152="i"),G152," ")</f>
        <v> </v>
      </c>
      <c r="V152" s="334" t="str">
        <f aca="false">IF((E152="o"),G152," ")</f>
        <v> </v>
      </c>
      <c r="W152" s="334" t="str">
        <f aca="false">IF((E152="f"),G152," ")</f>
        <v> </v>
      </c>
    </row>
    <row r="153" customFormat="false" ht="12.75" hidden="false" customHeight="false" outlineLevel="0" collapsed="false">
      <c r="A153" s="355"/>
      <c r="E153" s="365" t="str">
        <f aca="false">IF((G153&lt;&gt;0),"Enter Letter"," ")</f>
        <v> </v>
      </c>
      <c r="H153" s="338" t="str">
        <f aca="false">IF((G153&lt;&gt;0),IF((D153&gt;0)," ",G153)," ")</f>
        <v> </v>
      </c>
      <c r="I153" s="367" t="str">
        <f aca="false">IF((G153&lt;&gt;0),IF((D153&gt;0)," ",(I$1-A153))," ")</f>
        <v> </v>
      </c>
      <c r="J153" s="334" t="str">
        <f aca="false">IF((E153="s"),G153," ")</f>
        <v> </v>
      </c>
      <c r="K153" s="334" t="str">
        <f aca="false">IF((E153="d"),G153," ")</f>
        <v> </v>
      </c>
      <c r="L153" s="334" t="str">
        <f aca="false">IF((E153="e"),G153," ")</f>
        <v> </v>
      </c>
      <c r="M153" s="334" t="str">
        <f aca="false">IF((E153="p"),G153," ")</f>
        <v> </v>
      </c>
      <c r="N153" s="334" t="str">
        <f aca="false">IF((E153="r"),G153," ")</f>
        <v> </v>
      </c>
      <c r="O153" s="334" t="str">
        <f aca="false">IF((E153="g"),G153," ")</f>
        <v> </v>
      </c>
      <c r="P153" s="334" t="str">
        <f aca="false">IF((E153="m"),G153," ")</f>
        <v> </v>
      </c>
      <c r="Q153" s="334" t="str">
        <f aca="false">IF((E153="t"),G153," ")</f>
        <v> </v>
      </c>
      <c r="R153" s="334" t="str">
        <f aca="false">IF((E153="a"),G153," ")</f>
        <v> </v>
      </c>
      <c r="S153" s="334" t="str">
        <f aca="false">IF((E153="l"),G153," ")</f>
        <v> </v>
      </c>
      <c r="T153" s="334" t="str">
        <f aca="false">IF((E153="b"),G153," ")</f>
        <v> </v>
      </c>
      <c r="U153" s="334" t="str">
        <f aca="false">IF((E153="i"),G153," ")</f>
        <v> </v>
      </c>
      <c r="V153" s="334" t="str">
        <f aca="false">IF((E153="o"),G153," ")</f>
        <v> </v>
      </c>
      <c r="W153" s="334" t="str">
        <f aca="false">IF((E153="f"),G153," ")</f>
        <v> </v>
      </c>
    </row>
    <row r="154" customFormat="false" ht="12.75" hidden="false" customHeight="false" outlineLevel="0" collapsed="false">
      <c r="A154" s="355"/>
      <c r="E154" s="365" t="str">
        <f aca="false">IF((G154&lt;&gt;0),"Enter Letter"," ")</f>
        <v> </v>
      </c>
      <c r="H154" s="338" t="str">
        <f aca="false">IF((G154&lt;&gt;0),IF((D154&gt;0)," ",G154)," ")</f>
        <v> </v>
      </c>
      <c r="I154" s="367" t="str">
        <f aca="false">IF((G154&lt;&gt;0),IF((D154&gt;0)," ",(I$1-A154))," ")</f>
        <v> </v>
      </c>
      <c r="J154" s="334" t="str">
        <f aca="false">IF((E154="s"),G154," ")</f>
        <v> </v>
      </c>
      <c r="K154" s="334" t="str">
        <f aca="false">IF((E154="d"),G154," ")</f>
        <v> </v>
      </c>
      <c r="L154" s="334" t="str">
        <f aca="false">IF((E154="e"),G154," ")</f>
        <v> </v>
      </c>
      <c r="M154" s="334" t="str">
        <f aca="false">IF((E154="p"),G154," ")</f>
        <v> </v>
      </c>
      <c r="N154" s="334" t="str">
        <f aca="false">IF((E154="r"),G154," ")</f>
        <v> </v>
      </c>
      <c r="O154" s="334" t="str">
        <f aca="false">IF((E154="g"),G154," ")</f>
        <v> </v>
      </c>
      <c r="P154" s="334" t="str">
        <f aca="false">IF((E154="m"),G154," ")</f>
        <v> </v>
      </c>
      <c r="Q154" s="334" t="str">
        <f aca="false">IF((E154="t"),G154," ")</f>
        <v> </v>
      </c>
      <c r="R154" s="334" t="str">
        <f aca="false">IF((E154="a"),G154," ")</f>
        <v> </v>
      </c>
      <c r="S154" s="334" t="str">
        <f aca="false">IF((E154="l"),G154," ")</f>
        <v> </v>
      </c>
      <c r="T154" s="334" t="str">
        <f aca="false">IF((E154="b"),G154," ")</f>
        <v> </v>
      </c>
      <c r="U154" s="334" t="str">
        <f aca="false">IF((E154="i"),G154," ")</f>
        <v> </v>
      </c>
      <c r="V154" s="334" t="str">
        <f aca="false">IF((E154="o"),G154," ")</f>
        <v> </v>
      </c>
      <c r="W154" s="334" t="str">
        <f aca="false">IF((E154="f"),G154," ")</f>
        <v> </v>
      </c>
    </row>
    <row r="155" customFormat="false" ht="12.75" hidden="false" customHeight="false" outlineLevel="0" collapsed="false">
      <c r="A155" s="355"/>
      <c r="E155" s="365" t="str">
        <f aca="false">IF((G155&lt;&gt;0),"Enter Letter"," ")</f>
        <v> </v>
      </c>
      <c r="H155" s="338" t="str">
        <f aca="false">IF((G155&lt;&gt;0),IF((D155&gt;0)," ",G155)," ")</f>
        <v> </v>
      </c>
      <c r="I155" s="367" t="str">
        <f aca="false">IF((G155&lt;&gt;0),IF((D155&gt;0)," ",(I$1-A155))," ")</f>
        <v> </v>
      </c>
      <c r="J155" s="334" t="str">
        <f aca="false">IF((E155="s"),G155," ")</f>
        <v> </v>
      </c>
      <c r="K155" s="334" t="str">
        <f aca="false">IF((E155="d"),G155," ")</f>
        <v> </v>
      </c>
      <c r="L155" s="334" t="str">
        <f aca="false">IF((E155="e"),G155," ")</f>
        <v> </v>
      </c>
      <c r="M155" s="334" t="str">
        <f aca="false">IF((E155="p"),G155," ")</f>
        <v> </v>
      </c>
      <c r="N155" s="334" t="str">
        <f aca="false">IF((E155="r"),G155," ")</f>
        <v> </v>
      </c>
      <c r="O155" s="334" t="str">
        <f aca="false">IF((E155="g"),G155," ")</f>
        <v> </v>
      </c>
      <c r="P155" s="334" t="str">
        <f aca="false">IF((E155="m"),G155," ")</f>
        <v> </v>
      </c>
      <c r="Q155" s="334" t="str">
        <f aca="false">IF((E155="t"),G155," ")</f>
        <v> </v>
      </c>
      <c r="R155" s="334" t="str">
        <f aca="false">IF((E155="a"),G155," ")</f>
        <v> </v>
      </c>
      <c r="S155" s="334" t="str">
        <f aca="false">IF((E155="l"),G155," ")</f>
        <v> </v>
      </c>
      <c r="T155" s="334" t="str">
        <f aca="false">IF((E155="b"),G155," ")</f>
        <v> </v>
      </c>
      <c r="U155" s="334" t="str">
        <f aca="false">IF((E155="i"),G155," ")</f>
        <v> </v>
      </c>
      <c r="V155" s="334" t="str">
        <f aca="false">IF((E155="o"),G155," ")</f>
        <v> </v>
      </c>
      <c r="W155" s="334" t="str">
        <f aca="false">IF((E155="f"),G155," ")</f>
        <v> </v>
      </c>
    </row>
    <row r="156" customFormat="false" ht="12.75" hidden="false" customHeight="false" outlineLevel="0" collapsed="false">
      <c r="A156" s="355"/>
      <c r="E156" s="365" t="str">
        <f aca="false">IF((G156&lt;&gt;0),"Enter Letter"," ")</f>
        <v> </v>
      </c>
      <c r="H156" s="338" t="str">
        <f aca="false">IF((G156&lt;&gt;0),IF((D156&gt;0)," ",G156)," ")</f>
        <v> </v>
      </c>
      <c r="I156" s="367" t="str">
        <f aca="false">IF((G156&lt;&gt;0),IF((D156&gt;0)," ",(I$1-A156))," ")</f>
        <v> </v>
      </c>
      <c r="J156" s="334" t="str">
        <f aca="false">IF((E156="s"),G156," ")</f>
        <v> </v>
      </c>
      <c r="K156" s="334" t="str">
        <f aca="false">IF((E156="d"),G156," ")</f>
        <v> </v>
      </c>
      <c r="L156" s="334" t="str">
        <f aca="false">IF((E156="e"),G156," ")</f>
        <v> </v>
      </c>
      <c r="M156" s="334" t="str">
        <f aca="false">IF((E156="p"),G156," ")</f>
        <v> </v>
      </c>
      <c r="N156" s="334" t="str">
        <f aca="false">IF((E156="r"),G156," ")</f>
        <v> </v>
      </c>
      <c r="O156" s="334" t="str">
        <f aca="false">IF((E156="g"),G156," ")</f>
        <v> </v>
      </c>
      <c r="P156" s="334" t="str">
        <f aca="false">IF((E156="m"),G156," ")</f>
        <v> </v>
      </c>
      <c r="Q156" s="334" t="str">
        <f aca="false">IF((E156="t"),G156," ")</f>
        <v> </v>
      </c>
      <c r="R156" s="334" t="str">
        <f aca="false">IF((E156="a"),G156," ")</f>
        <v> </v>
      </c>
      <c r="S156" s="334" t="str">
        <f aca="false">IF((E156="l"),G156," ")</f>
        <v> </v>
      </c>
      <c r="T156" s="334" t="str">
        <f aca="false">IF((E156="b"),G156," ")</f>
        <v> </v>
      </c>
      <c r="U156" s="334" t="str">
        <f aca="false">IF((E156="i"),G156," ")</f>
        <v> </v>
      </c>
      <c r="V156" s="334" t="str">
        <f aca="false">IF((E156="o"),G156," ")</f>
        <v> </v>
      </c>
      <c r="W156" s="334" t="str">
        <f aca="false">IF((E156="f"),G156," ")</f>
        <v> </v>
      </c>
    </row>
    <row r="157" customFormat="false" ht="12.75" hidden="false" customHeight="false" outlineLevel="0" collapsed="false">
      <c r="A157" s="355"/>
      <c r="E157" s="365" t="str">
        <f aca="false">IF((G157&lt;&gt;0),"Enter Letter"," ")</f>
        <v> </v>
      </c>
      <c r="H157" s="338" t="str">
        <f aca="false">IF((G157&lt;&gt;0),IF((D157&gt;0)," ",G157)," ")</f>
        <v> </v>
      </c>
      <c r="I157" s="367" t="str">
        <f aca="false">IF((G157&lt;&gt;0),IF((D157&gt;0)," ",(I$1-A157))," ")</f>
        <v> </v>
      </c>
      <c r="J157" s="334" t="str">
        <f aca="false">IF((E157="s"),G157," ")</f>
        <v> </v>
      </c>
      <c r="K157" s="334" t="str">
        <f aca="false">IF((E157="d"),G157," ")</f>
        <v> </v>
      </c>
      <c r="L157" s="334" t="str">
        <f aca="false">IF((E157="e"),G157," ")</f>
        <v> </v>
      </c>
      <c r="M157" s="334" t="str">
        <f aca="false">IF((E157="p"),G157," ")</f>
        <v> </v>
      </c>
      <c r="N157" s="334" t="str">
        <f aca="false">IF((E157="r"),G157," ")</f>
        <v> </v>
      </c>
      <c r="O157" s="334" t="str">
        <f aca="false">IF((E157="g"),G157," ")</f>
        <v> </v>
      </c>
      <c r="P157" s="334" t="str">
        <f aca="false">IF((E157="m"),G157," ")</f>
        <v> </v>
      </c>
      <c r="Q157" s="334" t="str">
        <f aca="false">IF((E157="t"),G157," ")</f>
        <v> </v>
      </c>
      <c r="R157" s="334" t="str">
        <f aca="false">IF((E157="a"),G157," ")</f>
        <v> </v>
      </c>
      <c r="S157" s="334" t="str">
        <f aca="false">IF((E157="l"),G157," ")</f>
        <v> </v>
      </c>
      <c r="T157" s="334" t="str">
        <f aca="false">IF((E157="b"),G157," ")</f>
        <v> </v>
      </c>
      <c r="U157" s="334" t="str">
        <f aca="false">IF((E157="i"),G157," ")</f>
        <v> </v>
      </c>
      <c r="V157" s="334" t="str">
        <f aca="false">IF((E157="o"),G157," ")</f>
        <v> </v>
      </c>
      <c r="W157" s="334" t="str">
        <f aca="false">IF((E157="f"),G157," ")</f>
        <v> </v>
      </c>
    </row>
    <row r="158" customFormat="false" ht="12.75" hidden="false" customHeight="false" outlineLevel="0" collapsed="false">
      <c r="A158" s="355"/>
      <c r="E158" s="365" t="str">
        <f aca="false">IF((G158&lt;&gt;0),"Enter Letter"," ")</f>
        <v> </v>
      </c>
      <c r="H158" s="338" t="str">
        <f aca="false">IF((G158&lt;&gt;0),IF((D158&gt;0)," ",G158)," ")</f>
        <v> </v>
      </c>
      <c r="I158" s="367" t="str">
        <f aca="false">IF((G158&lt;&gt;0),IF((D158&gt;0)," ",(I$1-A158))," ")</f>
        <v> </v>
      </c>
      <c r="J158" s="334" t="str">
        <f aca="false">IF((E158="s"),G158," ")</f>
        <v> </v>
      </c>
      <c r="K158" s="334" t="str">
        <f aca="false">IF((E158="d"),G158," ")</f>
        <v> </v>
      </c>
      <c r="L158" s="334" t="str">
        <f aca="false">IF((E158="e"),G158," ")</f>
        <v> </v>
      </c>
      <c r="M158" s="334" t="str">
        <f aca="false">IF((E158="p"),G158," ")</f>
        <v> </v>
      </c>
      <c r="N158" s="334" t="str">
        <f aca="false">IF((E158="r"),G158," ")</f>
        <v> </v>
      </c>
      <c r="O158" s="334" t="str">
        <f aca="false">IF((E158="g"),G158," ")</f>
        <v> </v>
      </c>
      <c r="P158" s="334" t="str">
        <f aca="false">IF((E158="m"),G158," ")</f>
        <v> </v>
      </c>
      <c r="Q158" s="334" t="str">
        <f aca="false">IF((E158="t"),G158," ")</f>
        <v> </v>
      </c>
      <c r="R158" s="334" t="str">
        <f aca="false">IF((E158="a"),G158," ")</f>
        <v> </v>
      </c>
      <c r="S158" s="334" t="str">
        <f aca="false">IF((E158="l"),G158," ")</f>
        <v> </v>
      </c>
      <c r="T158" s="334" t="str">
        <f aca="false">IF((E158="b"),G158," ")</f>
        <v> </v>
      </c>
      <c r="U158" s="334" t="str">
        <f aca="false">IF((E158="i"),G158," ")</f>
        <v> </v>
      </c>
      <c r="V158" s="334" t="str">
        <f aca="false">IF((E158="o"),G158," ")</f>
        <v> </v>
      </c>
      <c r="W158" s="334" t="str">
        <f aca="false">IF((E158="f"),G158," ")</f>
        <v> </v>
      </c>
    </row>
    <row r="159" customFormat="false" ht="12.75" hidden="false" customHeight="false" outlineLevel="0" collapsed="false">
      <c r="A159" s="355"/>
      <c r="E159" s="365" t="str">
        <f aca="false">IF((G159&lt;&gt;0),"Enter Letter"," ")</f>
        <v> </v>
      </c>
      <c r="H159" s="338" t="str">
        <f aca="false">IF((G159&lt;&gt;0),IF((D159&gt;0)," ",G159)," ")</f>
        <v> </v>
      </c>
      <c r="I159" s="367" t="str">
        <f aca="false">IF((G159&lt;&gt;0),IF((D159&gt;0)," ",(I$1-A159))," ")</f>
        <v> </v>
      </c>
      <c r="J159" s="334" t="str">
        <f aca="false">IF((E159="s"),G159," ")</f>
        <v> </v>
      </c>
      <c r="K159" s="334" t="str">
        <f aca="false">IF((E159="d"),G159," ")</f>
        <v> </v>
      </c>
      <c r="L159" s="334" t="str">
        <f aca="false">IF((E159="e"),G159," ")</f>
        <v> </v>
      </c>
      <c r="M159" s="334" t="str">
        <f aca="false">IF((E159="p"),G159," ")</f>
        <v> </v>
      </c>
      <c r="N159" s="334" t="str">
        <f aca="false">IF((E159="r"),G159," ")</f>
        <v> </v>
      </c>
      <c r="O159" s="334" t="str">
        <f aca="false">IF((E159="g"),G159," ")</f>
        <v> </v>
      </c>
      <c r="P159" s="334" t="str">
        <f aca="false">IF((E159="m"),G159," ")</f>
        <v> </v>
      </c>
      <c r="Q159" s="334" t="str">
        <f aca="false">IF((E159="t"),G159," ")</f>
        <v> </v>
      </c>
      <c r="R159" s="334" t="str">
        <f aca="false">IF((E159="a"),G159," ")</f>
        <v> </v>
      </c>
      <c r="S159" s="334" t="str">
        <f aca="false">IF((E159="l"),G159," ")</f>
        <v> </v>
      </c>
      <c r="T159" s="334" t="str">
        <f aca="false">IF((E159="b"),G159," ")</f>
        <v> </v>
      </c>
      <c r="U159" s="334" t="str">
        <f aca="false">IF((E159="i"),G159," ")</f>
        <v> </v>
      </c>
      <c r="V159" s="334" t="str">
        <f aca="false">IF((E159="o"),G159," ")</f>
        <v> </v>
      </c>
      <c r="W159" s="334" t="str">
        <f aca="false">IF((E159="f"),G159," ")</f>
        <v> </v>
      </c>
    </row>
    <row r="160" customFormat="false" ht="12.75" hidden="false" customHeight="false" outlineLevel="0" collapsed="false">
      <c r="A160" s="355"/>
      <c r="E160" s="365" t="str">
        <f aca="false">IF((G160&lt;&gt;0),"Enter Letter"," ")</f>
        <v> </v>
      </c>
      <c r="H160" s="338" t="str">
        <f aca="false">IF((G160&lt;&gt;0),IF((D160&gt;0)," ",G160)," ")</f>
        <v> </v>
      </c>
      <c r="I160" s="367" t="str">
        <f aca="false">IF((G160&lt;&gt;0),IF((D160&gt;0)," ",(I$1-A160))," ")</f>
        <v> </v>
      </c>
      <c r="J160" s="334" t="str">
        <f aca="false">IF((E160="s"),G160," ")</f>
        <v> </v>
      </c>
      <c r="K160" s="334" t="str">
        <f aca="false">IF((E160="d"),G160," ")</f>
        <v> </v>
      </c>
      <c r="L160" s="334" t="str">
        <f aca="false">IF((E160="e"),G160," ")</f>
        <v> </v>
      </c>
      <c r="M160" s="334" t="str">
        <f aca="false">IF((E160="p"),G160," ")</f>
        <v> </v>
      </c>
      <c r="N160" s="334" t="str">
        <f aca="false">IF((E160="r"),G160," ")</f>
        <v> </v>
      </c>
      <c r="O160" s="334" t="str">
        <f aca="false">IF((E160="g"),G160," ")</f>
        <v> </v>
      </c>
      <c r="P160" s="334" t="str">
        <f aca="false">IF((E160="m"),G160," ")</f>
        <v> </v>
      </c>
      <c r="Q160" s="334" t="str">
        <f aca="false">IF((E160="t"),G160," ")</f>
        <v> </v>
      </c>
      <c r="R160" s="334" t="str">
        <f aca="false">IF((E160="a"),G160," ")</f>
        <v> </v>
      </c>
      <c r="S160" s="334" t="str">
        <f aca="false">IF((E160="l"),G160," ")</f>
        <v> </v>
      </c>
      <c r="T160" s="334" t="str">
        <f aca="false">IF((E160="b"),G160," ")</f>
        <v> </v>
      </c>
      <c r="U160" s="334" t="str">
        <f aca="false">IF((E160="i"),G160," ")</f>
        <v> </v>
      </c>
      <c r="V160" s="334" t="str">
        <f aca="false">IF((E160="o"),G160," ")</f>
        <v> </v>
      </c>
      <c r="W160" s="334" t="str">
        <f aca="false">IF((E160="f"),G160," ")</f>
        <v> </v>
      </c>
    </row>
    <row r="161" customFormat="false" ht="12.75" hidden="false" customHeight="false" outlineLevel="0" collapsed="false">
      <c r="A161" s="355"/>
      <c r="E161" s="365" t="str">
        <f aca="false">IF((G161&lt;&gt;0),"Enter Letter"," ")</f>
        <v> </v>
      </c>
      <c r="H161" s="338" t="str">
        <f aca="false">IF((G161&lt;&gt;0),IF((D161&gt;0)," ",G161)," ")</f>
        <v> </v>
      </c>
      <c r="I161" s="367" t="str">
        <f aca="false">IF((G161&lt;&gt;0),IF((D161&gt;0)," ",(I$1-A161))," ")</f>
        <v> </v>
      </c>
      <c r="J161" s="334" t="str">
        <f aca="false">IF((E161="s"),G161," ")</f>
        <v> </v>
      </c>
      <c r="K161" s="334" t="str">
        <f aca="false">IF((E161="d"),G161," ")</f>
        <v> </v>
      </c>
      <c r="L161" s="334" t="str">
        <f aca="false">IF((E161="e"),G161," ")</f>
        <v> </v>
      </c>
      <c r="M161" s="334" t="str">
        <f aca="false">IF((E161="p"),G161," ")</f>
        <v> </v>
      </c>
      <c r="N161" s="334" t="str">
        <f aca="false">IF((E161="r"),G161," ")</f>
        <v> </v>
      </c>
      <c r="O161" s="334" t="str">
        <f aca="false">IF((E161="g"),G161," ")</f>
        <v> </v>
      </c>
      <c r="P161" s="334" t="str">
        <f aca="false">IF((E161="m"),G161," ")</f>
        <v> </v>
      </c>
      <c r="Q161" s="334" t="str">
        <f aca="false">IF((E161="t"),G161," ")</f>
        <v> </v>
      </c>
      <c r="R161" s="334" t="str">
        <f aca="false">IF((E161="a"),G161," ")</f>
        <v> </v>
      </c>
      <c r="S161" s="334" t="str">
        <f aca="false">IF((E161="l"),G161," ")</f>
        <v> </v>
      </c>
      <c r="T161" s="334" t="str">
        <f aca="false">IF((E161="b"),G161," ")</f>
        <v> </v>
      </c>
      <c r="U161" s="334" t="str">
        <f aca="false">IF((E161="i"),G161," ")</f>
        <v> </v>
      </c>
      <c r="V161" s="334" t="str">
        <f aca="false">IF((E161="o"),G161," ")</f>
        <v> </v>
      </c>
      <c r="W161" s="334" t="str">
        <f aca="false">IF((E161="f"),G161," ")</f>
        <v> </v>
      </c>
    </row>
    <row r="162" customFormat="false" ht="12.75" hidden="false" customHeight="false" outlineLevel="0" collapsed="false">
      <c r="A162" s="355"/>
      <c r="E162" s="365" t="str">
        <f aca="false">IF((G162&lt;&gt;0),"Enter Letter"," ")</f>
        <v> </v>
      </c>
      <c r="H162" s="338" t="str">
        <f aca="false">IF((G162&lt;&gt;0),IF((D162&gt;0)," ",G162)," ")</f>
        <v> </v>
      </c>
      <c r="I162" s="367" t="str">
        <f aca="false">IF((G162&lt;&gt;0),IF((D162&gt;0)," ",(I$1-A162))," ")</f>
        <v> </v>
      </c>
      <c r="J162" s="334" t="str">
        <f aca="false">IF((E162="s"),G162," ")</f>
        <v> </v>
      </c>
      <c r="K162" s="334" t="str">
        <f aca="false">IF((E162="d"),G162," ")</f>
        <v> </v>
      </c>
      <c r="L162" s="334" t="str">
        <f aca="false">IF((E162="e"),G162," ")</f>
        <v> </v>
      </c>
      <c r="M162" s="334" t="str">
        <f aca="false">IF((E162="p"),G162," ")</f>
        <v> </v>
      </c>
      <c r="N162" s="334" t="str">
        <f aca="false">IF((E162="r"),G162," ")</f>
        <v> </v>
      </c>
      <c r="O162" s="334" t="str">
        <f aca="false">IF((E162="g"),G162," ")</f>
        <v> </v>
      </c>
      <c r="P162" s="334" t="str">
        <f aca="false">IF((E162="m"),G162," ")</f>
        <v> </v>
      </c>
      <c r="Q162" s="334" t="str">
        <f aca="false">IF((E162="t"),G162," ")</f>
        <v> </v>
      </c>
      <c r="R162" s="334" t="str">
        <f aca="false">IF((E162="a"),G162," ")</f>
        <v> </v>
      </c>
      <c r="S162" s="334" t="str">
        <f aca="false">IF((E162="l"),G162," ")</f>
        <v> </v>
      </c>
      <c r="T162" s="334" t="str">
        <f aca="false">IF((E162="b"),G162," ")</f>
        <v> </v>
      </c>
      <c r="U162" s="334" t="str">
        <f aca="false">IF((E162="i"),G162," ")</f>
        <v> </v>
      </c>
      <c r="V162" s="334" t="str">
        <f aca="false">IF((E162="o"),G162," ")</f>
        <v> </v>
      </c>
      <c r="W162" s="334" t="str">
        <f aca="false">IF((E162="f"),G162," ")</f>
        <v> </v>
      </c>
    </row>
    <row r="163" customFormat="false" ht="12.75" hidden="false" customHeight="false" outlineLevel="0" collapsed="false">
      <c r="A163" s="355"/>
      <c r="E163" s="365" t="str">
        <f aca="false">IF((G163&lt;&gt;0),"Enter Letter"," ")</f>
        <v> </v>
      </c>
      <c r="H163" s="338" t="str">
        <f aca="false">IF((G163&lt;&gt;0),IF((D163&gt;0)," ",G163)," ")</f>
        <v> </v>
      </c>
      <c r="I163" s="367" t="str">
        <f aca="false">IF((G163&lt;&gt;0),IF((D163&gt;0)," ",(I$1-A163))," ")</f>
        <v> </v>
      </c>
      <c r="J163" s="334" t="str">
        <f aca="false">IF((E163="s"),G163," ")</f>
        <v> </v>
      </c>
      <c r="K163" s="334" t="str">
        <f aca="false">IF((E163="d"),G163," ")</f>
        <v> </v>
      </c>
      <c r="L163" s="334" t="str">
        <f aca="false">IF((E163="e"),G163," ")</f>
        <v> </v>
      </c>
      <c r="M163" s="334" t="str">
        <f aca="false">IF((E163="p"),G163," ")</f>
        <v> </v>
      </c>
      <c r="N163" s="334" t="str">
        <f aca="false">IF((E163="r"),G163," ")</f>
        <v> </v>
      </c>
      <c r="O163" s="334" t="str">
        <f aca="false">IF((E163="g"),G163," ")</f>
        <v> </v>
      </c>
      <c r="P163" s="334" t="str">
        <f aca="false">IF((E163="m"),G163," ")</f>
        <v> </v>
      </c>
      <c r="Q163" s="334" t="str">
        <f aca="false">IF((E163="t"),G163," ")</f>
        <v> </v>
      </c>
      <c r="R163" s="334" t="str">
        <f aca="false">IF((E163="a"),G163," ")</f>
        <v> </v>
      </c>
      <c r="S163" s="334" t="str">
        <f aca="false">IF((E163="l"),G163," ")</f>
        <v> </v>
      </c>
      <c r="T163" s="334" t="str">
        <f aca="false">IF((E163="b"),G163," ")</f>
        <v> </v>
      </c>
      <c r="U163" s="334" t="str">
        <f aca="false">IF((E163="i"),G163," ")</f>
        <v> </v>
      </c>
      <c r="V163" s="334" t="str">
        <f aca="false">IF((E163="o"),G163," ")</f>
        <v> </v>
      </c>
      <c r="W163" s="334" t="str">
        <f aca="false">IF((E163="f"),G163," ")</f>
        <v> </v>
      </c>
    </row>
    <row r="164" customFormat="false" ht="12.75" hidden="false" customHeight="false" outlineLevel="0" collapsed="false">
      <c r="A164" s="355"/>
      <c r="E164" s="365" t="str">
        <f aca="false">IF((G164&lt;&gt;0),"Enter Letter"," ")</f>
        <v> </v>
      </c>
      <c r="H164" s="338" t="str">
        <f aca="false">IF((G164&lt;&gt;0),IF((D164&gt;0)," ",G164)," ")</f>
        <v> </v>
      </c>
      <c r="I164" s="367" t="str">
        <f aca="false">IF((G164&lt;&gt;0),IF((D164&gt;0)," ",(I$1-A164))," ")</f>
        <v> </v>
      </c>
      <c r="J164" s="334" t="str">
        <f aca="false">IF((E164="s"),G164," ")</f>
        <v> </v>
      </c>
      <c r="K164" s="334" t="str">
        <f aca="false">IF((E164="d"),G164," ")</f>
        <v> </v>
      </c>
      <c r="L164" s="334" t="str">
        <f aca="false">IF((E164="e"),G164," ")</f>
        <v> </v>
      </c>
      <c r="M164" s="334" t="str">
        <f aca="false">IF((E164="p"),G164," ")</f>
        <v> </v>
      </c>
      <c r="N164" s="334" t="str">
        <f aca="false">IF((E164="r"),G164," ")</f>
        <v> </v>
      </c>
      <c r="O164" s="334" t="str">
        <f aca="false">IF((E164="g"),G164," ")</f>
        <v> </v>
      </c>
      <c r="P164" s="334" t="str">
        <f aca="false">IF((E164="m"),G164," ")</f>
        <v> </v>
      </c>
      <c r="Q164" s="334" t="str">
        <f aca="false">IF((E164="t"),G164," ")</f>
        <v> </v>
      </c>
      <c r="R164" s="334" t="str">
        <f aca="false">IF((E164="a"),G164," ")</f>
        <v> </v>
      </c>
      <c r="S164" s="334" t="str">
        <f aca="false">IF((E164="l"),G164," ")</f>
        <v> </v>
      </c>
      <c r="T164" s="334" t="str">
        <f aca="false">IF((E164="b"),G164," ")</f>
        <v> </v>
      </c>
      <c r="U164" s="334" t="str">
        <f aca="false">IF((E164="i"),G164," ")</f>
        <v> </v>
      </c>
      <c r="V164" s="334" t="str">
        <f aca="false">IF((E164="o"),G164," ")</f>
        <v> </v>
      </c>
      <c r="W164" s="334" t="str">
        <f aca="false">IF((E164="f"),G164," ")</f>
        <v> </v>
      </c>
    </row>
    <row r="165" customFormat="false" ht="12.75" hidden="false" customHeight="false" outlineLevel="0" collapsed="false">
      <c r="A165" s="355"/>
      <c r="E165" s="365" t="str">
        <f aca="false">IF((G165&lt;&gt;0),"Enter Letter"," ")</f>
        <v> </v>
      </c>
      <c r="H165" s="338" t="str">
        <f aca="false">IF((G165&lt;&gt;0),IF((D165&gt;0)," ",G165)," ")</f>
        <v> </v>
      </c>
      <c r="I165" s="367" t="str">
        <f aca="false">IF((G165&lt;&gt;0),IF((D165&gt;0)," ",(I$1-A165))," ")</f>
        <v> </v>
      </c>
      <c r="J165" s="334" t="str">
        <f aca="false">IF((E165="s"),G165," ")</f>
        <v> </v>
      </c>
      <c r="K165" s="334" t="str">
        <f aca="false">IF((E165="d"),G165," ")</f>
        <v> </v>
      </c>
      <c r="L165" s="334" t="str">
        <f aca="false">IF((E165="e"),G165," ")</f>
        <v> </v>
      </c>
      <c r="M165" s="334" t="str">
        <f aca="false">IF((E165="p"),G165," ")</f>
        <v> </v>
      </c>
      <c r="N165" s="334" t="str">
        <f aca="false">IF((E165="r"),G165," ")</f>
        <v> </v>
      </c>
      <c r="O165" s="334" t="str">
        <f aca="false">IF((E165="g"),G165," ")</f>
        <v> </v>
      </c>
      <c r="P165" s="334" t="str">
        <f aca="false">IF((E165="m"),G165," ")</f>
        <v> </v>
      </c>
      <c r="Q165" s="334" t="str">
        <f aca="false">IF((E165="t"),G165," ")</f>
        <v> </v>
      </c>
      <c r="R165" s="334" t="str">
        <f aca="false">IF((E165="a"),G165," ")</f>
        <v> </v>
      </c>
      <c r="S165" s="334" t="str">
        <f aca="false">IF((E165="l"),G165," ")</f>
        <v> </v>
      </c>
      <c r="T165" s="334" t="str">
        <f aca="false">IF((E165="b"),G165," ")</f>
        <v> </v>
      </c>
      <c r="U165" s="334" t="str">
        <f aca="false">IF((E165="i"),G165," ")</f>
        <v> </v>
      </c>
      <c r="V165" s="334" t="str">
        <f aca="false">IF((E165="o"),G165," ")</f>
        <v> </v>
      </c>
      <c r="W165" s="334" t="str">
        <f aca="false">IF((E165="f"),G165," ")</f>
        <v> </v>
      </c>
    </row>
    <row r="166" customFormat="false" ht="12.75" hidden="false" customHeight="false" outlineLevel="0" collapsed="false">
      <c r="A166" s="355"/>
      <c r="E166" s="365" t="str">
        <f aca="false">IF((G166&lt;&gt;0),"Enter Letter"," ")</f>
        <v> </v>
      </c>
      <c r="H166" s="338" t="str">
        <f aca="false">IF((G166&lt;&gt;0),IF((D166&gt;0)," ",G166)," ")</f>
        <v> </v>
      </c>
      <c r="I166" s="367" t="str">
        <f aca="false">IF((G166&lt;&gt;0),IF((D166&gt;0)," ",(I$1-A166))," ")</f>
        <v> </v>
      </c>
      <c r="J166" s="334" t="str">
        <f aca="false">IF((E166="s"),G166," ")</f>
        <v> </v>
      </c>
      <c r="K166" s="334" t="str">
        <f aca="false">IF((E166="d"),G166," ")</f>
        <v> </v>
      </c>
      <c r="L166" s="334" t="str">
        <f aca="false">IF((E166="e"),G166," ")</f>
        <v> </v>
      </c>
      <c r="M166" s="334" t="str">
        <f aca="false">IF((E166="p"),G166," ")</f>
        <v> </v>
      </c>
      <c r="N166" s="334" t="str">
        <f aca="false">IF((E166="r"),G166," ")</f>
        <v> </v>
      </c>
      <c r="O166" s="334" t="str">
        <f aca="false">IF((E166="g"),G166," ")</f>
        <v> </v>
      </c>
      <c r="P166" s="334" t="str">
        <f aca="false">IF((E166="m"),G166," ")</f>
        <v> </v>
      </c>
      <c r="Q166" s="334" t="str">
        <f aca="false">IF((E166="t"),G166," ")</f>
        <v> </v>
      </c>
      <c r="R166" s="334" t="str">
        <f aca="false">IF((E166="a"),G166," ")</f>
        <v> </v>
      </c>
      <c r="S166" s="334" t="str">
        <f aca="false">IF((E166="l"),G166," ")</f>
        <v> </v>
      </c>
      <c r="T166" s="334" t="str">
        <f aca="false">IF((E166="b"),G166," ")</f>
        <v> </v>
      </c>
      <c r="U166" s="334" t="str">
        <f aca="false">IF((E166="i"),G166," ")</f>
        <v> </v>
      </c>
      <c r="V166" s="334" t="str">
        <f aca="false">IF((E166="o"),G166," ")</f>
        <v> </v>
      </c>
      <c r="W166" s="334" t="str">
        <f aca="false">IF((E166="f"),G166," ")</f>
        <v> </v>
      </c>
    </row>
    <row r="167" customFormat="false" ht="12.75" hidden="false" customHeight="false" outlineLevel="0" collapsed="false">
      <c r="A167" s="355"/>
      <c r="E167" s="365" t="str">
        <f aca="false">IF((G167&lt;&gt;0),"Enter Letter"," ")</f>
        <v> </v>
      </c>
      <c r="H167" s="338" t="str">
        <f aca="false">IF((G167&lt;&gt;0),IF((D167&gt;0)," ",G167)," ")</f>
        <v> </v>
      </c>
      <c r="I167" s="367" t="str">
        <f aca="false">IF((G167&lt;&gt;0),IF((D167&gt;0)," ",(I$1-A167))," ")</f>
        <v> </v>
      </c>
      <c r="J167" s="334" t="str">
        <f aca="false">IF((E167="s"),G167," ")</f>
        <v> </v>
      </c>
      <c r="K167" s="334" t="str">
        <f aca="false">IF((E167="d"),G167," ")</f>
        <v> </v>
      </c>
      <c r="L167" s="334" t="str">
        <f aca="false">IF((E167="e"),G167," ")</f>
        <v> </v>
      </c>
      <c r="M167" s="334" t="str">
        <f aca="false">IF((E167="p"),G167," ")</f>
        <v> </v>
      </c>
      <c r="N167" s="334" t="str">
        <f aca="false">IF((E167="r"),G167," ")</f>
        <v> </v>
      </c>
      <c r="O167" s="334" t="str">
        <f aca="false">IF((E167="g"),G167," ")</f>
        <v> </v>
      </c>
      <c r="P167" s="334" t="str">
        <f aca="false">IF((E167="m"),G167," ")</f>
        <v> </v>
      </c>
      <c r="Q167" s="334" t="str">
        <f aca="false">IF((E167="t"),G167," ")</f>
        <v> </v>
      </c>
      <c r="R167" s="334" t="str">
        <f aca="false">IF((E167="a"),G167," ")</f>
        <v> </v>
      </c>
      <c r="S167" s="334" t="str">
        <f aca="false">IF((E167="l"),G167," ")</f>
        <v> </v>
      </c>
      <c r="T167" s="334" t="str">
        <f aca="false">IF((E167="b"),G167," ")</f>
        <v> </v>
      </c>
      <c r="U167" s="334" t="str">
        <f aca="false">IF((E167="i"),G167," ")</f>
        <v> </v>
      </c>
      <c r="V167" s="334" t="str">
        <f aca="false">IF((E167="o"),G167," ")</f>
        <v> </v>
      </c>
      <c r="W167" s="334" t="str">
        <f aca="false">IF((E167="f"),G167," ")</f>
        <v> </v>
      </c>
    </row>
    <row r="168" customFormat="false" ht="12.75" hidden="false" customHeight="false" outlineLevel="0" collapsed="false">
      <c r="A168" s="355"/>
      <c r="E168" s="365" t="str">
        <f aca="false">IF((G168&lt;&gt;0),"Enter Letter"," ")</f>
        <v> </v>
      </c>
      <c r="H168" s="338" t="str">
        <f aca="false">IF((G168&lt;&gt;0),IF((D168&gt;0)," ",G168)," ")</f>
        <v> </v>
      </c>
      <c r="I168" s="367" t="str">
        <f aca="false">IF((G168&lt;&gt;0),IF((D168&gt;0)," ",(I$1-A168))," ")</f>
        <v> </v>
      </c>
      <c r="J168" s="334" t="str">
        <f aca="false">IF((E168="s"),G168," ")</f>
        <v> </v>
      </c>
      <c r="K168" s="334" t="str">
        <f aca="false">IF((E168="d"),G168," ")</f>
        <v> </v>
      </c>
      <c r="L168" s="334" t="str">
        <f aca="false">IF((E168="e"),G168," ")</f>
        <v> </v>
      </c>
      <c r="M168" s="334" t="str">
        <f aca="false">IF((E168="p"),G168," ")</f>
        <v> </v>
      </c>
      <c r="N168" s="334" t="str">
        <f aca="false">IF((E168="r"),G168," ")</f>
        <v> </v>
      </c>
      <c r="O168" s="334" t="str">
        <f aca="false">IF((E168="g"),G168," ")</f>
        <v> </v>
      </c>
      <c r="P168" s="334" t="str">
        <f aca="false">IF((E168="m"),G168," ")</f>
        <v> </v>
      </c>
      <c r="Q168" s="334" t="str">
        <f aca="false">IF((E168="t"),G168," ")</f>
        <v> </v>
      </c>
      <c r="R168" s="334" t="str">
        <f aca="false">IF((E168="a"),G168," ")</f>
        <v> </v>
      </c>
      <c r="S168" s="334" t="str">
        <f aca="false">IF((E168="l"),G168," ")</f>
        <v> </v>
      </c>
      <c r="T168" s="334" t="str">
        <f aca="false">IF((E168="b"),G168," ")</f>
        <v> </v>
      </c>
      <c r="U168" s="334" t="str">
        <f aca="false">IF((E168="i"),G168," ")</f>
        <v> </v>
      </c>
      <c r="V168" s="334" t="str">
        <f aca="false">IF((E168="o"),G168," ")</f>
        <v> </v>
      </c>
      <c r="W168" s="334" t="str">
        <f aca="false">IF((E168="f"),G168," ")</f>
        <v> </v>
      </c>
    </row>
    <row r="169" customFormat="false" ht="12.75" hidden="false" customHeight="false" outlineLevel="0" collapsed="false">
      <c r="A169" s="355"/>
      <c r="E169" s="365" t="str">
        <f aca="false">IF((G169&lt;&gt;0),"Enter Letter"," ")</f>
        <v> </v>
      </c>
      <c r="H169" s="338" t="str">
        <f aca="false">IF((G169&lt;&gt;0),IF((D169&gt;0)," ",G169)," ")</f>
        <v> </v>
      </c>
      <c r="I169" s="367" t="str">
        <f aca="false">IF((G169&lt;&gt;0),IF((D169&gt;0)," ",(I$1-A169))," ")</f>
        <v> </v>
      </c>
      <c r="J169" s="334" t="str">
        <f aca="false">IF((E169="s"),G169," ")</f>
        <v> </v>
      </c>
      <c r="K169" s="334" t="str">
        <f aca="false">IF((E169="d"),G169," ")</f>
        <v> </v>
      </c>
      <c r="L169" s="334" t="str">
        <f aca="false">IF((E169="e"),G169," ")</f>
        <v> </v>
      </c>
      <c r="M169" s="334" t="str">
        <f aca="false">IF((E169="p"),G169," ")</f>
        <v> </v>
      </c>
      <c r="N169" s="334" t="str">
        <f aca="false">IF((E169="r"),G169," ")</f>
        <v> </v>
      </c>
      <c r="O169" s="334" t="str">
        <f aca="false">IF((E169="g"),G169," ")</f>
        <v> </v>
      </c>
      <c r="P169" s="334" t="str">
        <f aca="false">IF((E169="m"),G169," ")</f>
        <v> </v>
      </c>
      <c r="Q169" s="334" t="str">
        <f aca="false">IF((E169="t"),G169," ")</f>
        <v> </v>
      </c>
      <c r="R169" s="334" t="str">
        <f aca="false">IF((E169="a"),G169," ")</f>
        <v> </v>
      </c>
      <c r="S169" s="334" t="str">
        <f aca="false">IF((E169="l"),G169," ")</f>
        <v> </v>
      </c>
      <c r="T169" s="334" t="str">
        <f aca="false">IF((E169="b"),G169," ")</f>
        <v> </v>
      </c>
      <c r="U169" s="334" t="str">
        <f aca="false">IF((E169="i"),G169," ")</f>
        <v> </v>
      </c>
      <c r="V169" s="334" t="str">
        <f aca="false">IF((E169="o"),G169," ")</f>
        <v> </v>
      </c>
      <c r="W169" s="334" t="str">
        <f aca="false">IF((E169="f"),G169," ")</f>
        <v> </v>
      </c>
    </row>
    <row r="170" customFormat="false" ht="12.75" hidden="false" customHeight="false" outlineLevel="0" collapsed="false">
      <c r="A170" s="355"/>
      <c r="E170" s="365" t="str">
        <f aca="false">IF((G170&lt;&gt;0),"Enter Letter"," ")</f>
        <v> </v>
      </c>
      <c r="H170" s="338" t="str">
        <f aca="false">IF((G170&lt;&gt;0),IF((D170&gt;0)," ",G170)," ")</f>
        <v> </v>
      </c>
      <c r="I170" s="367" t="str">
        <f aca="false">IF((G170&lt;&gt;0),IF((D170&gt;0)," ",(I$1-A170))," ")</f>
        <v> </v>
      </c>
      <c r="J170" s="334" t="str">
        <f aca="false">IF((E170="s"),G170," ")</f>
        <v> </v>
      </c>
      <c r="K170" s="334" t="str">
        <f aca="false">IF((E170="d"),G170," ")</f>
        <v> </v>
      </c>
      <c r="L170" s="334" t="str">
        <f aca="false">IF((E170="e"),G170," ")</f>
        <v> </v>
      </c>
      <c r="M170" s="334" t="str">
        <f aca="false">IF((E170="p"),G170," ")</f>
        <v> </v>
      </c>
      <c r="N170" s="334" t="str">
        <f aca="false">IF((E170="r"),G170," ")</f>
        <v> </v>
      </c>
      <c r="O170" s="334" t="str">
        <f aca="false">IF((E170="g"),G170," ")</f>
        <v> </v>
      </c>
      <c r="P170" s="334" t="str">
        <f aca="false">IF((E170="m"),G170," ")</f>
        <v> </v>
      </c>
      <c r="Q170" s="334" t="str">
        <f aca="false">IF((E170="t"),G170," ")</f>
        <v> </v>
      </c>
      <c r="R170" s="334" t="str">
        <f aca="false">IF((E170="a"),G170," ")</f>
        <v> </v>
      </c>
      <c r="S170" s="334" t="str">
        <f aca="false">IF((E170="l"),G170," ")</f>
        <v> </v>
      </c>
      <c r="T170" s="334" t="str">
        <f aca="false">IF((E170="b"),G170," ")</f>
        <v> </v>
      </c>
      <c r="U170" s="334" t="str">
        <f aca="false">IF((E170="i"),G170," ")</f>
        <v> </v>
      </c>
      <c r="V170" s="334" t="str">
        <f aca="false">IF((E170="o"),G170," ")</f>
        <v> </v>
      </c>
      <c r="W170" s="334" t="str">
        <f aca="false">IF((E170="f"),G170," ")</f>
        <v> </v>
      </c>
    </row>
    <row r="171" customFormat="false" ht="12.75" hidden="false" customHeight="false" outlineLevel="0" collapsed="false">
      <c r="A171" s="355"/>
      <c r="E171" s="365" t="str">
        <f aca="false">IF((G171&lt;&gt;0),"Enter Letter"," ")</f>
        <v> </v>
      </c>
      <c r="H171" s="338" t="str">
        <f aca="false">IF((G171&lt;&gt;0),IF((D171&gt;0)," ",G171)," ")</f>
        <v> </v>
      </c>
      <c r="I171" s="367" t="str">
        <f aca="false">IF((G171&lt;&gt;0),IF((D171&gt;0)," ",(I$1-A171))," ")</f>
        <v> </v>
      </c>
      <c r="J171" s="334" t="str">
        <f aca="false">IF((E171="s"),G171," ")</f>
        <v> </v>
      </c>
      <c r="K171" s="334" t="str">
        <f aca="false">IF((E171="d"),G171," ")</f>
        <v> </v>
      </c>
      <c r="L171" s="334" t="str">
        <f aca="false">IF((E171="e"),G171," ")</f>
        <v> </v>
      </c>
      <c r="M171" s="334" t="str">
        <f aca="false">IF((E171="p"),G171," ")</f>
        <v> </v>
      </c>
      <c r="N171" s="334" t="str">
        <f aca="false">IF((E171="r"),G171," ")</f>
        <v> </v>
      </c>
      <c r="O171" s="334" t="str">
        <f aca="false">IF((E171="g"),G171," ")</f>
        <v> </v>
      </c>
      <c r="P171" s="334" t="str">
        <f aca="false">IF((E171="m"),G171," ")</f>
        <v> </v>
      </c>
      <c r="Q171" s="334" t="str">
        <f aca="false">IF((E171="t"),G171," ")</f>
        <v> </v>
      </c>
      <c r="R171" s="334" t="str">
        <f aca="false">IF((E171="a"),G171," ")</f>
        <v> </v>
      </c>
      <c r="S171" s="334" t="str">
        <f aca="false">IF((E171="l"),G171," ")</f>
        <v> </v>
      </c>
      <c r="T171" s="334" t="str">
        <f aca="false">IF((E171="b"),G171," ")</f>
        <v> </v>
      </c>
      <c r="U171" s="334" t="str">
        <f aca="false">IF((E171="i"),G171," ")</f>
        <v> </v>
      </c>
      <c r="V171" s="334" t="str">
        <f aca="false">IF((E171="o"),G171," ")</f>
        <v> </v>
      </c>
      <c r="W171" s="334" t="str">
        <f aca="false">IF((E171="f"),G171," ")</f>
        <v> </v>
      </c>
    </row>
    <row r="172" customFormat="false" ht="12.75" hidden="false" customHeight="false" outlineLevel="0" collapsed="false">
      <c r="A172" s="355"/>
      <c r="E172" s="365" t="str">
        <f aca="false">IF((G172&lt;&gt;0),"Enter Letter"," ")</f>
        <v> </v>
      </c>
      <c r="H172" s="338" t="str">
        <f aca="false">IF((G172&lt;&gt;0),IF((D172&gt;0)," ",G172)," ")</f>
        <v> </v>
      </c>
      <c r="I172" s="367" t="str">
        <f aca="false">IF((G172&lt;&gt;0),IF((D172&gt;0)," ",(I$1-A172))," ")</f>
        <v> </v>
      </c>
      <c r="J172" s="334" t="str">
        <f aca="false">IF((E172="s"),G172," ")</f>
        <v> </v>
      </c>
      <c r="K172" s="334" t="str">
        <f aca="false">IF((E172="d"),G172," ")</f>
        <v> </v>
      </c>
      <c r="L172" s="334" t="str">
        <f aca="false">IF((E172="e"),G172," ")</f>
        <v> </v>
      </c>
      <c r="M172" s="334" t="str">
        <f aca="false">IF((E172="p"),G172," ")</f>
        <v> </v>
      </c>
      <c r="N172" s="334" t="str">
        <f aca="false">IF((E172="r"),G172," ")</f>
        <v> </v>
      </c>
      <c r="O172" s="334" t="str">
        <f aca="false">IF((E172="g"),G172," ")</f>
        <v> </v>
      </c>
      <c r="P172" s="334" t="str">
        <f aca="false">IF((E172="m"),G172," ")</f>
        <v> </v>
      </c>
      <c r="Q172" s="334" t="str">
        <f aca="false">IF((E172="t"),G172," ")</f>
        <v> </v>
      </c>
      <c r="R172" s="334" t="str">
        <f aca="false">IF((E172="a"),G172," ")</f>
        <v> </v>
      </c>
      <c r="S172" s="334" t="str">
        <f aca="false">IF((E172="l"),G172," ")</f>
        <v> </v>
      </c>
      <c r="T172" s="334" t="str">
        <f aca="false">IF((E172="b"),G172," ")</f>
        <v> </v>
      </c>
      <c r="U172" s="334" t="str">
        <f aca="false">IF((E172="i"),G172," ")</f>
        <v> </v>
      </c>
      <c r="V172" s="334" t="str">
        <f aca="false">IF((E172="o"),G172," ")</f>
        <v> </v>
      </c>
      <c r="W172" s="334" t="str">
        <f aca="false">IF((E172="f"),G172," ")</f>
        <v> </v>
      </c>
    </row>
    <row r="173" customFormat="false" ht="12.75" hidden="false" customHeight="false" outlineLevel="0" collapsed="false">
      <c r="A173" s="355"/>
      <c r="E173" s="365" t="str">
        <f aca="false">IF((G173&lt;&gt;0),"Enter Letter"," ")</f>
        <v> </v>
      </c>
      <c r="H173" s="338" t="str">
        <f aca="false">IF((G173&lt;&gt;0),IF((D173&gt;0)," ",G173)," ")</f>
        <v> </v>
      </c>
      <c r="I173" s="367" t="str">
        <f aca="false">IF((G173&lt;&gt;0),IF((D173&gt;0)," ",(I$1-A173))," ")</f>
        <v> </v>
      </c>
      <c r="J173" s="334" t="str">
        <f aca="false">IF((E173="s"),G173," ")</f>
        <v> </v>
      </c>
      <c r="K173" s="334" t="str">
        <f aca="false">IF((E173="d"),G173," ")</f>
        <v> </v>
      </c>
      <c r="L173" s="334" t="str">
        <f aca="false">IF((E173="e"),G173," ")</f>
        <v> </v>
      </c>
      <c r="M173" s="334" t="str">
        <f aca="false">IF((E173="p"),G173," ")</f>
        <v> </v>
      </c>
      <c r="N173" s="334" t="str">
        <f aca="false">IF((E173="r"),G173," ")</f>
        <v> </v>
      </c>
      <c r="O173" s="334" t="str">
        <f aca="false">IF((E173="g"),G173," ")</f>
        <v> </v>
      </c>
      <c r="P173" s="334" t="str">
        <f aca="false">IF((E173="m"),G173," ")</f>
        <v> </v>
      </c>
      <c r="Q173" s="334" t="str">
        <f aca="false">IF((E173="t"),G173," ")</f>
        <v> </v>
      </c>
      <c r="R173" s="334" t="str">
        <f aca="false">IF((E173="a"),G173," ")</f>
        <v> </v>
      </c>
      <c r="S173" s="334" t="str">
        <f aca="false">IF((E173="l"),G173," ")</f>
        <v> </v>
      </c>
      <c r="T173" s="334" t="str">
        <f aca="false">IF((E173="b"),G173," ")</f>
        <v> </v>
      </c>
      <c r="U173" s="334" t="str">
        <f aca="false">IF((E173="i"),G173," ")</f>
        <v> </v>
      </c>
      <c r="V173" s="334" t="str">
        <f aca="false">IF((E173="o"),G173," ")</f>
        <v> </v>
      </c>
      <c r="W173" s="334" t="str">
        <f aca="false">IF((E173="f"),G173," ")</f>
        <v> </v>
      </c>
    </row>
    <row r="174" customFormat="false" ht="12.75" hidden="false" customHeight="false" outlineLevel="0" collapsed="false">
      <c r="A174" s="355"/>
      <c r="E174" s="365" t="str">
        <f aca="false">IF((G174&lt;&gt;0),"Enter Letter"," ")</f>
        <v> </v>
      </c>
      <c r="H174" s="338" t="str">
        <f aca="false">IF((G174&lt;&gt;0),IF((D174&gt;0)," ",G174)," ")</f>
        <v> </v>
      </c>
      <c r="I174" s="367" t="str">
        <f aca="false">IF((G174&lt;&gt;0),IF((D174&gt;0)," ",(I$1-A174))," ")</f>
        <v> </v>
      </c>
      <c r="J174" s="334" t="str">
        <f aca="false">IF((E174="s"),G174," ")</f>
        <v> </v>
      </c>
      <c r="K174" s="334" t="str">
        <f aca="false">IF((E174="d"),G174," ")</f>
        <v> </v>
      </c>
      <c r="L174" s="334" t="str">
        <f aca="false">IF((E174="e"),G174," ")</f>
        <v> </v>
      </c>
      <c r="M174" s="334" t="str">
        <f aca="false">IF((E174="p"),G174," ")</f>
        <v> </v>
      </c>
      <c r="N174" s="334" t="str">
        <f aca="false">IF((E174="r"),G174," ")</f>
        <v> </v>
      </c>
      <c r="O174" s="334" t="str">
        <f aca="false">IF((E174="g"),G174," ")</f>
        <v> </v>
      </c>
      <c r="P174" s="334" t="str">
        <f aca="false">IF((E174="m"),G174," ")</f>
        <v> </v>
      </c>
      <c r="Q174" s="334" t="str">
        <f aca="false">IF((E174="t"),G174," ")</f>
        <v> </v>
      </c>
      <c r="R174" s="334" t="str">
        <f aca="false">IF((E174="a"),G174," ")</f>
        <v> </v>
      </c>
      <c r="S174" s="334" t="str">
        <f aca="false">IF((E174="l"),G174," ")</f>
        <v> </v>
      </c>
      <c r="T174" s="334" t="str">
        <f aca="false">IF((E174="b"),G174," ")</f>
        <v> </v>
      </c>
      <c r="U174" s="334" t="str">
        <f aca="false">IF((E174="i"),G174," ")</f>
        <v> </v>
      </c>
      <c r="V174" s="334" t="str">
        <f aca="false">IF((E174="o"),G174," ")</f>
        <v> </v>
      </c>
      <c r="W174" s="334" t="str">
        <f aca="false">IF((E174="f"),G174," ")</f>
        <v> </v>
      </c>
    </row>
    <row r="175" customFormat="false" ht="12.75" hidden="false" customHeight="false" outlineLevel="0" collapsed="false">
      <c r="A175" s="355"/>
      <c r="E175" s="365" t="str">
        <f aca="false">IF((G175&lt;&gt;0),"Enter Letter"," ")</f>
        <v> </v>
      </c>
      <c r="H175" s="338" t="str">
        <f aca="false">IF((G175&lt;&gt;0),IF((D175&gt;0)," ",G175)," ")</f>
        <v> </v>
      </c>
      <c r="I175" s="367" t="str">
        <f aca="false">IF((G175&lt;&gt;0),IF((D175&gt;0)," ",(I$1-A175))," ")</f>
        <v> </v>
      </c>
      <c r="J175" s="334" t="str">
        <f aca="false">IF((E175="s"),G175," ")</f>
        <v> </v>
      </c>
      <c r="K175" s="334" t="str">
        <f aca="false">IF((E175="d"),G175," ")</f>
        <v> </v>
      </c>
      <c r="L175" s="334" t="str">
        <f aca="false">IF((E175="e"),G175," ")</f>
        <v> </v>
      </c>
      <c r="M175" s="334" t="str">
        <f aca="false">IF((E175="p"),G175," ")</f>
        <v> </v>
      </c>
      <c r="N175" s="334" t="str">
        <f aca="false">IF((E175="r"),G175," ")</f>
        <v> </v>
      </c>
      <c r="O175" s="334" t="str">
        <f aca="false">IF((E175="g"),G175," ")</f>
        <v> </v>
      </c>
      <c r="P175" s="334" t="str">
        <f aca="false">IF((E175="m"),G175," ")</f>
        <v> </v>
      </c>
      <c r="Q175" s="334" t="str">
        <f aca="false">IF((E175="t"),G175," ")</f>
        <v> </v>
      </c>
      <c r="R175" s="334" t="str">
        <f aca="false">IF((E175="a"),G175," ")</f>
        <v> </v>
      </c>
      <c r="S175" s="334" t="str">
        <f aca="false">IF((E175="l"),G175," ")</f>
        <v> </v>
      </c>
      <c r="T175" s="334" t="str">
        <f aca="false">IF((E175="b"),G175," ")</f>
        <v> </v>
      </c>
      <c r="U175" s="334" t="str">
        <f aca="false">IF((E175="i"),G175," ")</f>
        <v> </v>
      </c>
      <c r="V175" s="334" t="str">
        <f aca="false">IF((E175="o"),G175," ")</f>
        <v> </v>
      </c>
      <c r="W175" s="334" t="str">
        <f aca="false">IF((E175="f"),G175," ")</f>
        <v> </v>
      </c>
    </row>
    <row r="176" customFormat="false" ht="12.75" hidden="false" customHeight="false" outlineLevel="0" collapsed="false">
      <c r="A176" s="355"/>
      <c r="E176" s="365" t="str">
        <f aca="false">IF((G176&lt;&gt;0),"Enter Letter"," ")</f>
        <v> </v>
      </c>
      <c r="H176" s="338" t="str">
        <f aca="false">IF((G176&lt;&gt;0),IF((D176&gt;0)," ",G176)," ")</f>
        <v> </v>
      </c>
      <c r="I176" s="367" t="str">
        <f aca="false">IF((G176&lt;&gt;0),IF((D176&gt;0)," ",(I$1-A176))," ")</f>
        <v> </v>
      </c>
      <c r="J176" s="334" t="str">
        <f aca="false">IF((E176="s"),G176," ")</f>
        <v> </v>
      </c>
      <c r="K176" s="334" t="str">
        <f aca="false">IF((E176="d"),G176," ")</f>
        <v> </v>
      </c>
      <c r="L176" s="334" t="str">
        <f aca="false">IF((E176="e"),G176," ")</f>
        <v> </v>
      </c>
      <c r="M176" s="334" t="str">
        <f aca="false">IF((E176="p"),G176," ")</f>
        <v> </v>
      </c>
      <c r="N176" s="334" t="str">
        <f aca="false">IF((E176="r"),G176," ")</f>
        <v> </v>
      </c>
      <c r="O176" s="334" t="str">
        <f aca="false">IF((E176="g"),G176," ")</f>
        <v> </v>
      </c>
      <c r="P176" s="334" t="str">
        <f aca="false">IF((E176="m"),G176," ")</f>
        <v> </v>
      </c>
      <c r="Q176" s="334" t="str">
        <f aca="false">IF((E176="t"),G176," ")</f>
        <v> </v>
      </c>
      <c r="R176" s="334" t="str">
        <f aca="false">IF((E176="a"),G176," ")</f>
        <v> </v>
      </c>
      <c r="S176" s="334" t="str">
        <f aca="false">IF((E176="l"),G176," ")</f>
        <v> </v>
      </c>
      <c r="T176" s="334" t="str">
        <f aca="false">IF((E176="b"),G176," ")</f>
        <v> </v>
      </c>
      <c r="U176" s="334" t="str">
        <f aca="false">IF((E176="i"),G176," ")</f>
        <v> </v>
      </c>
      <c r="V176" s="334" t="str">
        <f aca="false">IF((E176="o"),G176," ")</f>
        <v> </v>
      </c>
      <c r="W176" s="334" t="str">
        <f aca="false">IF((E176="f"),G176," ")</f>
        <v> </v>
      </c>
    </row>
    <row r="177" customFormat="false" ht="12.75" hidden="false" customHeight="false" outlineLevel="0" collapsed="false">
      <c r="A177" s="355"/>
      <c r="E177" s="365" t="str">
        <f aca="false">IF((G177&lt;&gt;0),"Enter Letter"," ")</f>
        <v> </v>
      </c>
      <c r="H177" s="338" t="str">
        <f aca="false">IF((G177&lt;&gt;0),IF((D177&gt;0)," ",G177)," ")</f>
        <v> </v>
      </c>
      <c r="I177" s="367" t="str">
        <f aca="false">IF((G177&lt;&gt;0),IF((D177&gt;0)," ",(I$1-A177))," ")</f>
        <v> </v>
      </c>
      <c r="J177" s="334" t="str">
        <f aca="false">IF((E177="s"),G177," ")</f>
        <v> </v>
      </c>
      <c r="K177" s="334" t="str">
        <f aca="false">IF((E177="d"),G177," ")</f>
        <v> </v>
      </c>
      <c r="L177" s="334" t="str">
        <f aca="false">IF((E177="e"),G177," ")</f>
        <v> </v>
      </c>
      <c r="M177" s="334" t="str">
        <f aca="false">IF((E177="p"),G177," ")</f>
        <v> </v>
      </c>
      <c r="N177" s="334" t="str">
        <f aca="false">IF((E177="r"),G177," ")</f>
        <v> </v>
      </c>
      <c r="O177" s="334" t="str">
        <f aca="false">IF((E177="g"),G177," ")</f>
        <v> </v>
      </c>
      <c r="P177" s="334" t="str">
        <f aca="false">IF((E177="m"),G177," ")</f>
        <v> </v>
      </c>
      <c r="Q177" s="334" t="str">
        <f aca="false">IF((E177="t"),G177," ")</f>
        <v> </v>
      </c>
      <c r="R177" s="334" t="str">
        <f aca="false">IF((E177="a"),G177," ")</f>
        <v> </v>
      </c>
      <c r="S177" s="334" t="str">
        <f aca="false">IF((E177="l"),G177," ")</f>
        <v> </v>
      </c>
      <c r="T177" s="334" t="str">
        <f aca="false">IF((E177="b"),G177," ")</f>
        <v> </v>
      </c>
      <c r="U177" s="334" t="str">
        <f aca="false">IF((E177="i"),G177," ")</f>
        <v> </v>
      </c>
      <c r="V177" s="334" t="str">
        <f aca="false">IF((E177="o"),G177," ")</f>
        <v> </v>
      </c>
      <c r="W177" s="334" t="str">
        <f aca="false">IF((E177="f"),G177," ")</f>
        <v> </v>
      </c>
    </row>
    <row r="178" customFormat="false" ht="12.75" hidden="false" customHeight="false" outlineLevel="0" collapsed="false">
      <c r="A178" s="355"/>
      <c r="E178" s="365" t="str">
        <f aca="false">IF((G178&lt;&gt;0),"Enter Letter"," ")</f>
        <v> </v>
      </c>
      <c r="H178" s="338" t="str">
        <f aca="false">IF((G178&lt;&gt;0),IF((D178&gt;0)," ",G178)," ")</f>
        <v> </v>
      </c>
      <c r="I178" s="367" t="str">
        <f aca="false">IF((G178&lt;&gt;0),IF((D178&gt;0)," ",(I$1-A178))," ")</f>
        <v> </v>
      </c>
      <c r="J178" s="334" t="str">
        <f aca="false">IF((E178="s"),G178," ")</f>
        <v> </v>
      </c>
      <c r="K178" s="334" t="str">
        <f aca="false">IF((E178="d"),G178," ")</f>
        <v> </v>
      </c>
      <c r="L178" s="334" t="str">
        <f aca="false">IF((E178="e"),G178," ")</f>
        <v> </v>
      </c>
      <c r="M178" s="334" t="str">
        <f aca="false">IF((E178="p"),G178," ")</f>
        <v> </v>
      </c>
      <c r="N178" s="334" t="str">
        <f aca="false">IF((E178="r"),G178," ")</f>
        <v> </v>
      </c>
      <c r="O178" s="334" t="str">
        <f aca="false">IF((E178="g"),G178," ")</f>
        <v> </v>
      </c>
      <c r="P178" s="334" t="str">
        <f aca="false">IF((E178="m"),G178," ")</f>
        <v> </v>
      </c>
      <c r="Q178" s="334" t="str">
        <f aca="false">IF((E178="t"),G178," ")</f>
        <v> </v>
      </c>
      <c r="R178" s="334" t="str">
        <f aca="false">IF((E178="a"),G178," ")</f>
        <v> </v>
      </c>
      <c r="S178" s="334" t="str">
        <f aca="false">IF((E178="l"),G178," ")</f>
        <v> </v>
      </c>
      <c r="T178" s="334" t="str">
        <f aca="false">IF((E178="b"),G178," ")</f>
        <v> </v>
      </c>
      <c r="U178" s="334" t="str">
        <f aca="false">IF((E178="i"),G178," ")</f>
        <v> </v>
      </c>
      <c r="V178" s="334" t="str">
        <f aca="false">IF((E178="o"),G178," ")</f>
        <v> </v>
      </c>
      <c r="W178" s="334" t="str">
        <f aca="false">IF((E178="f"),G178," ")</f>
        <v> </v>
      </c>
    </row>
    <row r="179" customFormat="false" ht="12.75" hidden="false" customHeight="false" outlineLevel="0" collapsed="false">
      <c r="A179" s="355"/>
      <c r="E179" s="365" t="str">
        <f aca="false">IF((G179&lt;&gt;0),"Enter Letter"," ")</f>
        <v> </v>
      </c>
      <c r="H179" s="338" t="str">
        <f aca="false">IF((G179&lt;&gt;0),IF((D179&gt;0)," ",G179)," ")</f>
        <v> </v>
      </c>
      <c r="I179" s="367" t="str">
        <f aca="false">IF((G179&lt;&gt;0),IF((D179&gt;0)," ",(I$1-A179))," ")</f>
        <v> </v>
      </c>
      <c r="J179" s="334" t="str">
        <f aca="false">IF((E179="s"),G179," ")</f>
        <v> </v>
      </c>
      <c r="K179" s="334" t="str">
        <f aca="false">IF((E179="d"),G179," ")</f>
        <v> </v>
      </c>
      <c r="L179" s="334" t="str">
        <f aca="false">IF((E179="e"),G179," ")</f>
        <v> </v>
      </c>
      <c r="M179" s="334" t="str">
        <f aca="false">IF((E179="p"),G179," ")</f>
        <v> </v>
      </c>
      <c r="N179" s="334" t="str">
        <f aca="false">IF((E179="r"),G179," ")</f>
        <v> </v>
      </c>
      <c r="O179" s="334" t="str">
        <f aca="false">IF((E179="g"),G179," ")</f>
        <v> </v>
      </c>
      <c r="P179" s="334" t="str">
        <f aca="false">IF((E179="m"),G179," ")</f>
        <v> </v>
      </c>
      <c r="Q179" s="334" t="str">
        <f aca="false">IF((E179="t"),G179," ")</f>
        <v> </v>
      </c>
      <c r="R179" s="334" t="str">
        <f aca="false">IF((E179="a"),G179," ")</f>
        <v> </v>
      </c>
      <c r="S179" s="334" t="str">
        <f aca="false">IF((E179="l"),G179," ")</f>
        <v> </v>
      </c>
      <c r="T179" s="334" t="str">
        <f aca="false">IF((E179="b"),G179," ")</f>
        <v> </v>
      </c>
      <c r="U179" s="334" t="str">
        <f aca="false">IF((E179="i"),G179," ")</f>
        <v> </v>
      </c>
      <c r="V179" s="334" t="str">
        <f aca="false">IF((E179="o"),G179," ")</f>
        <v> </v>
      </c>
      <c r="W179" s="334" t="str">
        <f aca="false">IF((E179="f"),G179," ")</f>
        <v> </v>
      </c>
    </row>
    <row r="180" customFormat="false" ht="12.75" hidden="false" customHeight="false" outlineLevel="0" collapsed="false">
      <c r="A180" s="355"/>
      <c r="E180" s="365" t="str">
        <f aca="false">IF((G180&lt;&gt;0),"Enter Letter"," ")</f>
        <v> </v>
      </c>
      <c r="H180" s="338" t="str">
        <f aca="false">IF((G180&lt;&gt;0),IF((D180&gt;0)," ",G180)," ")</f>
        <v> </v>
      </c>
      <c r="I180" s="367" t="str">
        <f aca="false">IF((G180&lt;&gt;0),IF((D180&gt;0)," ",(I$1-A180))," ")</f>
        <v> </v>
      </c>
      <c r="J180" s="334" t="str">
        <f aca="false">IF((E180="s"),G180," ")</f>
        <v> </v>
      </c>
      <c r="K180" s="334" t="str">
        <f aca="false">IF((E180="d"),G180," ")</f>
        <v> </v>
      </c>
      <c r="L180" s="334" t="str">
        <f aca="false">IF((E180="e"),G180," ")</f>
        <v> </v>
      </c>
      <c r="M180" s="334" t="str">
        <f aca="false">IF((E180="p"),G180," ")</f>
        <v> </v>
      </c>
      <c r="N180" s="334" t="str">
        <f aca="false">IF((E180="r"),G180," ")</f>
        <v> </v>
      </c>
      <c r="O180" s="334" t="str">
        <f aca="false">IF((E180="g"),G180," ")</f>
        <v> </v>
      </c>
      <c r="P180" s="334" t="str">
        <f aca="false">IF((E180="m"),G180," ")</f>
        <v> </v>
      </c>
      <c r="Q180" s="334" t="str">
        <f aca="false">IF((E180="t"),G180," ")</f>
        <v> </v>
      </c>
      <c r="R180" s="334" t="str">
        <f aca="false">IF((E180="a"),G180," ")</f>
        <v> </v>
      </c>
      <c r="S180" s="334" t="str">
        <f aca="false">IF((E180="l"),G180," ")</f>
        <v> </v>
      </c>
      <c r="T180" s="334" t="str">
        <f aca="false">IF((E180="b"),G180," ")</f>
        <v> </v>
      </c>
      <c r="U180" s="334" t="str">
        <f aca="false">IF((E180="i"),G180," ")</f>
        <v> </v>
      </c>
      <c r="V180" s="334" t="str">
        <f aca="false">IF((E180="o"),G180," ")</f>
        <v> </v>
      </c>
      <c r="W180" s="334" t="str">
        <f aca="false">IF((E180="f"),G180," ")</f>
        <v> </v>
      </c>
    </row>
    <row r="181" customFormat="false" ht="12.75" hidden="false" customHeight="false" outlineLevel="0" collapsed="false">
      <c r="A181" s="355"/>
      <c r="E181" s="365" t="str">
        <f aca="false">IF((G181&lt;&gt;0),"Enter Letter"," ")</f>
        <v> </v>
      </c>
      <c r="H181" s="338" t="str">
        <f aca="false">IF((G181&lt;&gt;0),IF((D181&gt;0)," ",G181)," ")</f>
        <v> </v>
      </c>
      <c r="I181" s="367" t="str">
        <f aca="false">IF((G181&lt;&gt;0),IF((D181&gt;0)," ",(I$1-A181))," ")</f>
        <v> </v>
      </c>
      <c r="J181" s="334" t="str">
        <f aca="false">IF((E181="s"),G181," ")</f>
        <v> </v>
      </c>
      <c r="K181" s="334" t="str">
        <f aca="false">IF((E181="d"),G181," ")</f>
        <v> </v>
      </c>
      <c r="L181" s="334" t="str">
        <f aca="false">IF((E181="e"),G181," ")</f>
        <v> </v>
      </c>
      <c r="M181" s="334" t="str">
        <f aca="false">IF((E181="p"),G181," ")</f>
        <v> </v>
      </c>
      <c r="N181" s="334" t="str">
        <f aca="false">IF((E181="r"),G181," ")</f>
        <v> </v>
      </c>
      <c r="O181" s="334" t="str">
        <f aca="false">IF((E181="g"),G181," ")</f>
        <v> </v>
      </c>
      <c r="P181" s="334" t="str">
        <f aca="false">IF((E181="m"),G181," ")</f>
        <v> </v>
      </c>
      <c r="Q181" s="334" t="str">
        <f aca="false">IF((E181="t"),G181," ")</f>
        <v> </v>
      </c>
      <c r="R181" s="334" t="str">
        <f aca="false">IF((E181="a"),G181," ")</f>
        <v> </v>
      </c>
      <c r="S181" s="334" t="str">
        <f aca="false">IF((E181="l"),G181," ")</f>
        <v> </v>
      </c>
      <c r="T181" s="334" t="str">
        <f aca="false">IF((E181="b"),G181," ")</f>
        <v> </v>
      </c>
      <c r="U181" s="334" t="str">
        <f aca="false">IF((E181="i"),G181," ")</f>
        <v> </v>
      </c>
      <c r="V181" s="334" t="str">
        <f aca="false">IF((E181="o"),G181," ")</f>
        <v> </v>
      </c>
      <c r="W181" s="334" t="str">
        <f aca="false">IF((E181="f"),G181," ")</f>
        <v> </v>
      </c>
    </row>
    <row r="182" customFormat="false" ht="12.75" hidden="false" customHeight="false" outlineLevel="0" collapsed="false">
      <c r="A182" s="355"/>
      <c r="E182" s="365" t="str">
        <f aca="false">IF((G182&lt;&gt;0),"Enter Letter"," ")</f>
        <v> </v>
      </c>
      <c r="H182" s="338" t="str">
        <f aca="false">IF((G182&lt;&gt;0),IF((D182&gt;0)," ",G182)," ")</f>
        <v> </v>
      </c>
      <c r="I182" s="367" t="str">
        <f aca="false">IF((G182&lt;&gt;0),IF((D182&gt;0)," ",(I$1-A182))," ")</f>
        <v> </v>
      </c>
      <c r="J182" s="334" t="str">
        <f aca="false">IF((E182="s"),G182," ")</f>
        <v> </v>
      </c>
      <c r="K182" s="334" t="str">
        <f aca="false">IF((E182="d"),G182," ")</f>
        <v> </v>
      </c>
      <c r="L182" s="334" t="str">
        <f aca="false">IF((E182="e"),G182," ")</f>
        <v> </v>
      </c>
      <c r="M182" s="334" t="str">
        <f aca="false">IF((E182="p"),G182," ")</f>
        <v> </v>
      </c>
      <c r="N182" s="334" t="str">
        <f aca="false">IF((E182="r"),G182," ")</f>
        <v> </v>
      </c>
      <c r="O182" s="334" t="str">
        <f aca="false">IF((E182="g"),G182," ")</f>
        <v> </v>
      </c>
      <c r="P182" s="334" t="str">
        <f aca="false">IF((E182="m"),G182," ")</f>
        <v> </v>
      </c>
      <c r="Q182" s="334" t="str">
        <f aca="false">IF((E182="t"),G182," ")</f>
        <v> </v>
      </c>
      <c r="R182" s="334" t="str">
        <f aca="false">IF((E182="a"),G182," ")</f>
        <v> </v>
      </c>
      <c r="S182" s="334" t="str">
        <f aca="false">IF((E182="l"),G182," ")</f>
        <v> </v>
      </c>
      <c r="T182" s="334" t="str">
        <f aca="false">IF((E182="b"),G182," ")</f>
        <v> </v>
      </c>
      <c r="U182" s="334" t="str">
        <f aca="false">IF((E182="i"),G182," ")</f>
        <v> </v>
      </c>
      <c r="V182" s="334" t="str">
        <f aca="false">IF((E182="o"),G182," ")</f>
        <v> </v>
      </c>
      <c r="W182" s="334" t="str">
        <f aca="false">IF((E182="f"),G182," ")</f>
        <v> </v>
      </c>
    </row>
    <row r="183" customFormat="false" ht="12.75" hidden="false" customHeight="false" outlineLevel="0" collapsed="false">
      <c r="A183" s="355"/>
      <c r="E183" s="365" t="str">
        <f aca="false">IF((G183&lt;&gt;0),"Enter Letter"," ")</f>
        <v> </v>
      </c>
      <c r="H183" s="338" t="str">
        <f aca="false">IF((G183&lt;&gt;0),IF((D183&gt;0)," ",G183)," ")</f>
        <v> </v>
      </c>
      <c r="I183" s="367" t="str">
        <f aca="false">IF((G183&lt;&gt;0),IF((D183&gt;0)," ",(I$1-A183))," ")</f>
        <v> </v>
      </c>
      <c r="J183" s="334" t="str">
        <f aca="false">IF((E183="s"),G183," ")</f>
        <v> </v>
      </c>
      <c r="K183" s="334" t="str">
        <f aca="false">IF((E183="d"),G183," ")</f>
        <v> </v>
      </c>
      <c r="L183" s="334" t="str">
        <f aca="false">IF((E183="e"),G183," ")</f>
        <v> </v>
      </c>
      <c r="M183" s="334" t="str">
        <f aca="false">IF((E183="p"),G183," ")</f>
        <v> </v>
      </c>
      <c r="N183" s="334" t="str">
        <f aca="false">IF((E183="r"),G183," ")</f>
        <v> </v>
      </c>
      <c r="O183" s="334" t="str">
        <f aca="false">IF((E183="g"),G183," ")</f>
        <v> </v>
      </c>
      <c r="P183" s="334" t="str">
        <f aca="false">IF((E183="m"),G183," ")</f>
        <v> </v>
      </c>
      <c r="Q183" s="334" t="str">
        <f aca="false">IF((E183="t"),G183," ")</f>
        <v> </v>
      </c>
      <c r="R183" s="334" t="str">
        <f aca="false">IF((E183="a"),G183," ")</f>
        <v> </v>
      </c>
      <c r="S183" s="334" t="str">
        <f aca="false">IF((E183="l"),G183," ")</f>
        <v> </v>
      </c>
      <c r="T183" s="334" t="str">
        <f aca="false">IF((E183="b"),G183," ")</f>
        <v> </v>
      </c>
      <c r="U183" s="334" t="str">
        <f aca="false">IF((E183="i"),G183," ")</f>
        <v> </v>
      </c>
      <c r="V183" s="334" t="str">
        <f aca="false">IF((E183="o"),G183," ")</f>
        <v> </v>
      </c>
      <c r="W183" s="334" t="str">
        <f aca="false">IF((E183="f"),G183," ")</f>
        <v> </v>
      </c>
    </row>
    <row r="184" customFormat="false" ht="12.75" hidden="false" customHeight="false" outlineLevel="0" collapsed="false">
      <c r="A184" s="355"/>
      <c r="E184" s="365" t="str">
        <f aca="false">IF((G184&lt;&gt;0),"Enter Letter"," ")</f>
        <v> </v>
      </c>
      <c r="H184" s="338" t="str">
        <f aca="false">IF((G184&lt;&gt;0),IF((D184&gt;0)," ",G184)," ")</f>
        <v> </v>
      </c>
      <c r="I184" s="367" t="str">
        <f aca="false">IF((G184&lt;&gt;0),IF((D184&gt;0)," ",(I$1-A184))," ")</f>
        <v> </v>
      </c>
      <c r="J184" s="334" t="str">
        <f aca="false">IF((E184="s"),G184," ")</f>
        <v> </v>
      </c>
      <c r="K184" s="334" t="str">
        <f aca="false">IF((E184="d"),G184," ")</f>
        <v> </v>
      </c>
      <c r="L184" s="334" t="str">
        <f aca="false">IF((E184="e"),G184," ")</f>
        <v> </v>
      </c>
      <c r="M184" s="334" t="str">
        <f aca="false">IF((E184="p"),G184," ")</f>
        <v> </v>
      </c>
      <c r="N184" s="334" t="str">
        <f aca="false">IF((E184="r"),G184," ")</f>
        <v> </v>
      </c>
      <c r="O184" s="334" t="str">
        <f aca="false">IF((E184="g"),G184," ")</f>
        <v> </v>
      </c>
      <c r="P184" s="334" t="str">
        <f aca="false">IF((E184="m"),G184," ")</f>
        <v> </v>
      </c>
      <c r="Q184" s="334" t="str">
        <f aca="false">IF((E184="t"),G184," ")</f>
        <v> </v>
      </c>
      <c r="R184" s="334" t="str">
        <f aca="false">IF((E184="a"),G184," ")</f>
        <v> </v>
      </c>
      <c r="S184" s="334" t="str">
        <f aca="false">IF((E184="l"),G184," ")</f>
        <v> </v>
      </c>
      <c r="T184" s="334" t="str">
        <f aca="false">IF((E184="b"),G184," ")</f>
        <v> </v>
      </c>
      <c r="U184" s="334" t="str">
        <f aca="false">IF((E184="i"),G184," ")</f>
        <v> </v>
      </c>
      <c r="V184" s="334" t="str">
        <f aca="false">IF((E184="o"),G184," ")</f>
        <v> </v>
      </c>
      <c r="W184" s="334" t="str">
        <f aca="false">IF((E184="f"),G184," ")</f>
        <v> </v>
      </c>
    </row>
    <row r="185" customFormat="false" ht="12.75" hidden="false" customHeight="false" outlineLevel="0" collapsed="false">
      <c r="A185" s="355"/>
      <c r="E185" s="365" t="str">
        <f aca="false">IF((G185&lt;&gt;0),"Enter Letter"," ")</f>
        <v> </v>
      </c>
      <c r="H185" s="338" t="str">
        <f aca="false">IF((G185&lt;&gt;0),IF((D185&gt;0)," ",G185)," ")</f>
        <v> </v>
      </c>
      <c r="I185" s="367" t="str">
        <f aca="false">IF((G185&lt;&gt;0),IF((D185&gt;0)," ",(I$1-A185))," ")</f>
        <v> </v>
      </c>
      <c r="J185" s="334" t="str">
        <f aca="false">IF((E185="s"),G185," ")</f>
        <v> </v>
      </c>
      <c r="K185" s="334" t="str">
        <f aca="false">IF((E185="d"),G185," ")</f>
        <v> </v>
      </c>
      <c r="L185" s="334" t="str">
        <f aca="false">IF((E185="e"),G185," ")</f>
        <v> </v>
      </c>
      <c r="M185" s="334" t="str">
        <f aca="false">IF((E185="p"),G185," ")</f>
        <v> </v>
      </c>
      <c r="N185" s="334" t="str">
        <f aca="false">IF((E185="r"),G185," ")</f>
        <v> </v>
      </c>
      <c r="O185" s="334" t="str">
        <f aca="false">IF((E185="g"),G185," ")</f>
        <v> </v>
      </c>
      <c r="P185" s="334" t="str">
        <f aca="false">IF((E185="m"),G185," ")</f>
        <v> </v>
      </c>
      <c r="Q185" s="334" t="str">
        <f aca="false">IF((E185="t"),G185," ")</f>
        <v> </v>
      </c>
      <c r="R185" s="334" t="str">
        <f aca="false">IF((E185="a"),G185," ")</f>
        <v> </v>
      </c>
      <c r="S185" s="334" t="str">
        <f aca="false">IF((E185="l"),G185," ")</f>
        <v> </v>
      </c>
      <c r="T185" s="334" t="str">
        <f aca="false">IF((E185="b"),G185," ")</f>
        <v> </v>
      </c>
      <c r="U185" s="334" t="str">
        <f aca="false">IF((E185="i"),G185," ")</f>
        <v> </v>
      </c>
      <c r="V185" s="334" t="str">
        <f aca="false">IF((E185="o"),G185," ")</f>
        <v> </v>
      </c>
      <c r="W185" s="334" t="str">
        <f aca="false">IF((E185="f"),G185," ")</f>
        <v> </v>
      </c>
    </row>
    <row r="186" customFormat="false" ht="12.75" hidden="false" customHeight="false" outlineLevel="0" collapsed="false">
      <c r="A186" s="355"/>
      <c r="E186" s="365" t="str">
        <f aca="false">IF((G186&lt;&gt;0),"Enter Letter"," ")</f>
        <v> </v>
      </c>
      <c r="H186" s="338" t="str">
        <f aca="false">IF((G186&lt;&gt;0),IF((D186&gt;0)," ",G186)," ")</f>
        <v> </v>
      </c>
      <c r="I186" s="367" t="str">
        <f aca="false">IF((G186&lt;&gt;0),IF((D186&gt;0)," ",(I$1-A186))," ")</f>
        <v> </v>
      </c>
      <c r="J186" s="334" t="str">
        <f aca="false">IF((E186="s"),G186," ")</f>
        <v> </v>
      </c>
      <c r="K186" s="334" t="str">
        <f aca="false">IF((E186="d"),G186," ")</f>
        <v> </v>
      </c>
      <c r="L186" s="334" t="str">
        <f aca="false">IF((E186="e"),G186," ")</f>
        <v> </v>
      </c>
      <c r="M186" s="334" t="str">
        <f aca="false">IF((E186="p"),G186," ")</f>
        <v> </v>
      </c>
      <c r="N186" s="334" t="str">
        <f aca="false">IF((E186="r"),G186," ")</f>
        <v> </v>
      </c>
      <c r="O186" s="334" t="str">
        <f aca="false">IF((E186="g"),G186," ")</f>
        <v> </v>
      </c>
      <c r="P186" s="334" t="str">
        <f aca="false">IF((E186="m"),G186," ")</f>
        <v> </v>
      </c>
      <c r="Q186" s="334" t="str">
        <f aca="false">IF((E186="t"),G186," ")</f>
        <v> </v>
      </c>
      <c r="R186" s="334" t="str">
        <f aca="false">IF((E186="a"),G186," ")</f>
        <v> </v>
      </c>
      <c r="S186" s="334" t="str">
        <f aca="false">IF((E186="l"),G186," ")</f>
        <v> </v>
      </c>
      <c r="T186" s="334" t="str">
        <f aca="false">IF((E186="b"),G186," ")</f>
        <v> </v>
      </c>
      <c r="U186" s="334" t="str">
        <f aca="false">IF((E186="i"),G186," ")</f>
        <v> </v>
      </c>
      <c r="V186" s="334" t="str">
        <f aca="false">IF((E186="o"),G186," ")</f>
        <v> </v>
      </c>
      <c r="W186" s="334" t="str">
        <f aca="false">IF((E186="f"),G186," ")</f>
        <v> </v>
      </c>
    </row>
    <row r="187" customFormat="false" ht="12.75" hidden="false" customHeight="false" outlineLevel="0" collapsed="false">
      <c r="A187" s="355"/>
      <c r="E187" s="365" t="str">
        <f aca="false">IF((G187&lt;&gt;0),"Enter Letter"," ")</f>
        <v> </v>
      </c>
      <c r="H187" s="338" t="str">
        <f aca="false">IF((G187&lt;&gt;0),IF((D187&gt;0)," ",G187)," ")</f>
        <v> </v>
      </c>
      <c r="I187" s="367" t="str">
        <f aca="false">IF((G187&lt;&gt;0),IF((D187&gt;0)," ",(I$1-A187))," ")</f>
        <v> </v>
      </c>
      <c r="J187" s="334" t="str">
        <f aca="false">IF((E187="s"),G187," ")</f>
        <v> </v>
      </c>
      <c r="K187" s="334" t="str">
        <f aca="false">IF((E187="d"),G187," ")</f>
        <v> </v>
      </c>
      <c r="L187" s="334" t="str">
        <f aca="false">IF((E187="e"),G187," ")</f>
        <v> </v>
      </c>
      <c r="M187" s="334" t="str">
        <f aca="false">IF((E187="p"),G187," ")</f>
        <v> </v>
      </c>
      <c r="N187" s="334" t="str">
        <f aca="false">IF((E187="r"),G187," ")</f>
        <v> </v>
      </c>
      <c r="O187" s="334" t="str">
        <f aca="false">IF((E187="g"),G187," ")</f>
        <v> </v>
      </c>
      <c r="P187" s="334" t="str">
        <f aca="false">IF((E187="m"),G187," ")</f>
        <v> </v>
      </c>
      <c r="Q187" s="334" t="str">
        <f aca="false">IF((E187="t"),G187," ")</f>
        <v> </v>
      </c>
      <c r="R187" s="334" t="str">
        <f aca="false">IF((E187="a"),G187," ")</f>
        <v> </v>
      </c>
      <c r="S187" s="334" t="str">
        <f aca="false">IF((E187="l"),G187," ")</f>
        <v> </v>
      </c>
      <c r="T187" s="334" t="str">
        <f aca="false">IF((E187="b"),G187," ")</f>
        <v> </v>
      </c>
      <c r="U187" s="334" t="str">
        <f aca="false">IF((E187="i"),G187," ")</f>
        <v> </v>
      </c>
      <c r="V187" s="334" t="str">
        <f aca="false">IF((E187="o"),G187," ")</f>
        <v> </v>
      </c>
      <c r="W187" s="334" t="str">
        <f aca="false">IF((E187="f"),G187," ")</f>
        <v> </v>
      </c>
    </row>
    <row r="188" customFormat="false" ht="12.75" hidden="false" customHeight="false" outlineLevel="0" collapsed="false">
      <c r="A188" s="355"/>
      <c r="E188" s="365" t="str">
        <f aca="false">IF((G188&lt;&gt;0),"Enter Letter"," ")</f>
        <v> </v>
      </c>
      <c r="H188" s="338" t="str">
        <f aca="false">IF((G188&lt;&gt;0),IF((D188&gt;0)," ",G188)," ")</f>
        <v> </v>
      </c>
      <c r="I188" s="367" t="str">
        <f aca="false">IF((G188&lt;&gt;0),IF((D188&gt;0)," ",(I$1-A188))," ")</f>
        <v> </v>
      </c>
      <c r="J188" s="334" t="str">
        <f aca="false">IF((E188="s"),G188," ")</f>
        <v> </v>
      </c>
      <c r="K188" s="334" t="str">
        <f aca="false">IF((E188="d"),G188," ")</f>
        <v> </v>
      </c>
      <c r="L188" s="334" t="str">
        <f aca="false">IF((E188="e"),G188," ")</f>
        <v> </v>
      </c>
      <c r="M188" s="334" t="str">
        <f aca="false">IF((E188="p"),G188," ")</f>
        <v> </v>
      </c>
      <c r="N188" s="334" t="str">
        <f aca="false">IF((E188="r"),G188," ")</f>
        <v> </v>
      </c>
      <c r="O188" s="334" t="str">
        <f aca="false">IF((E188="g"),G188," ")</f>
        <v> </v>
      </c>
      <c r="P188" s="334" t="str">
        <f aca="false">IF((E188="m"),G188," ")</f>
        <v> </v>
      </c>
      <c r="Q188" s="334" t="str">
        <f aca="false">IF((E188="t"),G188," ")</f>
        <v> </v>
      </c>
      <c r="R188" s="334" t="str">
        <f aca="false">IF((E188="a"),G188," ")</f>
        <v> </v>
      </c>
      <c r="S188" s="334" t="str">
        <f aca="false">IF((E188="l"),G188," ")</f>
        <v> </v>
      </c>
      <c r="T188" s="334" t="str">
        <f aca="false">IF((E188="b"),G188," ")</f>
        <v> </v>
      </c>
      <c r="U188" s="334" t="str">
        <f aca="false">IF((E188="i"),G188," ")</f>
        <v> </v>
      </c>
      <c r="V188" s="334" t="str">
        <f aca="false">IF((E188="o"),G188," ")</f>
        <v> </v>
      </c>
      <c r="W188" s="334" t="str">
        <f aca="false">IF((E188="f"),G188," ")</f>
        <v> </v>
      </c>
    </row>
    <row r="189" customFormat="false" ht="12.75" hidden="false" customHeight="false" outlineLevel="0" collapsed="false">
      <c r="A189" s="355"/>
      <c r="E189" s="365" t="str">
        <f aca="false">IF((G189&lt;&gt;0),"Enter Letter"," ")</f>
        <v> </v>
      </c>
      <c r="H189" s="338" t="str">
        <f aca="false">IF((G189&lt;&gt;0),IF((D189&gt;0)," ",G189)," ")</f>
        <v> </v>
      </c>
      <c r="I189" s="367" t="str">
        <f aca="false">IF((G189&lt;&gt;0),IF((D189&gt;0)," ",(I$1-A189))," ")</f>
        <v> </v>
      </c>
      <c r="J189" s="334" t="str">
        <f aca="false">IF((E189="s"),G189," ")</f>
        <v> </v>
      </c>
      <c r="K189" s="334" t="str">
        <f aca="false">IF((E189="d"),G189," ")</f>
        <v> </v>
      </c>
      <c r="L189" s="334" t="str">
        <f aca="false">IF((E189="e"),G189," ")</f>
        <v> </v>
      </c>
      <c r="M189" s="334" t="str">
        <f aca="false">IF((E189="p"),G189," ")</f>
        <v> </v>
      </c>
      <c r="N189" s="334" t="str">
        <f aca="false">IF((E189="r"),G189," ")</f>
        <v> </v>
      </c>
      <c r="O189" s="334" t="str">
        <f aca="false">IF((E189="g"),G189," ")</f>
        <v> </v>
      </c>
      <c r="P189" s="334" t="str">
        <f aca="false">IF((E189="m"),G189," ")</f>
        <v> </v>
      </c>
      <c r="Q189" s="334" t="str">
        <f aca="false">IF((E189="t"),G189," ")</f>
        <v> </v>
      </c>
      <c r="R189" s="334" t="str">
        <f aca="false">IF((E189="a"),G189," ")</f>
        <v> </v>
      </c>
      <c r="S189" s="334" t="str">
        <f aca="false">IF((E189="l"),G189," ")</f>
        <v> </v>
      </c>
      <c r="T189" s="334" t="str">
        <f aca="false">IF((E189="b"),G189," ")</f>
        <v> </v>
      </c>
      <c r="U189" s="334" t="str">
        <f aca="false">IF((E189="i"),G189," ")</f>
        <v> </v>
      </c>
      <c r="V189" s="334" t="str">
        <f aca="false">IF((E189="o"),G189," ")</f>
        <v> </v>
      </c>
      <c r="W189" s="334" t="str">
        <f aca="false">IF((E189="f"),G189," ")</f>
        <v> </v>
      </c>
    </row>
    <row r="190" customFormat="false" ht="12.75" hidden="false" customHeight="false" outlineLevel="0" collapsed="false">
      <c r="A190" s="355"/>
      <c r="E190" s="365" t="str">
        <f aca="false">IF((G190&lt;&gt;0),"Enter Letter"," ")</f>
        <v> </v>
      </c>
      <c r="H190" s="338" t="str">
        <f aca="false">IF((G190&lt;&gt;0),IF((D190&gt;0)," ",G190)," ")</f>
        <v> </v>
      </c>
      <c r="I190" s="367" t="str">
        <f aca="false">IF((G190&lt;&gt;0),IF((D190&gt;0)," ",(I$1-A190))," ")</f>
        <v> </v>
      </c>
      <c r="J190" s="334" t="str">
        <f aca="false">IF((E190="s"),G190," ")</f>
        <v> </v>
      </c>
      <c r="K190" s="334" t="str">
        <f aca="false">IF((E190="d"),G190," ")</f>
        <v> </v>
      </c>
      <c r="L190" s="334" t="str">
        <f aca="false">IF((E190="e"),G190," ")</f>
        <v> </v>
      </c>
      <c r="M190" s="334" t="str">
        <f aca="false">IF((E190="p"),G190," ")</f>
        <v> </v>
      </c>
      <c r="N190" s="334" t="str">
        <f aca="false">IF((E190="r"),G190," ")</f>
        <v> </v>
      </c>
      <c r="O190" s="334" t="str">
        <f aca="false">IF((E190="g"),G190," ")</f>
        <v> </v>
      </c>
      <c r="P190" s="334" t="str">
        <f aca="false">IF((E190="m"),G190," ")</f>
        <v> </v>
      </c>
      <c r="Q190" s="334" t="str">
        <f aca="false">IF((E190="t"),G190," ")</f>
        <v> </v>
      </c>
      <c r="R190" s="334" t="str">
        <f aca="false">IF((E190="a"),G190," ")</f>
        <v> </v>
      </c>
      <c r="S190" s="334" t="str">
        <f aca="false">IF((E190="l"),G190," ")</f>
        <v> </v>
      </c>
      <c r="T190" s="334" t="str">
        <f aca="false">IF((E190="b"),G190," ")</f>
        <v> </v>
      </c>
      <c r="U190" s="334" t="str">
        <f aca="false">IF((E190="i"),G190," ")</f>
        <v> </v>
      </c>
      <c r="V190" s="334" t="str">
        <f aca="false">IF((E190="o"),G190," ")</f>
        <v> </v>
      </c>
      <c r="W190" s="334" t="str">
        <f aca="false">IF((E190="f"),G190," ")</f>
        <v> </v>
      </c>
    </row>
    <row r="191" customFormat="false" ht="12.75" hidden="false" customHeight="false" outlineLevel="0" collapsed="false">
      <c r="A191" s="355"/>
      <c r="E191" s="365" t="str">
        <f aca="false">IF((G191&lt;&gt;0),"Enter Letter"," ")</f>
        <v> </v>
      </c>
      <c r="H191" s="338" t="str">
        <f aca="false">IF((G191&lt;&gt;0),IF((D191&gt;0)," ",G191)," ")</f>
        <v> </v>
      </c>
      <c r="I191" s="367" t="str">
        <f aca="false">IF((G191&lt;&gt;0),IF((D191&gt;0)," ",(I$1-A191))," ")</f>
        <v> </v>
      </c>
      <c r="J191" s="334" t="str">
        <f aca="false">IF((E191="s"),G191," ")</f>
        <v> </v>
      </c>
      <c r="K191" s="334" t="str">
        <f aca="false">IF((E191="d"),G191," ")</f>
        <v> </v>
      </c>
      <c r="L191" s="334" t="str">
        <f aca="false">IF((E191="e"),G191," ")</f>
        <v> </v>
      </c>
      <c r="M191" s="334" t="str">
        <f aca="false">IF((E191="p"),G191," ")</f>
        <v> </v>
      </c>
      <c r="N191" s="334" t="str">
        <f aca="false">IF((E191="r"),G191," ")</f>
        <v> </v>
      </c>
      <c r="O191" s="334" t="str">
        <f aca="false">IF((E191="g"),G191," ")</f>
        <v> </v>
      </c>
      <c r="P191" s="334" t="str">
        <f aca="false">IF((E191="m"),G191," ")</f>
        <v> </v>
      </c>
      <c r="Q191" s="334" t="str">
        <f aca="false">IF((E191="t"),G191," ")</f>
        <v> </v>
      </c>
      <c r="R191" s="334" t="str">
        <f aca="false">IF((E191="a"),G191," ")</f>
        <v> </v>
      </c>
      <c r="S191" s="334" t="str">
        <f aca="false">IF((E191="l"),G191," ")</f>
        <v> </v>
      </c>
      <c r="T191" s="334" t="str">
        <f aca="false">IF((E191="b"),G191," ")</f>
        <v> </v>
      </c>
      <c r="U191" s="334" t="str">
        <f aca="false">IF((E191="i"),G191," ")</f>
        <v> </v>
      </c>
      <c r="V191" s="334" t="str">
        <f aca="false">IF((E191="o"),G191," ")</f>
        <v> </v>
      </c>
      <c r="W191" s="334" t="str">
        <f aca="false">IF((E191="f"),G191," ")</f>
        <v> </v>
      </c>
    </row>
    <row r="192" customFormat="false" ht="12.75" hidden="false" customHeight="false" outlineLevel="0" collapsed="false">
      <c r="A192" s="355"/>
      <c r="E192" s="365" t="str">
        <f aca="false">IF((G192&lt;&gt;0),"Enter Letter"," ")</f>
        <v> </v>
      </c>
      <c r="H192" s="338" t="str">
        <f aca="false">IF((G192&lt;&gt;0),IF((D192&gt;0)," ",G192)," ")</f>
        <v> </v>
      </c>
      <c r="I192" s="367" t="str">
        <f aca="false">IF((G192&lt;&gt;0),IF((D192&gt;0)," ",(I$1-A192))," ")</f>
        <v> </v>
      </c>
      <c r="J192" s="334" t="str">
        <f aca="false">IF((E192="s"),G192," ")</f>
        <v> </v>
      </c>
      <c r="K192" s="334" t="str">
        <f aca="false">IF((E192="d"),G192," ")</f>
        <v> </v>
      </c>
      <c r="L192" s="334" t="str">
        <f aca="false">IF((E192="e"),G192," ")</f>
        <v> </v>
      </c>
      <c r="M192" s="334" t="str">
        <f aca="false">IF((E192="p"),G192," ")</f>
        <v> </v>
      </c>
      <c r="N192" s="334" t="str">
        <f aca="false">IF((E192="r"),G192," ")</f>
        <v> </v>
      </c>
      <c r="O192" s="334" t="str">
        <f aca="false">IF((E192="g"),G192," ")</f>
        <v> </v>
      </c>
      <c r="P192" s="334" t="str">
        <f aca="false">IF((E192="m"),G192," ")</f>
        <v> </v>
      </c>
      <c r="Q192" s="334" t="str">
        <f aca="false">IF((E192="t"),G192," ")</f>
        <v> </v>
      </c>
      <c r="R192" s="334" t="str">
        <f aca="false">IF((E192="a"),G192," ")</f>
        <v> </v>
      </c>
      <c r="S192" s="334" t="str">
        <f aca="false">IF((E192="l"),G192," ")</f>
        <v> </v>
      </c>
      <c r="T192" s="334" t="str">
        <f aca="false">IF((E192="b"),G192," ")</f>
        <v> </v>
      </c>
      <c r="U192" s="334" t="str">
        <f aca="false">IF((E192="i"),G192," ")</f>
        <v> </v>
      </c>
      <c r="V192" s="334" t="str">
        <f aca="false">IF((E192="o"),G192," ")</f>
        <v> </v>
      </c>
      <c r="W192" s="334" t="str">
        <f aca="false">IF((E192="f"),G192," ")</f>
        <v> </v>
      </c>
    </row>
    <row r="193" customFormat="false" ht="12.75" hidden="false" customHeight="false" outlineLevel="0" collapsed="false">
      <c r="A193" s="355"/>
      <c r="E193" s="365" t="str">
        <f aca="false">IF((G193&lt;&gt;0),"Enter Letter"," ")</f>
        <v> </v>
      </c>
      <c r="H193" s="338" t="str">
        <f aca="false">IF((G193&lt;&gt;0),IF((D193&gt;0)," ",G193)," ")</f>
        <v> </v>
      </c>
      <c r="I193" s="367" t="str">
        <f aca="false">IF((G193&lt;&gt;0),IF((D193&gt;0)," ",(I$1-A193))," ")</f>
        <v> </v>
      </c>
      <c r="J193" s="334" t="str">
        <f aca="false">IF((E193="s"),G193," ")</f>
        <v> </v>
      </c>
      <c r="K193" s="334" t="str">
        <f aca="false">IF((E193="d"),G193," ")</f>
        <v> </v>
      </c>
      <c r="L193" s="334" t="str">
        <f aca="false">IF((E193="e"),G193," ")</f>
        <v> </v>
      </c>
      <c r="M193" s="334" t="str">
        <f aca="false">IF((E193="p"),G193," ")</f>
        <v> </v>
      </c>
      <c r="N193" s="334" t="str">
        <f aca="false">IF((E193="r"),G193," ")</f>
        <v> </v>
      </c>
      <c r="O193" s="334" t="str">
        <f aca="false">IF((E193="g"),G193," ")</f>
        <v> </v>
      </c>
      <c r="P193" s="334" t="str">
        <f aca="false">IF((E193="m"),G193," ")</f>
        <v> </v>
      </c>
      <c r="Q193" s="334" t="str">
        <f aca="false">IF((E193="t"),G193," ")</f>
        <v> </v>
      </c>
      <c r="R193" s="334" t="str">
        <f aca="false">IF((E193="a"),G193," ")</f>
        <v> </v>
      </c>
      <c r="S193" s="334" t="str">
        <f aca="false">IF((E193="l"),G193," ")</f>
        <v> </v>
      </c>
      <c r="T193" s="334" t="str">
        <f aca="false">IF((E193="b"),G193," ")</f>
        <v> </v>
      </c>
      <c r="U193" s="334" t="str">
        <f aca="false">IF((E193="i"),G193," ")</f>
        <v> </v>
      </c>
      <c r="V193" s="334" t="str">
        <f aca="false">IF((E193="o"),G193," ")</f>
        <v> </v>
      </c>
      <c r="W193" s="334" t="str">
        <f aca="false">IF((E193="f"),G193," ")</f>
        <v> </v>
      </c>
    </row>
    <row r="194" customFormat="false" ht="12.75" hidden="false" customHeight="false" outlineLevel="0" collapsed="false">
      <c r="A194" s="355"/>
      <c r="E194" s="365" t="str">
        <f aca="false">IF((G194&lt;&gt;0),"Enter Letter"," ")</f>
        <v> </v>
      </c>
      <c r="H194" s="338" t="str">
        <f aca="false">IF((G194&lt;&gt;0),IF((D194&gt;0)," ",G194)," ")</f>
        <v> </v>
      </c>
      <c r="I194" s="367" t="str">
        <f aca="false">IF((G194&lt;&gt;0),IF((D194&gt;0)," ",(I$1-A194))," ")</f>
        <v> </v>
      </c>
      <c r="J194" s="334" t="str">
        <f aca="false">IF((E194="s"),G194," ")</f>
        <v> </v>
      </c>
      <c r="K194" s="334" t="str">
        <f aca="false">IF((E194="d"),G194," ")</f>
        <v> </v>
      </c>
      <c r="L194" s="334" t="str">
        <f aca="false">IF((E194="e"),G194," ")</f>
        <v> </v>
      </c>
      <c r="M194" s="334" t="str">
        <f aca="false">IF((E194="p"),G194," ")</f>
        <v> </v>
      </c>
      <c r="N194" s="334" t="str">
        <f aca="false">IF((E194="r"),G194," ")</f>
        <v> </v>
      </c>
      <c r="O194" s="334" t="str">
        <f aca="false">IF((E194="g"),G194," ")</f>
        <v> </v>
      </c>
      <c r="P194" s="334" t="str">
        <f aca="false">IF((E194="m"),G194," ")</f>
        <v> </v>
      </c>
      <c r="Q194" s="334" t="str">
        <f aca="false">IF((E194="t"),G194," ")</f>
        <v> </v>
      </c>
      <c r="R194" s="334" t="str">
        <f aca="false">IF((E194="a"),G194," ")</f>
        <v> </v>
      </c>
      <c r="S194" s="334" t="str">
        <f aca="false">IF((E194="l"),G194," ")</f>
        <v> </v>
      </c>
      <c r="T194" s="334" t="str">
        <f aca="false">IF((E194="b"),G194," ")</f>
        <v> </v>
      </c>
      <c r="U194" s="334" t="str">
        <f aca="false">IF((E194="i"),G194," ")</f>
        <v> </v>
      </c>
      <c r="V194" s="334" t="str">
        <f aca="false">IF((E194="o"),G194," ")</f>
        <v> </v>
      </c>
      <c r="W194" s="334" t="str">
        <f aca="false">IF((E194="f"),G194," ")</f>
        <v> </v>
      </c>
    </row>
    <row r="195" customFormat="false" ht="12.75" hidden="false" customHeight="false" outlineLevel="0" collapsed="false">
      <c r="A195" s="355"/>
      <c r="E195" s="365" t="str">
        <f aca="false">IF((G195&lt;&gt;0),"Enter Letter"," ")</f>
        <v> </v>
      </c>
      <c r="H195" s="338" t="str">
        <f aca="false">IF((G195&lt;&gt;0),IF((D195&gt;0)," ",G195)," ")</f>
        <v> </v>
      </c>
      <c r="I195" s="367" t="str">
        <f aca="false">IF((G195&lt;&gt;0),IF((D195&gt;0)," ",(I$1-A195))," ")</f>
        <v> </v>
      </c>
      <c r="J195" s="334" t="str">
        <f aca="false">IF((E195="s"),G195," ")</f>
        <v> </v>
      </c>
      <c r="K195" s="334" t="str">
        <f aca="false">IF((E195="d"),G195," ")</f>
        <v> </v>
      </c>
      <c r="L195" s="334" t="str">
        <f aca="false">IF((E195="e"),G195," ")</f>
        <v> </v>
      </c>
      <c r="M195" s="334" t="str">
        <f aca="false">IF((E195="p"),G195," ")</f>
        <v> </v>
      </c>
      <c r="N195" s="334" t="str">
        <f aca="false">IF((E195="r"),G195," ")</f>
        <v> </v>
      </c>
      <c r="O195" s="334" t="str">
        <f aca="false">IF((E195="g"),G195," ")</f>
        <v> </v>
      </c>
      <c r="P195" s="334" t="str">
        <f aca="false">IF((E195="m"),G195," ")</f>
        <v> </v>
      </c>
      <c r="Q195" s="334" t="str">
        <f aca="false">IF((E195="t"),G195," ")</f>
        <v> </v>
      </c>
      <c r="R195" s="334" t="str">
        <f aca="false">IF((E195="a"),G195," ")</f>
        <v> </v>
      </c>
      <c r="S195" s="334" t="str">
        <f aca="false">IF((E195="l"),G195," ")</f>
        <v> </v>
      </c>
      <c r="T195" s="334" t="str">
        <f aca="false">IF((E195="b"),G195," ")</f>
        <v> </v>
      </c>
      <c r="U195" s="334" t="str">
        <f aca="false">IF((E195="i"),G195," ")</f>
        <v> </v>
      </c>
      <c r="V195" s="334" t="str">
        <f aca="false">IF((E195="o"),G195," ")</f>
        <v> </v>
      </c>
      <c r="W195" s="334" t="str">
        <f aca="false">IF((E195="f"),G195," ")</f>
        <v> </v>
      </c>
    </row>
    <row r="196" customFormat="false" ht="12.75" hidden="false" customHeight="false" outlineLevel="0" collapsed="false">
      <c r="A196" s="355"/>
      <c r="E196" s="365" t="str">
        <f aca="false">IF((G196&lt;&gt;0),"Enter Letter"," ")</f>
        <v> </v>
      </c>
      <c r="H196" s="338" t="str">
        <f aca="false">IF((G196&lt;&gt;0),IF((D196&gt;0)," ",G196)," ")</f>
        <v> </v>
      </c>
      <c r="I196" s="367" t="str">
        <f aca="false">IF((G196&lt;&gt;0),IF((D196&gt;0)," ",(I$1-A196))," ")</f>
        <v> </v>
      </c>
      <c r="J196" s="334" t="str">
        <f aca="false">IF((E196="s"),G196," ")</f>
        <v> </v>
      </c>
      <c r="K196" s="334" t="str">
        <f aca="false">IF((E196="d"),G196," ")</f>
        <v> </v>
      </c>
      <c r="L196" s="334" t="str">
        <f aca="false">IF((E196="e"),G196," ")</f>
        <v> </v>
      </c>
      <c r="M196" s="334" t="str">
        <f aca="false">IF((E196="p"),G196," ")</f>
        <v> </v>
      </c>
      <c r="N196" s="334" t="str">
        <f aca="false">IF((E196="r"),G196," ")</f>
        <v> </v>
      </c>
      <c r="O196" s="334" t="str">
        <f aca="false">IF((E196="g"),G196," ")</f>
        <v> </v>
      </c>
      <c r="P196" s="334" t="str">
        <f aca="false">IF((E196="m"),G196," ")</f>
        <v> </v>
      </c>
      <c r="Q196" s="334" t="str">
        <f aca="false">IF((E196="t"),G196," ")</f>
        <v> </v>
      </c>
      <c r="R196" s="334" t="str">
        <f aca="false">IF((E196="a"),G196," ")</f>
        <v> </v>
      </c>
      <c r="S196" s="334" t="str">
        <f aca="false">IF((E196="l"),G196," ")</f>
        <v> </v>
      </c>
      <c r="T196" s="334" t="str">
        <f aca="false">IF((E196="b"),G196," ")</f>
        <v> </v>
      </c>
      <c r="U196" s="334" t="str">
        <f aca="false">IF((E196="i"),G196," ")</f>
        <v> </v>
      </c>
      <c r="V196" s="334" t="str">
        <f aca="false">IF((E196="o"),G196," ")</f>
        <v> </v>
      </c>
      <c r="W196" s="334" t="str">
        <f aca="false">IF((E196="f"),G196," ")</f>
        <v> </v>
      </c>
    </row>
    <row r="197" customFormat="false" ht="12.75" hidden="false" customHeight="false" outlineLevel="0" collapsed="false">
      <c r="A197" s="355"/>
      <c r="E197" s="365" t="str">
        <f aca="false">IF((G197&lt;&gt;0),"Enter Letter"," ")</f>
        <v> </v>
      </c>
      <c r="H197" s="338" t="str">
        <f aca="false">IF((G197&lt;&gt;0),IF((D197&gt;0)," ",G197)," ")</f>
        <v> </v>
      </c>
      <c r="I197" s="367" t="str">
        <f aca="false">IF((G197&lt;&gt;0),IF((D197&gt;0)," ",(I$1-A197))," ")</f>
        <v> </v>
      </c>
      <c r="J197" s="334" t="str">
        <f aca="false">IF((E197="s"),G197," ")</f>
        <v> </v>
      </c>
      <c r="K197" s="334" t="str">
        <f aca="false">IF((E197="d"),G197," ")</f>
        <v> </v>
      </c>
      <c r="L197" s="334" t="str">
        <f aca="false">IF((E197="e"),G197," ")</f>
        <v> </v>
      </c>
      <c r="M197" s="334" t="str">
        <f aca="false">IF((E197="p"),G197," ")</f>
        <v> </v>
      </c>
      <c r="N197" s="334" t="str">
        <f aca="false">IF((E197="r"),G197," ")</f>
        <v> </v>
      </c>
      <c r="O197" s="334" t="str">
        <f aca="false">IF((E197="g"),G197," ")</f>
        <v> </v>
      </c>
      <c r="P197" s="334" t="str">
        <f aca="false">IF((E197="m"),G197," ")</f>
        <v> </v>
      </c>
      <c r="Q197" s="334" t="str">
        <f aca="false">IF((E197="t"),G197," ")</f>
        <v> </v>
      </c>
      <c r="R197" s="334" t="str">
        <f aca="false">IF((E197="a"),G197," ")</f>
        <v> </v>
      </c>
      <c r="S197" s="334" t="str">
        <f aca="false">IF((E197="l"),G197," ")</f>
        <v> </v>
      </c>
      <c r="T197" s="334" t="str">
        <f aca="false">IF((E197="b"),G197," ")</f>
        <v> </v>
      </c>
      <c r="U197" s="334" t="str">
        <f aca="false">IF((E197="i"),G197," ")</f>
        <v> </v>
      </c>
      <c r="V197" s="334" t="str">
        <f aca="false">IF((E197="o"),G197," ")</f>
        <v> </v>
      </c>
      <c r="W197" s="334" t="str">
        <f aca="false">IF((E197="f"),G197," ")</f>
        <v> </v>
      </c>
    </row>
    <row r="198" customFormat="false" ht="12.75" hidden="false" customHeight="false" outlineLevel="0" collapsed="false">
      <c r="A198" s="355"/>
      <c r="E198" s="365" t="str">
        <f aca="false">IF((G198&lt;&gt;0),"Enter Letter"," ")</f>
        <v> </v>
      </c>
      <c r="H198" s="338" t="str">
        <f aca="false">IF((G198&lt;&gt;0),IF((D198&gt;0)," ",G198)," ")</f>
        <v> </v>
      </c>
      <c r="I198" s="367" t="str">
        <f aca="false">IF((G198&lt;&gt;0),IF((D198&gt;0)," ",(I$1-A198))," ")</f>
        <v> </v>
      </c>
      <c r="J198" s="334" t="str">
        <f aca="false">IF((E198="s"),G198," ")</f>
        <v> </v>
      </c>
      <c r="K198" s="334" t="str">
        <f aca="false">IF((E198="d"),G198," ")</f>
        <v> </v>
      </c>
      <c r="L198" s="334" t="str">
        <f aca="false">IF((E198="e"),G198," ")</f>
        <v> </v>
      </c>
      <c r="M198" s="334" t="str">
        <f aca="false">IF((E198="p"),G198," ")</f>
        <v> </v>
      </c>
      <c r="N198" s="334" t="str">
        <f aca="false">IF((E198="r"),G198," ")</f>
        <v> </v>
      </c>
      <c r="O198" s="334" t="str">
        <f aca="false">IF((E198="g"),G198," ")</f>
        <v> </v>
      </c>
      <c r="P198" s="334" t="str">
        <f aca="false">IF((E198="m"),G198," ")</f>
        <v> </v>
      </c>
      <c r="Q198" s="334" t="str">
        <f aca="false">IF((E198="t"),G198," ")</f>
        <v> </v>
      </c>
      <c r="R198" s="334" t="str">
        <f aca="false">IF((E198="a"),G198," ")</f>
        <v> </v>
      </c>
      <c r="S198" s="334" t="str">
        <f aca="false">IF((E198="l"),G198," ")</f>
        <v> </v>
      </c>
      <c r="T198" s="334" t="str">
        <f aca="false">IF((E198="b"),G198," ")</f>
        <v> </v>
      </c>
      <c r="U198" s="334" t="str">
        <f aca="false">IF((E198="i"),G198," ")</f>
        <v> </v>
      </c>
      <c r="V198" s="334" t="str">
        <f aca="false">IF((E198="o"),G198," ")</f>
        <v> </v>
      </c>
      <c r="W198" s="334" t="str">
        <f aca="false">IF((E198="f"),G198," ")</f>
        <v> </v>
      </c>
    </row>
    <row r="199" customFormat="false" ht="12.75" hidden="false" customHeight="false" outlineLevel="0" collapsed="false">
      <c r="A199" s="355"/>
      <c r="E199" s="365" t="str">
        <f aca="false">IF((G199&lt;&gt;0),"Enter Letter"," ")</f>
        <v> </v>
      </c>
      <c r="H199" s="338" t="str">
        <f aca="false">IF((G199&lt;&gt;0),IF((D199&gt;0)," ",G199)," ")</f>
        <v> </v>
      </c>
      <c r="I199" s="367" t="str">
        <f aca="false">IF((G199&lt;&gt;0),IF((D199&gt;0)," ",(I$1-A199))," ")</f>
        <v> </v>
      </c>
      <c r="J199" s="334" t="str">
        <f aca="false">IF((E199="s"),G199," ")</f>
        <v> </v>
      </c>
      <c r="K199" s="334" t="str">
        <f aca="false">IF((E199="d"),G199," ")</f>
        <v> </v>
      </c>
      <c r="L199" s="334" t="str">
        <f aca="false">IF((E199="e"),G199," ")</f>
        <v> </v>
      </c>
      <c r="M199" s="334" t="str">
        <f aca="false">IF((E199="p"),G199," ")</f>
        <v> </v>
      </c>
      <c r="N199" s="334" t="str">
        <f aca="false">IF((E199="r"),G199," ")</f>
        <v> </v>
      </c>
      <c r="O199" s="334" t="str">
        <f aca="false">IF((E199="g"),G199," ")</f>
        <v> </v>
      </c>
      <c r="P199" s="334" t="str">
        <f aca="false">IF((E199="m"),G199," ")</f>
        <v> </v>
      </c>
      <c r="Q199" s="334" t="str">
        <f aca="false">IF((E199="t"),G199," ")</f>
        <v> </v>
      </c>
      <c r="R199" s="334" t="str">
        <f aca="false">IF((E199="a"),G199," ")</f>
        <v> </v>
      </c>
      <c r="S199" s="334" t="str">
        <f aca="false">IF((E199="l"),G199," ")</f>
        <v> </v>
      </c>
      <c r="T199" s="334" t="str">
        <f aca="false">IF((E199="b"),G199," ")</f>
        <v> </v>
      </c>
      <c r="U199" s="334" t="str">
        <f aca="false">IF((E199="i"),G199," ")</f>
        <v> </v>
      </c>
      <c r="V199" s="334" t="str">
        <f aca="false">IF((E199="o"),G199," ")</f>
        <v> </v>
      </c>
      <c r="W199" s="334" t="str">
        <f aca="false">IF((E199="f"),G199," ")</f>
        <v> </v>
      </c>
    </row>
    <row r="200" customFormat="false" ht="12.75" hidden="false" customHeight="false" outlineLevel="0" collapsed="false">
      <c r="A200" s="355"/>
      <c r="E200" s="365" t="str">
        <f aca="false">IF((G200&lt;&gt;0),"Enter Letter"," ")</f>
        <v> </v>
      </c>
      <c r="H200" s="338" t="str">
        <f aca="false">IF((G200&lt;&gt;0),IF((D200&gt;0)," ",G200)," ")</f>
        <v> </v>
      </c>
      <c r="I200" s="367" t="str">
        <f aca="false">IF((G200&lt;&gt;0),IF((D200&gt;0)," ",(I$1-A200))," ")</f>
        <v> </v>
      </c>
      <c r="J200" s="334" t="str">
        <f aca="false">IF((E200="s"),G200," ")</f>
        <v> </v>
      </c>
      <c r="K200" s="334" t="str">
        <f aca="false">IF((E200="d"),G200," ")</f>
        <v> </v>
      </c>
      <c r="L200" s="334" t="str">
        <f aca="false">IF((E200="e"),G200," ")</f>
        <v> </v>
      </c>
      <c r="M200" s="334" t="str">
        <f aca="false">IF((E200="p"),G200," ")</f>
        <v> </v>
      </c>
      <c r="N200" s="334" t="str">
        <f aca="false">IF((E200="r"),G200," ")</f>
        <v> </v>
      </c>
      <c r="O200" s="334" t="str">
        <f aca="false">IF((E200="g"),G200," ")</f>
        <v> </v>
      </c>
      <c r="P200" s="334" t="str">
        <f aca="false">IF((E200="m"),G200," ")</f>
        <v> </v>
      </c>
      <c r="Q200" s="334" t="str">
        <f aca="false">IF((E200="t"),G200," ")</f>
        <v> </v>
      </c>
      <c r="R200" s="334" t="str">
        <f aca="false">IF((E200="a"),G200," ")</f>
        <v> </v>
      </c>
      <c r="S200" s="334" t="str">
        <f aca="false">IF((E200="l"),G200," ")</f>
        <v> </v>
      </c>
      <c r="T200" s="334" t="str">
        <f aca="false">IF((E200="b"),G200," ")</f>
        <v> </v>
      </c>
      <c r="U200" s="334" t="str">
        <f aca="false">IF((E200="i"),G200," ")</f>
        <v> </v>
      </c>
      <c r="V200" s="334" t="str">
        <f aca="false">IF((E200="o"),G200," ")</f>
        <v> </v>
      </c>
      <c r="W200" s="334" t="str">
        <f aca="false">IF((E200="f"),G200," ")</f>
        <v> </v>
      </c>
      <c r="Y200" s="399"/>
      <c r="Z200" s="399"/>
    </row>
    <row r="201" customFormat="false" ht="12.75" hidden="false" customHeight="false" outlineLevel="0" collapsed="false">
      <c r="A201" s="355"/>
      <c r="E201" s="365" t="str">
        <f aca="false">IF((G201&lt;&gt;0),"Enter Letter"," ")</f>
        <v> </v>
      </c>
      <c r="H201" s="338" t="str">
        <f aca="false">IF((G201&lt;&gt;0),IF((D201&gt;0)," ",G201)," ")</f>
        <v> </v>
      </c>
      <c r="I201" s="367" t="str">
        <f aca="false">IF((G201&lt;&gt;0),IF((D201&gt;0)," ",(I$1-A201))," ")</f>
        <v> </v>
      </c>
      <c r="J201" s="334" t="str">
        <f aca="false">IF((E201="s"),G201," ")</f>
        <v> </v>
      </c>
      <c r="K201" s="334" t="str">
        <f aca="false">IF((E201="d"),G201," ")</f>
        <v> </v>
      </c>
      <c r="L201" s="334" t="str">
        <f aca="false">IF((E201="e"),G201," ")</f>
        <v> </v>
      </c>
      <c r="M201" s="334" t="str">
        <f aca="false">IF((E201="p"),G201," ")</f>
        <v> </v>
      </c>
      <c r="N201" s="334" t="str">
        <f aca="false">IF((E201="r"),G201," ")</f>
        <v> </v>
      </c>
      <c r="O201" s="334" t="str">
        <f aca="false">IF((E201="g"),G201," ")</f>
        <v> </v>
      </c>
      <c r="P201" s="334" t="str">
        <f aca="false">IF((E201="m"),G201," ")</f>
        <v> </v>
      </c>
      <c r="Q201" s="334" t="str">
        <f aca="false">IF((E201="t"),G201," ")</f>
        <v> </v>
      </c>
      <c r="R201" s="334" t="str">
        <f aca="false">IF((E201="a"),G201," ")</f>
        <v> </v>
      </c>
      <c r="S201" s="334" t="str">
        <f aca="false">IF((E201="l"),G201," ")</f>
        <v> </v>
      </c>
      <c r="T201" s="334" t="str">
        <f aca="false">IF((E201="b"),G201," ")</f>
        <v> </v>
      </c>
      <c r="U201" s="334" t="str">
        <f aca="false">IF((E201="i"),G201," ")</f>
        <v> </v>
      </c>
      <c r="V201" s="334" t="str">
        <f aca="false">IF((E201="o"),G201," ")</f>
        <v> </v>
      </c>
      <c r="W201" s="334" t="str">
        <f aca="false">IF((E201="f"),G201," ")</f>
        <v> </v>
      </c>
    </row>
    <row r="202" customFormat="false" ht="12.75" hidden="false" customHeight="false" outlineLevel="0" collapsed="false">
      <c r="A202" s="355"/>
      <c r="E202" s="365" t="str">
        <f aca="false">IF((G202&lt;&gt;0),"Enter Letter"," ")</f>
        <v> </v>
      </c>
      <c r="H202" s="338" t="str">
        <f aca="false">IF((G202&lt;&gt;0),IF((D202&gt;0)," ",G202)," ")</f>
        <v> </v>
      </c>
      <c r="I202" s="367" t="str">
        <f aca="false">IF((G202&lt;&gt;0),IF((D202&gt;0)," ",(I$1-A202))," ")</f>
        <v> </v>
      </c>
      <c r="J202" s="334" t="str">
        <f aca="false">IF((E202="s"),G202," ")</f>
        <v> </v>
      </c>
      <c r="K202" s="334" t="str">
        <f aca="false">IF((E202="d"),G202," ")</f>
        <v> </v>
      </c>
      <c r="L202" s="334" t="str">
        <f aca="false">IF((E202="e"),G202," ")</f>
        <v> </v>
      </c>
      <c r="M202" s="334" t="str">
        <f aca="false">IF((E202="p"),G202," ")</f>
        <v> </v>
      </c>
      <c r="N202" s="334" t="str">
        <f aca="false">IF((E202="r"),G202," ")</f>
        <v> </v>
      </c>
      <c r="O202" s="334" t="str">
        <f aca="false">IF((E202="g"),G202," ")</f>
        <v> </v>
      </c>
      <c r="P202" s="334" t="str">
        <f aca="false">IF((E202="m"),G202," ")</f>
        <v> </v>
      </c>
      <c r="Q202" s="334" t="str">
        <f aca="false">IF((E202="t"),G202," ")</f>
        <v> </v>
      </c>
      <c r="R202" s="334" t="str">
        <f aca="false">IF((E202="a"),G202," ")</f>
        <v> </v>
      </c>
      <c r="S202" s="334" t="str">
        <f aca="false">IF((E202="l"),G202," ")</f>
        <v> </v>
      </c>
      <c r="T202" s="334" t="str">
        <f aca="false">IF((E202="b"),G202," ")</f>
        <v> </v>
      </c>
      <c r="U202" s="334" t="str">
        <f aca="false">IF((E202="i"),G202," ")</f>
        <v> </v>
      </c>
      <c r="V202" s="334" t="str">
        <f aca="false">IF((E202="o"),G202," ")</f>
        <v> </v>
      </c>
      <c r="W202" s="334" t="str">
        <f aca="false">IF((E202="f"),G202," ")</f>
        <v> </v>
      </c>
    </row>
    <row r="203" customFormat="false" ht="12.75" hidden="false" customHeight="false" outlineLevel="0" collapsed="false">
      <c r="A203" s="355"/>
      <c r="E203" s="365" t="str">
        <f aca="false">IF((G203&lt;&gt;0),"Enter Letter"," ")</f>
        <v> </v>
      </c>
      <c r="H203" s="338" t="str">
        <f aca="false">IF((G203&lt;&gt;0),IF((D203&gt;0)," ",G203)," ")</f>
        <v> </v>
      </c>
      <c r="I203" s="367" t="str">
        <f aca="false">IF((G203&lt;&gt;0),IF((D203&gt;0)," ",(I$1-A203))," ")</f>
        <v> </v>
      </c>
      <c r="J203" s="334" t="str">
        <f aca="false">IF((E203="s"),G203," ")</f>
        <v> </v>
      </c>
      <c r="K203" s="334" t="str">
        <f aca="false">IF((E203="d"),G203," ")</f>
        <v> </v>
      </c>
      <c r="L203" s="334" t="str">
        <f aca="false">IF((E203="e"),G203," ")</f>
        <v> </v>
      </c>
      <c r="M203" s="334" t="str">
        <f aca="false">IF((E203="p"),G203," ")</f>
        <v> </v>
      </c>
      <c r="N203" s="334" t="str">
        <f aca="false">IF((E203="r"),G203," ")</f>
        <v> </v>
      </c>
      <c r="O203" s="334" t="str">
        <f aca="false">IF((E203="g"),G203," ")</f>
        <v> </v>
      </c>
      <c r="P203" s="334" t="str">
        <f aca="false">IF((E203="m"),G203," ")</f>
        <v> </v>
      </c>
      <c r="Q203" s="334" t="str">
        <f aca="false">IF((E203="t"),G203," ")</f>
        <v> </v>
      </c>
      <c r="R203" s="334" t="str">
        <f aca="false">IF((E203="a"),G203," ")</f>
        <v> </v>
      </c>
      <c r="S203" s="334" t="str">
        <f aca="false">IF((E203="l"),G203," ")</f>
        <v> </v>
      </c>
      <c r="T203" s="334" t="str">
        <f aca="false">IF((E203="b"),G203," ")</f>
        <v> </v>
      </c>
      <c r="U203" s="334" t="str">
        <f aca="false">IF((E203="i"),G203," ")</f>
        <v> </v>
      </c>
      <c r="V203" s="334" t="str">
        <f aca="false">IF((E203="o"),G203," ")</f>
        <v> </v>
      </c>
      <c r="W203" s="334" t="str">
        <f aca="false">IF((E203="f"),G203," ")</f>
        <v> </v>
      </c>
    </row>
    <row r="204" customFormat="false" ht="12.75" hidden="false" customHeight="false" outlineLevel="0" collapsed="false">
      <c r="A204" s="355"/>
      <c r="E204" s="365" t="str">
        <f aca="false">IF((G204&lt;&gt;0),"Enter Letter"," ")</f>
        <v> </v>
      </c>
      <c r="H204" s="338" t="str">
        <f aca="false">IF((G204&lt;&gt;0),IF((D204&gt;0)," ",G204)," ")</f>
        <v> </v>
      </c>
      <c r="I204" s="367" t="str">
        <f aca="false">IF((G204&lt;&gt;0),IF((D204&gt;0)," ",(I$1-A204))," ")</f>
        <v> </v>
      </c>
      <c r="J204" s="334" t="str">
        <f aca="false">IF((E204="s"),G204," ")</f>
        <v> </v>
      </c>
      <c r="K204" s="334" t="str">
        <f aca="false">IF((E204="d"),G204," ")</f>
        <v> </v>
      </c>
      <c r="L204" s="334" t="str">
        <f aca="false">IF((E204="e"),G204," ")</f>
        <v> </v>
      </c>
      <c r="M204" s="334" t="str">
        <f aca="false">IF((E204="p"),G204," ")</f>
        <v> </v>
      </c>
      <c r="N204" s="334" t="str">
        <f aca="false">IF((E204="r"),G204," ")</f>
        <v> </v>
      </c>
      <c r="O204" s="334" t="str">
        <f aca="false">IF((E204="g"),G204," ")</f>
        <v> </v>
      </c>
      <c r="P204" s="334" t="str">
        <f aca="false">IF((E204="m"),G204," ")</f>
        <v> </v>
      </c>
      <c r="Q204" s="334" t="str">
        <f aca="false">IF((E204="t"),G204," ")</f>
        <v> </v>
      </c>
      <c r="R204" s="334" t="str">
        <f aca="false">IF((E204="a"),G204," ")</f>
        <v> </v>
      </c>
      <c r="S204" s="334" t="str">
        <f aca="false">IF((E204="l"),G204," ")</f>
        <v> </v>
      </c>
      <c r="T204" s="334" t="str">
        <f aca="false">IF((E204="b"),G204," ")</f>
        <v> </v>
      </c>
      <c r="U204" s="334" t="str">
        <f aca="false">IF((E204="i"),G204," ")</f>
        <v> </v>
      </c>
      <c r="V204" s="334" t="str">
        <f aca="false">IF((E204="o"),G204," ")</f>
        <v> </v>
      </c>
      <c r="W204" s="334" t="str">
        <f aca="false">IF((E204="f"),G204," ")</f>
        <v> </v>
      </c>
    </row>
    <row r="205" customFormat="false" ht="12.75" hidden="false" customHeight="false" outlineLevel="0" collapsed="false">
      <c r="A205" s="355"/>
      <c r="E205" s="365" t="str">
        <f aca="false">IF((G205&lt;&gt;0),"Enter Letter"," ")</f>
        <v> </v>
      </c>
      <c r="J205" s="334" t="str">
        <f aca="false">IF((E205="s"),G205," ")</f>
        <v> </v>
      </c>
      <c r="K205" s="334" t="str">
        <f aca="false">IF((E205="d"),G205," ")</f>
        <v> </v>
      </c>
      <c r="L205" s="334" t="str">
        <f aca="false">IF((E205="e"),G205," ")</f>
        <v> </v>
      </c>
      <c r="M205" s="334" t="str">
        <f aca="false">IF((E205="p"),G205," ")</f>
        <v> </v>
      </c>
      <c r="N205" s="334" t="str">
        <f aca="false">IF((E205="r"),G205," ")</f>
        <v> </v>
      </c>
      <c r="O205" s="334" t="str">
        <f aca="false">IF((E205="g"),G205," ")</f>
        <v> </v>
      </c>
      <c r="P205" s="334" t="str">
        <f aca="false">IF((E205="m"),G205," ")</f>
        <v> </v>
      </c>
      <c r="Q205" s="334" t="str">
        <f aca="false">IF((E205="t"),G205," ")</f>
        <v> </v>
      </c>
      <c r="R205" s="334" t="str">
        <f aca="false">IF((E205="a"),G205," ")</f>
        <v> </v>
      </c>
      <c r="S205" s="334" t="str">
        <f aca="false">IF((E205="l"),G205," ")</f>
        <v> </v>
      </c>
      <c r="T205" s="334" t="str">
        <f aca="false">IF((E205="b"),G205," ")</f>
        <v> </v>
      </c>
      <c r="U205" s="334" t="str">
        <f aca="false">IF((E205="i"),G205," ")</f>
        <v> </v>
      </c>
      <c r="V205" s="334" t="str">
        <f aca="false">IF((E205="o"),G205," ")</f>
        <v> </v>
      </c>
      <c r="W205" s="334" t="str">
        <f aca="false">IF((E205="f"),G205," ")</f>
        <v> </v>
      </c>
    </row>
    <row r="206" customFormat="false" ht="12.75" hidden="false" customHeight="false" outlineLevel="0" collapsed="false">
      <c r="A206" s="355"/>
      <c r="E206" s="365" t="str">
        <f aca="false">IF((G206&lt;&gt;0),"Enter Letter"," ")</f>
        <v> </v>
      </c>
      <c r="J206" s="334" t="str">
        <f aca="false">IF((E206="s"),G206," ")</f>
        <v> </v>
      </c>
      <c r="K206" s="334" t="str">
        <f aca="false">IF((E206="d"),G206," ")</f>
        <v> </v>
      </c>
      <c r="L206" s="334" t="str">
        <f aca="false">IF((E206="e"),G206," ")</f>
        <v> </v>
      </c>
      <c r="M206" s="334" t="str">
        <f aca="false">IF((E206="p"),G206," ")</f>
        <v> </v>
      </c>
      <c r="N206" s="334" t="str">
        <f aca="false">IF((E206="r"),G206," ")</f>
        <v> </v>
      </c>
      <c r="O206" s="334" t="str">
        <f aca="false">IF((E206="g"),G206," ")</f>
        <v> </v>
      </c>
      <c r="P206" s="334" t="str">
        <f aca="false">IF((E206="m"),G206," ")</f>
        <v> </v>
      </c>
      <c r="Q206" s="334" t="str">
        <f aca="false">IF((E206="t"),G206," ")</f>
        <v> </v>
      </c>
      <c r="R206" s="334" t="str">
        <f aca="false">IF((E206="a"),G206," ")</f>
        <v> </v>
      </c>
      <c r="S206" s="334" t="str">
        <f aca="false">IF((E206="l"),G206," ")</f>
        <v> </v>
      </c>
      <c r="T206" s="334" t="str">
        <f aca="false">IF((E206="b"),G206," ")</f>
        <v> </v>
      </c>
      <c r="U206" s="334" t="str">
        <f aca="false">IF((E206="i"),G206," ")</f>
        <v> </v>
      </c>
      <c r="V206" s="334" t="str">
        <f aca="false">IF((E206="o"),G206," ")</f>
        <v> </v>
      </c>
      <c r="W206" s="334" t="str">
        <f aca="false">IF((E206="f"),G206," ")</f>
        <v> </v>
      </c>
    </row>
    <row r="207" customFormat="false" ht="12.75" hidden="false" customHeight="false" outlineLevel="0" collapsed="false">
      <c r="A207" s="355"/>
      <c r="E207" s="365" t="str">
        <f aca="false">IF((G207&lt;&gt;0),"Enter Letter"," ")</f>
        <v> </v>
      </c>
      <c r="J207" s="334" t="str">
        <f aca="false">IF((E207="s"),G207," ")</f>
        <v> </v>
      </c>
      <c r="K207" s="334" t="str">
        <f aca="false">IF((E207="d"),G207," ")</f>
        <v> </v>
      </c>
      <c r="L207" s="334" t="str">
        <f aca="false">IF((E207="e"),G207," ")</f>
        <v> </v>
      </c>
      <c r="M207" s="334" t="str">
        <f aca="false">IF((E207="p"),G207," ")</f>
        <v> </v>
      </c>
      <c r="N207" s="334" t="str">
        <f aca="false">IF((E207="r"),G207," ")</f>
        <v> </v>
      </c>
      <c r="O207" s="334" t="str">
        <f aca="false">IF((E207="g"),G207," ")</f>
        <v> </v>
      </c>
      <c r="P207" s="334" t="str">
        <f aca="false">IF((E207="m"),G207," ")</f>
        <v> </v>
      </c>
      <c r="Q207" s="334" t="str">
        <f aca="false">IF((E207="t"),G207," ")</f>
        <v> </v>
      </c>
      <c r="R207" s="334" t="str">
        <f aca="false">IF((E207="a"),G207," ")</f>
        <v> </v>
      </c>
      <c r="S207" s="334" t="str">
        <f aca="false">IF((E207="l"),G207," ")</f>
        <v> </v>
      </c>
      <c r="T207" s="334" t="str">
        <f aca="false">IF((E207="b"),G207," ")</f>
        <v> </v>
      </c>
      <c r="U207" s="334" t="str">
        <f aca="false">IF((E207="i"),G207," ")</f>
        <v> </v>
      </c>
      <c r="V207" s="334" t="str">
        <f aca="false">IF((E207="o"),G207," ")</f>
        <v> </v>
      </c>
      <c r="W207" s="334" t="str">
        <f aca="false">IF((E207="f"),G207," ")</f>
        <v> </v>
      </c>
    </row>
    <row r="208" customFormat="false" ht="12.75" hidden="false" customHeight="false" outlineLevel="0" collapsed="false">
      <c r="A208" s="355"/>
      <c r="E208" s="365" t="str">
        <f aca="false">IF((G208&lt;&gt;0),"Enter Letter"," ")</f>
        <v> </v>
      </c>
      <c r="J208" s="334" t="str">
        <f aca="false">IF((E208="s"),G208," ")</f>
        <v> </v>
      </c>
      <c r="K208" s="334" t="str">
        <f aca="false">IF((E208="d"),G208," ")</f>
        <v> </v>
      </c>
      <c r="L208" s="334" t="str">
        <f aca="false">IF((E208="e"),G208," ")</f>
        <v> </v>
      </c>
      <c r="M208" s="334" t="str">
        <f aca="false">IF((E208="p"),G208," ")</f>
        <v> </v>
      </c>
      <c r="N208" s="334" t="str">
        <f aca="false">IF((E208="r"),G208," ")</f>
        <v> </v>
      </c>
      <c r="O208" s="334" t="str">
        <f aca="false">IF((E208="g"),G208," ")</f>
        <v> </v>
      </c>
      <c r="P208" s="334" t="str">
        <f aca="false">IF((E208="m"),G208," ")</f>
        <v> </v>
      </c>
      <c r="Q208" s="334" t="str">
        <f aca="false">IF((E208="t"),G208," ")</f>
        <v> </v>
      </c>
      <c r="R208" s="334" t="str">
        <f aca="false">IF((E208="a"),G208," ")</f>
        <v> </v>
      </c>
      <c r="S208" s="334" t="str">
        <f aca="false">IF((E208="l"),G208," ")</f>
        <v> </v>
      </c>
      <c r="T208" s="334" t="str">
        <f aca="false">IF((E208="b"),G208," ")</f>
        <v> </v>
      </c>
      <c r="U208" s="334" t="str">
        <f aca="false">IF((E208="i"),G208," ")</f>
        <v> </v>
      </c>
      <c r="V208" s="334" t="str">
        <f aca="false">IF((E208="o"),G208," ")</f>
        <v> </v>
      </c>
      <c r="W208" s="334" t="str">
        <f aca="false">IF((E208="f"),G208," ")</f>
        <v> </v>
      </c>
    </row>
    <row r="209" customFormat="false" ht="12.75" hidden="false" customHeight="false" outlineLevel="0" collapsed="false">
      <c r="A209" s="355"/>
      <c r="E209" s="365" t="str">
        <f aca="false">IF((G209&lt;&gt;0),"Enter Letter"," ")</f>
        <v> </v>
      </c>
      <c r="J209" s="334" t="str">
        <f aca="false">IF((E209="s"),G209," ")</f>
        <v> </v>
      </c>
      <c r="K209" s="334" t="str">
        <f aca="false">IF((E209="d"),G209," ")</f>
        <v> </v>
      </c>
      <c r="L209" s="334" t="str">
        <f aca="false">IF((E209="e"),G209," ")</f>
        <v> </v>
      </c>
      <c r="M209" s="334" t="str">
        <f aca="false">IF((E209="p"),G209," ")</f>
        <v> </v>
      </c>
      <c r="N209" s="334" t="str">
        <f aca="false">IF((E209="r"),G209," ")</f>
        <v> </v>
      </c>
      <c r="O209" s="334" t="str">
        <f aca="false">IF((E209="g"),G209," ")</f>
        <v> </v>
      </c>
      <c r="P209" s="334" t="str">
        <f aca="false">IF((E209="m"),G209," ")</f>
        <v> </v>
      </c>
      <c r="Q209" s="334" t="str">
        <f aca="false">IF((E209="t"),G209," ")</f>
        <v> </v>
      </c>
      <c r="R209" s="334" t="str">
        <f aca="false">IF((E209="a"),G209," ")</f>
        <v> </v>
      </c>
      <c r="S209" s="334" t="str">
        <f aca="false">IF((E209="l"),G209," ")</f>
        <v> </v>
      </c>
      <c r="T209" s="334" t="str">
        <f aca="false">IF((E209="b"),G209," ")</f>
        <v> </v>
      </c>
      <c r="U209" s="334" t="str">
        <f aca="false">IF((E209="i"),G209," ")</f>
        <v> </v>
      </c>
      <c r="V209" s="334" t="str">
        <f aca="false">IF((E209="o"),G209," ")</f>
        <v> </v>
      </c>
      <c r="W209" s="334" t="str">
        <f aca="false">IF((E209="f"),G209," ")</f>
        <v> </v>
      </c>
    </row>
    <row r="210" customFormat="false" ht="12.75" hidden="false" customHeight="false" outlineLevel="0" collapsed="false">
      <c r="A210" s="355"/>
      <c r="E210" s="365" t="str">
        <f aca="false">IF((G210&lt;&gt;0),"Enter Letter"," ")</f>
        <v> </v>
      </c>
      <c r="J210" s="334" t="str">
        <f aca="false">IF((E210="s"),G210," ")</f>
        <v> </v>
      </c>
      <c r="K210" s="334" t="str">
        <f aca="false">IF((E210="d"),G210," ")</f>
        <v> </v>
      </c>
      <c r="L210" s="334" t="str">
        <f aca="false">IF((E210="e"),G210," ")</f>
        <v> </v>
      </c>
      <c r="M210" s="334" t="str">
        <f aca="false">IF((E210="p"),G210," ")</f>
        <v> </v>
      </c>
      <c r="N210" s="334" t="str">
        <f aca="false">IF((E210="r"),G210," ")</f>
        <v> </v>
      </c>
      <c r="O210" s="334" t="str">
        <f aca="false">IF((E210="g"),G210," ")</f>
        <v> </v>
      </c>
      <c r="P210" s="334" t="str">
        <f aca="false">IF((E210="m"),G210," ")</f>
        <v> </v>
      </c>
      <c r="Q210" s="334" t="str">
        <f aca="false">IF((E210="t"),G210," ")</f>
        <v> </v>
      </c>
      <c r="R210" s="334" t="str">
        <f aca="false">IF((E210="a"),G210," ")</f>
        <v> </v>
      </c>
      <c r="S210" s="334" t="str">
        <f aca="false">IF((E210="l"),G210," ")</f>
        <v> </v>
      </c>
      <c r="T210" s="334" t="str">
        <f aca="false">IF((E210="b"),G210," ")</f>
        <v> </v>
      </c>
      <c r="U210" s="334" t="str">
        <f aca="false">IF((E210="i"),G210," ")</f>
        <v> </v>
      </c>
      <c r="V210" s="334" t="str">
        <f aca="false">IF((E210="o"),G210," ")</f>
        <v> </v>
      </c>
      <c r="W210" s="334" t="str">
        <f aca="false">IF((E210="f"),G210," ")</f>
        <v> </v>
      </c>
    </row>
    <row r="211" customFormat="false" ht="12.75" hidden="false" customHeight="false" outlineLevel="0" collapsed="false">
      <c r="A211" s="355"/>
      <c r="E211" s="365" t="str">
        <f aca="false">IF((G211&lt;&gt;0),"Enter Letter"," ")</f>
        <v> </v>
      </c>
      <c r="J211" s="334" t="str">
        <f aca="false">IF((E211="s"),G211," ")</f>
        <v> </v>
      </c>
      <c r="K211" s="334" t="str">
        <f aca="false">IF((E211="d"),G211," ")</f>
        <v> </v>
      </c>
      <c r="L211" s="334" t="str">
        <f aca="false">IF((E211="e"),G211," ")</f>
        <v> </v>
      </c>
      <c r="M211" s="334" t="str">
        <f aca="false">IF((E211="p"),G211," ")</f>
        <v> </v>
      </c>
      <c r="N211" s="334" t="str">
        <f aca="false">IF((E211="r"),G211," ")</f>
        <v> </v>
      </c>
      <c r="O211" s="334" t="str">
        <f aca="false">IF((E211="g"),G211," ")</f>
        <v> </v>
      </c>
      <c r="P211" s="334" t="str">
        <f aca="false">IF((E211="m"),G211," ")</f>
        <v> </v>
      </c>
      <c r="Q211" s="334" t="str">
        <f aca="false">IF((E211="t"),G211," ")</f>
        <v> </v>
      </c>
      <c r="R211" s="334" t="str">
        <f aca="false">IF((E211="a"),G211," ")</f>
        <v> </v>
      </c>
      <c r="S211" s="334" t="str">
        <f aca="false">IF((E211="l"),G211," ")</f>
        <v> </v>
      </c>
      <c r="T211" s="334" t="str">
        <f aca="false">IF((E211="b"),G211," ")</f>
        <v> </v>
      </c>
      <c r="U211" s="334" t="str">
        <f aca="false">IF((E211="i"),G211," ")</f>
        <v> </v>
      </c>
      <c r="V211" s="334" t="str">
        <f aca="false">IF((E211="o"),G211," ")</f>
        <v> </v>
      </c>
      <c r="W211" s="334" t="str">
        <f aca="false">IF((E211="f"),G211," ")</f>
        <v> </v>
      </c>
    </row>
    <row r="212" customFormat="false" ht="12.75" hidden="false" customHeight="false" outlineLevel="0" collapsed="false">
      <c r="A212" s="355"/>
      <c r="E212" s="365" t="str">
        <f aca="false">IF((G212&lt;&gt;0),"Enter Letter"," ")</f>
        <v> </v>
      </c>
      <c r="J212" s="334" t="str">
        <f aca="false">IF((E212="s"),G212," ")</f>
        <v> </v>
      </c>
      <c r="K212" s="334" t="str">
        <f aca="false">IF((E212="d"),G212," ")</f>
        <v> </v>
      </c>
      <c r="L212" s="334" t="str">
        <f aca="false">IF((E212="e"),G212," ")</f>
        <v> </v>
      </c>
      <c r="M212" s="334" t="str">
        <f aca="false">IF((E212="p"),G212," ")</f>
        <v> </v>
      </c>
      <c r="N212" s="334" t="str">
        <f aca="false">IF((E212="r"),G212," ")</f>
        <v> </v>
      </c>
      <c r="O212" s="334" t="str">
        <f aca="false">IF((E212="g"),G212," ")</f>
        <v> </v>
      </c>
      <c r="P212" s="334" t="str">
        <f aca="false">IF((E212="m"),G212," ")</f>
        <v> </v>
      </c>
      <c r="Q212" s="334" t="str">
        <f aca="false">IF((E212="t"),G212," ")</f>
        <v> </v>
      </c>
      <c r="R212" s="334" t="str">
        <f aca="false">IF((E212="a"),G212," ")</f>
        <v> </v>
      </c>
      <c r="S212" s="334" t="str">
        <f aca="false">IF((E212="l"),G212," ")</f>
        <v> </v>
      </c>
      <c r="T212" s="334" t="str">
        <f aca="false">IF((E212="b"),G212," ")</f>
        <v> </v>
      </c>
      <c r="U212" s="334" t="str">
        <f aca="false">IF((E212="i"),G212," ")</f>
        <v> </v>
      </c>
      <c r="V212" s="334" t="str">
        <f aca="false">IF((E212="o"),G212," ")</f>
        <v> </v>
      </c>
      <c r="W212" s="334" t="str">
        <f aca="false">IF((E212="f"),G212," ")</f>
        <v> </v>
      </c>
    </row>
    <row r="213" customFormat="false" ht="12.75" hidden="false" customHeight="false" outlineLevel="0" collapsed="false">
      <c r="A213" s="355"/>
      <c r="E213" s="365" t="str">
        <f aca="false">IF((G213&lt;&gt;0),"Enter Letter"," ")</f>
        <v> </v>
      </c>
      <c r="J213" s="334" t="str">
        <f aca="false">IF((E213="s"),G213," ")</f>
        <v> </v>
      </c>
      <c r="K213" s="334" t="str">
        <f aca="false">IF((E213="d"),G213," ")</f>
        <v> </v>
      </c>
      <c r="L213" s="334" t="str">
        <f aca="false">IF((E213="e"),G213," ")</f>
        <v> </v>
      </c>
      <c r="M213" s="334" t="str">
        <f aca="false">IF((E213="p"),G213," ")</f>
        <v> </v>
      </c>
      <c r="N213" s="334" t="str">
        <f aca="false">IF((E213="r"),G213," ")</f>
        <v> </v>
      </c>
      <c r="O213" s="334" t="str">
        <f aca="false">IF((E213="g"),G213," ")</f>
        <v> </v>
      </c>
      <c r="P213" s="334" t="str">
        <f aca="false">IF((E213="m"),G213," ")</f>
        <v> </v>
      </c>
      <c r="Q213" s="334" t="str">
        <f aca="false">IF((E213="t"),G213," ")</f>
        <v> </v>
      </c>
      <c r="R213" s="334" t="str">
        <f aca="false">IF((E213="a"),G213," ")</f>
        <v> </v>
      </c>
      <c r="S213" s="334" t="str">
        <f aca="false">IF((E213="l"),G213," ")</f>
        <v> </v>
      </c>
      <c r="T213" s="334" t="str">
        <f aca="false">IF((E213="b"),G213," ")</f>
        <v> </v>
      </c>
      <c r="U213" s="334" t="str">
        <f aca="false">IF((E213="i"),G213," ")</f>
        <v> </v>
      </c>
      <c r="V213" s="334" t="str">
        <f aca="false">IF((E213="o"),G213," ")</f>
        <v> </v>
      </c>
      <c r="W213" s="334" t="str">
        <f aca="false">IF((E213="f"),G213," ")</f>
        <v> </v>
      </c>
    </row>
    <row r="214" customFormat="false" ht="12.75" hidden="false" customHeight="false" outlineLevel="0" collapsed="false">
      <c r="A214" s="355"/>
      <c r="E214" s="365" t="str">
        <f aca="false">IF((G214&lt;&gt;0),"Enter Letter"," ")</f>
        <v> </v>
      </c>
      <c r="J214" s="334" t="str">
        <f aca="false">IF((E214="s"),G214," ")</f>
        <v> </v>
      </c>
      <c r="K214" s="334" t="str">
        <f aca="false">IF((E214="d"),G214," ")</f>
        <v> </v>
      </c>
      <c r="L214" s="334" t="str">
        <f aca="false">IF((E214="e"),G214," ")</f>
        <v> </v>
      </c>
      <c r="M214" s="334" t="str">
        <f aca="false">IF((E214="p"),G214," ")</f>
        <v> </v>
      </c>
      <c r="N214" s="334" t="str">
        <f aca="false">IF((E214="r"),G214," ")</f>
        <v> </v>
      </c>
      <c r="O214" s="334" t="str">
        <f aca="false">IF((E214="g"),G214," ")</f>
        <v> </v>
      </c>
      <c r="P214" s="334" t="str">
        <f aca="false">IF((E214="m"),G214," ")</f>
        <v> </v>
      </c>
      <c r="Q214" s="334" t="str">
        <f aca="false">IF((E214="t"),G214," ")</f>
        <v> </v>
      </c>
      <c r="R214" s="334" t="str">
        <f aca="false">IF((E214="a"),G214," ")</f>
        <v> </v>
      </c>
      <c r="S214" s="334" t="str">
        <f aca="false">IF((E214="l"),G214," ")</f>
        <v> </v>
      </c>
      <c r="T214" s="334" t="str">
        <f aca="false">IF((E214="b"),G214," ")</f>
        <v> </v>
      </c>
      <c r="U214" s="334" t="str">
        <f aca="false">IF((E214="i"),G214," ")</f>
        <v> </v>
      </c>
      <c r="V214" s="334" t="str">
        <f aca="false">IF((E214="o"),G214," ")</f>
        <v> </v>
      </c>
      <c r="W214" s="334" t="str">
        <f aca="false">IF((E214="f"),G214," ")</f>
        <v> </v>
      </c>
    </row>
    <row r="215" customFormat="false" ht="12.75" hidden="false" customHeight="false" outlineLevel="0" collapsed="false">
      <c r="A215" s="355"/>
      <c r="E215" s="365" t="str">
        <f aca="false">IF((G215&lt;&gt;0),"Enter Letter"," ")</f>
        <v> </v>
      </c>
      <c r="J215" s="334" t="str">
        <f aca="false">IF((E215="s"),G215," ")</f>
        <v> </v>
      </c>
      <c r="K215" s="334" t="str">
        <f aca="false">IF((E215="d"),G215," ")</f>
        <v> </v>
      </c>
      <c r="L215" s="334" t="str">
        <f aca="false">IF((E215="e"),G215," ")</f>
        <v> </v>
      </c>
      <c r="M215" s="334" t="str">
        <f aca="false">IF((E215="p"),G215," ")</f>
        <v> </v>
      </c>
      <c r="N215" s="334" t="str">
        <f aca="false">IF((E215="r"),G215," ")</f>
        <v> </v>
      </c>
      <c r="O215" s="334" t="str">
        <f aca="false">IF((E215="g"),G215," ")</f>
        <v> </v>
      </c>
      <c r="P215" s="334" t="str">
        <f aca="false">IF((E215="m"),G215," ")</f>
        <v> </v>
      </c>
      <c r="Q215" s="334" t="str">
        <f aca="false">IF((E215="t"),G215," ")</f>
        <v> </v>
      </c>
      <c r="R215" s="334" t="str">
        <f aca="false">IF((E215="a"),G215," ")</f>
        <v> </v>
      </c>
      <c r="S215" s="334" t="str">
        <f aca="false">IF((E215="l"),G215," ")</f>
        <v> </v>
      </c>
      <c r="T215" s="334" t="str">
        <f aca="false">IF((E215="b"),G215," ")</f>
        <v> </v>
      </c>
      <c r="U215" s="334" t="str">
        <f aca="false">IF((E215="i"),G215," ")</f>
        <v> </v>
      </c>
      <c r="V215" s="334" t="str">
        <f aca="false">IF((E215="o"),G215," ")</f>
        <v> </v>
      </c>
      <c r="W215" s="334" t="str">
        <f aca="false">IF((E215="f"),G215," ")</f>
        <v> </v>
      </c>
    </row>
    <row r="216" customFormat="false" ht="12.75" hidden="false" customHeight="false" outlineLevel="0" collapsed="false">
      <c r="A216" s="355"/>
      <c r="E216" s="365" t="str">
        <f aca="false">IF((G216&lt;&gt;0),"Enter Letter"," ")</f>
        <v> </v>
      </c>
      <c r="J216" s="334" t="str">
        <f aca="false">IF((E216="s"),G216," ")</f>
        <v> </v>
      </c>
      <c r="K216" s="334" t="str">
        <f aca="false">IF((E216="d"),G216," ")</f>
        <v> </v>
      </c>
      <c r="L216" s="334" t="str">
        <f aca="false">IF((E216="e"),G216," ")</f>
        <v> </v>
      </c>
      <c r="M216" s="334" t="str">
        <f aca="false">IF((E216="p"),G216," ")</f>
        <v> </v>
      </c>
      <c r="N216" s="334" t="str">
        <f aca="false">IF((E216="r"),G216," ")</f>
        <v> </v>
      </c>
      <c r="O216" s="334" t="str">
        <f aca="false">IF((E216="g"),G216," ")</f>
        <v> </v>
      </c>
      <c r="P216" s="334" t="str">
        <f aca="false">IF((E216="m"),G216," ")</f>
        <v> </v>
      </c>
      <c r="Q216" s="334" t="str">
        <f aca="false">IF((E216="t"),G216," ")</f>
        <v> </v>
      </c>
      <c r="R216" s="334" t="str">
        <f aca="false">IF((E216="a"),G216," ")</f>
        <v> </v>
      </c>
      <c r="S216" s="334" t="str">
        <f aca="false">IF((E216="l"),G216," ")</f>
        <v> </v>
      </c>
      <c r="T216" s="334" t="str">
        <f aca="false">IF((E216="b"),G216," ")</f>
        <v> </v>
      </c>
      <c r="U216" s="334" t="str">
        <f aca="false">IF((E216="i"),G216," ")</f>
        <v> </v>
      </c>
      <c r="V216" s="334" t="str">
        <f aca="false">IF((E216="o"),G216," ")</f>
        <v> </v>
      </c>
      <c r="W216" s="334" t="str">
        <f aca="false">IF((E216="f"),G216," ")</f>
        <v> </v>
      </c>
    </row>
    <row r="217" customFormat="false" ht="12.75" hidden="false" customHeight="false" outlineLevel="0" collapsed="false">
      <c r="A217" s="355"/>
      <c r="E217" s="365" t="str">
        <f aca="false">IF((G217&lt;&gt;0),"Enter Letter"," ")</f>
        <v> </v>
      </c>
      <c r="J217" s="334" t="str">
        <f aca="false">IF((E217="s"),G217," ")</f>
        <v> </v>
      </c>
      <c r="K217" s="334" t="str">
        <f aca="false">IF((E217="d"),G217," ")</f>
        <v> </v>
      </c>
      <c r="L217" s="334" t="str">
        <f aca="false">IF((E217="e"),G217," ")</f>
        <v> </v>
      </c>
      <c r="M217" s="334" t="str">
        <f aca="false">IF((E217="p"),G217," ")</f>
        <v> </v>
      </c>
      <c r="N217" s="334" t="str">
        <f aca="false">IF((E217="r"),G217," ")</f>
        <v> </v>
      </c>
      <c r="O217" s="334" t="str">
        <f aca="false">IF((E217="g"),G217," ")</f>
        <v> </v>
      </c>
      <c r="P217" s="334" t="str">
        <f aca="false">IF((E217="m"),G217," ")</f>
        <v> </v>
      </c>
      <c r="Q217" s="334" t="str">
        <f aca="false">IF((E217="t"),G217," ")</f>
        <v> </v>
      </c>
      <c r="R217" s="334" t="str">
        <f aca="false">IF((E217="a"),G217," ")</f>
        <v> </v>
      </c>
      <c r="S217" s="334" t="str">
        <f aca="false">IF((E217="l"),G217," ")</f>
        <v> </v>
      </c>
      <c r="T217" s="334" t="str">
        <f aca="false">IF((E217="b"),G217," ")</f>
        <v> </v>
      </c>
      <c r="U217" s="334" t="str">
        <f aca="false">IF((E217="i"),G217," ")</f>
        <v> </v>
      </c>
      <c r="V217" s="334" t="str">
        <f aca="false">IF((E217="o"),G217," ")</f>
        <v> </v>
      </c>
      <c r="W217" s="334" t="str">
        <f aca="false">IF((E217="f"),G217," ")</f>
        <v> </v>
      </c>
    </row>
    <row r="218" customFormat="false" ht="12.75" hidden="false" customHeight="false" outlineLevel="0" collapsed="false">
      <c r="A218" s="355"/>
      <c r="E218" s="365" t="str">
        <f aca="false">IF((G218&lt;&gt;0),"Enter Letter"," ")</f>
        <v> </v>
      </c>
      <c r="J218" s="334" t="str">
        <f aca="false">IF((E218="s"),G218," ")</f>
        <v> </v>
      </c>
      <c r="K218" s="334" t="str">
        <f aca="false">IF((E218="d"),G218," ")</f>
        <v> </v>
      </c>
      <c r="L218" s="334" t="str">
        <f aca="false">IF((E218="e"),G218," ")</f>
        <v> </v>
      </c>
      <c r="M218" s="334" t="str">
        <f aca="false">IF((E218="p"),G218," ")</f>
        <v> </v>
      </c>
      <c r="N218" s="334" t="str">
        <f aca="false">IF((E218="r"),G218," ")</f>
        <v> </v>
      </c>
      <c r="O218" s="334" t="str">
        <f aca="false">IF((E218="g"),G218," ")</f>
        <v> </v>
      </c>
      <c r="P218" s="334" t="str">
        <f aca="false">IF((E218="m"),G218," ")</f>
        <v> </v>
      </c>
      <c r="Q218" s="334" t="str">
        <f aca="false">IF((E218="t"),G218," ")</f>
        <v> </v>
      </c>
      <c r="R218" s="334" t="str">
        <f aca="false">IF((E218="a"),G218," ")</f>
        <v> </v>
      </c>
      <c r="S218" s="334" t="str">
        <f aca="false">IF((E218="l"),G218," ")</f>
        <v> </v>
      </c>
      <c r="T218" s="334" t="str">
        <f aca="false">IF((E218="b"),G218," ")</f>
        <v> </v>
      </c>
      <c r="U218" s="334" t="str">
        <f aca="false">IF((E218="i"),G218," ")</f>
        <v> </v>
      </c>
      <c r="V218" s="334" t="str">
        <f aca="false">IF((E218="o"),G218," ")</f>
        <v> </v>
      </c>
      <c r="W218" s="334" t="str">
        <f aca="false">IF((E218="f"),G218," ")</f>
        <v> </v>
      </c>
    </row>
    <row r="219" customFormat="false" ht="12.75" hidden="false" customHeight="false" outlineLevel="0" collapsed="false">
      <c r="A219" s="355"/>
      <c r="E219" s="365" t="str">
        <f aca="false">IF((G219&lt;&gt;0),"Enter Letter"," ")</f>
        <v> </v>
      </c>
      <c r="J219" s="334" t="str">
        <f aca="false">IF((E219="s"),G219," ")</f>
        <v> </v>
      </c>
      <c r="K219" s="334" t="str">
        <f aca="false">IF((E219="d"),G219," ")</f>
        <v> </v>
      </c>
      <c r="L219" s="334" t="str">
        <f aca="false">IF((E219="e"),G219," ")</f>
        <v> </v>
      </c>
      <c r="M219" s="334" t="str">
        <f aca="false">IF((E219="p"),G219," ")</f>
        <v> </v>
      </c>
      <c r="N219" s="334" t="str">
        <f aca="false">IF((E219="r"),G219," ")</f>
        <v> </v>
      </c>
      <c r="O219" s="334" t="str">
        <f aca="false">IF((E219="g"),G219," ")</f>
        <v> </v>
      </c>
      <c r="P219" s="334" t="str">
        <f aca="false">IF((E219="m"),G219," ")</f>
        <v> </v>
      </c>
      <c r="Q219" s="334" t="str">
        <f aca="false">IF((E219="t"),G219," ")</f>
        <v> </v>
      </c>
      <c r="R219" s="334" t="str">
        <f aca="false">IF((E219="a"),G219," ")</f>
        <v> </v>
      </c>
      <c r="S219" s="334" t="str">
        <f aca="false">IF((E219="l"),G219," ")</f>
        <v> </v>
      </c>
      <c r="T219" s="334" t="str">
        <f aca="false">IF((E219="b"),G219," ")</f>
        <v> </v>
      </c>
      <c r="U219" s="334" t="str">
        <f aca="false">IF((E219="i"),G219," ")</f>
        <v> </v>
      </c>
      <c r="V219" s="334" t="str">
        <f aca="false">IF((E219="o"),G219," ")</f>
        <v> </v>
      </c>
      <c r="W219" s="334" t="str">
        <f aca="false">IF((E219="f"),G219," ")</f>
        <v> </v>
      </c>
    </row>
    <row r="220" customFormat="false" ht="12.75" hidden="false" customHeight="false" outlineLevel="0" collapsed="false">
      <c r="A220" s="355"/>
      <c r="E220" s="365" t="str">
        <f aca="false">IF((G220&lt;&gt;0),"Enter Letter"," ")</f>
        <v> </v>
      </c>
      <c r="J220" s="334" t="str">
        <f aca="false">IF((E220="s"),G220," ")</f>
        <v> </v>
      </c>
      <c r="K220" s="334" t="str">
        <f aca="false">IF((E220="d"),G220," ")</f>
        <v> </v>
      </c>
      <c r="L220" s="334" t="str">
        <f aca="false">IF((E220="e"),G220," ")</f>
        <v> </v>
      </c>
      <c r="M220" s="334" t="str">
        <f aca="false">IF((E220="p"),G220," ")</f>
        <v> </v>
      </c>
      <c r="N220" s="334" t="str">
        <f aca="false">IF((E220="r"),G220," ")</f>
        <v> </v>
      </c>
      <c r="O220" s="334" t="str">
        <f aca="false">IF((E220="g"),G220," ")</f>
        <v> </v>
      </c>
      <c r="P220" s="334" t="str">
        <f aca="false">IF((E220="m"),G220," ")</f>
        <v> </v>
      </c>
      <c r="Q220" s="334" t="str">
        <f aca="false">IF((E220="t"),G220," ")</f>
        <v> </v>
      </c>
      <c r="R220" s="334" t="str">
        <f aca="false">IF((E220="a"),G220," ")</f>
        <v> </v>
      </c>
      <c r="S220" s="334" t="str">
        <f aca="false">IF((E220="l"),G220," ")</f>
        <v> </v>
      </c>
      <c r="T220" s="334" t="str">
        <f aca="false">IF((E220="b"),G220," ")</f>
        <v> </v>
      </c>
      <c r="U220" s="334" t="str">
        <f aca="false">IF((E220="i"),G220," ")</f>
        <v> </v>
      </c>
      <c r="V220" s="334" t="str">
        <f aca="false">IF((E220="o"),G220," ")</f>
        <v> </v>
      </c>
      <c r="W220" s="334" t="str">
        <f aca="false">IF((E220="f"),G220," ")</f>
        <v> </v>
      </c>
    </row>
    <row r="221" customFormat="false" ht="12.75" hidden="false" customHeight="false" outlineLevel="0" collapsed="false">
      <c r="A221" s="355"/>
      <c r="E221" s="365" t="str">
        <f aca="false">IF((G221&lt;&gt;0),"Enter Letter"," ")</f>
        <v> </v>
      </c>
      <c r="J221" s="334" t="str">
        <f aca="false">IF((E221="s"),G221," ")</f>
        <v> </v>
      </c>
      <c r="K221" s="334" t="str">
        <f aca="false">IF((E221="d"),G221," ")</f>
        <v> </v>
      </c>
      <c r="L221" s="334" t="str">
        <f aca="false">IF((E221="e"),G221," ")</f>
        <v> </v>
      </c>
      <c r="M221" s="334" t="str">
        <f aca="false">IF((E221="p"),G221," ")</f>
        <v> </v>
      </c>
      <c r="N221" s="334" t="str">
        <f aca="false">IF((E221="r"),G221," ")</f>
        <v> </v>
      </c>
      <c r="O221" s="334" t="str">
        <f aca="false">IF((E221="g"),G221," ")</f>
        <v> </v>
      </c>
      <c r="P221" s="334" t="str">
        <f aca="false">IF((E221="m"),G221," ")</f>
        <v> </v>
      </c>
      <c r="Q221" s="334" t="str">
        <f aca="false">IF((E221="t"),G221," ")</f>
        <v> </v>
      </c>
      <c r="R221" s="334" t="str">
        <f aca="false">IF((E221="a"),G221," ")</f>
        <v> </v>
      </c>
      <c r="S221" s="334" t="str">
        <f aca="false">IF((E221="l"),G221," ")</f>
        <v> </v>
      </c>
      <c r="T221" s="334" t="str">
        <f aca="false">IF((E221="b"),G221," ")</f>
        <v> </v>
      </c>
      <c r="U221" s="334" t="str">
        <f aca="false">IF((E221="i"),G221," ")</f>
        <v> </v>
      </c>
      <c r="V221" s="334" t="str">
        <f aca="false">IF((E221="o"),G221," ")</f>
        <v> </v>
      </c>
      <c r="W221" s="334" t="str">
        <f aca="false">IF((E221="f"),G221," ")</f>
        <v> </v>
      </c>
    </row>
    <row r="222" customFormat="false" ht="12.75" hidden="false" customHeight="false" outlineLevel="0" collapsed="false">
      <c r="A222" s="355"/>
      <c r="E222" s="365" t="str">
        <f aca="false">IF((G222&lt;&gt;0),"Enter Letter"," ")</f>
        <v> </v>
      </c>
      <c r="J222" s="334" t="str">
        <f aca="false">IF((E222="s"),G222," ")</f>
        <v> </v>
      </c>
      <c r="K222" s="334" t="str">
        <f aca="false">IF((E222="d"),G222," ")</f>
        <v> </v>
      </c>
      <c r="L222" s="334" t="str">
        <f aca="false">IF((E222="e"),G222," ")</f>
        <v> </v>
      </c>
      <c r="M222" s="334" t="str">
        <f aca="false">IF((E222="p"),G222," ")</f>
        <v> </v>
      </c>
      <c r="N222" s="334" t="str">
        <f aca="false">IF((E222="r"),G222," ")</f>
        <v> </v>
      </c>
      <c r="O222" s="334" t="str">
        <f aca="false">IF((E222="g"),G222," ")</f>
        <v> </v>
      </c>
      <c r="P222" s="334" t="str">
        <f aca="false">IF((E222="m"),G222," ")</f>
        <v> </v>
      </c>
      <c r="Q222" s="334" t="str">
        <f aca="false">IF((E222="t"),G222," ")</f>
        <v> </v>
      </c>
      <c r="R222" s="334" t="str">
        <f aca="false">IF((E222="a"),G222," ")</f>
        <v> </v>
      </c>
      <c r="S222" s="334" t="str">
        <f aca="false">IF((E222="l"),G222," ")</f>
        <v> </v>
      </c>
      <c r="T222" s="334" t="str">
        <f aca="false">IF((E222="b"),G222," ")</f>
        <v> </v>
      </c>
      <c r="U222" s="334" t="str">
        <f aca="false">IF((E222="i"),G222," ")</f>
        <v> </v>
      </c>
      <c r="V222" s="334" t="str">
        <f aca="false">IF((E222="o"),G222," ")</f>
        <v> </v>
      </c>
      <c r="W222" s="334" t="str">
        <f aca="false">IF((E222="f"),G222," ")</f>
        <v> </v>
      </c>
    </row>
    <row r="223" customFormat="false" ht="12.75" hidden="false" customHeight="false" outlineLevel="0" collapsed="false">
      <c r="A223" s="355"/>
      <c r="E223" s="365" t="str">
        <f aca="false">IF((G223&lt;&gt;0),"Enter Letter"," ")</f>
        <v> </v>
      </c>
      <c r="J223" s="334" t="str">
        <f aca="false">IF((E223="s"),G223," ")</f>
        <v> </v>
      </c>
      <c r="K223" s="334" t="str">
        <f aca="false">IF((E223="d"),G223," ")</f>
        <v> </v>
      </c>
      <c r="L223" s="334" t="str">
        <f aca="false">IF((E223="e"),G223," ")</f>
        <v> </v>
      </c>
      <c r="M223" s="334" t="str">
        <f aca="false">IF((E223="p"),G223," ")</f>
        <v> </v>
      </c>
      <c r="N223" s="334" t="str">
        <f aca="false">IF((E223="r"),G223," ")</f>
        <v> </v>
      </c>
      <c r="O223" s="334" t="str">
        <f aca="false">IF((E223="g"),G223," ")</f>
        <v> </v>
      </c>
      <c r="P223" s="334" t="str">
        <f aca="false">IF((E223="m"),G223," ")</f>
        <v> </v>
      </c>
      <c r="Q223" s="334" t="str">
        <f aca="false">IF((E223="t"),G223," ")</f>
        <v> </v>
      </c>
      <c r="R223" s="334" t="str">
        <f aca="false">IF((E223="a"),G223," ")</f>
        <v> </v>
      </c>
      <c r="S223" s="334" t="str">
        <f aca="false">IF((E223="l"),G223," ")</f>
        <v> </v>
      </c>
      <c r="T223" s="334" t="str">
        <f aca="false">IF((E223="b"),G223," ")</f>
        <v> </v>
      </c>
      <c r="U223" s="334" t="str">
        <f aca="false">IF((E223="i"),G223," ")</f>
        <v> </v>
      </c>
      <c r="V223" s="334" t="str">
        <f aca="false">IF((E223="o"),G223," ")</f>
        <v> </v>
      </c>
      <c r="W223" s="334" t="str">
        <f aca="false">IF((E223="f"),G223," ")</f>
        <v> </v>
      </c>
    </row>
    <row r="224" customFormat="false" ht="12.75" hidden="false" customHeight="false" outlineLevel="0" collapsed="false">
      <c r="A224" s="355"/>
      <c r="E224" s="365" t="str">
        <f aca="false">IF((G224&lt;&gt;0),"Enter Letter"," ")</f>
        <v> </v>
      </c>
      <c r="J224" s="334" t="str">
        <f aca="false">IF((E224="s"),G224," ")</f>
        <v> </v>
      </c>
      <c r="K224" s="334" t="str">
        <f aca="false">IF((E224="d"),G224," ")</f>
        <v> </v>
      </c>
      <c r="L224" s="334" t="str">
        <f aca="false">IF((E224="e"),G224," ")</f>
        <v> </v>
      </c>
      <c r="M224" s="334" t="str">
        <f aca="false">IF((E224="p"),G224," ")</f>
        <v> </v>
      </c>
      <c r="N224" s="334" t="str">
        <f aca="false">IF((E224="r"),G224," ")</f>
        <v> </v>
      </c>
      <c r="O224" s="334" t="str">
        <f aca="false">IF((E224="g"),G224," ")</f>
        <v> </v>
      </c>
      <c r="P224" s="334" t="str">
        <f aca="false">IF((E224="m"),G224," ")</f>
        <v> </v>
      </c>
      <c r="Q224" s="334" t="str">
        <f aca="false">IF((E224="t"),G224," ")</f>
        <v> </v>
      </c>
      <c r="R224" s="334" t="str">
        <f aca="false">IF((E224="a"),G224," ")</f>
        <v> </v>
      </c>
      <c r="S224" s="334" t="str">
        <f aca="false">IF((E224="l"),G224," ")</f>
        <v> </v>
      </c>
      <c r="T224" s="334" t="str">
        <f aca="false">IF((E224="b"),G224," ")</f>
        <v> </v>
      </c>
      <c r="U224" s="334" t="str">
        <f aca="false">IF((E224="i"),G224," ")</f>
        <v> </v>
      </c>
      <c r="V224" s="334" t="str">
        <f aca="false">IF((E224="o"),G224," ")</f>
        <v> </v>
      </c>
      <c r="W224" s="334" t="str">
        <f aca="false">IF((E224="f"),G224," ")</f>
        <v> </v>
      </c>
    </row>
    <row r="225" customFormat="false" ht="12.75" hidden="false" customHeight="false" outlineLevel="0" collapsed="false">
      <c r="A225" s="355"/>
      <c r="E225" s="365" t="str">
        <f aca="false">IF((G225&lt;&gt;0),"Enter Letter"," ")</f>
        <v> </v>
      </c>
      <c r="J225" s="334" t="str">
        <f aca="false">IF((E225="s"),G225," ")</f>
        <v> </v>
      </c>
      <c r="K225" s="334" t="str">
        <f aca="false">IF((E225="d"),G225," ")</f>
        <v> </v>
      </c>
      <c r="L225" s="334" t="str">
        <f aca="false">IF((E225="e"),G225," ")</f>
        <v> </v>
      </c>
      <c r="M225" s="334" t="str">
        <f aca="false">IF((E225="p"),G225," ")</f>
        <v> </v>
      </c>
      <c r="N225" s="334" t="str">
        <f aca="false">IF((E225="r"),G225," ")</f>
        <v> </v>
      </c>
      <c r="O225" s="334" t="str">
        <f aca="false">IF((E225="g"),G225," ")</f>
        <v> </v>
      </c>
      <c r="P225" s="334" t="str">
        <f aca="false">IF((E225="m"),G225," ")</f>
        <v> </v>
      </c>
      <c r="Q225" s="334" t="str">
        <f aca="false">IF((E225="t"),G225," ")</f>
        <v> </v>
      </c>
      <c r="R225" s="334" t="str">
        <f aca="false">IF((E225="a"),G225," ")</f>
        <v> </v>
      </c>
      <c r="S225" s="334" t="str">
        <f aca="false">IF((E225="l"),G225," ")</f>
        <v> </v>
      </c>
      <c r="T225" s="334" t="str">
        <f aca="false">IF((E225="b"),G225," ")</f>
        <v> </v>
      </c>
      <c r="U225" s="334" t="str">
        <f aca="false">IF((E225="i"),G225," ")</f>
        <v> </v>
      </c>
      <c r="V225" s="334" t="str">
        <f aca="false">IF((E225="o"),G225," ")</f>
        <v> </v>
      </c>
      <c r="W225" s="334" t="str">
        <f aca="false">IF((E225="f"),G225," ")</f>
        <v> </v>
      </c>
    </row>
    <row r="226" customFormat="false" ht="12.75" hidden="false" customHeight="false" outlineLevel="0" collapsed="false">
      <c r="A226" s="355"/>
      <c r="E226" s="365" t="str">
        <f aca="false">IF((G226&lt;&gt;0),"Enter Letter"," ")</f>
        <v> </v>
      </c>
      <c r="J226" s="334" t="str">
        <f aca="false">IF((E226="s"),G226," ")</f>
        <v> </v>
      </c>
      <c r="K226" s="334" t="str">
        <f aca="false">IF((E226="d"),G226," ")</f>
        <v> </v>
      </c>
      <c r="L226" s="334" t="str">
        <f aca="false">IF((E226="e"),G226," ")</f>
        <v> </v>
      </c>
      <c r="M226" s="334" t="str">
        <f aca="false">IF((E226="p"),G226," ")</f>
        <v> </v>
      </c>
      <c r="N226" s="334" t="str">
        <f aca="false">IF((E226="r"),G226," ")</f>
        <v> </v>
      </c>
      <c r="O226" s="334" t="str">
        <f aca="false">IF((E226="g"),G226," ")</f>
        <v> </v>
      </c>
      <c r="P226" s="334" t="str">
        <f aca="false">IF((E226="m"),G226," ")</f>
        <v> </v>
      </c>
      <c r="Q226" s="334" t="str">
        <f aca="false">IF((E226="t"),G226," ")</f>
        <v> </v>
      </c>
      <c r="R226" s="334" t="str">
        <f aca="false">IF((E226="a"),G226," ")</f>
        <v> </v>
      </c>
      <c r="S226" s="334" t="str">
        <f aca="false">IF((E226="l"),G226," ")</f>
        <v> </v>
      </c>
      <c r="T226" s="334" t="str">
        <f aca="false">IF((E226="b"),G226," ")</f>
        <v> </v>
      </c>
      <c r="U226" s="334" t="str">
        <f aca="false">IF((E226="i"),G226," ")</f>
        <v> </v>
      </c>
      <c r="V226" s="334" t="str">
        <f aca="false">IF((E226="o"),G226," ")</f>
        <v> </v>
      </c>
      <c r="W226" s="334" t="str">
        <f aca="false">IF((E226="f"),G226," ")</f>
        <v> </v>
      </c>
    </row>
    <row r="227" customFormat="false" ht="12.75" hidden="false" customHeight="false" outlineLevel="0" collapsed="false">
      <c r="A227" s="355"/>
      <c r="E227" s="365" t="str">
        <f aca="false">IF((G227&lt;&gt;0),"Enter Letter"," ")</f>
        <v> </v>
      </c>
      <c r="J227" s="334" t="str">
        <f aca="false">IF((E227="s"),G227," ")</f>
        <v> </v>
      </c>
      <c r="K227" s="334" t="str">
        <f aca="false">IF((E227="d"),G227," ")</f>
        <v> </v>
      </c>
      <c r="L227" s="334" t="str">
        <f aca="false">IF((E227="e"),G227," ")</f>
        <v> </v>
      </c>
      <c r="M227" s="334" t="str">
        <f aca="false">IF((E227="p"),G227," ")</f>
        <v> </v>
      </c>
      <c r="N227" s="334" t="str">
        <f aca="false">IF((E227="r"),G227," ")</f>
        <v> </v>
      </c>
      <c r="O227" s="334" t="str">
        <f aca="false">IF((E227="g"),G227," ")</f>
        <v> </v>
      </c>
      <c r="P227" s="334" t="str">
        <f aca="false">IF((E227="m"),G227," ")</f>
        <v> </v>
      </c>
      <c r="Q227" s="334" t="str">
        <f aca="false">IF((E227="t"),G227," ")</f>
        <v> </v>
      </c>
      <c r="R227" s="334" t="str">
        <f aca="false">IF((E227="a"),G227," ")</f>
        <v> </v>
      </c>
      <c r="S227" s="334" t="str">
        <f aca="false">IF((E227="l"),G227," ")</f>
        <v> </v>
      </c>
      <c r="T227" s="334" t="str">
        <f aca="false">IF((E227="b"),G227," ")</f>
        <v> </v>
      </c>
      <c r="U227" s="334" t="str">
        <f aca="false">IF((E227="i"),G227," ")</f>
        <v> </v>
      </c>
      <c r="V227" s="334" t="str">
        <f aca="false">IF((E227="o"),G227," ")</f>
        <v> </v>
      </c>
      <c r="W227" s="334" t="str">
        <f aca="false">IF((E227="f"),G227," ")</f>
        <v> </v>
      </c>
    </row>
    <row r="228" customFormat="false" ht="12.75" hidden="false" customHeight="false" outlineLevel="0" collapsed="false">
      <c r="A228" s="355"/>
      <c r="E228" s="365" t="str">
        <f aca="false">IF((G228&lt;&gt;0),"Enter Letter"," ")</f>
        <v> </v>
      </c>
      <c r="J228" s="334" t="str">
        <f aca="false">IF((E228="s"),G228," ")</f>
        <v> </v>
      </c>
      <c r="K228" s="334" t="str">
        <f aca="false">IF((E228="d"),G228," ")</f>
        <v> </v>
      </c>
      <c r="L228" s="334" t="str">
        <f aca="false">IF((E228="e"),G228," ")</f>
        <v> </v>
      </c>
      <c r="M228" s="334" t="str">
        <f aca="false">IF((E228="p"),G228," ")</f>
        <v> </v>
      </c>
      <c r="N228" s="334" t="str">
        <f aca="false">IF((E228="r"),G228," ")</f>
        <v> </v>
      </c>
      <c r="O228" s="334" t="str">
        <f aca="false">IF((E228="g"),G228," ")</f>
        <v> </v>
      </c>
      <c r="P228" s="334" t="str">
        <f aca="false">IF((E228="m"),G228," ")</f>
        <v> </v>
      </c>
      <c r="Q228" s="334" t="str">
        <f aca="false">IF((E228="t"),G228," ")</f>
        <v> </v>
      </c>
      <c r="R228" s="334" t="str">
        <f aca="false">IF((E228="a"),G228," ")</f>
        <v> </v>
      </c>
      <c r="S228" s="334" t="str">
        <f aca="false">IF((E228="l"),G228," ")</f>
        <v> </v>
      </c>
      <c r="T228" s="334" t="str">
        <f aca="false">IF((E228="b"),G228," ")</f>
        <v> </v>
      </c>
      <c r="U228" s="334" t="str">
        <f aca="false">IF((E228="i"),G228," ")</f>
        <v> </v>
      </c>
      <c r="V228" s="334" t="str">
        <f aca="false">IF((E228="o"),G228," ")</f>
        <v> </v>
      </c>
      <c r="W228" s="334" t="str">
        <f aca="false">IF((E228="f"),G228," ")</f>
        <v> </v>
      </c>
    </row>
    <row r="229" customFormat="false" ht="12.75" hidden="false" customHeight="false" outlineLevel="0" collapsed="false">
      <c r="A229" s="355"/>
      <c r="E229" s="365" t="str">
        <f aca="false">IF((G229&lt;&gt;0),"Enter Letter"," ")</f>
        <v> </v>
      </c>
      <c r="J229" s="334" t="str">
        <f aca="false">IF((E229="s"),G229," ")</f>
        <v> </v>
      </c>
      <c r="K229" s="334" t="str">
        <f aca="false">IF((E229="d"),G229," ")</f>
        <v> </v>
      </c>
      <c r="L229" s="334" t="str">
        <f aca="false">IF((E229="e"),G229," ")</f>
        <v> </v>
      </c>
      <c r="M229" s="334" t="str">
        <f aca="false">IF((E229="p"),G229," ")</f>
        <v> </v>
      </c>
      <c r="N229" s="334" t="str">
        <f aca="false">IF((E229="r"),G229," ")</f>
        <v> </v>
      </c>
      <c r="O229" s="334" t="str">
        <f aca="false">IF((E229="g"),G229," ")</f>
        <v> </v>
      </c>
      <c r="P229" s="334" t="str">
        <f aca="false">IF((E229="m"),G229," ")</f>
        <v> </v>
      </c>
      <c r="Q229" s="334" t="str">
        <f aca="false">IF((E229="t"),G229," ")</f>
        <v> </v>
      </c>
      <c r="R229" s="334" t="str">
        <f aca="false">IF((E229="a"),G229," ")</f>
        <v> </v>
      </c>
      <c r="S229" s="334" t="str">
        <f aca="false">IF((E229="l"),G229," ")</f>
        <v> </v>
      </c>
      <c r="T229" s="334" t="str">
        <f aca="false">IF((E229="b"),G229," ")</f>
        <v> </v>
      </c>
      <c r="U229" s="334" t="str">
        <f aca="false">IF((E229="i"),G229," ")</f>
        <v> </v>
      </c>
      <c r="V229" s="334" t="str">
        <f aca="false">IF((E229="o"),G229," ")</f>
        <v> </v>
      </c>
      <c r="W229" s="334" t="str">
        <f aca="false">IF((E229="f"),G229," ")</f>
        <v> </v>
      </c>
    </row>
    <row r="230" customFormat="false" ht="12.75" hidden="false" customHeight="false" outlineLevel="0" collapsed="false">
      <c r="A230" s="355"/>
      <c r="E230" s="365" t="str">
        <f aca="false">IF((G230&lt;&gt;0),"Enter Letter"," ")</f>
        <v> </v>
      </c>
      <c r="J230" s="334" t="str">
        <f aca="false">IF((E230="s"),G230," ")</f>
        <v> </v>
      </c>
      <c r="K230" s="334" t="str">
        <f aca="false">IF((E230="d"),G230," ")</f>
        <v> </v>
      </c>
      <c r="L230" s="334" t="str">
        <f aca="false">IF((E230="e"),G230," ")</f>
        <v> </v>
      </c>
      <c r="M230" s="334" t="str">
        <f aca="false">IF((E230="p"),G230," ")</f>
        <v> </v>
      </c>
      <c r="N230" s="334" t="str">
        <f aca="false">IF((E230="r"),G230," ")</f>
        <v> </v>
      </c>
      <c r="O230" s="334" t="str">
        <f aca="false">IF((E230="g"),G230," ")</f>
        <v> </v>
      </c>
      <c r="P230" s="334" t="str">
        <f aca="false">IF((E230="m"),G230," ")</f>
        <v> </v>
      </c>
      <c r="Q230" s="334" t="str">
        <f aca="false">IF((E230="t"),G230," ")</f>
        <v> </v>
      </c>
      <c r="R230" s="334" t="str">
        <f aca="false">IF((E230="a"),G230," ")</f>
        <v> </v>
      </c>
      <c r="S230" s="334" t="str">
        <f aca="false">IF((E230="l"),G230," ")</f>
        <v> </v>
      </c>
      <c r="T230" s="334" t="str">
        <f aca="false">IF((E230="b"),G230," ")</f>
        <v> </v>
      </c>
      <c r="U230" s="334" t="str">
        <f aca="false">IF((E230="i"),G230," ")</f>
        <v> </v>
      </c>
      <c r="V230" s="334" t="str">
        <f aca="false">IF((E230="o"),G230," ")</f>
        <v> </v>
      </c>
      <c r="W230" s="334" t="str">
        <f aca="false">IF((E230="f"),G230," ")</f>
        <v> </v>
      </c>
    </row>
    <row r="231" customFormat="false" ht="12.75" hidden="false" customHeight="false" outlineLevel="0" collapsed="false">
      <c r="A231" s="355"/>
      <c r="E231" s="365" t="str">
        <f aca="false">IF((G231&lt;&gt;0),"Enter Letter"," ")</f>
        <v> </v>
      </c>
      <c r="J231" s="334" t="str">
        <f aca="false">IF((E231="s"),G231," ")</f>
        <v> </v>
      </c>
      <c r="K231" s="334" t="str">
        <f aca="false">IF((E231="d"),G231," ")</f>
        <v> </v>
      </c>
      <c r="L231" s="334" t="str">
        <f aca="false">IF((E231="e"),G231," ")</f>
        <v> </v>
      </c>
      <c r="M231" s="334" t="str">
        <f aca="false">IF((E231="p"),G231," ")</f>
        <v> </v>
      </c>
      <c r="N231" s="334" t="str">
        <f aca="false">IF((E231="r"),G231," ")</f>
        <v> </v>
      </c>
      <c r="O231" s="334" t="str">
        <f aca="false">IF((E231="g"),G231," ")</f>
        <v> </v>
      </c>
      <c r="P231" s="334" t="str">
        <f aca="false">IF((E231="m"),G231," ")</f>
        <v> </v>
      </c>
      <c r="Q231" s="334" t="str">
        <f aca="false">IF((E231="t"),G231," ")</f>
        <v> </v>
      </c>
      <c r="R231" s="334" t="str">
        <f aca="false">IF((E231="a"),G231," ")</f>
        <v> </v>
      </c>
      <c r="S231" s="334" t="str">
        <f aca="false">IF((E231="l"),G231," ")</f>
        <v> </v>
      </c>
      <c r="T231" s="334" t="str">
        <f aca="false">IF((E231="b"),G231," ")</f>
        <v> </v>
      </c>
      <c r="U231" s="334" t="str">
        <f aca="false">IF((E231="i"),G231," ")</f>
        <v> </v>
      </c>
      <c r="V231" s="334" t="str">
        <f aca="false">IF((E231="o"),G231," ")</f>
        <v> </v>
      </c>
      <c r="W231" s="334" t="str">
        <f aca="false">IF((E231="f"),G231," ")</f>
        <v> </v>
      </c>
    </row>
    <row r="232" customFormat="false" ht="12.75" hidden="false" customHeight="false" outlineLevel="0" collapsed="false">
      <c r="A232" s="355"/>
      <c r="E232" s="365" t="str">
        <f aca="false">IF((G232&lt;&gt;0),"Enter Letter"," ")</f>
        <v> </v>
      </c>
      <c r="J232" s="334" t="str">
        <f aca="false">IF((E232="s"),G232," ")</f>
        <v> </v>
      </c>
      <c r="K232" s="334" t="str">
        <f aca="false">IF((E232="d"),G232," ")</f>
        <v> </v>
      </c>
      <c r="L232" s="334" t="str">
        <f aca="false">IF((E232="e"),G232," ")</f>
        <v> </v>
      </c>
      <c r="M232" s="334" t="str">
        <f aca="false">IF((E232="p"),G232," ")</f>
        <v> </v>
      </c>
      <c r="N232" s="334" t="str">
        <f aca="false">IF((E232="r"),G232," ")</f>
        <v> </v>
      </c>
      <c r="O232" s="334" t="str">
        <f aca="false">IF((E232="g"),G232," ")</f>
        <v> </v>
      </c>
      <c r="P232" s="334" t="str">
        <f aca="false">IF((E232="m"),G232," ")</f>
        <v> </v>
      </c>
      <c r="Q232" s="334" t="str">
        <f aca="false">IF((E232="t"),G232," ")</f>
        <v> </v>
      </c>
      <c r="R232" s="334" t="str">
        <f aca="false">IF((E232="a"),G232," ")</f>
        <v> </v>
      </c>
      <c r="S232" s="334" t="str">
        <f aca="false">IF((E232="l"),G232," ")</f>
        <v> </v>
      </c>
      <c r="T232" s="334" t="str">
        <f aca="false">IF((E232="b"),G232," ")</f>
        <v> </v>
      </c>
      <c r="U232" s="334" t="str">
        <f aca="false">IF((E232="i"),G232," ")</f>
        <v> </v>
      </c>
      <c r="V232" s="334" t="str">
        <f aca="false">IF((E232="o"),G232," ")</f>
        <v> </v>
      </c>
      <c r="W232" s="334" t="str">
        <f aca="false">IF((E232="f"),G232," ")</f>
        <v> </v>
      </c>
    </row>
    <row r="233" customFormat="false" ht="12.75" hidden="false" customHeight="false" outlineLevel="0" collapsed="false">
      <c r="A233" s="355"/>
      <c r="E233" s="365" t="str">
        <f aca="false">IF((G233&lt;&gt;0),"Enter Letter"," ")</f>
        <v> </v>
      </c>
      <c r="J233" s="334" t="str">
        <f aca="false">IF((E233="s"),G233," ")</f>
        <v> </v>
      </c>
      <c r="K233" s="334" t="str">
        <f aca="false">IF((E233="d"),G233," ")</f>
        <v> </v>
      </c>
      <c r="L233" s="334" t="str">
        <f aca="false">IF((E233="e"),G233," ")</f>
        <v> </v>
      </c>
      <c r="M233" s="334" t="str">
        <f aca="false">IF((E233="p"),G233," ")</f>
        <v> </v>
      </c>
      <c r="N233" s="334" t="str">
        <f aca="false">IF((E233="r"),G233," ")</f>
        <v> </v>
      </c>
      <c r="O233" s="334" t="str">
        <f aca="false">IF((E233="g"),G233," ")</f>
        <v> </v>
      </c>
      <c r="P233" s="334" t="str">
        <f aca="false">IF((E233="m"),G233," ")</f>
        <v> </v>
      </c>
      <c r="Q233" s="334" t="str">
        <f aca="false">IF((E233="t"),G233," ")</f>
        <v> </v>
      </c>
      <c r="R233" s="334" t="str">
        <f aca="false">IF((E233="a"),G233," ")</f>
        <v> </v>
      </c>
      <c r="S233" s="334" t="str">
        <f aca="false">IF((E233="l"),G233," ")</f>
        <v> </v>
      </c>
      <c r="T233" s="334" t="str">
        <f aca="false">IF((E233="b"),G233," ")</f>
        <v> </v>
      </c>
      <c r="U233" s="334" t="str">
        <f aca="false">IF((E233="i"),G233," ")</f>
        <v> </v>
      </c>
      <c r="V233" s="334" t="str">
        <f aca="false">IF((E233="o"),G233," ")</f>
        <v> </v>
      </c>
      <c r="W233" s="334" t="str">
        <f aca="false">IF((E233="f"),G233," ")</f>
        <v> </v>
      </c>
    </row>
    <row r="234" customFormat="false" ht="12.75" hidden="false" customHeight="false" outlineLevel="0" collapsed="false">
      <c r="A234" s="355"/>
      <c r="E234" s="365" t="str">
        <f aca="false">IF((G234&lt;&gt;0),"Enter Letter"," ")</f>
        <v> </v>
      </c>
      <c r="J234" s="334" t="str">
        <f aca="false">IF((E234="s"),G234," ")</f>
        <v> </v>
      </c>
      <c r="K234" s="334" t="str">
        <f aca="false">IF((E234="d"),G234," ")</f>
        <v> </v>
      </c>
      <c r="L234" s="334" t="str">
        <f aca="false">IF((E234="e"),G234," ")</f>
        <v> </v>
      </c>
      <c r="M234" s="334" t="str">
        <f aca="false">IF((E234="p"),G234," ")</f>
        <v> </v>
      </c>
      <c r="N234" s="334" t="str">
        <f aca="false">IF((E234="r"),G234," ")</f>
        <v> </v>
      </c>
      <c r="O234" s="334" t="str">
        <f aca="false">IF((E234="g"),G234," ")</f>
        <v> </v>
      </c>
      <c r="P234" s="334" t="str">
        <f aca="false">IF((E234="m"),G234," ")</f>
        <v> </v>
      </c>
      <c r="Q234" s="334" t="str">
        <f aca="false">IF((E234="t"),G234," ")</f>
        <v> </v>
      </c>
      <c r="R234" s="334" t="str">
        <f aca="false">IF((E234="a"),G234," ")</f>
        <v> </v>
      </c>
      <c r="S234" s="334" t="str">
        <f aca="false">IF((E234="l"),G234," ")</f>
        <v> </v>
      </c>
      <c r="T234" s="334" t="str">
        <f aca="false">IF((E234="b"),G234," ")</f>
        <v> </v>
      </c>
      <c r="U234" s="334" t="str">
        <f aca="false">IF((E234="i"),G234," ")</f>
        <v> </v>
      </c>
      <c r="V234" s="334" t="str">
        <f aca="false">IF((E234="o"),G234," ")</f>
        <v> </v>
      </c>
      <c r="W234" s="334" t="str">
        <f aca="false">IF((E234="f"),G234," ")</f>
        <v> </v>
      </c>
    </row>
    <row r="235" customFormat="false" ht="12.75" hidden="false" customHeight="false" outlineLevel="0" collapsed="false">
      <c r="A235" s="355"/>
      <c r="E235" s="365" t="str">
        <f aca="false">IF((G235&lt;&gt;0),"Enter Letter"," ")</f>
        <v> </v>
      </c>
      <c r="J235" s="334" t="str">
        <f aca="false">IF((E235="s"),G235," ")</f>
        <v> </v>
      </c>
      <c r="K235" s="334" t="str">
        <f aca="false">IF((E235="d"),G235," ")</f>
        <v> </v>
      </c>
      <c r="L235" s="334" t="str">
        <f aca="false">IF((E235="e"),G235," ")</f>
        <v> </v>
      </c>
      <c r="M235" s="334" t="str">
        <f aca="false">IF((E235="p"),G235," ")</f>
        <v> </v>
      </c>
      <c r="N235" s="334" t="str">
        <f aca="false">IF((E235="r"),G235," ")</f>
        <v> </v>
      </c>
      <c r="O235" s="334" t="str">
        <f aca="false">IF((E235="g"),G235," ")</f>
        <v> </v>
      </c>
      <c r="P235" s="334" t="str">
        <f aca="false">IF((E235="m"),G235," ")</f>
        <v> </v>
      </c>
      <c r="Q235" s="334" t="str">
        <f aca="false">IF((E235="t"),G235," ")</f>
        <v> </v>
      </c>
      <c r="R235" s="334" t="str">
        <f aca="false">IF((E235="a"),G235," ")</f>
        <v> </v>
      </c>
      <c r="S235" s="334" t="str">
        <f aca="false">IF((E235="l"),G235," ")</f>
        <v> </v>
      </c>
      <c r="T235" s="334" t="str">
        <f aca="false">IF((E235="b"),G235," ")</f>
        <v> </v>
      </c>
      <c r="U235" s="334" t="str">
        <f aca="false">IF((E235="i"),G235," ")</f>
        <v> </v>
      </c>
      <c r="V235" s="334" t="str">
        <f aca="false">IF((E235="o"),G235," ")</f>
        <v> </v>
      </c>
      <c r="W235" s="334" t="str">
        <f aca="false">IF((E235="f"),G235," ")</f>
        <v> </v>
      </c>
    </row>
    <row r="236" customFormat="false" ht="12.75" hidden="false" customHeight="false" outlineLevel="0" collapsed="false">
      <c r="A236" s="355"/>
      <c r="E236" s="365" t="str">
        <f aca="false">IF((G236&lt;&gt;0),"Enter Letter"," ")</f>
        <v> </v>
      </c>
      <c r="J236" s="334" t="str">
        <f aca="false">IF((E236="s"),G236," ")</f>
        <v> </v>
      </c>
      <c r="K236" s="334" t="str">
        <f aca="false">IF((E236="d"),G236," ")</f>
        <v> </v>
      </c>
      <c r="L236" s="334" t="str">
        <f aca="false">IF((E236="e"),G236," ")</f>
        <v> </v>
      </c>
      <c r="M236" s="334" t="str">
        <f aca="false">IF((E236="p"),G236," ")</f>
        <v> </v>
      </c>
      <c r="N236" s="334" t="str">
        <f aca="false">IF((E236="r"),G236," ")</f>
        <v> </v>
      </c>
      <c r="O236" s="334" t="str">
        <f aca="false">IF((E236="g"),G236," ")</f>
        <v> </v>
      </c>
      <c r="P236" s="334" t="str">
        <f aca="false">IF((E236="m"),G236," ")</f>
        <v> </v>
      </c>
      <c r="Q236" s="334" t="str">
        <f aca="false">IF((E236="t"),G236," ")</f>
        <v> </v>
      </c>
      <c r="R236" s="334" t="str">
        <f aca="false">IF((E236="a"),G236," ")</f>
        <v> </v>
      </c>
      <c r="S236" s="334" t="str">
        <f aca="false">IF((E236="l"),G236," ")</f>
        <v> </v>
      </c>
      <c r="T236" s="334" t="str">
        <f aca="false">IF((E236="b"),G236," ")</f>
        <v> </v>
      </c>
      <c r="U236" s="334" t="str">
        <f aca="false">IF((E236="i"),G236," ")</f>
        <v> </v>
      </c>
      <c r="V236" s="334" t="str">
        <f aca="false">IF((E236="o"),G236," ")</f>
        <v> </v>
      </c>
      <c r="W236" s="334" t="str">
        <f aca="false">IF((E236="f"),G236," ")</f>
        <v> </v>
      </c>
    </row>
    <row r="237" customFormat="false" ht="12.75" hidden="false" customHeight="false" outlineLevel="0" collapsed="false">
      <c r="A237" s="355"/>
      <c r="E237" s="365" t="str">
        <f aca="false">IF((G237&lt;&gt;0),"Enter Letter"," ")</f>
        <v> </v>
      </c>
      <c r="J237" s="334" t="str">
        <f aca="false">IF((E237="s"),G237," ")</f>
        <v> </v>
      </c>
      <c r="K237" s="334" t="str">
        <f aca="false">IF((E237="d"),G237," ")</f>
        <v> </v>
      </c>
      <c r="L237" s="334" t="str">
        <f aca="false">IF((E237="e"),G237," ")</f>
        <v> </v>
      </c>
      <c r="M237" s="334" t="str">
        <f aca="false">IF((E237="p"),G237," ")</f>
        <v> </v>
      </c>
      <c r="N237" s="334" t="str">
        <f aca="false">IF((E237="r"),G237," ")</f>
        <v> </v>
      </c>
      <c r="O237" s="334" t="str">
        <f aca="false">IF((E237="g"),G237," ")</f>
        <v> </v>
      </c>
      <c r="P237" s="334" t="str">
        <f aca="false">IF((E237="m"),G237," ")</f>
        <v> </v>
      </c>
      <c r="Q237" s="334" t="str">
        <f aca="false">IF((E237="t"),G237," ")</f>
        <v> </v>
      </c>
      <c r="R237" s="334" t="str">
        <f aca="false">IF((E237="a"),G237," ")</f>
        <v> </v>
      </c>
      <c r="S237" s="334" t="str">
        <f aca="false">IF((E237="l"),G237," ")</f>
        <v> </v>
      </c>
      <c r="T237" s="334" t="str">
        <f aca="false">IF((E237="b"),G237," ")</f>
        <v> </v>
      </c>
      <c r="U237" s="334" t="str">
        <f aca="false">IF((E237="i"),G237," ")</f>
        <v> </v>
      </c>
      <c r="V237" s="334" t="str">
        <f aca="false">IF((E237="o"),G237," ")</f>
        <v> </v>
      </c>
      <c r="W237" s="334" t="str">
        <f aca="false">IF((E237="f"),G237," ")</f>
        <v> </v>
      </c>
    </row>
    <row r="238" customFormat="false" ht="12.75" hidden="false" customHeight="false" outlineLevel="0" collapsed="false">
      <c r="A238" s="355"/>
      <c r="E238" s="365" t="str">
        <f aca="false">IF((G238&lt;&gt;0),"Enter Letter"," ")</f>
        <v> </v>
      </c>
      <c r="J238" s="334" t="str">
        <f aca="false">IF((E238="s"),G238," ")</f>
        <v> </v>
      </c>
      <c r="K238" s="334" t="str">
        <f aca="false">IF((E238="d"),G238," ")</f>
        <v> </v>
      </c>
      <c r="L238" s="334" t="str">
        <f aca="false">IF((E238="e"),G238," ")</f>
        <v> </v>
      </c>
      <c r="M238" s="334" t="str">
        <f aca="false">IF((E238="p"),G238," ")</f>
        <v> </v>
      </c>
      <c r="N238" s="334" t="str">
        <f aca="false">IF((E238="r"),G238," ")</f>
        <v> </v>
      </c>
      <c r="O238" s="334" t="str">
        <f aca="false">IF((E238="g"),G238," ")</f>
        <v> </v>
      </c>
      <c r="P238" s="334" t="str">
        <f aca="false">IF((E238="m"),G238," ")</f>
        <v> </v>
      </c>
      <c r="Q238" s="334" t="str">
        <f aca="false">IF((E238="t"),G238," ")</f>
        <v> </v>
      </c>
      <c r="R238" s="334" t="str">
        <f aca="false">IF((E238="a"),G238," ")</f>
        <v> </v>
      </c>
      <c r="S238" s="334" t="str">
        <f aca="false">IF((E238="l"),G238," ")</f>
        <v> </v>
      </c>
      <c r="T238" s="334" t="str">
        <f aca="false">IF((E238="b"),G238," ")</f>
        <v> </v>
      </c>
      <c r="U238" s="334" t="str">
        <f aca="false">IF((E238="i"),G238," ")</f>
        <v> </v>
      </c>
      <c r="V238" s="334" t="str">
        <f aca="false">IF((E238="o"),G238," ")</f>
        <v> </v>
      </c>
      <c r="W238" s="334" t="str">
        <f aca="false">IF((E238="f"),G238," ")</f>
        <v> </v>
      </c>
    </row>
    <row r="239" customFormat="false" ht="12.75" hidden="false" customHeight="false" outlineLevel="0" collapsed="false">
      <c r="A239" s="355"/>
      <c r="E239" s="365" t="str">
        <f aca="false">IF((G239&lt;&gt;0),"Enter Letter"," ")</f>
        <v> </v>
      </c>
      <c r="J239" s="334" t="str">
        <f aca="false">IF((E239="s"),G239," ")</f>
        <v> </v>
      </c>
      <c r="K239" s="334" t="str">
        <f aca="false">IF((E239="d"),G239," ")</f>
        <v> </v>
      </c>
      <c r="L239" s="334" t="str">
        <f aca="false">IF((E239="e"),G239," ")</f>
        <v> </v>
      </c>
      <c r="M239" s="334" t="str">
        <f aca="false">IF((E239="p"),G239," ")</f>
        <v> </v>
      </c>
      <c r="N239" s="334" t="str">
        <f aca="false">IF((E239="r"),G239," ")</f>
        <v> </v>
      </c>
      <c r="O239" s="334" t="str">
        <f aca="false">IF((E239="g"),G239," ")</f>
        <v> </v>
      </c>
      <c r="P239" s="334" t="str">
        <f aca="false">IF((E239="m"),G239," ")</f>
        <v> </v>
      </c>
      <c r="Q239" s="334" t="str">
        <f aca="false">IF((E239="t"),G239," ")</f>
        <v> </v>
      </c>
      <c r="R239" s="334" t="str">
        <f aca="false">IF((E239="a"),G239," ")</f>
        <v> </v>
      </c>
      <c r="S239" s="334" t="str">
        <f aca="false">IF((E239="l"),G239," ")</f>
        <v> </v>
      </c>
      <c r="T239" s="334" t="str">
        <f aca="false">IF((E239="b"),G239," ")</f>
        <v> </v>
      </c>
      <c r="U239" s="334" t="str">
        <f aca="false">IF((E239="i"),G239," ")</f>
        <v> </v>
      </c>
      <c r="V239" s="334" t="str">
        <f aca="false">IF((E239="o"),G239," ")</f>
        <v> </v>
      </c>
      <c r="W239" s="334" t="str">
        <f aca="false">IF((E239="f"),G239," ")</f>
        <v> </v>
      </c>
    </row>
    <row r="240" customFormat="false" ht="12.75" hidden="false" customHeight="false" outlineLevel="0" collapsed="false">
      <c r="A240" s="355"/>
      <c r="E240" s="365" t="str">
        <f aca="false">IF((G240&lt;&gt;0),"Enter Letter"," ")</f>
        <v> </v>
      </c>
      <c r="J240" s="334" t="str">
        <f aca="false">IF((E240="s"),G240," ")</f>
        <v> </v>
      </c>
      <c r="K240" s="334" t="str">
        <f aca="false">IF((E240="d"),G240," ")</f>
        <v> </v>
      </c>
      <c r="L240" s="334" t="str">
        <f aca="false">IF((E240="e"),G240," ")</f>
        <v> </v>
      </c>
      <c r="M240" s="334" t="str">
        <f aca="false">IF((E240="p"),G240," ")</f>
        <v> </v>
      </c>
      <c r="N240" s="334" t="str">
        <f aca="false">IF((E240="r"),G240," ")</f>
        <v> </v>
      </c>
      <c r="O240" s="334" t="str">
        <f aca="false">IF((E240="g"),G240," ")</f>
        <v> </v>
      </c>
      <c r="P240" s="334" t="str">
        <f aca="false">IF((E240="m"),G240," ")</f>
        <v> </v>
      </c>
      <c r="Q240" s="334" t="str">
        <f aca="false">IF((E240="t"),G240," ")</f>
        <v> </v>
      </c>
      <c r="R240" s="334" t="str">
        <f aca="false">IF((E240="a"),G240," ")</f>
        <v> </v>
      </c>
      <c r="S240" s="334" t="str">
        <f aca="false">IF((E240="l"),G240," ")</f>
        <v> </v>
      </c>
      <c r="T240" s="334" t="str">
        <f aca="false">IF((E240="b"),G240," ")</f>
        <v> </v>
      </c>
      <c r="U240" s="334" t="str">
        <f aca="false">IF((E240="i"),G240," ")</f>
        <v> </v>
      </c>
      <c r="V240" s="334" t="str">
        <f aca="false">IF((E240="o"),G240," ")</f>
        <v> </v>
      </c>
      <c r="W240" s="334" t="str">
        <f aca="false">IF((E240="f"),G240," ")</f>
        <v> </v>
      </c>
    </row>
    <row r="241" customFormat="false" ht="12.75" hidden="false" customHeight="false" outlineLevel="0" collapsed="false">
      <c r="A241" s="355"/>
      <c r="E241" s="365" t="str">
        <f aca="false">IF((G241&lt;&gt;0),"Enter Letter"," ")</f>
        <v> </v>
      </c>
      <c r="J241" s="334" t="str">
        <f aca="false">IF((E241="s"),G241," ")</f>
        <v> </v>
      </c>
      <c r="K241" s="334" t="str">
        <f aca="false">IF((E241="d"),G241," ")</f>
        <v> </v>
      </c>
      <c r="L241" s="334" t="str">
        <f aca="false">IF((E241="e"),G241," ")</f>
        <v> </v>
      </c>
      <c r="M241" s="334" t="str">
        <f aca="false">IF((E241="p"),G241," ")</f>
        <v> </v>
      </c>
      <c r="N241" s="334" t="str">
        <f aca="false">IF((E241="r"),G241," ")</f>
        <v> </v>
      </c>
      <c r="O241" s="334" t="str">
        <f aca="false">IF((E241="g"),G241," ")</f>
        <v> </v>
      </c>
      <c r="P241" s="334" t="str">
        <f aca="false">IF((E241="m"),G241," ")</f>
        <v> </v>
      </c>
      <c r="Q241" s="334" t="str">
        <f aca="false">IF((E241="t"),G241," ")</f>
        <v> </v>
      </c>
      <c r="R241" s="334" t="str">
        <f aca="false">IF((E241="a"),G241," ")</f>
        <v> </v>
      </c>
      <c r="S241" s="334" t="str">
        <f aca="false">IF((E241="l"),G241," ")</f>
        <v> </v>
      </c>
      <c r="T241" s="334" t="str">
        <f aca="false">IF((E241="b"),G241," ")</f>
        <v> </v>
      </c>
      <c r="U241" s="334" t="str">
        <f aca="false">IF((E241="i"),G241," ")</f>
        <v> </v>
      </c>
      <c r="V241" s="334" t="str">
        <f aca="false">IF((E241="o"),G241," ")</f>
        <v> </v>
      </c>
      <c r="W241" s="334" t="str">
        <f aca="false">IF((E241="f"),G241," ")</f>
        <v> </v>
      </c>
    </row>
    <row r="242" customFormat="false" ht="12.75" hidden="false" customHeight="false" outlineLevel="0" collapsed="false">
      <c r="A242" s="355"/>
      <c r="E242" s="365" t="str">
        <f aca="false">IF((G242&lt;&gt;0),"Enter Letter"," ")</f>
        <v> </v>
      </c>
      <c r="J242" s="334" t="str">
        <f aca="false">IF((E242="s"),G242," ")</f>
        <v> </v>
      </c>
      <c r="K242" s="334" t="str">
        <f aca="false">IF((E242="d"),G242," ")</f>
        <v> </v>
      </c>
      <c r="L242" s="334" t="str">
        <f aca="false">IF((E242="e"),G242," ")</f>
        <v> </v>
      </c>
      <c r="M242" s="334" t="str">
        <f aca="false">IF((E242="p"),G242," ")</f>
        <v> </v>
      </c>
      <c r="N242" s="334" t="str">
        <f aca="false">IF((E242="r"),G242," ")</f>
        <v> </v>
      </c>
      <c r="O242" s="334" t="str">
        <f aca="false">IF((E242="g"),G242," ")</f>
        <v> </v>
      </c>
      <c r="P242" s="334" t="str">
        <f aca="false">IF((E242="m"),G242," ")</f>
        <v> </v>
      </c>
      <c r="Q242" s="334" t="str">
        <f aca="false">IF((E242="t"),G242," ")</f>
        <v> </v>
      </c>
      <c r="R242" s="334" t="str">
        <f aca="false">IF((E242="a"),G242," ")</f>
        <v> </v>
      </c>
      <c r="S242" s="334" t="str">
        <f aca="false">IF((E242="l"),G242," ")</f>
        <v> </v>
      </c>
      <c r="T242" s="334" t="str">
        <f aca="false">IF((E242="b"),G242," ")</f>
        <v> </v>
      </c>
      <c r="U242" s="334" t="str">
        <f aca="false">IF((E242="i"),G242," ")</f>
        <v> </v>
      </c>
      <c r="V242" s="334" t="str">
        <f aca="false">IF((E242="o"),G242," ")</f>
        <v> </v>
      </c>
      <c r="W242" s="334" t="str">
        <f aca="false">IF((E242="f"),G242," ")</f>
        <v> </v>
      </c>
    </row>
    <row r="243" customFormat="false" ht="12.75" hidden="false" customHeight="false" outlineLevel="0" collapsed="false">
      <c r="A243" s="355"/>
      <c r="E243" s="365" t="str">
        <f aca="false">IF((G243&lt;&gt;0),"Enter Letter"," ")</f>
        <v> </v>
      </c>
      <c r="J243" s="334" t="str">
        <f aca="false">IF((E243="s"),G243," ")</f>
        <v> </v>
      </c>
      <c r="K243" s="334" t="str">
        <f aca="false">IF((E243="d"),G243," ")</f>
        <v> </v>
      </c>
      <c r="L243" s="334" t="str">
        <f aca="false">IF((E243="e"),G243," ")</f>
        <v> </v>
      </c>
      <c r="M243" s="334" t="str">
        <f aca="false">IF((E243="p"),G243," ")</f>
        <v> </v>
      </c>
      <c r="N243" s="334" t="str">
        <f aca="false">IF((E243="r"),G243," ")</f>
        <v> </v>
      </c>
      <c r="O243" s="334" t="str">
        <f aca="false">IF((E243="g"),G243," ")</f>
        <v> </v>
      </c>
      <c r="P243" s="334" t="str">
        <f aca="false">IF((E243="m"),G243," ")</f>
        <v> </v>
      </c>
      <c r="Q243" s="334" t="str">
        <f aca="false">IF((E243="t"),G243," ")</f>
        <v> </v>
      </c>
      <c r="R243" s="334" t="str">
        <f aca="false">IF((E243="a"),G243," ")</f>
        <v> </v>
      </c>
      <c r="S243" s="334" t="str">
        <f aca="false">IF((E243="l"),G243," ")</f>
        <v> </v>
      </c>
      <c r="T243" s="334" t="str">
        <f aca="false">IF((E243="b"),G243," ")</f>
        <v> </v>
      </c>
      <c r="U243" s="334" t="str">
        <f aca="false">IF((E243="i"),G243," ")</f>
        <v> </v>
      </c>
      <c r="V243" s="334" t="str">
        <f aca="false">IF((E243="o"),G243," ")</f>
        <v> </v>
      </c>
      <c r="W243" s="334" t="str">
        <f aca="false">IF((E243="f"),G243," ")</f>
        <v> </v>
      </c>
    </row>
    <row r="244" customFormat="false" ht="12.75" hidden="false" customHeight="false" outlineLevel="0" collapsed="false">
      <c r="A244" s="355"/>
      <c r="E244" s="365" t="str">
        <f aca="false">IF((G244&lt;&gt;0),"Enter Letter"," ")</f>
        <v> </v>
      </c>
      <c r="J244" s="334" t="str">
        <f aca="false">IF((E244="s"),G244," ")</f>
        <v> </v>
      </c>
      <c r="K244" s="334" t="str">
        <f aca="false">IF((E244="d"),G244," ")</f>
        <v> </v>
      </c>
      <c r="L244" s="334" t="str">
        <f aca="false">IF((E244="e"),G244," ")</f>
        <v> </v>
      </c>
      <c r="M244" s="334" t="str">
        <f aca="false">IF((E244="p"),G244," ")</f>
        <v> </v>
      </c>
      <c r="N244" s="334" t="str">
        <f aca="false">IF((E244="r"),G244," ")</f>
        <v> </v>
      </c>
      <c r="O244" s="334" t="str">
        <f aca="false">IF((E244="g"),G244," ")</f>
        <v> </v>
      </c>
      <c r="P244" s="334" t="str">
        <f aca="false">IF((E244="m"),G244," ")</f>
        <v> </v>
      </c>
      <c r="Q244" s="334" t="str">
        <f aca="false">IF((E244="t"),G244," ")</f>
        <v> </v>
      </c>
      <c r="R244" s="334" t="str">
        <f aca="false">IF((E244="a"),G244," ")</f>
        <v> </v>
      </c>
      <c r="S244" s="334" t="str">
        <f aca="false">IF((E244="l"),G244," ")</f>
        <v> </v>
      </c>
      <c r="T244" s="334" t="str">
        <f aca="false">IF((E244="b"),G244," ")</f>
        <v> </v>
      </c>
      <c r="U244" s="334" t="str">
        <f aca="false">IF((E244="i"),G244," ")</f>
        <v> </v>
      </c>
      <c r="V244" s="334" t="str">
        <f aca="false">IF((E244="o"),G244," ")</f>
        <v> </v>
      </c>
      <c r="W244" s="334" t="str">
        <f aca="false">IF((E244="f"),G244," ")</f>
        <v> </v>
      </c>
    </row>
    <row r="245" customFormat="false" ht="12.75" hidden="false" customHeight="false" outlineLevel="0" collapsed="false">
      <c r="A245" s="355"/>
      <c r="E245" s="365" t="str">
        <f aca="false">IF((G245&lt;&gt;0),"Enter Letter"," ")</f>
        <v> </v>
      </c>
      <c r="J245" s="334" t="str">
        <f aca="false">IF((E245="s"),G245," ")</f>
        <v> </v>
      </c>
      <c r="K245" s="334" t="str">
        <f aca="false">IF((E245="d"),G245," ")</f>
        <v> </v>
      </c>
      <c r="L245" s="334" t="str">
        <f aca="false">IF((E245="e"),G245," ")</f>
        <v> </v>
      </c>
      <c r="M245" s="334" t="str">
        <f aca="false">IF((E245="p"),G245," ")</f>
        <v> </v>
      </c>
      <c r="N245" s="334" t="str">
        <f aca="false">IF((E245="r"),G245," ")</f>
        <v> </v>
      </c>
      <c r="O245" s="334" t="str">
        <f aca="false">IF((E245="g"),G245," ")</f>
        <v> </v>
      </c>
      <c r="P245" s="334" t="str">
        <f aca="false">IF((E245="m"),G245," ")</f>
        <v> </v>
      </c>
      <c r="Q245" s="334" t="str">
        <f aca="false">IF((E245="t"),G245," ")</f>
        <v> </v>
      </c>
      <c r="R245" s="334" t="str">
        <f aca="false">IF((E245="a"),G245," ")</f>
        <v> </v>
      </c>
      <c r="S245" s="334" t="str">
        <f aca="false">IF((E245="l"),G245," ")</f>
        <v> </v>
      </c>
      <c r="T245" s="334" t="str">
        <f aca="false">IF((E245="b"),G245," ")</f>
        <v> </v>
      </c>
      <c r="U245" s="334" t="str">
        <f aca="false">IF((E245="i"),G245," ")</f>
        <v> </v>
      </c>
      <c r="V245" s="334" t="str">
        <f aca="false">IF((E245="o"),G245," ")</f>
        <v> </v>
      </c>
      <c r="W245" s="334" t="str">
        <f aca="false">IF((E245="f"),G245," ")</f>
        <v> </v>
      </c>
    </row>
    <row r="246" customFormat="false" ht="12.75" hidden="false" customHeight="false" outlineLevel="0" collapsed="false">
      <c r="A246" s="355"/>
      <c r="E246" s="365" t="str">
        <f aca="false">IF((G246&lt;&gt;0),"Enter Letter"," ")</f>
        <v> </v>
      </c>
      <c r="J246" s="334" t="str">
        <f aca="false">IF((E246="s"),G246," ")</f>
        <v> </v>
      </c>
      <c r="K246" s="334" t="str">
        <f aca="false">IF((E246="d"),G246," ")</f>
        <v> </v>
      </c>
      <c r="L246" s="334" t="str">
        <f aca="false">IF((E246="e"),G246," ")</f>
        <v> </v>
      </c>
      <c r="M246" s="334" t="str">
        <f aca="false">IF((E246="p"),G246," ")</f>
        <v> </v>
      </c>
      <c r="N246" s="334" t="str">
        <f aca="false">IF((E246="r"),G246," ")</f>
        <v> </v>
      </c>
      <c r="O246" s="334" t="str">
        <f aca="false">IF((E246="g"),G246," ")</f>
        <v> </v>
      </c>
      <c r="P246" s="334" t="str">
        <f aca="false">IF((E246="m"),G246," ")</f>
        <v> </v>
      </c>
      <c r="Q246" s="334" t="str">
        <f aca="false">IF((E246="t"),G246," ")</f>
        <v> </v>
      </c>
      <c r="R246" s="334" t="str">
        <f aca="false">IF((E246="a"),G246," ")</f>
        <v> </v>
      </c>
      <c r="S246" s="334" t="str">
        <f aca="false">IF((E246="l"),G246," ")</f>
        <v> </v>
      </c>
      <c r="T246" s="334" t="str">
        <f aca="false">IF((E246="b"),G246," ")</f>
        <v> </v>
      </c>
      <c r="U246" s="334" t="str">
        <f aca="false">IF((E246="i"),G246," ")</f>
        <v> </v>
      </c>
      <c r="V246" s="334" t="str">
        <f aca="false">IF((E246="o"),G246," ")</f>
        <v> </v>
      </c>
      <c r="W246" s="334" t="str">
        <f aca="false">IF((E246="f"),G246," ")</f>
        <v> </v>
      </c>
    </row>
    <row r="247" customFormat="false" ht="12.75" hidden="false" customHeight="false" outlineLevel="0" collapsed="false">
      <c r="A247" s="355"/>
      <c r="E247" s="365" t="str">
        <f aca="false">IF((G247&lt;&gt;0),"Enter Letter"," ")</f>
        <v> </v>
      </c>
      <c r="J247" s="334" t="str">
        <f aca="false">IF((E247="s"),G247," ")</f>
        <v> </v>
      </c>
      <c r="K247" s="334" t="str">
        <f aca="false">IF((E247="d"),G247," ")</f>
        <v> </v>
      </c>
      <c r="L247" s="334" t="str">
        <f aca="false">IF((E247="e"),G247," ")</f>
        <v> </v>
      </c>
      <c r="M247" s="334" t="str">
        <f aca="false">IF((E247="p"),G247," ")</f>
        <v> </v>
      </c>
      <c r="N247" s="334" t="str">
        <f aca="false">IF((E247="r"),G247," ")</f>
        <v> </v>
      </c>
      <c r="O247" s="334" t="str">
        <f aca="false">IF((E247="g"),G247," ")</f>
        <v> </v>
      </c>
      <c r="P247" s="334" t="str">
        <f aca="false">IF((E247="m"),G247," ")</f>
        <v> </v>
      </c>
      <c r="Q247" s="334" t="str">
        <f aca="false">IF((E247="t"),G247," ")</f>
        <v> </v>
      </c>
      <c r="R247" s="334" t="str">
        <f aca="false">IF((E247="a"),G247," ")</f>
        <v> </v>
      </c>
      <c r="S247" s="334" t="str">
        <f aca="false">IF((E247="l"),G247," ")</f>
        <v> </v>
      </c>
      <c r="T247" s="334" t="str">
        <f aca="false">IF((E247="b"),G247," ")</f>
        <v> </v>
      </c>
      <c r="U247" s="334" t="str">
        <f aca="false">IF((E247="i"),G247," ")</f>
        <v> </v>
      </c>
      <c r="V247" s="334" t="str">
        <f aca="false">IF((E247="o"),G247," ")</f>
        <v> </v>
      </c>
      <c r="W247" s="334" t="str">
        <f aca="false">IF((E247="f"),G247," ")</f>
        <v> </v>
      </c>
    </row>
    <row r="248" customFormat="false" ht="12.75" hidden="false" customHeight="false" outlineLevel="0" collapsed="false">
      <c r="A248" s="355"/>
      <c r="E248" s="365" t="str">
        <f aca="false">IF((G248&lt;&gt;0),"Enter Letter"," ")</f>
        <v> </v>
      </c>
      <c r="J248" s="334" t="str">
        <f aca="false">IF((E248="s"),G248," ")</f>
        <v> </v>
      </c>
      <c r="K248" s="334" t="str">
        <f aca="false">IF((E248="d"),G248," ")</f>
        <v> </v>
      </c>
      <c r="L248" s="334" t="str">
        <f aca="false">IF((E248="e"),G248," ")</f>
        <v> </v>
      </c>
      <c r="M248" s="334" t="str">
        <f aca="false">IF((E248="p"),G248," ")</f>
        <v> </v>
      </c>
      <c r="N248" s="334" t="str">
        <f aca="false">IF((E248="r"),G248," ")</f>
        <v> </v>
      </c>
      <c r="O248" s="334" t="str">
        <f aca="false">IF((E248="g"),G248," ")</f>
        <v> </v>
      </c>
      <c r="P248" s="334" t="str">
        <f aca="false">IF((E248="m"),G248," ")</f>
        <v> </v>
      </c>
      <c r="Q248" s="334" t="str">
        <f aca="false">IF((E248="t"),G248," ")</f>
        <v> </v>
      </c>
      <c r="R248" s="334" t="str">
        <f aca="false">IF((E248="a"),G248," ")</f>
        <v> </v>
      </c>
      <c r="S248" s="334" t="str">
        <f aca="false">IF((E248="l"),G248," ")</f>
        <v> </v>
      </c>
      <c r="T248" s="334" t="str">
        <f aca="false">IF((E248="b"),G248," ")</f>
        <v> </v>
      </c>
      <c r="U248" s="334" t="str">
        <f aca="false">IF((E248="i"),G248," ")</f>
        <v> </v>
      </c>
      <c r="V248" s="334" t="str">
        <f aca="false">IF((E248="o"),G248," ")</f>
        <v> </v>
      </c>
      <c r="W248" s="334" t="str">
        <f aca="false">IF((E248="f"),G248," ")</f>
        <v> </v>
      </c>
    </row>
    <row r="249" customFormat="false" ht="12.75" hidden="false" customHeight="false" outlineLevel="0" collapsed="false">
      <c r="A249" s="355"/>
      <c r="E249" s="365" t="str">
        <f aca="false">IF((G249&lt;&gt;0),"Enter Letter"," ")</f>
        <v> </v>
      </c>
      <c r="J249" s="334" t="str">
        <f aca="false">IF((E249="s"),G249," ")</f>
        <v> </v>
      </c>
      <c r="K249" s="334" t="str">
        <f aca="false">IF((E249="d"),G249," ")</f>
        <v> </v>
      </c>
      <c r="L249" s="334" t="str">
        <f aca="false">IF((E249="e"),G249," ")</f>
        <v> </v>
      </c>
      <c r="M249" s="334" t="str">
        <f aca="false">IF((E249="p"),G249," ")</f>
        <v> </v>
      </c>
      <c r="N249" s="334" t="str">
        <f aca="false">IF((E249="r"),G249," ")</f>
        <v> </v>
      </c>
      <c r="O249" s="334" t="str">
        <f aca="false">IF((E249="g"),G249," ")</f>
        <v> </v>
      </c>
      <c r="P249" s="334" t="str">
        <f aca="false">IF((E249="m"),G249," ")</f>
        <v> </v>
      </c>
      <c r="Q249" s="334" t="str">
        <f aca="false">IF((E249="t"),G249," ")</f>
        <v> </v>
      </c>
      <c r="R249" s="334" t="str">
        <f aca="false">IF((E249="a"),G249," ")</f>
        <v> </v>
      </c>
      <c r="S249" s="334" t="str">
        <f aca="false">IF((E249="l"),G249," ")</f>
        <v> </v>
      </c>
      <c r="T249" s="334" t="str">
        <f aca="false">IF((E249="b"),G249," ")</f>
        <v> </v>
      </c>
      <c r="U249" s="334" t="str">
        <f aca="false">IF((E249="i"),G249," ")</f>
        <v> </v>
      </c>
      <c r="V249" s="334" t="str">
        <f aca="false">IF((E249="o"),G249," ")</f>
        <v> </v>
      </c>
      <c r="W249" s="334" t="str">
        <f aca="false">IF((E249="f"),G249," ")</f>
        <v> </v>
      </c>
    </row>
    <row r="250" customFormat="false" ht="12.75" hidden="false" customHeight="false" outlineLevel="0" collapsed="false">
      <c r="A250" s="355"/>
      <c r="E250" s="365" t="str">
        <f aca="false">IF((G250&lt;&gt;0),"Enter Letter"," ")</f>
        <v> </v>
      </c>
      <c r="J250" s="334" t="str">
        <f aca="false">IF((E250="s"),G250," ")</f>
        <v> </v>
      </c>
      <c r="K250" s="334" t="str">
        <f aca="false">IF((E250="d"),G250," ")</f>
        <v> </v>
      </c>
      <c r="L250" s="334" t="str">
        <f aca="false">IF((E250="e"),G250," ")</f>
        <v> </v>
      </c>
      <c r="M250" s="334" t="str">
        <f aca="false">IF((E250="p"),G250," ")</f>
        <v> </v>
      </c>
      <c r="N250" s="334" t="str">
        <f aca="false">IF((E250="r"),G250," ")</f>
        <v> </v>
      </c>
      <c r="O250" s="334" t="str">
        <f aca="false">IF((E250="g"),G250," ")</f>
        <v> </v>
      </c>
      <c r="P250" s="334" t="str">
        <f aca="false">IF((E250="m"),G250," ")</f>
        <v> </v>
      </c>
      <c r="Q250" s="334" t="str">
        <f aca="false">IF((E250="t"),G250," ")</f>
        <v> </v>
      </c>
      <c r="R250" s="334" t="str">
        <f aca="false">IF((E250="a"),G250," ")</f>
        <v> </v>
      </c>
      <c r="S250" s="334" t="str">
        <f aca="false">IF((E250="l"),G250," ")</f>
        <v> </v>
      </c>
      <c r="T250" s="334" t="str">
        <f aca="false">IF((E250="b"),G250," ")</f>
        <v> </v>
      </c>
      <c r="U250" s="334" t="str">
        <f aca="false">IF((E250="i"),G250," ")</f>
        <v> </v>
      </c>
      <c r="V250" s="334" t="str">
        <f aca="false">IF((E250="o"),G250," ")</f>
        <v> </v>
      </c>
      <c r="W250" s="334" t="str">
        <f aca="false">IF((E250="f"),G250," ")</f>
        <v> </v>
      </c>
    </row>
    <row r="251" customFormat="false" ht="12.75" hidden="false" customHeight="false" outlineLevel="0" collapsed="false">
      <c r="A251" s="355"/>
      <c r="E251" s="365" t="str">
        <f aca="false">IF((G251&lt;&gt;0),"Enter Letter"," ")</f>
        <v> </v>
      </c>
      <c r="J251" s="334" t="str">
        <f aca="false">IF((E251="s"),G251," ")</f>
        <v> </v>
      </c>
      <c r="K251" s="334" t="str">
        <f aca="false">IF((E251="d"),G251," ")</f>
        <v> </v>
      </c>
      <c r="L251" s="334" t="str">
        <f aca="false">IF((E251="e"),G251," ")</f>
        <v> </v>
      </c>
      <c r="M251" s="334" t="str">
        <f aca="false">IF((E251="p"),G251," ")</f>
        <v> </v>
      </c>
      <c r="N251" s="334" t="str">
        <f aca="false">IF((E251="r"),G251," ")</f>
        <v> </v>
      </c>
      <c r="O251" s="334" t="str">
        <f aca="false">IF((E251="g"),G251," ")</f>
        <v> </v>
      </c>
      <c r="P251" s="334" t="str">
        <f aca="false">IF((E251="m"),G251," ")</f>
        <v> </v>
      </c>
      <c r="Q251" s="334" t="str">
        <f aca="false">IF((E251="t"),G251," ")</f>
        <v> </v>
      </c>
      <c r="R251" s="334" t="str">
        <f aca="false">IF((E251="a"),G251," ")</f>
        <v> </v>
      </c>
      <c r="S251" s="334" t="str">
        <f aca="false">IF((E251="l"),G251," ")</f>
        <v> </v>
      </c>
      <c r="T251" s="334" t="str">
        <f aca="false">IF((E251="b"),G251," ")</f>
        <v> </v>
      </c>
      <c r="U251" s="334" t="str">
        <f aca="false">IF((E251="i"),G251," ")</f>
        <v> </v>
      </c>
      <c r="V251" s="334" t="str">
        <f aca="false">IF((E251="o"),G251," ")</f>
        <v> </v>
      </c>
      <c r="W251" s="334" t="str">
        <f aca="false">IF((E251="f"),G251," ")</f>
        <v> </v>
      </c>
    </row>
    <row r="252" customFormat="false" ht="12.75" hidden="false" customHeight="false" outlineLevel="0" collapsed="false">
      <c r="A252" s="355"/>
      <c r="E252" s="365" t="str">
        <f aca="false">IF((G252&lt;&gt;0),"Enter Letter"," ")</f>
        <v> </v>
      </c>
      <c r="J252" s="334" t="str">
        <f aca="false">IF((E252="s"),G252," ")</f>
        <v> </v>
      </c>
      <c r="K252" s="334" t="str">
        <f aca="false">IF((E252="d"),G252," ")</f>
        <v> </v>
      </c>
      <c r="L252" s="334" t="str">
        <f aca="false">IF((E252="e"),G252," ")</f>
        <v> </v>
      </c>
      <c r="M252" s="334" t="str">
        <f aca="false">IF((E252="p"),G252," ")</f>
        <v> </v>
      </c>
      <c r="N252" s="334" t="str">
        <f aca="false">IF((E252="r"),G252," ")</f>
        <v> </v>
      </c>
      <c r="O252" s="334" t="str">
        <f aca="false">IF((E252="g"),G252," ")</f>
        <v> </v>
      </c>
      <c r="P252" s="334" t="str">
        <f aca="false">IF((E252="m"),G252," ")</f>
        <v> </v>
      </c>
      <c r="Q252" s="334" t="str">
        <f aca="false">IF((E252="t"),G252," ")</f>
        <v> </v>
      </c>
      <c r="R252" s="334" t="str">
        <f aca="false">IF((E252="a"),G252," ")</f>
        <v> </v>
      </c>
      <c r="S252" s="334" t="str">
        <f aca="false">IF((E252="l"),G252," ")</f>
        <v> </v>
      </c>
      <c r="T252" s="334" t="str">
        <f aca="false">IF((E252="b"),G252," ")</f>
        <v> </v>
      </c>
      <c r="U252" s="334" t="str">
        <f aca="false">IF((E252="i"),G252," ")</f>
        <v> </v>
      </c>
      <c r="V252" s="334" t="str">
        <f aca="false">IF((E252="o"),G252," ")</f>
        <v> </v>
      </c>
      <c r="W252" s="334" t="str">
        <f aca="false">IF((E252="f"),G252," ")</f>
        <v> </v>
      </c>
    </row>
    <row r="253" customFormat="false" ht="12.75" hidden="false" customHeight="false" outlineLevel="0" collapsed="false">
      <c r="A253" s="355"/>
      <c r="E253" s="365" t="str">
        <f aca="false">IF((G253&lt;&gt;0),"Enter Letter"," ")</f>
        <v> </v>
      </c>
      <c r="J253" s="334" t="str">
        <f aca="false">IF((E253="s"),G253," ")</f>
        <v> </v>
      </c>
      <c r="K253" s="334" t="str">
        <f aca="false">IF((E253="d"),G253," ")</f>
        <v> </v>
      </c>
      <c r="L253" s="334" t="str">
        <f aca="false">IF((E253="e"),G253," ")</f>
        <v> </v>
      </c>
      <c r="M253" s="334" t="str">
        <f aca="false">IF((E253="p"),G253," ")</f>
        <v> </v>
      </c>
      <c r="N253" s="334" t="str">
        <f aca="false">IF((E253="r"),G253," ")</f>
        <v> </v>
      </c>
      <c r="O253" s="334" t="str">
        <f aca="false">IF((E253="g"),G253," ")</f>
        <v> </v>
      </c>
      <c r="P253" s="334" t="str">
        <f aca="false">IF((E253="m"),G253," ")</f>
        <v> </v>
      </c>
      <c r="Q253" s="334" t="str">
        <f aca="false">IF((E253="t"),G253," ")</f>
        <v> </v>
      </c>
      <c r="R253" s="334" t="str">
        <f aca="false">IF((E253="a"),G253," ")</f>
        <v> </v>
      </c>
      <c r="S253" s="334" t="str">
        <f aca="false">IF((E253="l"),G253," ")</f>
        <v> </v>
      </c>
      <c r="T253" s="334" t="str">
        <f aca="false">IF((E253="b"),G253," ")</f>
        <v> </v>
      </c>
      <c r="U253" s="334" t="str">
        <f aca="false">IF((E253="i"),G253," ")</f>
        <v> </v>
      </c>
      <c r="V253" s="334" t="str">
        <f aca="false">IF((E253="o"),G253," ")</f>
        <v> </v>
      </c>
      <c r="W253" s="334" t="str">
        <f aca="false">IF((E253="f"),G253," ")</f>
        <v> </v>
      </c>
    </row>
    <row r="254" customFormat="false" ht="12.75" hidden="false" customHeight="false" outlineLevel="0" collapsed="false">
      <c r="A254" s="355"/>
      <c r="E254" s="365" t="str">
        <f aca="false">IF((G254&lt;&gt;0),"Enter Letter"," ")</f>
        <v> </v>
      </c>
      <c r="J254" s="334" t="str">
        <f aca="false">IF((E254="s"),G254," ")</f>
        <v> </v>
      </c>
      <c r="K254" s="334" t="str">
        <f aca="false">IF((E254="d"),G254," ")</f>
        <v> </v>
      </c>
      <c r="L254" s="334" t="str">
        <f aca="false">IF((E254="e"),G254," ")</f>
        <v> </v>
      </c>
      <c r="M254" s="334" t="str">
        <f aca="false">IF((E254="p"),G254," ")</f>
        <v> </v>
      </c>
      <c r="N254" s="334" t="str">
        <f aca="false">IF((E254="r"),G254," ")</f>
        <v> </v>
      </c>
      <c r="O254" s="334" t="str">
        <f aca="false">IF((E254="g"),G254," ")</f>
        <v> </v>
      </c>
      <c r="P254" s="334" t="str">
        <f aca="false">IF((E254="m"),G254," ")</f>
        <v> </v>
      </c>
      <c r="Q254" s="334" t="str">
        <f aca="false">IF((E254="t"),G254," ")</f>
        <v> </v>
      </c>
      <c r="R254" s="334" t="str">
        <f aca="false">IF((E254="a"),G254," ")</f>
        <v> </v>
      </c>
      <c r="S254" s="334" t="str">
        <f aca="false">IF((E254="l"),G254," ")</f>
        <v> </v>
      </c>
      <c r="T254" s="334" t="str">
        <f aca="false">IF((E254="b"),G254," ")</f>
        <v> </v>
      </c>
      <c r="U254" s="334" t="str">
        <f aca="false">IF((E254="i"),G254," ")</f>
        <v> </v>
      </c>
      <c r="V254" s="334" t="str">
        <f aca="false">IF((E254="o"),G254," ")</f>
        <v> </v>
      </c>
      <c r="W254" s="334" t="str">
        <f aca="false">IF((E254="f"),G254," ")</f>
        <v> </v>
      </c>
    </row>
    <row r="255" customFormat="false" ht="12.75" hidden="false" customHeight="false" outlineLevel="0" collapsed="false">
      <c r="A255" s="355"/>
      <c r="E255" s="365" t="str">
        <f aca="false">IF((G255&lt;&gt;0),"Enter Letter"," ")</f>
        <v> </v>
      </c>
      <c r="J255" s="334" t="str">
        <f aca="false">IF((E255="s"),G255," ")</f>
        <v> </v>
      </c>
      <c r="K255" s="334" t="str">
        <f aca="false">IF((E255="d"),G255," ")</f>
        <v> </v>
      </c>
      <c r="L255" s="334" t="str">
        <f aca="false">IF((E255="e"),G255," ")</f>
        <v> </v>
      </c>
      <c r="M255" s="334" t="str">
        <f aca="false">IF((E255="p"),G255," ")</f>
        <v> </v>
      </c>
      <c r="N255" s="334" t="str">
        <f aca="false">IF((E255="r"),G255," ")</f>
        <v> </v>
      </c>
      <c r="O255" s="334" t="str">
        <f aca="false">IF((E255="g"),G255," ")</f>
        <v> </v>
      </c>
      <c r="P255" s="334" t="str">
        <f aca="false">IF((E255="m"),G255," ")</f>
        <v> </v>
      </c>
      <c r="Q255" s="334" t="str">
        <f aca="false">IF((E255="t"),G255," ")</f>
        <v> </v>
      </c>
      <c r="R255" s="334" t="str">
        <f aca="false">IF((E255="a"),G255," ")</f>
        <v> </v>
      </c>
      <c r="S255" s="334" t="str">
        <f aca="false">IF((E255="l"),G255," ")</f>
        <v> </v>
      </c>
      <c r="T255" s="334" t="str">
        <f aca="false">IF((E255="b"),G255," ")</f>
        <v> </v>
      </c>
      <c r="U255" s="334" t="str">
        <f aca="false">IF((E255="i"),G255," ")</f>
        <v> </v>
      </c>
      <c r="V255" s="334" t="str">
        <f aca="false">IF((E255="o"),G255," ")</f>
        <v> </v>
      </c>
      <c r="W255" s="334" t="str">
        <f aca="false">IF((E255="f"),G255," ")</f>
        <v> </v>
      </c>
    </row>
    <row r="256" customFormat="false" ht="12.75" hidden="false" customHeight="false" outlineLevel="0" collapsed="false">
      <c r="A256" s="355"/>
      <c r="E256" s="365" t="str">
        <f aca="false">IF((G256&lt;&gt;0),"Enter Letter"," ")</f>
        <v> </v>
      </c>
      <c r="J256" s="334" t="str">
        <f aca="false">IF((E256="s"),G256," ")</f>
        <v> </v>
      </c>
      <c r="K256" s="334" t="str">
        <f aca="false">IF((E256="d"),G256," ")</f>
        <v> </v>
      </c>
      <c r="L256" s="334" t="str">
        <f aca="false">IF((E256="e"),G256," ")</f>
        <v> </v>
      </c>
      <c r="M256" s="334" t="str">
        <f aca="false">IF((E256="p"),G256," ")</f>
        <v> </v>
      </c>
      <c r="N256" s="334" t="str">
        <f aca="false">IF((E256="r"),G256," ")</f>
        <v> </v>
      </c>
      <c r="O256" s="334" t="str">
        <f aca="false">IF((E256="g"),G256," ")</f>
        <v> </v>
      </c>
      <c r="P256" s="334" t="str">
        <f aca="false">IF((E256="m"),G256," ")</f>
        <v> </v>
      </c>
      <c r="Q256" s="334" t="str">
        <f aca="false">IF((E256="t"),G256," ")</f>
        <v> </v>
      </c>
      <c r="R256" s="334" t="str">
        <f aca="false">IF((E256="a"),G256," ")</f>
        <v> </v>
      </c>
      <c r="S256" s="334" t="str">
        <f aca="false">IF((E256="l"),G256," ")</f>
        <v> </v>
      </c>
      <c r="T256" s="334" t="str">
        <f aca="false">IF((E256="b"),G256," ")</f>
        <v> </v>
      </c>
      <c r="U256" s="334" t="str">
        <f aca="false">IF((E256="i"),G256," ")</f>
        <v> </v>
      </c>
      <c r="V256" s="334" t="str">
        <f aca="false">IF((E256="o"),G256," ")</f>
        <v> </v>
      </c>
      <c r="W256" s="334" t="str">
        <f aca="false">IF((E256="f"),G256," ")</f>
        <v> </v>
      </c>
    </row>
    <row r="257" customFormat="false" ht="12.75" hidden="false" customHeight="false" outlineLevel="0" collapsed="false">
      <c r="A257" s="355"/>
      <c r="E257" s="365" t="str">
        <f aca="false">IF((G257&lt;&gt;0),"Enter Letter"," ")</f>
        <v> </v>
      </c>
      <c r="J257" s="334" t="str">
        <f aca="false">IF((E257="s"),G257," ")</f>
        <v> </v>
      </c>
      <c r="K257" s="334" t="str">
        <f aca="false">IF((E257="d"),G257," ")</f>
        <v> </v>
      </c>
      <c r="L257" s="334" t="str">
        <f aca="false">IF((E257="e"),G257," ")</f>
        <v> </v>
      </c>
      <c r="M257" s="334" t="str">
        <f aca="false">IF((E257="p"),G257," ")</f>
        <v> </v>
      </c>
      <c r="N257" s="334" t="str">
        <f aca="false">IF((E257="r"),G257," ")</f>
        <v> </v>
      </c>
      <c r="O257" s="334" t="str">
        <f aca="false">IF((E257="g"),G257," ")</f>
        <v> </v>
      </c>
      <c r="P257" s="334" t="str">
        <f aca="false">IF((E257="m"),G257," ")</f>
        <v> </v>
      </c>
      <c r="Q257" s="334" t="str">
        <f aca="false">IF((E257="t"),G257," ")</f>
        <v> </v>
      </c>
      <c r="R257" s="334" t="str">
        <f aca="false">IF((E257="a"),G257," ")</f>
        <v> </v>
      </c>
      <c r="S257" s="334" t="str">
        <f aca="false">IF((E257="l"),G257," ")</f>
        <v> </v>
      </c>
      <c r="T257" s="334" t="str">
        <f aca="false">IF((E257="b"),G257," ")</f>
        <v> </v>
      </c>
      <c r="U257" s="334" t="str">
        <f aca="false">IF((E257="i"),G257," ")</f>
        <v> </v>
      </c>
      <c r="V257" s="334" t="str">
        <f aca="false">IF((E257="o"),G257," ")</f>
        <v> </v>
      </c>
      <c r="W257" s="334" t="str">
        <f aca="false">IF((E257="f"),G257," ")</f>
        <v> </v>
      </c>
    </row>
    <row r="258" customFormat="false" ht="12.75" hidden="false" customHeight="false" outlineLevel="0" collapsed="false">
      <c r="A258" s="355"/>
      <c r="E258" s="365" t="str">
        <f aca="false">IF((G258&lt;&gt;0),"Enter Letter"," ")</f>
        <v> </v>
      </c>
      <c r="J258" s="334" t="str">
        <f aca="false">IF((E258="s"),G258," ")</f>
        <v> </v>
      </c>
      <c r="K258" s="334" t="str">
        <f aca="false">IF((E258="d"),G258," ")</f>
        <v> </v>
      </c>
      <c r="L258" s="334" t="str">
        <f aca="false">IF((E258="e"),G258," ")</f>
        <v> </v>
      </c>
      <c r="M258" s="334" t="str">
        <f aca="false">IF((E258="p"),G258," ")</f>
        <v> </v>
      </c>
      <c r="N258" s="334" t="str">
        <f aca="false">IF((E258="r"),G258," ")</f>
        <v> </v>
      </c>
      <c r="O258" s="334" t="str">
        <f aca="false">IF((E258="g"),G258," ")</f>
        <v> </v>
      </c>
      <c r="P258" s="334" t="str">
        <f aca="false">IF((E258="m"),G258," ")</f>
        <v> </v>
      </c>
      <c r="Q258" s="334" t="str">
        <f aca="false">IF((E258="t"),G258," ")</f>
        <v> </v>
      </c>
      <c r="R258" s="334" t="str">
        <f aca="false">IF((E258="a"),G258," ")</f>
        <v> </v>
      </c>
      <c r="S258" s="334" t="str">
        <f aca="false">IF((E258="l"),G258," ")</f>
        <v> </v>
      </c>
      <c r="T258" s="334" t="str">
        <f aca="false">IF((E258="b"),G258," ")</f>
        <v> </v>
      </c>
      <c r="U258" s="334" t="str">
        <f aca="false">IF((E258="i"),G258," ")</f>
        <v> </v>
      </c>
      <c r="V258" s="334" t="str">
        <f aca="false">IF((E258="o"),G258," ")</f>
        <v> </v>
      </c>
      <c r="W258" s="334" t="str">
        <f aca="false">IF((E258="f"),G258," ")</f>
        <v> </v>
      </c>
    </row>
    <row r="259" customFormat="false" ht="12.75" hidden="false" customHeight="false" outlineLevel="0" collapsed="false">
      <c r="A259" s="355"/>
      <c r="E259" s="365" t="str">
        <f aca="false">IF((G259&lt;&gt;0),"Enter Letter"," ")</f>
        <v> </v>
      </c>
      <c r="J259" s="334" t="str">
        <f aca="false">IF((E259="s"),G259," ")</f>
        <v> </v>
      </c>
      <c r="K259" s="334" t="str">
        <f aca="false">IF((E259="d"),G259," ")</f>
        <v> </v>
      </c>
      <c r="L259" s="334" t="str">
        <f aca="false">IF((E259="e"),G259," ")</f>
        <v> </v>
      </c>
      <c r="M259" s="334" t="str">
        <f aca="false">IF((E259="p"),G259," ")</f>
        <v> </v>
      </c>
      <c r="N259" s="334" t="str">
        <f aca="false">IF((E259="r"),G259," ")</f>
        <v> </v>
      </c>
      <c r="O259" s="334" t="str">
        <f aca="false">IF((E259="g"),G259," ")</f>
        <v> </v>
      </c>
      <c r="P259" s="334" t="str">
        <f aca="false">IF((E259="m"),G259," ")</f>
        <v> </v>
      </c>
      <c r="Q259" s="334" t="str">
        <f aca="false">IF((E259="t"),G259," ")</f>
        <v> </v>
      </c>
      <c r="R259" s="334" t="str">
        <f aca="false">IF((E259="a"),G259," ")</f>
        <v> </v>
      </c>
      <c r="S259" s="334" t="str">
        <f aca="false">IF((E259="l"),G259," ")</f>
        <v> </v>
      </c>
      <c r="T259" s="334" t="str">
        <f aca="false">IF((E259="b"),G259," ")</f>
        <v> </v>
      </c>
      <c r="U259" s="334" t="str">
        <f aca="false">IF((E259="i"),G259," ")</f>
        <v> </v>
      </c>
      <c r="V259" s="334" t="str">
        <f aca="false">IF((E259="o"),G259," ")</f>
        <v> </v>
      </c>
      <c r="W259" s="334" t="str">
        <f aca="false">IF((E259="f"),G259," ")</f>
        <v> </v>
      </c>
    </row>
    <row r="260" customFormat="false" ht="12.75" hidden="false" customHeight="false" outlineLevel="0" collapsed="false">
      <c r="A260" s="355"/>
      <c r="E260" s="365" t="str">
        <f aca="false">IF((G260&lt;&gt;0),"Enter Letter"," ")</f>
        <v> </v>
      </c>
      <c r="J260" s="334" t="str">
        <f aca="false">IF((E260="s"),G260," ")</f>
        <v> </v>
      </c>
      <c r="K260" s="334" t="str">
        <f aca="false">IF((E260="d"),G260," ")</f>
        <v> </v>
      </c>
      <c r="L260" s="334" t="str">
        <f aca="false">IF((E260="e"),G260," ")</f>
        <v> </v>
      </c>
      <c r="M260" s="334" t="str">
        <f aca="false">IF((E260="p"),G260," ")</f>
        <v> </v>
      </c>
      <c r="N260" s="334" t="str">
        <f aca="false">IF((E260="r"),G260," ")</f>
        <v> </v>
      </c>
      <c r="O260" s="334" t="str">
        <f aca="false">IF((E260="g"),G260," ")</f>
        <v> </v>
      </c>
      <c r="P260" s="334" t="str">
        <f aca="false">IF((E260="m"),G260," ")</f>
        <v> </v>
      </c>
      <c r="Q260" s="334" t="str">
        <f aca="false">IF((E260="t"),G260," ")</f>
        <v> </v>
      </c>
      <c r="R260" s="334" t="str">
        <f aca="false">IF((E260="a"),G260," ")</f>
        <v> </v>
      </c>
      <c r="S260" s="334" t="str">
        <f aca="false">IF((E260="l"),G260," ")</f>
        <v> </v>
      </c>
      <c r="T260" s="334" t="str">
        <f aca="false">IF((E260="b"),G260," ")</f>
        <v> </v>
      </c>
      <c r="U260" s="334" t="str">
        <f aca="false">IF((E260="i"),G260," ")</f>
        <v> </v>
      </c>
      <c r="V260" s="334" t="str">
        <f aca="false">IF((E260="o"),G260," ")</f>
        <v> </v>
      </c>
      <c r="W260" s="334" t="str">
        <f aca="false">IF((E260="f"),G260," ")</f>
        <v> </v>
      </c>
    </row>
    <row r="261" customFormat="false" ht="12.75" hidden="false" customHeight="false" outlineLevel="0" collapsed="false">
      <c r="A261" s="355"/>
      <c r="E261" s="365" t="str">
        <f aca="false">IF((G261&lt;&gt;0),"Enter Letter"," ")</f>
        <v> </v>
      </c>
      <c r="J261" s="334" t="str">
        <f aca="false">IF((E261="s"),G261," ")</f>
        <v> </v>
      </c>
      <c r="K261" s="334" t="str">
        <f aca="false">IF((E261="d"),G261," ")</f>
        <v> </v>
      </c>
      <c r="L261" s="334" t="str">
        <f aca="false">IF((E261="e"),G261," ")</f>
        <v> </v>
      </c>
      <c r="M261" s="334" t="str">
        <f aca="false">IF((E261="p"),G261," ")</f>
        <v> </v>
      </c>
      <c r="N261" s="334" t="str">
        <f aca="false">IF((E261="r"),G261," ")</f>
        <v> </v>
      </c>
      <c r="O261" s="334" t="str">
        <f aca="false">IF((E261="g"),G261," ")</f>
        <v> </v>
      </c>
      <c r="P261" s="334" t="str">
        <f aca="false">IF((E261="m"),G261," ")</f>
        <v> </v>
      </c>
      <c r="Q261" s="334" t="str">
        <f aca="false">IF((E261="t"),G261," ")</f>
        <v> </v>
      </c>
      <c r="R261" s="334" t="str">
        <f aca="false">IF((E261="a"),G261," ")</f>
        <v> </v>
      </c>
      <c r="S261" s="334" t="str">
        <f aca="false">IF((E261="l"),G261," ")</f>
        <v> </v>
      </c>
      <c r="T261" s="334" t="str">
        <f aca="false">IF((E261="b"),G261," ")</f>
        <v> </v>
      </c>
      <c r="U261" s="334" t="str">
        <f aca="false">IF((E261="i"),G261," ")</f>
        <v> </v>
      </c>
      <c r="V261" s="334" t="str">
        <f aca="false">IF((E261="o"),G261," ")</f>
        <v> </v>
      </c>
      <c r="W261" s="334" t="str">
        <f aca="false">IF((E261="f"),G261," ")</f>
        <v> </v>
      </c>
    </row>
    <row r="262" customFormat="false" ht="12.75" hidden="false" customHeight="false" outlineLevel="0" collapsed="false">
      <c r="A262" s="355"/>
      <c r="E262" s="365" t="str">
        <f aca="false">IF((G262&lt;&gt;0),"Enter Letter"," ")</f>
        <v> </v>
      </c>
      <c r="J262" s="334" t="str">
        <f aca="false">IF((E262="s"),G262," ")</f>
        <v> </v>
      </c>
      <c r="K262" s="334" t="str">
        <f aca="false">IF((E262="d"),G262," ")</f>
        <v> </v>
      </c>
      <c r="L262" s="334" t="str">
        <f aca="false">IF((E262="e"),G262," ")</f>
        <v> </v>
      </c>
      <c r="M262" s="334" t="str">
        <f aca="false">IF((E262="p"),G262," ")</f>
        <v> </v>
      </c>
      <c r="N262" s="334" t="str">
        <f aca="false">IF((E262="r"),G262," ")</f>
        <v> </v>
      </c>
      <c r="O262" s="334" t="str">
        <f aca="false">IF((E262="g"),G262," ")</f>
        <v> </v>
      </c>
      <c r="P262" s="334" t="str">
        <f aca="false">IF((E262="m"),G262," ")</f>
        <v> </v>
      </c>
      <c r="Q262" s="334" t="str">
        <f aca="false">IF((E262="t"),G262," ")</f>
        <v> </v>
      </c>
      <c r="R262" s="334" t="str">
        <f aca="false">IF((E262="a"),G262," ")</f>
        <v> </v>
      </c>
      <c r="S262" s="334" t="str">
        <f aca="false">IF((E262="l"),G262," ")</f>
        <v> </v>
      </c>
      <c r="T262" s="334" t="str">
        <f aca="false">IF((E262="b"),G262," ")</f>
        <v> </v>
      </c>
      <c r="U262" s="334" t="str">
        <f aca="false">IF((E262="i"),G262," ")</f>
        <v> </v>
      </c>
      <c r="V262" s="334" t="str">
        <f aca="false">IF((E262="o"),G262," ")</f>
        <v> </v>
      </c>
      <c r="W262" s="334" t="str">
        <f aca="false">IF((E262="f"),G262," ")</f>
        <v> </v>
      </c>
    </row>
    <row r="263" customFormat="false" ht="12.75" hidden="false" customHeight="false" outlineLevel="0" collapsed="false">
      <c r="A263" s="355"/>
      <c r="E263" s="365" t="str">
        <f aca="false">IF((G263&lt;&gt;0),"Enter Letter"," ")</f>
        <v> </v>
      </c>
      <c r="J263" s="334" t="str">
        <f aca="false">IF((E263="s"),G263," ")</f>
        <v> </v>
      </c>
      <c r="K263" s="334" t="str">
        <f aca="false">IF((E263="d"),G263," ")</f>
        <v> </v>
      </c>
      <c r="L263" s="334" t="str">
        <f aca="false">IF((E263="e"),G263," ")</f>
        <v> </v>
      </c>
      <c r="M263" s="334" t="str">
        <f aca="false">IF((E263="p"),G263," ")</f>
        <v> </v>
      </c>
      <c r="N263" s="334" t="str">
        <f aca="false">IF((E263="r"),G263," ")</f>
        <v> </v>
      </c>
      <c r="O263" s="334" t="str">
        <f aca="false">IF((E263="g"),G263," ")</f>
        <v> </v>
      </c>
      <c r="P263" s="334" t="str">
        <f aca="false">IF((E263="m"),G263," ")</f>
        <v> </v>
      </c>
      <c r="Q263" s="334" t="str">
        <f aca="false">IF((E263="t"),G263," ")</f>
        <v> </v>
      </c>
      <c r="R263" s="334" t="str">
        <f aca="false">IF((E263="a"),G263," ")</f>
        <v> </v>
      </c>
      <c r="S263" s="334" t="str">
        <f aca="false">IF((E263="l"),G263," ")</f>
        <v> </v>
      </c>
      <c r="T263" s="334" t="str">
        <f aca="false">IF((E263="b"),G263," ")</f>
        <v> </v>
      </c>
      <c r="U263" s="334" t="str">
        <f aca="false">IF((E263="i"),G263," ")</f>
        <v> </v>
      </c>
      <c r="V263" s="334" t="str">
        <f aca="false">IF((E263="o"),G263," ")</f>
        <v> </v>
      </c>
      <c r="W263" s="334" t="str">
        <f aca="false">IF((E263="f"),G263," ")</f>
        <v> </v>
      </c>
    </row>
    <row r="264" customFormat="false" ht="12.75" hidden="false" customHeight="false" outlineLevel="0" collapsed="false">
      <c r="A264" s="355"/>
      <c r="E264" s="365" t="str">
        <f aca="false">IF((G264&lt;&gt;0),"Enter Letter"," ")</f>
        <v> </v>
      </c>
      <c r="J264" s="334" t="str">
        <f aca="false">IF((E264="s"),G264," ")</f>
        <v> </v>
      </c>
      <c r="K264" s="334" t="str">
        <f aca="false">IF((E264="d"),G264," ")</f>
        <v> </v>
      </c>
      <c r="L264" s="334" t="str">
        <f aca="false">IF((E264="e"),G264," ")</f>
        <v> </v>
      </c>
      <c r="M264" s="334" t="str">
        <f aca="false">IF((E264="p"),G264," ")</f>
        <v> </v>
      </c>
      <c r="N264" s="334" t="str">
        <f aca="false">IF((E264="r"),G264," ")</f>
        <v> </v>
      </c>
      <c r="O264" s="334" t="str">
        <f aca="false">IF((E264="g"),G264," ")</f>
        <v> </v>
      </c>
      <c r="P264" s="334" t="str">
        <f aca="false">IF((E264="m"),G264," ")</f>
        <v> </v>
      </c>
      <c r="Q264" s="334" t="str">
        <f aca="false">IF((E264="t"),G264," ")</f>
        <v> </v>
      </c>
      <c r="R264" s="334" t="str">
        <f aca="false">IF((E264="a"),G264," ")</f>
        <v> </v>
      </c>
      <c r="S264" s="334" t="str">
        <f aca="false">IF((E264="l"),G264," ")</f>
        <v> </v>
      </c>
      <c r="T264" s="334" t="str">
        <f aca="false">IF((E264="b"),G264," ")</f>
        <v> </v>
      </c>
      <c r="U264" s="334" t="str">
        <f aca="false">IF((E264="i"),G264," ")</f>
        <v> </v>
      </c>
      <c r="V264" s="334" t="str">
        <f aca="false">IF((E264="o"),G264," ")</f>
        <v> </v>
      </c>
      <c r="W264" s="334" t="str">
        <f aca="false">IF((E264="f"),G264," ")</f>
        <v> </v>
      </c>
    </row>
    <row r="265" customFormat="false" ht="12.75" hidden="false" customHeight="false" outlineLevel="0" collapsed="false">
      <c r="A265" s="355"/>
      <c r="E265" s="365" t="str">
        <f aca="false">IF((G265&lt;&gt;0),"Enter Letter"," ")</f>
        <v> </v>
      </c>
      <c r="J265" s="334" t="str">
        <f aca="false">IF((E265="s"),G265," ")</f>
        <v> </v>
      </c>
      <c r="K265" s="334" t="str">
        <f aca="false">IF((E265="d"),G265," ")</f>
        <v> </v>
      </c>
      <c r="L265" s="334" t="str">
        <f aca="false">IF((E265="e"),G265," ")</f>
        <v> </v>
      </c>
      <c r="M265" s="334" t="str">
        <f aca="false">IF((E265="p"),G265," ")</f>
        <v> </v>
      </c>
      <c r="N265" s="334" t="str">
        <f aca="false">IF((E265="r"),G265," ")</f>
        <v> </v>
      </c>
      <c r="O265" s="334" t="str">
        <f aca="false">IF((E265="g"),G265," ")</f>
        <v> </v>
      </c>
      <c r="P265" s="334" t="str">
        <f aca="false">IF((E265="m"),G265," ")</f>
        <v> </v>
      </c>
      <c r="Q265" s="334" t="str">
        <f aca="false">IF((E265="t"),G265," ")</f>
        <v> </v>
      </c>
      <c r="R265" s="334" t="str">
        <f aca="false">IF((E265="a"),G265," ")</f>
        <v> </v>
      </c>
      <c r="S265" s="334" t="str">
        <f aca="false">IF((E265="l"),G265," ")</f>
        <v> </v>
      </c>
      <c r="T265" s="334" t="str">
        <f aca="false">IF((E265="b"),G265," ")</f>
        <v> </v>
      </c>
      <c r="U265" s="334" t="str">
        <f aca="false">IF((E265="i"),G265," ")</f>
        <v> </v>
      </c>
      <c r="V265" s="334" t="str">
        <f aca="false">IF((E265="o"),G265," ")</f>
        <v> </v>
      </c>
      <c r="W265" s="334" t="str">
        <f aca="false">IF((E265="f"),G265," ")</f>
        <v> </v>
      </c>
    </row>
    <row r="266" customFormat="false" ht="12.75" hidden="false" customHeight="false" outlineLevel="0" collapsed="false">
      <c r="A266" s="355"/>
      <c r="E266" s="365" t="str">
        <f aca="false">IF((G266&lt;&gt;0),"Enter Letter"," ")</f>
        <v> </v>
      </c>
      <c r="J266" s="334" t="str">
        <f aca="false">IF((E266="s"),G266," ")</f>
        <v> </v>
      </c>
      <c r="K266" s="334" t="str">
        <f aca="false">IF((E266="d"),G266," ")</f>
        <v> </v>
      </c>
      <c r="L266" s="334" t="str">
        <f aca="false">IF((E266="e"),G266," ")</f>
        <v> </v>
      </c>
      <c r="M266" s="334" t="str">
        <f aca="false">IF((E266="p"),G266," ")</f>
        <v> </v>
      </c>
      <c r="N266" s="334" t="str">
        <f aca="false">IF((E266="r"),G266," ")</f>
        <v> </v>
      </c>
      <c r="O266" s="334" t="str">
        <f aca="false">IF((E266="g"),G266," ")</f>
        <v> </v>
      </c>
      <c r="P266" s="334" t="str">
        <f aca="false">IF((E266="m"),G266," ")</f>
        <v> </v>
      </c>
      <c r="Q266" s="334" t="str">
        <f aca="false">IF((E266="t"),G266," ")</f>
        <v> </v>
      </c>
      <c r="R266" s="334" t="str">
        <f aca="false">IF((E266="a"),G266," ")</f>
        <v> </v>
      </c>
      <c r="S266" s="334" t="str">
        <f aca="false">IF((E266="l"),G266," ")</f>
        <v> </v>
      </c>
      <c r="T266" s="334" t="str">
        <f aca="false">IF((E266="b"),G266," ")</f>
        <v> </v>
      </c>
      <c r="U266" s="334" t="str">
        <f aca="false">IF((E266="i"),G266," ")</f>
        <v> </v>
      </c>
      <c r="V266" s="334" t="str">
        <f aca="false">IF((E266="o"),G266," ")</f>
        <v> </v>
      </c>
      <c r="W266" s="334" t="str">
        <f aca="false">IF((E266="f"),G266," ")</f>
        <v> </v>
      </c>
    </row>
    <row r="267" customFormat="false" ht="12.75" hidden="false" customHeight="false" outlineLevel="0" collapsed="false">
      <c r="A267" s="355"/>
      <c r="E267" s="365" t="str">
        <f aca="false">IF((G267&lt;&gt;0),"Enter Letter"," ")</f>
        <v> </v>
      </c>
      <c r="J267" s="334" t="str">
        <f aca="false">IF((E267="s"),G267," ")</f>
        <v> </v>
      </c>
      <c r="K267" s="334" t="str">
        <f aca="false">IF((E267="d"),G267," ")</f>
        <v> </v>
      </c>
      <c r="L267" s="334" t="str">
        <f aca="false">IF((E267="e"),G267," ")</f>
        <v> </v>
      </c>
      <c r="M267" s="334" t="str">
        <f aca="false">IF((E267="p"),G267," ")</f>
        <v> </v>
      </c>
      <c r="N267" s="334" t="str">
        <f aca="false">IF((E267="r"),G267," ")</f>
        <v> </v>
      </c>
      <c r="O267" s="334" t="str">
        <f aca="false">IF((E267="g"),G267," ")</f>
        <v> </v>
      </c>
      <c r="P267" s="334" t="str">
        <f aca="false">IF((E267="m"),G267," ")</f>
        <v> </v>
      </c>
      <c r="Q267" s="334" t="str">
        <f aca="false">IF((E267="t"),G267," ")</f>
        <v> </v>
      </c>
      <c r="R267" s="334" t="str">
        <f aca="false">IF((E267="a"),G267," ")</f>
        <v> </v>
      </c>
      <c r="S267" s="334" t="str">
        <f aca="false">IF((E267="l"),G267," ")</f>
        <v> </v>
      </c>
      <c r="T267" s="334" t="str">
        <f aca="false">IF((E267="b"),G267," ")</f>
        <v> </v>
      </c>
      <c r="U267" s="334" t="str">
        <f aca="false">IF((E267="i"),G267," ")</f>
        <v> </v>
      </c>
      <c r="V267" s="334" t="str">
        <f aca="false">IF((E267="o"),G267," ")</f>
        <v> </v>
      </c>
      <c r="W267" s="334" t="str">
        <f aca="false">IF((E267="f"),G267," ")</f>
        <v> </v>
      </c>
    </row>
    <row r="268" customFormat="false" ht="12.75" hidden="false" customHeight="false" outlineLevel="0" collapsed="false">
      <c r="A268" s="355"/>
      <c r="E268" s="365" t="str">
        <f aca="false">IF((G268&lt;&gt;0),"Enter Letter"," ")</f>
        <v> </v>
      </c>
      <c r="J268" s="334" t="str">
        <f aca="false">IF((E268="s"),G268," ")</f>
        <v> </v>
      </c>
      <c r="K268" s="334" t="str">
        <f aca="false">IF((E268="d"),G268," ")</f>
        <v> </v>
      </c>
      <c r="L268" s="334" t="str">
        <f aca="false">IF((E268="e"),G268," ")</f>
        <v> </v>
      </c>
      <c r="M268" s="334" t="str">
        <f aca="false">IF((E268="p"),G268," ")</f>
        <v> </v>
      </c>
      <c r="N268" s="334" t="str">
        <f aca="false">IF((E268="r"),G268," ")</f>
        <v> </v>
      </c>
      <c r="O268" s="334" t="str">
        <f aca="false">IF((E268="g"),G268," ")</f>
        <v> </v>
      </c>
      <c r="P268" s="334" t="str">
        <f aca="false">IF((E268="m"),G268," ")</f>
        <v> </v>
      </c>
      <c r="Q268" s="334" t="str">
        <f aca="false">IF((E268="t"),G268," ")</f>
        <v> </v>
      </c>
      <c r="R268" s="334" t="str">
        <f aca="false">IF((E268="a"),G268," ")</f>
        <v> </v>
      </c>
      <c r="S268" s="334" t="str">
        <f aca="false">IF((E268="l"),G268," ")</f>
        <v> </v>
      </c>
      <c r="T268" s="334" t="str">
        <f aca="false">IF((E268="b"),G268," ")</f>
        <v> </v>
      </c>
      <c r="U268" s="334" t="str">
        <f aca="false">IF((E268="i"),G268," ")</f>
        <v> </v>
      </c>
      <c r="V268" s="334" t="str">
        <f aca="false">IF((E268="o"),G268," ")</f>
        <v> </v>
      </c>
      <c r="W268" s="334" t="str">
        <f aca="false">IF((E268="f"),G268," ")</f>
        <v> </v>
      </c>
    </row>
    <row r="269" customFormat="false" ht="12.75" hidden="false" customHeight="false" outlineLevel="0" collapsed="false">
      <c r="A269" s="355"/>
      <c r="E269" s="365" t="str">
        <f aca="false">IF((G269&lt;&gt;0),"Enter Letter"," ")</f>
        <v> </v>
      </c>
      <c r="J269" s="334" t="str">
        <f aca="false">IF((E269="s"),G269," ")</f>
        <v> </v>
      </c>
      <c r="K269" s="334" t="str">
        <f aca="false">IF((E269="d"),G269," ")</f>
        <v> </v>
      </c>
      <c r="L269" s="334" t="str">
        <f aca="false">IF((E269="e"),G269," ")</f>
        <v> </v>
      </c>
      <c r="M269" s="334" t="str">
        <f aca="false">IF((E269="p"),G269," ")</f>
        <v> </v>
      </c>
      <c r="N269" s="334" t="str">
        <f aca="false">IF((E269="r"),G269," ")</f>
        <v> </v>
      </c>
      <c r="O269" s="334" t="str">
        <f aca="false">IF((E269="g"),G269," ")</f>
        <v> </v>
      </c>
      <c r="P269" s="334" t="str">
        <f aca="false">IF((E269="m"),G269," ")</f>
        <v> </v>
      </c>
      <c r="Q269" s="334" t="str">
        <f aca="false">IF((E269="t"),G269," ")</f>
        <v> </v>
      </c>
      <c r="R269" s="334" t="str">
        <f aca="false">IF((E269="a"),G269," ")</f>
        <v> </v>
      </c>
      <c r="S269" s="334" t="str">
        <f aca="false">IF((E269="l"),G269," ")</f>
        <v> </v>
      </c>
      <c r="T269" s="334" t="str">
        <f aca="false">IF((E269="b"),G269," ")</f>
        <v> </v>
      </c>
      <c r="U269" s="334" t="str">
        <f aca="false">IF((E269="i"),G269," ")</f>
        <v> </v>
      </c>
      <c r="V269" s="334" t="str">
        <f aca="false">IF((E269="o"),G269," ")</f>
        <v> </v>
      </c>
      <c r="W269" s="334" t="str">
        <f aca="false">IF((E269="f"),G269," ")</f>
        <v> </v>
      </c>
    </row>
    <row r="270" customFormat="false" ht="12.75" hidden="false" customHeight="false" outlineLevel="0" collapsed="false">
      <c r="A270" s="355"/>
      <c r="E270" s="365" t="str">
        <f aca="false">IF((G270&lt;&gt;0),"Enter Letter"," ")</f>
        <v> </v>
      </c>
      <c r="J270" s="334" t="str">
        <f aca="false">IF((E270="s"),G270," ")</f>
        <v> </v>
      </c>
      <c r="K270" s="334" t="str">
        <f aca="false">IF((E270="d"),G270," ")</f>
        <v> </v>
      </c>
      <c r="L270" s="334" t="str">
        <f aca="false">IF((E270="e"),G270," ")</f>
        <v> </v>
      </c>
      <c r="M270" s="334" t="str">
        <f aca="false">IF((E270="p"),G270," ")</f>
        <v> </v>
      </c>
      <c r="N270" s="334" t="str">
        <f aca="false">IF((E270="r"),G270," ")</f>
        <v> </v>
      </c>
      <c r="O270" s="334" t="str">
        <f aca="false">IF((E270="g"),G270," ")</f>
        <v> </v>
      </c>
      <c r="P270" s="334" t="str">
        <f aca="false">IF((E270="m"),G270," ")</f>
        <v> </v>
      </c>
      <c r="Q270" s="334" t="str">
        <f aca="false">IF((E270="t"),G270," ")</f>
        <v> </v>
      </c>
      <c r="R270" s="334" t="str">
        <f aca="false">IF((E270="a"),G270," ")</f>
        <v> </v>
      </c>
      <c r="S270" s="334" t="str">
        <f aca="false">IF((E270="l"),G270," ")</f>
        <v> </v>
      </c>
      <c r="T270" s="334" t="str">
        <f aca="false">IF((E270="b"),G270," ")</f>
        <v> </v>
      </c>
      <c r="U270" s="334" t="str">
        <f aca="false">IF((E270="i"),G270," ")</f>
        <v> </v>
      </c>
      <c r="V270" s="334" t="str">
        <f aca="false">IF((E270="o"),G270," ")</f>
        <v> </v>
      </c>
      <c r="W270" s="334" t="str">
        <f aca="false">IF((E270="f"),G270," ")</f>
        <v> </v>
      </c>
    </row>
    <row r="271" customFormat="false" ht="12.75" hidden="false" customHeight="false" outlineLevel="0" collapsed="false">
      <c r="A271" s="355"/>
      <c r="E271" s="365" t="str">
        <f aca="false">IF((G271&lt;&gt;0),"Enter Letter"," ")</f>
        <v> </v>
      </c>
      <c r="J271" s="334" t="str">
        <f aca="false">IF((E271="s"),G271," ")</f>
        <v> </v>
      </c>
      <c r="K271" s="334" t="str">
        <f aca="false">IF((E271="d"),G271," ")</f>
        <v> </v>
      </c>
      <c r="L271" s="334" t="str">
        <f aca="false">IF((E271="e"),G271," ")</f>
        <v> </v>
      </c>
      <c r="M271" s="334" t="str">
        <f aca="false">IF((E271="p"),G271," ")</f>
        <v> </v>
      </c>
      <c r="N271" s="334" t="str">
        <f aca="false">IF((E271="r"),G271," ")</f>
        <v> </v>
      </c>
      <c r="O271" s="334" t="str">
        <f aca="false">IF((E271="g"),G271," ")</f>
        <v> </v>
      </c>
      <c r="P271" s="334" t="str">
        <f aca="false">IF((E271="m"),G271," ")</f>
        <v> </v>
      </c>
      <c r="Q271" s="334" t="str">
        <f aca="false">IF((E271="t"),G271," ")</f>
        <v> </v>
      </c>
      <c r="R271" s="334" t="str">
        <f aca="false">IF((E271="a"),G271," ")</f>
        <v> </v>
      </c>
      <c r="S271" s="334" t="str">
        <f aca="false">IF((E271="l"),G271," ")</f>
        <v> </v>
      </c>
      <c r="T271" s="334" t="str">
        <f aca="false">IF((E271="b"),G271," ")</f>
        <v> </v>
      </c>
      <c r="U271" s="334" t="str">
        <f aca="false">IF((E271="i"),G271," ")</f>
        <v> </v>
      </c>
      <c r="V271" s="334" t="str">
        <f aca="false">IF((E271="o"),G271," ")</f>
        <v> </v>
      </c>
      <c r="W271" s="334" t="str">
        <f aca="false">IF((E271="f"),G271," ")</f>
        <v> </v>
      </c>
    </row>
    <row r="272" customFormat="false" ht="12.75" hidden="false" customHeight="false" outlineLevel="0" collapsed="false">
      <c r="A272" s="355"/>
      <c r="E272" s="365" t="str">
        <f aca="false">IF((G272&lt;&gt;0),"Enter Letter"," ")</f>
        <v> </v>
      </c>
      <c r="J272" s="334" t="str">
        <f aca="false">IF((E272="s"),G272," ")</f>
        <v> </v>
      </c>
      <c r="K272" s="334" t="str">
        <f aca="false">IF((E272="d"),G272," ")</f>
        <v> </v>
      </c>
      <c r="L272" s="334" t="str">
        <f aca="false">IF((E272="e"),G272," ")</f>
        <v> </v>
      </c>
      <c r="M272" s="334" t="str">
        <f aca="false">IF((E272="p"),G272," ")</f>
        <v> </v>
      </c>
      <c r="N272" s="334" t="str">
        <f aca="false">IF((E272="r"),G272," ")</f>
        <v> </v>
      </c>
      <c r="O272" s="334" t="str">
        <f aca="false">IF((E272="g"),G272," ")</f>
        <v> </v>
      </c>
      <c r="P272" s="334" t="str">
        <f aca="false">IF((E272="m"),G272," ")</f>
        <v> </v>
      </c>
      <c r="Q272" s="334" t="str">
        <f aca="false">IF((E272="t"),G272," ")</f>
        <v> </v>
      </c>
      <c r="R272" s="334" t="str">
        <f aca="false">IF((E272="a"),G272," ")</f>
        <v> </v>
      </c>
      <c r="S272" s="334" t="str">
        <f aca="false">IF((E272="l"),G272," ")</f>
        <v> </v>
      </c>
      <c r="T272" s="334" t="str">
        <f aca="false">IF((E272="b"),G272," ")</f>
        <v> </v>
      </c>
      <c r="U272" s="334" t="str">
        <f aca="false">IF((E272="i"),G272," ")</f>
        <v> </v>
      </c>
      <c r="V272" s="334" t="str">
        <f aca="false">IF((E272="o"),G272," ")</f>
        <v> </v>
      </c>
      <c r="W272" s="334" t="str">
        <f aca="false">IF((E272="f"),G272," ")</f>
        <v> </v>
      </c>
    </row>
    <row r="273" customFormat="false" ht="12.75" hidden="false" customHeight="false" outlineLevel="0" collapsed="false">
      <c r="A273" s="355"/>
      <c r="E273" s="365" t="str">
        <f aca="false">IF((G273&lt;&gt;0),"Enter Letter"," ")</f>
        <v> </v>
      </c>
      <c r="J273" s="334" t="str">
        <f aca="false">IF((E273="s"),G273," ")</f>
        <v> </v>
      </c>
      <c r="K273" s="334" t="str">
        <f aca="false">IF((E273="d"),G273," ")</f>
        <v> </v>
      </c>
      <c r="L273" s="334" t="str">
        <f aca="false">IF((E273="e"),G273," ")</f>
        <v> </v>
      </c>
      <c r="M273" s="334" t="str">
        <f aca="false">IF((E273="p"),G273," ")</f>
        <v> </v>
      </c>
      <c r="N273" s="334" t="str">
        <f aca="false">IF((E273="r"),G273," ")</f>
        <v> </v>
      </c>
      <c r="O273" s="334" t="str">
        <f aca="false">IF((E273="g"),G273," ")</f>
        <v> </v>
      </c>
      <c r="P273" s="334" t="str">
        <f aca="false">IF((E273="m"),G273," ")</f>
        <v> </v>
      </c>
      <c r="Q273" s="334" t="str">
        <f aca="false">IF((E273="t"),G273," ")</f>
        <v> </v>
      </c>
      <c r="R273" s="334" t="str">
        <f aca="false">IF((E273="a"),G273," ")</f>
        <v> </v>
      </c>
      <c r="S273" s="334" t="str">
        <f aca="false">IF((E273="l"),G273," ")</f>
        <v> </v>
      </c>
      <c r="T273" s="334" t="str">
        <f aca="false">IF((E273="b"),G273," ")</f>
        <v> </v>
      </c>
      <c r="U273" s="334" t="str">
        <f aca="false">IF((E273="i"),G273," ")</f>
        <v> </v>
      </c>
      <c r="V273" s="334" t="str">
        <f aca="false">IF((E273="o"),G273," ")</f>
        <v> </v>
      </c>
      <c r="W273" s="334" t="str">
        <f aca="false">IF((E273="f"),G273," ")</f>
        <v> </v>
      </c>
    </row>
    <row r="274" customFormat="false" ht="12.75" hidden="false" customHeight="false" outlineLevel="0" collapsed="false">
      <c r="A274" s="355"/>
      <c r="E274" s="365" t="str">
        <f aca="false">IF((G274&lt;&gt;0),"Enter Letter"," ")</f>
        <v> </v>
      </c>
      <c r="J274" s="334" t="str">
        <f aca="false">IF((E274="s"),G274," ")</f>
        <v> </v>
      </c>
      <c r="K274" s="334" t="str">
        <f aca="false">IF((E274="d"),G274," ")</f>
        <v> </v>
      </c>
      <c r="L274" s="334" t="str">
        <f aca="false">IF((E274="e"),G274," ")</f>
        <v> </v>
      </c>
      <c r="M274" s="334" t="str">
        <f aca="false">IF((E274="p"),G274," ")</f>
        <v> </v>
      </c>
      <c r="N274" s="334" t="str">
        <f aca="false">IF((E274="r"),G274," ")</f>
        <v> </v>
      </c>
      <c r="O274" s="334" t="str">
        <f aca="false">IF((E274="g"),G274," ")</f>
        <v> </v>
      </c>
      <c r="P274" s="334" t="str">
        <f aca="false">IF((E274="m"),G274," ")</f>
        <v> </v>
      </c>
      <c r="Q274" s="334" t="str">
        <f aca="false">IF((E274="t"),G274," ")</f>
        <v> </v>
      </c>
      <c r="R274" s="334" t="str">
        <f aca="false">IF((E274="a"),G274," ")</f>
        <v> </v>
      </c>
      <c r="S274" s="334" t="str">
        <f aca="false">IF((E274="l"),G274," ")</f>
        <v> </v>
      </c>
      <c r="T274" s="334" t="str">
        <f aca="false">IF((E274="b"),G274," ")</f>
        <v> </v>
      </c>
      <c r="U274" s="334" t="str">
        <f aca="false">IF((E274="i"),G274," ")</f>
        <v> </v>
      </c>
      <c r="V274" s="334" t="str">
        <f aca="false">IF((E274="o"),G274," ")</f>
        <v> </v>
      </c>
      <c r="W274" s="334" t="str">
        <f aca="false">IF((E274="f"),G274," ")</f>
        <v> </v>
      </c>
    </row>
    <row r="275" customFormat="false" ht="12.75" hidden="false" customHeight="false" outlineLevel="0" collapsed="false">
      <c r="A275" s="355"/>
      <c r="E275" s="365" t="str">
        <f aca="false">IF((G275&lt;&gt;0),"Enter Letter"," ")</f>
        <v> </v>
      </c>
      <c r="J275" s="334" t="str">
        <f aca="false">IF((E275="s"),G275," ")</f>
        <v> </v>
      </c>
      <c r="K275" s="334" t="str">
        <f aca="false">IF((E275="d"),G275," ")</f>
        <v> </v>
      </c>
      <c r="L275" s="334" t="str">
        <f aca="false">IF((E275="e"),G275," ")</f>
        <v> </v>
      </c>
      <c r="M275" s="334" t="str">
        <f aca="false">IF((E275="p"),G275," ")</f>
        <v> </v>
      </c>
      <c r="N275" s="334" t="str">
        <f aca="false">IF((E275="r"),G275," ")</f>
        <v> </v>
      </c>
      <c r="O275" s="334" t="str">
        <f aca="false">IF((E275="g"),G275," ")</f>
        <v> </v>
      </c>
      <c r="P275" s="334" t="str">
        <f aca="false">IF((E275="m"),G275," ")</f>
        <v> </v>
      </c>
      <c r="Q275" s="334" t="str">
        <f aca="false">IF((E275="t"),G275," ")</f>
        <v> </v>
      </c>
      <c r="R275" s="334" t="str">
        <f aca="false">IF((E275="a"),G275," ")</f>
        <v> </v>
      </c>
      <c r="S275" s="334" t="str">
        <f aca="false">IF((E275="l"),G275," ")</f>
        <v> </v>
      </c>
      <c r="T275" s="334" t="str">
        <f aca="false">IF((E275="b"),G275," ")</f>
        <v> </v>
      </c>
      <c r="U275" s="334" t="str">
        <f aca="false">IF((E275="i"),G275," ")</f>
        <v> </v>
      </c>
      <c r="V275" s="334" t="str">
        <f aca="false">IF((E275="o"),G275," ")</f>
        <v> </v>
      </c>
      <c r="W275" s="334" t="str">
        <f aca="false">IF((E275="f"),G275," ")</f>
        <v> </v>
      </c>
    </row>
    <row r="276" customFormat="false" ht="12.75" hidden="false" customHeight="false" outlineLevel="0" collapsed="false">
      <c r="A276" s="355"/>
      <c r="E276" s="365" t="str">
        <f aca="false">IF((G276&lt;&gt;0),"Enter Letter"," ")</f>
        <v> </v>
      </c>
      <c r="J276" s="334" t="str">
        <f aca="false">IF((E276="s"),G276," ")</f>
        <v> </v>
      </c>
      <c r="K276" s="334" t="str">
        <f aca="false">IF((E276="d"),G276," ")</f>
        <v> </v>
      </c>
      <c r="L276" s="334" t="str">
        <f aca="false">IF((E276="e"),G276," ")</f>
        <v> </v>
      </c>
      <c r="M276" s="334" t="str">
        <f aca="false">IF((E276="p"),G276," ")</f>
        <v> </v>
      </c>
      <c r="N276" s="334" t="str">
        <f aca="false">IF((E276="r"),G276," ")</f>
        <v> </v>
      </c>
      <c r="O276" s="334" t="str">
        <f aca="false">IF((E276="g"),G276," ")</f>
        <v> </v>
      </c>
      <c r="P276" s="334" t="str">
        <f aca="false">IF((E276="m"),G276," ")</f>
        <v> </v>
      </c>
      <c r="Q276" s="334" t="str">
        <f aca="false">IF((E276="t"),G276," ")</f>
        <v> </v>
      </c>
      <c r="R276" s="334" t="str">
        <f aca="false">IF((E276="a"),G276," ")</f>
        <v> </v>
      </c>
      <c r="S276" s="334" t="str">
        <f aca="false">IF((E276="l"),G276," ")</f>
        <v> </v>
      </c>
      <c r="T276" s="334" t="str">
        <f aca="false">IF((E276="b"),G276," ")</f>
        <v> </v>
      </c>
      <c r="U276" s="334" t="str">
        <f aca="false">IF((E276="i"),G276," ")</f>
        <v> </v>
      </c>
      <c r="V276" s="334" t="str">
        <f aca="false">IF((E276="o"),G276," ")</f>
        <v> </v>
      </c>
      <c r="W276" s="334" t="str">
        <f aca="false">IF((E276="f"),G276," ")</f>
        <v> </v>
      </c>
    </row>
    <row r="277" customFormat="false" ht="12.75" hidden="false" customHeight="false" outlineLevel="0" collapsed="false">
      <c r="A277" s="355"/>
      <c r="E277" s="365" t="str">
        <f aca="false">IF((G277&lt;&gt;0),"Enter Letter"," ")</f>
        <v> </v>
      </c>
      <c r="J277" s="334" t="str">
        <f aca="false">IF((E277="s"),G277," ")</f>
        <v> </v>
      </c>
      <c r="K277" s="334" t="str">
        <f aca="false">IF((E277="d"),G277," ")</f>
        <v> </v>
      </c>
      <c r="L277" s="334" t="str">
        <f aca="false">IF((E277="e"),G277," ")</f>
        <v> </v>
      </c>
      <c r="M277" s="334" t="str">
        <f aca="false">IF((E277="p"),G277," ")</f>
        <v> </v>
      </c>
      <c r="N277" s="334" t="str">
        <f aca="false">IF((E277="r"),G277," ")</f>
        <v> </v>
      </c>
      <c r="O277" s="334" t="str">
        <f aca="false">IF((E277="g"),G277," ")</f>
        <v> </v>
      </c>
      <c r="P277" s="334" t="str">
        <f aca="false">IF((E277="m"),G277," ")</f>
        <v> </v>
      </c>
      <c r="Q277" s="334" t="str">
        <f aca="false">IF((E277="t"),G277," ")</f>
        <v> </v>
      </c>
      <c r="R277" s="334" t="str">
        <f aca="false">IF((E277="a"),G277," ")</f>
        <v> </v>
      </c>
      <c r="S277" s="334" t="str">
        <f aca="false">IF((E277="l"),G277," ")</f>
        <v> </v>
      </c>
      <c r="T277" s="334" t="str">
        <f aca="false">IF((E277="b"),G277," ")</f>
        <v> </v>
      </c>
      <c r="U277" s="334" t="str">
        <f aca="false">IF((E277="i"),G277," ")</f>
        <v> </v>
      </c>
      <c r="V277" s="334" t="str">
        <f aca="false">IF((E277="o"),G277," ")</f>
        <v> </v>
      </c>
      <c r="W277" s="334" t="str">
        <f aca="false">IF((E277="f"),G277," ")</f>
        <v> </v>
      </c>
    </row>
    <row r="278" customFormat="false" ht="12.75" hidden="false" customHeight="false" outlineLevel="0" collapsed="false">
      <c r="A278" s="355"/>
      <c r="E278" s="365" t="str">
        <f aca="false">IF((G278&lt;&gt;0),"Enter Letter"," ")</f>
        <v> </v>
      </c>
      <c r="J278" s="334" t="str">
        <f aca="false">IF((E278="s"),G278," ")</f>
        <v> </v>
      </c>
      <c r="K278" s="334" t="str">
        <f aca="false">IF((E278="d"),G278," ")</f>
        <v> </v>
      </c>
      <c r="L278" s="334" t="str">
        <f aca="false">IF((E278="e"),G278," ")</f>
        <v> </v>
      </c>
      <c r="M278" s="334" t="str">
        <f aca="false">IF((E278="p"),G278," ")</f>
        <v> </v>
      </c>
      <c r="N278" s="334" t="str">
        <f aca="false">IF((E278="r"),G278," ")</f>
        <v> </v>
      </c>
      <c r="O278" s="334" t="str">
        <f aca="false">IF((E278="g"),G278," ")</f>
        <v> </v>
      </c>
      <c r="P278" s="334" t="str">
        <f aca="false">IF((E278="m"),G278," ")</f>
        <v> </v>
      </c>
      <c r="Q278" s="334" t="str">
        <f aca="false">IF((E278="t"),G278," ")</f>
        <v> </v>
      </c>
      <c r="R278" s="334" t="str">
        <f aca="false">IF((E278="a"),G278," ")</f>
        <v> </v>
      </c>
      <c r="S278" s="334" t="str">
        <f aca="false">IF((E278="l"),G278," ")</f>
        <v> </v>
      </c>
      <c r="T278" s="334" t="str">
        <f aca="false">IF((E278="b"),G278," ")</f>
        <v> </v>
      </c>
      <c r="U278" s="334" t="str">
        <f aca="false">IF((E278="i"),G278," ")</f>
        <v> </v>
      </c>
      <c r="V278" s="334" t="str">
        <f aca="false">IF((E278="o"),G278," ")</f>
        <v> </v>
      </c>
      <c r="W278" s="334" t="str">
        <f aca="false">IF((E278="f"),G278," ")</f>
        <v> </v>
      </c>
    </row>
    <row r="279" customFormat="false" ht="12.75" hidden="false" customHeight="false" outlineLevel="0" collapsed="false">
      <c r="A279" s="355"/>
      <c r="E279" s="365" t="str">
        <f aca="false">IF((G279&lt;&gt;0),"Enter Letter"," ")</f>
        <v> </v>
      </c>
      <c r="J279" s="334" t="str">
        <f aca="false">IF((E279="s"),G279," ")</f>
        <v> </v>
      </c>
      <c r="K279" s="334" t="str">
        <f aca="false">IF((E279="d"),G279," ")</f>
        <v> </v>
      </c>
      <c r="L279" s="334" t="str">
        <f aca="false">IF((E279="e"),G279," ")</f>
        <v> </v>
      </c>
      <c r="M279" s="334" t="str">
        <f aca="false">IF((E279="p"),G279," ")</f>
        <v> </v>
      </c>
      <c r="N279" s="334" t="str">
        <f aca="false">IF((E279="r"),G279," ")</f>
        <v> </v>
      </c>
      <c r="O279" s="334" t="str">
        <f aca="false">IF((E279="g"),G279," ")</f>
        <v> </v>
      </c>
      <c r="P279" s="334" t="str">
        <f aca="false">IF((E279="m"),G279," ")</f>
        <v> </v>
      </c>
      <c r="Q279" s="334" t="str">
        <f aca="false">IF((E279="t"),G279," ")</f>
        <v> </v>
      </c>
      <c r="R279" s="334" t="str">
        <f aca="false">IF((E279="a"),G279," ")</f>
        <v> </v>
      </c>
      <c r="S279" s="334" t="str">
        <f aca="false">IF((E279="l"),G279," ")</f>
        <v> </v>
      </c>
      <c r="T279" s="334" t="str">
        <f aca="false">IF((E279="b"),G279," ")</f>
        <v> </v>
      </c>
      <c r="U279" s="334" t="str">
        <f aca="false">IF((E279="i"),G279," ")</f>
        <v> </v>
      </c>
      <c r="V279" s="334" t="str">
        <f aca="false">IF((E279="o"),G279," ")</f>
        <v> </v>
      </c>
      <c r="W279" s="334" t="str">
        <f aca="false">IF((E279="f"),G279," ")</f>
        <v> </v>
      </c>
    </row>
    <row r="280" customFormat="false" ht="12.75" hidden="false" customHeight="false" outlineLevel="0" collapsed="false">
      <c r="A280" s="355"/>
      <c r="E280" s="365" t="str">
        <f aca="false">IF((G280&lt;&gt;0),"Enter Letter"," ")</f>
        <v> </v>
      </c>
      <c r="J280" s="334" t="str">
        <f aca="false">IF((E280="s"),G280," ")</f>
        <v> </v>
      </c>
      <c r="K280" s="334" t="str">
        <f aca="false">IF((E280="d"),G280," ")</f>
        <v> </v>
      </c>
      <c r="L280" s="334" t="str">
        <f aca="false">IF((E280="e"),G280," ")</f>
        <v> </v>
      </c>
      <c r="M280" s="334" t="str">
        <f aca="false">IF((E280="p"),G280," ")</f>
        <v> </v>
      </c>
      <c r="N280" s="334" t="str">
        <f aca="false">IF((E280="r"),G280," ")</f>
        <v> </v>
      </c>
      <c r="O280" s="334" t="str">
        <f aca="false">IF((E280="g"),G280," ")</f>
        <v> </v>
      </c>
      <c r="P280" s="334" t="str">
        <f aca="false">IF((E280="m"),G280," ")</f>
        <v> </v>
      </c>
      <c r="Q280" s="334" t="str">
        <f aca="false">IF((E280="t"),G280," ")</f>
        <v> </v>
      </c>
      <c r="R280" s="334" t="str">
        <f aca="false">IF((E280="a"),G280," ")</f>
        <v> </v>
      </c>
      <c r="S280" s="334" t="str">
        <f aca="false">IF((E280="l"),G280," ")</f>
        <v> </v>
      </c>
      <c r="T280" s="334" t="str">
        <f aca="false">IF((E280="b"),G280," ")</f>
        <v> </v>
      </c>
      <c r="U280" s="334" t="str">
        <f aca="false">IF((E280="i"),G280," ")</f>
        <v> </v>
      </c>
      <c r="V280" s="334" t="str">
        <f aca="false">IF((E280="o"),G280," ")</f>
        <v> </v>
      </c>
      <c r="W280" s="334" t="str">
        <f aca="false">IF((E280="f"),G280," ")</f>
        <v> </v>
      </c>
    </row>
    <row r="281" customFormat="false" ht="12.75" hidden="false" customHeight="false" outlineLevel="0" collapsed="false">
      <c r="A281" s="355"/>
      <c r="E281" s="365" t="str">
        <f aca="false">IF((G281&lt;&gt;0),"Enter Letter"," ")</f>
        <v> </v>
      </c>
      <c r="J281" s="334" t="str">
        <f aca="false">IF((E281="s"),G281," ")</f>
        <v> </v>
      </c>
      <c r="K281" s="334" t="str">
        <f aca="false">IF((E281="d"),G281," ")</f>
        <v> </v>
      </c>
      <c r="L281" s="334" t="str">
        <f aca="false">IF((E281="e"),G281," ")</f>
        <v> </v>
      </c>
      <c r="M281" s="334" t="str">
        <f aca="false">IF((E281="p"),G281," ")</f>
        <v> </v>
      </c>
      <c r="N281" s="334" t="str">
        <f aca="false">IF((E281="r"),G281," ")</f>
        <v> </v>
      </c>
      <c r="O281" s="334" t="str">
        <f aca="false">IF((E281="g"),G281," ")</f>
        <v> </v>
      </c>
      <c r="P281" s="334" t="str">
        <f aca="false">IF((E281="m"),G281," ")</f>
        <v> </v>
      </c>
      <c r="Q281" s="334" t="str">
        <f aca="false">IF((E281="t"),G281," ")</f>
        <v> </v>
      </c>
      <c r="R281" s="334" t="str">
        <f aca="false">IF((E281="a"),G281," ")</f>
        <v> </v>
      </c>
      <c r="S281" s="334" t="str">
        <f aca="false">IF((E281="l"),G281," ")</f>
        <v> </v>
      </c>
      <c r="T281" s="334" t="str">
        <f aca="false">IF((E281="b"),G281," ")</f>
        <v> </v>
      </c>
      <c r="U281" s="334" t="str">
        <f aca="false">IF((E281="i"),G281," ")</f>
        <v> </v>
      </c>
      <c r="V281" s="334" t="str">
        <f aca="false">IF((E281="o"),G281," ")</f>
        <v> </v>
      </c>
      <c r="W281" s="334" t="str">
        <f aca="false">IF((E281="f"),G281," ")</f>
        <v> </v>
      </c>
    </row>
    <row r="282" customFormat="false" ht="12.75" hidden="false" customHeight="false" outlineLevel="0" collapsed="false">
      <c r="A282" s="355"/>
      <c r="E282" s="365" t="str">
        <f aca="false">IF((G282&lt;&gt;0),"Enter Letter"," ")</f>
        <v> </v>
      </c>
      <c r="J282" s="334" t="str">
        <f aca="false">IF((E282="s"),G282," ")</f>
        <v> </v>
      </c>
      <c r="K282" s="334" t="str">
        <f aca="false">IF((E282="d"),G282," ")</f>
        <v> </v>
      </c>
      <c r="L282" s="334" t="str">
        <f aca="false">IF((E282="e"),G282," ")</f>
        <v> </v>
      </c>
      <c r="M282" s="334" t="str">
        <f aca="false">IF((E282="p"),G282," ")</f>
        <v> </v>
      </c>
      <c r="N282" s="334" t="str">
        <f aca="false">IF((E282="r"),G282," ")</f>
        <v> </v>
      </c>
      <c r="O282" s="334" t="str">
        <f aca="false">IF((E282="g"),G282," ")</f>
        <v> </v>
      </c>
      <c r="P282" s="334" t="str">
        <f aca="false">IF((E282="m"),G282," ")</f>
        <v> </v>
      </c>
      <c r="Q282" s="334" t="str">
        <f aca="false">IF((E282="t"),G282," ")</f>
        <v> </v>
      </c>
      <c r="R282" s="334" t="str">
        <f aca="false">IF((E282="a"),G282," ")</f>
        <v> </v>
      </c>
      <c r="S282" s="334" t="str">
        <f aca="false">IF((E282="l"),G282," ")</f>
        <v> </v>
      </c>
      <c r="T282" s="334" t="str">
        <f aca="false">IF((E282="b"),G282," ")</f>
        <v> </v>
      </c>
      <c r="U282" s="334" t="str">
        <f aca="false">IF((E282="i"),G282," ")</f>
        <v> </v>
      </c>
      <c r="V282" s="334" t="str">
        <f aca="false">IF((E282="o"),G282," ")</f>
        <v> </v>
      </c>
      <c r="W282" s="334" t="str">
        <f aca="false">IF((E282="f"),G282," ")</f>
        <v> </v>
      </c>
    </row>
    <row r="283" customFormat="false" ht="12.75" hidden="false" customHeight="false" outlineLevel="0" collapsed="false">
      <c r="A283" s="355"/>
      <c r="E283" s="365" t="str">
        <f aca="false">IF((G283&lt;&gt;0),"Enter Letter"," ")</f>
        <v> </v>
      </c>
      <c r="J283" s="334" t="str">
        <f aca="false">IF((E283="s"),G283," ")</f>
        <v> </v>
      </c>
      <c r="K283" s="334" t="str">
        <f aca="false">IF((E283="d"),G283," ")</f>
        <v> </v>
      </c>
      <c r="L283" s="334" t="str">
        <f aca="false">IF((E283="e"),G283," ")</f>
        <v> </v>
      </c>
      <c r="M283" s="334" t="str">
        <f aca="false">IF((E283="p"),G283," ")</f>
        <v> </v>
      </c>
      <c r="N283" s="334" t="str">
        <f aca="false">IF((E283="r"),G283," ")</f>
        <v> </v>
      </c>
      <c r="O283" s="334" t="str">
        <f aca="false">IF((E283="g"),G283," ")</f>
        <v> </v>
      </c>
      <c r="P283" s="334" t="str">
        <f aca="false">IF((E283="m"),G283," ")</f>
        <v> </v>
      </c>
      <c r="Q283" s="334" t="str">
        <f aca="false">IF((E283="t"),G283," ")</f>
        <v> </v>
      </c>
      <c r="R283" s="334" t="str">
        <f aca="false">IF((E283="a"),G283," ")</f>
        <v> </v>
      </c>
      <c r="S283" s="334" t="str">
        <f aca="false">IF((E283="l"),G283," ")</f>
        <v> </v>
      </c>
      <c r="T283" s="334" t="str">
        <f aca="false">IF((E283="b"),G283," ")</f>
        <v> </v>
      </c>
      <c r="U283" s="334" t="str">
        <f aca="false">IF((E283="i"),G283," ")</f>
        <v> </v>
      </c>
      <c r="V283" s="334" t="str">
        <f aca="false">IF((E283="o"),G283," ")</f>
        <v> </v>
      </c>
      <c r="W283" s="334" t="str">
        <f aca="false">IF((E283="f"),G283," ")</f>
        <v> </v>
      </c>
    </row>
    <row r="284" customFormat="false" ht="12.75" hidden="false" customHeight="false" outlineLevel="0" collapsed="false">
      <c r="A284" s="355"/>
      <c r="E284" s="365" t="str">
        <f aca="false">IF((G284&lt;&gt;0),"Enter Letter"," ")</f>
        <v> </v>
      </c>
      <c r="J284" s="334" t="str">
        <f aca="false">IF((E284="s"),G284," ")</f>
        <v> </v>
      </c>
      <c r="K284" s="334" t="str">
        <f aca="false">IF((E284="d"),G284," ")</f>
        <v> </v>
      </c>
      <c r="L284" s="334" t="str">
        <f aca="false">IF((E284="e"),G284," ")</f>
        <v> </v>
      </c>
      <c r="M284" s="334" t="str">
        <f aca="false">IF((E284="p"),G284," ")</f>
        <v> </v>
      </c>
      <c r="N284" s="334" t="str">
        <f aca="false">IF((E284="r"),G284," ")</f>
        <v> </v>
      </c>
      <c r="O284" s="334" t="str">
        <f aca="false">IF((E284="g"),G284," ")</f>
        <v> </v>
      </c>
      <c r="P284" s="334" t="str">
        <f aca="false">IF((E284="m"),G284," ")</f>
        <v> </v>
      </c>
      <c r="Q284" s="334" t="str">
        <f aca="false">IF((E284="t"),G284," ")</f>
        <v> </v>
      </c>
      <c r="R284" s="334" t="str">
        <f aca="false">IF((E284="a"),G284," ")</f>
        <v> </v>
      </c>
      <c r="S284" s="334" t="str">
        <f aca="false">IF((E284="l"),G284," ")</f>
        <v> </v>
      </c>
      <c r="T284" s="334" t="str">
        <f aca="false">IF((E284="b"),G284," ")</f>
        <v> </v>
      </c>
      <c r="U284" s="334" t="str">
        <f aca="false">IF((E284="i"),G284," ")</f>
        <v> </v>
      </c>
      <c r="V284" s="334" t="str">
        <f aca="false">IF((E284="o"),G284," ")</f>
        <v> </v>
      </c>
      <c r="W284" s="334" t="str">
        <f aca="false">IF((E284="f"),G284," ")</f>
        <v> </v>
      </c>
    </row>
    <row r="285" customFormat="false" ht="12.75" hidden="false" customHeight="false" outlineLevel="0" collapsed="false">
      <c r="A285" s="355"/>
      <c r="E285" s="365" t="str">
        <f aca="false">IF((G285&lt;&gt;0),"Enter Letter"," ")</f>
        <v> </v>
      </c>
      <c r="J285" s="334" t="str">
        <f aca="false">IF((E285="s"),G285," ")</f>
        <v> </v>
      </c>
      <c r="K285" s="334" t="str">
        <f aca="false">IF((E285="d"),G285," ")</f>
        <v> </v>
      </c>
      <c r="L285" s="334" t="str">
        <f aca="false">IF((E285="e"),G285," ")</f>
        <v> </v>
      </c>
      <c r="M285" s="334" t="str">
        <f aca="false">IF((E285="p"),G285," ")</f>
        <v> </v>
      </c>
      <c r="N285" s="334" t="str">
        <f aca="false">IF((E285="r"),G285," ")</f>
        <v> </v>
      </c>
      <c r="O285" s="334" t="str">
        <f aca="false">IF((E285="g"),G285," ")</f>
        <v> </v>
      </c>
      <c r="P285" s="334" t="str">
        <f aca="false">IF((E285="m"),G285," ")</f>
        <v> </v>
      </c>
      <c r="Q285" s="334" t="str">
        <f aca="false">IF((E285="t"),G285," ")</f>
        <v> </v>
      </c>
      <c r="R285" s="334" t="str">
        <f aca="false">IF((E285="a"),G285," ")</f>
        <v> </v>
      </c>
      <c r="S285" s="334" t="str">
        <f aca="false">IF((E285="l"),G285," ")</f>
        <v> </v>
      </c>
      <c r="T285" s="334" t="str">
        <f aca="false">IF((E285="b"),G285," ")</f>
        <v> </v>
      </c>
      <c r="U285" s="334" t="str">
        <f aca="false">IF((E285="i"),G285," ")</f>
        <v> </v>
      </c>
      <c r="V285" s="334" t="str">
        <f aca="false">IF((E285="o"),G285," ")</f>
        <v> </v>
      </c>
      <c r="W285" s="334" t="str">
        <f aca="false">IF((E285="f"),G285," ")</f>
        <v> </v>
      </c>
    </row>
    <row r="286" customFormat="false" ht="12.75" hidden="false" customHeight="false" outlineLevel="0" collapsed="false">
      <c r="A286" s="355"/>
      <c r="E286" s="365" t="str">
        <f aca="false">IF((G286&lt;&gt;0),"Enter Letter"," ")</f>
        <v> </v>
      </c>
      <c r="J286" s="334" t="str">
        <f aca="false">IF((E286="s"),G286," ")</f>
        <v> </v>
      </c>
      <c r="K286" s="334" t="str">
        <f aca="false">IF((E286="d"),G286," ")</f>
        <v> </v>
      </c>
      <c r="L286" s="334" t="str">
        <f aca="false">IF((E286="e"),G286," ")</f>
        <v> </v>
      </c>
      <c r="M286" s="334" t="str">
        <f aca="false">IF((E286="p"),G286," ")</f>
        <v> </v>
      </c>
      <c r="N286" s="334" t="str">
        <f aca="false">IF((E286="r"),G286," ")</f>
        <v> </v>
      </c>
      <c r="O286" s="334" t="str">
        <f aca="false">IF((E286="g"),G286," ")</f>
        <v> </v>
      </c>
      <c r="P286" s="334" t="str">
        <f aca="false">IF((E286="m"),G286," ")</f>
        <v> </v>
      </c>
      <c r="Q286" s="334" t="str">
        <f aca="false">IF((E286="t"),G286," ")</f>
        <v> </v>
      </c>
      <c r="R286" s="334" t="str">
        <f aca="false">IF((E286="a"),G286," ")</f>
        <v> </v>
      </c>
      <c r="S286" s="334" t="str">
        <f aca="false">IF((E286="l"),G286," ")</f>
        <v> </v>
      </c>
      <c r="T286" s="334" t="str">
        <f aca="false">IF((E286="b"),G286," ")</f>
        <v> </v>
      </c>
      <c r="U286" s="334" t="str">
        <f aca="false">IF((E286="i"),G286," ")</f>
        <v> </v>
      </c>
      <c r="V286" s="334" t="str">
        <f aca="false">IF((E286="o"),G286," ")</f>
        <v> </v>
      </c>
      <c r="W286" s="334" t="str">
        <f aca="false">IF((E286="f"),G286," ")</f>
        <v> </v>
      </c>
    </row>
    <row r="287" customFormat="false" ht="12.75" hidden="false" customHeight="false" outlineLevel="0" collapsed="false">
      <c r="A287" s="355"/>
      <c r="E287" s="365" t="str">
        <f aca="false">IF((G287&lt;&gt;0),"Enter Letter"," ")</f>
        <v> </v>
      </c>
      <c r="J287" s="334" t="str">
        <f aca="false">IF((E287="s"),G287," ")</f>
        <v> </v>
      </c>
      <c r="K287" s="334" t="str">
        <f aca="false">IF((E287="d"),G287," ")</f>
        <v> </v>
      </c>
      <c r="L287" s="334" t="str">
        <f aca="false">IF((E287="e"),G287," ")</f>
        <v> </v>
      </c>
      <c r="M287" s="334" t="str">
        <f aca="false">IF((E287="p"),G287," ")</f>
        <v> </v>
      </c>
      <c r="N287" s="334" t="str">
        <f aca="false">IF((E287="r"),G287," ")</f>
        <v> </v>
      </c>
      <c r="O287" s="334" t="str">
        <f aca="false">IF((E287="g"),G287," ")</f>
        <v> </v>
      </c>
      <c r="P287" s="334" t="str">
        <f aca="false">IF((E287="m"),G287," ")</f>
        <v> </v>
      </c>
      <c r="Q287" s="334" t="str">
        <f aca="false">IF((E287="t"),G287," ")</f>
        <v> </v>
      </c>
      <c r="R287" s="334" t="str">
        <f aca="false">IF((E287="a"),G287," ")</f>
        <v> </v>
      </c>
      <c r="S287" s="334" t="str">
        <f aca="false">IF((E287="l"),G287," ")</f>
        <v> </v>
      </c>
      <c r="T287" s="334" t="str">
        <f aca="false">IF((E287="b"),G287," ")</f>
        <v> </v>
      </c>
      <c r="U287" s="334" t="str">
        <f aca="false">IF((E287="i"),G287," ")</f>
        <v> </v>
      </c>
      <c r="V287" s="334" t="str">
        <f aca="false">IF((E287="o"),G287," ")</f>
        <v> </v>
      </c>
      <c r="W287" s="334" t="str">
        <f aca="false">IF((E287="f"),G287," ")</f>
        <v> </v>
      </c>
    </row>
    <row r="288" customFormat="false" ht="12.75" hidden="false" customHeight="false" outlineLevel="0" collapsed="false">
      <c r="A288" s="355"/>
      <c r="E288" s="365" t="str">
        <f aca="false">IF((G288&lt;&gt;0),"Enter Letter"," ")</f>
        <v> </v>
      </c>
      <c r="J288" s="334" t="str">
        <f aca="false">IF((E288="s"),G288," ")</f>
        <v> </v>
      </c>
      <c r="K288" s="334" t="str">
        <f aca="false">IF((E288="d"),G288," ")</f>
        <v> </v>
      </c>
      <c r="L288" s="334" t="str">
        <f aca="false">IF((E288="e"),G288," ")</f>
        <v> </v>
      </c>
      <c r="M288" s="334" t="str">
        <f aca="false">IF((E288="p"),G288," ")</f>
        <v> </v>
      </c>
      <c r="N288" s="334" t="str">
        <f aca="false">IF((E288="r"),G288," ")</f>
        <v> </v>
      </c>
      <c r="O288" s="334" t="str">
        <f aca="false">IF((E288="g"),G288," ")</f>
        <v> </v>
      </c>
      <c r="P288" s="334" t="str">
        <f aca="false">IF((E288="m"),G288," ")</f>
        <v> </v>
      </c>
      <c r="Q288" s="334" t="str">
        <f aca="false">IF((E288="t"),G288," ")</f>
        <v> </v>
      </c>
      <c r="R288" s="334" t="str">
        <f aca="false">IF((E288="a"),G288," ")</f>
        <v> </v>
      </c>
      <c r="S288" s="334" t="str">
        <f aca="false">IF((E288="l"),G288," ")</f>
        <v> </v>
      </c>
      <c r="T288" s="334" t="str">
        <f aca="false">IF((E288="b"),G288," ")</f>
        <v> </v>
      </c>
      <c r="U288" s="334" t="str">
        <f aca="false">IF((E288="i"),G288," ")</f>
        <v> </v>
      </c>
      <c r="V288" s="334" t="str">
        <f aca="false">IF((E288="o"),G288," ")</f>
        <v> </v>
      </c>
      <c r="W288" s="334" t="str">
        <f aca="false">IF((E288="f"),G288," ")</f>
        <v> </v>
      </c>
    </row>
    <row r="289" customFormat="false" ht="12.75" hidden="false" customHeight="false" outlineLevel="0" collapsed="false">
      <c r="A289" s="355"/>
      <c r="E289" s="365" t="str">
        <f aca="false">IF((G289&lt;&gt;0),"Enter Letter"," ")</f>
        <v> </v>
      </c>
      <c r="J289" s="334" t="str">
        <f aca="false">IF((E289="s"),G289," ")</f>
        <v> </v>
      </c>
      <c r="K289" s="334" t="str">
        <f aca="false">IF((E289="d"),G289," ")</f>
        <v> </v>
      </c>
      <c r="L289" s="334" t="str">
        <f aca="false">IF((E289="e"),G289," ")</f>
        <v> </v>
      </c>
      <c r="M289" s="334" t="str">
        <f aca="false">IF((E289="p"),G289," ")</f>
        <v> </v>
      </c>
      <c r="N289" s="334" t="str">
        <f aca="false">IF((E289="r"),G289," ")</f>
        <v> </v>
      </c>
      <c r="O289" s="334" t="str">
        <f aca="false">IF((E289="g"),G289," ")</f>
        <v> </v>
      </c>
      <c r="P289" s="334" t="str">
        <f aca="false">IF((E289="m"),G289," ")</f>
        <v> </v>
      </c>
      <c r="Q289" s="334" t="str">
        <f aca="false">IF((E289="t"),G289," ")</f>
        <v> </v>
      </c>
      <c r="R289" s="334" t="str">
        <f aca="false">IF((E289="a"),G289," ")</f>
        <v> </v>
      </c>
      <c r="S289" s="334" t="str">
        <f aca="false">IF((E289="l"),G289," ")</f>
        <v> </v>
      </c>
      <c r="T289" s="334" t="str">
        <f aca="false">IF((E289="b"),G289," ")</f>
        <v> </v>
      </c>
      <c r="U289" s="334" t="str">
        <f aca="false">IF((E289="i"),G289," ")</f>
        <v> </v>
      </c>
      <c r="V289" s="334" t="str">
        <f aca="false">IF((E289="o"),G289," ")</f>
        <v> </v>
      </c>
      <c r="W289" s="334" t="str">
        <f aca="false">IF((E289="f"),G289," ")</f>
        <v> </v>
      </c>
    </row>
    <row r="290" customFormat="false" ht="12.75" hidden="false" customHeight="false" outlineLevel="0" collapsed="false">
      <c r="A290" s="355"/>
      <c r="E290" s="365" t="str">
        <f aca="false">IF((G290&lt;&gt;0),"Enter Letter"," ")</f>
        <v> </v>
      </c>
      <c r="J290" s="334" t="str">
        <f aca="false">IF((E290="s"),G290," ")</f>
        <v> </v>
      </c>
      <c r="K290" s="334" t="str">
        <f aca="false">IF((E290="d"),G290," ")</f>
        <v> </v>
      </c>
      <c r="L290" s="334" t="str">
        <f aca="false">IF((E290="e"),G290," ")</f>
        <v> </v>
      </c>
      <c r="M290" s="334" t="str">
        <f aca="false">IF((E290="p"),G290," ")</f>
        <v> </v>
      </c>
      <c r="N290" s="334" t="str">
        <f aca="false">IF((E290="r"),G290," ")</f>
        <v> </v>
      </c>
      <c r="O290" s="334" t="str">
        <f aca="false">IF((E290="g"),G290," ")</f>
        <v> </v>
      </c>
      <c r="P290" s="334" t="str">
        <f aca="false">IF((E290="m"),G290," ")</f>
        <v> </v>
      </c>
      <c r="Q290" s="334" t="str">
        <f aca="false">IF((E290="t"),G290," ")</f>
        <v> </v>
      </c>
      <c r="R290" s="334" t="str">
        <f aca="false">IF((E290="a"),G290," ")</f>
        <v> </v>
      </c>
      <c r="S290" s="334" t="str">
        <f aca="false">IF((E290="l"),G290," ")</f>
        <v> </v>
      </c>
      <c r="T290" s="334" t="str">
        <f aca="false">IF((E290="b"),G290," ")</f>
        <v> </v>
      </c>
      <c r="U290" s="334" t="str">
        <f aca="false">IF((E290="i"),G290," ")</f>
        <v> </v>
      </c>
      <c r="V290" s="334" t="str">
        <f aca="false">IF((E290="o"),G290," ")</f>
        <v> </v>
      </c>
      <c r="W290" s="334" t="str">
        <f aca="false">IF((E290="f"),G290," ")</f>
        <v> </v>
      </c>
    </row>
    <row r="291" customFormat="false" ht="12.75" hidden="false" customHeight="false" outlineLevel="0" collapsed="false">
      <c r="A291" s="355"/>
      <c r="E291" s="365" t="str">
        <f aca="false">IF((G291&lt;&gt;0),"Enter Letter"," ")</f>
        <v> </v>
      </c>
      <c r="J291" s="334" t="str">
        <f aca="false">IF((E291="s"),G291," ")</f>
        <v> </v>
      </c>
      <c r="K291" s="334" t="str">
        <f aca="false">IF((E291="d"),G291," ")</f>
        <v> </v>
      </c>
      <c r="L291" s="334" t="str">
        <f aca="false">IF((E291="e"),G291," ")</f>
        <v> </v>
      </c>
      <c r="M291" s="334" t="str">
        <f aca="false">IF((E291="p"),G291," ")</f>
        <v> </v>
      </c>
      <c r="N291" s="334" t="str">
        <f aca="false">IF((E291="r"),G291," ")</f>
        <v> </v>
      </c>
      <c r="O291" s="334" t="str">
        <f aca="false">IF((E291="g"),G291," ")</f>
        <v> </v>
      </c>
      <c r="P291" s="334" t="str">
        <f aca="false">IF((E291="m"),G291," ")</f>
        <v> </v>
      </c>
      <c r="Q291" s="334" t="str">
        <f aca="false">IF((E291="t"),G291," ")</f>
        <v> </v>
      </c>
      <c r="R291" s="334" t="str">
        <f aca="false">IF((E291="a"),G291," ")</f>
        <v> </v>
      </c>
      <c r="S291" s="334" t="str">
        <f aca="false">IF((E291="l"),G291," ")</f>
        <v> </v>
      </c>
      <c r="T291" s="334" t="str">
        <f aca="false">IF((E291="b"),G291," ")</f>
        <v> </v>
      </c>
      <c r="U291" s="334" t="str">
        <f aca="false">IF((E291="i"),G291," ")</f>
        <v> </v>
      </c>
      <c r="V291" s="334" t="str">
        <f aca="false">IF((E291="o"),G291," ")</f>
        <v> </v>
      </c>
      <c r="W291" s="334" t="str">
        <f aca="false">IF((E291="f"),G291," ")</f>
        <v> </v>
      </c>
    </row>
    <row r="292" customFormat="false" ht="12.75" hidden="false" customHeight="false" outlineLevel="0" collapsed="false">
      <c r="A292" s="355"/>
      <c r="E292" s="365" t="str">
        <f aca="false">IF((G292&lt;&gt;0),"Enter Letter"," ")</f>
        <v> </v>
      </c>
      <c r="J292" s="334" t="str">
        <f aca="false">IF((E292="s"),G292," ")</f>
        <v> </v>
      </c>
      <c r="K292" s="334" t="str">
        <f aca="false">IF((E292="d"),G292," ")</f>
        <v> </v>
      </c>
      <c r="L292" s="334" t="str">
        <f aca="false">IF((E292="e"),G292," ")</f>
        <v> </v>
      </c>
      <c r="M292" s="334" t="str">
        <f aca="false">IF((E292="p"),G292," ")</f>
        <v> </v>
      </c>
      <c r="N292" s="334" t="str">
        <f aca="false">IF((E292="r"),G292," ")</f>
        <v> </v>
      </c>
      <c r="O292" s="334" t="str">
        <f aca="false">IF((E292="g"),G292," ")</f>
        <v> </v>
      </c>
      <c r="P292" s="334" t="str">
        <f aca="false">IF((E292="m"),G292," ")</f>
        <v> </v>
      </c>
      <c r="Q292" s="334" t="str">
        <f aca="false">IF((E292="t"),G292," ")</f>
        <v> </v>
      </c>
      <c r="R292" s="334" t="str">
        <f aca="false">IF((E292="a"),G292," ")</f>
        <v> </v>
      </c>
      <c r="S292" s="334" t="str">
        <f aca="false">IF((E292="l"),G292," ")</f>
        <v> </v>
      </c>
      <c r="T292" s="334" t="str">
        <f aca="false">IF((E292="b"),G292," ")</f>
        <v> </v>
      </c>
      <c r="U292" s="334" t="str">
        <f aca="false">IF((E292="i"),G292," ")</f>
        <v> </v>
      </c>
      <c r="V292" s="334" t="str">
        <f aca="false">IF((E292="o"),G292," ")</f>
        <v> </v>
      </c>
      <c r="W292" s="334" t="str">
        <f aca="false">IF((E292="f"),G292," ")</f>
        <v> </v>
      </c>
    </row>
    <row r="293" customFormat="false" ht="12.75" hidden="false" customHeight="false" outlineLevel="0" collapsed="false">
      <c r="A293" s="355"/>
      <c r="E293" s="365" t="str">
        <f aca="false">IF((G293&lt;&gt;0),"Enter Letter"," ")</f>
        <v> </v>
      </c>
      <c r="J293" s="334" t="str">
        <f aca="false">IF((E293="s"),G293," ")</f>
        <v> </v>
      </c>
      <c r="K293" s="334" t="str">
        <f aca="false">IF((E293="d"),G293," ")</f>
        <v> </v>
      </c>
      <c r="L293" s="334" t="str">
        <f aca="false">IF((E293="e"),G293," ")</f>
        <v> </v>
      </c>
      <c r="M293" s="334" t="str">
        <f aca="false">IF((E293="p"),G293," ")</f>
        <v> </v>
      </c>
      <c r="N293" s="334" t="str">
        <f aca="false">IF((E293="r"),G293," ")</f>
        <v> </v>
      </c>
      <c r="O293" s="334" t="str">
        <f aca="false">IF((E293="g"),G293," ")</f>
        <v> </v>
      </c>
      <c r="P293" s="334" t="str">
        <f aca="false">IF((E293="m"),G293," ")</f>
        <v> </v>
      </c>
      <c r="Q293" s="334" t="str">
        <f aca="false">IF((E293="t"),G293," ")</f>
        <v> </v>
      </c>
      <c r="R293" s="334" t="str">
        <f aca="false">IF((E293="a"),G293," ")</f>
        <v> </v>
      </c>
      <c r="S293" s="334" t="str">
        <f aca="false">IF((E293="l"),G293," ")</f>
        <v> </v>
      </c>
      <c r="T293" s="334" t="str">
        <f aca="false">IF((E293="b"),G293," ")</f>
        <v> </v>
      </c>
      <c r="U293" s="334" t="str">
        <f aca="false">IF((E293="i"),G293," ")</f>
        <v> </v>
      </c>
      <c r="V293" s="334" t="str">
        <f aca="false">IF((E293="o"),G293," ")</f>
        <v> </v>
      </c>
      <c r="W293" s="334" t="str">
        <f aca="false">IF((E293="f"),G293," ")</f>
        <v> </v>
      </c>
    </row>
    <row r="294" customFormat="false" ht="12.75" hidden="false" customHeight="false" outlineLevel="0" collapsed="false">
      <c r="A294" s="355"/>
      <c r="E294" s="365" t="str">
        <f aca="false">IF((G294&lt;&gt;0),"Enter Letter"," ")</f>
        <v> </v>
      </c>
      <c r="J294" s="334" t="str">
        <f aca="false">IF((E294="s"),G294," ")</f>
        <v> </v>
      </c>
      <c r="K294" s="334" t="str">
        <f aca="false">IF((E294="d"),G294," ")</f>
        <v> </v>
      </c>
      <c r="L294" s="334" t="str">
        <f aca="false">IF((E294="e"),G294," ")</f>
        <v> </v>
      </c>
      <c r="M294" s="334" t="str">
        <f aca="false">IF((E294="p"),G294," ")</f>
        <v> </v>
      </c>
      <c r="N294" s="334" t="str">
        <f aca="false">IF((E294="r"),G294," ")</f>
        <v> </v>
      </c>
      <c r="O294" s="334" t="str">
        <f aca="false">IF((E294="g"),G294," ")</f>
        <v> </v>
      </c>
      <c r="P294" s="334" t="str">
        <f aca="false">IF((E294="m"),G294," ")</f>
        <v> </v>
      </c>
      <c r="Q294" s="334" t="str">
        <f aca="false">IF((E294="t"),G294," ")</f>
        <v> </v>
      </c>
      <c r="R294" s="334" t="str">
        <f aca="false">IF((E294="a"),G294," ")</f>
        <v> </v>
      </c>
      <c r="S294" s="334" t="str">
        <f aca="false">IF((E294="l"),G294," ")</f>
        <v> </v>
      </c>
      <c r="T294" s="334" t="str">
        <f aca="false">IF((E294="b"),G294," ")</f>
        <v> </v>
      </c>
      <c r="U294" s="334" t="str">
        <f aca="false">IF((E294="i"),G294," ")</f>
        <v> </v>
      </c>
      <c r="V294" s="334" t="str">
        <f aca="false">IF((E294="o"),G294," ")</f>
        <v> </v>
      </c>
      <c r="W294" s="334" t="str">
        <f aca="false">IF((E294="f"),G294," ")</f>
        <v> </v>
      </c>
    </row>
    <row r="295" customFormat="false" ht="12.75" hidden="false" customHeight="false" outlineLevel="0" collapsed="false">
      <c r="A295" s="355"/>
      <c r="E295" s="365" t="str">
        <f aca="false">IF((G295&lt;&gt;0),"Enter Letter"," ")</f>
        <v> </v>
      </c>
      <c r="J295" s="334" t="str">
        <f aca="false">IF((E295="s"),G295," ")</f>
        <v> </v>
      </c>
      <c r="K295" s="334" t="str">
        <f aca="false">IF((E295="d"),G295," ")</f>
        <v> </v>
      </c>
      <c r="L295" s="334" t="str">
        <f aca="false">IF((E295="e"),G295," ")</f>
        <v> </v>
      </c>
      <c r="M295" s="334" t="str">
        <f aca="false">IF((E295="p"),G295," ")</f>
        <v> </v>
      </c>
      <c r="N295" s="334" t="str">
        <f aca="false">IF((E295="r"),G295," ")</f>
        <v> </v>
      </c>
      <c r="O295" s="334" t="str">
        <f aca="false">IF((E295="g"),G295," ")</f>
        <v> </v>
      </c>
      <c r="P295" s="334" t="str">
        <f aca="false">IF((E295="m"),G295," ")</f>
        <v> </v>
      </c>
      <c r="Q295" s="334" t="str">
        <f aca="false">IF((E295="t"),G295," ")</f>
        <v> </v>
      </c>
      <c r="R295" s="334" t="str">
        <f aca="false">IF((E295="a"),G295," ")</f>
        <v> </v>
      </c>
      <c r="S295" s="334" t="str">
        <f aca="false">IF((E295="l"),G295," ")</f>
        <v> </v>
      </c>
      <c r="T295" s="334" t="str">
        <f aca="false">IF((E295="b"),G295," ")</f>
        <v> </v>
      </c>
      <c r="U295" s="334" t="str">
        <f aca="false">IF((E295="i"),G295," ")</f>
        <v> </v>
      </c>
      <c r="V295" s="334" t="str">
        <f aca="false">IF((E295="o"),G295," ")</f>
        <v> </v>
      </c>
      <c r="W295" s="334" t="str">
        <f aca="false">IF((E295="f"),G295," ")</f>
        <v> </v>
      </c>
    </row>
    <row r="296" customFormat="false" ht="12.75" hidden="false" customHeight="false" outlineLevel="0" collapsed="false">
      <c r="A296" s="355"/>
      <c r="E296" s="365" t="str">
        <f aca="false">IF((G296&lt;&gt;0),"Enter Letter"," ")</f>
        <v> </v>
      </c>
      <c r="J296" s="334" t="str">
        <f aca="false">IF((E296="s"),G296," ")</f>
        <v> </v>
      </c>
      <c r="K296" s="334" t="str">
        <f aca="false">IF((E296="d"),G296," ")</f>
        <v> </v>
      </c>
      <c r="L296" s="334" t="str">
        <f aca="false">IF((E296="e"),G296," ")</f>
        <v> </v>
      </c>
      <c r="M296" s="334" t="str">
        <f aca="false">IF((E296="p"),G296," ")</f>
        <v> </v>
      </c>
      <c r="N296" s="334" t="str">
        <f aca="false">IF((E296="r"),G296," ")</f>
        <v> </v>
      </c>
      <c r="O296" s="334" t="str">
        <f aca="false">IF((E296="g"),G296," ")</f>
        <v> </v>
      </c>
      <c r="P296" s="334" t="str">
        <f aca="false">IF((E296="m"),G296," ")</f>
        <v> </v>
      </c>
      <c r="Q296" s="334" t="str">
        <f aca="false">IF((E296="t"),G296," ")</f>
        <v> </v>
      </c>
      <c r="R296" s="334" t="str">
        <f aca="false">IF((E296="a"),G296," ")</f>
        <v> </v>
      </c>
      <c r="S296" s="334" t="str">
        <f aca="false">IF((E296="l"),G296," ")</f>
        <v> </v>
      </c>
      <c r="T296" s="334" t="str">
        <f aca="false">IF((E296="b"),G296," ")</f>
        <v> </v>
      </c>
      <c r="U296" s="334" t="str">
        <f aca="false">IF((E296="i"),G296," ")</f>
        <v> </v>
      </c>
      <c r="V296" s="334" t="str">
        <f aca="false">IF((E296="o"),G296," ")</f>
        <v> </v>
      </c>
      <c r="W296" s="334" t="str">
        <f aca="false">IF((E296="f"),G296," ")</f>
        <v> </v>
      </c>
    </row>
    <row r="297" customFormat="false" ht="12.75" hidden="false" customHeight="false" outlineLevel="0" collapsed="false">
      <c r="A297" s="355"/>
      <c r="E297" s="365" t="str">
        <f aca="false">IF((G297&lt;&gt;0),"Enter Letter"," ")</f>
        <v> </v>
      </c>
      <c r="J297" s="334" t="str">
        <f aca="false">IF((E297="s"),G297," ")</f>
        <v> </v>
      </c>
      <c r="K297" s="334" t="str">
        <f aca="false">IF((E297="d"),G297," ")</f>
        <v> </v>
      </c>
      <c r="L297" s="334" t="str">
        <f aca="false">IF((E297="e"),G297," ")</f>
        <v> </v>
      </c>
      <c r="M297" s="334" t="str">
        <f aca="false">IF((E297="p"),G297," ")</f>
        <v> </v>
      </c>
      <c r="N297" s="334" t="str">
        <f aca="false">IF((E297="r"),G297," ")</f>
        <v> </v>
      </c>
      <c r="O297" s="334" t="str">
        <f aca="false">IF((E297="g"),G297," ")</f>
        <v> </v>
      </c>
      <c r="P297" s="334" t="str">
        <f aca="false">IF((E297="m"),G297," ")</f>
        <v> </v>
      </c>
      <c r="Q297" s="334" t="str">
        <f aca="false">IF((E297="t"),G297," ")</f>
        <v> </v>
      </c>
      <c r="R297" s="334" t="str">
        <f aca="false">IF((E297="a"),G297," ")</f>
        <v> </v>
      </c>
      <c r="S297" s="334" t="str">
        <f aca="false">IF((E297="l"),G297," ")</f>
        <v> </v>
      </c>
      <c r="T297" s="334" t="str">
        <f aca="false">IF((E297="b"),G297," ")</f>
        <v> </v>
      </c>
      <c r="U297" s="334" t="str">
        <f aca="false">IF((E297="i"),G297," ")</f>
        <v> </v>
      </c>
      <c r="V297" s="334" t="str">
        <f aca="false">IF((E297="o"),G297," ")</f>
        <v> </v>
      </c>
      <c r="W297" s="334" t="str">
        <f aca="false">IF((E297="f"),G297," ")</f>
        <v> </v>
      </c>
    </row>
    <row r="298" customFormat="false" ht="12.75" hidden="false" customHeight="false" outlineLevel="0" collapsed="false">
      <c r="A298" s="355"/>
      <c r="E298" s="365" t="str">
        <f aca="false">IF((G298&lt;&gt;0),"Enter Letter"," ")</f>
        <v> </v>
      </c>
      <c r="J298" s="334" t="str">
        <f aca="false">IF((E298="s"),G298," ")</f>
        <v> </v>
      </c>
      <c r="K298" s="334" t="str">
        <f aca="false">IF((E298="d"),G298," ")</f>
        <v> </v>
      </c>
      <c r="L298" s="334" t="str">
        <f aca="false">IF((E298="e"),G298," ")</f>
        <v> </v>
      </c>
      <c r="M298" s="334" t="str">
        <f aca="false">IF((E298="p"),G298," ")</f>
        <v> </v>
      </c>
      <c r="N298" s="334" t="str">
        <f aca="false">IF((E298="r"),G298," ")</f>
        <v> </v>
      </c>
      <c r="O298" s="334" t="str">
        <f aca="false">IF((E298="g"),G298," ")</f>
        <v> </v>
      </c>
      <c r="P298" s="334" t="str">
        <f aca="false">IF((E298="m"),G298," ")</f>
        <v> </v>
      </c>
      <c r="Q298" s="334" t="str">
        <f aca="false">IF((E298="t"),G298," ")</f>
        <v> </v>
      </c>
      <c r="R298" s="334" t="str">
        <f aca="false">IF((E298="a"),G298," ")</f>
        <v> </v>
      </c>
      <c r="S298" s="334" t="str">
        <f aca="false">IF((E298="l"),G298," ")</f>
        <v> </v>
      </c>
      <c r="T298" s="334" t="str">
        <f aca="false">IF((E298="b"),G298," ")</f>
        <v> </v>
      </c>
      <c r="U298" s="334" t="str">
        <f aca="false">IF((E298="i"),G298," ")</f>
        <v> </v>
      </c>
      <c r="V298" s="334" t="str">
        <f aca="false">IF((E298="o"),G298," ")</f>
        <v> </v>
      </c>
      <c r="W298" s="334" t="str">
        <f aca="false">IF((E298="f"),G298," ")</f>
        <v> </v>
      </c>
    </row>
    <row r="299" customFormat="false" ht="12.75" hidden="false" customHeight="false" outlineLevel="0" collapsed="false">
      <c r="A299" s="355"/>
      <c r="E299" s="365" t="str">
        <f aca="false">IF((G299&lt;&gt;0),"Enter Letter"," ")</f>
        <v> </v>
      </c>
      <c r="J299" s="334" t="str">
        <f aca="false">IF((E299="s"),G299," ")</f>
        <v> </v>
      </c>
      <c r="K299" s="334" t="str">
        <f aca="false">IF((E299="d"),G299," ")</f>
        <v> </v>
      </c>
      <c r="L299" s="334" t="str">
        <f aca="false">IF((E299="e"),G299," ")</f>
        <v> </v>
      </c>
      <c r="M299" s="334" t="str">
        <f aca="false">IF((E299="p"),G299," ")</f>
        <v> </v>
      </c>
      <c r="N299" s="334" t="str">
        <f aca="false">IF((E299="r"),G299," ")</f>
        <v> </v>
      </c>
      <c r="O299" s="334" t="str">
        <f aca="false">IF((E299="g"),G299," ")</f>
        <v> </v>
      </c>
      <c r="P299" s="334" t="str">
        <f aca="false">IF((E299="m"),G299," ")</f>
        <v> </v>
      </c>
      <c r="Q299" s="334" t="str">
        <f aca="false">IF((E299="t"),G299," ")</f>
        <v> </v>
      </c>
      <c r="R299" s="334" t="str">
        <f aca="false">IF((E299="a"),G299," ")</f>
        <v> </v>
      </c>
      <c r="S299" s="334" t="str">
        <f aca="false">IF((E299="l"),G299," ")</f>
        <v> </v>
      </c>
      <c r="T299" s="334" t="str">
        <f aca="false">IF((E299="b"),G299," ")</f>
        <v> </v>
      </c>
      <c r="U299" s="334" t="str">
        <f aca="false">IF((E299="i"),G299," ")</f>
        <v> </v>
      </c>
      <c r="V299" s="334" t="str">
        <f aca="false">IF((E299="o"),G299," ")</f>
        <v> </v>
      </c>
      <c r="W299" s="334" t="str">
        <f aca="false">IF((E299="f"),G299," ")</f>
        <v> </v>
      </c>
    </row>
    <row r="300" customFormat="false" ht="12.75" hidden="false" customHeight="false" outlineLevel="0" collapsed="false">
      <c r="A300" s="355"/>
      <c r="B300" s="393"/>
      <c r="C300" s="393"/>
      <c r="D300" s="394"/>
      <c r="E300" s="395" t="str">
        <f aca="false">IF((G300&lt;&gt;0),"Enter Letter"," ")</f>
        <v> </v>
      </c>
      <c r="F300" s="396"/>
      <c r="G300" s="397"/>
      <c r="H300" s="360"/>
      <c r="I300" s="398"/>
      <c r="J300" s="356" t="str">
        <f aca="false">IF((E300="s"),G300," ")</f>
        <v> </v>
      </c>
      <c r="K300" s="356" t="str">
        <f aca="false">IF((E300="d"),G300," ")</f>
        <v> </v>
      </c>
      <c r="L300" s="356" t="str">
        <f aca="false">IF((E300="e"),G300," ")</f>
        <v> </v>
      </c>
      <c r="M300" s="356" t="str">
        <f aca="false">IF((E300="p"),G300," ")</f>
        <v> </v>
      </c>
      <c r="N300" s="356" t="str">
        <f aca="false">IF((E300="r"),G300," ")</f>
        <v> </v>
      </c>
      <c r="O300" s="356" t="str">
        <f aca="false">IF((E300="g"),G300," ")</f>
        <v> </v>
      </c>
      <c r="P300" s="356" t="str">
        <f aca="false">IF((E300="m"),G300," ")</f>
        <v> </v>
      </c>
      <c r="Q300" s="356" t="str">
        <f aca="false">IF((E300="t"),G300," ")</f>
        <v> </v>
      </c>
      <c r="R300" s="356" t="str">
        <f aca="false">IF((E300="a"),G300," ")</f>
        <v> </v>
      </c>
      <c r="S300" s="356" t="str">
        <f aca="false">IF((E300="l"),G300," ")</f>
        <v> </v>
      </c>
      <c r="T300" s="356" t="str">
        <f aca="false">IF((E300="b"),G300," ")</f>
        <v> </v>
      </c>
      <c r="U300" s="356" t="str">
        <f aca="false">IF((E300="i"),G300," ")</f>
        <v> </v>
      </c>
      <c r="V300" s="356" t="str">
        <f aca="false">IF((E300="o"),G300," ")</f>
        <v> </v>
      </c>
      <c r="W300" s="356" t="str">
        <f aca="false">IF((E300="f"),G300," ")</f>
        <v> </v>
      </c>
    </row>
  </sheetData>
  <mergeCells count="25">
    <mergeCell ref="A2:A4"/>
    <mergeCell ref="B2:B4"/>
    <mergeCell ref="C2:C4"/>
    <mergeCell ref="D2:D4"/>
    <mergeCell ref="E2:E3"/>
    <mergeCell ref="F2:F4"/>
    <mergeCell ref="G2:G3"/>
    <mergeCell ref="H2:H4"/>
    <mergeCell ref="I2:I4"/>
    <mergeCell ref="J2:J3"/>
    <mergeCell ref="K2:K3"/>
    <mergeCell ref="L2:L3"/>
    <mergeCell ref="M2:M3"/>
    <mergeCell ref="N2:N3"/>
    <mergeCell ref="O2:O3"/>
    <mergeCell ref="Q2:Q3"/>
    <mergeCell ref="R2:R3"/>
    <mergeCell ref="S2:S3"/>
    <mergeCell ref="T2:T3"/>
    <mergeCell ref="U2:U3"/>
    <mergeCell ref="V2:V3"/>
    <mergeCell ref="W2:W3"/>
    <mergeCell ref="X2:X4"/>
    <mergeCell ref="Y2:Z2"/>
    <mergeCell ref="Y3:Z3"/>
  </mergeCells>
  <dataValidations count="3">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5:A300" type="date">
      <formula1>38353</formula1>
      <formula2>53327</formula2>
    </dataValidation>
    <dataValidation allowBlank="true" errorStyle="stop" operator="between" prompt="An amount in this cell shows the total purchases in cell G1 does not agree with the totals in the analysis columns cells J1 to W&#10;&#10;CHECK all expense code letters have been entered correctly or any manual entries in the analysis correct&#10;" promptTitle="ERROR ALERT" showDropDown="false" showErrorMessage="true" showInputMessage="true" sqref="E1" type="none">
      <formula1>0</formula1>
      <formula2>0</formula2>
    </dataValidation>
    <dataValidation allowBlank="true" errorStyle="stop" operator="between" showDropDown="false" showErrorMessage="true" showInputMessage="false" sqref="E5:E300" type="list">
      <formula1>$J$4:$W$4</formula1>
      <formula2>0</formula2>
    </dataValidation>
  </dataValidations>
  <printOptions headings="false" gridLines="true" gridLinesSet="true" horizontalCentered="false" verticalCentered="false"/>
  <pageMargins left="0.315277777777778" right="0.472222222222222"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2" manualBreakCount="2">
    <brk id="9" man="true" max="65535" min="0"/>
    <brk id="22" man="true" max="65535" min="0"/>
  </colBreak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false" hidden="false" outlineLevel="0" max="1" min="1" style="333" width="9.15"/>
    <col collapsed="false" customWidth="true" hidden="false" outlineLevel="0" max="2" min="2" style="334" width="17.66"/>
    <col collapsed="false" customWidth="true" hidden="false" outlineLevel="0" max="3" min="3" style="335" width="11.32"/>
    <col collapsed="false" customWidth="true" hidden="false" outlineLevel="0" max="4" min="4" style="336" width="14.49"/>
    <col collapsed="false" customWidth="true" hidden="false" outlineLevel="0" max="5" min="5" style="337" width="7.66"/>
    <col collapsed="false" customWidth="true" hidden="false" outlineLevel="0" max="7" min="6" style="334" width="9.66"/>
    <col collapsed="false" customWidth="true" hidden="false" outlineLevel="0" max="8" min="8" style="338" width="9.66"/>
    <col collapsed="false" customWidth="true" hidden="false" outlineLevel="0" max="9" min="9" style="339" width="10.5"/>
    <col collapsed="false" customWidth="false" hidden="false" outlineLevel="0" max="257" min="10" style="334" width="9.15"/>
  </cols>
  <sheetData>
    <row r="1" s="348" customFormat="true" ht="12.75" hidden="false" customHeight="true" outlineLevel="0" collapsed="false">
      <c r="A1" s="340" t="s">
        <v>246</v>
      </c>
      <c r="B1" s="341" t="s">
        <v>247</v>
      </c>
      <c r="C1" s="342"/>
      <c r="D1" s="343" t="s">
        <v>248</v>
      </c>
      <c r="E1" s="344" t="n">
        <f aca="false">SUM(E4:E300)</f>
        <v>0</v>
      </c>
      <c r="F1" s="343" t="n">
        <f aca="false">SUM(F4:F300)</f>
        <v>36020</v>
      </c>
      <c r="G1" s="343" t="n">
        <f aca="false">SUM(G4:G300)</f>
        <v>0</v>
      </c>
      <c r="H1" s="345" t="n">
        <f aca="false">SUM(H4:H300)</f>
        <v>0</v>
      </c>
      <c r="I1" s="346" t="n">
        <f aca="true">TODAY()</f>
        <v>46138</v>
      </c>
      <c r="J1" s="343" t="n">
        <f aca="false">SUM(J4:J300)</f>
        <v>0</v>
      </c>
      <c r="K1" s="347" t="n">
        <f aca="false">J1+SalesJul!K1</f>
        <v>0</v>
      </c>
    </row>
    <row r="2" s="348" customFormat="true" ht="12.75" hidden="false" customHeight="true" outlineLevel="0" collapsed="false">
      <c r="A2" s="340"/>
      <c r="B2" s="341"/>
      <c r="C2" s="349" t="s">
        <v>249</v>
      </c>
      <c r="D2" s="350" t="s">
        <v>250</v>
      </c>
      <c r="E2" s="351" t="s">
        <v>251</v>
      </c>
      <c r="F2" s="341" t="s">
        <v>252</v>
      </c>
      <c r="G2" s="341" t="s">
        <v>253</v>
      </c>
      <c r="H2" s="352" t="s">
        <v>254</v>
      </c>
      <c r="I2" s="353" t="s">
        <v>255</v>
      </c>
      <c r="J2" s="341" t="s">
        <v>256</v>
      </c>
      <c r="K2" s="341"/>
    </row>
    <row r="3" s="354" customFormat="true" ht="38.25" hidden="false" customHeight="true" outlineLevel="0" collapsed="false">
      <c r="A3" s="340"/>
      <c r="B3" s="341"/>
      <c r="C3" s="349"/>
      <c r="D3" s="350"/>
      <c r="E3" s="351"/>
      <c r="F3" s="351"/>
      <c r="G3" s="351"/>
      <c r="H3" s="352"/>
      <c r="I3" s="353"/>
      <c r="J3" s="341" t="s">
        <v>257</v>
      </c>
      <c r="K3" s="341" t="s">
        <v>258</v>
      </c>
    </row>
    <row r="4" customFormat="false" ht="12.75" hidden="false" customHeight="false" outlineLevel="0" collapsed="false">
      <c r="A4" s="355" t="n">
        <v>45870</v>
      </c>
      <c r="B4" s="334" t="s">
        <v>371</v>
      </c>
      <c r="F4" s="334" t="n">
        <v>2500</v>
      </c>
      <c r="I4" s="339" t="n">
        <f aca="false">IF((F4&lt;&gt;0),IF((D4&gt;0)," ",(I$1-A4))," ")</f>
        <v>268</v>
      </c>
    </row>
    <row r="5" customFormat="false" ht="12.75" hidden="false" customHeight="false" outlineLevel="0" collapsed="false">
      <c r="A5" s="355" t="n">
        <v>45872</v>
      </c>
      <c r="B5" s="334" t="s">
        <v>259</v>
      </c>
      <c r="F5" s="334" t="n">
        <v>360</v>
      </c>
      <c r="I5" s="339" t="n">
        <f aca="false">IF((F5&lt;&gt;0),IF((D5&gt;0)," ",(I$1-A5))," ")</f>
        <v>266</v>
      </c>
    </row>
    <row r="6" customFormat="false" ht="12.75" hidden="false" customHeight="false" outlineLevel="0" collapsed="false">
      <c r="A6" s="355" t="n">
        <v>45874</v>
      </c>
      <c r="B6" s="334" t="s">
        <v>260</v>
      </c>
      <c r="F6" s="334" t="n">
        <v>600</v>
      </c>
      <c r="I6" s="339" t="n">
        <f aca="false">IF((F6&lt;&gt;0),IF((D6&gt;0)," ",(I$1-A6))," ")</f>
        <v>264</v>
      </c>
    </row>
    <row r="7" customFormat="false" ht="12.75" hidden="false" customHeight="false" outlineLevel="0" collapsed="false">
      <c r="A7" s="355" t="n">
        <v>45877</v>
      </c>
      <c r="B7" s="334" t="s">
        <v>261</v>
      </c>
      <c r="F7" s="334" t="n">
        <v>480</v>
      </c>
      <c r="I7" s="339" t="n">
        <f aca="false">IF((F7&lt;&gt;0),IF((D7&gt;0)," ",(I$1-A7))," ")</f>
        <v>261</v>
      </c>
    </row>
    <row r="8" customFormat="false" ht="12.75" hidden="false" customHeight="false" outlineLevel="0" collapsed="false">
      <c r="A8" s="355" t="n">
        <v>45879</v>
      </c>
      <c r="B8" s="334" t="s">
        <v>262</v>
      </c>
      <c r="F8" s="334" t="n">
        <v>720</v>
      </c>
      <c r="I8" s="339" t="n">
        <f aca="false">IF((F8&lt;&gt;0),IF((D8&gt;0)," ",(I$1-A8))," ")</f>
        <v>259</v>
      </c>
    </row>
    <row r="9" customFormat="false" ht="12.75" hidden="false" customHeight="false" outlineLevel="0" collapsed="false">
      <c r="A9" s="355" t="n">
        <v>45881</v>
      </c>
      <c r="B9" s="334" t="s">
        <v>341</v>
      </c>
      <c r="F9" s="334" t="n">
        <v>960</v>
      </c>
      <c r="I9" s="339" t="n">
        <f aca="false">IF((F9&lt;&gt;0),IF((D9&gt;0)," ",(I$1-A9))," ")</f>
        <v>257</v>
      </c>
    </row>
    <row r="10" customFormat="false" ht="12.75" hidden="false" customHeight="false" outlineLevel="0" collapsed="false">
      <c r="A10" s="355" t="n">
        <v>45884</v>
      </c>
      <c r="B10" s="334" t="s">
        <v>235</v>
      </c>
      <c r="F10" s="334" t="n">
        <v>25000</v>
      </c>
      <c r="I10" s="339" t="n">
        <f aca="false">IF((F10&lt;&gt;0),IF((D10&gt;0)," ",(I$1-A10))," ")</f>
        <v>254</v>
      </c>
    </row>
    <row r="11" customFormat="false" ht="12.75" hidden="false" customHeight="false" outlineLevel="0" collapsed="false">
      <c r="A11" s="355" t="n">
        <v>45887</v>
      </c>
      <c r="B11" s="334" t="s">
        <v>237</v>
      </c>
      <c r="F11" s="334" t="n">
        <v>2400</v>
      </c>
      <c r="I11" s="339" t="n">
        <f aca="false">IF((F11&lt;&gt;0),IF((D11&gt;0)," ",(I$1-A11))," ")</f>
        <v>251</v>
      </c>
    </row>
    <row r="12" customFormat="false" ht="12.75" hidden="false" customHeight="false" outlineLevel="0" collapsed="false">
      <c r="A12" s="355" t="n">
        <v>45889</v>
      </c>
      <c r="B12" s="334" t="s">
        <v>263</v>
      </c>
      <c r="F12" s="334" t="n">
        <v>1800</v>
      </c>
      <c r="I12" s="339" t="n">
        <f aca="false">IF((F12&lt;&gt;0),IF((D12&gt;0)," ",(I$1-A12))," ")</f>
        <v>249</v>
      </c>
    </row>
    <row r="13" customFormat="false" ht="12.75" hidden="false" customHeight="false" outlineLevel="0" collapsed="false">
      <c r="A13" s="355" t="n">
        <v>45894</v>
      </c>
      <c r="B13" s="334" t="s">
        <v>343</v>
      </c>
      <c r="F13" s="334" t="n">
        <v>1200</v>
      </c>
      <c r="I13" s="339" t="n">
        <f aca="false">IF((F13&lt;&gt;0),IF((D13&gt;0)," ",(I$1-A13))," ")</f>
        <v>244</v>
      </c>
    </row>
    <row r="14" customFormat="false" ht="12.75" hidden="false" customHeight="false" outlineLevel="0" collapsed="false">
      <c r="A14" s="355"/>
      <c r="I14" s="339" t="str">
        <f aca="false">IF((F14&lt;&gt;0),IF((D14&gt;0)," ",(I$1-A14))," ")</f>
        <v> </v>
      </c>
    </row>
    <row r="15" customFormat="false" ht="12.75" hidden="false" customHeight="false" outlineLevel="0" collapsed="false">
      <c r="A15" s="355"/>
      <c r="I15" s="339" t="str">
        <f aca="false">IF((F15&lt;&gt;0),IF((D15&gt;0)," ",(I$1-A15))," ")</f>
        <v> </v>
      </c>
    </row>
    <row r="16" customFormat="false" ht="12.75" hidden="false" customHeight="false" outlineLevel="0" collapsed="false">
      <c r="A16" s="355"/>
      <c r="I16" s="339" t="str">
        <f aca="false">IF((F16&lt;&gt;0),IF((D16&gt;0)," ",(I$1-A16))," ")</f>
        <v> </v>
      </c>
    </row>
    <row r="17" customFormat="false" ht="12.75" hidden="false" customHeight="false" outlineLevel="0" collapsed="false">
      <c r="A17" s="355"/>
      <c r="I17" s="339" t="str">
        <f aca="false">IF((F17&lt;&gt;0),IF((D17&gt;0)," ",(I$1-A17))," ")</f>
        <v> </v>
      </c>
    </row>
    <row r="18" customFormat="false" ht="12.75" hidden="false" customHeight="false" outlineLevel="0" collapsed="false">
      <c r="A18" s="355"/>
      <c r="I18" s="339" t="str">
        <f aca="false">IF((F18&lt;&gt;0),IF((D18&gt;0)," ",(I$1-A18))," ")</f>
        <v> </v>
      </c>
    </row>
    <row r="19" customFormat="false" ht="12.75" hidden="false" customHeight="false" outlineLevel="0" collapsed="false">
      <c r="A19" s="355"/>
      <c r="I19" s="339" t="str">
        <f aca="false">IF((F19&lt;&gt;0),IF((D19&gt;0)," ",(I$1-A19))," ")</f>
        <v> </v>
      </c>
    </row>
    <row r="20" customFormat="false" ht="12.75" hidden="false" customHeight="false" outlineLevel="0" collapsed="false">
      <c r="A20" s="355"/>
      <c r="I20" s="339" t="str">
        <f aca="false">IF((F20&lt;&gt;0),IF((D20&gt;0)," ",(I$1-A20))," ")</f>
        <v> </v>
      </c>
    </row>
    <row r="21" customFormat="false" ht="12.75" hidden="false" customHeight="false" outlineLevel="0" collapsed="false">
      <c r="A21" s="355"/>
      <c r="I21" s="339" t="str">
        <f aca="false">IF((F21&lt;&gt;0),IF((D21&gt;0)," ",(I$1-A21))," ")</f>
        <v> </v>
      </c>
    </row>
    <row r="22" customFormat="false" ht="12.75" hidden="false" customHeight="false" outlineLevel="0" collapsed="false">
      <c r="A22" s="355"/>
      <c r="I22" s="339" t="str">
        <f aca="false">IF((F22&lt;&gt;0),IF((D22&gt;0)," ",(I$1-A22))," ")</f>
        <v> </v>
      </c>
    </row>
    <row r="23" customFormat="false" ht="12.75" hidden="false" customHeight="false" outlineLevel="0" collapsed="false">
      <c r="A23" s="355"/>
      <c r="I23" s="339" t="str">
        <f aca="false">IF((F23&lt;&gt;0),IF((D23&gt;0)," ",(I$1-A23))," ")</f>
        <v> </v>
      </c>
    </row>
    <row r="24" customFormat="false" ht="12.75" hidden="false" customHeight="false" outlineLevel="0" collapsed="false">
      <c r="A24" s="355"/>
      <c r="I24" s="339" t="str">
        <f aca="false">IF((F24&lt;&gt;0),IF((D24&gt;0)," ",(I$1-A24))," ")</f>
        <v> </v>
      </c>
    </row>
    <row r="25" customFormat="false" ht="12.75" hidden="false" customHeight="false" outlineLevel="0" collapsed="false">
      <c r="A25" s="355"/>
      <c r="I25" s="339" t="str">
        <f aca="false">IF((F25&lt;&gt;0),IF((D25&gt;0)," ",(I$1-A25))," ")</f>
        <v> </v>
      </c>
    </row>
    <row r="26" customFormat="false" ht="12.75" hidden="false" customHeight="false" outlineLevel="0" collapsed="false">
      <c r="A26" s="355"/>
      <c r="I26" s="339" t="str">
        <f aca="false">IF((F26&lt;&gt;0),IF((D26&gt;0)," ",(I$1-A26))," ")</f>
        <v> </v>
      </c>
    </row>
    <row r="27" customFormat="false" ht="12.75" hidden="false" customHeight="false" outlineLevel="0" collapsed="false">
      <c r="A27" s="355"/>
      <c r="I27" s="339" t="str">
        <f aca="false">IF((F27&lt;&gt;0),IF((D27&gt;0)," ",(I$1-A27))," ")</f>
        <v> </v>
      </c>
    </row>
    <row r="28" customFormat="false" ht="12.75" hidden="false" customHeight="false" outlineLevel="0" collapsed="false">
      <c r="A28" s="355"/>
      <c r="I28" s="339" t="str">
        <f aca="false">IF((F28&lt;&gt;0),IF((D28&gt;0)," ",(I$1-A28))," ")</f>
        <v> </v>
      </c>
    </row>
    <row r="29" customFormat="false" ht="12.75" hidden="false" customHeight="false" outlineLevel="0" collapsed="false">
      <c r="A29" s="355"/>
      <c r="I29" s="339" t="str">
        <f aca="false">IF((F29&lt;&gt;0),IF((D29&gt;0)," ",(I$1-A29))," ")</f>
        <v> </v>
      </c>
    </row>
    <row r="30" customFormat="false" ht="12.75" hidden="false" customHeight="false" outlineLevel="0" collapsed="false">
      <c r="A30" s="355"/>
      <c r="I30" s="339" t="str">
        <f aca="false">IF((F30&lt;&gt;0),IF((D30&gt;0)," ",(I$1-A30))," ")</f>
        <v> </v>
      </c>
    </row>
    <row r="31" customFormat="false" ht="12.75" hidden="false" customHeight="false" outlineLevel="0" collapsed="false">
      <c r="A31" s="355"/>
      <c r="I31" s="339" t="str">
        <f aca="false">IF((F31&lt;&gt;0),IF((D31&gt;0)," ",(I$1-A31))," ")</f>
        <v> </v>
      </c>
    </row>
    <row r="32" customFormat="false" ht="12.75" hidden="false" customHeight="false" outlineLevel="0" collapsed="false">
      <c r="A32" s="355"/>
      <c r="I32" s="339" t="str">
        <f aca="false">IF((F32&lt;&gt;0),IF((D32&gt;0)," ",(I$1-A32))," ")</f>
        <v> </v>
      </c>
    </row>
    <row r="33" customFormat="false" ht="12.75" hidden="false" customHeight="false" outlineLevel="0" collapsed="false">
      <c r="A33" s="355"/>
      <c r="I33" s="339" t="str">
        <f aca="false">IF((F33&lt;&gt;0),IF((D33&gt;0)," ",(I$1-A33))," ")</f>
        <v> </v>
      </c>
    </row>
    <row r="34" customFormat="false" ht="12.75" hidden="false" customHeight="false" outlineLevel="0" collapsed="false">
      <c r="A34" s="355"/>
      <c r="I34" s="339" t="str">
        <f aca="false">IF((F34&lt;&gt;0),IF((D34&gt;0)," ",(I$1-A34))," ")</f>
        <v> </v>
      </c>
    </row>
    <row r="35" customFormat="false" ht="12.75" hidden="false" customHeight="false" outlineLevel="0" collapsed="false">
      <c r="A35" s="355"/>
      <c r="I35" s="339" t="str">
        <f aca="false">IF((F35&lt;&gt;0),IF((D35&gt;0)," ",(I$1-A35))," ")</f>
        <v> </v>
      </c>
    </row>
    <row r="36" customFormat="false" ht="12.75" hidden="false" customHeight="false" outlineLevel="0" collapsed="false">
      <c r="A36" s="355"/>
      <c r="I36" s="339" t="str">
        <f aca="false">IF((F36&lt;&gt;0),IF((D36&gt;0)," ",(I$1-A36))," ")</f>
        <v> </v>
      </c>
    </row>
    <row r="37" customFormat="false" ht="12.75" hidden="false" customHeight="false" outlineLevel="0" collapsed="false">
      <c r="A37" s="355"/>
      <c r="I37" s="339" t="str">
        <f aca="false">IF((F37&lt;&gt;0),IF((D37&gt;0)," ",(I$1-A37))," ")</f>
        <v> </v>
      </c>
    </row>
    <row r="38" customFormat="false" ht="12.75" hidden="false" customHeight="false" outlineLevel="0" collapsed="false">
      <c r="A38" s="355"/>
      <c r="I38" s="339" t="str">
        <f aca="false">IF((F38&lt;&gt;0),IF((D38&gt;0)," ",(I$1-A38))," ")</f>
        <v> </v>
      </c>
    </row>
    <row r="39" customFormat="false" ht="12.75" hidden="false" customHeight="false" outlineLevel="0" collapsed="false">
      <c r="A39" s="355"/>
      <c r="I39" s="339" t="str">
        <f aca="false">IF((F39&lt;&gt;0),IF((D39&gt;0)," ",(I$1-A39))," ")</f>
        <v> </v>
      </c>
    </row>
    <row r="40" customFormat="false" ht="12.75" hidden="false" customHeight="false" outlineLevel="0" collapsed="false">
      <c r="A40" s="355"/>
      <c r="I40" s="339" t="str">
        <f aca="false">IF((F40&lt;&gt;0),IF((D40&gt;0)," ",(I$1-A40))," ")</f>
        <v> </v>
      </c>
    </row>
    <row r="41" customFormat="false" ht="12.75" hidden="false" customHeight="false" outlineLevel="0" collapsed="false">
      <c r="A41" s="355"/>
      <c r="I41" s="339" t="str">
        <f aca="false">IF((F41&lt;&gt;0),IF((D41&gt;0)," ",(I$1-A41))," ")</f>
        <v> </v>
      </c>
    </row>
    <row r="42" customFormat="false" ht="12.75" hidden="false" customHeight="false" outlineLevel="0" collapsed="false">
      <c r="A42" s="355"/>
      <c r="I42" s="339" t="str">
        <f aca="false">IF((F42&lt;&gt;0),IF((D42&gt;0)," ",(I$1-A42))," ")</f>
        <v> </v>
      </c>
    </row>
    <row r="43" customFormat="false" ht="12.75" hidden="false" customHeight="false" outlineLevel="0" collapsed="false">
      <c r="A43" s="355"/>
      <c r="I43" s="339" t="str">
        <f aca="false">IF((F43&lt;&gt;0),IF((D43&gt;0)," ",(I$1-A43))," ")</f>
        <v> </v>
      </c>
    </row>
    <row r="44" customFormat="false" ht="12.75" hidden="false" customHeight="false" outlineLevel="0" collapsed="false">
      <c r="A44" s="355"/>
      <c r="I44" s="339" t="str">
        <f aca="false">IF((F44&lt;&gt;0),IF((D44&gt;0)," ",(I$1-A44))," ")</f>
        <v> </v>
      </c>
    </row>
    <row r="45" customFormat="false" ht="12.75" hidden="false" customHeight="false" outlineLevel="0" collapsed="false">
      <c r="A45" s="355"/>
      <c r="I45" s="339" t="str">
        <f aca="false">IF((F45&lt;&gt;0),IF((D45&gt;0)," ",(I$1-A45))," ")</f>
        <v> </v>
      </c>
    </row>
    <row r="46" customFormat="false" ht="12.75" hidden="false" customHeight="false" outlineLevel="0" collapsed="false">
      <c r="A46" s="355"/>
      <c r="I46" s="339" t="str">
        <f aca="false">IF((F46&lt;&gt;0),IF((D46&gt;0)," ",(I$1-A46))," ")</f>
        <v> </v>
      </c>
    </row>
    <row r="47" customFormat="false" ht="12.75" hidden="false" customHeight="false" outlineLevel="0" collapsed="false">
      <c r="A47" s="355"/>
      <c r="I47" s="339" t="str">
        <f aca="false">IF((F47&lt;&gt;0),IF((D47&gt;0)," ",(I$1-A47))," ")</f>
        <v> </v>
      </c>
    </row>
    <row r="48" customFormat="false" ht="12.75" hidden="false" customHeight="false" outlineLevel="0" collapsed="false">
      <c r="A48" s="355"/>
      <c r="I48" s="339" t="str">
        <f aca="false">IF((F48&lt;&gt;0),IF((D48&gt;0)," ",(I$1-A48))," ")</f>
        <v> </v>
      </c>
    </row>
    <row r="49" customFormat="false" ht="12.75" hidden="false" customHeight="false" outlineLevel="0" collapsed="false">
      <c r="A49" s="355"/>
      <c r="I49" s="339" t="str">
        <f aca="false">IF((F49&lt;&gt;0),IF((D49&gt;0)," ",(I$1-A49))," ")</f>
        <v> </v>
      </c>
    </row>
    <row r="50" customFormat="false" ht="12.75" hidden="false" customHeight="false" outlineLevel="0" collapsed="false">
      <c r="A50" s="355"/>
      <c r="I50" s="339" t="str">
        <f aca="false">IF((F50&lt;&gt;0),IF((D50&gt;0)," ",(I$1-A50))," ")</f>
        <v> </v>
      </c>
    </row>
    <row r="51" customFormat="false" ht="12.75" hidden="false" customHeight="false" outlineLevel="0" collapsed="false">
      <c r="A51" s="355"/>
      <c r="I51" s="339" t="str">
        <f aca="false">IF((F51&lt;&gt;0),IF((D51&gt;0)," ",(I$1-A51))," ")</f>
        <v> </v>
      </c>
    </row>
    <row r="52" customFormat="false" ht="12.75" hidden="false" customHeight="false" outlineLevel="0" collapsed="false">
      <c r="A52" s="355"/>
      <c r="I52" s="339" t="str">
        <f aca="false">IF((F52&lt;&gt;0),IF((D52&gt;0)," ",(I$1-A52))," ")</f>
        <v> </v>
      </c>
    </row>
    <row r="53" customFormat="false" ht="12.75" hidden="false" customHeight="false" outlineLevel="0" collapsed="false">
      <c r="A53" s="355"/>
      <c r="I53" s="339" t="str">
        <f aca="false">IF((F53&lt;&gt;0),IF((D53&gt;0)," ",(I$1-A53))," ")</f>
        <v> </v>
      </c>
    </row>
    <row r="54" customFormat="false" ht="12.75" hidden="false" customHeight="false" outlineLevel="0" collapsed="false">
      <c r="A54" s="355"/>
      <c r="I54" s="339" t="str">
        <f aca="false">IF((F54&lt;&gt;0),IF((D54&gt;0)," ",(I$1-A54))," ")</f>
        <v> </v>
      </c>
    </row>
    <row r="55" customFormat="false" ht="12.75" hidden="false" customHeight="false" outlineLevel="0" collapsed="false">
      <c r="A55" s="355"/>
      <c r="I55" s="339" t="str">
        <f aca="false">IF((F55&lt;&gt;0),IF((D55&gt;0)," ",(I$1-A55))," ")</f>
        <v> </v>
      </c>
    </row>
    <row r="56" customFormat="false" ht="12.75" hidden="false" customHeight="false" outlineLevel="0" collapsed="false">
      <c r="A56" s="355"/>
      <c r="I56" s="339" t="str">
        <f aca="false">IF((F56&lt;&gt;0),IF((D56&gt;0)," ",(I$1-A56))," ")</f>
        <v> </v>
      </c>
    </row>
    <row r="57" customFormat="false" ht="12.75" hidden="false" customHeight="false" outlineLevel="0" collapsed="false">
      <c r="A57" s="355"/>
      <c r="I57" s="339" t="str">
        <f aca="false">IF((F57&lt;&gt;0),IF((D57&gt;0)," ",(I$1-A57))," ")</f>
        <v> </v>
      </c>
    </row>
    <row r="58" customFormat="false" ht="12.75" hidden="false" customHeight="false" outlineLevel="0" collapsed="false">
      <c r="A58" s="355"/>
      <c r="I58" s="339" t="str">
        <f aca="false">IF((F58&lt;&gt;0),IF((D58&gt;0)," ",(I$1-A58))," ")</f>
        <v> </v>
      </c>
    </row>
    <row r="59" customFormat="false" ht="12.75" hidden="false" customHeight="false" outlineLevel="0" collapsed="false">
      <c r="A59" s="355"/>
      <c r="I59" s="339" t="str">
        <f aca="false">IF((F59&lt;&gt;0),IF((D59&gt;0)," ",(I$1-A59))," ")</f>
        <v> </v>
      </c>
    </row>
    <row r="60" customFormat="false" ht="12.75" hidden="false" customHeight="false" outlineLevel="0" collapsed="false">
      <c r="A60" s="355"/>
      <c r="I60" s="339" t="str">
        <f aca="false">IF((F60&lt;&gt;0),IF((D60&gt;0)," ",(I$1-A60))," ")</f>
        <v> </v>
      </c>
    </row>
    <row r="61" customFormat="false" ht="12.75" hidden="false" customHeight="false" outlineLevel="0" collapsed="false">
      <c r="A61" s="355"/>
      <c r="I61" s="339" t="str">
        <f aca="false">IF((F61&lt;&gt;0),IF((D61&gt;0)," ",(I$1-A61))," ")</f>
        <v> </v>
      </c>
    </row>
    <row r="62" customFormat="false" ht="12.75" hidden="false" customHeight="false" outlineLevel="0" collapsed="false">
      <c r="A62" s="355"/>
      <c r="I62" s="339" t="str">
        <f aca="false">IF((F62&lt;&gt;0),IF((D62&gt;0)," ",(I$1-A62))," ")</f>
        <v> </v>
      </c>
    </row>
    <row r="63" customFormat="false" ht="12.75" hidden="false" customHeight="false" outlineLevel="0" collapsed="false">
      <c r="A63" s="355"/>
      <c r="I63" s="339" t="str">
        <f aca="false">IF((F63&lt;&gt;0),IF((D63&gt;0)," ",(I$1-A63))," ")</f>
        <v> </v>
      </c>
    </row>
    <row r="64" customFormat="false" ht="12.75" hidden="false" customHeight="false" outlineLevel="0" collapsed="false">
      <c r="A64" s="355"/>
      <c r="I64" s="339" t="str">
        <f aca="false">IF((F64&lt;&gt;0),IF((D64&gt;0)," ",(I$1-A64))," ")</f>
        <v> </v>
      </c>
    </row>
    <row r="65" customFormat="false" ht="12.75" hidden="false" customHeight="false" outlineLevel="0" collapsed="false">
      <c r="A65" s="355"/>
      <c r="I65" s="339" t="str">
        <f aca="false">IF((F65&lt;&gt;0),IF((D65&gt;0)," ",(I$1-A65))," ")</f>
        <v> </v>
      </c>
    </row>
    <row r="66" customFormat="false" ht="12.75" hidden="false" customHeight="false" outlineLevel="0" collapsed="false">
      <c r="A66" s="355"/>
      <c r="I66" s="339" t="str">
        <f aca="false">IF((F66&lt;&gt;0),IF((D66&gt;0)," ",(I$1-A66))," ")</f>
        <v> </v>
      </c>
    </row>
    <row r="67" customFormat="false" ht="12.75" hidden="false" customHeight="false" outlineLevel="0" collapsed="false">
      <c r="A67" s="355"/>
      <c r="I67" s="339" t="str">
        <f aca="false">IF((F67&lt;&gt;0),IF((D67&gt;0)," ",(I$1-A67))," ")</f>
        <v> </v>
      </c>
    </row>
    <row r="68" customFormat="false" ht="12.75" hidden="false" customHeight="false" outlineLevel="0" collapsed="false">
      <c r="A68" s="355"/>
      <c r="H68" s="338" t="str">
        <f aca="false">IF((F68&lt;&gt;0),IF((D68&gt;0)," ",F68)," ")</f>
        <v> </v>
      </c>
      <c r="I68" s="339" t="str">
        <f aca="false">IF((F68&lt;&gt;0),IF((D68&gt;0)," ",(I$1-A68))," ")</f>
        <v> </v>
      </c>
    </row>
    <row r="69" customFormat="false" ht="12.75" hidden="false" customHeight="false" outlineLevel="0" collapsed="false">
      <c r="A69" s="355"/>
      <c r="H69" s="338" t="str">
        <f aca="false">IF((F69&lt;&gt;0),IF((D69&gt;0)," ",F69)," ")</f>
        <v> </v>
      </c>
      <c r="I69" s="339" t="str">
        <f aca="false">IF((F69&lt;&gt;0),IF((D69&gt;0)," ",(I$1-A69))," ")</f>
        <v> </v>
      </c>
    </row>
    <row r="70" customFormat="false" ht="12.75" hidden="false" customHeight="false" outlineLevel="0" collapsed="false">
      <c r="A70" s="355"/>
      <c r="H70" s="338" t="str">
        <f aca="false">IF((F70&lt;&gt;0),IF((D70&gt;0)," ",F70)," ")</f>
        <v> </v>
      </c>
      <c r="I70" s="339" t="str">
        <f aca="false">IF((F70&lt;&gt;0),IF((D70&gt;0)," ",(I$1-A70))," ")</f>
        <v> </v>
      </c>
    </row>
    <row r="71" customFormat="false" ht="12.75" hidden="false" customHeight="false" outlineLevel="0" collapsed="false">
      <c r="A71" s="355"/>
      <c r="H71" s="338" t="str">
        <f aca="false">IF((F71&lt;&gt;0),IF((D71&gt;0)," ",F71)," ")</f>
        <v> </v>
      </c>
      <c r="I71" s="339" t="str">
        <f aca="false">IF((F71&lt;&gt;0),IF((D71&gt;0)," ",(I$1-A71))," ")</f>
        <v> </v>
      </c>
    </row>
    <row r="72" customFormat="false" ht="12.75" hidden="false" customHeight="false" outlineLevel="0" collapsed="false">
      <c r="A72" s="355"/>
      <c r="H72" s="338" t="str">
        <f aca="false">IF((F72&lt;&gt;0),IF((D72&gt;0)," ",F72)," ")</f>
        <v> </v>
      </c>
      <c r="I72" s="339" t="str">
        <f aca="false">IF((F72&lt;&gt;0),IF((D72&gt;0)," ",(I$1-A72))," ")</f>
        <v> </v>
      </c>
    </row>
    <row r="73" customFormat="false" ht="12.75" hidden="false" customHeight="false" outlineLevel="0" collapsed="false">
      <c r="A73" s="355"/>
      <c r="H73" s="338" t="str">
        <f aca="false">IF((F73&lt;&gt;0),IF((D73&gt;0)," ",F73)," ")</f>
        <v> </v>
      </c>
      <c r="I73" s="339" t="str">
        <f aca="false">IF((F73&lt;&gt;0),IF((D73&gt;0)," ",(I$1-A73))," ")</f>
        <v> </v>
      </c>
    </row>
    <row r="74" customFormat="false" ht="12.75" hidden="false" customHeight="false" outlineLevel="0" collapsed="false">
      <c r="A74" s="355"/>
      <c r="H74" s="338" t="str">
        <f aca="false">IF((F74&lt;&gt;0),IF((D74&gt;0)," ",F74)," ")</f>
        <v> </v>
      </c>
      <c r="I74" s="339" t="str">
        <f aca="false">IF((F74&lt;&gt;0),IF((D74&gt;0)," ",(I$1-A74))," ")</f>
        <v> </v>
      </c>
    </row>
    <row r="75" customFormat="false" ht="12.75" hidden="false" customHeight="false" outlineLevel="0" collapsed="false">
      <c r="A75" s="355"/>
      <c r="H75" s="338" t="str">
        <f aca="false">IF((F75&lt;&gt;0),IF((D75&gt;0)," ",F75)," ")</f>
        <v> </v>
      </c>
      <c r="I75" s="339" t="str">
        <f aca="false">IF((F75&lt;&gt;0),IF((D75&gt;0)," ",(I$1-A75))," ")</f>
        <v> </v>
      </c>
    </row>
    <row r="76" customFormat="false" ht="12.75" hidden="false" customHeight="false" outlineLevel="0" collapsed="false">
      <c r="A76" s="355"/>
      <c r="H76" s="338" t="str">
        <f aca="false">IF((F76&lt;&gt;0),IF((D76&gt;0)," ",F76)," ")</f>
        <v> </v>
      </c>
      <c r="I76" s="339" t="str">
        <f aca="false">IF((F76&lt;&gt;0),IF((D76&gt;0)," ",(I$1-A76))," ")</f>
        <v> </v>
      </c>
    </row>
    <row r="77" customFormat="false" ht="12.75" hidden="false" customHeight="false" outlineLevel="0" collapsed="false">
      <c r="A77" s="355"/>
      <c r="H77" s="338" t="str">
        <f aca="false">IF((F77&lt;&gt;0),IF((D77&gt;0)," ",F77)," ")</f>
        <v> </v>
      </c>
      <c r="I77" s="339" t="str">
        <f aca="false">IF((F77&lt;&gt;0),IF((D77&gt;0)," ",(I$1-A77))," ")</f>
        <v> </v>
      </c>
    </row>
    <row r="78" customFormat="false" ht="12.75" hidden="false" customHeight="false" outlineLevel="0" collapsed="false">
      <c r="A78" s="355"/>
      <c r="H78" s="338" t="str">
        <f aca="false">IF((F78&lt;&gt;0),IF((D78&gt;0)," ",F78)," ")</f>
        <v> </v>
      </c>
      <c r="I78" s="339" t="str">
        <f aca="false">IF((F78&lt;&gt;0),IF((D78&gt;0)," ",(I$1-A78))," ")</f>
        <v> </v>
      </c>
    </row>
    <row r="79" customFormat="false" ht="12.75" hidden="false" customHeight="false" outlineLevel="0" collapsed="false">
      <c r="A79" s="355"/>
      <c r="H79" s="338" t="str">
        <f aca="false">IF((F79&lt;&gt;0),IF((D79&gt;0)," ",F79)," ")</f>
        <v> </v>
      </c>
      <c r="I79" s="339" t="str">
        <f aca="false">IF((F79&lt;&gt;0),IF((D79&gt;0)," ",(I$1-A79))," ")</f>
        <v> </v>
      </c>
    </row>
    <row r="80" customFormat="false" ht="12.75" hidden="false" customHeight="false" outlineLevel="0" collapsed="false">
      <c r="A80" s="355"/>
      <c r="H80" s="338" t="str">
        <f aca="false">IF((F80&lt;&gt;0),IF((D80&gt;0)," ",F80)," ")</f>
        <v> </v>
      </c>
      <c r="I80" s="339" t="str">
        <f aca="false">IF((F80&lt;&gt;0),IF((D80&gt;0)," ",(I$1-A80))," ")</f>
        <v> </v>
      </c>
    </row>
    <row r="81" customFormat="false" ht="12.75" hidden="false" customHeight="false" outlineLevel="0" collapsed="false">
      <c r="A81" s="355"/>
      <c r="H81" s="338" t="str">
        <f aca="false">IF((F81&lt;&gt;0),IF((D81&gt;0)," ",F81)," ")</f>
        <v> </v>
      </c>
      <c r="I81" s="339" t="str">
        <f aca="false">IF((F81&lt;&gt;0),IF((D81&gt;0)," ",(I$1-A81))," ")</f>
        <v> </v>
      </c>
    </row>
    <row r="82" customFormat="false" ht="12.75" hidden="false" customHeight="false" outlineLevel="0" collapsed="false">
      <c r="A82" s="355"/>
      <c r="H82" s="338" t="str">
        <f aca="false">IF((F82&lt;&gt;0),IF((D82&gt;0)," ",F82)," ")</f>
        <v> </v>
      </c>
      <c r="I82" s="339" t="str">
        <f aca="false">IF((F82&lt;&gt;0),IF((D82&gt;0)," ",(I$1-A82))," ")</f>
        <v> </v>
      </c>
    </row>
    <row r="83" customFormat="false" ht="12.75" hidden="false" customHeight="false" outlineLevel="0" collapsed="false">
      <c r="A83" s="355"/>
      <c r="H83" s="338" t="str">
        <f aca="false">IF((F83&lt;&gt;0),IF((D83&gt;0)," ",F83)," ")</f>
        <v> </v>
      </c>
      <c r="I83" s="339" t="str">
        <f aca="false">IF((F83&lt;&gt;0),IF((D83&gt;0)," ",(I$1-A83))," ")</f>
        <v> </v>
      </c>
    </row>
    <row r="84" customFormat="false" ht="12.75" hidden="false" customHeight="false" outlineLevel="0" collapsed="false">
      <c r="A84" s="355"/>
      <c r="H84" s="338" t="str">
        <f aca="false">IF((F84&lt;&gt;0),IF((D84&gt;0)," ",F84)," ")</f>
        <v> </v>
      </c>
      <c r="I84" s="339" t="str">
        <f aca="false">IF((F84&lt;&gt;0),IF((D84&gt;0)," ",(I$1-A84))," ")</f>
        <v> </v>
      </c>
    </row>
    <row r="85" customFormat="false" ht="12.75" hidden="false" customHeight="false" outlineLevel="0" collapsed="false">
      <c r="A85" s="355"/>
      <c r="H85" s="338" t="str">
        <f aca="false">IF((F85&lt;&gt;0),IF((D85&gt;0)," ",F85)," ")</f>
        <v> </v>
      </c>
      <c r="I85" s="339" t="str">
        <f aca="false">IF((F85&lt;&gt;0),IF((D85&gt;0)," ",(I$1-A85))," ")</f>
        <v> </v>
      </c>
    </row>
    <row r="86" customFormat="false" ht="12.75" hidden="false" customHeight="false" outlineLevel="0" collapsed="false">
      <c r="A86" s="355"/>
      <c r="H86" s="338" t="str">
        <f aca="false">IF((F86&lt;&gt;0),IF((D86&gt;0)," ",F86)," ")</f>
        <v> </v>
      </c>
      <c r="I86" s="339" t="str">
        <f aca="false">IF((F86&lt;&gt;0),IF((D86&gt;0)," ",(I$1-A86))," ")</f>
        <v> </v>
      </c>
    </row>
    <row r="87" customFormat="false" ht="12.75" hidden="false" customHeight="false" outlineLevel="0" collapsed="false">
      <c r="A87" s="355"/>
      <c r="H87" s="338" t="str">
        <f aca="false">IF((F87&lt;&gt;0),IF((D87&gt;0)," ",F87)," ")</f>
        <v> </v>
      </c>
      <c r="I87" s="339" t="str">
        <f aca="false">IF((F87&lt;&gt;0),IF((D87&gt;0)," ",(I$1-A87))," ")</f>
        <v> </v>
      </c>
    </row>
    <row r="88" customFormat="false" ht="12.75" hidden="false" customHeight="false" outlineLevel="0" collapsed="false">
      <c r="A88" s="355"/>
      <c r="H88" s="338" t="str">
        <f aca="false">IF((F88&lt;&gt;0),IF((D88&gt;0)," ",F88)," ")</f>
        <v> </v>
      </c>
      <c r="I88" s="339" t="str">
        <f aca="false">IF((F88&lt;&gt;0),IF((D88&gt;0)," ",(I$1-A88))," ")</f>
        <v> </v>
      </c>
    </row>
    <row r="89" customFormat="false" ht="12.75" hidden="false" customHeight="false" outlineLevel="0" collapsed="false">
      <c r="A89" s="355"/>
      <c r="H89" s="338" t="str">
        <f aca="false">IF((F89&lt;&gt;0),IF((D89&gt;0)," ",F89)," ")</f>
        <v> </v>
      </c>
      <c r="I89" s="339" t="str">
        <f aca="false">IF((F89&lt;&gt;0),IF((D89&gt;0)," ",(I$1-A89))," ")</f>
        <v> </v>
      </c>
    </row>
    <row r="90" customFormat="false" ht="12.75" hidden="false" customHeight="false" outlineLevel="0" collapsed="false">
      <c r="A90" s="355"/>
      <c r="H90" s="338" t="str">
        <f aca="false">IF((F90&lt;&gt;0),IF((D90&gt;0)," ",F90)," ")</f>
        <v> </v>
      </c>
      <c r="I90" s="339" t="str">
        <f aca="false">IF((F90&lt;&gt;0),IF((D90&gt;0)," ",(I$1-A90))," ")</f>
        <v> </v>
      </c>
    </row>
    <row r="91" customFormat="false" ht="12.75" hidden="false" customHeight="false" outlineLevel="0" collapsed="false">
      <c r="A91" s="355"/>
      <c r="H91" s="338" t="str">
        <f aca="false">IF((F91&lt;&gt;0),IF((D91&gt;0)," ",F91)," ")</f>
        <v> </v>
      </c>
      <c r="I91" s="339" t="str">
        <f aca="false">IF((F91&lt;&gt;0),IF((D91&gt;0)," ",(I$1-A91))," ")</f>
        <v> </v>
      </c>
    </row>
    <row r="92" customFormat="false" ht="12.75" hidden="false" customHeight="false" outlineLevel="0" collapsed="false">
      <c r="A92" s="355"/>
      <c r="H92" s="338" t="str">
        <f aca="false">IF((F92&lt;&gt;0),IF((D92&gt;0)," ",F92)," ")</f>
        <v> </v>
      </c>
      <c r="I92" s="339" t="str">
        <f aca="false">IF((F92&lt;&gt;0),IF((D92&gt;0)," ",(I$1-A92))," ")</f>
        <v> </v>
      </c>
    </row>
    <row r="93" customFormat="false" ht="12.75" hidden="false" customHeight="false" outlineLevel="0" collapsed="false">
      <c r="A93" s="355"/>
      <c r="H93" s="338" t="str">
        <f aca="false">IF((F93&lt;&gt;0),IF((D93&gt;0)," ",F93)," ")</f>
        <v> </v>
      </c>
      <c r="I93" s="339" t="str">
        <f aca="false">IF((F93&lt;&gt;0),IF((D93&gt;0)," ",(I$1-A93))," ")</f>
        <v> </v>
      </c>
    </row>
    <row r="94" customFormat="false" ht="12.75" hidden="false" customHeight="false" outlineLevel="0" collapsed="false">
      <c r="A94" s="355"/>
      <c r="H94" s="338" t="str">
        <f aca="false">IF((F94&lt;&gt;0),IF((D94&gt;0)," ",F94)," ")</f>
        <v> </v>
      </c>
      <c r="I94" s="339" t="str">
        <f aca="false">IF((F94&lt;&gt;0),IF((D94&gt;0)," ",(I$1-A94))," ")</f>
        <v> </v>
      </c>
    </row>
    <row r="95" customFormat="false" ht="12.75" hidden="false" customHeight="false" outlineLevel="0" collapsed="false">
      <c r="A95" s="355"/>
      <c r="H95" s="338" t="str">
        <f aca="false">IF((F95&lt;&gt;0),IF((D95&gt;0)," ",F95)," ")</f>
        <v> </v>
      </c>
      <c r="I95" s="339" t="str">
        <f aca="false">IF((F95&lt;&gt;0),IF((D95&gt;0)," ",(I$1-A95))," ")</f>
        <v> </v>
      </c>
    </row>
    <row r="96" customFormat="false" ht="12.75" hidden="false" customHeight="false" outlineLevel="0" collapsed="false">
      <c r="A96" s="355"/>
      <c r="H96" s="338" t="str">
        <f aca="false">IF((F96&lt;&gt;0),IF((D96&gt;0)," ",F96)," ")</f>
        <v> </v>
      </c>
      <c r="I96" s="339" t="str">
        <f aca="false">IF((F96&lt;&gt;0),IF((D96&gt;0)," ",(I$1-A96))," ")</f>
        <v> </v>
      </c>
    </row>
    <row r="97" customFormat="false" ht="12.75" hidden="false" customHeight="false" outlineLevel="0" collapsed="false">
      <c r="A97" s="355"/>
      <c r="H97" s="338" t="str">
        <f aca="false">IF((F97&lt;&gt;0),IF((D97&gt;0)," ",F97)," ")</f>
        <v> </v>
      </c>
      <c r="I97" s="339" t="str">
        <f aca="false">IF((F97&lt;&gt;0),IF((D97&gt;0)," ",(I$1-A97))," ")</f>
        <v> </v>
      </c>
    </row>
    <row r="98" customFormat="false" ht="12.75" hidden="false" customHeight="false" outlineLevel="0" collapsed="false">
      <c r="A98" s="355"/>
      <c r="H98" s="338" t="str">
        <f aca="false">IF((F98&lt;&gt;0),IF((D98&gt;0)," ",F98)," ")</f>
        <v> </v>
      </c>
      <c r="I98" s="339" t="str">
        <f aca="false">IF((F98&lt;&gt;0),IF((D98&gt;0)," ",(I$1-A98))," ")</f>
        <v> </v>
      </c>
    </row>
    <row r="99" customFormat="false" ht="12.75" hidden="false" customHeight="false" outlineLevel="0" collapsed="false">
      <c r="A99" s="355"/>
      <c r="H99" s="338" t="str">
        <f aca="false">IF((F99&lt;&gt;0),IF((D99&gt;0)," ",F99)," ")</f>
        <v> </v>
      </c>
      <c r="I99" s="339" t="str">
        <f aca="false">IF((F99&lt;&gt;0),IF((D99&gt;0)," ",(I$1-A99))," ")</f>
        <v> </v>
      </c>
    </row>
    <row r="100" customFormat="false" ht="12.75" hidden="false" customHeight="false" outlineLevel="0" collapsed="false">
      <c r="A100" s="355"/>
      <c r="H100" s="338" t="str">
        <f aca="false">IF((F100&lt;&gt;0),IF((D100&gt;0)," ",F100)," ")</f>
        <v> </v>
      </c>
      <c r="I100" s="339" t="str">
        <f aca="false">IF((F100&lt;&gt;0),IF((D100&gt;0)," ",(I$1-A100))," ")</f>
        <v> </v>
      </c>
    </row>
    <row r="101" customFormat="false" ht="12.75" hidden="false" customHeight="false" outlineLevel="0" collapsed="false">
      <c r="A101" s="355"/>
      <c r="H101" s="338" t="str">
        <f aca="false">IF((F101&lt;&gt;0),IF((D101&gt;0)," ",F101)," ")</f>
        <v> </v>
      </c>
      <c r="I101" s="339" t="str">
        <f aca="false">IF((F101&lt;&gt;0),IF((D101&gt;0)," ",(I$1-A101))," ")</f>
        <v> </v>
      </c>
    </row>
    <row r="102" customFormat="false" ht="12.75" hidden="false" customHeight="false" outlineLevel="0" collapsed="false">
      <c r="A102" s="355"/>
      <c r="H102" s="338" t="str">
        <f aca="false">IF((F102&lt;&gt;0),IF((D102&gt;0)," ",F102)," ")</f>
        <v> </v>
      </c>
      <c r="I102" s="339" t="str">
        <f aca="false">IF((F102&lt;&gt;0),IF((D102&gt;0)," ",(I$1-A102))," ")</f>
        <v> </v>
      </c>
    </row>
    <row r="103" customFormat="false" ht="12.75" hidden="false" customHeight="false" outlineLevel="0" collapsed="false">
      <c r="A103" s="355"/>
      <c r="H103" s="338" t="str">
        <f aca="false">IF((F103&lt;&gt;0),IF((D103&gt;0)," ",F103)," ")</f>
        <v> </v>
      </c>
      <c r="I103" s="339" t="str">
        <f aca="false">IF((F103&lt;&gt;0),IF((D103&gt;0)," ",(I$1-A103))," ")</f>
        <v> </v>
      </c>
    </row>
    <row r="104" customFormat="false" ht="12.75" hidden="false" customHeight="false" outlineLevel="0" collapsed="false">
      <c r="A104" s="355"/>
      <c r="H104" s="338" t="str">
        <f aca="false">IF((F104&lt;&gt;0),IF((D104&gt;0)," ",F104)," ")</f>
        <v> </v>
      </c>
      <c r="I104" s="339" t="str">
        <f aca="false">IF((F104&lt;&gt;0),IF((D104&gt;0)," ",(I$1-A104))," ")</f>
        <v> </v>
      </c>
    </row>
    <row r="105" customFormat="false" ht="12.75" hidden="false" customHeight="false" outlineLevel="0" collapsed="false">
      <c r="A105" s="355"/>
      <c r="H105" s="338" t="str">
        <f aca="false">IF((F105&lt;&gt;0),IF((D105&gt;0)," ",F105)," ")</f>
        <v> </v>
      </c>
      <c r="I105" s="339" t="str">
        <f aca="false">IF((F105&lt;&gt;0),IF((D105&gt;0)," ",(I$1-A105))," ")</f>
        <v> </v>
      </c>
    </row>
    <row r="106" customFormat="false" ht="12.75" hidden="false" customHeight="false" outlineLevel="0" collapsed="false">
      <c r="A106" s="355"/>
      <c r="H106" s="338" t="str">
        <f aca="false">IF((F106&lt;&gt;0),IF((D106&gt;0)," ",F106)," ")</f>
        <v> </v>
      </c>
      <c r="I106" s="339" t="str">
        <f aca="false">IF((F106&lt;&gt;0),IF((D106&gt;0)," ",(I$1-A106))," ")</f>
        <v> </v>
      </c>
    </row>
    <row r="107" customFormat="false" ht="12.75" hidden="false" customHeight="false" outlineLevel="0" collapsed="false">
      <c r="A107" s="355"/>
      <c r="H107" s="338" t="str">
        <f aca="false">IF((F107&lt;&gt;0),IF((D107&gt;0)," ",F107)," ")</f>
        <v> </v>
      </c>
      <c r="I107" s="339" t="str">
        <f aca="false">IF((F107&lt;&gt;0),IF((D107&gt;0)," ",(I$1-A107))," ")</f>
        <v> </v>
      </c>
    </row>
    <row r="108" customFormat="false" ht="12.75" hidden="false" customHeight="false" outlineLevel="0" collapsed="false">
      <c r="A108" s="355"/>
      <c r="H108" s="338" t="str">
        <f aca="false">IF((F108&lt;&gt;0),IF((D108&gt;0)," ",F108)," ")</f>
        <v> </v>
      </c>
      <c r="I108" s="339" t="str">
        <f aca="false">IF((F108&lt;&gt;0),IF((D108&gt;0)," ",(I$1-A108))," ")</f>
        <v> </v>
      </c>
    </row>
    <row r="109" customFormat="false" ht="12.75" hidden="false" customHeight="false" outlineLevel="0" collapsed="false">
      <c r="A109" s="355"/>
      <c r="H109" s="338" t="str">
        <f aca="false">IF((F109&lt;&gt;0),IF((D109&gt;0)," ",F109)," ")</f>
        <v> </v>
      </c>
      <c r="I109" s="339" t="str">
        <f aca="false">IF((F109&lt;&gt;0),IF((D109&gt;0)," ",(I$1-A109))," ")</f>
        <v> </v>
      </c>
    </row>
    <row r="110" customFormat="false" ht="12.75" hidden="false" customHeight="false" outlineLevel="0" collapsed="false">
      <c r="A110" s="355"/>
      <c r="H110" s="338" t="str">
        <f aca="false">IF((F110&lt;&gt;0),IF((D110&gt;0)," ",F110)," ")</f>
        <v> </v>
      </c>
      <c r="I110" s="339" t="str">
        <f aca="false">IF((F110&lt;&gt;0),IF((D110&gt;0)," ",(I$1-A110))," ")</f>
        <v> </v>
      </c>
    </row>
    <row r="111" customFormat="false" ht="12.75" hidden="false" customHeight="false" outlineLevel="0" collapsed="false">
      <c r="A111" s="355"/>
      <c r="H111" s="338" t="str">
        <f aca="false">IF((F111&lt;&gt;0),IF((D111&gt;0)," ",F111)," ")</f>
        <v> </v>
      </c>
      <c r="I111" s="339" t="str">
        <f aca="false">IF((F111&lt;&gt;0),IF((D111&gt;0)," ",(I$1-A111))," ")</f>
        <v> </v>
      </c>
    </row>
    <row r="112" customFormat="false" ht="12.75" hidden="false" customHeight="false" outlineLevel="0" collapsed="false">
      <c r="A112" s="355"/>
      <c r="H112" s="338" t="str">
        <f aca="false">IF((F112&lt;&gt;0),IF((D112&gt;0)," ",F112)," ")</f>
        <v> </v>
      </c>
      <c r="I112" s="339" t="str">
        <f aca="false">IF((F112&lt;&gt;0),IF((D112&gt;0)," ",(I$1-A112))," ")</f>
        <v> </v>
      </c>
    </row>
    <row r="113" customFormat="false" ht="12.75" hidden="false" customHeight="false" outlineLevel="0" collapsed="false">
      <c r="A113" s="355"/>
      <c r="H113" s="338" t="str">
        <f aca="false">IF((F113&lt;&gt;0),IF((D113&gt;0)," ",F113)," ")</f>
        <v> </v>
      </c>
      <c r="I113" s="339" t="str">
        <f aca="false">IF((F113&lt;&gt;0),IF((D113&gt;0)," ",(I$1-A113))," ")</f>
        <v> </v>
      </c>
    </row>
    <row r="114" customFormat="false" ht="12.75" hidden="false" customHeight="false" outlineLevel="0" collapsed="false">
      <c r="A114" s="355"/>
      <c r="H114" s="338" t="str">
        <f aca="false">IF((F114&lt;&gt;0),IF((D114&gt;0)," ",F114)," ")</f>
        <v> </v>
      </c>
      <c r="I114" s="339" t="str">
        <f aca="false">IF((F114&lt;&gt;0),IF((D114&gt;0)," ",(I$1-A114))," ")</f>
        <v> </v>
      </c>
    </row>
    <row r="115" customFormat="false" ht="12.75" hidden="false" customHeight="false" outlineLevel="0" collapsed="false">
      <c r="A115" s="355"/>
      <c r="H115" s="338" t="str">
        <f aca="false">IF((F115&lt;&gt;0),IF((D115&gt;0)," ",F115)," ")</f>
        <v> </v>
      </c>
      <c r="I115" s="339" t="str">
        <f aca="false">IF((F115&lt;&gt;0),IF((D115&gt;0)," ",(I$1-A115))," ")</f>
        <v> </v>
      </c>
    </row>
    <row r="116" customFormat="false" ht="12.75" hidden="false" customHeight="false" outlineLevel="0" collapsed="false">
      <c r="A116" s="355"/>
      <c r="H116" s="338" t="str">
        <f aca="false">IF((F116&lt;&gt;0),IF((D116&gt;0)," ",F116)," ")</f>
        <v> </v>
      </c>
      <c r="I116" s="339" t="str">
        <f aca="false">IF((F116&lt;&gt;0),IF((D116&gt;0)," ",(I$1-A116))," ")</f>
        <v> </v>
      </c>
    </row>
    <row r="117" customFormat="false" ht="12.75" hidden="false" customHeight="false" outlineLevel="0" collapsed="false">
      <c r="A117" s="355"/>
      <c r="H117" s="338" t="str">
        <f aca="false">IF((F117&lt;&gt;0),IF((D117&gt;0)," ",F117)," ")</f>
        <v> </v>
      </c>
      <c r="I117" s="339" t="str">
        <f aca="false">IF((F117&lt;&gt;0),IF((D117&gt;0)," ",(I$1-A117))," ")</f>
        <v> </v>
      </c>
    </row>
    <row r="118" customFormat="false" ht="12.75" hidden="false" customHeight="false" outlineLevel="0" collapsed="false">
      <c r="A118" s="355"/>
      <c r="H118" s="338" t="str">
        <f aca="false">IF((F118&lt;&gt;0),IF((D118&gt;0)," ",F118)," ")</f>
        <v> </v>
      </c>
      <c r="I118" s="339" t="str">
        <f aca="false">IF((F118&lt;&gt;0),IF((D118&gt;0)," ",(I$1-A118))," ")</f>
        <v> </v>
      </c>
    </row>
    <row r="119" customFormat="false" ht="12.75" hidden="false" customHeight="false" outlineLevel="0" collapsed="false">
      <c r="A119" s="355"/>
      <c r="H119" s="338" t="str">
        <f aca="false">IF((F119&lt;&gt;0),IF((D119&gt;0)," ",F119)," ")</f>
        <v> </v>
      </c>
      <c r="I119" s="339" t="str">
        <f aca="false">IF((F119&lt;&gt;0),IF((D119&gt;0)," ",(I$1-A119))," ")</f>
        <v> </v>
      </c>
    </row>
    <row r="120" customFormat="false" ht="12.75" hidden="false" customHeight="false" outlineLevel="0" collapsed="false">
      <c r="A120" s="355"/>
      <c r="H120" s="338" t="str">
        <f aca="false">IF((F120&lt;&gt;0),IF((D120&gt;0)," ",F120)," ")</f>
        <v> </v>
      </c>
      <c r="I120" s="339" t="str">
        <f aca="false">IF((F120&lt;&gt;0),IF((D120&gt;0)," ",(I$1-A120))," ")</f>
        <v> </v>
      </c>
    </row>
    <row r="121" customFormat="false" ht="12.75" hidden="false" customHeight="false" outlineLevel="0" collapsed="false">
      <c r="A121" s="355"/>
      <c r="H121" s="338" t="str">
        <f aca="false">IF((F121&lt;&gt;0),IF((D121&gt;0)," ",F121)," ")</f>
        <v> </v>
      </c>
      <c r="I121" s="339" t="str">
        <f aca="false">IF((F121&lt;&gt;0),IF((D121&gt;0)," ",(I$1-A121))," ")</f>
        <v> </v>
      </c>
    </row>
    <row r="122" customFormat="false" ht="12.75" hidden="false" customHeight="false" outlineLevel="0" collapsed="false">
      <c r="A122" s="355"/>
      <c r="H122" s="338" t="str">
        <f aca="false">IF((F122&lt;&gt;0),IF((D122&gt;0)," ",F122)," ")</f>
        <v> </v>
      </c>
      <c r="I122" s="339" t="str">
        <f aca="false">IF((F122&lt;&gt;0),IF((D122&gt;0)," ",(I$1-A122))," ")</f>
        <v> </v>
      </c>
    </row>
    <row r="123" customFormat="false" ht="12.75" hidden="false" customHeight="false" outlineLevel="0" collapsed="false">
      <c r="A123" s="355"/>
      <c r="H123" s="338" t="str">
        <f aca="false">IF((F123&lt;&gt;0),IF((D123&gt;0)," ",F123)," ")</f>
        <v> </v>
      </c>
      <c r="I123" s="339" t="str">
        <f aca="false">IF((F123&lt;&gt;0),IF((D123&gt;0)," ",(I$1-A123))," ")</f>
        <v> </v>
      </c>
    </row>
    <row r="124" customFormat="false" ht="12.75" hidden="false" customHeight="false" outlineLevel="0" collapsed="false">
      <c r="A124" s="355"/>
      <c r="H124" s="338" t="str">
        <f aca="false">IF((F124&lt;&gt;0),IF((D124&gt;0)," ",F124)," ")</f>
        <v> </v>
      </c>
      <c r="I124" s="339" t="str">
        <f aca="false">IF((F124&lt;&gt;0),IF((D124&gt;0)," ",(I$1-A124))," ")</f>
        <v> </v>
      </c>
    </row>
    <row r="125" customFormat="false" ht="12.75" hidden="false" customHeight="false" outlineLevel="0" collapsed="false">
      <c r="A125" s="355"/>
      <c r="H125" s="338" t="str">
        <f aca="false">IF((F125&lt;&gt;0),IF((D125&gt;0)," ",F125)," ")</f>
        <v> </v>
      </c>
      <c r="I125" s="339" t="str">
        <f aca="false">IF((F125&lt;&gt;0),IF((D125&gt;0)," ",(I$1-A125))," ")</f>
        <v> </v>
      </c>
    </row>
    <row r="126" customFormat="false" ht="12.75" hidden="false" customHeight="false" outlineLevel="0" collapsed="false">
      <c r="A126" s="355"/>
      <c r="H126" s="338" t="str">
        <f aca="false">IF((F126&lt;&gt;0),IF((D126&gt;0)," ",F126)," ")</f>
        <v> </v>
      </c>
      <c r="I126" s="339" t="str">
        <f aca="false">IF((F126&lt;&gt;0),IF((D126&gt;0)," ",(I$1-A126))," ")</f>
        <v> </v>
      </c>
    </row>
    <row r="127" customFormat="false" ht="12.75" hidden="false" customHeight="false" outlineLevel="0" collapsed="false">
      <c r="A127" s="355"/>
      <c r="H127" s="338" t="str">
        <f aca="false">IF((F127&lt;&gt;0),IF((D127&gt;0)," ",F127)," ")</f>
        <v> </v>
      </c>
      <c r="I127" s="339" t="str">
        <f aca="false">IF((F127&lt;&gt;0),IF((D127&gt;0)," ",(I$1-A127))," ")</f>
        <v> </v>
      </c>
    </row>
    <row r="128" customFormat="false" ht="12.75" hidden="false" customHeight="false" outlineLevel="0" collapsed="false">
      <c r="A128" s="355"/>
      <c r="H128" s="338" t="str">
        <f aca="false">IF((F128&lt;&gt;0),IF((D128&gt;0)," ",F128)," ")</f>
        <v> </v>
      </c>
      <c r="I128" s="339" t="str">
        <f aca="false">IF((F128&lt;&gt;0),IF((D128&gt;0)," ",(I$1-A128))," ")</f>
        <v> </v>
      </c>
    </row>
    <row r="129" customFormat="false" ht="12.75" hidden="false" customHeight="false" outlineLevel="0" collapsed="false">
      <c r="A129" s="355"/>
      <c r="H129" s="338" t="str">
        <f aca="false">IF((F129&lt;&gt;0),IF((D129&gt;0)," ",F129)," ")</f>
        <v> </v>
      </c>
      <c r="I129" s="339" t="str">
        <f aca="false">IF((F129&lt;&gt;0),IF((D129&gt;0)," ",(I$1-A129))," ")</f>
        <v> </v>
      </c>
    </row>
    <row r="130" customFormat="false" ht="12.75" hidden="false" customHeight="false" outlineLevel="0" collapsed="false">
      <c r="A130" s="355"/>
      <c r="H130" s="338" t="str">
        <f aca="false">IF((F130&lt;&gt;0),IF((D130&gt;0)," ",F130)," ")</f>
        <v> </v>
      </c>
      <c r="I130" s="339" t="str">
        <f aca="false">IF((F130&lt;&gt;0),IF((D130&gt;0)," ",(I$1-A130))," ")</f>
        <v> </v>
      </c>
    </row>
    <row r="131" customFormat="false" ht="12.75" hidden="false" customHeight="false" outlineLevel="0" collapsed="false">
      <c r="A131" s="355"/>
      <c r="H131" s="338" t="str">
        <f aca="false">IF((F131&lt;&gt;0),IF((D131&gt;0)," ",F131)," ")</f>
        <v> </v>
      </c>
      <c r="I131" s="339" t="str">
        <f aca="false">IF((F131&lt;&gt;0),IF((D131&gt;0)," ",(I$1-A131))," ")</f>
        <v> </v>
      </c>
    </row>
    <row r="132" customFormat="false" ht="12.75" hidden="false" customHeight="false" outlineLevel="0" collapsed="false">
      <c r="A132" s="355"/>
      <c r="H132" s="338" t="str">
        <f aca="false">IF((F132&lt;&gt;0),IF((D132&gt;0)," ",F132)," ")</f>
        <v> </v>
      </c>
      <c r="I132" s="339" t="str">
        <f aca="false">IF((F132&lt;&gt;0),IF((D132&gt;0)," ",(I$1-A132))," ")</f>
        <v> </v>
      </c>
    </row>
    <row r="133" customFormat="false" ht="12.75" hidden="false" customHeight="false" outlineLevel="0" collapsed="false">
      <c r="A133" s="355"/>
      <c r="H133" s="338" t="str">
        <f aca="false">IF((F133&lt;&gt;0),IF((D133&gt;0)," ",F133)," ")</f>
        <v> </v>
      </c>
      <c r="I133" s="339" t="str">
        <f aca="false">IF((F133&lt;&gt;0),IF((D133&gt;0)," ",(I$1-A133))," ")</f>
        <v> </v>
      </c>
    </row>
    <row r="134" customFormat="false" ht="12.75" hidden="false" customHeight="false" outlineLevel="0" collapsed="false">
      <c r="A134" s="355"/>
      <c r="H134" s="338" t="str">
        <f aca="false">IF((F134&lt;&gt;0),IF((D134&gt;0)," ",F134)," ")</f>
        <v> </v>
      </c>
      <c r="I134" s="339" t="str">
        <f aca="false">IF((F134&lt;&gt;0),IF((D134&gt;0)," ",(I$1-A134))," ")</f>
        <v> </v>
      </c>
    </row>
    <row r="135" customFormat="false" ht="12.75" hidden="false" customHeight="false" outlineLevel="0" collapsed="false">
      <c r="A135" s="355"/>
      <c r="H135" s="338" t="str">
        <f aca="false">IF((F135&lt;&gt;0),IF((D135&gt;0)," ",F135)," ")</f>
        <v> </v>
      </c>
      <c r="I135" s="339" t="str">
        <f aca="false">IF((F135&lt;&gt;0),IF((D135&gt;0)," ",(I$1-A135))," ")</f>
        <v> </v>
      </c>
    </row>
    <row r="136" customFormat="false" ht="12.75" hidden="false" customHeight="false" outlineLevel="0" collapsed="false">
      <c r="A136" s="355"/>
      <c r="H136" s="338" t="str">
        <f aca="false">IF((F136&lt;&gt;0),IF((D136&gt;0)," ",F136)," ")</f>
        <v> </v>
      </c>
      <c r="I136" s="339" t="str">
        <f aca="false">IF((F136&lt;&gt;0),IF((D136&gt;0)," ",(I$1-A136))," ")</f>
        <v> </v>
      </c>
    </row>
    <row r="137" customFormat="false" ht="12.75" hidden="false" customHeight="false" outlineLevel="0" collapsed="false">
      <c r="A137" s="355"/>
      <c r="H137" s="338" t="str">
        <f aca="false">IF((F137&lt;&gt;0),IF((D137&gt;0)," ",F137)," ")</f>
        <v> </v>
      </c>
      <c r="I137" s="339" t="str">
        <f aca="false">IF((F137&lt;&gt;0),IF((D137&gt;0)," ",(I$1-A137))," ")</f>
        <v> </v>
      </c>
    </row>
    <row r="138" customFormat="false" ht="12.75" hidden="false" customHeight="false" outlineLevel="0" collapsed="false">
      <c r="A138" s="355"/>
      <c r="H138" s="338" t="str">
        <f aca="false">IF((F138&lt;&gt;0),IF((D138&gt;0)," ",F138)," ")</f>
        <v> </v>
      </c>
      <c r="I138" s="339" t="str">
        <f aca="false">IF((F138&lt;&gt;0),IF((D138&gt;0)," ",(I$1-A138))," ")</f>
        <v> </v>
      </c>
    </row>
    <row r="139" customFormat="false" ht="12.75" hidden="false" customHeight="false" outlineLevel="0" collapsed="false">
      <c r="A139" s="355"/>
      <c r="H139" s="338" t="str">
        <f aca="false">IF((F139&lt;&gt;0),IF((D139&gt;0)," ",F139)," ")</f>
        <v> </v>
      </c>
      <c r="I139" s="339" t="str">
        <f aca="false">IF((F139&lt;&gt;0),IF((D139&gt;0)," ",(I$1-A139))," ")</f>
        <v> </v>
      </c>
    </row>
    <row r="140" customFormat="false" ht="12.75" hidden="false" customHeight="false" outlineLevel="0" collapsed="false">
      <c r="A140" s="355"/>
      <c r="H140" s="338" t="str">
        <f aca="false">IF((F140&lt;&gt;0),IF((D140&gt;0)," ",F140)," ")</f>
        <v> </v>
      </c>
      <c r="I140" s="339" t="str">
        <f aca="false">IF((F140&lt;&gt;0),IF((D140&gt;0)," ",(I$1-A140))," ")</f>
        <v> </v>
      </c>
    </row>
    <row r="141" customFormat="false" ht="12.75" hidden="false" customHeight="false" outlineLevel="0" collapsed="false">
      <c r="A141" s="355"/>
      <c r="H141" s="338" t="str">
        <f aca="false">IF((F141&lt;&gt;0),IF((D141&gt;0)," ",F141)," ")</f>
        <v> </v>
      </c>
      <c r="I141" s="339" t="str">
        <f aca="false">IF((F141&lt;&gt;0),IF((D141&gt;0)," ",(I$1-A141))," ")</f>
        <v> </v>
      </c>
    </row>
    <row r="142" customFormat="false" ht="12.75" hidden="false" customHeight="false" outlineLevel="0" collapsed="false">
      <c r="A142" s="355"/>
      <c r="H142" s="338" t="str">
        <f aca="false">IF((F142&lt;&gt;0),IF((D142&gt;0)," ",F142)," ")</f>
        <v> </v>
      </c>
      <c r="I142" s="339" t="str">
        <f aca="false">IF((F142&lt;&gt;0),IF((D142&gt;0)," ",(I$1-A142))," ")</f>
        <v> </v>
      </c>
    </row>
    <row r="143" customFormat="false" ht="12.75" hidden="false" customHeight="false" outlineLevel="0" collapsed="false">
      <c r="A143" s="355"/>
      <c r="H143" s="338" t="str">
        <f aca="false">IF((F143&lt;&gt;0),IF((D143&gt;0)," ",F143)," ")</f>
        <v> </v>
      </c>
      <c r="I143" s="339" t="str">
        <f aca="false">IF((F143&lt;&gt;0),IF((D143&gt;0)," ",(I$1-A143))," ")</f>
        <v> </v>
      </c>
    </row>
    <row r="144" customFormat="false" ht="12.75" hidden="false" customHeight="false" outlineLevel="0" collapsed="false">
      <c r="A144" s="355"/>
      <c r="H144" s="338" t="str">
        <f aca="false">IF((F144&lt;&gt;0),IF((D144&gt;0)," ",F144)," ")</f>
        <v> </v>
      </c>
      <c r="I144" s="339" t="str">
        <f aca="false">IF((F144&lt;&gt;0),IF((D144&gt;0)," ",(I$1-A144))," ")</f>
        <v> </v>
      </c>
    </row>
    <row r="145" customFormat="false" ht="12.75" hidden="false" customHeight="false" outlineLevel="0" collapsed="false">
      <c r="A145" s="355"/>
      <c r="H145" s="338" t="str">
        <f aca="false">IF((F145&lt;&gt;0),IF((D145&gt;0)," ",F145)," ")</f>
        <v> </v>
      </c>
      <c r="I145" s="339" t="str">
        <f aca="false">IF((F145&lt;&gt;0),IF((D145&gt;0)," ",(I$1-A145))," ")</f>
        <v> </v>
      </c>
    </row>
    <row r="146" customFormat="false" ht="12.75" hidden="false" customHeight="false" outlineLevel="0" collapsed="false">
      <c r="A146" s="355"/>
      <c r="H146" s="338" t="str">
        <f aca="false">IF((F146&lt;&gt;0),IF((D146&gt;0)," ",F146)," ")</f>
        <v> </v>
      </c>
      <c r="I146" s="339" t="str">
        <f aca="false">IF((F146&lt;&gt;0),IF((D146&gt;0)," ",(I$1-A146))," ")</f>
        <v> </v>
      </c>
    </row>
    <row r="147" customFormat="false" ht="12.75" hidden="false" customHeight="false" outlineLevel="0" collapsed="false">
      <c r="A147" s="355"/>
      <c r="H147" s="338" t="str">
        <f aca="false">IF((F147&lt;&gt;0),IF((D147&gt;0)," ",F147)," ")</f>
        <v> </v>
      </c>
      <c r="I147" s="339" t="str">
        <f aca="false">IF((F147&lt;&gt;0),IF((D147&gt;0)," ",(I$1-A147))," ")</f>
        <v> </v>
      </c>
    </row>
    <row r="148" customFormat="false" ht="12.75" hidden="false" customHeight="false" outlineLevel="0" collapsed="false">
      <c r="A148" s="355"/>
      <c r="H148" s="338" t="str">
        <f aca="false">IF((F148&lt;&gt;0),IF((D148&gt;0)," ",F148)," ")</f>
        <v> </v>
      </c>
      <c r="I148" s="339" t="str">
        <f aca="false">IF((F148&lt;&gt;0),IF((D148&gt;0)," ",(I$1-A148))," ")</f>
        <v> </v>
      </c>
    </row>
    <row r="149" customFormat="false" ht="12.75" hidden="false" customHeight="false" outlineLevel="0" collapsed="false">
      <c r="A149" s="355"/>
      <c r="H149" s="338" t="str">
        <f aca="false">IF((F149&lt;&gt;0),IF((D149&gt;0)," ",F149)," ")</f>
        <v> </v>
      </c>
      <c r="I149" s="339" t="str">
        <f aca="false">IF((F149&lt;&gt;0),IF((D149&gt;0)," ",(I$1-A149))," ")</f>
        <v> </v>
      </c>
    </row>
    <row r="150" customFormat="false" ht="12.75" hidden="false" customHeight="false" outlineLevel="0" collapsed="false">
      <c r="A150" s="355"/>
      <c r="H150" s="338" t="str">
        <f aca="false">IF((F150&lt;&gt;0),IF((D150&gt;0)," ",F150)," ")</f>
        <v> </v>
      </c>
      <c r="I150" s="339" t="str">
        <f aca="false">IF((F150&lt;&gt;0),IF((D150&gt;0)," ",(I$1-A150))," ")</f>
        <v> </v>
      </c>
    </row>
    <row r="151" customFormat="false" ht="12.75" hidden="false" customHeight="false" outlineLevel="0" collapsed="false">
      <c r="A151" s="355"/>
      <c r="H151" s="338" t="str">
        <f aca="false">IF((F151&lt;&gt;0),IF((D151&gt;0)," ",F151)," ")</f>
        <v> </v>
      </c>
      <c r="I151" s="339" t="str">
        <f aca="false">IF((F151&lt;&gt;0),IF((D151&gt;0)," ",(I$1-A151))," ")</f>
        <v> </v>
      </c>
    </row>
    <row r="152" customFormat="false" ht="12.75" hidden="false" customHeight="false" outlineLevel="0" collapsed="false">
      <c r="A152" s="355"/>
      <c r="H152" s="338" t="str">
        <f aca="false">IF((F152&lt;&gt;0),IF((D152&gt;0)," ",F152)," ")</f>
        <v> </v>
      </c>
      <c r="I152" s="339" t="str">
        <f aca="false">IF((F152&lt;&gt;0),IF((D152&gt;0)," ",(I$1-A152))," ")</f>
        <v> </v>
      </c>
    </row>
    <row r="153" customFormat="false" ht="12.75" hidden="false" customHeight="false" outlineLevel="0" collapsed="false">
      <c r="A153" s="355"/>
      <c r="H153" s="338" t="str">
        <f aca="false">IF((F153&lt;&gt;0),IF((D153&gt;0)," ",F153)," ")</f>
        <v> </v>
      </c>
      <c r="I153" s="339" t="str">
        <f aca="false">IF((F153&lt;&gt;0),IF((D153&gt;0)," ",(I$1-A153))," ")</f>
        <v> </v>
      </c>
    </row>
    <row r="154" customFormat="false" ht="12.75" hidden="false" customHeight="false" outlineLevel="0" collapsed="false">
      <c r="A154" s="355"/>
      <c r="H154" s="338" t="str">
        <f aca="false">IF((F154&lt;&gt;0),IF((D154&gt;0)," ",F154)," ")</f>
        <v> </v>
      </c>
      <c r="I154" s="339" t="str">
        <f aca="false">IF((F154&lt;&gt;0),IF((D154&gt;0)," ",(I$1-A154))," ")</f>
        <v> </v>
      </c>
    </row>
    <row r="155" customFormat="false" ht="12.75" hidden="false" customHeight="false" outlineLevel="0" collapsed="false">
      <c r="A155" s="355"/>
      <c r="H155" s="338" t="str">
        <f aca="false">IF((F155&lt;&gt;0),IF((D155&gt;0)," ",F155)," ")</f>
        <v> </v>
      </c>
      <c r="I155" s="339" t="str">
        <f aca="false">IF((F155&lt;&gt;0),IF((D155&gt;0)," ",(I$1-A155))," ")</f>
        <v> </v>
      </c>
    </row>
    <row r="156" customFormat="false" ht="12.75" hidden="false" customHeight="false" outlineLevel="0" collapsed="false">
      <c r="A156" s="355"/>
      <c r="H156" s="338" t="str">
        <f aca="false">IF((F156&lt;&gt;0),IF((D156&gt;0)," ",F156)," ")</f>
        <v> </v>
      </c>
      <c r="I156" s="339" t="str">
        <f aca="false">IF((F156&lt;&gt;0),IF((D156&gt;0)," ",(I$1-A156))," ")</f>
        <v> </v>
      </c>
    </row>
    <row r="157" customFormat="false" ht="12.75" hidden="false" customHeight="false" outlineLevel="0" collapsed="false">
      <c r="A157" s="355"/>
      <c r="H157" s="338" t="str">
        <f aca="false">IF((F157&lt;&gt;0),IF((D157&gt;0)," ",F157)," ")</f>
        <v> </v>
      </c>
      <c r="I157" s="339" t="str">
        <f aca="false">IF((F157&lt;&gt;0),IF((D157&gt;0)," ",(I$1-A157))," ")</f>
        <v> </v>
      </c>
    </row>
    <row r="158" customFormat="false" ht="12.75" hidden="false" customHeight="false" outlineLevel="0" collapsed="false">
      <c r="A158" s="355"/>
      <c r="H158" s="338" t="str">
        <f aca="false">IF((F158&lt;&gt;0),IF((D158&gt;0)," ",F158)," ")</f>
        <v> </v>
      </c>
      <c r="I158" s="339" t="str">
        <f aca="false">IF((F158&lt;&gt;0),IF((D158&gt;0)," ",(I$1-A158))," ")</f>
        <v> </v>
      </c>
    </row>
    <row r="159" customFormat="false" ht="12.75" hidden="false" customHeight="false" outlineLevel="0" collapsed="false">
      <c r="A159" s="355"/>
      <c r="H159" s="338" t="str">
        <f aca="false">IF((F159&lt;&gt;0),IF((D159&gt;0)," ",F159)," ")</f>
        <v> </v>
      </c>
      <c r="I159" s="339" t="str">
        <f aca="false">IF((F159&lt;&gt;0),IF((D159&gt;0)," ",(I$1-A159))," ")</f>
        <v> </v>
      </c>
    </row>
    <row r="160" customFormat="false" ht="12.75" hidden="false" customHeight="false" outlineLevel="0" collapsed="false">
      <c r="A160" s="355"/>
      <c r="H160" s="338" t="str">
        <f aca="false">IF((F160&lt;&gt;0),IF((D160&gt;0)," ",F160)," ")</f>
        <v> </v>
      </c>
      <c r="I160" s="339" t="str">
        <f aca="false">IF((F160&lt;&gt;0),IF((D160&gt;0)," ",(I$1-A160))," ")</f>
        <v> </v>
      </c>
    </row>
    <row r="161" customFormat="false" ht="12.75" hidden="false" customHeight="false" outlineLevel="0" collapsed="false">
      <c r="A161" s="355"/>
      <c r="H161" s="338" t="str">
        <f aca="false">IF((F161&lt;&gt;0),IF((D161&gt;0)," ",F161)," ")</f>
        <v> </v>
      </c>
      <c r="I161" s="339" t="str">
        <f aca="false">IF((F161&lt;&gt;0),IF((D161&gt;0)," ",(I$1-A161))," ")</f>
        <v> </v>
      </c>
    </row>
    <row r="162" customFormat="false" ht="12.75" hidden="false" customHeight="false" outlineLevel="0" collapsed="false">
      <c r="A162" s="355"/>
      <c r="H162" s="338" t="str">
        <f aca="false">IF((F162&lt;&gt;0),IF((D162&gt;0)," ",F162)," ")</f>
        <v> </v>
      </c>
      <c r="I162" s="339" t="str">
        <f aca="false">IF((F162&lt;&gt;0),IF((D162&gt;0)," ",(I$1-A162))," ")</f>
        <v> </v>
      </c>
    </row>
    <row r="163" customFormat="false" ht="12.75" hidden="false" customHeight="false" outlineLevel="0" collapsed="false">
      <c r="A163" s="355"/>
      <c r="H163" s="338" t="str">
        <f aca="false">IF((F163&lt;&gt;0),IF((D163&gt;0)," ",F163)," ")</f>
        <v> </v>
      </c>
      <c r="I163" s="339" t="str">
        <f aca="false">IF((F163&lt;&gt;0),IF((D163&gt;0)," ",(I$1-A163))," ")</f>
        <v> </v>
      </c>
    </row>
    <row r="164" customFormat="false" ht="12.75" hidden="false" customHeight="false" outlineLevel="0" collapsed="false">
      <c r="A164" s="355"/>
      <c r="H164" s="338" t="str">
        <f aca="false">IF((F164&lt;&gt;0),IF((D164&gt;0)," ",F164)," ")</f>
        <v> </v>
      </c>
      <c r="I164" s="339" t="str">
        <f aca="false">IF((F164&lt;&gt;0),IF((D164&gt;0)," ",(I$1-A164))," ")</f>
        <v> </v>
      </c>
    </row>
    <row r="165" customFormat="false" ht="12.75" hidden="false" customHeight="false" outlineLevel="0" collapsed="false">
      <c r="A165" s="355"/>
      <c r="H165" s="338" t="str">
        <f aca="false">IF((F165&lt;&gt;0),IF((D165&gt;0)," ",F165)," ")</f>
        <v> </v>
      </c>
      <c r="I165" s="339" t="str">
        <f aca="false">IF((F165&lt;&gt;0),IF((D165&gt;0)," ",(I$1-A165))," ")</f>
        <v> </v>
      </c>
    </row>
    <row r="166" customFormat="false" ht="12.75" hidden="false" customHeight="false" outlineLevel="0" collapsed="false">
      <c r="A166" s="355"/>
      <c r="H166" s="338" t="str">
        <f aca="false">IF((F166&lt;&gt;0),IF((D166&gt;0)," ",F166)," ")</f>
        <v> </v>
      </c>
      <c r="I166" s="339" t="str">
        <f aca="false">IF((F166&lt;&gt;0),IF((D166&gt;0)," ",(I$1-A166))," ")</f>
        <v> </v>
      </c>
    </row>
    <row r="167" customFormat="false" ht="12.75" hidden="false" customHeight="false" outlineLevel="0" collapsed="false">
      <c r="A167" s="355"/>
      <c r="H167" s="338" t="str">
        <f aca="false">IF((F167&lt;&gt;0),IF((D167&gt;0)," ",F167)," ")</f>
        <v> </v>
      </c>
      <c r="I167" s="339" t="str">
        <f aca="false">IF((F167&lt;&gt;0),IF((D167&gt;0)," ",(I$1-A167))," ")</f>
        <v> </v>
      </c>
    </row>
    <row r="168" customFormat="false" ht="12.75" hidden="false" customHeight="false" outlineLevel="0" collapsed="false">
      <c r="A168" s="355"/>
      <c r="H168" s="338" t="str">
        <f aca="false">IF((F168&lt;&gt;0),IF((D168&gt;0)," ",F168)," ")</f>
        <v> </v>
      </c>
      <c r="I168" s="339" t="str">
        <f aca="false">IF((F168&lt;&gt;0),IF((D168&gt;0)," ",(I$1-A168))," ")</f>
        <v> </v>
      </c>
    </row>
    <row r="169" customFormat="false" ht="12.75" hidden="false" customHeight="false" outlineLevel="0" collapsed="false">
      <c r="A169" s="355"/>
      <c r="H169" s="338" t="str">
        <f aca="false">IF((F169&lt;&gt;0),IF((D169&gt;0)," ",F169)," ")</f>
        <v> </v>
      </c>
      <c r="I169" s="339" t="str">
        <f aca="false">IF((F169&lt;&gt;0),IF((D169&gt;0)," ",(I$1-A169))," ")</f>
        <v> </v>
      </c>
    </row>
    <row r="170" customFormat="false" ht="12.75" hidden="false" customHeight="false" outlineLevel="0" collapsed="false">
      <c r="A170" s="355"/>
      <c r="H170" s="338" t="str">
        <f aca="false">IF((F170&lt;&gt;0),IF((D170&gt;0)," ",F170)," ")</f>
        <v> </v>
      </c>
      <c r="I170" s="339" t="str">
        <f aca="false">IF((F170&lt;&gt;0),IF((D170&gt;0)," ",(I$1-A170))," ")</f>
        <v> </v>
      </c>
    </row>
    <row r="171" customFormat="false" ht="12.75" hidden="false" customHeight="false" outlineLevel="0" collapsed="false">
      <c r="A171" s="355"/>
      <c r="H171" s="338" t="str">
        <f aca="false">IF((F171&lt;&gt;0),IF((D171&gt;0)," ",F171)," ")</f>
        <v> </v>
      </c>
      <c r="I171" s="339" t="str">
        <f aca="false">IF((F171&lt;&gt;0),IF((D171&gt;0)," ",(I$1-A171))," ")</f>
        <v> </v>
      </c>
    </row>
    <row r="172" customFormat="false" ht="12.75" hidden="false" customHeight="false" outlineLevel="0" collapsed="false">
      <c r="A172" s="355"/>
      <c r="H172" s="338" t="str">
        <f aca="false">IF((F172&lt;&gt;0),IF((D172&gt;0)," ",F172)," ")</f>
        <v> </v>
      </c>
      <c r="I172" s="339" t="str">
        <f aca="false">IF((F172&lt;&gt;0),IF((D172&gt;0)," ",(I$1-A172))," ")</f>
        <v> </v>
      </c>
    </row>
    <row r="173" customFormat="false" ht="12.75" hidden="false" customHeight="false" outlineLevel="0" collapsed="false">
      <c r="A173" s="355"/>
      <c r="H173" s="338" t="str">
        <f aca="false">IF((F173&lt;&gt;0),IF((D173&gt;0)," ",F173)," ")</f>
        <v> </v>
      </c>
      <c r="I173" s="339" t="str">
        <f aca="false">IF((F173&lt;&gt;0),IF((D173&gt;0)," ",(I$1-A173))," ")</f>
        <v> </v>
      </c>
    </row>
    <row r="174" customFormat="false" ht="12.75" hidden="false" customHeight="false" outlineLevel="0" collapsed="false">
      <c r="A174" s="355"/>
      <c r="H174" s="338" t="str">
        <f aca="false">IF((F174&lt;&gt;0),IF((D174&gt;0)," ",F174)," ")</f>
        <v> </v>
      </c>
      <c r="I174" s="339" t="str">
        <f aca="false">IF((F174&lt;&gt;0),IF((D174&gt;0)," ",(I$1-A174))," ")</f>
        <v> </v>
      </c>
    </row>
    <row r="175" customFormat="false" ht="12.75" hidden="false" customHeight="false" outlineLevel="0" collapsed="false">
      <c r="A175" s="355"/>
      <c r="H175" s="338" t="str">
        <f aca="false">IF((F175&lt;&gt;0),IF((D175&gt;0)," ",F175)," ")</f>
        <v> </v>
      </c>
      <c r="I175" s="339" t="str">
        <f aca="false">IF((F175&lt;&gt;0),IF((D175&gt;0)," ",(I$1-A175))," ")</f>
        <v> </v>
      </c>
    </row>
    <row r="176" customFormat="false" ht="12.75" hidden="false" customHeight="false" outlineLevel="0" collapsed="false">
      <c r="A176" s="355"/>
      <c r="H176" s="338" t="str">
        <f aca="false">IF((F176&lt;&gt;0),IF((D176&gt;0)," ",F176)," ")</f>
        <v> </v>
      </c>
      <c r="I176" s="339" t="str">
        <f aca="false">IF((F176&lt;&gt;0),IF((D176&gt;0)," ",(I$1-A176))," ")</f>
        <v> </v>
      </c>
    </row>
    <row r="177" customFormat="false" ht="12.75" hidden="false" customHeight="false" outlineLevel="0" collapsed="false">
      <c r="A177" s="355"/>
      <c r="H177" s="338" t="str">
        <f aca="false">IF((F177&lt;&gt;0),IF((D177&gt;0)," ",F177)," ")</f>
        <v> </v>
      </c>
      <c r="I177" s="339" t="str">
        <f aca="false">IF((F177&lt;&gt;0),IF((D177&gt;0)," ",(I$1-A177))," ")</f>
        <v> </v>
      </c>
    </row>
    <row r="178" customFormat="false" ht="12.75" hidden="false" customHeight="false" outlineLevel="0" collapsed="false">
      <c r="A178" s="355"/>
      <c r="H178" s="338" t="str">
        <f aca="false">IF((F178&lt;&gt;0),IF((D178&gt;0)," ",F178)," ")</f>
        <v> </v>
      </c>
      <c r="I178" s="339" t="str">
        <f aca="false">IF((F178&lt;&gt;0),IF((D178&gt;0)," ",(I$1-A178))," ")</f>
        <v> </v>
      </c>
    </row>
    <row r="179" customFormat="false" ht="12.75" hidden="false" customHeight="false" outlineLevel="0" collapsed="false">
      <c r="A179" s="355"/>
      <c r="H179" s="338" t="str">
        <f aca="false">IF((F179&lt;&gt;0),IF((D179&gt;0)," ",F179)," ")</f>
        <v> </v>
      </c>
      <c r="I179" s="339" t="str">
        <f aca="false">IF((F179&lt;&gt;0),IF((D179&gt;0)," ",(I$1-A179))," ")</f>
        <v> </v>
      </c>
    </row>
    <row r="180" customFormat="false" ht="12.75" hidden="false" customHeight="false" outlineLevel="0" collapsed="false">
      <c r="A180" s="355"/>
      <c r="H180" s="338" t="str">
        <f aca="false">IF((F180&lt;&gt;0),IF((D180&gt;0)," ",F180)," ")</f>
        <v> </v>
      </c>
      <c r="I180" s="339" t="str">
        <f aca="false">IF((F180&lt;&gt;0),IF((D180&gt;0)," ",(I$1-A180))," ")</f>
        <v> </v>
      </c>
    </row>
    <row r="181" customFormat="false" ht="12.75" hidden="false" customHeight="false" outlineLevel="0" collapsed="false">
      <c r="A181" s="355"/>
      <c r="H181" s="338" t="str">
        <f aca="false">IF((F181&lt;&gt;0),IF((D181&gt;0)," ",F181)," ")</f>
        <v> </v>
      </c>
      <c r="I181" s="339" t="str">
        <f aca="false">IF((F181&lt;&gt;0),IF((D181&gt;0)," ",(I$1-A181))," ")</f>
        <v> </v>
      </c>
    </row>
    <row r="182" customFormat="false" ht="12.75" hidden="false" customHeight="false" outlineLevel="0" collapsed="false">
      <c r="A182" s="355"/>
      <c r="H182" s="338" t="str">
        <f aca="false">IF((F182&lt;&gt;0),IF((D182&gt;0)," ",F182)," ")</f>
        <v> </v>
      </c>
      <c r="I182" s="339" t="str">
        <f aca="false">IF((F182&lt;&gt;0),IF((D182&gt;0)," ",(I$1-A182))," ")</f>
        <v> </v>
      </c>
    </row>
    <row r="183" customFormat="false" ht="12.75" hidden="false" customHeight="false" outlineLevel="0" collapsed="false">
      <c r="A183" s="355"/>
      <c r="H183" s="338" t="str">
        <f aca="false">IF((F183&lt;&gt;0),IF((D183&gt;0)," ",F183)," ")</f>
        <v> </v>
      </c>
      <c r="I183" s="339" t="str">
        <f aca="false">IF((F183&lt;&gt;0),IF((D183&gt;0)," ",(I$1-A183))," ")</f>
        <v> </v>
      </c>
    </row>
    <row r="184" customFormat="false" ht="12.75" hidden="false" customHeight="false" outlineLevel="0" collapsed="false">
      <c r="A184" s="355"/>
      <c r="H184" s="338" t="str">
        <f aca="false">IF((F184&lt;&gt;0),IF((D184&gt;0)," ",F184)," ")</f>
        <v> </v>
      </c>
      <c r="I184" s="339" t="str">
        <f aca="false">IF((F184&lt;&gt;0),IF((D184&gt;0)," ",(I$1-A184))," ")</f>
        <v> </v>
      </c>
    </row>
    <row r="185" customFormat="false" ht="12.75" hidden="false" customHeight="false" outlineLevel="0" collapsed="false">
      <c r="A185" s="355"/>
      <c r="H185" s="338" t="str">
        <f aca="false">IF((F185&lt;&gt;0),IF((D185&gt;0)," ",F185)," ")</f>
        <v> </v>
      </c>
      <c r="I185" s="339" t="str">
        <f aca="false">IF((F185&lt;&gt;0),IF((D185&gt;0)," ",(I$1-A185))," ")</f>
        <v> </v>
      </c>
    </row>
    <row r="186" customFormat="false" ht="12.75" hidden="false" customHeight="false" outlineLevel="0" collapsed="false">
      <c r="A186" s="355"/>
      <c r="H186" s="338" t="str">
        <f aca="false">IF((F186&lt;&gt;0),IF((D186&gt;0)," ",F186)," ")</f>
        <v> </v>
      </c>
      <c r="I186" s="339" t="str">
        <f aca="false">IF((F186&lt;&gt;0),IF((D186&gt;0)," ",(I$1-A186))," ")</f>
        <v> </v>
      </c>
    </row>
    <row r="187" customFormat="false" ht="12.75" hidden="false" customHeight="false" outlineLevel="0" collapsed="false">
      <c r="A187" s="355"/>
      <c r="H187" s="338" t="str">
        <f aca="false">IF((F187&lt;&gt;0),IF((D187&gt;0)," ",F187)," ")</f>
        <v> </v>
      </c>
      <c r="I187" s="339" t="str">
        <f aca="false">IF((F187&lt;&gt;0),IF((D187&gt;0)," ",(I$1-A187))," ")</f>
        <v> </v>
      </c>
    </row>
    <row r="188" customFormat="false" ht="12.75" hidden="false" customHeight="false" outlineLevel="0" collapsed="false">
      <c r="A188" s="355"/>
      <c r="H188" s="338" t="str">
        <f aca="false">IF((F188&lt;&gt;0),IF((D188&gt;0)," ",F188)," ")</f>
        <v> </v>
      </c>
      <c r="I188" s="339" t="str">
        <f aca="false">IF((F188&lt;&gt;0),IF((D188&gt;0)," ",(I$1-A188))," ")</f>
        <v> </v>
      </c>
    </row>
    <row r="189" customFormat="false" ht="12.75" hidden="false" customHeight="false" outlineLevel="0" collapsed="false">
      <c r="A189" s="355"/>
      <c r="H189" s="338" t="str">
        <f aca="false">IF((F189&lt;&gt;0),IF((D189&gt;0)," ",F189)," ")</f>
        <v> </v>
      </c>
      <c r="I189" s="339" t="str">
        <f aca="false">IF((F189&lt;&gt;0),IF((D189&gt;0)," ",(I$1-A189))," ")</f>
        <v> </v>
      </c>
    </row>
    <row r="190" customFormat="false" ht="12.75" hidden="false" customHeight="false" outlineLevel="0" collapsed="false">
      <c r="A190" s="355"/>
      <c r="H190" s="338" t="str">
        <f aca="false">IF((F190&lt;&gt;0),IF((D190&gt;0)," ",F190)," ")</f>
        <v> </v>
      </c>
      <c r="I190" s="339" t="str">
        <f aca="false">IF((F190&lt;&gt;0),IF((D190&gt;0)," ",(I$1-A190))," ")</f>
        <v> </v>
      </c>
    </row>
    <row r="191" customFormat="false" ht="12.75" hidden="false" customHeight="false" outlineLevel="0" collapsed="false">
      <c r="A191" s="355"/>
      <c r="H191" s="338" t="str">
        <f aca="false">IF((F191&lt;&gt;0),IF((D191&gt;0)," ",F191)," ")</f>
        <v> </v>
      </c>
      <c r="I191" s="339" t="str">
        <f aca="false">IF((F191&lt;&gt;0),IF((D191&gt;0)," ",(I$1-A191))," ")</f>
        <v> </v>
      </c>
    </row>
    <row r="192" customFormat="false" ht="12.75" hidden="false" customHeight="false" outlineLevel="0" collapsed="false">
      <c r="A192" s="355"/>
      <c r="H192" s="338" t="str">
        <f aca="false">IF((F192&lt;&gt;0),IF((D192&gt;0)," ",F192)," ")</f>
        <v> </v>
      </c>
      <c r="I192" s="339" t="str">
        <f aca="false">IF((F192&lt;&gt;0),IF((D192&gt;0)," ",(I$1-A192))," ")</f>
        <v> </v>
      </c>
    </row>
    <row r="193" customFormat="false" ht="12.75" hidden="false" customHeight="false" outlineLevel="0" collapsed="false">
      <c r="A193" s="355"/>
      <c r="H193" s="338" t="str">
        <f aca="false">IF((F193&lt;&gt;0),IF((D193&gt;0)," ",F193)," ")</f>
        <v> </v>
      </c>
      <c r="I193" s="339" t="str">
        <f aca="false">IF((F193&lt;&gt;0),IF((D193&gt;0)," ",(I$1-A193))," ")</f>
        <v> </v>
      </c>
    </row>
    <row r="194" customFormat="false" ht="12.75" hidden="false" customHeight="false" outlineLevel="0" collapsed="false">
      <c r="A194" s="355"/>
      <c r="H194" s="338" t="str">
        <f aca="false">IF((F194&lt;&gt;0),IF((D194&gt;0)," ",F194)," ")</f>
        <v> </v>
      </c>
      <c r="I194" s="339" t="str">
        <f aca="false">IF((F194&lt;&gt;0),IF((D194&gt;0)," ",(I$1-A194))," ")</f>
        <v> </v>
      </c>
    </row>
    <row r="195" customFormat="false" ht="12.75" hidden="false" customHeight="false" outlineLevel="0" collapsed="false">
      <c r="A195" s="355"/>
      <c r="H195" s="338" t="str">
        <f aca="false">IF((F195&lt;&gt;0),IF((D195&gt;0)," ",F195)," ")</f>
        <v> </v>
      </c>
      <c r="I195" s="339" t="str">
        <f aca="false">IF((F195&lt;&gt;0),IF((D195&gt;0)," ",(I$1-A195))," ")</f>
        <v> </v>
      </c>
    </row>
    <row r="196" customFormat="false" ht="12.75" hidden="false" customHeight="false" outlineLevel="0" collapsed="false">
      <c r="A196" s="355"/>
      <c r="H196" s="338" t="str">
        <f aca="false">IF((F196&lt;&gt;0),IF((D196&gt;0)," ",F196)," ")</f>
        <v> </v>
      </c>
      <c r="I196" s="339" t="str">
        <f aca="false">IF((F196&lt;&gt;0),IF((D196&gt;0)," ",(I$1-A196))," ")</f>
        <v> </v>
      </c>
    </row>
    <row r="197" customFormat="false" ht="12.75" hidden="false" customHeight="false" outlineLevel="0" collapsed="false">
      <c r="A197" s="355"/>
      <c r="H197" s="338" t="str">
        <f aca="false">IF((F197&lt;&gt;0),IF((D197&gt;0)," ",F197)," ")</f>
        <v> </v>
      </c>
      <c r="I197" s="339" t="str">
        <f aca="false">IF((F197&lt;&gt;0),IF((D197&gt;0)," ",(I$1-A197))," ")</f>
        <v> </v>
      </c>
    </row>
    <row r="198" customFormat="false" ht="12.75" hidden="false" customHeight="false" outlineLevel="0" collapsed="false">
      <c r="A198" s="355"/>
      <c r="H198" s="338" t="str">
        <f aca="false">IF((F198&lt;&gt;0),IF((D198&gt;0)," ",F198)," ")</f>
        <v> </v>
      </c>
      <c r="I198" s="339" t="str">
        <f aca="false">IF((F198&lt;&gt;0),IF((D198&gt;0)," ",(I$1-A198))," ")</f>
        <v> </v>
      </c>
    </row>
    <row r="199" customFormat="false" ht="12.75" hidden="false" customHeight="false" outlineLevel="0" collapsed="false">
      <c r="A199" s="355"/>
      <c r="H199" s="338" t="str">
        <f aca="false">IF((F199&lt;&gt;0),IF((D199&gt;0)," ",F199)," ")</f>
        <v> </v>
      </c>
      <c r="I199" s="339" t="str">
        <f aca="false">IF((F199&lt;&gt;0),IF((D199&gt;0)," ",(I$1-A199))," ")</f>
        <v> </v>
      </c>
    </row>
    <row r="200" customFormat="false" ht="12.75" hidden="false" customHeight="false" outlineLevel="0" collapsed="false">
      <c r="A200" s="355"/>
      <c r="H200" s="338" t="str">
        <f aca="false">IF((F200&lt;&gt;0),IF((D200&gt;0)," ",F200)," ")</f>
        <v> </v>
      </c>
      <c r="I200" s="339" t="str">
        <f aca="false">IF((F200&lt;&gt;0),IF((D200&gt;0)," ",(I$1-A200))," ")</f>
        <v> </v>
      </c>
    </row>
    <row r="201" customFormat="false" ht="12.75" hidden="false" customHeight="false" outlineLevel="0" collapsed="false">
      <c r="A201" s="355"/>
      <c r="H201" s="338" t="str">
        <f aca="false">IF((F201&lt;&gt;0),IF((D201&gt;0)," ",F201)," ")</f>
        <v> </v>
      </c>
      <c r="I201" s="339" t="str">
        <f aca="false">IF((F201&lt;&gt;0),IF((D201&gt;0)," ",(I$1-A201))," ")</f>
        <v> </v>
      </c>
    </row>
    <row r="202" customFormat="false" ht="12.75" hidden="false" customHeight="false" outlineLevel="0" collapsed="false">
      <c r="A202" s="355"/>
      <c r="H202" s="338" t="str">
        <f aca="false">IF((F202&lt;&gt;0),IF((D202&gt;0)," ",F202)," ")</f>
        <v> </v>
      </c>
      <c r="I202" s="339" t="str">
        <f aca="false">IF((F202&lt;&gt;0),IF((D202&gt;0)," ",(I$1-A202))," ")</f>
        <v> </v>
      </c>
    </row>
    <row r="203" customFormat="false" ht="12.75" hidden="false" customHeight="false" outlineLevel="0" collapsed="false">
      <c r="A203" s="355"/>
      <c r="H203" s="338" t="str">
        <f aca="false">IF((F203&lt;&gt;0),IF((D203&gt;0)," ",F203)," ")</f>
        <v> </v>
      </c>
      <c r="I203" s="339" t="str">
        <f aca="false">IF((F203&lt;&gt;0),IF((D203&gt;0)," ",(I$1-A203))," ")</f>
        <v> </v>
      </c>
    </row>
    <row r="204" customFormat="false" ht="12.75" hidden="false" customHeight="false" outlineLevel="0" collapsed="false">
      <c r="A204" s="355"/>
      <c r="H204" s="338" t="str">
        <f aca="false">IF((F204&lt;&gt;0),IF((D204&gt;0)," ",F204)," ")</f>
        <v> </v>
      </c>
      <c r="I204" s="339" t="str">
        <f aca="false">IF((F204&lt;&gt;0),IF((D204&gt;0)," ",(I$1-A204))," ")</f>
        <v> </v>
      </c>
    </row>
    <row r="205" customFormat="false" ht="12.75" hidden="false" customHeight="false" outlineLevel="0" collapsed="false">
      <c r="A205" s="355"/>
    </row>
    <row r="206" customFormat="false" ht="12.75" hidden="false" customHeight="false" outlineLevel="0" collapsed="false">
      <c r="A206" s="355"/>
    </row>
    <row r="207" customFormat="false" ht="12.75" hidden="false" customHeight="false" outlineLevel="0" collapsed="false">
      <c r="A207" s="355"/>
    </row>
    <row r="208" customFormat="false" ht="12.75" hidden="false" customHeight="false" outlineLevel="0" collapsed="false">
      <c r="A208" s="355"/>
    </row>
    <row r="209" customFormat="false" ht="12.75" hidden="false" customHeight="false" outlineLevel="0" collapsed="false">
      <c r="A209" s="355"/>
    </row>
    <row r="210" customFormat="false" ht="12.75" hidden="false" customHeight="false" outlineLevel="0" collapsed="false">
      <c r="A210" s="355"/>
    </row>
    <row r="211" customFormat="false" ht="12.75" hidden="false" customHeight="false" outlineLevel="0" collapsed="false">
      <c r="A211" s="355"/>
    </row>
    <row r="212" customFormat="false" ht="12.75" hidden="false" customHeight="false" outlineLevel="0" collapsed="false">
      <c r="A212" s="355"/>
    </row>
    <row r="213" customFormat="false" ht="12.75" hidden="false" customHeight="false" outlineLevel="0" collapsed="false">
      <c r="A213" s="355"/>
    </row>
    <row r="214" customFormat="false" ht="12.75" hidden="false" customHeight="false" outlineLevel="0" collapsed="false">
      <c r="A214" s="355"/>
    </row>
    <row r="215" customFormat="false" ht="12.75" hidden="false" customHeight="false" outlineLevel="0" collapsed="false">
      <c r="A215" s="355"/>
    </row>
    <row r="216" customFormat="false" ht="12.75" hidden="false" customHeight="false" outlineLevel="0" collapsed="false">
      <c r="A216" s="355"/>
    </row>
    <row r="217" customFormat="false" ht="12.75" hidden="false" customHeight="false" outlineLevel="0" collapsed="false">
      <c r="A217" s="355"/>
    </row>
    <row r="218" customFormat="false" ht="12.75" hidden="false" customHeight="false" outlineLevel="0" collapsed="false">
      <c r="A218" s="355"/>
    </row>
    <row r="219" customFormat="false" ht="12.75" hidden="false" customHeight="false" outlineLevel="0" collapsed="false">
      <c r="A219" s="355"/>
    </row>
    <row r="220" customFormat="false" ht="12.75" hidden="false" customHeight="false" outlineLevel="0" collapsed="false">
      <c r="A220" s="355"/>
    </row>
    <row r="221" customFormat="false" ht="12.75" hidden="false" customHeight="false" outlineLevel="0" collapsed="false">
      <c r="A221" s="355"/>
    </row>
    <row r="222" customFormat="false" ht="12.75" hidden="false" customHeight="false" outlineLevel="0" collapsed="false">
      <c r="A222" s="355"/>
    </row>
    <row r="223" customFormat="false" ht="12.75" hidden="false" customHeight="false" outlineLevel="0" collapsed="false">
      <c r="A223" s="355"/>
    </row>
    <row r="224" customFormat="false" ht="12.75" hidden="false" customHeight="false" outlineLevel="0" collapsed="false">
      <c r="A224" s="355"/>
    </row>
    <row r="225" customFormat="false" ht="12.75" hidden="false" customHeight="false" outlineLevel="0" collapsed="false">
      <c r="A225" s="355"/>
    </row>
    <row r="226" customFormat="false" ht="12.75" hidden="false" customHeight="false" outlineLevel="0" collapsed="false">
      <c r="A226" s="355"/>
    </row>
    <row r="227" customFormat="false" ht="12.75" hidden="false" customHeight="false" outlineLevel="0" collapsed="false">
      <c r="A227" s="355"/>
    </row>
    <row r="228" customFormat="false" ht="12.75" hidden="false" customHeight="false" outlineLevel="0" collapsed="false">
      <c r="A228" s="355"/>
    </row>
    <row r="229" customFormat="false" ht="12.75" hidden="false" customHeight="false" outlineLevel="0" collapsed="false">
      <c r="A229" s="355"/>
    </row>
    <row r="230" customFormat="false" ht="12.75" hidden="false" customHeight="false" outlineLevel="0" collapsed="false">
      <c r="A230" s="355"/>
    </row>
    <row r="231" customFormat="false" ht="12.75" hidden="false" customHeight="false" outlineLevel="0" collapsed="false">
      <c r="A231" s="355"/>
    </row>
    <row r="232" customFormat="false" ht="12.75" hidden="false" customHeight="false" outlineLevel="0" collapsed="false">
      <c r="A232" s="355"/>
    </row>
    <row r="233" customFormat="false" ht="12.75" hidden="false" customHeight="false" outlineLevel="0" collapsed="false">
      <c r="A233" s="355"/>
    </row>
    <row r="234" customFormat="false" ht="12.75" hidden="false" customHeight="false" outlineLevel="0" collapsed="false">
      <c r="A234" s="355"/>
    </row>
    <row r="235" customFormat="false" ht="12.75" hidden="false" customHeight="false" outlineLevel="0" collapsed="false">
      <c r="A235" s="355"/>
    </row>
    <row r="236" customFormat="false" ht="12.75" hidden="false" customHeight="false" outlineLevel="0" collapsed="false">
      <c r="A236" s="355"/>
    </row>
    <row r="237" customFormat="false" ht="12.75" hidden="false" customHeight="false" outlineLevel="0" collapsed="false">
      <c r="A237" s="355"/>
    </row>
    <row r="238" customFormat="false" ht="12.75" hidden="false" customHeight="false" outlineLevel="0" collapsed="false">
      <c r="A238" s="355"/>
    </row>
    <row r="239" customFormat="false" ht="12.75" hidden="false" customHeight="false" outlineLevel="0" collapsed="false">
      <c r="A239" s="355"/>
    </row>
    <row r="240" customFormat="false" ht="12.75" hidden="false" customHeight="false" outlineLevel="0" collapsed="false">
      <c r="A240" s="355"/>
    </row>
    <row r="241" customFormat="false" ht="12.75" hidden="false" customHeight="false" outlineLevel="0" collapsed="false">
      <c r="A241" s="355"/>
    </row>
    <row r="242" customFormat="false" ht="12.75" hidden="false" customHeight="false" outlineLevel="0" collapsed="false">
      <c r="A242" s="355"/>
    </row>
    <row r="243" customFormat="false" ht="12.75" hidden="false" customHeight="false" outlineLevel="0" collapsed="false">
      <c r="A243" s="355"/>
    </row>
    <row r="244" customFormat="false" ht="12.75" hidden="false" customHeight="false" outlineLevel="0" collapsed="false">
      <c r="A244" s="355"/>
    </row>
    <row r="245" customFormat="false" ht="12.75" hidden="false" customHeight="false" outlineLevel="0" collapsed="false">
      <c r="A245" s="355"/>
    </row>
    <row r="246" customFormat="false" ht="12.75" hidden="false" customHeight="false" outlineLevel="0" collapsed="false">
      <c r="A246" s="355"/>
    </row>
    <row r="247" customFormat="false" ht="12.75" hidden="false" customHeight="false" outlineLevel="0" collapsed="false">
      <c r="A247" s="355"/>
    </row>
    <row r="248" customFormat="false" ht="12.75" hidden="false" customHeight="false" outlineLevel="0" collapsed="false">
      <c r="A248" s="355"/>
    </row>
    <row r="249" customFormat="false" ht="12.75" hidden="false" customHeight="false" outlineLevel="0" collapsed="false">
      <c r="A249" s="355"/>
    </row>
    <row r="250" customFormat="false" ht="12.75" hidden="false" customHeight="false" outlineLevel="0" collapsed="false">
      <c r="A250" s="355"/>
    </row>
    <row r="251" customFormat="false" ht="12.75" hidden="false" customHeight="false" outlineLevel="0" collapsed="false">
      <c r="A251" s="355"/>
    </row>
    <row r="252" customFormat="false" ht="12.75" hidden="false" customHeight="false" outlineLevel="0" collapsed="false">
      <c r="A252" s="355"/>
    </row>
    <row r="253" customFormat="false" ht="12.75" hidden="false" customHeight="false" outlineLevel="0" collapsed="false">
      <c r="A253" s="355"/>
    </row>
    <row r="254" customFormat="false" ht="12.75" hidden="false" customHeight="false" outlineLevel="0" collapsed="false">
      <c r="A254" s="355"/>
    </row>
    <row r="255" customFormat="false" ht="12.75" hidden="false" customHeight="false" outlineLevel="0" collapsed="false">
      <c r="A255" s="355"/>
    </row>
    <row r="256" customFormat="false" ht="12.75" hidden="false" customHeight="false" outlineLevel="0" collapsed="false">
      <c r="A256" s="355"/>
    </row>
    <row r="257" customFormat="false" ht="12.75" hidden="false" customHeight="false" outlineLevel="0" collapsed="false">
      <c r="A257" s="355"/>
    </row>
    <row r="258" customFormat="false" ht="12.75" hidden="false" customHeight="false" outlineLevel="0" collapsed="false">
      <c r="A258" s="355"/>
    </row>
    <row r="259" customFormat="false" ht="12.75" hidden="false" customHeight="false" outlineLevel="0" collapsed="false">
      <c r="A259" s="355"/>
    </row>
    <row r="260" customFormat="false" ht="12.75" hidden="false" customHeight="false" outlineLevel="0" collapsed="false">
      <c r="A260" s="355"/>
    </row>
    <row r="261" customFormat="false" ht="12.75" hidden="false" customHeight="false" outlineLevel="0" collapsed="false">
      <c r="A261" s="355"/>
    </row>
    <row r="262" customFormat="false" ht="12.75" hidden="false" customHeight="false" outlineLevel="0" collapsed="false">
      <c r="A262" s="355"/>
    </row>
    <row r="263" customFormat="false" ht="12.75" hidden="false" customHeight="false" outlineLevel="0" collapsed="false">
      <c r="A263" s="355"/>
    </row>
    <row r="264" customFormat="false" ht="12.75" hidden="false" customHeight="false" outlineLevel="0" collapsed="false">
      <c r="A264" s="355"/>
    </row>
    <row r="265" customFormat="false" ht="12.75" hidden="false" customHeight="false" outlineLevel="0" collapsed="false">
      <c r="A265" s="355"/>
    </row>
    <row r="266" customFormat="false" ht="12.75" hidden="false" customHeight="false" outlineLevel="0" collapsed="false">
      <c r="A266" s="355"/>
    </row>
    <row r="267" customFormat="false" ht="12.75" hidden="false" customHeight="false" outlineLevel="0" collapsed="false">
      <c r="A267" s="355"/>
    </row>
    <row r="268" customFormat="false" ht="12.75" hidden="false" customHeight="false" outlineLevel="0" collapsed="false">
      <c r="A268" s="355"/>
    </row>
    <row r="269" customFormat="false" ht="12.75" hidden="false" customHeight="false" outlineLevel="0" collapsed="false">
      <c r="A269" s="355"/>
    </row>
    <row r="270" customFormat="false" ht="12.75" hidden="false" customHeight="false" outlineLevel="0" collapsed="false">
      <c r="A270" s="355"/>
    </row>
    <row r="271" customFormat="false" ht="12.75" hidden="false" customHeight="false" outlineLevel="0" collapsed="false">
      <c r="A271" s="355"/>
    </row>
    <row r="272" customFormat="false" ht="12.75" hidden="false" customHeight="false" outlineLevel="0" collapsed="false">
      <c r="A272" s="355"/>
    </row>
    <row r="273" customFormat="false" ht="12.75" hidden="false" customHeight="false" outlineLevel="0" collapsed="false">
      <c r="A273" s="355"/>
    </row>
    <row r="274" customFormat="false" ht="12.75" hidden="false" customHeight="false" outlineLevel="0" collapsed="false">
      <c r="A274" s="355"/>
    </row>
    <row r="275" customFormat="false" ht="12.75" hidden="false" customHeight="false" outlineLevel="0" collapsed="false">
      <c r="A275" s="355"/>
    </row>
    <row r="276" customFormat="false" ht="12.75" hidden="false" customHeight="false" outlineLevel="0" collapsed="false">
      <c r="A276" s="355"/>
    </row>
    <row r="277" customFormat="false" ht="12.75" hidden="false" customHeight="false" outlineLevel="0" collapsed="false">
      <c r="A277" s="355"/>
    </row>
    <row r="278" customFormat="false" ht="12.75" hidden="false" customHeight="false" outlineLevel="0" collapsed="false">
      <c r="A278" s="355"/>
    </row>
    <row r="279" customFormat="false" ht="12.75" hidden="false" customHeight="false" outlineLevel="0" collapsed="false">
      <c r="A279" s="355"/>
    </row>
    <row r="280" customFormat="false" ht="12.75" hidden="false" customHeight="false" outlineLevel="0" collapsed="false">
      <c r="A280" s="355"/>
    </row>
    <row r="281" customFormat="false" ht="12.75" hidden="false" customHeight="false" outlineLevel="0" collapsed="false">
      <c r="A281" s="355"/>
    </row>
    <row r="282" customFormat="false" ht="12.75" hidden="false" customHeight="false" outlineLevel="0" collapsed="false">
      <c r="A282" s="355"/>
    </row>
    <row r="283" customFormat="false" ht="12.75" hidden="false" customHeight="false" outlineLevel="0" collapsed="false">
      <c r="A283" s="355"/>
    </row>
    <row r="284" customFormat="false" ht="12.75" hidden="false" customHeight="false" outlineLevel="0" collapsed="false">
      <c r="A284" s="355"/>
    </row>
    <row r="285" customFormat="false" ht="12.75" hidden="false" customHeight="false" outlineLevel="0" collapsed="false">
      <c r="A285" s="355"/>
    </row>
    <row r="286" customFormat="false" ht="12.75" hidden="false" customHeight="false" outlineLevel="0" collapsed="false">
      <c r="A286" s="355"/>
    </row>
    <row r="287" customFormat="false" ht="12.75" hidden="false" customHeight="false" outlineLevel="0" collapsed="false">
      <c r="A287" s="355"/>
    </row>
    <row r="288" customFormat="false" ht="12.75" hidden="false" customHeight="false" outlineLevel="0" collapsed="false">
      <c r="A288" s="355"/>
    </row>
    <row r="289" customFormat="false" ht="12.75" hidden="false" customHeight="false" outlineLevel="0" collapsed="false">
      <c r="A289" s="355"/>
    </row>
    <row r="290" customFormat="false" ht="12.75" hidden="false" customHeight="false" outlineLevel="0" collapsed="false">
      <c r="A290" s="355"/>
    </row>
    <row r="291" customFormat="false" ht="12.75" hidden="false" customHeight="false" outlineLevel="0" collapsed="false">
      <c r="A291" s="355"/>
    </row>
    <row r="292" customFormat="false" ht="12.75" hidden="false" customHeight="false" outlineLevel="0" collapsed="false">
      <c r="A292" s="355"/>
    </row>
    <row r="293" customFormat="false" ht="12.75" hidden="false" customHeight="false" outlineLevel="0" collapsed="false">
      <c r="A293" s="355"/>
    </row>
    <row r="294" customFormat="false" ht="12.75" hidden="false" customHeight="false" outlineLevel="0" collapsed="false">
      <c r="A294" s="355"/>
    </row>
    <row r="295" customFormat="false" ht="12.75" hidden="false" customHeight="false" outlineLevel="0" collapsed="false">
      <c r="A295" s="355"/>
    </row>
    <row r="296" customFormat="false" ht="12.75" hidden="false" customHeight="false" outlineLevel="0" collapsed="false">
      <c r="A296" s="355"/>
    </row>
    <row r="297" customFormat="false" ht="12.75" hidden="false" customHeight="false" outlineLevel="0" collapsed="false">
      <c r="A297" s="355"/>
    </row>
    <row r="298" customFormat="false" ht="12.75" hidden="false" customHeight="false" outlineLevel="0" collapsed="false">
      <c r="A298" s="355"/>
    </row>
    <row r="299" customFormat="false" ht="12.75" hidden="false" customHeight="false" outlineLevel="0" collapsed="false">
      <c r="A299" s="355"/>
    </row>
    <row r="300" customFormat="false" ht="12.75" hidden="false" customHeight="false" outlineLevel="0" collapsed="false">
      <c r="A300" s="355"/>
      <c r="B300" s="356"/>
      <c r="C300" s="357"/>
      <c r="D300" s="358"/>
      <c r="E300" s="359"/>
      <c r="F300" s="356"/>
      <c r="G300" s="356"/>
      <c r="H300" s="360"/>
      <c r="I300" s="361"/>
      <c r="J300" s="356"/>
    </row>
    <row r="301" customFormat="false" ht="12.75" hidden="false" customHeight="false" outlineLevel="0" collapsed="false">
      <c r="A301" s="333" t="s">
        <v>265</v>
      </c>
    </row>
  </sheetData>
  <mergeCells count="10">
    <mergeCell ref="A1:A3"/>
    <mergeCell ref="B1:B3"/>
    <mergeCell ref="C2:C3"/>
    <mergeCell ref="D2:D3"/>
    <mergeCell ref="E2:E3"/>
    <mergeCell ref="F2:F3"/>
    <mergeCell ref="G2:G3"/>
    <mergeCell ref="H2:H3"/>
    <mergeCell ref="I2:I3"/>
    <mergeCell ref="J2:K2"/>
  </mergeCells>
  <dataValidations count="1">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4:A300" type="date">
      <formula1>38353</formula1>
      <formula2>53327</formula2>
    </dataValidation>
  </dataValidations>
  <printOptions headings="false" gridLines="true" gridLinesSet="true" horizontalCentered="false" verticalCentered="false"/>
  <pageMargins left="0.196527777777778" right="0.39375" top="0.590972222222222" bottom="0.590972222222222"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&amp;C&amp;"Arial,Bold"&amp;11Sales Turnover</oddHeader>
    <oddFooter>&amp;L&amp;D  &amp;T&amp;C&amp;P  of  &amp;N&amp;R&amp;F  &amp;A</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62" width="9.66"/>
    <col collapsed="false" customWidth="true" hidden="false" outlineLevel="0" max="2" min="2" style="363" width="23.99"/>
    <col collapsed="false" customWidth="true" hidden="false" outlineLevel="0" max="3" min="3" style="363" width="15.99"/>
    <col collapsed="false" customWidth="true" hidden="false" outlineLevel="0" max="4" min="4" style="364" width="16.15"/>
    <col collapsed="false" customWidth="true" hidden="false" outlineLevel="0" max="5" min="5" style="365" width="9.49"/>
    <col collapsed="false" customWidth="true" hidden="false" outlineLevel="0" max="6" min="6" style="365" width="8.66"/>
    <col collapsed="false" customWidth="true" hidden="false" outlineLevel="0" max="7" min="7" style="366" width="12.66"/>
    <col collapsed="false" customWidth="true" hidden="false" outlineLevel="0" max="8" min="8" style="338" width="11.5"/>
    <col collapsed="false" customWidth="true" hidden="false" outlineLevel="0" max="9" min="9" style="367" width="10.5"/>
    <col collapsed="false" customWidth="true" hidden="false" outlineLevel="0" max="19" min="10" style="334" width="9.66"/>
    <col collapsed="false" customWidth="true" hidden="false" outlineLevel="0" max="22" min="20" style="334" width="7.66"/>
    <col collapsed="false" customWidth="true" hidden="false" outlineLevel="0" max="23" min="23" style="334" width="9.66"/>
    <col collapsed="false" customWidth="true" hidden="false" outlineLevel="0" max="24" min="24" style="363" width="24.66"/>
    <col collapsed="false" customWidth="false" hidden="false" outlineLevel="0" max="25" min="25" style="368" width="9.15"/>
    <col collapsed="false" customWidth="true" hidden="false" outlineLevel="0" max="26" min="26" style="368" width="12.66"/>
    <col collapsed="false" customWidth="false" hidden="false" outlineLevel="0" max="257" min="27" style="363" width="9.15"/>
  </cols>
  <sheetData>
    <row r="1" s="334" customFormat="true" ht="13.5" hidden="false" customHeight="true" outlineLevel="0" collapsed="false">
      <c r="A1" s="369" t="n">
        <f aca="false">G4+PurchasesJul!A1</f>
        <v>0</v>
      </c>
      <c r="B1" s="370" t="s">
        <v>266</v>
      </c>
      <c r="C1" s="344" t="n">
        <f aca="false">PurchasesJul!C1+PurchasesAug!F1+SalesAug!$E$1</f>
        <v>0</v>
      </c>
      <c r="D1" s="369" t="s">
        <v>248</v>
      </c>
      <c r="E1" s="371" t="str">
        <f aca="false">IF((G1-SUM(J1:W1)&lt;&gt;0),(G1-SUM(J1:W1))," ")</f>
        <v> </v>
      </c>
      <c r="F1" s="344" t="n">
        <f aca="false">SUM(F5:F300)</f>
        <v>0</v>
      </c>
      <c r="G1" s="343" t="n">
        <f aca="false">SUM(G4:G300)</f>
        <v>4405.25</v>
      </c>
      <c r="H1" s="372" t="n">
        <f aca="false">SUM(H5:H300)</f>
        <v>4405.25</v>
      </c>
      <c r="I1" s="373" t="n">
        <f aca="true">TODAY()</f>
        <v>46138</v>
      </c>
      <c r="J1" s="343" t="n">
        <f aca="false">SUM(J5:J300)</f>
        <v>540</v>
      </c>
      <c r="K1" s="343" t="n">
        <f aca="false">SUM(K5:K300)</f>
        <v>0</v>
      </c>
      <c r="L1" s="343" t="n">
        <f aca="false">SUM(L5:L300)</f>
        <v>800</v>
      </c>
      <c r="M1" s="343" t="n">
        <f aca="false">SUM(M5:M300)</f>
        <v>1200</v>
      </c>
      <c r="N1" s="343" t="n">
        <f aca="false">SUM(N5:N300)</f>
        <v>240</v>
      </c>
      <c r="O1" s="343" t="n">
        <f aca="false">SUM(O5:O300)</f>
        <v>135</v>
      </c>
      <c r="P1" s="343" t="n">
        <f aca="false">SUM(P3:P300)</f>
        <v>602.25</v>
      </c>
      <c r="Q1" s="343" t="n">
        <f aca="false">SUM(Q5:Q300)</f>
        <v>140</v>
      </c>
      <c r="R1" s="343" t="n">
        <f aca="false">SUM(R5:R300)</f>
        <v>0</v>
      </c>
      <c r="S1" s="343" t="n">
        <f aca="false">SUM(S5:S300)</f>
        <v>300</v>
      </c>
      <c r="T1" s="343" t="n">
        <f aca="false">SUM(T5:T300)</f>
        <v>0</v>
      </c>
      <c r="U1" s="343" t="n">
        <f aca="false">SUM(U5:U300)</f>
        <v>0</v>
      </c>
      <c r="V1" s="343" t="n">
        <f aca="false">SUM(V5:V300)</f>
        <v>448</v>
      </c>
      <c r="W1" s="345" t="n">
        <f aca="false">SUM(W5:W300)</f>
        <v>0</v>
      </c>
      <c r="X1" s="374" t="n">
        <f aca="false">W1+PurchasesJul!X1</f>
        <v>3000</v>
      </c>
      <c r="Y1" s="375" t="n">
        <f aca="false">SUM(Y5:Y200)</f>
        <v>0</v>
      </c>
      <c r="Z1" s="376" t="n">
        <f aca="false">Y1+PurchasesJul!Z1</f>
        <v>0</v>
      </c>
    </row>
    <row r="2" s="384" customFormat="true" ht="24" hidden="false" customHeight="true" outlineLevel="0" collapsed="false">
      <c r="A2" s="377" t="s">
        <v>267</v>
      </c>
      <c r="B2" s="378" t="str">
        <f aca="false">IF((G1-SUM(J1:W1)&lt;&gt;0),"COMPLETE EXPENSE ANALYSIS by inserting expense letter in col E","Supplier")</f>
        <v>Supplier</v>
      </c>
      <c r="C2" s="379" t="s">
        <v>268</v>
      </c>
      <c r="D2" s="379" t="s">
        <v>269</v>
      </c>
      <c r="E2" s="379" t="s">
        <v>270</v>
      </c>
      <c r="F2" s="379" t="s">
        <v>344</v>
      </c>
      <c r="G2" s="380" t="s">
        <v>272</v>
      </c>
      <c r="H2" s="381" t="s">
        <v>273</v>
      </c>
      <c r="I2" s="382" t="s">
        <v>274</v>
      </c>
      <c r="J2" s="380" t="s">
        <v>275</v>
      </c>
      <c r="K2" s="380" t="s">
        <v>276</v>
      </c>
      <c r="L2" s="380" t="s">
        <v>277</v>
      </c>
      <c r="M2" s="380" t="s">
        <v>278</v>
      </c>
      <c r="N2" s="380" t="s">
        <v>279</v>
      </c>
      <c r="O2" s="380" t="s">
        <v>280</v>
      </c>
      <c r="P2" s="380" t="s">
        <v>281</v>
      </c>
      <c r="Q2" s="380" t="s">
        <v>282</v>
      </c>
      <c r="R2" s="380" t="s">
        <v>283</v>
      </c>
      <c r="S2" s="380" t="s">
        <v>284</v>
      </c>
      <c r="T2" s="380" t="s">
        <v>285</v>
      </c>
      <c r="U2" s="380" t="s">
        <v>286</v>
      </c>
      <c r="V2" s="380" t="s">
        <v>287</v>
      </c>
      <c r="W2" s="381" t="s">
        <v>288</v>
      </c>
      <c r="X2" s="383" t="str">
        <f aca="false">IF(X1&gt;('Fixed Assets'!$E$110),"FIXED ASSETS requires updating with new additions","Fixed Assets Description  (Vehicles: make, model, date reg. and reg. mark)")</f>
        <v>FIXED ASSETS requires updating with new additions</v>
      </c>
      <c r="Y2" s="380" t="s">
        <v>289</v>
      </c>
      <c r="Z2" s="380"/>
    </row>
    <row r="3" s="386" customFormat="true" ht="12" hidden="false" customHeight="true" outlineLevel="0" collapsed="false">
      <c r="A3" s="377"/>
      <c r="B3" s="377"/>
      <c r="C3" s="377"/>
      <c r="D3" s="377"/>
      <c r="E3" s="379"/>
      <c r="F3" s="379"/>
      <c r="G3" s="380"/>
      <c r="H3" s="381"/>
      <c r="I3" s="381"/>
      <c r="J3" s="380"/>
      <c r="K3" s="380"/>
      <c r="L3" s="380"/>
      <c r="M3" s="380"/>
      <c r="N3" s="380"/>
      <c r="O3" s="380"/>
      <c r="P3" s="385" t="n">
        <f aca="false">IF((E$4="m"),G$4," ")</f>
        <v>0</v>
      </c>
      <c r="Q3" s="380"/>
      <c r="R3" s="380"/>
      <c r="S3" s="380"/>
      <c r="T3" s="380"/>
      <c r="U3" s="380"/>
      <c r="V3" s="380"/>
      <c r="W3" s="381"/>
      <c r="X3" s="383"/>
      <c r="Y3" s="380" t="s">
        <v>290</v>
      </c>
      <c r="Z3" s="380"/>
    </row>
    <row r="4" s="365" customFormat="true" ht="12.75" hidden="false" customHeight="false" outlineLevel="0" collapsed="false">
      <c r="A4" s="377"/>
      <c r="B4" s="377"/>
      <c r="C4" s="377"/>
      <c r="D4" s="377"/>
      <c r="E4" s="387" t="s">
        <v>291</v>
      </c>
      <c r="F4" s="379"/>
      <c r="G4" s="400" t="n">
        <f aca="false">IF((C1&lt;Admin!$F$22),((C1-PurchasesJul!C1)*Admin!$G$21),(C1*Admin!$G$21-(C1-Admin!$F$21)*(Admin!$G$21-Admin!$G$22)-PurchasesJul!A1))</f>
        <v>0</v>
      </c>
      <c r="H4" s="381"/>
      <c r="I4" s="381"/>
      <c r="J4" s="389" t="s">
        <v>292</v>
      </c>
      <c r="K4" s="390" t="s">
        <v>293</v>
      </c>
      <c r="L4" s="390" t="s">
        <v>294</v>
      </c>
      <c r="M4" s="390" t="s">
        <v>295</v>
      </c>
      <c r="N4" s="390" t="s">
        <v>296</v>
      </c>
      <c r="O4" s="390" t="s">
        <v>297</v>
      </c>
      <c r="P4" s="391" t="s">
        <v>298</v>
      </c>
      <c r="Q4" s="390" t="s">
        <v>299</v>
      </c>
      <c r="R4" s="390" t="s">
        <v>300</v>
      </c>
      <c r="S4" s="390" t="s">
        <v>301</v>
      </c>
      <c r="T4" s="390" t="s">
        <v>302</v>
      </c>
      <c r="U4" s="390" t="s">
        <v>303</v>
      </c>
      <c r="V4" s="390" t="s">
        <v>304</v>
      </c>
      <c r="W4" s="392" t="s">
        <v>305</v>
      </c>
      <c r="X4" s="383"/>
      <c r="Y4" s="380" t="s">
        <v>306</v>
      </c>
      <c r="Z4" s="380" t="s">
        <v>307</v>
      </c>
    </row>
    <row r="5" customFormat="false" ht="12.75" hidden="false" customHeight="false" outlineLevel="0" collapsed="false">
      <c r="A5" s="355" t="n">
        <v>45870</v>
      </c>
      <c r="B5" s="363" t="s">
        <v>239</v>
      </c>
      <c r="E5" s="365" t="s">
        <v>308</v>
      </c>
      <c r="G5" s="366" t="n">
        <v>1200</v>
      </c>
      <c r="H5" s="338" t="n">
        <f aca="false">IF((G5&lt;&gt;0),IF((D5&gt;0)," ",G5)," ")</f>
        <v>1200</v>
      </c>
      <c r="I5" s="367" t="n">
        <f aca="false">IF((G5&lt;&gt;0),IF((D5&gt;0)," ",(I$1-A5))," ")</f>
        <v>268</v>
      </c>
      <c r="J5" s="334" t="str">
        <f aca="false">IF((E5="s"),G5," ")</f>
        <v> </v>
      </c>
      <c r="K5" s="334" t="str">
        <f aca="false">IF((E5="d"),G5," ")</f>
        <v> </v>
      </c>
      <c r="L5" s="334" t="str">
        <f aca="false">IF((E5="e"),G5," ")</f>
        <v> </v>
      </c>
      <c r="M5" s="334" t="n">
        <f aca="false">IF((E5="p"),G5," ")</f>
        <v>1200</v>
      </c>
      <c r="N5" s="334" t="str">
        <f aca="false">IF((E5="r"),G5," ")</f>
        <v> </v>
      </c>
      <c r="O5" s="334" t="str">
        <f aca="false">IF((E5="g"),G5," ")</f>
        <v> </v>
      </c>
      <c r="P5" s="334" t="str">
        <f aca="false">IF((E5="m"),G5," ")</f>
        <v> </v>
      </c>
      <c r="Q5" s="334" t="str">
        <f aca="false">IF((E5="t"),G5," ")</f>
        <v> </v>
      </c>
      <c r="R5" s="334" t="str">
        <f aca="false">IF((E5="a"),G5," ")</f>
        <v> </v>
      </c>
      <c r="S5" s="334" t="str">
        <f aca="false">IF((E5="l"),G5," ")</f>
        <v> </v>
      </c>
      <c r="T5" s="334" t="str">
        <f aca="false">IF((E5="b"),G5," ")</f>
        <v> </v>
      </c>
      <c r="U5" s="334" t="str">
        <f aca="false">IF((E5="i"),G5," ")</f>
        <v> </v>
      </c>
      <c r="V5" s="334" t="str">
        <f aca="false">IF((E5="o"),G5," ")</f>
        <v> </v>
      </c>
      <c r="W5" s="334" t="str">
        <f aca="false">IF((E5="f"),G5," ")</f>
        <v> </v>
      </c>
    </row>
    <row r="6" customFormat="false" ht="12.75" hidden="false" customHeight="false" outlineLevel="0" collapsed="false">
      <c r="A6" s="355" t="n">
        <v>45870</v>
      </c>
      <c r="B6" s="363" t="s">
        <v>309</v>
      </c>
      <c r="E6" s="365" t="s">
        <v>310</v>
      </c>
      <c r="G6" s="366" t="n">
        <v>30</v>
      </c>
      <c r="H6" s="338" t="n">
        <f aca="false">IF((G6&lt;&gt;0),IF((D6&gt;0)," ",G6)," ")</f>
        <v>30</v>
      </c>
      <c r="I6" s="367" t="n">
        <f aca="false">IF((G6&lt;&gt;0),IF((D6&gt;0)," ",(I$1-A6))," ")</f>
        <v>268</v>
      </c>
      <c r="J6" s="334" t="str">
        <f aca="false">IF((E6="s"),G6," ")</f>
        <v> </v>
      </c>
      <c r="K6" s="334" t="str">
        <f aca="false">IF((E6="d"),G6," ")</f>
        <v> </v>
      </c>
      <c r="L6" s="334" t="str">
        <f aca="false">IF((E6="e"),G6," ")</f>
        <v> </v>
      </c>
      <c r="M6" s="334" t="str">
        <f aca="false">IF((E6="p"),G6," ")</f>
        <v> </v>
      </c>
      <c r="N6" s="334" t="str">
        <f aca="false">IF((E6="r"),G6," ")</f>
        <v> </v>
      </c>
      <c r="O6" s="334" t="n">
        <f aca="false">IF((E6="g"),G6," ")</f>
        <v>30</v>
      </c>
      <c r="P6" s="334" t="str">
        <f aca="false">IF((E6="m"),G6," ")</f>
        <v> </v>
      </c>
      <c r="Q6" s="334" t="str">
        <f aca="false">IF((E6="t"),G6," ")</f>
        <v> </v>
      </c>
      <c r="R6" s="334" t="str">
        <f aca="false">IF((E6="a"),G6," ")</f>
        <v> </v>
      </c>
      <c r="S6" s="334" t="str">
        <f aca="false">IF((E6="l"),G6," ")</f>
        <v> </v>
      </c>
      <c r="T6" s="334" t="str">
        <f aca="false">IF((E6="b"),G6," ")</f>
        <v> </v>
      </c>
      <c r="U6" s="334" t="str">
        <f aca="false">IF((E6="i"),G6," ")</f>
        <v> </v>
      </c>
      <c r="V6" s="334" t="str">
        <f aca="false">IF((E6="o"),G6," ")</f>
        <v> </v>
      </c>
      <c r="W6" s="334" t="str">
        <f aca="false">IF((E6="f"),G6," ")</f>
        <v> </v>
      </c>
    </row>
    <row r="7" customFormat="false" ht="12.75" hidden="false" customHeight="false" outlineLevel="0" collapsed="false">
      <c r="A7" s="355" t="n">
        <v>45870</v>
      </c>
      <c r="B7" s="363" t="s">
        <v>311</v>
      </c>
      <c r="E7" s="365" t="s">
        <v>310</v>
      </c>
      <c r="G7" s="366" t="n">
        <v>15</v>
      </c>
      <c r="H7" s="338" t="n">
        <f aca="false">IF((G7&lt;&gt;0),IF((D7&gt;0)," ",G7)," ")</f>
        <v>15</v>
      </c>
      <c r="I7" s="367" t="n">
        <f aca="false">IF((G7&lt;&gt;0),IF((D7&gt;0)," ",(I$1-A7))," ")</f>
        <v>268</v>
      </c>
      <c r="J7" s="334" t="str">
        <f aca="false">IF((E7="s"),G7," ")</f>
        <v> </v>
      </c>
      <c r="K7" s="334" t="str">
        <f aca="false">IF((E7="d"),G7," ")</f>
        <v> </v>
      </c>
      <c r="L7" s="334" t="str">
        <f aca="false">IF((E7="e"),G7," ")</f>
        <v> </v>
      </c>
      <c r="M7" s="334" t="str">
        <f aca="false">IF((E7="p"),G7," ")</f>
        <v> </v>
      </c>
      <c r="N7" s="334" t="str">
        <f aca="false">IF((E7="r"),G7," ")</f>
        <v> </v>
      </c>
      <c r="O7" s="334" t="n">
        <f aca="false">IF((E7="g"),G7," ")</f>
        <v>15</v>
      </c>
      <c r="P7" s="334" t="str">
        <f aca="false">IF((E7="m"),G7," ")</f>
        <v> </v>
      </c>
      <c r="Q7" s="334" t="str">
        <f aca="false">IF((E7="t"),G7," ")</f>
        <v> </v>
      </c>
      <c r="R7" s="334" t="str">
        <f aca="false">IF((E7="a"),G7," ")</f>
        <v> </v>
      </c>
      <c r="S7" s="334" t="str">
        <f aca="false">IF((E7="l"),G7," ")</f>
        <v> </v>
      </c>
      <c r="T7" s="334" t="str">
        <f aca="false">IF((E7="b"),G7," ")</f>
        <v> </v>
      </c>
      <c r="U7" s="334" t="str">
        <f aca="false">IF((E7="i"),G7," ")</f>
        <v> </v>
      </c>
      <c r="V7" s="334" t="str">
        <f aca="false">IF((E7="o"),G7," ")</f>
        <v> </v>
      </c>
      <c r="W7" s="334" t="str">
        <f aca="false">IF((E7="f"),G7," ")</f>
        <v> </v>
      </c>
    </row>
    <row r="8" customFormat="false" ht="12.75" hidden="false" customHeight="false" outlineLevel="0" collapsed="false">
      <c r="A8" s="355" t="n">
        <v>45870</v>
      </c>
      <c r="B8" s="363" t="s">
        <v>312</v>
      </c>
      <c r="E8" s="365" t="s">
        <v>313</v>
      </c>
      <c r="G8" s="366" t="n">
        <v>45</v>
      </c>
      <c r="H8" s="338" t="n">
        <f aca="false">IF((G8&lt;&gt;0),IF((D8&gt;0)," ",G8)," ")</f>
        <v>45</v>
      </c>
      <c r="I8" s="367" t="n">
        <f aca="false">IF((G8&lt;&gt;0),IF((D8&gt;0)," ",(I$1-A8))," ")</f>
        <v>268</v>
      </c>
      <c r="J8" s="334" t="str">
        <f aca="false">IF((E8="s"),G8," ")</f>
        <v> </v>
      </c>
      <c r="K8" s="334" t="str">
        <f aca="false">IF((E8="d"),G8," ")</f>
        <v> </v>
      </c>
      <c r="L8" s="334" t="str">
        <f aca="false">IF((E8="e"),G8," ")</f>
        <v> </v>
      </c>
      <c r="M8" s="334" t="str">
        <f aca="false">IF((E8="p"),G8," ")</f>
        <v> </v>
      </c>
      <c r="N8" s="334" t="str">
        <f aca="false">IF((E8="r"),G8," ")</f>
        <v> </v>
      </c>
      <c r="O8" s="334" t="str">
        <f aca="false">IF((E8="g"),G8," ")</f>
        <v> </v>
      </c>
      <c r="P8" s="334" t="str">
        <f aca="false">IF((E8="m"),G8," ")</f>
        <v> </v>
      </c>
      <c r="Q8" s="334" t="str">
        <f aca="false">IF((E8="t"),G8," ")</f>
        <v> </v>
      </c>
      <c r="R8" s="334" t="str">
        <f aca="false">IF((E8="a"),G8," ")</f>
        <v> </v>
      </c>
      <c r="S8" s="334" t="str">
        <f aca="false">IF((E8="l"),G8," ")</f>
        <v> </v>
      </c>
      <c r="T8" s="334" t="str">
        <f aca="false">IF((E8="b"),G8," ")</f>
        <v> </v>
      </c>
      <c r="U8" s="334" t="str">
        <f aca="false">IF((E8="i"),G8," ")</f>
        <v> </v>
      </c>
      <c r="V8" s="334" t="n">
        <f aca="false">IF((E8="o"),G8," ")</f>
        <v>45</v>
      </c>
      <c r="W8" s="334" t="str">
        <f aca="false">IF((E8="f"),G8," ")</f>
        <v> </v>
      </c>
    </row>
    <row r="9" customFormat="false" ht="12.75" hidden="false" customHeight="false" outlineLevel="0" collapsed="false">
      <c r="A9" s="355" t="n">
        <v>45870</v>
      </c>
      <c r="B9" s="363" t="s">
        <v>315</v>
      </c>
      <c r="E9" s="365" t="s">
        <v>313</v>
      </c>
      <c r="G9" s="366" t="n">
        <v>24</v>
      </c>
      <c r="H9" s="338" t="n">
        <f aca="false">IF((G9&lt;&gt;0),IF((D9&gt;0)," ",G9)," ")</f>
        <v>24</v>
      </c>
      <c r="I9" s="367" t="n">
        <f aca="false">IF((G9&lt;&gt;0),IF((D9&gt;0)," ",(I$1-A9))," ")</f>
        <v>268</v>
      </c>
      <c r="J9" s="334" t="str">
        <f aca="false">IF((E9="s"),G9," ")</f>
        <v> </v>
      </c>
      <c r="K9" s="334" t="str">
        <f aca="false">IF((E9="d"),G9," ")</f>
        <v> </v>
      </c>
      <c r="L9" s="334" t="str">
        <f aca="false">IF((E9="e"),G9," ")</f>
        <v> </v>
      </c>
      <c r="M9" s="334" t="str">
        <f aca="false">IF((E9="p"),G9," ")</f>
        <v> </v>
      </c>
      <c r="N9" s="334" t="str">
        <f aca="false">IF((E9="r"),G9," ")</f>
        <v> </v>
      </c>
      <c r="O9" s="334" t="str">
        <f aca="false">IF((E9="g"),G9," ")</f>
        <v> </v>
      </c>
      <c r="P9" s="334" t="str">
        <f aca="false">IF((E9="m"),G9," ")</f>
        <v> </v>
      </c>
      <c r="Q9" s="334" t="str">
        <f aca="false">IF((E9="t"),G9," ")</f>
        <v> </v>
      </c>
      <c r="R9" s="334" t="str">
        <f aca="false">IF((E9="a"),G9," ")</f>
        <v> </v>
      </c>
      <c r="S9" s="334" t="str">
        <f aca="false">IF((E9="l"),G9," ")</f>
        <v> </v>
      </c>
      <c r="T9" s="334" t="str">
        <f aca="false">IF((E9="b"),G9," ")</f>
        <v> </v>
      </c>
      <c r="U9" s="334" t="str">
        <f aca="false">IF((E9="i"),G9," ")</f>
        <v> </v>
      </c>
      <c r="V9" s="334" t="n">
        <f aca="false">IF((E9="o"),G9," ")</f>
        <v>24</v>
      </c>
      <c r="W9" s="334" t="str">
        <f aca="false">IF((E9="f"),G9," ")</f>
        <v> </v>
      </c>
    </row>
    <row r="10" customFormat="false" ht="12.75" hidden="false" customHeight="false" outlineLevel="0" collapsed="false">
      <c r="A10" s="355" t="n">
        <v>45870</v>
      </c>
      <c r="B10" s="363" t="s">
        <v>316</v>
      </c>
      <c r="E10" s="365" t="s">
        <v>310</v>
      </c>
      <c r="G10" s="366" t="n">
        <v>18</v>
      </c>
      <c r="H10" s="338" t="n">
        <f aca="false">IF((G10&lt;&gt;0),IF((D10&gt;0)," ",G10)," ")</f>
        <v>18</v>
      </c>
      <c r="I10" s="367" t="n">
        <f aca="false">IF((G10&lt;&gt;0),IF((D10&gt;0)," ",(I$1-A10))," ")</f>
        <v>268</v>
      </c>
      <c r="J10" s="334" t="str">
        <f aca="false">IF((E10="s"),G10," ")</f>
        <v> </v>
      </c>
      <c r="K10" s="334" t="str">
        <f aca="false">IF((E10="d"),G10," ")</f>
        <v> </v>
      </c>
      <c r="L10" s="334" t="str">
        <f aca="false">IF((E10="e"),G10," ")</f>
        <v> </v>
      </c>
      <c r="M10" s="334" t="str">
        <f aca="false">IF((E10="p"),G10," ")</f>
        <v> </v>
      </c>
      <c r="N10" s="334" t="str">
        <f aca="false">IF((E10="r"),G10," ")</f>
        <v> </v>
      </c>
      <c r="O10" s="334" t="n">
        <f aca="false">IF((E10="g"),G10," ")</f>
        <v>18</v>
      </c>
      <c r="P10" s="334" t="str">
        <f aca="false">IF((E10="m"),G10," ")</f>
        <v> </v>
      </c>
      <c r="Q10" s="334" t="str">
        <f aca="false">IF((E10="t"),G10," ")</f>
        <v> </v>
      </c>
      <c r="R10" s="334" t="str">
        <f aca="false">IF((E10="a"),G10," ")</f>
        <v> </v>
      </c>
      <c r="S10" s="334" t="str">
        <f aca="false">IF((E10="l"),G10," ")</f>
        <v> </v>
      </c>
      <c r="T10" s="334" t="str">
        <f aca="false">IF((E10="b"),G10," ")</f>
        <v> </v>
      </c>
      <c r="U10" s="334" t="str">
        <f aca="false">IF((E10="i"),G10," ")</f>
        <v> </v>
      </c>
      <c r="V10" s="334" t="str">
        <f aca="false">IF((E10="o"),G10," ")</f>
        <v> </v>
      </c>
      <c r="W10" s="334" t="str">
        <f aca="false">IF((E10="f"),G10," ")</f>
        <v> </v>
      </c>
    </row>
    <row r="11" customFormat="false" ht="12.75" hidden="false" customHeight="false" outlineLevel="0" collapsed="false">
      <c r="A11" s="355" t="n">
        <v>45872</v>
      </c>
      <c r="B11" s="363" t="s">
        <v>317</v>
      </c>
      <c r="E11" s="365" t="s">
        <v>313</v>
      </c>
      <c r="G11" s="366" t="n">
        <v>180</v>
      </c>
      <c r="H11" s="338" t="n">
        <f aca="false">IF((G11&lt;&gt;0),IF((D11&gt;0)," ",G11)," ")</f>
        <v>180</v>
      </c>
      <c r="I11" s="367" t="n">
        <f aca="false">IF((G11&lt;&gt;0),IF((D11&gt;0)," ",(I$1-A11))," ")</f>
        <v>266</v>
      </c>
      <c r="J11" s="334" t="str">
        <f aca="false">IF((E11="s"),G11," ")</f>
        <v> </v>
      </c>
      <c r="K11" s="334" t="str">
        <f aca="false">IF((E11="d"),G11," ")</f>
        <v> </v>
      </c>
      <c r="L11" s="334" t="str">
        <f aca="false">IF((E11="e"),G11," ")</f>
        <v> </v>
      </c>
      <c r="M11" s="334" t="str">
        <f aca="false">IF((E11="p"),G11," ")</f>
        <v> </v>
      </c>
      <c r="N11" s="334" t="str">
        <f aca="false">IF((E11="r"),G11," ")</f>
        <v> </v>
      </c>
      <c r="O11" s="334" t="str">
        <f aca="false">IF((E11="g"),G11," ")</f>
        <v> </v>
      </c>
      <c r="P11" s="334" t="str">
        <f aca="false">IF((E11="m"),G11," ")</f>
        <v> </v>
      </c>
      <c r="Q11" s="334" t="str">
        <f aca="false">IF((E11="t"),G11," ")</f>
        <v> </v>
      </c>
      <c r="R11" s="334" t="str">
        <f aca="false">IF((E11="a"),G11," ")</f>
        <v> </v>
      </c>
      <c r="S11" s="334" t="str">
        <f aca="false">IF((E11="l"),G11," ")</f>
        <v> </v>
      </c>
      <c r="T11" s="334" t="str">
        <f aca="false">IF((E11="b"),G11," ")</f>
        <v> </v>
      </c>
      <c r="U11" s="334" t="str">
        <f aca="false">IF((E11="i"),G11," ")</f>
        <v> </v>
      </c>
      <c r="V11" s="334" t="n">
        <f aca="false">IF((E11="o"),G11," ")</f>
        <v>180</v>
      </c>
      <c r="W11" s="334" t="str">
        <f aca="false">IF((E11="f"),G11," ")</f>
        <v> </v>
      </c>
    </row>
    <row r="12" customFormat="false" ht="12.75" hidden="false" customHeight="false" outlineLevel="0" collapsed="false">
      <c r="A12" s="355" t="n">
        <v>45872</v>
      </c>
      <c r="B12" s="363" t="s">
        <v>318</v>
      </c>
      <c r="E12" s="365" t="s">
        <v>313</v>
      </c>
      <c r="G12" s="366" t="n">
        <v>22</v>
      </c>
      <c r="H12" s="338" t="n">
        <f aca="false">IF((G12&lt;&gt;0),IF((D12&gt;0)," ",G12)," ")</f>
        <v>22</v>
      </c>
      <c r="I12" s="367" t="n">
        <f aca="false">IF((G12&lt;&gt;0),IF((D12&gt;0)," ",(I$1-A12))," ")</f>
        <v>266</v>
      </c>
      <c r="J12" s="334" t="str">
        <f aca="false">IF((E12="s"),G12," ")</f>
        <v> </v>
      </c>
      <c r="K12" s="334" t="str">
        <f aca="false">IF((E12="d"),G12," ")</f>
        <v> </v>
      </c>
      <c r="L12" s="334" t="str">
        <f aca="false">IF((E12="e"),G12," ")</f>
        <v> </v>
      </c>
      <c r="M12" s="334" t="str">
        <f aca="false">IF((E12="p"),G12," ")</f>
        <v> </v>
      </c>
      <c r="N12" s="334" t="str">
        <f aca="false">IF((E12="r"),G12," ")</f>
        <v> </v>
      </c>
      <c r="O12" s="334" t="str">
        <f aca="false">IF((E12="g"),G12," ")</f>
        <v> </v>
      </c>
      <c r="P12" s="334" t="str">
        <f aca="false">IF((E12="m"),G12," ")</f>
        <v> </v>
      </c>
      <c r="Q12" s="334" t="str">
        <f aca="false">IF((E12="t"),G12," ")</f>
        <v> </v>
      </c>
      <c r="R12" s="334" t="str">
        <f aca="false">IF((E12="a"),G12," ")</f>
        <v> </v>
      </c>
      <c r="S12" s="334" t="str">
        <f aca="false">IF((E12="l"),G12," ")</f>
        <v> </v>
      </c>
      <c r="T12" s="334" t="str">
        <f aca="false">IF((E12="b"),G12," ")</f>
        <v> </v>
      </c>
      <c r="U12" s="334" t="str">
        <f aca="false">IF((E12="i"),G12," ")</f>
        <v> </v>
      </c>
      <c r="V12" s="334" t="n">
        <f aca="false">IF((E12="o"),G12," ")</f>
        <v>22</v>
      </c>
      <c r="W12" s="334" t="str">
        <f aca="false">IF((E12="f"),G12," ")</f>
        <v> </v>
      </c>
    </row>
    <row r="13" customFormat="false" ht="12.75" hidden="false" customHeight="false" outlineLevel="0" collapsed="false">
      <c r="A13" s="355" t="n">
        <v>45874</v>
      </c>
      <c r="B13" s="363" t="s">
        <v>319</v>
      </c>
      <c r="E13" s="365" t="s">
        <v>313</v>
      </c>
      <c r="G13" s="366" t="n">
        <v>24</v>
      </c>
      <c r="H13" s="338" t="n">
        <f aca="false">IF((G13&lt;&gt;0),IF((D13&gt;0)," ",G13)," ")</f>
        <v>24</v>
      </c>
      <c r="I13" s="367" t="n">
        <f aca="false">IF((G13&lt;&gt;0),IF((D13&gt;0)," ",(I$1-A13))," ")</f>
        <v>264</v>
      </c>
      <c r="J13" s="334" t="str">
        <f aca="false">IF((E13="s"),G13," ")</f>
        <v> </v>
      </c>
      <c r="K13" s="334" t="str">
        <f aca="false">IF((E13="d"),G13," ")</f>
        <v> </v>
      </c>
      <c r="L13" s="334" t="str">
        <f aca="false">IF((E13="e"),G13," ")</f>
        <v> </v>
      </c>
      <c r="M13" s="334" t="str">
        <f aca="false">IF((E13="p"),G13," ")</f>
        <v> </v>
      </c>
      <c r="N13" s="334" t="str">
        <f aca="false">IF((E13="r"),G13," ")</f>
        <v> </v>
      </c>
      <c r="O13" s="334" t="str">
        <f aca="false">IF((E13="g"),G13," ")</f>
        <v> </v>
      </c>
      <c r="P13" s="334" t="str">
        <f aca="false">IF((E13="m"),G13," ")</f>
        <v> </v>
      </c>
      <c r="Q13" s="334" t="str">
        <f aca="false">IF((E13="t"),G13," ")</f>
        <v> </v>
      </c>
      <c r="R13" s="334" t="str">
        <f aca="false">IF((E13="a"),G13," ")</f>
        <v> </v>
      </c>
      <c r="S13" s="334" t="str">
        <f aca="false">IF((E13="l"),G13," ")</f>
        <v> </v>
      </c>
      <c r="T13" s="334" t="str">
        <f aca="false">IF((E13="b"),G13," ")</f>
        <v> </v>
      </c>
      <c r="U13" s="334" t="str">
        <f aca="false">IF((E13="i"),G13," ")</f>
        <v> </v>
      </c>
      <c r="V13" s="334" t="n">
        <f aca="false">IF((E13="o"),G13," ")</f>
        <v>24</v>
      </c>
      <c r="W13" s="334" t="str">
        <f aca="false">IF((E13="f"),G13," ")</f>
        <v> </v>
      </c>
    </row>
    <row r="14" customFormat="false" ht="12.75" hidden="false" customHeight="false" outlineLevel="0" collapsed="false">
      <c r="A14" s="355" t="n">
        <v>45874</v>
      </c>
      <c r="B14" s="363" t="s">
        <v>320</v>
      </c>
      <c r="E14" s="365" t="s">
        <v>291</v>
      </c>
      <c r="G14" s="366" t="n">
        <v>180</v>
      </c>
      <c r="H14" s="338" t="n">
        <f aca="false">IF((G14&lt;&gt;0),IF((D14&gt;0)," ",G14)," ")</f>
        <v>180</v>
      </c>
      <c r="I14" s="367" t="n">
        <f aca="false">IF((G14&lt;&gt;0),IF((D14&gt;0)," ",(I$1-A14))," ")</f>
        <v>264</v>
      </c>
      <c r="J14" s="334" t="str">
        <f aca="false">IF((E14="s"),G14," ")</f>
        <v> </v>
      </c>
      <c r="K14" s="334" t="str">
        <f aca="false">IF((E14="d"),G14," ")</f>
        <v> </v>
      </c>
      <c r="L14" s="334" t="str">
        <f aca="false">IF((E14="e"),G14," ")</f>
        <v> </v>
      </c>
      <c r="M14" s="334" t="str">
        <f aca="false">IF((E14="p"),G14," ")</f>
        <v> </v>
      </c>
      <c r="N14" s="334" t="str">
        <f aca="false">IF((E14="r"),G14," ")</f>
        <v> </v>
      </c>
      <c r="O14" s="334" t="str">
        <f aca="false">IF((E14="g"),G14," ")</f>
        <v> </v>
      </c>
      <c r="P14" s="334" t="n">
        <f aca="false">IF((E14="m"),G14," ")</f>
        <v>180</v>
      </c>
      <c r="Q14" s="334" t="str">
        <f aca="false">IF((E14="t"),G14," ")</f>
        <v> </v>
      </c>
      <c r="R14" s="334" t="str">
        <f aca="false">IF((E14="a"),G14," ")</f>
        <v> </v>
      </c>
      <c r="S14" s="334" t="str">
        <f aca="false">IF((E14="l"),G14," ")</f>
        <v> </v>
      </c>
      <c r="T14" s="334" t="str">
        <f aca="false">IF((E14="b"),G14," ")</f>
        <v> </v>
      </c>
      <c r="U14" s="334" t="str">
        <f aca="false">IF((E14="i"),G14," ")</f>
        <v> </v>
      </c>
      <c r="V14" s="334" t="str">
        <f aca="false">IF((E14="o"),G14," ")</f>
        <v> </v>
      </c>
      <c r="W14" s="334" t="str">
        <f aca="false">IF((E14="f"),G14," ")</f>
        <v> </v>
      </c>
    </row>
    <row r="15" customFormat="false" ht="12.75" hidden="false" customHeight="false" outlineLevel="0" collapsed="false">
      <c r="A15" s="355" t="n">
        <v>45874</v>
      </c>
      <c r="B15" s="363" t="s">
        <v>321</v>
      </c>
      <c r="E15" s="365" t="s">
        <v>313</v>
      </c>
      <c r="G15" s="366" t="n">
        <v>36</v>
      </c>
      <c r="H15" s="338" t="n">
        <f aca="false">IF((G15&lt;&gt;0),IF((D15&gt;0)," ",G15)," ")</f>
        <v>36</v>
      </c>
      <c r="I15" s="367" t="n">
        <f aca="false">IF((G15&lt;&gt;0),IF((D15&gt;0)," ",(I$1-A15))," ")</f>
        <v>264</v>
      </c>
      <c r="J15" s="334" t="str">
        <f aca="false">IF((E15="s"),G15," ")</f>
        <v> </v>
      </c>
      <c r="K15" s="334" t="str">
        <f aca="false">IF((E15="d"),G15," ")</f>
        <v> </v>
      </c>
      <c r="L15" s="334" t="str">
        <f aca="false">IF((E15="e"),G15," ")</f>
        <v> </v>
      </c>
      <c r="M15" s="334" t="str">
        <f aca="false">IF((E15="p"),G15," ")</f>
        <v> </v>
      </c>
      <c r="N15" s="334" t="str">
        <f aca="false">IF((E15="r"),G15," ")</f>
        <v> </v>
      </c>
      <c r="O15" s="334" t="str">
        <f aca="false">IF((E15="g"),G15," ")</f>
        <v> </v>
      </c>
      <c r="P15" s="334" t="str">
        <f aca="false">IF((E15="m"),G15," ")</f>
        <v> </v>
      </c>
      <c r="Q15" s="334" t="str">
        <f aca="false">IF((E15="t"),G15," ")</f>
        <v> </v>
      </c>
      <c r="R15" s="334" t="str">
        <f aca="false">IF((E15="a"),G15," ")</f>
        <v> </v>
      </c>
      <c r="S15" s="334" t="str">
        <f aca="false">IF((E15="l"),G15," ")</f>
        <v> </v>
      </c>
      <c r="T15" s="334" t="str">
        <f aca="false">IF((E15="b"),G15," ")</f>
        <v> </v>
      </c>
      <c r="U15" s="334" t="str">
        <f aca="false">IF((E15="i"),G15," ")</f>
        <v> </v>
      </c>
      <c r="V15" s="334" t="n">
        <f aca="false">IF((E15="o"),G15," ")</f>
        <v>36</v>
      </c>
      <c r="W15" s="334" t="str">
        <f aca="false">IF((E15="f"),G15," ")</f>
        <v> </v>
      </c>
    </row>
    <row r="16" customFormat="false" ht="12.75" hidden="false" customHeight="false" outlineLevel="0" collapsed="false">
      <c r="A16" s="355" t="n">
        <v>45875</v>
      </c>
      <c r="B16" s="363" t="s">
        <v>345</v>
      </c>
      <c r="E16" s="365" t="s">
        <v>323</v>
      </c>
      <c r="G16" s="366" t="n">
        <v>48</v>
      </c>
      <c r="H16" s="338" t="n">
        <f aca="false">IF((G16&lt;&gt;0),IF((D16&gt;0)," ",G16)," ")</f>
        <v>48</v>
      </c>
      <c r="I16" s="367" t="n">
        <f aca="false">IF((G16&lt;&gt;0),IF((D16&gt;0)," ",(I$1-A16))," ")</f>
        <v>263</v>
      </c>
      <c r="J16" s="334" t="str">
        <f aca="false">IF((E16="s"),G16," ")</f>
        <v> </v>
      </c>
      <c r="K16" s="334" t="str">
        <f aca="false">IF((E16="d"),G16," ")</f>
        <v> </v>
      </c>
      <c r="L16" s="334" t="str">
        <f aca="false">IF((E16="e"),G16," ")</f>
        <v> </v>
      </c>
      <c r="M16" s="334" t="str">
        <f aca="false">IF((E16="p"),G16," ")</f>
        <v> </v>
      </c>
      <c r="N16" s="334" t="str">
        <f aca="false">IF((E16="r"),G16," ")</f>
        <v> </v>
      </c>
      <c r="O16" s="334" t="str">
        <f aca="false">IF((E16="g"),G16," ")</f>
        <v> </v>
      </c>
      <c r="P16" s="334" t="str">
        <f aca="false">IF((E16="m"),G16," ")</f>
        <v> </v>
      </c>
      <c r="Q16" s="334" t="n">
        <f aca="false">IF((E16="t"),G16," ")</f>
        <v>48</v>
      </c>
      <c r="R16" s="334" t="str">
        <f aca="false">IF((E16="a"),G16," ")</f>
        <v> </v>
      </c>
      <c r="S16" s="334" t="str">
        <f aca="false">IF((E16="l"),G16," ")</f>
        <v> </v>
      </c>
      <c r="T16" s="334" t="str">
        <f aca="false">IF((E16="b"),G16," ")</f>
        <v> </v>
      </c>
      <c r="U16" s="334" t="str">
        <f aca="false">IF((E16="i"),G16," ")</f>
        <v> </v>
      </c>
      <c r="V16" s="334" t="str">
        <f aca="false">IF((E16="o"),G16," ")</f>
        <v> </v>
      </c>
      <c r="W16" s="334" t="str">
        <f aca="false">IF((E16="f"),G16," ")</f>
        <v> </v>
      </c>
    </row>
    <row r="17" customFormat="false" ht="12.75" hidden="false" customHeight="false" outlineLevel="0" collapsed="false">
      <c r="A17" s="355" t="n">
        <v>45877</v>
      </c>
      <c r="B17" s="363" t="s">
        <v>322</v>
      </c>
      <c r="E17" s="365" t="s">
        <v>323</v>
      </c>
      <c r="G17" s="366" t="n">
        <v>48</v>
      </c>
      <c r="H17" s="338" t="n">
        <f aca="false">IF((G17&lt;&gt;0),IF((D17&gt;0)," ",G17)," ")</f>
        <v>48</v>
      </c>
      <c r="I17" s="367" t="n">
        <f aca="false">IF((G17&lt;&gt;0),IF((D17&gt;0)," ",(I$1-A17))," ")</f>
        <v>261</v>
      </c>
      <c r="J17" s="334" t="str">
        <f aca="false">IF((E17="s"),G17," ")</f>
        <v> </v>
      </c>
      <c r="K17" s="334" t="str">
        <f aca="false">IF((E17="d"),G17," ")</f>
        <v> </v>
      </c>
      <c r="L17" s="334" t="str">
        <f aca="false">IF((E17="e"),G17," ")</f>
        <v> </v>
      </c>
      <c r="M17" s="334" t="str">
        <f aca="false">IF((E17="p"),G17," ")</f>
        <v> </v>
      </c>
      <c r="N17" s="334" t="str">
        <f aca="false">IF((E17="r"),G17," ")</f>
        <v> </v>
      </c>
      <c r="O17" s="334" t="str">
        <f aca="false">IF((E17="g"),G17," ")</f>
        <v> </v>
      </c>
      <c r="P17" s="334" t="str">
        <f aca="false">IF((E17="m"),G17," ")</f>
        <v> </v>
      </c>
      <c r="Q17" s="334" t="n">
        <f aca="false">IF((E17="t"),G17," ")</f>
        <v>48</v>
      </c>
      <c r="R17" s="334" t="str">
        <f aca="false">IF((E17="a"),G17," ")</f>
        <v> </v>
      </c>
      <c r="S17" s="334" t="str">
        <f aca="false">IF((E17="l"),G17," ")</f>
        <v> </v>
      </c>
      <c r="T17" s="334" t="str">
        <f aca="false">IF((E17="b"),G17," ")</f>
        <v> </v>
      </c>
      <c r="U17" s="334" t="str">
        <f aca="false">IF((E17="i"),G17," ")</f>
        <v> </v>
      </c>
      <c r="V17" s="334" t="str">
        <f aca="false">IF((E17="o"),G17," ")</f>
        <v> </v>
      </c>
      <c r="W17" s="334" t="str">
        <f aca="false">IF((E17="f"),G17," ")</f>
        <v> </v>
      </c>
    </row>
    <row r="18" customFormat="false" ht="12.75" hidden="false" customHeight="false" outlineLevel="0" collapsed="false">
      <c r="A18" s="355" t="n">
        <v>45879</v>
      </c>
      <c r="B18" s="363" t="s">
        <v>324</v>
      </c>
      <c r="E18" s="365" t="s">
        <v>313</v>
      </c>
      <c r="G18" s="366" t="n">
        <v>36</v>
      </c>
      <c r="H18" s="338" t="n">
        <f aca="false">IF((G18&lt;&gt;0),IF((D18&gt;0)," ",G18)," ")</f>
        <v>36</v>
      </c>
      <c r="I18" s="367" t="n">
        <f aca="false">IF((G18&lt;&gt;0),IF((D18&gt;0)," ",(I$1-A18))," ")</f>
        <v>259</v>
      </c>
      <c r="J18" s="334" t="str">
        <f aca="false">IF((E18="s"),G18," ")</f>
        <v> </v>
      </c>
      <c r="K18" s="334" t="str">
        <f aca="false">IF((E18="d"),G18," ")</f>
        <v> </v>
      </c>
      <c r="L18" s="334" t="str">
        <f aca="false">IF((E18="e"),G18," ")</f>
        <v> </v>
      </c>
      <c r="M18" s="334" t="str">
        <f aca="false">IF((E18="p"),G18," ")</f>
        <v> </v>
      </c>
      <c r="N18" s="334" t="str">
        <f aca="false">IF((E18="r"),G18," ")</f>
        <v> </v>
      </c>
      <c r="O18" s="334" t="str">
        <f aca="false">IF((E18="g"),G18," ")</f>
        <v> </v>
      </c>
      <c r="P18" s="334" t="str">
        <f aca="false">IF((E18="m"),G18," ")</f>
        <v> </v>
      </c>
      <c r="Q18" s="334" t="str">
        <f aca="false">IF((E18="t"),G18," ")</f>
        <v> </v>
      </c>
      <c r="R18" s="334" t="str">
        <f aca="false">IF((E18="a"),G18," ")</f>
        <v> </v>
      </c>
      <c r="S18" s="334" t="str">
        <f aca="false">IF((E18="l"),G18," ")</f>
        <v> </v>
      </c>
      <c r="T18" s="334" t="str">
        <f aca="false">IF((E18="b"),G18," ")</f>
        <v> </v>
      </c>
      <c r="U18" s="334" t="str">
        <f aca="false">IF((E18="i"),G18," ")</f>
        <v> </v>
      </c>
      <c r="V18" s="334" t="n">
        <f aca="false">IF((E18="o"),G18," ")</f>
        <v>36</v>
      </c>
      <c r="W18" s="334" t="str">
        <f aca="false">IF((E18="f"),G18," ")</f>
        <v> </v>
      </c>
    </row>
    <row r="19" customFormat="false" ht="12.75" hidden="false" customHeight="false" outlineLevel="0" collapsed="false">
      <c r="A19" s="355" t="n">
        <v>45881</v>
      </c>
      <c r="B19" s="363" t="s">
        <v>328</v>
      </c>
      <c r="E19" s="365" t="s">
        <v>291</v>
      </c>
      <c r="G19" s="366" t="n">
        <v>18</v>
      </c>
      <c r="H19" s="338" t="n">
        <f aca="false">IF((G19&lt;&gt;0),IF((D19&gt;0)," ",G19)," ")</f>
        <v>18</v>
      </c>
      <c r="I19" s="367" t="n">
        <f aca="false">IF((G19&lt;&gt;0),IF((D19&gt;0)," ",(I$1-A19))," ")</f>
        <v>257</v>
      </c>
      <c r="J19" s="334" t="str">
        <f aca="false">IF((E19="s"),G19," ")</f>
        <v> </v>
      </c>
      <c r="K19" s="334" t="str">
        <f aca="false">IF((E19="d"),G19," ")</f>
        <v> </v>
      </c>
      <c r="L19" s="334" t="str">
        <f aca="false">IF((E19="e"),G19," ")</f>
        <v> </v>
      </c>
      <c r="M19" s="334" t="str">
        <f aca="false">IF((E19="p"),G19," ")</f>
        <v> </v>
      </c>
      <c r="N19" s="334" t="str">
        <f aca="false">IF((E19="r"),G19," ")</f>
        <v> </v>
      </c>
      <c r="O19" s="334" t="str">
        <f aca="false">IF((E19="g"),G19," ")</f>
        <v> </v>
      </c>
      <c r="P19" s="334" t="n">
        <f aca="false">IF((E19="m"),G19," ")</f>
        <v>18</v>
      </c>
      <c r="Q19" s="334" t="str">
        <f aca="false">IF((E19="t"),G19," ")</f>
        <v> </v>
      </c>
      <c r="R19" s="334" t="str">
        <f aca="false">IF((E19="a"),G19," ")</f>
        <v> </v>
      </c>
      <c r="S19" s="334" t="str">
        <f aca="false">IF((E19="l"),G19," ")</f>
        <v> </v>
      </c>
      <c r="T19" s="334" t="str">
        <f aca="false">IF((E19="b"),G19," ")</f>
        <v> </v>
      </c>
      <c r="U19" s="334" t="str">
        <f aca="false">IF((E19="i"),G19," ")</f>
        <v> </v>
      </c>
      <c r="V19" s="334" t="str">
        <f aca="false">IF((E19="o"),G19," ")</f>
        <v> </v>
      </c>
      <c r="W19" s="334" t="str">
        <f aca="false">IF((E19="f"),G19," ")</f>
        <v> </v>
      </c>
    </row>
    <row r="20" customFormat="false" ht="12.75" hidden="false" customHeight="false" outlineLevel="0" collapsed="false">
      <c r="A20" s="355" t="n">
        <v>45883</v>
      </c>
      <c r="B20" s="363" t="s">
        <v>329</v>
      </c>
      <c r="E20" s="365" t="s">
        <v>313</v>
      </c>
      <c r="G20" s="366" t="n">
        <v>48</v>
      </c>
      <c r="H20" s="338" t="n">
        <f aca="false">IF((G20&lt;&gt;0),IF((D20&gt;0)," ",G20)," ")</f>
        <v>48</v>
      </c>
      <c r="I20" s="367" t="n">
        <f aca="false">IF((G20&lt;&gt;0),IF((D20&gt;0)," ",(I$1-A20))," ")</f>
        <v>255</v>
      </c>
      <c r="J20" s="334" t="str">
        <f aca="false">IF((E20="s"),G20," ")</f>
        <v> </v>
      </c>
      <c r="K20" s="334" t="str">
        <f aca="false">IF((E20="d"),G20," ")</f>
        <v> </v>
      </c>
      <c r="L20" s="334" t="str">
        <f aca="false">IF((E20="e"),G20," ")</f>
        <v> </v>
      </c>
      <c r="M20" s="334" t="str">
        <f aca="false">IF((E20="p"),G20," ")</f>
        <v> </v>
      </c>
      <c r="N20" s="334" t="str">
        <f aca="false">IF((E20="r"),G20," ")</f>
        <v> </v>
      </c>
      <c r="O20" s="334" t="str">
        <f aca="false">IF((E20="g"),G20," ")</f>
        <v> </v>
      </c>
      <c r="P20" s="334" t="str">
        <f aca="false">IF((E20="m"),G20," ")</f>
        <v> </v>
      </c>
      <c r="Q20" s="334" t="str">
        <f aca="false">IF((E20="t"),G20," ")</f>
        <v> </v>
      </c>
      <c r="R20" s="334" t="str">
        <f aca="false">IF((E20="a"),G20," ")</f>
        <v> </v>
      </c>
      <c r="S20" s="334" t="str">
        <f aca="false">IF((E20="l"),G20," ")</f>
        <v> </v>
      </c>
      <c r="T20" s="334" t="str">
        <f aca="false">IF((E20="b"),G20," ")</f>
        <v> </v>
      </c>
      <c r="U20" s="334" t="str">
        <f aca="false">IF((E20="i"),G20," ")</f>
        <v> </v>
      </c>
      <c r="V20" s="334" t="n">
        <f aca="false">IF((E20="o"),G20," ")</f>
        <v>48</v>
      </c>
      <c r="W20" s="334" t="str">
        <f aca="false">IF((E20="f"),G20," ")</f>
        <v> </v>
      </c>
    </row>
    <row r="21" customFormat="false" ht="12.75" hidden="false" customHeight="false" outlineLevel="0" collapsed="false">
      <c r="A21" s="355" t="n">
        <v>45883</v>
      </c>
      <c r="B21" s="363" t="s">
        <v>330</v>
      </c>
      <c r="E21" s="365" t="s">
        <v>323</v>
      </c>
      <c r="G21" s="366" t="n">
        <v>24</v>
      </c>
      <c r="H21" s="338" t="n">
        <f aca="false">IF((G21&lt;&gt;0),IF((D21&gt;0)," ",G21)," ")</f>
        <v>24</v>
      </c>
      <c r="I21" s="367" t="n">
        <f aca="false">IF((G21&lt;&gt;0),IF((D21&gt;0)," ",(I$1-A21))," ")</f>
        <v>255</v>
      </c>
      <c r="J21" s="334" t="str">
        <f aca="false">IF((E21="s"),G21," ")</f>
        <v> </v>
      </c>
      <c r="K21" s="334" t="str">
        <f aca="false">IF((E21="d"),G21," ")</f>
        <v> </v>
      </c>
      <c r="L21" s="334" t="str">
        <f aca="false">IF((E21="e"),G21," ")</f>
        <v> </v>
      </c>
      <c r="M21" s="334" t="str">
        <f aca="false">IF((E21="p"),G21," ")</f>
        <v> </v>
      </c>
      <c r="N21" s="334" t="str">
        <f aca="false">IF((E21="r"),G21," ")</f>
        <v> </v>
      </c>
      <c r="O21" s="334" t="str">
        <f aca="false">IF((E21="g"),G21," ")</f>
        <v> </v>
      </c>
      <c r="P21" s="334" t="str">
        <f aca="false">IF((E21="m"),G21," ")</f>
        <v> </v>
      </c>
      <c r="Q21" s="334" t="n">
        <f aca="false">IF((E21="t"),G21," ")</f>
        <v>24</v>
      </c>
      <c r="R21" s="334" t="str">
        <f aca="false">IF((E21="a"),G21," ")</f>
        <v> </v>
      </c>
      <c r="S21" s="334" t="str">
        <f aca="false">IF((E21="l"),G21," ")</f>
        <v> </v>
      </c>
      <c r="T21" s="334" t="str">
        <f aca="false">IF((E21="b"),G21," ")</f>
        <v> </v>
      </c>
      <c r="U21" s="334" t="str">
        <f aca="false">IF((E21="i"),G21," ")</f>
        <v> </v>
      </c>
      <c r="V21" s="334" t="str">
        <f aca="false">IF((E21="o"),G21," ")</f>
        <v> </v>
      </c>
      <c r="W21" s="334" t="str">
        <f aca="false">IF((E21="f"),G21," ")</f>
        <v> </v>
      </c>
    </row>
    <row r="22" customFormat="false" ht="12.75" hidden="false" customHeight="false" outlineLevel="0" collapsed="false">
      <c r="A22" s="355" t="n">
        <v>45883</v>
      </c>
      <c r="B22" s="363" t="s">
        <v>331</v>
      </c>
      <c r="E22" s="365" t="s">
        <v>323</v>
      </c>
      <c r="G22" s="366" t="n">
        <v>12</v>
      </c>
      <c r="H22" s="338" t="n">
        <f aca="false">IF((G22&lt;&gt;0),IF((D22&gt;0)," ",G22)," ")</f>
        <v>12</v>
      </c>
      <c r="I22" s="367" t="n">
        <f aca="false">IF((G22&lt;&gt;0),IF((D22&gt;0)," ",(I$1-A22))," ")</f>
        <v>255</v>
      </c>
      <c r="J22" s="334" t="str">
        <f aca="false">IF((E22="s"),G22," ")</f>
        <v> </v>
      </c>
      <c r="K22" s="334" t="str">
        <f aca="false">IF((E22="d"),G22," ")</f>
        <v> </v>
      </c>
      <c r="L22" s="334" t="str">
        <f aca="false">IF((E22="e"),G22," ")</f>
        <v> </v>
      </c>
      <c r="M22" s="334" t="str">
        <f aca="false">IF((E22="p"),G22," ")</f>
        <v> </v>
      </c>
      <c r="N22" s="334" t="str">
        <f aca="false">IF((E22="r"),G22," ")</f>
        <v> </v>
      </c>
      <c r="O22" s="334" t="str">
        <f aca="false">IF((E22="g"),G22," ")</f>
        <v> </v>
      </c>
      <c r="P22" s="334" t="str">
        <f aca="false">IF((E22="m"),G22," ")</f>
        <v> </v>
      </c>
      <c r="Q22" s="334" t="n">
        <f aca="false">IF((E22="t"),G22," ")</f>
        <v>12</v>
      </c>
      <c r="R22" s="334" t="str">
        <f aca="false">IF((E22="a"),G22," ")</f>
        <v> </v>
      </c>
      <c r="S22" s="334" t="str">
        <f aca="false">IF((E22="l"),G22," ")</f>
        <v> </v>
      </c>
      <c r="T22" s="334" t="str">
        <f aca="false">IF((E22="b"),G22," ")</f>
        <v> </v>
      </c>
      <c r="U22" s="334" t="str">
        <f aca="false">IF((E22="i"),G22," ")</f>
        <v> </v>
      </c>
      <c r="V22" s="334" t="str">
        <f aca="false">IF((E22="o"),G22," ")</f>
        <v> </v>
      </c>
      <c r="W22" s="334" t="str">
        <f aca="false">IF((E22="f"),G22," ")</f>
        <v> </v>
      </c>
    </row>
    <row r="23" customFormat="false" ht="12.75" hidden="false" customHeight="false" outlineLevel="0" collapsed="false">
      <c r="A23" s="355" t="n">
        <v>45884</v>
      </c>
      <c r="B23" s="363" t="s">
        <v>243</v>
      </c>
      <c r="E23" s="365" t="s">
        <v>291</v>
      </c>
      <c r="G23" s="366" t="n">
        <v>150</v>
      </c>
      <c r="H23" s="338" t="n">
        <f aca="false">IF((G23&lt;&gt;0),IF((D23&gt;0)," ",G23)," ")</f>
        <v>150</v>
      </c>
      <c r="I23" s="367" t="n">
        <f aca="false">IF((G23&lt;&gt;0),IF((D23&gt;0)," ",(I$1-A23))," ")</f>
        <v>254</v>
      </c>
      <c r="J23" s="334" t="str">
        <f aca="false">IF((E23="s"),G23," ")</f>
        <v> </v>
      </c>
      <c r="K23" s="334" t="str">
        <f aca="false">IF((E23="d"),G23," ")</f>
        <v> </v>
      </c>
      <c r="L23" s="334" t="str">
        <f aca="false">IF((E23="e"),G23," ")</f>
        <v> </v>
      </c>
      <c r="M23" s="334" t="str">
        <f aca="false">IF((E23="p"),G23," ")</f>
        <v> </v>
      </c>
      <c r="N23" s="334" t="str">
        <f aca="false">IF((E23="r"),G23," ")</f>
        <v> </v>
      </c>
      <c r="O23" s="334" t="str">
        <f aca="false">IF((E23="g"),G23," ")</f>
        <v> </v>
      </c>
      <c r="P23" s="334" t="n">
        <f aca="false">IF((E23="m"),G23," ")</f>
        <v>150</v>
      </c>
      <c r="Q23" s="334" t="str">
        <f aca="false">IF((E23="t"),G23," ")</f>
        <v> </v>
      </c>
      <c r="R23" s="334" t="str">
        <f aca="false">IF((E23="a"),G23," ")</f>
        <v> </v>
      </c>
      <c r="S23" s="334" t="str">
        <f aca="false">IF((E23="l"),G23," ")</f>
        <v> </v>
      </c>
      <c r="T23" s="334" t="str">
        <f aca="false">IF((E23="b"),G23," ")</f>
        <v> </v>
      </c>
      <c r="U23" s="334" t="str">
        <f aca="false">IF((E23="i"),G23," ")</f>
        <v> </v>
      </c>
      <c r="V23" s="334" t="str">
        <f aca="false">IF((E23="o"),G23," ")</f>
        <v> </v>
      </c>
      <c r="W23" s="334" t="str">
        <f aca="false">IF((E23="f"),G23," ")</f>
        <v> </v>
      </c>
    </row>
    <row r="24" customFormat="false" ht="12.75" hidden="false" customHeight="false" outlineLevel="0" collapsed="false">
      <c r="A24" s="355" t="n">
        <v>45884</v>
      </c>
      <c r="B24" s="363" t="s">
        <v>332</v>
      </c>
      <c r="E24" s="365" t="s">
        <v>310</v>
      </c>
      <c r="G24" s="366" t="n">
        <v>12</v>
      </c>
      <c r="H24" s="338" t="n">
        <f aca="false">IF((G24&lt;&gt;0),IF((D24&gt;0)," ",G24)," ")</f>
        <v>12</v>
      </c>
      <c r="I24" s="367" t="n">
        <f aca="false">IF((G24&lt;&gt;0),IF((D24&gt;0)," ",(I$1-A24))," ")</f>
        <v>254</v>
      </c>
      <c r="J24" s="334" t="str">
        <f aca="false">IF((E24="s"),G24," ")</f>
        <v> </v>
      </c>
      <c r="K24" s="334" t="str">
        <f aca="false">IF((E24="d"),G24," ")</f>
        <v> </v>
      </c>
      <c r="L24" s="334" t="str">
        <f aca="false">IF((E24="e"),G24," ")</f>
        <v> </v>
      </c>
      <c r="M24" s="334" t="str">
        <f aca="false">IF((E24="p"),G24," ")</f>
        <v> </v>
      </c>
      <c r="N24" s="334" t="str">
        <f aca="false">IF((E24="r"),G24," ")</f>
        <v> </v>
      </c>
      <c r="O24" s="334" t="n">
        <f aca="false">IF((E24="g"),G24," ")</f>
        <v>12</v>
      </c>
      <c r="P24" s="334" t="str">
        <f aca="false">IF((E24="m"),G24," ")</f>
        <v> </v>
      </c>
      <c r="Q24" s="334" t="str">
        <f aca="false">IF((E24="t"),G24," ")</f>
        <v> </v>
      </c>
      <c r="R24" s="334" t="str">
        <f aca="false">IF((E24="a"),G24," ")</f>
        <v> </v>
      </c>
      <c r="S24" s="334" t="str">
        <f aca="false">IF((E24="l"),G24," ")</f>
        <v> </v>
      </c>
      <c r="T24" s="334" t="str">
        <f aca="false">IF((E24="b"),G24," ")</f>
        <v> </v>
      </c>
      <c r="U24" s="334" t="str">
        <f aca="false">IF((E24="i"),G24," ")</f>
        <v> </v>
      </c>
      <c r="V24" s="334" t="str">
        <f aca="false">IF((E24="o"),G24," ")</f>
        <v> </v>
      </c>
      <c r="W24" s="334" t="str">
        <f aca="false">IF((E24="f"),G24," ")</f>
        <v> </v>
      </c>
    </row>
    <row r="25" customFormat="false" ht="12.75" hidden="false" customHeight="false" outlineLevel="0" collapsed="false">
      <c r="A25" s="355" t="n">
        <v>45884</v>
      </c>
      <c r="B25" s="363" t="s">
        <v>349</v>
      </c>
      <c r="E25" s="365" t="s">
        <v>327</v>
      </c>
      <c r="G25" s="366" t="n">
        <v>360</v>
      </c>
      <c r="H25" s="338" t="n">
        <f aca="false">IF((G25&lt;&gt;0),IF((D25&gt;0)," ",G25)," ")</f>
        <v>360</v>
      </c>
      <c r="I25" s="367" t="n">
        <f aca="false">IF((G25&lt;&gt;0),IF((D25&gt;0)," ",(I$1-A25))," ")</f>
        <v>254</v>
      </c>
      <c r="J25" s="334" t="n">
        <f aca="false">IF((E25="s"),G25," ")</f>
        <v>360</v>
      </c>
      <c r="K25" s="334" t="str">
        <f aca="false">IF((E25="d"),G25," ")</f>
        <v> </v>
      </c>
      <c r="L25" s="334" t="str">
        <f aca="false">IF((E25="e"),G25," ")</f>
        <v> </v>
      </c>
      <c r="M25" s="334" t="str">
        <f aca="false">IF((E25="p"),G25," ")</f>
        <v> </v>
      </c>
      <c r="N25" s="334" t="str">
        <f aca="false">IF((E25="r"),G25," ")</f>
        <v> </v>
      </c>
      <c r="O25" s="334" t="str">
        <f aca="false">IF((E25="g"),G25," ")</f>
        <v> </v>
      </c>
      <c r="P25" s="334" t="str">
        <f aca="false">IF((E25="m"),G25," ")</f>
        <v> </v>
      </c>
      <c r="Q25" s="334" t="str">
        <f aca="false">IF((E25="t"),G25," ")</f>
        <v> </v>
      </c>
      <c r="R25" s="334" t="str">
        <f aca="false">IF((E25="a"),G25," ")</f>
        <v> </v>
      </c>
      <c r="S25" s="334" t="str">
        <f aca="false">IF((E25="l"),G25," ")</f>
        <v> </v>
      </c>
      <c r="T25" s="334" t="str">
        <f aca="false">IF((E25="b"),G25," ")</f>
        <v> </v>
      </c>
      <c r="U25" s="334" t="str">
        <f aca="false">IF((E25="i"),G25," ")</f>
        <v> </v>
      </c>
      <c r="V25" s="334" t="str">
        <f aca="false">IF((E25="o"),G25," ")</f>
        <v> </v>
      </c>
      <c r="W25" s="334" t="str">
        <f aca="false">IF((E25="f"),G25," ")</f>
        <v> </v>
      </c>
    </row>
    <row r="26" customFormat="false" ht="12.75" hidden="false" customHeight="false" outlineLevel="0" collapsed="false">
      <c r="A26" s="355" t="n">
        <v>45887</v>
      </c>
      <c r="B26" s="363" t="s">
        <v>372</v>
      </c>
      <c r="E26" s="365" t="s">
        <v>335</v>
      </c>
      <c r="G26" s="366" t="n">
        <v>240</v>
      </c>
      <c r="H26" s="338" t="n">
        <f aca="false">IF((G26&lt;&gt;0),IF((D26&gt;0)," ",G26)," ")</f>
        <v>240</v>
      </c>
      <c r="I26" s="367" t="n">
        <f aca="false">IF((G26&lt;&gt;0),IF((D26&gt;0)," ",(I$1-A26))," ")</f>
        <v>251</v>
      </c>
      <c r="J26" s="334" t="str">
        <f aca="false">IF((E26="s"),G26," ")</f>
        <v> </v>
      </c>
      <c r="K26" s="334" t="str">
        <f aca="false">IF((E26="d"),G26," ")</f>
        <v> </v>
      </c>
      <c r="L26" s="334" t="str">
        <f aca="false">IF((E26="e"),G26," ")</f>
        <v> </v>
      </c>
      <c r="M26" s="334" t="str">
        <f aca="false">IF((E26="p"),G26," ")</f>
        <v> </v>
      </c>
      <c r="N26" s="334" t="n">
        <f aca="false">IF((E26="r"),G26," ")</f>
        <v>240</v>
      </c>
      <c r="O26" s="334" t="str">
        <f aca="false">IF((E26="g"),G26," ")</f>
        <v> </v>
      </c>
      <c r="P26" s="334" t="str">
        <f aca="false">IF((E26="m"),G26," ")</f>
        <v> </v>
      </c>
      <c r="Q26" s="334" t="str">
        <f aca="false">IF((E26="t"),G26," ")</f>
        <v> </v>
      </c>
      <c r="R26" s="334" t="str">
        <f aca="false">IF((E26="a"),G26," ")</f>
        <v> </v>
      </c>
      <c r="S26" s="334" t="str">
        <f aca="false">IF((E26="l"),G26," ")</f>
        <v> </v>
      </c>
      <c r="T26" s="334" t="str">
        <f aca="false">IF((E26="b"),G26," ")</f>
        <v> </v>
      </c>
      <c r="U26" s="334" t="str">
        <f aca="false">IF((E26="i"),G26," ")</f>
        <v> </v>
      </c>
      <c r="V26" s="334" t="str">
        <f aca="false">IF((E26="o"),G26," ")</f>
        <v> </v>
      </c>
      <c r="W26" s="334" t="str">
        <f aca="false">IF((E26="f"),G26," ")</f>
        <v> </v>
      </c>
    </row>
    <row r="27" customFormat="false" ht="12.75" hidden="false" customHeight="false" outlineLevel="0" collapsed="false">
      <c r="A27" s="355" t="n">
        <v>45887</v>
      </c>
      <c r="B27" s="363" t="s">
        <v>333</v>
      </c>
      <c r="E27" s="365" t="s">
        <v>291</v>
      </c>
      <c r="G27" s="366" t="n">
        <v>96</v>
      </c>
      <c r="H27" s="338" t="n">
        <f aca="false">IF((G27&lt;&gt;0),IF((D27&gt;0)," ",G27)," ")</f>
        <v>96</v>
      </c>
      <c r="I27" s="367" t="n">
        <f aca="false">IF((G27&lt;&gt;0),IF((D27&gt;0)," ",(I$1-A27))," ")</f>
        <v>251</v>
      </c>
      <c r="J27" s="334" t="str">
        <f aca="false">IF((E27="s"),G27," ")</f>
        <v> </v>
      </c>
      <c r="K27" s="334" t="str">
        <f aca="false">IF((E27="d"),G27," ")</f>
        <v> </v>
      </c>
      <c r="L27" s="334" t="str">
        <f aca="false">IF((E27="e"),G27," ")</f>
        <v> </v>
      </c>
      <c r="M27" s="334" t="str">
        <f aca="false">IF((E27="p"),G27," ")</f>
        <v> </v>
      </c>
      <c r="N27" s="334" t="str">
        <f aca="false">IF((E27="r"),G27," ")</f>
        <v> </v>
      </c>
      <c r="O27" s="334" t="str">
        <f aca="false">IF((E27="g"),G27," ")</f>
        <v> </v>
      </c>
      <c r="P27" s="334" t="n">
        <f aca="false">IF((E27="m"),G27," ")</f>
        <v>96</v>
      </c>
      <c r="Q27" s="334" t="str">
        <f aca="false">IF((E27="t"),G27," ")</f>
        <v> </v>
      </c>
      <c r="R27" s="334" t="str">
        <f aca="false">IF((E27="a"),G27," ")</f>
        <v> </v>
      </c>
      <c r="S27" s="334" t="str">
        <f aca="false">IF((E27="l"),G27," ")</f>
        <v> </v>
      </c>
      <c r="T27" s="334" t="str">
        <f aca="false">IF((E27="b"),G27," ")</f>
        <v> </v>
      </c>
      <c r="U27" s="334" t="str">
        <f aca="false">IF((E27="i"),G27," ")</f>
        <v> </v>
      </c>
      <c r="V27" s="334" t="str">
        <f aca="false">IF((E27="o"),G27," ")</f>
        <v> </v>
      </c>
      <c r="W27" s="334" t="str">
        <f aca="false">IF((E27="f"),G27," ")</f>
        <v> </v>
      </c>
    </row>
    <row r="28" customFormat="false" ht="12.75" hidden="false" customHeight="false" outlineLevel="0" collapsed="false">
      <c r="A28" s="355" t="n">
        <v>45889</v>
      </c>
      <c r="B28" s="363" t="s">
        <v>242</v>
      </c>
      <c r="E28" s="365" t="s">
        <v>310</v>
      </c>
      <c r="G28" s="366" t="n">
        <v>60</v>
      </c>
      <c r="H28" s="338" t="n">
        <f aca="false">IF((G28&lt;&gt;0),IF((D28&gt;0)," ",G28)," ")</f>
        <v>60</v>
      </c>
      <c r="I28" s="367" t="n">
        <f aca="false">IF((G28&lt;&gt;0),IF((D28&gt;0)," ",(I$1-A28))," ")</f>
        <v>249</v>
      </c>
      <c r="J28" s="334" t="str">
        <f aca="false">IF((E28="s"),G28," ")</f>
        <v> </v>
      </c>
      <c r="K28" s="334" t="str">
        <f aca="false">IF((E28="d"),G28," ")</f>
        <v> </v>
      </c>
      <c r="L28" s="334" t="str">
        <f aca="false">IF((E28="e"),G28," ")</f>
        <v> </v>
      </c>
      <c r="M28" s="334" t="str">
        <f aca="false">IF((E28="p"),G28," ")</f>
        <v> </v>
      </c>
      <c r="N28" s="334" t="str">
        <f aca="false">IF((E28="r"),G28," ")</f>
        <v> </v>
      </c>
      <c r="O28" s="334" t="n">
        <f aca="false">IF((E28="g"),G28," ")</f>
        <v>60</v>
      </c>
      <c r="P28" s="334" t="str">
        <f aca="false">IF((E28="m"),G28," ")</f>
        <v> </v>
      </c>
      <c r="Q28" s="334" t="str">
        <f aca="false">IF((E28="t"),G28," ")</f>
        <v> </v>
      </c>
      <c r="R28" s="334" t="str">
        <f aca="false">IF((E28="a"),G28," ")</f>
        <v> </v>
      </c>
      <c r="S28" s="334" t="str">
        <f aca="false">IF((E28="l"),G28," ")</f>
        <v> </v>
      </c>
      <c r="T28" s="334" t="str">
        <f aca="false">IF((E28="b"),G28," ")</f>
        <v> </v>
      </c>
      <c r="U28" s="334" t="str">
        <f aca="false">IF((E28="i"),G28," ")</f>
        <v> </v>
      </c>
      <c r="V28" s="334" t="str">
        <f aca="false">IF((E28="o"),G28," ")</f>
        <v> </v>
      </c>
      <c r="W28" s="334" t="str">
        <f aca="false">IF((E28="f"),G28," ")</f>
        <v> </v>
      </c>
    </row>
    <row r="29" customFormat="false" ht="12.75" hidden="false" customHeight="false" outlineLevel="0" collapsed="false">
      <c r="A29" s="355" t="n">
        <v>45889</v>
      </c>
      <c r="B29" s="363" t="s">
        <v>373</v>
      </c>
      <c r="E29" s="365" t="s">
        <v>374</v>
      </c>
      <c r="G29" s="366" t="n">
        <v>800</v>
      </c>
      <c r="H29" s="338" t="n">
        <f aca="false">IF((G29&lt;&gt;0),IF((D29&gt;0)," ",G29)," ")</f>
        <v>800</v>
      </c>
      <c r="I29" s="367" t="n">
        <f aca="false">IF((G29&lt;&gt;0),IF((D29&gt;0)," ",(I$1-A29))," ")</f>
        <v>249</v>
      </c>
      <c r="J29" s="334" t="str">
        <f aca="false">IF((E29="s"),G29," ")</f>
        <v> </v>
      </c>
      <c r="K29" s="334" t="str">
        <f aca="false">IF((E29="d"),G29," ")</f>
        <v> </v>
      </c>
      <c r="L29" s="334" t="n">
        <f aca="false">IF((E29="e"),G29," ")</f>
        <v>800</v>
      </c>
      <c r="M29" s="334" t="str">
        <f aca="false">IF((E29="p"),G29," ")</f>
        <v> </v>
      </c>
      <c r="N29" s="334" t="str">
        <f aca="false">IF((E29="r"),G29," ")</f>
        <v> </v>
      </c>
      <c r="O29" s="334" t="str">
        <f aca="false">IF((E29="g"),G29," ")</f>
        <v> </v>
      </c>
      <c r="P29" s="334" t="str">
        <f aca="false">IF((E29="m"),G29," ")</f>
        <v> </v>
      </c>
      <c r="Q29" s="334" t="str">
        <f aca="false">IF((E29="t"),G29," ")</f>
        <v> </v>
      </c>
      <c r="R29" s="334" t="str">
        <f aca="false">IF((E29="a"),G29," ")</f>
        <v> </v>
      </c>
      <c r="S29" s="334" t="str">
        <f aca="false">IF((E29="l"),G29," ")</f>
        <v> </v>
      </c>
      <c r="T29" s="334" t="str">
        <f aca="false">IF((E29="b"),G29," ")</f>
        <v> </v>
      </c>
      <c r="U29" s="334" t="str">
        <f aca="false">IF((E29="i"),G29," ")</f>
        <v> </v>
      </c>
      <c r="V29" s="334" t="str">
        <f aca="false">IF((E29="o"),G29," ")</f>
        <v> </v>
      </c>
      <c r="W29" s="334" t="str">
        <f aca="false">IF((E29="f"),G29," ")</f>
        <v> </v>
      </c>
    </row>
    <row r="30" customFormat="false" ht="12.75" hidden="false" customHeight="false" outlineLevel="0" collapsed="false">
      <c r="A30" s="355" t="n">
        <v>45889</v>
      </c>
      <c r="B30" s="363" t="s">
        <v>354</v>
      </c>
      <c r="E30" s="365" t="s">
        <v>327</v>
      </c>
      <c r="G30" s="366" t="n">
        <v>180</v>
      </c>
      <c r="H30" s="338" t="n">
        <f aca="false">IF((G30&lt;&gt;0),IF((D30&gt;0)," ",G30)," ")</f>
        <v>180</v>
      </c>
      <c r="I30" s="367" t="n">
        <f aca="false">IF((G30&lt;&gt;0),IF((D30&gt;0)," ",(I$1-A30))," ")</f>
        <v>249</v>
      </c>
      <c r="J30" s="334" t="n">
        <f aca="false">IF((E30="s"),G30," ")</f>
        <v>180</v>
      </c>
      <c r="K30" s="334" t="str">
        <f aca="false">IF((E30="d"),G30," ")</f>
        <v> </v>
      </c>
      <c r="L30" s="334" t="str">
        <f aca="false">IF((E30="e"),G30," ")</f>
        <v> </v>
      </c>
      <c r="M30" s="334" t="str">
        <f aca="false">IF((E30="p"),G30," ")</f>
        <v> </v>
      </c>
      <c r="N30" s="334" t="str">
        <f aca="false">IF((E30="r"),G30," ")</f>
        <v> </v>
      </c>
      <c r="O30" s="334" t="str">
        <f aca="false">IF((E30="g"),G30," ")</f>
        <v> </v>
      </c>
      <c r="P30" s="334" t="str">
        <f aca="false">IF((E30="m"),G30," ")</f>
        <v> </v>
      </c>
      <c r="Q30" s="334" t="str">
        <f aca="false">IF((E30="t"),G30," ")</f>
        <v> </v>
      </c>
      <c r="R30" s="334" t="str">
        <f aca="false">IF((E30="a"),G30," ")</f>
        <v> </v>
      </c>
      <c r="S30" s="334" t="str">
        <f aca="false">IF((E30="l"),G30," ")</f>
        <v> </v>
      </c>
      <c r="T30" s="334" t="str">
        <f aca="false">IF((E30="b"),G30," ")</f>
        <v> </v>
      </c>
      <c r="U30" s="334" t="str">
        <f aca="false">IF((E30="i"),G30," ")</f>
        <v> </v>
      </c>
      <c r="V30" s="334" t="str">
        <f aca="false">IF((E30="o"),G30," ")</f>
        <v> </v>
      </c>
      <c r="W30" s="334" t="str">
        <f aca="false">IF((E30="f"),G30," ")</f>
        <v> </v>
      </c>
    </row>
    <row r="31" customFormat="false" ht="12.75" hidden="false" customHeight="false" outlineLevel="0" collapsed="false">
      <c r="A31" s="355" t="n">
        <v>45890</v>
      </c>
      <c r="B31" s="363" t="s">
        <v>336</v>
      </c>
      <c r="E31" s="365" t="s">
        <v>323</v>
      </c>
      <c r="G31" s="366" t="n">
        <v>8</v>
      </c>
      <c r="H31" s="338" t="n">
        <f aca="false">IF((G31&lt;&gt;0),IF((D31&gt;0)," ",G31)," ")</f>
        <v>8</v>
      </c>
      <c r="I31" s="367" t="n">
        <f aca="false">IF((G31&lt;&gt;0),IF((D31&gt;0)," ",(I$1-A31))," ")</f>
        <v>248</v>
      </c>
      <c r="J31" s="334" t="str">
        <f aca="false">IF((E31="s"),G31," ")</f>
        <v> </v>
      </c>
      <c r="K31" s="334" t="str">
        <f aca="false">IF((E31="d"),G31," ")</f>
        <v> </v>
      </c>
      <c r="L31" s="334" t="str">
        <f aca="false">IF((E31="e"),G31," ")</f>
        <v> </v>
      </c>
      <c r="M31" s="334" t="str">
        <f aca="false">IF((E31="p"),G31," ")</f>
        <v> </v>
      </c>
      <c r="N31" s="334" t="str">
        <f aca="false">IF((E31="r"),G31," ")</f>
        <v> </v>
      </c>
      <c r="O31" s="334" t="str">
        <f aca="false">IF((E31="g"),G31," ")</f>
        <v> </v>
      </c>
      <c r="P31" s="334" t="str">
        <f aca="false">IF((E31="m"),G31," ")</f>
        <v> </v>
      </c>
      <c r="Q31" s="334" t="n">
        <f aca="false">IF((E31="t"),G31," ")</f>
        <v>8</v>
      </c>
      <c r="R31" s="334" t="str">
        <f aca="false">IF((E31="a"),G31," ")</f>
        <v> </v>
      </c>
      <c r="S31" s="334" t="str">
        <f aca="false">IF((E31="l"),G31," ")</f>
        <v> </v>
      </c>
      <c r="T31" s="334" t="str">
        <f aca="false">IF((E31="b"),G31," ")</f>
        <v> </v>
      </c>
      <c r="U31" s="334" t="str">
        <f aca="false">IF((E31="i"),G31," ")</f>
        <v> </v>
      </c>
      <c r="V31" s="334" t="str">
        <f aca="false">IF((E31="o"),G31," ")</f>
        <v> </v>
      </c>
      <c r="W31" s="334" t="str">
        <f aca="false">IF((E31="f"),G31," ")</f>
        <v> </v>
      </c>
    </row>
    <row r="32" customFormat="false" ht="12.75" hidden="false" customHeight="false" outlineLevel="0" collapsed="false">
      <c r="A32" s="355" t="n">
        <v>45891</v>
      </c>
      <c r="B32" s="363" t="s">
        <v>337</v>
      </c>
      <c r="E32" s="365" t="s">
        <v>313</v>
      </c>
      <c r="G32" s="366" t="n">
        <v>18</v>
      </c>
      <c r="H32" s="338" t="n">
        <f aca="false">IF((G32&lt;&gt;0),IF((D32&gt;0)," ",G32)," ")</f>
        <v>18</v>
      </c>
      <c r="I32" s="367" t="n">
        <f aca="false">IF((G32&lt;&gt;0),IF((D32&gt;0)," ",(I$1-A32))," ")</f>
        <v>247</v>
      </c>
      <c r="J32" s="334" t="str">
        <f aca="false">IF((E32="s"),G32," ")</f>
        <v> </v>
      </c>
      <c r="K32" s="334" t="str">
        <f aca="false">IF((E32="d"),G32," ")</f>
        <v> </v>
      </c>
      <c r="L32" s="334" t="str">
        <f aca="false">IF((E32="e"),G32," ")</f>
        <v> </v>
      </c>
      <c r="M32" s="334" t="str">
        <f aca="false">IF((E32="p"),G32," ")</f>
        <v> </v>
      </c>
      <c r="N32" s="334" t="str">
        <f aca="false">IF((E32="r"),G32," ")</f>
        <v> </v>
      </c>
      <c r="O32" s="334" t="str">
        <f aca="false">IF((E32="g"),G32," ")</f>
        <v> </v>
      </c>
      <c r="P32" s="334" t="str">
        <f aca="false">IF((E32="m"),G32," ")</f>
        <v> </v>
      </c>
      <c r="Q32" s="334" t="str">
        <f aca="false">IF((E32="t"),G32," ")</f>
        <v> </v>
      </c>
      <c r="R32" s="334" t="str">
        <f aca="false">IF((E32="a"),G32," ")</f>
        <v> </v>
      </c>
      <c r="S32" s="334" t="str">
        <f aca="false">IF((E32="l"),G32," ")</f>
        <v> </v>
      </c>
      <c r="T32" s="334" t="str">
        <f aca="false">IF((E32="b"),G32," ")</f>
        <v> </v>
      </c>
      <c r="U32" s="334" t="str">
        <f aca="false">IF((E32="i"),G32," ")</f>
        <v> </v>
      </c>
      <c r="V32" s="334" t="n">
        <f aca="false">IF((E32="o"),G32," ")</f>
        <v>18</v>
      </c>
      <c r="W32" s="334" t="str">
        <f aca="false">IF((E32="f"),G32," ")</f>
        <v> </v>
      </c>
    </row>
    <row r="33" customFormat="false" ht="12.75" hidden="false" customHeight="false" outlineLevel="0" collapsed="false">
      <c r="A33" s="355" t="n">
        <v>45894</v>
      </c>
      <c r="B33" s="363" t="s">
        <v>338</v>
      </c>
      <c r="E33" s="365" t="s">
        <v>313</v>
      </c>
      <c r="G33" s="366" t="n">
        <v>15</v>
      </c>
      <c r="H33" s="338" t="n">
        <f aca="false">IF((G33&lt;&gt;0),IF((D33&gt;0)," ",G33)," ")</f>
        <v>15</v>
      </c>
      <c r="I33" s="367" t="n">
        <f aca="false">IF((G33&lt;&gt;0),IF((D33&gt;0)," ",(I$1-A33))," ")</f>
        <v>244</v>
      </c>
      <c r="J33" s="334" t="str">
        <f aca="false">IF((E33="s"),G33," ")</f>
        <v> </v>
      </c>
      <c r="K33" s="334" t="str">
        <f aca="false">IF((E33="d"),G33," ")</f>
        <v> </v>
      </c>
      <c r="L33" s="334" t="str">
        <f aca="false">IF((E33="e"),G33," ")</f>
        <v> </v>
      </c>
      <c r="M33" s="334" t="str">
        <f aca="false">IF((E33="p"),G33," ")</f>
        <v> </v>
      </c>
      <c r="N33" s="334" t="str">
        <f aca="false">IF((E33="r"),G33," ")</f>
        <v> </v>
      </c>
      <c r="O33" s="334" t="str">
        <f aca="false">IF((E33="g"),G33," ")</f>
        <v> </v>
      </c>
      <c r="P33" s="334" t="str">
        <f aca="false">IF((E33="m"),G33," ")</f>
        <v> </v>
      </c>
      <c r="Q33" s="334" t="str">
        <f aca="false">IF((E33="t"),G33," ")</f>
        <v> </v>
      </c>
      <c r="R33" s="334" t="str">
        <f aca="false">IF((E33="a"),G33," ")</f>
        <v> </v>
      </c>
      <c r="S33" s="334" t="str">
        <f aca="false">IF((E33="l"),G33," ")</f>
        <v> </v>
      </c>
      <c r="T33" s="334" t="str">
        <f aca="false">IF((E33="b"),G33," ")</f>
        <v> </v>
      </c>
      <c r="U33" s="334" t="str">
        <f aca="false">IF((E33="i"),G33," ")</f>
        <v> </v>
      </c>
      <c r="V33" s="334" t="n">
        <f aca="false">IF((E33="o"),G33," ")</f>
        <v>15</v>
      </c>
      <c r="W33" s="334" t="str">
        <f aca="false">IF((E33="f"),G33," ")</f>
        <v> </v>
      </c>
    </row>
    <row r="34" customFormat="false" ht="12.75" hidden="false" customHeight="false" outlineLevel="0" collapsed="false">
      <c r="A34" s="355" t="n">
        <v>45894</v>
      </c>
      <c r="B34" s="363" t="s">
        <v>339</v>
      </c>
      <c r="E34" s="365" t="s">
        <v>291</v>
      </c>
      <c r="G34" s="366" t="n">
        <v>38.25</v>
      </c>
      <c r="H34" s="338" t="n">
        <f aca="false">IF((G34&lt;&gt;0),IF((D34&gt;0)," ",G34)," ")</f>
        <v>38.25</v>
      </c>
      <c r="I34" s="367" t="n">
        <f aca="false">IF((G34&lt;&gt;0),IF((D34&gt;0)," ",(I$1-A34))," ")</f>
        <v>244</v>
      </c>
      <c r="J34" s="334" t="str">
        <f aca="false">IF((E34="s"),G34," ")</f>
        <v> </v>
      </c>
      <c r="K34" s="334" t="str">
        <f aca="false">IF((E34="d"),G34," ")</f>
        <v> </v>
      </c>
      <c r="L34" s="334" t="str">
        <f aca="false">IF((E34="e"),G34," ")</f>
        <v> </v>
      </c>
      <c r="M34" s="334" t="str">
        <f aca="false">IF((E34="p"),G34," ")</f>
        <v> </v>
      </c>
      <c r="N34" s="334" t="str">
        <f aca="false">IF((E34="r"),G34," ")</f>
        <v> </v>
      </c>
      <c r="O34" s="334" t="str">
        <f aca="false">IF((E34="g"),G34," ")</f>
        <v> </v>
      </c>
      <c r="P34" s="334" t="n">
        <f aca="false">IF((E34="m"),G34," ")</f>
        <v>38.25</v>
      </c>
      <c r="Q34" s="334" t="str">
        <f aca="false">IF((E34="t"),G34," ")</f>
        <v> </v>
      </c>
      <c r="R34" s="334" t="str">
        <f aca="false">IF((E34="a"),G34," ")</f>
        <v> </v>
      </c>
      <c r="S34" s="334" t="str">
        <f aca="false">IF((E34="l"),G34," ")</f>
        <v> </v>
      </c>
      <c r="T34" s="334" t="str">
        <f aca="false">IF((E34="b"),G34," ")</f>
        <v> </v>
      </c>
      <c r="U34" s="334" t="str">
        <f aca="false">IF((E34="i"),G34," ")</f>
        <v> </v>
      </c>
      <c r="V34" s="334" t="str">
        <f aca="false">IF((E34="o"),G34," ")</f>
        <v> </v>
      </c>
      <c r="W34" s="334" t="str">
        <f aca="false">IF((E34="f"),G34," ")</f>
        <v> </v>
      </c>
    </row>
    <row r="35" customFormat="false" ht="12.75" hidden="false" customHeight="false" outlineLevel="0" collapsed="false">
      <c r="A35" s="355" t="n">
        <v>45897</v>
      </c>
      <c r="B35" s="363" t="s">
        <v>243</v>
      </c>
      <c r="E35" s="365" t="s">
        <v>291</v>
      </c>
      <c r="G35" s="366" t="n">
        <v>120</v>
      </c>
      <c r="H35" s="338" t="n">
        <f aca="false">IF((G35&lt;&gt;0),IF((D35&gt;0)," ",G35)," ")</f>
        <v>120</v>
      </c>
      <c r="I35" s="367" t="n">
        <f aca="false">IF((G35&lt;&gt;0),IF((D35&gt;0)," ",(I$1-A35))," ")</f>
        <v>241</v>
      </c>
      <c r="J35" s="334" t="str">
        <f aca="false">IF((E35="s"),G35," ")</f>
        <v> </v>
      </c>
      <c r="K35" s="334" t="str">
        <f aca="false">IF((E35="d"),G35," ")</f>
        <v> </v>
      </c>
      <c r="L35" s="334" t="str">
        <f aca="false">IF((E35="e"),G35," ")</f>
        <v> </v>
      </c>
      <c r="M35" s="334" t="str">
        <f aca="false">IF((E35="p"),G35," ")</f>
        <v> </v>
      </c>
      <c r="N35" s="334" t="str">
        <f aca="false">IF((E35="r"),G35," ")</f>
        <v> </v>
      </c>
      <c r="O35" s="334" t="str">
        <f aca="false">IF((E35="g"),G35," ")</f>
        <v> </v>
      </c>
      <c r="P35" s="334" t="n">
        <f aca="false">IF((E35="m"),G35," ")</f>
        <v>120</v>
      </c>
      <c r="Q35" s="334" t="str">
        <f aca="false">IF((E35="t"),G35," ")</f>
        <v> </v>
      </c>
      <c r="R35" s="334" t="str">
        <f aca="false">IF((E35="a"),G35," ")</f>
        <v> </v>
      </c>
      <c r="S35" s="334" t="str">
        <f aca="false">IF((E35="l"),G35," ")</f>
        <v> </v>
      </c>
      <c r="T35" s="334" t="str">
        <f aca="false">IF((E35="b"),G35," ")</f>
        <v> </v>
      </c>
      <c r="U35" s="334" t="str">
        <f aca="false">IF((E35="i"),G35," ")</f>
        <v> </v>
      </c>
      <c r="V35" s="334" t="str">
        <f aca="false">IF((E35="o"),G35," ")</f>
        <v> </v>
      </c>
      <c r="W35" s="334" t="str">
        <f aca="false">IF((E35="f"),G35," ")</f>
        <v> </v>
      </c>
    </row>
    <row r="36" customFormat="false" ht="12.75" hidden="false" customHeight="false" outlineLevel="0" collapsed="false">
      <c r="A36" s="355" t="n">
        <v>45900</v>
      </c>
      <c r="B36" s="363" t="s">
        <v>240</v>
      </c>
      <c r="E36" s="365" t="s">
        <v>340</v>
      </c>
      <c r="G36" s="366" t="n">
        <v>300</v>
      </c>
      <c r="H36" s="338" t="n">
        <f aca="false">IF((G36&lt;&gt;0),IF((D36&gt;0)," ",G36)," ")</f>
        <v>300</v>
      </c>
      <c r="I36" s="367" t="n">
        <f aca="false">IF((G36&lt;&gt;0),IF((D36&gt;0)," ",(I$1-A36))," ")</f>
        <v>238</v>
      </c>
      <c r="J36" s="334" t="str">
        <f aca="false">IF((E36="s"),G36," ")</f>
        <v> </v>
      </c>
      <c r="K36" s="334" t="str">
        <f aca="false">IF((E36="d"),G36," ")</f>
        <v> </v>
      </c>
      <c r="L36" s="334" t="str">
        <f aca="false">IF((E36="e"),G36," ")</f>
        <v> </v>
      </c>
      <c r="M36" s="334" t="str">
        <f aca="false">IF((E36="p"),G36," ")</f>
        <v> </v>
      </c>
      <c r="N36" s="334" t="str">
        <f aca="false">IF((E36="r"),G36," ")</f>
        <v> </v>
      </c>
      <c r="O36" s="334" t="str">
        <f aca="false">IF((E36="g"),G36," ")</f>
        <v> </v>
      </c>
      <c r="P36" s="334" t="str">
        <f aca="false">IF((E36="m"),G36," ")</f>
        <v> </v>
      </c>
      <c r="Q36" s="334" t="str">
        <f aca="false">IF((E36="t"),G36," ")</f>
        <v> </v>
      </c>
      <c r="R36" s="334" t="str">
        <f aca="false">IF((E36="a"),G36," ")</f>
        <v> </v>
      </c>
      <c r="S36" s="334" t="n">
        <f aca="false">IF((E36="l"),G36," ")</f>
        <v>300</v>
      </c>
      <c r="T36" s="334" t="str">
        <f aca="false">IF((E36="b"),G36," ")</f>
        <v> </v>
      </c>
      <c r="U36" s="334" t="str">
        <f aca="false">IF((E36="i"),G36," ")</f>
        <v> </v>
      </c>
      <c r="V36" s="334" t="str">
        <f aca="false">IF((E36="o"),G36," ")</f>
        <v> </v>
      </c>
      <c r="W36" s="334" t="str">
        <f aca="false">IF((E36="f"),G36," ")</f>
        <v> </v>
      </c>
    </row>
    <row r="37" customFormat="false" ht="12.75" hidden="false" customHeight="false" outlineLevel="0" collapsed="false">
      <c r="A37" s="355"/>
      <c r="H37" s="338" t="str">
        <f aca="false">IF((G37&lt;&gt;0),IF((D37&gt;0)," ",G37)," ")</f>
        <v> </v>
      </c>
      <c r="I37" s="367" t="str">
        <f aca="false">IF((G37&lt;&gt;0),IF((D37&gt;0)," ",(I$1-A37))," ")</f>
        <v> </v>
      </c>
      <c r="J37" s="334" t="str">
        <f aca="false">IF((E37="s"),G37," ")</f>
        <v> </v>
      </c>
      <c r="K37" s="334" t="str">
        <f aca="false">IF((E37="d"),G37," ")</f>
        <v> </v>
      </c>
      <c r="L37" s="334" t="str">
        <f aca="false">IF((E37="e"),G37," ")</f>
        <v> </v>
      </c>
      <c r="M37" s="334" t="str">
        <f aca="false">IF((E37="p"),G37," ")</f>
        <v> </v>
      </c>
      <c r="N37" s="334" t="str">
        <f aca="false">IF((E37="r"),G37," ")</f>
        <v> </v>
      </c>
      <c r="O37" s="334" t="str">
        <f aca="false">IF((E37="g"),G37," ")</f>
        <v> </v>
      </c>
      <c r="P37" s="334" t="str">
        <f aca="false">IF((E37="m"),G37," ")</f>
        <v> </v>
      </c>
      <c r="Q37" s="334" t="str">
        <f aca="false">IF((E37="t"),G37," ")</f>
        <v> </v>
      </c>
      <c r="R37" s="334" t="str">
        <f aca="false">IF((E37="a"),G37," ")</f>
        <v> </v>
      </c>
      <c r="S37" s="334" t="str">
        <f aca="false">IF((E37="l"),G37," ")</f>
        <v> </v>
      </c>
      <c r="T37" s="334" t="str">
        <f aca="false">IF((E37="b"),G37," ")</f>
        <v> </v>
      </c>
      <c r="U37" s="334" t="str">
        <f aca="false">IF((E37="i"),G37," ")</f>
        <v> </v>
      </c>
      <c r="V37" s="334" t="str">
        <f aca="false">IF((E37="o"),G37," ")</f>
        <v> </v>
      </c>
      <c r="W37" s="334" t="str">
        <f aca="false">IF((E37="f"),G37," ")</f>
        <v> </v>
      </c>
    </row>
    <row r="38" customFormat="false" ht="12.75" hidden="false" customHeight="false" outlineLevel="0" collapsed="false">
      <c r="A38" s="355"/>
      <c r="H38" s="338" t="str">
        <f aca="false">IF((G38&lt;&gt;0),IF((D38&gt;0)," ",G38)," ")</f>
        <v> </v>
      </c>
      <c r="I38" s="367" t="str">
        <f aca="false">IF((G38&lt;&gt;0),IF((D38&gt;0)," ",(I$1-A38))," ")</f>
        <v> </v>
      </c>
      <c r="J38" s="334" t="str">
        <f aca="false">IF((E38="s"),G38," ")</f>
        <v> </v>
      </c>
      <c r="K38" s="334" t="str">
        <f aca="false">IF((E38="d"),G38," ")</f>
        <v> </v>
      </c>
      <c r="L38" s="334" t="str">
        <f aca="false">IF((E38="e"),G38," ")</f>
        <v> </v>
      </c>
      <c r="M38" s="334" t="str">
        <f aca="false">IF((E38="p"),G38," ")</f>
        <v> </v>
      </c>
      <c r="N38" s="334" t="str">
        <f aca="false">IF((E38="r"),G38," ")</f>
        <v> </v>
      </c>
      <c r="O38" s="334" t="str">
        <f aca="false">IF((E38="g"),G38," ")</f>
        <v> </v>
      </c>
      <c r="P38" s="334" t="str">
        <f aca="false">IF((E38="m"),G38," ")</f>
        <v> </v>
      </c>
      <c r="Q38" s="334" t="str">
        <f aca="false">IF((E38="t"),G38," ")</f>
        <v> </v>
      </c>
      <c r="R38" s="334" t="str">
        <f aca="false">IF((E38="a"),G38," ")</f>
        <v> </v>
      </c>
      <c r="S38" s="334" t="str">
        <f aca="false">IF((E38="l"),G38," ")</f>
        <v> </v>
      </c>
      <c r="T38" s="334" t="str">
        <f aca="false">IF((E38="b"),G38," ")</f>
        <v> </v>
      </c>
      <c r="U38" s="334" t="str">
        <f aca="false">IF((E38="i"),G38," ")</f>
        <v> </v>
      </c>
      <c r="V38" s="334" t="str">
        <f aca="false">IF((E38="o"),G38," ")</f>
        <v> </v>
      </c>
      <c r="W38" s="334" t="str">
        <f aca="false">IF((E38="f"),G38," ")</f>
        <v> </v>
      </c>
    </row>
    <row r="39" customFormat="false" ht="12.75" hidden="false" customHeight="false" outlineLevel="0" collapsed="false">
      <c r="A39" s="355"/>
      <c r="H39" s="338" t="str">
        <f aca="false">IF((G39&lt;&gt;0),IF((D39&gt;0)," ",G39)," ")</f>
        <v> </v>
      </c>
      <c r="I39" s="367" t="str">
        <f aca="false">IF((G39&lt;&gt;0),IF((D39&gt;0)," ",(I$1-A39))," ")</f>
        <v> </v>
      </c>
      <c r="J39" s="334" t="str">
        <f aca="false">IF((E39="s"),G39," ")</f>
        <v> </v>
      </c>
      <c r="K39" s="334" t="str">
        <f aca="false">IF((E39="d"),G39," ")</f>
        <v> </v>
      </c>
      <c r="L39" s="334" t="str">
        <f aca="false">IF((E39="e"),G39," ")</f>
        <v> </v>
      </c>
      <c r="M39" s="334" t="str">
        <f aca="false">IF((E39="p"),G39," ")</f>
        <v> </v>
      </c>
      <c r="N39" s="334" t="str">
        <f aca="false">IF((E39="r"),G39," ")</f>
        <v> </v>
      </c>
      <c r="O39" s="334" t="str">
        <f aca="false">IF((E39="g"),G39," ")</f>
        <v> </v>
      </c>
      <c r="P39" s="334" t="str">
        <f aca="false">IF((E39="m"),G39," ")</f>
        <v> </v>
      </c>
      <c r="Q39" s="334" t="str">
        <f aca="false">IF((E39="t"),G39," ")</f>
        <v> </v>
      </c>
      <c r="R39" s="334" t="str">
        <f aca="false">IF((E39="a"),G39," ")</f>
        <v> </v>
      </c>
      <c r="S39" s="334" t="str">
        <f aca="false">IF((E39="l"),G39," ")</f>
        <v> </v>
      </c>
      <c r="T39" s="334" t="str">
        <f aca="false">IF((E39="b"),G39," ")</f>
        <v> </v>
      </c>
      <c r="U39" s="334" t="str">
        <f aca="false">IF((E39="i"),G39," ")</f>
        <v> </v>
      </c>
      <c r="V39" s="334" t="str">
        <f aca="false">IF((E39="o"),G39," ")</f>
        <v> </v>
      </c>
      <c r="W39" s="334" t="str">
        <f aca="false">IF((E39="f"),G39," ")</f>
        <v> </v>
      </c>
    </row>
    <row r="40" customFormat="false" ht="12.75" hidden="false" customHeight="false" outlineLevel="0" collapsed="false">
      <c r="A40" s="355"/>
      <c r="H40" s="338" t="str">
        <f aca="false">IF((G40&lt;&gt;0),IF((D40&gt;0)," ",G40)," ")</f>
        <v> </v>
      </c>
      <c r="I40" s="367" t="str">
        <f aca="false">IF((G40&lt;&gt;0),IF((D40&gt;0)," ",(I$1-A40))," ")</f>
        <v> </v>
      </c>
      <c r="J40" s="334" t="str">
        <f aca="false">IF((E40="s"),G40," ")</f>
        <v> </v>
      </c>
      <c r="K40" s="334" t="str">
        <f aca="false">IF((E40="d"),G40," ")</f>
        <v> </v>
      </c>
      <c r="L40" s="334" t="str">
        <f aca="false">IF((E40="e"),G40," ")</f>
        <v> </v>
      </c>
      <c r="M40" s="334" t="str">
        <f aca="false">IF((E40="p"),G40," ")</f>
        <v> </v>
      </c>
      <c r="N40" s="334" t="str">
        <f aca="false">IF((E40="r"),G40," ")</f>
        <v> </v>
      </c>
      <c r="O40" s="334" t="str">
        <f aca="false">IF((E40="g"),G40," ")</f>
        <v> </v>
      </c>
      <c r="P40" s="334" t="str">
        <f aca="false">IF((E40="m"),G40," ")</f>
        <v> </v>
      </c>
      <c r="Q40" s="334" t="str">
        <f aca="false">IF((E40="t"),G40," ")</f>
        <v> </v>
      </c>
      <c r="R40" s="334" t="str">
        <f aca="false">IF((E40="a"),G40," ")</f>
        <v> </v>
      </c>
      <c r="S40" s="334" t="str">
        <f aca="false">IF((E40="l"),G40," ")</f>
        <v> </v>
      </c>
      <c r="T40" s="334" t="str">
        <f aca="false">IF((E40="b"),G40," ")</f>
        <v> </v>
      </c>
      <c r="U40" s="334" t="str">
        <f aca="false">IF((E40="i"),G40," ")</f>
        <v> </v>
      </c>
      <c r="V40" s="334" t="str">
        <f aca="false">IF((E40="o"),G40," ")</f>
        <v> </v>
      </c>
      <c r="W40" s="334" t="str">
        <f aca="false">IF((E40="f"),G40," ")</f>
        <v> </v>
      </c>
    </row>
    <row r="41" customFormat="false" ht="12.75" hidden="false" customHeight="false" outlineLevel="0" collapsed="false">
      <c r="A41" s="355"/>
      <c r="H41" s="338" t="str">
        <f aca="false">IF((G41&lt;&gt;0),IF((D41&gt;0)," ",G41)," ")</f>
        <v> </v>
      </c>
      <c r="I41" s="367" t="str">
        <f aca="false">IF((G41&lt;&gt;0),IF((D41&gt;0)," ",(I$1-A41))," ")</f>
        <v> </v>
      </c>
      <c r="J41" s="334" t="str">
        <f aca="false">IF((E41="s"),G41," ")</f>
        <v> </v>
      </c>
      <c r="K41" s="334" t="str">
        <f aca="false">IF((E41="d"),G41," ")</f>
        <v> </v>
      </c>
      <c r="L41" s="334" t="str">
        <f aca="false">IF((E41="e"),G41," ")</f>
        <v> </v>
      </c>
      <c r="M41" s="334" t="str">
        <f aca="false">IF((E41="p"),G41," ")</f>
        <v> </v>
      </c>
      <c r="N41" s="334" t="str">
        <f aca="false">IF((E41="r"),G41," ")</f>
        <v> </v>
      </c>
      <c r="O41" s="334" t="str">
        <f aca="false">IF((E41="g"),G41," ")</f>
        <v> </v>
      </c>
      <c r="P41" s="334" t="str">
        <f aca="false">IF((E41="m"),G41," ")</f>
        <v> </v>
      </c>
      <c r="Q41" s="334" t="str">
        <f aca="false">IF((E41="t"),G41," ")</f>
        <v> </v>
      </c>
      <c r="R41" s="334" t="str">
        <f aca="false">IF((E41="a"),G41," ")</f>
        <v> </v>
      </c>
      <c r="S41" s="334" t="str">
        <f aca="false">IF((E41="l"),G41," ")</f>
        <v> </v>
      </c>
      <c r="T41" s="334" t="str">
        <f aca="false">IF((E41="b"),G41," ")</f>
        <v> </v>
      </c>
      <c r="U41" s="334" t="str">
        <f aca="false">IF((E41="i"),G41," ")</f>
        <v> </v>
      </c>
      <c r="V41" s="334" t="str">
        <f aca="false">IF((E41="o"),G41," ")</f>
        <v> </v>
      </c>
      <c r="W41" s="334" t="str">
        <f aca="false">IF((E41="f"),G41," ")</f>
        <v> </v>
      </c>
    </row>
    <row r="42" customFormat="false" ht="12.75" hidden="false" customHeight="false" outlineLevel="0" collapsed="false">
      <c r="A42" s="355"/>
      <c r="H42" s="338" t="str">
        <f aca="false">IF((G42&lt;&gt;0),IF((D42&gt;0)," ",G42)," ")</f>
        <v> </v>
      </c>
      <c r="I42" s="367" t="str">
        <f aca="false">IF((G42&lt;&gt;0),IF((D42&gt;0)," ",(I$1-A42))," ")</f>
        <v> </v>
      </c>
      <c r="J42" s="334" t="str">
        <f aca="false">IF((E42="s"),G42," ")</f>
        <v> </v>
      </c>
      <c r="K42" s="334" t="str">
        <f aca="false">IF((E42="d"),G42," ")</f>
        <v> </v>
      </c>
      <c r="L42" s="334" t="str">
        <f aca="false">IF((E42="e"),G42," ")</f>
        <v> </v>
      </c>
      <c r="M42" s="334" t="str">
        <f aca="false">IF((E42="p"),G42," ")</f>
        <v> </v>
      </c>
      <c r="N42" s="334" t="str">
        <f aca="false">IF((E42="r"),G42," ")</f>
        <v> </v>
      </c>
      <c r="O42" s="334" t="str">
        <f aca="false">IF((E42="g"),G42," ")</f>
        <v> </v>
      </c>
      <c r="P42" s="334" t="str">
        <f aca="false">IF((E42="m"),G42," ")</f>
        <v> </v>
      </c>
      <c r="Q42" s="334" t="str">
        <f aca="false">IF((E42="t"),G42," ")</f>
        <v> </v>
      </c>
      <c r="R42" s="334" t="str">
        <f aca="false">IF((E42="a"),G42," ")</f>
        <v> </v>
      </c>
      <c r="S42" s="334" t="str">
        <f aca="false">IF((E42="l"),G42," ")</f>
        <v> </v>
      </c>
      <c r="T42" s="334" t="str">
        <f aca="false">IF((E42="b"),G42," ")</f>
        <v> </v>
      </c>
      <c r="U42" s="334" t="str">
        <f aca="false">IF((E42="i"),G42," ")</f>
        <v> </v>
      </c>
      <c r="V42" s="334" t="str">
        <f aca="false">IF((E42="o"),G42," ")</f>
        <v> </v>
      </c>
      <c r="W42" s="334" t="str">
        <f aca="false">IF((E42="f"),G42," ")</f>
        <v> </v>
      </c>
    </row>
    <row r="43" customFormat="false" ht="12.75" hidden="false" customHeight="false" outlineLevel="0" collapsed="false">
      <c r="A43" s="355"/>
      <c r="H43" s="338" t="str">
        <f aca="false">IF((G43&lt;&gt;0),IF((D43&gt;0)," ",G43)," ")</f>
        <v> </v>
      </c>
      <c r="I43" s="367" t="str">
        <f aca="false">IF((G43&lt;&gt;0),IF((D43&gt;0)," ",(I$1-A43))," ")</f>
        <v> </v>
      </c>
      <c r="J43" s="334" t="str">
        <f aca="false">IF((E43="s"),G43," ")</f>
        <v> </v>
      </c>
      <c r="K43" s="334" t="str">
        <f aca="false">IF((E43="d"),G43," ")</f>
        <v> </v>
      </c>
      <c r="L43" s="334" t="str">
        <f aca="false">IF((E43="e"),G43," ")</f>
        <v> </v>
      </c>
      <c r="M43" s="334" t="str">
        <f aca="false">IF((E43="p"),G43," ")</f>
        <v> </v>
      </c>
      <c r="N43" s="334" t="str">
        <f aca="false">IF((E43="r"),G43," ")</f>
        <v> </v>
      </c>
      <c r="O43" s="334" t="str">
        <f aca="false">IF((E43="g"),G43," ")</f>
        <v> </v>
      </c>
      <c r="P43" s="334" t="str">
        <f aca="false">IF((E43="m"),G43," ")</f>
        <v> </v>
      </c>
      <c r="Q43" s="334" t="str">
        <f aca="false">IF((E43="t"),G43," ")</f>
        <v> </v>
      </c>
      <c r="R43" s="334" t="str">
        <f aca="false">IF((E43="a"),G43," ")</f>
        <v> </v>
      </c>
      <c r="S43" s="334" t="str">
        <f aca="false">IF((E43="l"),G43," ")</f>
        <v> </v>
      </c>
      <c r="T43" s="334" t="str">
        <f aca="false">IF((E43="b"),G43," ")</f>
        <v> </v>
      </c>
      <c r="U43" s="334" t="str">
        <f aca="false">IF((E43="i"),G43," ")</f>
        <v> </v>
      </c>
      <c r="V43" s="334" t="str">
        <f aca="false">IF((E43="o"),G43," ")</f>
        <v> </v>
      </c>
      <c r="W43" s="334" t="str">
        <f aca="false">IF((E43="f"),G43," ")</f>
        <v> </v>
      </c>
    </row>
    <row r="44" customFormat="false" ht="12.75" hidden="false" customHeight="false" outlineLevel="0" collapsed="false">
      <c r="A44" s="355"/>
      <c r="H44" s="338" t="str">
        <f aca="false">IF((G44&lt;&gt;0),IF((D44&gt;0)," ",G44)," ")</f>
        <v> </v>
      </c>
      <c r="I44" s="367" t="str">
        <f aca="false">IF((G44&lt;&gt;0),IF((D44&gt;0)," ",(I$1-A44))," ")</f>
        <v> </v>
      </c>
      <c r="J44" s="334" t="str">
        <f aca="false">IF((E44="s"),G44," ")</f>
        <v> </v>
      </c>
      <c r="K44" s="334" t="str">
        <f aca="false">IF((E44="d"),G44," ")</f>
        <v> </v>
      </c>
      <c r="L44" s="334" t="str">
        <f aca="false">IF((E44="e"),G44," ")</f>
        <v> </v>
      </c>
      <c r="M44" s="334" t="str">
        <f aca="false">IF((E44="p"),G44," ")</f>
        <v> </v>
      </c>
      <c r="N44" s="334" t="str">
        <f aca="false">IF((E44="r"),G44," ")</f>
        <v> </v>
      </c>
      <c r="O44" s="334" t="str">
        <f aca="false">IF((E44="g"),G44," ")</f>
        <v> </v>
      </c>
      <c r="P44" s="334" t="str">
        <f aca="false">IF((E44="m"),G44," ")</f>
        <v> </v>
      </c>
      <c r="Q44" s="334" t="str">
        <f aca="false">IF((E44="t"),G44," ")</f>
        <v> </v>
      </c>
      <c r="R44" s="334" t="str">
        <f aca="false">IF((E44="a"),G44," ")</f>
        <v> </v>
      </c>
      <c r="S44" s="334" t="str">
        <f aca="false">IF((E44="l"),G44," ")</f>
        <v> </v>
      </c>
      <c r="T44" s="334" t="str">
        <f aca="false">IF((E44="b"),G44," ")</f>
        <v> </v>
      </c>
      <c r="U44" s="334" t="str">
        <f aca="false">IF((E44="i"),G44," ")</f>
        <v> </v>
      </c>
      <c r="V44" s="334" t="str">
        <f aca="false">IF((E44="o"),G44," ")</f>
        <v> </v>
      </c>
      <c r="W44" s="334" t="str">
        <f aca="false">IF((E44="f"),G44," ")</f>
        <v> </v>
      </c>
    </row>
    <row r="45" customFormat="false" ht="12.75" hidden="false" customHeight="false" outlineLevel="0" collapsed="false">
      <c r="A45" s="355"/>
      <c r="H45" s="338" t="str">
        <f aca="false">IF((G45&lt;&gt;0),IF((D45&gt;0)," ",G45)," ")</f>
        <v> </v>
      </c>
      <c r="I45" s="367" t="str">
        <f aca="false">IF((G45&lt;&gt;0),IF((D45&gt;0)," ",(I$1-A45))," ")</f>
        <v> </v>
      </c>
      <c r="J45" s="334" t="str">
        <f aca="false">IF((E45="s"),G45," ")</f>
        <v> </v>
      </c>
      <c r="K45" s="334" t="str">
        <f aca="false">IF((E45="d"),G45," ")</f>
        <v> </v>
      </c>
      <c r="L45" s="334" t="str">
        <f aca="false">IF((E45="e"),G45," ")</f>
        <v> </v>
      </c>
      <c r="M45" s="334" t="str">
        <f aca="false">IF((E45="p"),G45," ")</f>
        <v> </v>
      </c>
      <c r="N45" s="334" t="str">
        <f aca="false">IF((E45="r"),G45," ")</f>
        <v> </v>
      </c>
      <c r="O45" s="334" t="str">
        <f aca="false">IF((E45="g"),G45," ")</f>
        <v> </v>
      </c>
      <c r="P45" s="334" t="str">
        <f aca="false">IF((E45="m"),G45," ")</f>
        <v> </v>
      </c>
      <c r="Q45" s="334" t="str">
        <f aca="false">IF((E45="t"),G45," ")</f>
        <v> </v>
      </c>
      <c r="R45" s="334" t="str">
        <f aca="false">IF((E45="a"),G45," ")</f>
        <v> </v>
      </c>
      <c r="S45" s="334" t="str">
        <f aca="false">IF((E45="l"),G45," ")</f>
        <v> </v>
      </c>
      <c r="T45" s="334" t="str">
        <f aca="false">IF((E45="b"),G45," ")</f>
        <v> </v>
      </c>
      <c r="U45" s="334" t="str">
        <f aca="false">IF((E45="i"),G45," ")</f>
        <v> </v>
      </c>
      <c r="V45" s="334" t="str">
        <f aca="false">IF((E45="o"),G45," ")</f>
        <v> </v>
      </c>
      <c r="W45" s="334" t="str">
        <f aca="false">IF((E45="f"),G45," ")</f>
        <v> </v>
      </c>
    </row>
    <row r="46" customFormat="false" ht="12.75" hidden="false" customHeight="false" outlineLevel="0" collapsed="false">
      <c r="A46" s="355"/>
      <c r="H46" s="338" t="str">
        <f aca="false">IF((G46&lt;&gt;0),IF((D46&gt;0)," ",G46)," ")</f>
        <v> </v>
      </c>
      <c r="I46" s="367" t="str">
        <f aca="false">IF((G46&lt;&gt;0),IF((D46&gt;0)," ",(I$1-A46))," ")</f>
        <v> </v>
      </c>
      <c r="J46" s="334" t="str">
        <f aca="false">IF((E46="s"),G46," ")</f>
        <v> </v>
      </c>
      <c r="K46" s="334" t="str">
        <f aca="false">IF((E46="d"),G46," ")</f>
        <v> </v>
      </c>
      <c r="L46" s="334" t="str">
        <f aca="false">IF((E46="e"),G46," ")</f>
        <v> </v>
      </c>
      <c r="M46" s="334" t="str">
        <f aca="false">IF((E46="p"),G46," ")</f>
        <v> </v>
      </c>
      <c r="N46" s="334" t="str">
        <f aca="false">IF((E46="r"),G46," ")</f>
        <v> </v>
      </c>
      <c r="O46" s="334" t="str">
        <f aca="false">IF((E46="g"),G46," ")</f>
        <v> </v>
      </c>
      <c r="P46" s="334" t="str">
        <f aca="false">IF((E46="m"),G46," ")</f>
        <v> </v>
      </c>
      <c r="Q46" s="334" t="str">
        <f aca="false">IF((E46="t"),G46," ")</f>
        <v> </v>
      </c>
      <c r="R46" s="334" t="str">
        <f aca="false">IF((E46="a"),G46," ")</f>
        <v> </v>
      </c>
      <c r="S46" s="334" t="str">
        <f aca="false">IF((E46="l"),G46," ")</f>
        <v> </v>
      </c>
      <c r="T46" s="334" t="str">
        <f aca="false">IF((E46="b"),G46," ")</f>
        <v> </v>
      </c>
      <c r="U46" s="334" t="str">
        <f aca="false">IF((E46="i"),G46," ")</f>
        <v> </v>
      </c>
      <c r="V46" s="334" t="str">
        <f aca="false">IF((E46="o"),G46," ")</f>
        <v> </v>
      </c>
      <c r="W46" s="334" t="str">
        <f aca="false">IF((E46="f"),G46," ")</f>
        <v> </v>
      </c>
    </row>
    <row r="47" customFormat="false" ht="12.75" hidden="false" customHeight="false" outlineLevel="0" collapsed="false">
      <c r="A47" s="355"/>
      <c r="H47" s="338" t="str">
        <f aca="false">IF((G47&lt;&gt;0),IF((D47&gt;0)," ",G47)," ")</f>
        <v> </v>
      </c>
      <c r="I47" s="367" t="str">
        <f aca="false">IF((G47&lt;&gt;0),IF((D47&gt;0)," ",(I$1-A47))," ")</f>
        <v> </v>
      </c>
      <c r="J47" s="334" t="str">
        <f aca="false">IF((E47="s"),G47," ")</f>
        <v> </v>
      </c>
      <c r="K47" s="334" t="str">
        <f aca="false">IF((E47="d"),G47," ")</f>
        <v> </v>
      </c>
      <c r="L47" s="334" t="str">
        <f aca="false">IF((E47="e"),G47," ")</f>
        <v> </v>
      </c>
      <c r="M47" s="334" t="str">
        <f aca="false">IF((E47="p"),G47," ")</f>
        <v> </v>
      </c>
      <c r="N47" s="334" t="str">
        <f aca="false">IF((E47="r"),G47," ")</f>
        <v> </v>
      </c>
      <c r="O47" s="334" t="str">
        <f aca="false">IF((E47="g"),G47," ")</f>
        <v> </v>
      </c>
      <c r="P47" s="334" t="str">
        <f aca="false">IF((E47="m"),G47," ")</f>
        <v> </v>
      </c>
      <c r="Q47" s="334" t="str">
        <f aca="false">IF((E47="t"),G47," ")</f>
        <v> </v>
      </c>
      <c r="R47" s="334" t="str">
        <f aca="false">IF((E47="a"),G47," ")</f>
        <v> </v>
      </c>
      <c r="S47" s="334" t="str">
        <f aca="false">IF((E47="l"),G47," ")</f>
        <v> </v>
      </c>
      <c r="T47" s="334" t="str">
        <f aca="false">IF((E47="b"),G47," ")</f>
        <v> </v>
      </c>
      <c r="U47" s="334" t="str">
        <f aca="false">IF((E47="i"),G47," ")</f>
        <v> </v>
      </c>
      <c r="V47" s="334" t="str">
        <f aca="false">IF((E47="o"),G47," ")</f>
        <v> </v>
      </c>
      <c r="W47" s="334" t="str">
        <f aca="false">IF((E47="f"),G47," ")</f>
        <v> </v>
      </c>
    </row>
    <row r="48" customFormat="false" ht="12.75" hidden="false" customHeight="false" outlineLevel="0" collapsed="false">
      <c r="A48" s="355"/>
      <c r="H48" s="338" t="str">
        <f aca="false">IF((G48&lt;&gt;0),IF((D48&gt;0)," ",G48)," ")</f>
        <v> </v>
      </c>
      <c r="I48" s="367" t="str">
        <f aca="false">IF((G48&lt;&gt;0),IF((D48&gt;0)," ",(I$1-A48))," ")</f>
        <v> </v>
      </c>
      <c r="J48" s="334" t="str">
        <f aca="false">IF((E48="s"),G48," ")</f>
        <v> </v>
      </c>
      <c r="K48" s="334" t="str">
        <f aca="false">IF((E48="d"),G48," ")</f>
        <v> </v>
      </c>
      <c r="L48" s="334" t="str">
        <f aca="false">IF((E48="e"),G48," ")</f>
        <v> </v>
      </c>
      <c r="M48" s="334" t="str">
        <f aca="false">IF((E48="p"),G48," ")</f>
        <v> </v>
      </c>
      <c r="N48" s="334" t="str">
        <f aca="false">IF((E48="r"),G48," ")</f>
        <v> </v>
      </c>
      <c r="O48" s="334" t="str">
        <f aca="false">IF((E48="g"),G48," ")</f>
        <v> </v>
      </c>
      <c r="P48" s="334" t="str">
        <f aca="false">IF((E48="m"),G48," ")</f>
        <v> </v>
      </c>
      <c r="Q48" s="334" t="str">
        <f aca="false">IF((E48="t"),G48," ")</f>
        <v> </v>
      </c>
      <c r="R48" s="334" t="str">
        <f aca="false">IF((E48="a"),G48," ")</f>
        <v> </v>
      </c>
      <c r="S48" s="334" t="str">
        <f aca="false">IF((E48="l"),G48," ")</f>
        <v> </v>
      </c>
      <c r="T48" s="334" t="str">
        <f aca="false">IF((E48="b"),G48," ")</f>
        <v> </v>
      </c>
      <c r="U48" s="334" t="str">
        <f aca="false">IF((E48="i"),G48," ")</f>
        <v> </v>
      </c>
      <c r="V48" s="334" t="str">
        <f aca="false">IF((E48="o"),G48," ")</f>
        <v> </v>
      </c>
      <c r="W48" s="334" t="str">
        <f aca="false">IF((E48="f"),G48," ")</f>
        <v> </v>
      </c>
    </row>
    <row r="49" customFormat="false" ht="12.75" hidden="false" customHeight="false" outlineLevel="0" collapsed="false">
      <c r="A49" s="355"/>
      <c r="H49" s="338" t="str">
        <f aca="false">IF((G49&lt;&gt;0),IF((D49&gt;0)," ",G49)," ")</f>
        <v> </v>
      </c>
      <c r="I49" s="367" t="str">
        <f aca="false">IF((G49&lt;&gt;0),IF((D49&gt;0)," ",(I$1-A49))," ")</f>
        <v> </v>
      </c>
      <c r="J49" s="334" t="str">
        <f aca="false">IF((E49="s"),G49," ")</f>
        <v> </v>
      </c>
      <c r="K49" s="334" t="str">
        <f aca="false">IF((E49="d"),G49," ")</f>
        <v> </v>
      </c>
      <c r="L49" s="334" t="str">
        <f aca="false">IF((E49="e"),G49," ")</f>
        <v> </v>
      </c>
      <c r="M49" s="334" t="str">
        <f aca="false">IF((E49="p"),G49," ")</f>
        <v> </v>
      </c>
      <c r="N49" s="334" t="str">
        <f aca="false">IF((E49="r"),G49," ")</f>
        <v> </v>
      </c>
      <c r="O49" s="334" t="str">
        <f aca="false">IF((E49="g"),G49," ")</f>
        <v> </v>
      </c>
      <c r="P49" s="334" t="str">
        <f aca="false">IF((E49="m"),G49," ")</f>
        <v> </v>
      </c>
      <c r="Q49" s="334" t="str">
        <f aca="false">IF((E49="t"),G49," ")</f>
        <v> </v>
      </c>
      <c r="R49" s="334" t="str">
        <f aca="false">IF((E49="a"),G49," ")</f>
        <v> </v>
      </c>
      <c r="S49" s="334" t="str">
        <f aca="false">IF((E49="l"),G49," ")</f>
        <v> </v>
      </c>
      <c r="T49" s="334" t="str">
        <f aca="false">IF((E49="b"),G49," ")</f>
        <v> </v>
      </c>
      <c r="U49" s="334" t="str">
        <f aca="false">IF((E49="i"),G49," ")</f>
        <v> </v>
      </c>
      <c r="V49" s="334" t="str">
        <f aca="false">IF((E49="o"),G49," ")</f>
        <v> </v>
      </c>
      <c r="W49" s="334" t="str">
        <f aca="false">IF((E49="f"),G49," ")</f>
        <v> </v>
      </c>
    </row>
    <row r="50" customFormat="false" ht="12.75" hidden="false" customHeight="false" outlineLevel="0" collapsed="false">
      <c r="A50" s="355"/>
      <c r="H50" s="338" t="str">
        <f aca="false">IF((G50&lt;&gt;0),IF((D50&gt;0)," ",G50)," ")</f>
        <v> </v>
      </c>
      <c r="I50" s="367" t="str">
        <f aca="false">IF((G50&lt;&gt;0),IF((D50&gt;0)," ",(I$1-A50))," ")</f>
        <v> </v>
      </c>
      <c r="J50" s="334" t="str">
        <f aca="false">IF((E50="s"),G50," ")</f>
        <v> </v>
      </c>
      <c r="K50" s="334" t="str">
        <f aca="false">IF((E50="d"),G50," ")</f>
        <v> </v>
      </c>
      <c r="L50" s="334" t="str">
        <f aca="false">IF((E50="e"),G50," ")</f>
        <v> </v>
      </c>
      <c r="M50" s="334" t="str">
        <f aca="false">IF((E50="p"),G50," ")</f>
        <v> </v>
      </c>
      <c r="N50" s="334" t="str">
        <f aca="false">IF((E50="r"),G50," ")</f>
        <v> </v>
      </c>
      <c r="O50" s="334" t="str">
        <f aca="false">IF((E50="g"),G50," ")</f>
        <v> </v>
      </c>
      <c r="P50" s="334" t="str">
        <f aca="false">IF((E50="m"),G50," ")</f>
        <v> </v>
      </c>
      <c r="Q50" s="334" t="str">
        <f aca="false">IF((E50="t"),G50," ")</f>
        <v> </v>
      </c>
      <c r="R50" s="334" t="str">
        <f aca="false">IF((E50="a"),G50," ")</f>
        <v> </v>
      </c>
      <c r="S50" s="334" t="str">
        <f aca="false">IF((E50="l"),G50," ")</f>
        <v> </v>
      </c>
      <c r="T50" s="334" t="str">
        <f aca="false">IF((E50="b"),G50," ")</f>
        <v> </v>
      </c>
      <c r="U50" s="334" t="str">
        <f aca="false">IF((E50="i"),G50," ")</f>
        <v> </v>
      </c>
      <c r="V50" s="334" t="str">
        <f aca="false">IF((E50="o"),G50," ")</f>
        <v> </v>
      </c>
      <c r="W50" s="334" t="str">
        <f aca="false">IF((E50="f"),G50," ")</f>
        <v> </v>
      </c>
    </row>
    <row r="51" customFormat="false" ht="12.75" hidden="false" customHeight="false" outlineLevel="0" collapsed="false">
      <c r="A51" s="355"/>
      <c r="H51" s="338" t="str">
        <f aca="false">IF((G51&lt;&gt;0),IF((D51&gt;0)," ",G51)," ")</f>
        <v> </v>
      </c>
      <c r="I51" s="367" t="str">
        <f aca="false">IF((G51&lt;&gt;0),IF((D51&gt;0)," ",(I$1-A51))," ")</f>
        <v> </v>
      </c>
      <c r="J51" s="334" t="str">
        <f aca="false">IF((E51="s"),G51," ")</f>
        <v> </v>
      </c>
      <c r="K51" s="334" t="str">
        <f aca="false">IF((E51="d"),G51," ")</f>
        <v> </v>
      </c>
      <c r="L51" s="334" t="str">
        <f aca="false">IF((E51="e"),G51," ")</f>
        <v> </v>
      </c>
      <c r="M51" s="334" t="str">
        <f aca="false">IF((E51="p"),G51," ")</f>
        <v> </v>
      </c>
      <c r="N51" s="334" t="str">
        <f aca="false">IF((E51="r"),G51," ")</f>
        <v> </v>
      </c>
      <c r="O51" s="334" t="str">
        <f aca="false">IF((E51="g"),G51," ")</f>
        <v> </v>
      </c>
      <c r="P51" s="334" t="str">
        <f aca="false">IF((E51="m"),G51," ")</f>
        <v> </v>
      </c>
      <c r="Q51" s="334" t="str">
        <f aca="false">IF((E51="t"),G51," ")</f>
        <v> </v>
      </c>
      <c r="R51" s="334" t="str">
        <f aca="false">IF((E51="a"),G51," ")</f>
        <v> </v>
      </c>
      <c r="S51" s="334" t="str">
        <f aca="false">IF((E51="l"),G51," ")</f>
        <v> </v>
      </c>
      <c r="T51" s="334" t="str">
        <f aca="false">IF((E51="b"),G51," ")</f>
        <v> </v>
      </c>
      <c r="U51" s="334" t="str">
        <f aca="false">IF((E51="i"),G51," ")</f>
        <v> </v>
      </c>
      <c r="V51" s="334" t="str">
        <f aca="false">IF((E51="o"),G51," ")</f>
        <v> </v>
      </c>
      <c r="W51" s="334" t="str">
        <f aca="false">IF((E51="f"),G51," ")</f>
        <v> </v>
      </c>
    </row>
    <row r="52" customFormat="false" ht="12.75" hidden="false" customHeight="false" outlineLevel="0" collapsed="false">
      <c r="A52" s="355"/>
      <c r="H52" s="338" t="str">
        <f aca="false">IF((G52&lt;&gt;0),IF((D52&gt;0)," ",G52)," ")</f>
        <v> </v>
      </c>
      <c r="I52" s="367" t="str">
        <f aca="false">IF((G52&lt;&gt;0),IF((D52&gt;0)," ",(I$1-A52))," ")</f>
        <v> </v>
      </c>
      <c r="J52" s="334" t="str">
        <f aca="false">IF((E52="s"),G52," ")</f>
        <v> </v>
      </c>
      <c r="K52" s="334" t="str">
        <f aca="false">IF((E52="d"),G52," ")</f>
        <v> </v>
      </c>
      <c r="L52" s="334" t="str">
        <f aca="false">IF((E52="e"),G52," ")</f>
        <v> </v>
      </c>
      <c r="M52" s="334" t="str">
        <f aca="false">IF((E52="p"),G52," ")</f>
        <v> </v>
      </c>
      <c r="N52" s="334" t="str">
        <f aca="false">IF((E52="r"),G52," ")</f>
        <v> </v>
      </c>
      <c r="O52" s="334" t="str">
        <f aca="false">IF((E52="g"),G52," ")</f>
        <v> </v>
      </c>
      <c r="P52" s="334" t="str">
        <f aca="false">IF((E52="m"),G52," ")</f>
        <v> </v>
      </c>
      <c r="Q52" s="334" t="str">
        <f aca="false">IF((E52="t"),G52," ")</f>
        <v> </v>
      </c>
      <c r="R52" s="334" t="str">
        <f aca="false">IF((E52="a"),G52," ")</f>
        <v> </v>
      </c>
      <c r="S52" s="334" t="str">
        <f aca="false">IF((E52="l"),G52," ")</f>
        <v> </v>
      </c>
      <c r="T52" s="334" t="str">
        <f aca="false">IF((E52="b"),G52," ")</f>
        <v> </v>
      </c>
      <c r="U52" s="334" t="str">
        <f aca="false">IF((E52="i"),G52," ")</f>
        <v> </v>
      </c>
      <c r="V52" s="334" t="str">
        <f aca="false">IF((E52="o"),G52," ")</f>
        <v> </v>
      </c>
      <c r="W52" s="334" t="str">
        <f aca="false">IF((E52="f"),G52," ")</f>
        <v> </v>
      </c>
    </row>
    <row r="53" customFormat="false" ht="12.75" hidden="false" customHeight="false" outlineLevel="0" collapsed="false">
      <c r="A53" s="355"/>
      <c r="H53" s="338" t="str">
        <f aca="false">IF((G53&lt;&gt;0),IF((D53&gt;0)," ",G53)," ")</f>
        <v> </v>
      </c>
      <c r="I53" s="367" t="str">
        <f aca="false">IF((G53&lt;&gt;0),IF((D53&gt;0)," ",(I$1-A53))," ")</f>
        <v> </v>
      </c>
      <c r="J53" s="334" t="str">
        <f aca="false">IF((E53="s"),G53," ")</f>
        <v> </v>
      </c>
      <c r="K53" s="334" t="str">
        <f aca="false">IF((E53="d"),G53," ")</f>
        <v> </v>
      </c>
      <c r="L53" s="334" t="str">
        <f aca="false">IF((E53="e"),G53," ")</f>
        <v> </v>
      </c>
      <c r="M53" s="334" t="str">
        <f aca="false">IF((E53="p"),G53," ")</f>
        <v> </v>
      </c>
      <c r="N53" s="334" t="str">
        <f aca="false">IF((E53="r"),G53," ")</f>
        <v> </v>
      </c>
      <c r="O53" s="334" t="str">
        <f aca="false">IF((E53="g"),G53," ")</f>
        <v> </v>
      </c>
      <c r="P53" s="334" t="str">
        <f aca="false">IF((E53="m"),G53," ")</f>
        <v> </v>
      </c>
      <c r="Q53" s="334" t="str">
        <f aca="false">IF((E53="t"),G53," ")</f>
        <v> </v>
      </c>
      <c r="R53" s="334" t="str">
        <f aca="false">IF((E53="a"),G53," ")</f>
        <v> </v>
      </c>
      <c r="S53" s="334" t="str">
        <f aca="false">IF((E53="l"),G53," ")</f>
        <v> </v>
      </c>
      <c r="T53" s="334" t="str">
        <f aca="false">IF((E53="b"),G53," ")</f>
        <v> </v>
      </c>
      <c r="U53" s="334" t="str">
        <f aca="false">IF((E53="i"),G53," ")</f>
        <v> </v>
      </c>
      <c r="V53" s="334" t="str">
        <f aca="false">IF((E53="o"),G53," ")</f>
        <v> </v>
      </c>
      <c r="W53" s="334" t="str">
        <f aca="false">IF((E53="f"),G53," ")</f>
        <v> </v>
      </c>
    </row>
    <row r="54" customFormat="false" ht="12.75" hidden="false" customHeight="false" outlineLevel="0" collapsed="false">
      <c r="A54" s="355"/>
      <c r="H54" s="338" t="str">
        <f aca="false">IF((G54&lt;&gt;0),IF((D54&gt;0)," ",G54)," ")</f>
        <v> </v>
      </c>
      <c r="I54" s="367" t="str">
        <f aca="false">IF((G54&lt;&gt;0),IF((D54&gt;0)," ",(I$1-A54))," ")</f>
        <v> </v>
      </c>
      <c r="J54" s="334" t="str">
        <f aca="false">IF((E54="s"),G54," ")</f>
        <v> </v>
      </c>
      <c r="K54" s="334" t="str">
        <f aca="false">IF((E54="d"),G54," ")</f>
        <v> </v>
      </c>
      <c r="L54" s="334" t="str">
        <f aca="false">IF((E54="e"),G54," ")</f>
        <v> </v>
      </c>
      <c r="M54" s="334" t="str">
        <f aca="false">IF((E54="p"),G54," ")</f>
        <v> </v>
      </c>
      <c r="N54" s="334" t="str">
        <f aca="false">IF((E54="r"),G54," ")</f>
        <v> </v>
      </c>
      <c r="O54" s="334" t="str">
        <f aca="false">IF((E54="g"),G54," ")</f>
        <v> </v>
      </c>
      <c r="P54" s="334" t="str">
        <f aca="false">IF((E54="m"),G54," ")</f>
        <v> </v>
      </c>
      <c r="Q54" s="334" t="str">
        <f aca="false">IF((E54="t"),G54," ")</f>
        <v> </v>
      </c>
      <c r="R54" s="334" t="str">
        <f aca="false">IF((E54="a"),G54," ")</f>
        <v> </v>
      </c>
      <c r="S54" s="334" t="str">
        <f aca="false">IF((E54="l"),G54," ")</f>
        <v> </v>
      </c>
      <c r="T54" s="334" t="str">
        <f aca="false">IF((E54="b"),G54," ")</f>
        <v> </v>
      </c>
      <c r="U54" s="334" t="str">
        <f aca="false">IF((E54="i"),G54," ")</f>
        <v> </v>
      </c>
      <c r="V54" s="334" t="str">
        <f aca="false">IF((E54="o"),G54," ")</f>
        <v> </v>
      </c>
      <c r="W54" s="334" t="str">
        <f aca="false">IF((E54="f"),G54," ")</f>
        <v> </v>
      </c>
    </row>
    <row r="55" customFormat="false" ht="12.75" hidden="false" customHeight="false" outlineLevel="0" collapsed="false">
      <c r="A55" s="355"/>
      <c r="H55" s="338" t="str">
        <f aca="false">IF((G55&lt;&gt;0),IF((D55&gt;0)," ",G55)," ")</f>
        <v> </v>
      </c>
      <c r="I55" s="367" t="str">
        <f aca="false">IF((G55&lt;&gt;0),IF((D55&gt;0)," ",(I$1-A55))," ")</f>
        <v> </v>
      </c>
      <c r="J55" s="334" t="str">
        <f aca="false">IF((E55="s"),G55," ")</f>
        <v> </v>
      </c>
      <c r="K55" s="334" t="str">
        <f aca="false">IF((E55="d"),G55," ")</f>
        <v> </v>
      </c>
      <c r="L55" s="334" t="str">
        <f aca="false">IF((E55="e"),G55," ")</f>
        <v> </v>
      </c>
      <c r="M55" s="334" t="str">
        <f aca="false">IF((E55="p"),G55," ")</f>
        <v> </v>
      </c>
      <c r="N55" s="334" t="str">
        <f aca="false">IF((E55="r"),G55," ")</f>
        <v> </v>
      </c>
      <c r="O55" s="334" t="str">
        <f aca="false">IF((E55="g"),G55," ")</f>
        <v> </v>
      </c>
      <c r="P55" s="334" t="str">
        <f aca="false">IF((E55="m"),G55," ")</f>
        <v> </v>
      </c>
      <c r="Q55" s="334" t="str">
        <f aca="false">IF((E55="t"),G55," ")</f>
        <v> </v>
      </c>
      <c r="R55" s="334" t="str">
        <f aca="false">IF((E55="a"),G55," ")</f>
        <v> </v>
      </c>
      <c r="S55" s="334" t="str">
        <f aca="false">IF((E55="l"),G55," ")</f>
        <v> </v>
      </c>
      <c r="T55" s="334" t="str">
        <f aca="false">IF((E55="b"),G55," ")</f>
        <v> </v>
      </c>
      <c r="U55" s="334" t="str">
        <f aca="false">IF((E55="i"),G55," ")</f>
        <v> </v>
      </c>
      <c r="V55" s="334" t="str">
        <f aca="false">IF((E55="o"),G55," ")</f>
        <v> </v>
      </c>
      <c r="W55" s="334" t="str">
        <f aca="false">IF((E55="f"),G55," ")</f>
        <v> </v>
      </c>
    </row>
    <row r="56" customFormat="false" ht="12.75" hidden="false" customHeight="false" outlineLevel="0" collapsed="false">
      <c r="A56" s="355"/>
      <c r="H56" s="338" t="str">
        <f aca="false">IF((G56&lt;&gt;0),IF((D56&gt;0)," ",G56)," ")</f>
        <v> </v>
      </c>
      <c r="I56" s="367" t="str">
        <f aca="false">IF((G56&lt;&gt;0),IF((D56&gt;0)," ",(I$1-A56))," ")</f>
        <v> </v>
      </c>
      <c r="J56" s="334" t="str">
        <f aca="false">IF((E56="s"),G56," ")</f>
        <v> </v>
      </c>
      <c r="K56" s="334" t="str">
        <f aca="false">IF((E56="d"),G56," ")</f>
        <v> </v>
      </c>
      <c r="L56" s="334" t="str">
        <f aca="false">IF((E56="e"),G56," ")</f>
        <v> </v>
      </c>
      <c r="M56" s="334" t="str">
        <f aca="false">IF((E56="p"),G56," ")</f>
        <v> </v>
      </c>
      <c r="N56" s="334" t="str">
        <f aca="false">IF((E56="r"),G56," ")</f>
        <v> </v>
      </c>
      <c r="O56" s="334" t="str">
        <f aca="false">IF((E56="g"),G56," ")</f>
        <v> </v>
      </c>
      <c r="P56" s="334" t="str">
        <f aca="false">IF((E56="m"),G56," ")</f>
        <v> </v>
      </c>
      <c r="Q56" s="334" t="str">
        <f aca="false">IF((E56="t"),G56," ")</f>
        <v> </v>
      </c>
      <c r="R56" s="334" t="str">
        <f aca="false">IF((E56="a"),G56," ")</f>
        <v> </v>
      </c>
      <c r="S56" s="334" t="str">
        <f aca="false">IF((E56="l"),G56," ")</f>
        <v> </v>
      </c>
      <c r="T56" s="334" t="str">
        <f aca="false">IF((E56="b"),G56," ")</f>
        <v> </v>
      </c>
      <c r="U56" s="334" t="str">
        <f aca="false">IF((E56="i"),G56," ")</f>
        <v> </v>
      </c>
      <c r="V56" s="334" t="str">
        <f aca="false">IF((E56="o"),G56," ")</f>
        <v> </v>
      </c>
      <c r="W56" s="334" t="str">
        <f aca="false">IF((E56="f"),G56," ")</f>
        <v> </v>
      </c>
    </row>
    <row r="57" customFormat="false" ht="12.75" hidden="false" customHeight="false" outlineLevel="0" collapsed="false">
      <c r="A57" s="355"/>
      <c r="H57" s="338" t="str">
        <f aca="false">IF((G57&lt;&gt;0),IF((D57&gt;0)," ",G57)," ")</f>
        <v> </v>
      </c>
      <c r="I57" s="367" t="str">
        <f aca="false">IF((G57&lt;&gt;0),IF((D57&gt;0)," ",(I$1-A57))," ")</f>
        <v> </v>
      </c>
      <c r="J57" s="334" t="str">
        <f aca="false">IF((E57="s"),G57," ")</f>
        <v> </v>
      </c>
      <c r="K57" s="334" t="str">
        <f aca="false">IF((E57="d"),G57," ")</f>
        <v> </v>
      </c>
      <c r="L57" s="334" t="str">
        <f aca="false">IF((E57="e"),G57," ")</f>
        <v> </v>
      </c>
      <c r="M57" s="334" t="str">
        <f aca="false">IF((E57="p"),G57," ")</f>
        <v> </v>
      </c>
      <c r="N57" s="334" t="str">
        <f aca="false">IF((E57="r"),G57," ")</f>
        <v> </v>
      </c>
      <c r="O57" s="334" t="str">
        <f aca="false">IF((E57="g"),G57," ")</f>
        <v> </v>
      </c>
      <c r="P57" s="334" t="str">
        <f aca="false">IF((E57="m"),G57," ")</f>
        <v> </v>
      </c>
      <c r="Q57" s="334" t="str">
        <f aca="false">IF((E57="t"),G57," ")</f>
        <v> </v>
      </c>
      <c r="R57" s="334" t="str">
        <f aca="false">IF((E57="a"),G57," ")</f>
        <v> </v>
      </c>
      <c r="S57" s="334" t="str">
        <f aca="false">IF((E57="l"),G57," ")</f>
        <v> </v>
      </c>
      <c r="T57" s="334" t="str">
        <f aca="false">IF((E57="b"),G57," ")</f>
        <v> </v>
      </c>
      <c r="U57" s="334" t="str">
        <f aca="false">IF((E57="i"),G57," ")</f>
        <v> </v>
      </c>
      <c r="V57" s="334" t="str">
        <f aca="false">IF((E57="o"),G57," ")</f>
        <v> </v>
      </c>
      <c r="W57" s="334" t="str">
        <f aca="false">IF((E57="f"),G57," ")</f>
        <v> </v>
      </c>
    </row>
    <row r="58" customFormat="false" ht="12.75" hidden="false" customHeight="false" outlineLevel="0" collapsed="false">
      <c r="A58" s="355"/>
      <c r="H58" s="338" t="str">
        <f aca="false">IF((G58&lt;&gt;0),IF((D58&gt;0)," ",G58)," ")</f>
        <v> </v>
      </c>
      <c r="I58" s="367" t="str">
        <f aca="false">IF((G58&lt;&gt;0),IF((D58&gt;0)," ",(I$1-A58))," ")</f>
        <v> </v>
      </c>
      <c r="J58" s="334" t="str">
        <f aca="false">IF((E58="s"),G58," ")</f>
        <v> </v>
      </c>
      <c r="K58" s="334" t="str">
        <f aca="false">IF((E58="d"),G58," ")</f>
        <v> </v>
      </c>
      <c r="L58" s="334" t="str">
        <f aca="false">IF((E58="e"),G58," ")</f>
        <v> </v>
      </c>
      <c r="M58" s="334" t="str">
        <f aca="false">IF((E58="p"),G58," ")</f>
        <v> </v>
      </c>
      <c r="N58" s="334" t="str">
        <f aca="false">IF((E58="r"),G58," ")</f>
        <v> </v>
      </c>
      <c r="O58" s="334" t="str">
        <f aca="false">IF((E58="g"),G58," ")</f>
        <v> </v>
      </c>
      <c r="P58" s="334" t="str">
        <f aca="false">IF((E58="m"),G58," ")</f>
        <v> </v>
      </c>
      <c r="Q58" s="334" t="str">
        <f aca="false">IF((E58="t"),G58," ")</f>
        <v> </v>
      </c>
      <c r="R58" s="334" t="str">
        <f aca="false">IF((E58="a"),G58," ")</f>
        <v> </v>
      </c>
      <c r="S58" s="334" t="str">
        <f aca="false">IF((E58="l"),G58," ")</f>
        <v> </v>
      </c>
      <c r="T58" s="334" t="str">
        <f aca="false">IF((E58="b"),G58," ")</f>
        <v> </v>
      </c>
      <c r="U58" s="334" t="str">
        <f aca="false">IF((E58="i"),G58," ")</f>
        <v> </v>
      </c>
      <c r="V58" s="334" t="str">
        <f aca="false">IF((E58="o"),G58," ")</f>
        <v> </v>
      </c>
      <c r="W58" s="334" t="str">
        <f aca="false">IF((E58="f"),G58," ")</f>
        <v> </v>
      </c>
    </row>
    <row r="59" customFormat="false" ht="12.75" hidden="false" customHeight="false" outlineLevel="0" collapsed="false">
      <c r="A59" s="355"/>
      <c r="H59" s="338" t="str">
        <f aca="false">IF((G59&lt;&gt;0),IF((D59&gt;0)," ",G59)," ")</f>
        <v> </v>
      </c>
      <c r="I59" s="367" t="str">
        <f aca="false">IF((G59&lt;&gt;0),IF((D59&gt;0)," ",(I$1-A59))," ")</f>
        <v> </v>
      </c>
      <c r="J59" s="334" t="str">
        <f aca="false">IF((E59="s"),G59," ")</f>
        <v> </v>
      </c>
      <c r="K59" s="334" t="str">
        <f aca="false">IF((E59="d"),G59," ")</f>
        <v> </v>
      </c>
      <c r="L59" s="334" t="str">
        <f aca="false">IF((E59="e"),G59," ")</f>
        <v> </v>
      </c>
      <c r="M59" s="334" t="str">
        <f aca="false">IF((E59="p"),G59," ")</f>
        <v> </v>
      </c>
      <c r="N59" s="334" t="str">
        <f aca="false">IF((E59="r"),G59," ")</f>
        <v> </v>
      </c>
      <c r="O59" s="334" t="str">
        <f aca="false">IF((E59="g"),G59," ")</f>
        <v> </v>
      </c>
      <c r="P59" s="334" t="str">
        <f aca="false">IF((E59="m"),G59," ")</f>
        <v> </v>
      </c>
      <c r="Q59" s="334" t="str">
        <f aca="false">IF((E59="t"),G59," ")</f>
        <v> </v>
      </c>
      <c r="R59" s="334" t="str">
        <f aca="false">IF((E59="a"),G59," ")</f>
        <v> </v>
      </c>
      <c r="S59" s="334" t="str">
        <f aca="false">IF((E59="l"),G59," ")</f>
        <v> </v>
      </c>
      <c r="T59" s="334" t="str">
        <f aca="false">IF((E59="b"),G59," ")</f>
        <v> </v>
      </c>
      <c r="U59" s="334" t="str">
        <f aca="false">IF((E59="i"),G59," ")</f>
        <v> </v>
      </c>
      <c r="V59" s="334" t="str">
        <f aca="false">IF((E59="o"),G59," ")</f>
        <v> </v>
      </c>
      <c r="W59" s="334" t="str">
        <f aca="false">IF((E59="f"),G59," ")</f>
        <v> </v>
      </c>
    </row>
    <row r="60" customFormat="false" ht="12.75" hidden="false" customHeight="false" outlineLevel="0" collapsed="false">
      <c r="A60" s="355"/>
      <c r="H60" s="338" t="str">
        <f aca="false">IF((G60&lt;&gt;0),IF((D60&gt;0)," ",G60)," ")</f>
        <v> </v>
      </c>
      <c r="I60" s="367" t="str">
        <f aca="false">IF((G60&lt;&gt;0),IF((D60&gt;0)," ",(I$1-A60))," ")</f>
        <v> </v>
      </c>
      <c r="J60" s="334" t="str">
        <f aca="false">IF((E60="s"),G60," ")</f>
        <v> </v>
      </c>
      <c r="K60" s="334" t="str">
        <f aca="false">IF((E60="d"),G60," ")</f>
        <v> </v>
      </c>
      <c r="L60" s="334" t="str">
        <f aca="false">IF((E60="e"),G60," ")</f>
        <v> </v>
      </c>
      <c r="M60" s="334" t="str">
        <f aca="false">IF((E60="p"),G60," ")</f>
        <v> </v>
      </c>
      <c r="N60" s="334" t="str">
        <f aca="false">IF((E60="r"),G60," ")</f>
        <v> </v>
      </c>
      <c r="O60" s="334" t="str">
        <f aca="false">IF((E60="g"),G60," ")</f>
        <v> </v>
      </c>
      <c r="P60" s="334" t="str">
        <f aca="false">IF((E60="m"),G60," ")</f>
        <v> </v>
      </c>
      <c r="Q60" s="334" t="str">
        <f aca="false">IF((E60="t"),G60," ")</f>
        <v> </v>
      </c>
      <c r="R60" s="334" t="str">
        <f aca="false">IF((E60="a"),G60," ")</f>
        <v> </v>
      </c>
      <c r="S60" s="334" t="str">
        <f aca="false">IF((E60="l"),G60," ")</f>
        <v> </v>
      </c>
      <c r="T60" s="334" t="str">
        <f aca="false">IF((E60="b"),G60," ")</f>
        <v> </v>
      </c>
      <c r="U60" s="334" t="str">
        <f aca="false">IF((E60="i"),G60," ")</f>
        <v> </v>
      </c>
      <c r="V60" s="334" t="str">
        <f aca="false">IF((E60="o"),G60," ")</f>
        <v> </v>
      </c>
      <c r="W60" s="334" t="str">
        <f aca="false">IF((E60="f"),G60," ")</f>
        <v> </v>
      </c>
    </row>
    <row r="61" customFormat="false" ht="12.75" hidden="false" customHeight="false" outlineLevel="0" collapsed="false">
      <c r="A61" s="355"/>
      <c r="H61" s="338" t="str">
        <f aca="false">IF((G61&lt;&gt;0),IF((D61&gt;0)," ",G61)," ")</f>
        <v> </v>
      </c>
      <c r="I61" s="367" t="str">
        <f aca="false">IF((G61&lt;&gt;0),IF((D61&gt;0)," ",(I$1-A61))," ")</f>
        <v> </v>
      </c>
      <c r="J61" s="334" t="str">
        <f aca="false">IF((E61="s"),G61," ")</f>
        <v> </v>
      </c>
      <c r="K61" s="334" t="str">
        <f aca="false">IF((E61="d"),G61," ")</f>
        <v> </v>
      </c>
      <c r="L61" s="334" t="str">
        <f aca="false">IF((E61="e"),G61," ")</f>
        <v> </v>
      </c>
      <c r="M61" s="334" t="str">
        <f aca="false">IF((E61="p"),G61," ")</f>
        <v> </v>
      </c>
      <c r="N61" s="334" t="str">
        <f aca="false">IF((E61="r"),G61," ")</f>
        <v> </v>
      </c>
      <c r="O61" s="334" t="str">
        <f aca="false">IF((E61="g"),G61," ")</f>
        <v> </v>
      </c>
      <c r="P61" s="334" t="str">
        <f aca="false">IF((E61="m"),G61," ")</f>
        <v> </v>
      </c>
      <c r="Q61" s="334" t="str">
        <f aca="false">IF((E61="t"),G61," ")</f>
        <v> </v>
      </c>
      <c r="R61" s="334" t="str">
        <f aca="false">IF((E61="a"),G61," ")</f>
        <v> </v>
      </c>
      <c r="S61" s="334" t="str">
        <f aca="false">IF((E61="l"),G61," ")</f>
        <v> </v>
      </c>
      <c r="T61" s="334" t="str">
        <f aca="false">IF((E61="b"),G61," ")</f>
        <v> </v>
      </c>
      <c r="U61" s="334" t="str">
        <f aca="false">IF((E61="i"),G61," ")</f>
        <v> </v>
      </c>
      <c r="V61" s="334" t="str">
        <f aca="false">IF((E61="o"),G61," ")</f>
        <v> </v>
      </c>
      <c r="W61" s="334" t="str">
        <f aca="false">IF((E61="f"),G61," ")</f>
        <v> </v>
      </c>
    </row>
    <row r="62" customFormat="false" ht="12.75" hidden="false" customHeight="false" outlineLevel="0" collapsed="false">
      <c r="A62" s="355"/>
      <c r="H62" s="338" t="str">
        <f aca="false">IF((G62&lt;&gt;0),IF((D62&gt;0)," ",G62)," ")</f>
        <v> </v>
      </c>
      <c r="I62" s="367" t="str">
        <f aca="false">IF((G62&lt;&gt;0),IF((D62&gt;0)," ",(I$1-A62))," ")</f>
        <v> </v>
      </c>
      <c r="J62" s="334" t="str">
        <f aca="false">IF((E62="s"),G62," ")</f>
        <v> </v>
      </c>
      <c r="K62" s="334" t="str">
        <f aca="false">IF((E62="d"),G62," ")</f>
        <v> </v>
      </c>
      <c r="L62" s="334" t="str">
        <f aca="false">IF((E62="e"),G62," ")</f>
        <v> </v>
      </c>
      <c r="M62" s="334" t="str">
        <f aca="false">IF((E62="p"),G62," ")</f>
        <v> </v>
      </c>
      <c r="N62" s="334" t="str">
        <f aca="false">IF((E62="r"),G62," ")</f>
        <v> </v>
      </c>
      <c r="O62" s="334" t="str">
        <f aca="false">IF((E62="g"),G62," ")</f>
        <v> </v>
      </c>
      <c r="P62" s="334" t="str">
        <f aca="false">IF((E62="m"),G62," ")</f>
        <v> </v>
      </c>
      <c r="Q62" s="334" t="str">
        <f aca="false">IF((E62="t"),G62," ")</f>
        <v> </v>
      </c>
      <c r="R62" s="334" t="str">
        <f aca="false">IF((E62="a"),G62," ")</f>
        <v> </v>
      </c>
      <c r="S62" s="334" t="str">
        <f aca="false">IF((E62="l"),G62," ")</f>
        <v> </v>
      </c>
      <c r="T62" s="334" t="str">
        <f aca="false">IF((E62="b"),G62," ")</f>
        <v> </v>
      </c>
      <c r="U62" s="334" t="str">
        <f aca="false">IF((E62="i"),G62," ")</f>
        <v> </v>
      </c>
      <c r="V62" s="334" t="str">
        <f aca="false">IF((E62="o"),G62," ")</f>
        <v> </v>
      </c>
      <c r="W62" s="334" t="str">
        <f aca="false">IF((E62="f"),G62," ")</f>
        <v> </v>
      </c>
    </row>
    <row r="63" customFormat="false" ht="12.75" hidden="false" customHeight="false" outlineLevel="0" collapsed="false">
      <c r="A63" s="355"/>
      <c r="H63" s="338" t="str">
        <f aca="false">IF((G63&lt;&gt;0),IF((D63&gt;0)," ",G63)," ")</f>
        <v> </v>
      </c>
      <c r="I63" s="367" t="str">
        <f aca="false">IF((G63&lt;&gt;0),IF((D63&gt;0)," ",(I$1-A63))," ")</f>
        <v> </v>
      </c>
      <c r="J63" s="334" t="str">
        <f aca="false">IF((E63="s"),G63," ")</f>
        <v> </v>
      </c>
      <c r="K63" s="334" t="str">
        <f aca="false">IF((E63="d"),G63," ")</f>
        <v> </v>
      </c>
      <c r="L63" s="334" t="str">
        <f aca="false">IF((E63="e"),G63," ")</f>
        <v> </v>
      </c>
      <c r="M63" s="334" t="str">
        <f aca="false">IF((E63="p"),G63," ")</f>
        <v> </v>
      </c>
      <c r="N63" s="334" t="str">
        <f aca="false">IF((E63="r"),G63," ")</f>
        <v> </v>
      </c>
      <c r="O63" s="334" t="str">
        <f aca="false">IF((E63="g"),G63," ")</f>
        <v> </v>
      </c>
      <c r="P63" s="334" t="str">
        <f aca="false">IF((E63="m"),G63," ")</f>
        <v> </v>
      </c>
      <c r="Q63" s="334" t="str">
        <f aca="false">IF((E63="t"),G63," ")</f>
        <v> </v>
      </c>
      <c r="R63" s="334" t="str">
        <f aca="false">IF((E63="a"),G63," ")</f>
        <v> </v>
      </c>
      <c r="S63" s="334" t="str">
        <f aca="false">IF((E63="l"),G63," ")</f>
        <v> </v>
      </c>
      <c r="T63" s="334" t="str">
        <f aca="false">IF((E63="b"),G63," ")</f>
        <v> </v>
      </c>
      <c r="U63" s="334" t="str">
        <f aca="false">IF((E63="i"),G63," ")</f>
        <v> </v>
      </c>
      <c r="V63" s="334" t="str">
        <f aca="false">IF((E63="o"),G63," ")</f>
        <v> </v>
      </c>
      <c r="W63" s="334" t="str">
        <f aca="false">IF((E63="f"),G63," ")</f>
        <v> </v>
      </c>
    </row>
    <row r="64" customFormat="false" ht="12.75" hidden="false" customHeight="false" outlineLevel="0" collapsed="false">
      <c r="A64" s="355"/>
      <c r="H64" s="338" t="str">
        <f aca="false">IF((G64&lt;&gt;0),IF((D64&gt;0)," ",G64)," ")</f>
        <v> </v>
      </c>
      <c r="I64" s="367" t="str">
        <f aca="false">IF((G64&lt;&gt;0),IF((D64&gt;0)," ",(I$1-A64))," ")</f>
        <v> </v>
      </c>
      <c r="J64" s="334" t="str">
        <f aca="false">IF((E64="s"),G64," ")</f>
        <v> </v>
      </c>
      <c r="K64" s="334" t="str">
        <f aca="false">IF((E64="d"),G64," ")</f>
        <v> </v>
      </c>
      <c r="L64" s="334" t="str">
        <f aca="false">IF((E64="e"),G64," ")</f>
        <v> </v>
      </c>
      <c r="M64" s="334" t="str">
        <f aca="false">IF((E64="p"),G64," ")</f>
        <v> </v>
      </c>
      <c r="N64" s="334" t="str">
        <f aca="false">IF((E64="r"),G64," ")</f>
        <v> </v>
      </c>
      <c r="O64" s="334" t="str">
        <f aca="false">IF((E64="g"),G64," ")</f>
        <v> </v>
      </c>
      <c r="P64" s="334" t="str">
        <f aca="false">IF((E64="m"),G64," ")</f>
        <v> </v>
      </c>
      <c r="Q64" s="334" t="str">
        <f aca="false">IF((E64="t"),G64," ")</f>
        <v> </v>
      </c>
      <c r="R64" s="334" t="str">
        <f aca="false">IF((E64="a"),G64," ")</f>
        <v> </v>
      </c>
      <c r="S64" s="334" t="str">
        <f aca="false">IF((E64="l"),G64," ")</f>
        <v> </v>
      </c>
      <c r="T64" s="334" t="str">
        <f aca="false">IF((E64="b"),G64," ")</f>
        <v> </v>
      </c>
      <c r="U64" s="334" t="str">
        <f aca="false">IF((E64="i"),G64," ")</f>
        <v> </v>
      </c>
      <c r="V64" s="334" t="str">
        <f aca="false">IF((E64="o"),G64," ")</f>
        <v> </v>
      </c>
      <c r="W64" s="334" t="str">
        <f aca="false">IF((E64="f"),G64," ")</f>
        <v> </v>
      </c>
    </row>
    <row r="65" customFormat="false" ht="12.75" hidden="false" customHeight="false" outlineLevel="0" collapsed="false">
      <c r="A65" s="355"/>
      <c r="H65" s="338" t="str">
        <f aca="false">IF((G65&lt;&gt;0),IF((D65&gt;0)," ",G65)," ")</f>
        <v> </v>
      </c>
      <c r="I65" s="367" t="str">
        <f aca="false">IF((G65&lt;&gt;0),IF((D65&gt;0)," ",(I$1-A65))," ")</f>
        <v> </v>
      </c>
      <c r="J65" s="334" t="str">
        <f aca="false">IF((E65="s"),G65," ")</f>
        <v> </v>
      </c>
      <c r="K65" s="334" t="str">
        <f aca="false">IF((E65="d"),G65," ")</f>
        <v> </v>
      </c>
      <c r="L65" s="334" t="str">
        <f aca="false">IF((E65="e"),G65," ")</f>
        <v> </v>
      </c>
      <c r="M65" s="334" t="str">
        <f aca="false">IF((E65="p"),G65," ")</f>
        <v> </v>
      </c>
      <c r="N65" s="334" t="str">
        <f aca="false">IF((E65="r"),G65," ")</f>
        <v> </v>
      </c>
      <c r="O65" s="334" t="str">
        <f aca="false">IF((E65="g"),G65," ")</f>
        <v> </v>
      </c>
      <c r="P65" s="334" t="str">
        <f aca="false">IF((E65="m"),G65," ")</f>
        <v> </v>
      </c>
      <c r="Q65" s="334" t="str">
        <f aca="false">IF((E65="t"),G65," ")</f>
        <v> </v>
      </c>
      <c r="R65" s="334" t="str">
        <f aca="false">IF((E65="a"),G65," ")</f>
        <v> </v>
      </c>
      <c r="S65" s="334" t="str">
        <f aca="false">IF((E65="l"),G65," ")</f>
        <v> </v>
      </c>
      <c r="T65" s="334" t="str">
        <f aca="false">IF((E65="b"),G65," ")</f>
        <v> </v>
      </c>
      <c r="U65" s="334" t="str">
        <f aca="false">IF((E65="i"),G65," ")</f>
        <v> </v>
      </c>
      <c r="V65" s="334" t="str">
        <f aca="false">IF((E65="o"),G65," ")</f>
        <v> </v>
      </c>
      <c r="W65" s="334" t="str">
        <f aca="false">IF((E65="f"),G65," ")</f>
        <v> </v>
      </c>
    </row>
    <row r="66" customFormat="false" ht="12.75" hidden="false" customHeight="false" outlineLevel="0" collapsed="false">
      <c r="A66" s="355"/>
      <c r="H66" s="338" t="str">
        <f aca="false">IF((G66&lt;&gt;0),IF((D66&gt;0)," ",G66)," ")</f>
        <v> </v>
      </c>
      <c r="I66" s="367" t="str">
        <f aca="false">IF((G66&lt;&gt;0),IF((D66&gt;0)," ",(I$1-A66))," ")</f>
        <v> </v>
      </c>
      <c r="J66" s="334" t="str">
        <f aca="false">IF((E66="s"),G66," ")</f>
        <v> </v>
      </c>
      <c r="K66" s="334" t="str">
        <f aca="false">IF((E66="d"),G66," ")</f>
        <v> </v>
      </c>
      <c r="L66" s="334" t="str">
        <f aca="false">IF((E66="e"),G66," ")</f>
        <v> </v>
      </c>
      <c r="M66" s="334" t="str">
        <f aca="false">IF((E66="p"),G66," ")</f>
        <v> </v>
      </c>
      <c r="N66" s="334" t="str">
        <f aca="false">IF((E66="r"),G66," ")</f>
        <v> </v>
      </c>
      <c r="O66" s="334" t="str">
        <f aca="false">IF((E66="g"),G66," ")</f>
        <v> </v>
      </c>
      <c r="P66" s="334" t="str">
        <f aca="false">IF((E66="m"),G66," ")</f>
        <v> </v>
      </c>
      <c r="Q66" s="334" t="str">
        <f aca="false">IF((E66="t"),G66," ")</f>
        <v> </v>
      </c>
      <c r="R66" s="334" t="str">
        <f aca="false">IF((E66="a"),G66," ")</f>
        <v> </v>
      </c>
      <c r="S66" s="334" t="str">
        <f aca="false">IF((E66="l"),G66," ")</f>
        <v> </v>
      </c>
      <c r="T66" s="334" t="str">
        <f aca="false">IF((E66="b"),G66," ")</f>
        <v> </v>
      </c>
      <c r="U66" s="334" t="str">
        <f aca="false">IF((E66="i"),G66," ")</f>
        <v> </v>
      </c>
      <c r="V66" s="334" t="str">
        <f aca="false">IF((E66="o"),G66," ")</f>
        <v> </v>
      </c>
      <c r="W66" s="334" t="str">
        <f aca="false">IF((E66="f"),G66," ")</f>
        <v> </v>
      </c>
    </row>
    <row r="67" customFormat="false" ht="12.75" hidden="false" customHeight="false" outlineLevel="0" collapsed="false">
      <c r="A67" s="355"/>
      <c r="H67" s="338" t="str">
        <f aca="false">IF((G67&lt;&gt;0),IF((D67&gt;0)," ",G67)," ")</f>
        <v> </v>
      </c>
      <c r="I67" s="367" t="str">
        <f aca="false">IF((G67&lt;&gt;0),IF((D67&gt;0)," ",(I$1-A67))," ")</f>
        <v> </v>
      </c>
      <c r="J67" s="334" t="str">
        <f aca="false">IF((E67="s"),G67," ")</f>
        <v> </v>
      </c>
      <c r="K67" s="334" t="str">
        <f aca="false">IF((E67="d"),G67," ")</f>
        <v> </v>
      </c>
      <c r="L67" s="334" t="str">
        <f aca="false">IF((E67="e"),G67," ")</f>
        <v> </v>
      </c>
      <c r="M67" s="334" t="str">
        <f aca="false">IF((E67="p"),G67," ")</f>
        <v> </v>
      </c>
      <c r="N67" s="334" t="str">
        <f aca="false">IF((E67="r"),G67," ")</f>
        <v> </v>
      </c>
      <c r="O67" s="334" t="str">
        <f aca="false">IF((E67="g"),G67," ")</f>
        <v> </v>
      </c>
      <c r="P67" s="334" t="str">
        <f aca="false">IF((E67="m"),G67," ")</f>
        <v> </v>
      </c>
      <c r="Q67" s="334" t="str">
        <f aca="false">IF((E67="t"),G67," ")</f>
        <v> </v>
      </c>
      <c r="R67" s="334" t="str">
        <f aca="false">IF((E67="a"),G67," ")</f>
        <v> </v>
      </c>
      <c r="S67" s="334" t="str">
        <f aca="false">IF((E67="l"),G67," ")</f>
        <v> </v>
      </c>
      <c r="T67" s="334" t="str">
        <f aca="false">IF((E67="b"),G67," ")</f>
        <v> </v>
      </c>
      <c r="U67" s="334" t="str">
        <f aca="false">IF((E67="i"),G67," ")</f>
        <v> </v>
      </c>
      <c r="V67" s="334" t="str">
        <f aca="false">IF((E67="o"),G67," ")</f>
        <v> </v>
      </c>
      <c r="W67" s="334" t="str">
        <f aca="false">IF((E67="f"),G67," ")</f>
        <v> </v>
      </c>
    </row>
    <row r="68" customFormat="false" ht="12.75" hidden="false" customHeight="false" outlineLevel="0" collapsed="false">
      <c r="A68" s="355"/>
      <c r="H68" s="338" t="str">
        <f aca="false">IF((G68&lt;&gt;0),IF((D68&gt;0)," ",G68)," ")</f>
        <v> </v>
      </c>
      <c r="I68" s="367" t="str">
        <f aca="false">IF((G68&lt;&gt;0),IF((D68&gt;0)," ",(I$1-A68))," ")</f>
        <v> </v>
      </c>
      <c r="J68" s="334" t="str">
        <f aca="false">IF((E68="s"),G68," ")</f>
        <v> </v>
      </c>
      <c r="K68" s="334" t="str">
        <f aca="false">IF((E68="d"),G68," ")</f>
        <v> </v>
      </c>
      <c r="L68" s="334" t="str">
        <f aca="false">IF((E68="e"),G68," ")</f>
        <v> </v>
      </c>
      <c r="M68" s="334" t="str">
        <f aca="false">IF((E68="p"),G68," ")</f>
        <v> </v>
      </c>
      <c r="N68" s="334" t="str">
        <f aca="false">IF((E68="r"),G68," ")</f>
        <v> </v>
      </c>
      <c r="O68" s="334" t="str">
        <f aca="false">IF((E68="g"),G68," ")</f>
        <v> </v>
      </c>
      <c r="P68" s="334" t="str">
        <f aca="false">IF((E68="m"),G68," ")</f>
        <v> </v>
      </c>
      <c r="Q68" s="334" t="str">
        <f aca="false">IF((E68="t"),G68," ")</f>
        <v> </v>
      </c>
      <c r="R68" s="334" t="str">
        <f aca="false">IF((E68="a"),G68," ")</f>
        <v> </v>
      </c>
      <c r="S68" s="334" t="str">
        <f aca="false">IF((E68="l"),G68," ")</f>
        <v> </v>
      </c>
      <c r="T68" s="334" t="str">
        <f aca="false">IF((E68="b"),G68," ")</f>
        <v> </v>
      </c>
      <c r="U68" s="334" t="str">
        <f aca="false">IF((E68="i"),G68," ")</f>
        <v> </v>
      </c>
      <c r="V68" s="334" t="str">
        <f aca="false">IF((E68="o"),G68," ")</f>
        <v> </v>
      </c>
      <c r="W68" s="334" t="str">
        <f aca="false">IF((E68="f"),G68," ")</f>
        <v> </v>
      </c>
    </row>
    <row r="69" customFormat="false" ht="12.75" hidden="false" customHeight="false" outlineLevel="0" collapsed="false">
      <c r="A69" s="355"/>
      <c r="E69" s="365" t="str">
        <f aca="false">IF((G69&lt;&gt;0),"Enter Letter"," ")</f>
        <v> </v>
      </c>
      <c r="H69" s="338" t="str">
        <f aca="false">IF((G69&lt;&gt;0),IF((D69&gt;0)," ",G69)," ")</f>
        <v> </v>
      </c>
      <c r="I69" s="367" t="str">
        <f aca="false">IF((G69&lt;&gt;0),IF((D69&gt;0)," ",(I$1-A69))," ")</f>
        <v> </v>
      </c>
      <c r="J69" s="334" t="str">
        <f aca="false">IF((E69="s"),G69," ")</f>
        <v> </v>
      </c>
      <c r="K69" s="334" t="str">
        <f aca="false">IF((E69="d"),G69," ")</f>
        <v> </v>
      </c>
      <c r="L69" s="334" t="str">
        <f aca="false">IF((E69="e"),G69," ")</f>
        <v> </v>
      </c>
      <c r="M69" s="334" t="str">
        <f aca="false">IF((E69="p"),G69," ")</f>
        <v> </v>
      </c>
      <c r="N69" s="334" t="str">
        <f aca="false">IF((E69="r"),G69," ")</f>
        <v> </v>
      </c>
      <c r="O69" s="334" t="str">
        <f aca="false">IF((E69="g"),G69," ")</f>
        <v> </v>
      </c>
      <c r="P69" s="334" t="str">
        <f aca="false">IF((E69="m"),G69," ")</f>
        <v> </v>
      </c>
      <c r="Q69" s="334" t="str">
        <f aca="false">IF((E69="t"),G69," ")</f>
        <v> </v>
      </c>
      <c r="R69" s="334" t="str">
        <f aca="false">IF((E69="a"),G69," ")</f>
        <v> </v>
      </c>
      <c r="S69" s="334" t="str">
        <f aca="false">IF((E69="l"),G69," ")</f>
        <v> </v>
      </c>
      <c r="T69" s="334" t="str">
        <f aca="false">IF((E69="b"),G69," ")</f>
        <v> </v>
      </c>
      <c r="U69" s="334" t="str">
        <f aca="false">IF((E69="i"),G69," ")</f>
        <v> </v>
      </c>
      <c r="V69" s="334" t="str">
        <f aca="false">IF((E69="o"),G69," ")</f>
        <v> </v>
      </c>
      <c r="W69" s="334" t="str">
        <f aca="false">IF((E69="f"),G69," ")</f>
        <v> </v>
      </c>
    </row>
    <row r="70" customFormat="false" ht="12.75" hidden="false" customHeight="false" outlineLevel="0" collapsed="false">
      <c r="A70" s="355"/>
      <c r="E70" s="365" t="str">
        <f aca="false">IF((G70&lt;&gt;0),"Enter Letter"," ")</f>
        <v> </v>
      </c>
      <c r="H70" s="338" t="str">
        <f aca="false">IF((G70&lt;&gt;0),IF((D70&gt;0)," ",G70)," ")</f>
        <v> </v>
      </c>
      <c r="I70" s="367" t="str">
        <f aca="false">IF((G70&lt;&gt;0),IF((D70&gt;0)," ",(I$1-A70))," ")</f>
        <v> </v>
      </c>
      <c r="J70" s="334" t="str">
        <f aca="false">IF((E70="s"),G70," ")</f>
        <v> </v>
      </c>
      <c r="K70" s="334" t="str">
        <f aca="false">IF((E70="d"),G70," ")</f>
        <v> </v>
      </c>
      <c r="L70" s="334" t="str">
        <f aca="false">IF((E70="e"),G70," ")</f>
        <v> </v>
      </c>
      <c r="M70" s="334" t="str">
        <f aca="false">IF((E70="p"),G70," ")</f>
        <v> </v>
      </c>
      <c r="N70" s="334" t="str">
        <f aca="false">IF((E70="r"),G70," ")</f>
        <v> </v>
      </c>
      <c r="O70" s="334" t="str">
        <f aca="false">IF((E70="g"),G70," ")</f>
        <v> </v>
      </c>
      <c r="P70" s="334" t="str">
        <f aca="false">IF((E70="m"),G70," ")</f>
        <v> </v>
      </c>
      <c r="Q70" s="334" t="str">
        <f aca="false">IF((E70="t"),G70," ")</f>
        <v> </v>
      </c>
      <c r="R70" s="334" t="str">
        <f aca="false">IF((E70="a"),G70," ")</f>
        <v> </v>
      </c>
      <c r="S70" s="334" t="str">
        <f aca="false">IF((E70="l"),G70," ")</f>
        <v> </v>
      </c>
      <c r="T70" s="334" t="str">
        <f aca="false">IF((E70="b"),G70," ")</f>
        <v> </v>
      </c>
      <c r="U70" s="334" t="str">
        <f aca="false">IF((E70="i"),G70," ")</f>
        <v> </v>
      </c>
      <c r="V70" s="334" t="str">
        <f aca="false">IF((E70="o"),G70," ")</f>
        <v> </v>
      </c>
      <c r="W70" s="334" t="str">
        <f aca="false">IF((E70="f"),G70," ")</f>
        <v> </v>
      </c>
    </row>
    <row r="71" customFormat="false" ht="12.75" hidden="false" customHeight="false" outlineLevel="0" collapsed="false">
      <c r="A71" s="355"/>
      <c r="E71" s="365" t="str">
        <f aca="false">IF((G71&lt;&gt;0),"Enter Letter"," ")</f>
        <v> </v>
      </c>
      <c r="H71" s="338" t="str">
        <f aca="false">IF((G71&lt;&gt;0),IF((D71&gt;0)," ",G71)," ")</f>
        <v> </v>
      </c>
      <c r="I71" s="367" t="str">
        <f aca="false">IF((G71&lt;&gt;0),IF((D71&gt;0)," ",(I$1-A71))," ")</f>
        <v> </v>
      </c>
      <c r="J71" s="334" t="str">
        <f aca="false">IF((E71="s"),G71," ")</f>
        <v> </v>
      </c>
      <c r="K71" s="334" t="str">
        <f aca="false">IF((E71="d"),G71," ")</f>
        <v> </v>
      </c>
      <c r="L71" s="334" t="str">
        <f aca="false">IF((E71="e"),G71," ")</f>
        <v> </v>
      </c>
      <c r="M71" s="334" t="str">
        <f aca="false">IF((E71="p"),G71," ")</f>
        <v> </v>
      </c>
      <c r="N71" s="334" t="str">
        <f aca="false">IF((E71="r"),G71," ")</f>
        <v> </v>
      </c>
      <c r="O71" s="334" t="str">
        <f aca="false">IF((E71="g"),G71," ")</f>
        <v> </v>
      </c>
      <c r="P71" s="334" t="str">
        <f aca="false">IF((E71="m"),G71," ")</f>
        <v> </v>
      </c>
      <c r="Q71" s="334" t="str">
        <f aca="false">IF((E71="t"),G71," ")</f>
        <v> </v>
      </c>
      <c r="R71" s="334" t="str">
        <f aca="false">IF((E71="a"),G71," ")</f>
        <v> </v>
      </c>
      <c r="S71" s="334" t="str">
        <f aca="false">IF((E71="l"),G71," ")</f>
        <v> </v>
      </c>
      <c r="T71" s="334" t="str">
        <f aca="false">IF((E71="b"),G71," ")</f>
        <v> </v>
      </c>
      <c r="U71" s="334" t="str">
        <f aca="false">IF((E71="i"),G71," ")</f>
        <v> </v>
      </c>
      <c r="V71" s="334" t="str">
        <f aca="false">IF((E71="o"),G71," ")</f>
        <v> </v>
      </c>
      <c r="W71" s="334" t="str">
        <f aca="false">IF((E71="f"),G71," ")</f>
        <v> </v>
      </c>
    </row>
    <row r="72" customFormat="false" ht="12.75" hidden="false" customHeight="false" outlineLevel="0" collapsed="false">
      <c r="A72" s="355"/>
      <c r="E72" s="365" t="str">
        <f aca="false">IF((G72&lt;&gt;0),"Enter Letter"," ")</f>
        <v> </v>
      </c>
      <c r="H72" s="338" t="str">
        <f aca="false">IF((G72&lt;&gt;0),IF((D72&gt;0)," ",G72)," ")</f>
        <v> </v>
      </c>
      <c r="I72" s="367" t="str">
        <f aca="false">IF((G72&lt;&gt;0),IF((D72&gt;0)," ",(I$1-A72))," ")</f>
        <v> </v>
      </c>
      <c r="J72" s="334" t="str">
        <f aca="false">IF((E72="s"),G72," ")</f>
        <v> </v>
      </c>
      <c r="K72" s="334" t="str">
        <f aca="false">IF((E72="d"),G72," ")</f>
        <v> </v>
      </c>
      <c r="L72" s="334" t="str">
        <f aca="false">IF((E72="e"),G72," ")</f>
        <v> </v>
      </c>
      <c r="M72" s="334" t="str">
        <f aca="false">IF((E72="p"),G72," ")</f>
        <v> </v>
      </c>
      <c r="N72" s="334" t="str">
        <f aca="false">IF((E72="r"),G72," ")</f>
        <v> </v>
      </c>
      <c r="O72" s="334" t="str">
        <f aca="false">IF((E72="g"),G72," ")</f>
        <v> </v>
      </c>
      <c r="P72" s="334" t="str">
        <f aca="false">IF((E72="m"),G72," ")</f>
        <v> </v>
      </c>
      <c r="Q72" s="334" t="str">
        <f aca="false">IF((E72="t"),G72," ")</f>
        <v> </v>
      </c>
      <c r="R72" s="334" t="str">
        <f aca="false">IF((E72="a"),G72," ")</f>
        <v> </v>
      </c>
      <c r="S72" s="334" t="str">
        <f aca="false">IF((E72="l"),G72," ")</f>
        <v> </v>
      </c>
      <c r="T72" s="334" t="str">
        <f aca="false">IF((E72="b"),G72," ")</f>
        <v> </v>
      </c>
      <c r="U72" s="334" t="str">
        <f aca="false">IF((E72="i"),G72," ")</f>
        <v> </v>
      </c>
      <c r="V72" s="334" t="str">
        <f aca="false">IF((E72="o"),G72," ")</f>
        <v> </v>
      </c>
      <c r="W72" s="334" t="str">
        <f aca="false">IF((E72="f"),G72," ")</f>
        <v> </v>
      </c>
    </row>
    <row r="73" customFormat="false" ht="12.75" hidden="false" customHeight="false" outlineLevel="0" collapsed="false">
      <c r="A73" s="355"/>
      <c r="E73" s="365" t="str">
        <f aca="false">IF((G73&lt;&gt;0),"Enter Letter"," ")</f>
        <v> </v>
      </c>
      <c r="H73" s="338" t="str">
        <f aca="false">IF((G73&lt;&gt;0),IF((D73&gt;0)," ",G73)," ")</f>
        <v> </v>
      </c>
      <c r="I73" s="367" t="str">
        <f aca="false">IF((G73&lt;&gt;0),IF((D73&gt;0)," ",(I$1-A73))," ")</f>
        <v> </v>
      </c>
      <c r="J73" s="334" t="str">
        <f aca="false">IF((E73="s"),G73," ")</f>
        <v> </v>
      </c>
      <c r="K73" s="334" t="str">
        <f aca="false">IF((E73="d"),G73," ")</f>
        <v> </v>
      </c>
      <c r="L73" s="334" t="str">
        <f aca="false">IF((E73="e"),G73," ")</f>
        <v> </v>
      </c>
      <c r="M73" s="334" t="str">
        <f aca="false">IF((E73="p"),G73," ")</f>
        <v> </v>
      </c>
      <c r="N73" s="334" t="str">
        <f aca="false">IF((E73="r"),G73," ")</f>
        <v> </v>
      </c>
      <c r="O73" s="334" t="str">
        <f aca="false">IF((E73="g"),G73," ")</f>
        <v> </v>
      </c>
      <c r="P73" s="334" t="str">
        <f aca="false">IF((E73="m"),G73," ")</f>
        <v> </v>
      </c>
      <c r="Q73" s="334" t="str">
        <f aca="false">IF((E73="t"),G73," ")</f>
        <v> </v>
      </c>
      <c r="R73" s="334" t="str">
        <f aca="false">IF((E73="a"),G73," ")</f>
        <v> </v>
      </c>
      <c r="S73" s="334" t="str">
        <f aca="false">IF((E73="l"),G73," ")</f>
        <v> </v>
      </c>
      <c r="T73" s="334" t="str">
        <f aca="false">IF((E73="b"),G73," ")</f>
        <v> </v>
      </c>
      <c r="U73" s="334" t="str">
        <f aca="false">IF((E73="i"),G73," ")</f>
        <v> </v>
      </c>
      <c r="V73" s="334" t="str">
        <f aca="false">IF((E73="o"),G73," ")</f>
        <v> </v>
      </c>
      <c r="W73" s="334" t="str">
        <f aca="false">IF((E73="f"),G73," ")</f>
        <v> </v>
      </c>
    </row>
    <row r="74" customFormat="false" ht="12.75" hidden="false" customHeight="false" outlineLevel="0" collapsed="false">
      <c r="A74" s="355"/>
      <c r="E74" s="365" t="str">
        <f aca="false">IF((G74&lt;&gt;0),"Enter Letter"," ")</f>
        <v> </v>
      </c>
      <c r="H74" s="338" t="str">
        <f aca="false">IF((G74&lt;&gt;0),IF((D74&gt;0)," ",G74)," ")</f>
        <v> </v>
      </c>
      <c r="I74" s="367" t="str">
        <f aca="false">IF((G74&lt;&gt;0),IF((D74&gt;0)," ",(I$1-A74))," ")</f>
        <v> </v>
      </c>
      <c r="J74" s="334" t="str">
        <f aca="false">IF((E74="s"),G74," ")</f>
        <v> </v>
      </c>
      <c r="K74" s="334" t="str">
        <f aca="false">IF((E74="d"),G74," ")</f>
        <v> </v>
      </c>
      <c r="L74" s="334" t="str">
        <f aca="false">IF((E74="e"),G74," ")</f>
        <v> </v>
      </c>
      <c r="M74" s="334" t="str">
        <f aca="false">IF((E74="p"),G74," ")</f>
        <v> </v>
      </c>
      <c r="N74" s="334" t="str">
        <f aca="false">IF((E74="r"),G74," ")</f>
        <v> </v>
      </c>
      <c r="O74" s="334" t="str">
        <f aca="false">IF((E74="g"),G74," ")</f>
        <v> </v>
      </c>
      <c r="P74" s="334" t="str">
        <f aca="false">IF((E74="m"),G74," ")</f>
        <v> </v>
      </c>
      <c r="Q74" s="334" t="str">
        <f aca="false">IF((E74="t"),G74," ")</f>
        <v> </v>
      </c>
      <c r="R74" s="334" t="str">
        <f aca="false">IF((E74="a"),G74," ")</f>
        <v> </v>
      </c>
      <c r="S74" s="334" t="str">
        <f aca="false">IF((E74="l"),G74," ")</f>
        <v> </v>
      </c>
      <c r="T74" s="334" t="str">
        <f aca="false">IF((E74="b"),G74," ")</f>
        <v> </v>
      </c>
      <c r="U74" s="334" t="str">
        <f aca="false">IF((E74="i"),G74," ")</f>
        <v> </v>
      </c>
      <c r="V74" s="334" t="str">
        <f aca="false">IF((E74="o"),G74," ")</f>
        <v> </v>
      </c>
      <c r="W74" s="334" t="str">
        <f aca="false">IF((E74="f"),G74," ")</f>
        <v> </v>
      </c>
    </row>
    <row r="75" customFormat="false" ht="12.75" hidden="false" customHeight="false" outlineLevel="0" collapsed="false">
      <c r="A75" s="355"/>
      <c r="E75" s="365" t="str">
        <f aca="false">IF((G75&lt;&gt;0),"Enter Letter"," ")</f>
        <v> </v>
      </c>
      <c r="H75" s="338" t="str">
        <f aca="false">IF((G75&lt;&gt;0),IF((D75&gt;0)," ",G75)," ")</f>
        <v> </v>
      </c>
      <c r="I75" s="367" t="str">
        <f aca="false">IF((G75&lt;&gt;0),IF((D75&gt;0)," ",(I$1-A75))," ")</f>
        <v> </v>
      </c>
      <c r="J75" s="334" t="str">
        <f aca="false">IF((E75="s"),G75," ")</f>
        <v> </v>
      </c>
      <c r="K75" s="334" t="str">
        <f aca="false">IF((E75="d"),G75," ")</f>
        <v> </v>
      </c>
      <c r="L75" s="334" t="str">
        <f aca="false">IF((E75="e"),G75," ")</f>
        <v> </v>
      </c>
      <c r="M75" s="334" t="str">
        <f aca="false">IF((E75="p"),G75," ")</f>
        <v> </v>
      </c>
      <c r="N75" s="334" t="str">
        <f aca="false">IF((E75="r"),G75," ")</f>
        <v> </v>
      </c>
      <c r="O75" s="334" t="str">
        <f aca="false">IF((E75="g"),G75," ")</f>
        <v> </v>
      </c>
      <c r="P75" s="334" t="str">
        <f aca="false">IF((E75="m"),G75," ")</f>
        <v> </v>
      </c>
      <c r="Q75" s="334" t="str">
        <f aca="false">IF((E75="t"),G75," ")</f>
        <v> </v>
      </c>
      <c r="R75" s="334" t="str">
        <f aca="false">IF((E75="a"),G75," ")</f>
        <v> </v>
      </c>
      <c r="S75" s="334" t="str">
        <f aca="false">IF((E75="l"),G75," ")</f>
        <v> </v>
      </c>
      <c r="T75" s="334" t="str">
        <f aca="false">IF((E75="b"),G75," ")</f>
        <v> </v>
      </c>
      <c r="U75" s="334" t="str">
        <f aca="false">IF((E75="i"),G75," ")</f>
        <v> </v>
      </c>
      <c r="V75" s="334" t="str">
        <f aca="false">IF((E75="o"),G75," ")</f>
        <v> </v>
      </c>
      <c r="W75" s="334" t="str">
        <f aca="false">IF((E75="f"),G75," ")</f>
        <v> </v>
      </c>
    </row>
    <row r="76" customFormat="false" ht="12.75" hidden="false" customHeight="false" outlineLevel="0" collapsed="false">
      <c r="A76" s="355"/>
      <c r="E76" s="365" t="str">
        <f aca="false">IF((G76&lt;&gt;0),"Enter Letter"," ")</f>
        <v> </v>
      </c>
      <c r="H76" s="338" t="str">
        <f aca="false">IF((G76&lt;&gt;0),IF((D76&gt;0)," ",G76)," ")</f>
        <v> </v>
      </c>
      <c r="I76" s="367" t="str">
        <f aca="false">IF((G76&lt;&gt;0),IF((D76&gt;0)," ",(I$1-A76))," ")</f>
        <v> </v>
      </c>
      <c r="J76" s="334" t="str">
        <f aca="false">IF((E76="s"),G76," ")</f>
        <v> </v>
      </c>
      <c r="K76" s="334" t="str">
        <f aca="false">IF((E76="d"),G76," ")</f>
        <v> </v>
      </c>
      <c r="L76" s="334" t="str">
        <f aca="false">IF((E76="e"),G76," ")</f>
        <v> </v>
      </c>
      <c r="M76" s="334" t="str">
        <f aca="false">IF((E76="p"),G76," ")</f>
        <v> </v>
      </c>
      <c r="N76" s="334" t="str">
        <f aca="false">IF((E76="r"),G76," ")</f>
        <v> </v>
      </c>
      <c r="O76" s="334" t="str">
        <f aca="false">IF((E76="g"),G76," ")</f>
        <v> </v>
      </c>
      <c r="P76" s="334" t="str">
        <f aca="false">IF((E76="m"),G76," ")</f>
        <v> </v>
      </c>
      <c r="Q76" s="334" t="str">
        <f aca="false">IF((E76="t"),G76," ")</f>
        <v> </v>
      </c>
      <c r="R76" s="334" t="str">
        <f aca="false">IF((E76="a"),G76," ")</f>
        <v> </v>
      </c>
      <c r="S76" s="334" t="str">
        <f aca="false">IF((E76="l"),G76," ")</f>
        <v> </v>
      </c>
      <c r="T76" s="334" t="str">
        <f aca="false">IF((E76="b"),G76," ")</f>
        <v> </v>
      </c>
      <c r="U76" s="334" t="str">
        <f aca="false">IF((E76="i"),G76," ")</f>
        <v> </v>
      </c>
      <c r="V76" s="334" t="str">
        <f aca="false">IF((E76="o"),G76," ")</f>
        <v> </v>
      </c>
      <c r="W76" s="334" t="str">
        <f aca="false">IF((E76="f"),G76," ")</f>
        <v> </v>
      </c>
    </row>
    <row r="77" customFormat="false" ht="12.75" hidden="false" customHeight="false" outlineLevel="0" collapsed="false">
      <c r="A77" s="355"/>
      <c r="E77" s="365" t="str">
        <f aca="false">IF((G77&lt;&gt;0),"Enter Letter"," ")</f>
        <v> </v>
      </c>
      <c r="H77" s="338" t="str">
        <f aca="false">IF((G77&lt;&gt;0),IF((D77&gt;0)," ",G77)," ")</f>
        <v> </v>
      </c>
      <c r="I77" s="367" t="str">
        <f aca="false">IF((G77&lt;&gt;0),IF((D77&gt;0)," ",(I$1-A77))," ")</f>
        <v> </v>
      </c>
      <c r="J77" s="334" t="str">
        <f aca="false">IF((E77="s"),G77," ")</f>
        <v> </v>
      </c>
      <c r="K77" s="334" t="str">
        <f aca="false">IF((E77="d"),G77," ")</f>
        <v> </v>
      </c>
      <c r="L77" s="334" t="str">
        <f aca="false">IF((E77="e"),G77," ")</f>
        <v> </v>
      </c>
      <c r="M77" s="334" t="str">
        <f aca="false">IF((E77="p"),G77," ")</f>
        <v> </v>
      </c>
      <c r="N77" s="334" t="str">
        <f aca="false">IF((E77="r"),G77," ")</f>
        <v> </v>
      </c>
      <c r="O77" s="334" t="str">
        <f aca="false">IF((E77="g"),G77," ")</f>
        <v> </v>
      </c>
      <c r="P77" s="334" t="str">
        <f aca="false">IF((E77="m"),G77," ")</f>
        <v> </v>
      </c>
      <c r="Q77" s="334" t="str">
        <f aca="false">IF((E77="t"),G77," ")</f>
        <v> </v>
      </c>
      <c r="R77" s="334" t="str">
        <f aca="false">IF((E77="a"),G77," ")</f>
        <v> </v>
      </c>
      <c r="S77" s="334" t="str">
        <f aca="false">IF((E77="l"),G77," ")</f>
        <v> </v>
      </c>
      <c r="T77" s="334" t="str">
        <f aca="false">IF((E77="b"),G77," ")</f>
        <v> </v>
      </c>
      <c r="U77" s="334" t="str">
        <f aca="false">IF((E77="i"),G77," ")</f>
        <v> </v>
      </c>
      <c r="V77" s="334" t="str">
        <f aca="false">IF((E77="o"),G77," ")</f>
        <v> </v>
      </c>
      <c r="W77" s="334" t="str">
        <f aca="false">IF((E77="f"),G77," ")</f>
        <v> </v>
      </c>
    </row>
    <row r="78" customFormat="false" ht="12.75" hidden="false" customHeight="false" outlineLevel="0" collapsed="false">
      <c r="A78" s="355"/>
      <c r="E78" s="365" t="str">
        <f aca="false">IF((G78&lt;&gt;0),"Enter Letter"," ")</f>
        <v> </v>
      </c>
      <c r="H78" s="338" t="str">
        <f aca="false">IF((G78&lt;&gt;0),IF((D78&gt;0)," ",G78)," ")</f>
        <v> </v>
      </c>
      <c r="I78" s="367" t="str">
        <f aca="false">IF((G78&lt;&gt;0),IF((D78&gt;0)," ",(I$1-A78))," ")</f>
        <v> </v>
      </c>
      <c r="J78" s="334" t="str">
        <f aca="false">IF((E78="s"),G78," ")</f>
        <v> </v>
      </c>
      <c r="K78" s="334" t="str">
        <f aca="false">IF((E78="d"),G78," ")</f>
        <v> </v>
      </c>
      <c r="L78" s="334" t="str">
        <f aca="false">IF((E78="e"),G78," ")</f>
        <v> </v>
      </c>
      <c r="M78" s="334" t="str">
        <f aca="false">IF((E78="p"),G78," ")</f>
        <v> </v>
      </c>
      <c r="N78" s="334" t="str">
        <f aca="false">IF((E78="r"),G78," ")</f>
        <v> </v>
      </c>
      <c r="O78" s="334" t="str">
        <f aca="false">IF((E78="g"),G78," ")</f>
        <v> </v>
      </c>
      <c r="P78" s="334" t="str">
        <f aca="false">IF((E78="m"),G78," ")</f>
        <v> </v>
      </c>
      <c r="Q78" s="334" t="str">
        <f aca="false">IF((E78="t"),G78," ")</f>
        <v> </v>
      </c>
      <c r="R78" s="334" t="str">
        <f aca="false">IF((E78="a"),G78," ")</f>
        <v> </v>
      </c>
      <c r="S78" s="334" t="str">
        <f aca="false">IF((E78="l"),G78," ")</f>
        <v> </v>
      </c>
      <c r="T78" s="334" t="str">
        <f aca="false">IF((E78="b"),G78," ")</f>
        <v> </v>
      </c>
      <c r="U78" s="334" t="str">
        <f aca="false">IF((E78="i"),G78," ")</f>
        <v> </v>
      </c>
      <c r="V78" s="334" t="str">
        <f aca="false">IF((E78="o"),G78," ")</f>
        <v> </v>
      </c>
      <c r="W78" s="334" t="str">
        <f aca="false">IF((E78="f"),G78," ")</f>
        <v> </v>
      </c>
    </row>
    <row r="79" customFormat="false" ht="12.75" hidden="false" customHeight="false" outlineLevel="0" collapsed="false">
      <c r="A79" s="355"/>
      <c r="E79" s="365" t="str">
        <f aca="false">IF((G79&lt;&gt;0),"Enter Letter"," ")</f>
        <v> </v>
      </c>
      <c r="H79" s="338" t="str">
        <f aca="false">IF((G79&lt;&gt;0),IF((D79&gt;0)," ",G79)," ")</f>
        <v> </v>
      </c>
      <c r="I79" s="367" t="str">
        <f aca="false">IF((G79&lt;&gt;0),IF((D79&gt;0)," ",(I$1-A79))," ")</f>
        <v> </v>
      </c>
      <c r="J79" s="334" t="str">
        <f aca="false">IF((E79="s"),G79," ")</f>
        <v> </v>
      </c>
      <c r="K79" s="334" t="str">
        <f aca="false">IF((E79="d"),G79," ")</f>
        <v> </v>
      </c>
      <c r="L79" s="334" t="str">
        <f aca="false">IF((E79="e"),G79," ")</f>
        <v> </v>
      </c>
      <c r="M79" s="334" t="str">
        <f aca="false">IF((E79="p"),G79," ")</f>
        <v> </v>
      </c>
      <c r="N79" s="334" t="str">
        <f aca="false">IF((E79="r"),G79," ")</f>
        <v> </v>
      </c>
      <c r="O79" s="334" t="str">
        <f aca="false">IF((E79="g"),G79," ")</f>
        <v> </v>
      </c>
      <c r="P79" s="334" t="str">
        <f aca="false">IF((E79="m"),G79," ")</f>
        <v> </v>
      </c>
      <c r="Q79" s="334" t="str">
        <f aca="false">IF((E79="t"),G79," ")</f>
        <v> </v>
      </c>
      <c r="R79" s="334" t="str">
        <f aca="false">IF((E79="a"),G79," ")</f>
        <v> </v>
      </c>
      <c r="S79" s="334" t="str">
        <f aca="false">IF((E79="l"),G79," ")</f>
        <v> </v>
      </c>
      <c r="T79" s="334" t="str">
        <f aca="false">IF((E79="b"),G79," ")</f>
        <v> </v>
      </c>
      <c r="U79" s="334" t="str">
        <f aca="false">IF((E79="i"),G79," ")</f>
        <v> </v>
      </c>
      <c r="V79" s="334" t="str">
        <f aca="false">IF((E79="o"),G79," ")</f>
        <v> </v>
      </c>
      <c r="W79" s="334" t="str">
        <f aca="false">IF((E79="f"),G79," ")</f>
        <v> </v>
      </c>
    </row>
    <row r="80" customFormat="false" ht="12.75" hidden="false" customHeight="false" outlineLevel="0" collapsed="false">
      <c r="A80" s="355"/>
      <c r="E80" s="365" t="str">
        <f aca="false">IF((G80&lt;&gt;0),"Enter Letter"," ")</f>
        <v> </v>
      </c>
      <c r="H80" s="338" t="str">
        <f aca="false">IF((G80&lt;&gt;0),IF((D80&gt;0)," ",G80)," ")</f>
        <v> </v>
      </c>
      <c r="I80" s="367" t="str">
        <f aca="false">IF((G80&lt;&gt;0),IF((D80&gt;0)," ",(I$1-A80))," ")</f>
        <v> </v>
      </c>
      <c r="J80" s="334" t="str">
        <f aca="false">IF((E80="s"),G80," ")</f>
        <v> </v>
      </c>
      <c r="K80" s="334" t="str">
        <f aca="false">IF((E80="d"),G80," ")</f>
        <v> </v>
      </c>
      <c r="L80" s="334" t="str">
        <f aca="false">IF((E80="e"),G80," ")</f>
        <v> </v>
      </c>
      <c r="M80" s="334" t="str">
        <f aca="false">IF((E80="p"),G80," ")</f>
        <v> </v>
      </c>
      <c r="N80" s="334" t="str">
        <f aca="false">IF((E80="r"),G80," ")</f>
        <v> </v>
      </c>
      <c r="O80" s="334" t="str">
        <f aca="false">IF((E80="g"),G80," ")</f>
        <v> </v>
      </c>
      <c r="P80" s="334" t="str">
        <f aca="false">IF((E80="m"),G80," ")</f>
        <v> </v>
      </c>
      <c r="Q80" s="334" t="str">
        <f aca="false">IF((E80="t"),G80," ")</f>
        <v> </v>
      </c>
      <c r="R80" s="334" t="str">
        <f aca="false">IF((E80="a"),G80," ")</f>
        <v> </v>
      </c>
      <c r="S80" s="334" t="str">
        <f aca="false">IF((E80="l"),G80," ")</f>
        <v> </v>
      </c>
      <c r="T80" s="334" t="str">
        <f aca="false">IF((E80="b"),G80," ")</f>
        <v> </v>
      </c>
      <c r="U80" s="334" t="str">
        <f aca="false">IF((E80="i"),G80," ")</f>
        <v> </v>
      </c>
      <c r="V80" s="334" t="str">
        <f aca="false">IF((E80="o"),G80," ")</f>
        <v> </v>
      </c>
      <c r="W80" s="334" t="str">
        <f aca="false">IF((E80="f"),G80," ")</f>
        <v> </v>
      </c>
    </row>
    <row r="81" customFormat="false" ht="12.75" hidden="false" customHeight="false" outlineLevel="0" collapsed="false">
      <c r="A81" s="355"/>
      <c r="E81" s="365" t="str">
        <f aca="false">IF((G81&lt;&gt;0),"Enter Letter"," ")</f>
        <v> </v>
      </c>
      <c r="H81" s="338" t="str">
        <f aca="false">IF((G81&lt;&gt;0),IF((D81&gt;0)," ",G81)," ")</f>
        <v> </v>
      </c>
      <c r="I81" s="367" t="str">
        <f aca="false">IF((G81&lt;&gt;0),IF((D81&gt;0)," ",(I$1-A81))," ")</f>
        <v> </v>
      </c>
      <c r="J81" s="334" t="str">
        <f aca="false">IF((E81="s"),G81," ")</f>
        <v> </v>
      </c>
      <c r="K81" s="334" t="str">
        <f aca="false">IF((E81="d"),G81," ")</f>
        <v> </v>
      </c>
      <c r="L81" s="334" t="str">
        <f aca="false">IF((E81="e"),G81," ")</f>
        <v> </v>
      </c>
      <c r="M81" s="334" t="str">
        <f aca="false">IF((E81="p"),G81," ")</f>
        <v> </v>
      </c>
      <c r="N81" s="334" t="str">
        <f aca="false">IF((E81="r"),G81," ")</f>
        <v> </v>
      </c>
      <c r="O81" s="334" t="str">
        <f aca="false">IF((E81="g"),G81," ")</f>
        <v> </v>
      </c>
      <c r="P81" s="334" t="str">
        <f aca="false">IF((E81="m"),G81," ")</f>
        <v> </v>
      </c>
      <c r="Q81" s="334" t="str">
        <f aca="false">IF((E81="t"),G81," ")</f>
        <v> </v>
      </c>
      <c r="R81" s="334" t="str">
        <f aca="false">IF((E81="a"),G81," ")</f>
        <v> </v>
      </c>
      <c r="S81" s="334" t="str">
        <f aca="false">IF((E81="l"),G81," ")</f>
        <v> </v>
      </c>
      <c r="T81" s="334" t="str">
        <f aca="false">IF((E81="b"),G81," ")</f>
        <v> </v>
      </c>
      <c r="U81" s="334" t="str">
        <f aca="false">IF((E81="i"),G81," ")</f>
        <v> </v>
      </c>
      <c r="V81" s="334" t="str">
        <f aca="false">IF((E81="o"),G81," ")</f>
        <v> </v>
      </c>
      <c r="W81" s="334" t="str">
        <f aca="false">IF((E81="f"),G81," ")</f>
        <v> </v>
      </c>
    </row>
    <row r="82" customFormat="false" ht="12.75" hidden="false" customHeight="false" outlineLevel="0" collapsed="false">
      <c r="A82" s="355"/>
      <c r="E82" s="365" t="str">
        <f aca="false">IF((G82&lt;&gt;0),"Enter Letter"," ")</f>
        <v> </v>
      </c>
      <c r="H82" s="338" t="str">
        <f aca="false">IF((G82&lt;&gt;0),IF((D82&gt;0)," ",G82)," ")</f>
        <v> </v>
      </c>
      <c r="I82" s="367" t="str">
        <f aca="false">IF((G82&lt;&gt;0),IF((D82&gt;0)," ",(I$1-A82))," ")</f>
        <v> </v>
      </c>
      <c r="J82" s="334" t="str">
        <f aca="false">IF((E82="s"),G82," ")</f>
        <v> </v>
      </c>
      <c r="K82" s="334" t="str">
        <f aca="false">IF((E82="d"),G82," ")</f>
        <v> </v>
      </c>
      <c r="L82" s="334" t="str">
        <f aca="false">IF((E82="e"),G82," ")</f>
        <v> </v>
      </c>
      <c r="M82" s="334" t="str">
        <f aca="false">IF((E82="p"),G82," ")</f>
        <v> </v>
      </c>
      <c r="N82" s="334" t="str">
        <f aca="false">IF((E82="r"),G82," ")</f>
        <v> </v>
      </c>
      <c r="O82" s="334" t="str">
        <f aca="false">IF((E82="g"),G82," ")</f>
        <v> </v>
      </c>
      <c r="P82" s="334" t="str">
        <f aca="false">IF((E82="m"),G82," ")</f>
        <v> </v>
      </c>
      <c r="Q82" s="334" t="str">
        <f aca="false">IF((E82="t"),G82," ")</f>
        <v> </v>
      </c>
      <c r="R82" s="334" t="str">
        <f aca="false">IF((E82="a"),G82," ")</f>
        <v> </v>
      </c>
      <c r="S82" s="334" t="str">
        <f aca="false">IF((E82="l"),G82," ")</f>
        <v> </v>
      </c>
      <c r="T82" s="334" t="str">
        <f aca="false">IF((E82="b"),G82," ")</f>
        <v> </v>
      </c>
      <c r="U82" s="334" t="str">
        <f aca="false">IF((E82="i"),G82," ")</f>
        <v> </v>
      </c>
      <c r="V82" s="334" t="str">
        <f aca="false">IF((E82="o"),G82," ")</f>
        <v> </v>
      </c>
      <c r="W82" s="334" t="str">
        <f aca="false">IF((E82="f"),G82," ")</f>
        <v> </v>
      </c>
    </row>
    <row r="83" customFormat="false" ht="12.75" hidden="false" customHeight="false" outlineLevel="0" collapsed="false">
      <c r="A83" s="355"/>
      <c r="E83" s="365" t="str">
        <f aca="false">IF((G83&lt;&gt;0),"Enter Letter"," ")</f>
        <v> </v>
      </c>
      <c r="H83" s="338" t="str">
        <f aca="false">IF((G83&lt;&gt;0),IF((D83&gt;0)," ",G83)," ")</f>
        <v> </v>
      </c>
      <c r="I83" s="367" t="str">
        <f aca="false">IF((G83&lt;&gt;0),IF((D83&gt;0)," ",(I$1-A83))," ")</f>
        <v> </v>
      </c>
      <c r="J83" s="334" t="str">
        <f aca="false">IF((E83="s"),G83," ")</f>
        <v> </v>
      </c>
      <c r="K83" s="334" t="str">
        <f aca="false">IF((E83="d"),G83," ")</f>
        <v> </v>
      </c>
      <c r="L83" s="334" t="str">
        <f aca="false">IF((E83="e"),G83," ")</f>
        <v> </v>
      </c>
      <c r="M83" s="334" t="str">
        <f aca="false">IF((E83="p"),G83," ")</f>
        <v> </v>
      </c>
      <c r="N83" s="334" t="str">
        <f aca="false">IF((E83="r"),G83," ")</f>
        <v> </v>
      </c>
      <c r="O83" s="334" t="str">
        <f aca="false">IF((E83="g"),G83," ")</f>
        <v> </v>
      </c>
      <c r="P83" s="334" t="str">
        <f aca="false">IF((E83="m"),G83," ")</f>
        <v> </v>
      </c>
      <c r="Q83" s="334" t="str">
        <f aca="false">IF((E83="t"),G83," ")</f>
        <v> </v>
      </c>
      <c r="R83" s="334" t="str">
        <f aca="false">IF((E83="a"),G83," ")</f>
        <v> </v>
      </c>
      <c r="S83" s="334" t="str">
        <f aca="false">IF((E83="l"),G83," ")</f>
        <v> </v>
      </c>
      <c r="T83" s="334" t="str">
        <f aca="false">IF((E83="b"),G83," ")</f>
        <v> </v>
      </c>
      <c r="U83" s="334" t="str">
        <f aca="false">IF((E83="i"),G83," ")</f>
        <v> </v>
      </c>
      <c r="V83" s="334" t="str">
        <f aca="false">IF((E83="o"),G83," ")</f>
        <v> </v>
      </c>
      <c r="W83" s="334" t="str">
        <f aca="false">IF((E83="f"),G83," ")</f>
        <v> </v>
      </c>
    </row>
    <row r="84" customFormat="false" ht="12.75" hidden="false" customHeight="false" outlineLevel="0" collapsed="false">
      <c r="A84" s="355"/>
      <c r="E84" s="365" t="str">
        <f aca="false">IF((G84&lt;&gt;0),"Enter Letter"," ")</f>
        <v> </v>
      </c>
      <c r="H84" s="338" t="str">
        <f aca="false">IF((G84&lt;&gt;0),IF((D84&gt;0)," ",G84)," ")</f>
        <v> </v>
      </c>
      <c r="I84" s="367" t="str">
        <f aca="false">IF((G84&lt;&gt;0),IF((D84&gt;0)," ",(I$1-A84))," ")</f>
        <v> </v>
      </c>
      <c r="J84" s="334" t="str">
        <f aca="false">IF((E84="s"),G84," ")</f>
        <v> </v>
      </c>
      <c r="K84" s="334" t="str">
        <f aca="false">IF((E84="d"),G84," ")</f>
        <v> </v>
      </c>
      <c r="L84" s="334" t="str">
        <f aca="false">IF((E84="e"),G84," ")</f>
        <v> </v>
      </c>
      <c r="M84" s="334" t="str">
        <f aca="false">IF((E84="p"),G84," ")</f>
        <v> </v>
      </c>
      <c r="N84" s="334" t="str">
        <f aca="false">IF((E84="r"),G84," ")</f>
        <v> </v>
      </c>
      <c r="O84" s="334" t="str">
        <f aca="false">IF((E84="g"),G84," ")</f>
        <v> </v>
      </c>
      <c r="P84" s="334" t="str">
        <f aca="false">IF((E84="m"),G84," ")</f>
        <v> </v>
      </c>
      <c r="Q84" s="334" t="str">
        <f aca="false">IF((E84="t"),G84," ")</f>
        <v> </v>
      </c>
      <c r="R84" s="334" t="str">
        <f aca="false">IF((E84="a"),G84," ")</f>
        <v> </v>
      </c>
      <c r="S84" s="334" t="str">
        <f aca="false">IF((E84="l"),G84," ")</f>
        <v> </v>
      </c>
      <c r="T84" s="334" t="str">
        <f aca="false">IF((E84="b"),G84," ")</f>
        <v> </v>
      </c>
      <c r="U84" s="334" t="str">
        <f aca="false">IF((E84="i"),G84," ")</f>
        <v> </v>
      </c>
      <c r="V84" s="334" t="str">
        <f aca="false">IF((E84="o"),G84," ")</f>
        <v> </v>
      </c>
      <c r="W84" s="334" t="str">
        <f aca="false">IF((E84="f"),G84," ")</f>
        <v> </v>
      </c>
    </row>
    <row r="85" customFormat="false" ht="12.75" hidden="false" customHeight="false" outlineLevel="0" collapsed="false">
      <c r="A85" s="355"/>
      <c r="E85" s="365" t="str">
        <f aca="false">IF((G85&lt;&gt;0),"Enter Letter"," ")</f>
        <v> </v>
      </c>
      <c r="H85" s="338" t="str">
        <f aca="false">IF((G85&lt;&gt;0),IF((D85&gt;0)," ",G85)," ")</f>
        <v> </v>
      </c>
      <c r="I85" s="367" t="str">
        <f aca="false">IF((G85&lt;&gt;0),IF((D85&gt;0)," ",(I$1-A85))," ")</f>
        <v> </v>
      </c>
      <c r="J85" s="334" t="str">
        <f aca="false">IF((E85="s"),G85," ")</f>
        <v> </v>
      </c>
      <c r="K85" s="334" t="str">
        <f aca="false">IF((E85="d"),G85," ")</f>
        <v> </v>
      </c>
      <c r="L85" s="334" t="str">
        <f aca="false">IF((E85="e"),G85," ")</f>
        <v> </v>
      </c>
      <c r="M85" s="334" t="str">
        <f aca="false">IF((E85="p"),G85," ")</f>
        <v> </v>
      </c>
      <c r="N85" s="334" t="str">
        <f aca="false">IF((E85="r"),G85," ")</f>
        <v> </v>
      </c>
      <c r="O85" s="334" t="str">
        <f aca="false">IF((E85="g"),G85," ")</f>
        <v> </v>
      </c>
      <c r="P85" s="334" t="str">
        <f aca="false">IF((E85="m"),G85," ")</f>
        <v> </v>
      </c>
      <c r="Q85" s="334" t="str">
        <f aca="false">IF((E85="t"),G85," ")</f>
        <v> </v>
      </c>
      <c r="R85" s="334" t="str">
        <f aca="false">IF((E85="a"),G85," ")</f>
        <v> </v>
      </c>
      <c r="S85" s="334" t="str">
        <f aca="false">IF((E85="l"),G85," ")</f>
        <v> </v>
      </c>
      <c r="T85" s="334" t="str">
        <f aca="false">IF((E85="b"),G85," ")</f>
        <v> </v>
      </c>
      <c r="U85" s="334" t="str">
        <f aca="false">IF((E85="i"),G85," ")</f>
        <v> </v>
      </c>
      <c r="V85" s="334" t="str">
        <f aca="false">IF((E85="o"),G85," ")</f>
        <v> </v>
      </c>
      <c r="W85" s="334" t="str">
        <f aca="false">IF((E85="f"),G85," ")</f>
        <v> </v>
      </c>
    </row>
    <row r="86" customFormat="false" ht="12.75" hidden="false" customHeight="false" outlineLevel="0" collapsed="false">
      <c r="A86" s="355"/>
      <c r="E86" s="365" t="str">
        <f aca="false">IF((G86&lt;&gt;0),"Enter Letter"," ")</f>
        <v> </v>
      </c>
      <c r="H86" s="338" t="str">
        <f aca="false">IF((G86&lt;&gt;0),IF((D86&gt;0)," ",G86)," ")</f>
        <v> </v>
      </c>
      <c r="I86" s="367" t="str">
        <f aca="false">IF((G86&lt;&gt;0),IF((D86&gt;0)," ",(I$1-A86))," ")</f>
        <v> </v>
      </c>
      <c r="J86" s="334" t="str">
        <f aca="false">IF((E86="s"),G86," ")</f>
        <v> </v>
      </c>
      <c r="K86" s="334" t="str">
        <f aca="false">IF((E86="d"),G86," ")</f>
        <v> </v>
      </c>
      <c r="L86" s="334" t="str">
        <f aca="false">IF((E86="e"),G86," ")</f>
        <v> </v>
      </c>
      <c r="M86" s="334" t="str">
        <f aca="false">IF((E86="p"),G86," ")</f>
        <v> </v>
      </c>
      <c r="N86" s="334" t="str">
        <f aca="false">IF((E86="r"),G86," ")</f>
        <v> </v>
      </c>
      <c r="O86" s="334" t="str">
        <f aca="false">IF((E86="g"),G86," ")</f>
        <v> </v>
      </c>
      <c r="P86" s="334" t="str">
        <f aca="false">IF((E86="m"),G86," ")</f>
        <v> </v>
      </c>
      <c r="Q86" s="334" t="str">
        <f aca="false">IF((E86="t"),G86," ")</f>
        <v> </v>
      </c>
      <c r="R86" s="334" t="str">
        <f aca="false">IF((E86="a"),G86," ")</f>
        <v> </v>
      </c>
      <c r="S86" s="334" t="str">
        <f aca="false">IF((E86="l"),G86," ")</f>
        <v> </v>
      </c>
      <c r="T86" s="334" t="str">
        <f aca="false">IF((E86="b"),G86," ")</f>
        <v> </v>
      </c>
      <c r="U86" s="334" t="str">
        <f aca="false">IF((E86="i"),G86," ")</f>
        <v> </v>
      </c>
      <c r="V86" s="334" t="str">
        <f aca="false">IF((E86="o"),G86," ")</f>
        <v> </v>
      </c>
      <c r="W86" s="334" t="str">
        <f aca="false">IF((E86="f"),G86," ")</f>
        <v> </v>
      </c>
    </row>
    <row r="87" customFormat="false" ht="12.75" hidden="false" customHeight="false" outlineLevel="0" collapsed="false">
      <c r="A87" s="355"/>
      <c r="E87" s="365" t="str">
        <f aca="false">IF((G87&lt;&gt;0),"Enter Letter"," ")</f>
        <v> </v>
      </c>
      <c r="H87" s="338" t="str">
        <f aca="false">IF((G87&lt;&gt;0),IF((D87&gt;0)," ",G87)," ")</f>
        <v> </v>
      </c>
      <c r="I87" s="367" t="str">
        <f aca="false">IF((G87&lt;&gt;0),IF((D87&gt;0)," ",(I$1-A87))," ")</f>
        <v> </v>
      </c>
      <c r="J87" s="334" t="str">
        <f aca="false">IF((E87="s"),G87," ")</f>
        <v> </v>
      </c>
      <c r="K87" s="334" t="str">
        <f aca="false">IF((E87="d"),G87," ")</f>
        <v> </v>
      </c>
      <c r="L87" s="334" t="str">
        <f aca="false">IF((E87="e"),G87," ")</f>
        <v> </v>
      </c>
      <c r="M87" s="334" t="str">
        <f aca="false">IF((E87="p"),G87," ")</f>
        <v> </v>
      </c>
      <c r="N87" s="334" t="str">
        <f aca="false">IF((E87="r"),G87," ")</f>
        <v> </v>
      </c>
      <c r="O87" s="334" t="str">
        <f aca="false">IF((E87="g"),G87," ")</f>
        <v> </v>
      </c>
      <c r="P87" s="334" t="str">
        <f aca="false">IF((E87="m"),G87," ")</f>
        <v> </v>
      </c>
      <c r="Q87" s="334" t="str">
        <f aca="false">IF((E87="t"),G87," ")</f>
        <v> </v>
      </c>
      <c r="R87" s="334" t="str">
        <f aca="false">IF((E87="a"),G87," ")</f>
        <v> </v>
      </c>
      <c r="S87" s="334" t="str">
        <f aca="false">IF((E87="l"),G87," ")</f>
        <v> </v>
      </c>
      <c r="T87" s="334" t="str">
        <f aca="false">IF((E87="b"),G87," ")</f>
        <v> </v>
      </c>
      <c r="U87" s="334" t="str">
        <f aca="false">IF((E87="i"),G87," ")</f>
        <v> </v>
      </c>
      <c r="V87" s="334" t="str">
        <f aca="false">IF((E87="o"),G87," ")</f>
        <v> </v>
      </c>
      <c r="W87" s="334" t="str">
        <f aca="false">IF((E87="f"),G87," ")</f>
        <v> </v>
      </c>
    </row>
    <row r="88" customFormat="false" ht="12.75" hidden="false" customHeight="false" outlineLevel="0" collapsed="false">
      <c r="A88" s="355"/>
      <c r="E88" s="365" t="str">
        <f aca="false">IF((G88&lt;&gt;0),"Enter Letter"," ")</f>
        <v> </v>
      </c>
      <c r="H88" s="338" t="str">
        <f aca="false">IF((G88&lt;&gt;0),IF((D88&gt;0)," ",G88)," ")</f>
        <v> </v>
      </c>
      <c r="I88" s="367" t="str">
        <f aca="false">IF((G88&lt;&gt;0),IF((D88&gt;0)," ",(I$1-A88))," ")</f>
        <v> </v>
      </c>
      <c r="J88" s="334" t="str">
        <f aca="false">IF((E88="s"),G88," ")</f>
        <v> </v>
      </c>
      <c r="K88" s="334" t="str">
        <f aca="false">IF((E88="d"),G88," ")</f>
        <v> </v>
      </c>
      <c r="L88" s="334" t="str">
        <f aca="false">IF((E88="e"),G88," ")</f>
        <v> </v>
      </c>
      <c r="M88" s="334" t="str">
        <f aca="false">IF((E88="p"),G88," ")</f>
        <v> </v>
      </c>
      <c r="N88" s="334" t="str">
        <f aca="false">IF((E88="r"),G88," ")</f>
        <v> </v>
      </c>
      <c r="O88" s="334" t="str">
        <f aca="false">IF((E88="g"),G88," ")</f>
        <v> </v>
      </c>
      <c r="P88" s="334" t="str">
        <f aca="false">IF((E88="m"),G88," ")</f>
        <v> </v>
      </c>
      <c r="Q88" s="334" t="str">
        <f aca="false">IF((E88="t"),G88," ")</f>
        <v> </v>
      </c>
      <c r="R88" s="334" t="str">
        <f aca="false">IF((E88="a"),G88," ")</f>
        <v> </v>
      </c>
      <c r="S88" s="334" t="str">
        <f aca="false">IF((E88="l"),G88," ")</f>
        <v> </v>
      </c>
      <c r="T88" s="334" t="str">
        <f aca="false">IF((E88="b"),G88," ")</f>
        <v> </v>
      </c>
      <c r="U88" s="334" t="str">
        <f aca="false">IF((E88="i"),G88," ")</f>
        <v> </v>
      </c>
      <c r="V88" s="334" t="str">
        <f aca="false">IF((E88="o"),G88," ")</f>
        <v> </v>
      </c>
      <c r="W88" s="334" t="str">
        <f aca="false">IF((E88="f"),G88," ")</f>
        <v> </v>
      </c>
    </row>
    <row r="89" customFormat="false" ht="12.75" hidden="false" customHeight="false" outlineLevel="0" collapsed="false">
      <c r="A89" s="355"/>
      <c r="E89" s="365" t="str">
        <f aca="false">IF((G89&lt;&gt;0),"Enter Letter"," ")</f>
        <v> </v>
      </c>
      <c r="H89" s="338" t="str">
        <f aca="false">IF((G89&lt;&gt;0),IF((D89&gt;0)," ",G89)," ")</f>
        <v> </v>
      </c>
      <c r="I89" s="367" t="str">
        <f aca="false">IF((G89&lt;&gt;0),IF((D89&gt;0)," ",(I$1-A89))," ")</f>
        <v> </v>
      </c>
      <c r="J89" s="334" t="str">
        <f aca="false">IF((E89="s"),G89," ")</f>
        <v> </v>
      </c>
      <c r="K89" s="334" t="str">
        <f aca="false">IF((E89="d"),G89," ")</f>
        <v> </v>
      </c>
      <c r="L89" s="334" t="str">
        <f aca="false">IF((E89="e"),G89," ")</f>
        <v> </v>
      </c>
      <c r="M89" s="334" t="str">
        <f aca="false">IF((E89="p"),G89," ")</f>
        <v> </v>
      </c>
      <c r="N89" s="334" t="str">
        <f aca="false">IF((E89="r"),G89," ")</f>
        <v> </v>
      </c>
      <c r="O89" s="334" t="str">
        <f aca="false">IF((E89="g"),G89," ")</f>
        <v> </v>
      </c>
      <c r="P89" s="334" t="str">
        <f aca="false">IF((E89="m"),G89," ")</f>
        <v> </v>
      </c>
      <c r="Q89" s="334" t="str">
        <f aca="false">IF((E89="t"),G89," ")</f>
        <v> </v>
      </c>
      <c r="R89" s="334" t="str">
        <f aca="false">IF((E89="a"),G89," ")</f>
        <v> </v>
      </c>
      <c r="S89" s="334" t="str">
        <f aca="false">IF((E89="l"),G89," ")</f>
        <v> </v>
      </c>
      <c r="T89" s="334" t="str">
        <f aca="false">IF((E89="b"),G89," ")</f>
        <v> </v>
      </c>
      <c r="U89" s="334" t="str">
        <f aca="false">IF((E89="i"),G89," ")</f>
        <v> </v>
      </c>
      <c r="V89" s="334" t="str">
        <f aca="false">IF((E89="o"),G89," ")</f>
        <v> </v>
      </c>
      <c r="W89" s="334" t="str">
        <f aca="false">IF((E89="f"),G89," ")</f>
        <v> </v>
      </c>
    </row>
    <row r="90" customFormat="false" ht="12.75" hidden="false" customHeight="false" outlineLevel="0" collapsed="false">
      <c r="A90" s="355"/>
      <c r="E90" s="365" t="str">
        <f aca="false">IF((G90&lt;&gt;0),"Enter Letter"," ")</f>
        <v> </v>
      </c>
      <c r="H90" s="338" t="str">
        <f aca="false">IF((G90&lt;&gt;0),IF((D90&gt;0)," ",G90)," ")</f>
        <v> </v>
      </c>
      <c r="I90" s="367" t="str">
        <f aca="false">IF((G90&lt;&gt;0),IF((D90&gt;0)," ",(I$1-A90))," ")</f>
        <v> </v>
      </c>
      <c r="J90" s="334" t="str">
        <f aca="false">IF((E90="s"),G90," ")</f>
        <v> </v>
      </c>
      <c r="K90" s="334" t="str">
        <f aca="false">IF((E90="d"),G90," ")</f>
        <v> </v>
      </c>
      <c r="L90" s="334" t="str">
        <f aca="false">IF((E90="e"),G90," ")</f>
        <v> </v>
      </c>
      <c r="M90" s="334" t="str">
        <f aca="false">IF((E90="p"),G90," ")</f>
        <v> </v>
      </c>
      <c r="N90" s="334" t="str">
        <f aca="false">IF((E90="r"),G90," ")</f>
        <v> </v>
      </c>
      <c r="O90" s="334" t="str">
        <f aca="false">IF((E90="g"),G90," ")</f>
        <v> </v>
      </c>
      <c r="P90" s="334" t="str">
        <f aca="false">IF((E90="m"),G90," ")</f>
        <v> </v>
      </c>
      <c r="Q90" s="334" t="str">
        <f aca="false">IF((E90="t"),G90," ")</f>
        <v> </v>
      </c>
      <c r="R90" s="334" t="str">
        <f aca="false">IF((E90="a"),G90," ")</f>
        <v> </v>
      </c>
      <c r="S90" s="334" t="str">
        <f aca="false">IF((E90="l"),G90," ")</f>
        <v> </v>
      </c>
      <c r="T90" s="334" t="str">
        <f aca="false">IF((E90="b"),G90," ")</f>
        <v> </v>
      </c>
      <c r="U90" s="334" t="str">
        <f aca="false">IF((E90="i"),G90," ")</f>
        <v> </v>
      </c>
      <c r="V90" s="334" t="str">
        <f aca="false">IF((E90="o"),G90," ")</f>
        <v> </v>
      </c>
      <c r="W90" s="334" t="str">
        <f aca="false">IF((E90="f"),G90," ")</f>
        <v> </v>
      </c>
    </row>
    <row r="91" customFormat="false" ht="12.75" hidden="false" customHeight="false" outlineLevel="0" collapsed="false">
      <c r="A91" s="355"/>
      <c r="E91" s="365" t="str">
        <f aca="false">IF((G91&lt;&gt;0),"Enter Letter"," ")</f>
        <v> </v>
      </c>
      <c r="H91" s="338" t="str">
        <f aca="false">IF((G91&lt;&gt;0),IF((D91&gt;0)," ",G91)," ")</f>
        <v> </v>
      </c>
      <c r="I91" s="367" t="str">
        <f aca="false">IF((G91&lt;&gt;0),IF((D91&gt;0)," ",(I$1-A91))," ")</f>
        <v> </v>
      </c>
      <c r="J91" s="334" t="str">
        <f aca="false">IF((E91="s"),G91," ")</f>
        <v> </v>
      </c>
      <c r="K91" s="334" t="str">
        <f aca="false">IF((E91="d"),G91," ")</f>
        <v> </v>
      </c>
      <c r="L91" s="334" t="str">
        <f aca="false">IF((E91="e"),G91," ")</f>
        <v> </v>
      </c>
      <c r="M91" s="334" t="str">
        <f aca="false">IF((E91="p"),G91," ")</f>
        <v> </v>
      </c>
      <c r="N91" s="334" t="str">
        <f aca="false">IF((E91="r"),G91," ")</f>
        <v> </v>
      </c>
      <c r="O91" s="334" t="str">
        <f aca="false">IF((E91="g"),G91," ")</f>
        <v> </v>
      </c>
      <c r="P91" s="334" t="str">
        <f aca="false">IF((E91="m"),G91," ")</f>
        <v> </v>
      </c>
      <c r="Q91" s="334" t="str">
        <f aca="false">IF((E91="t"),G91," ")</f>
        <v> </v>
      </c>
      <c r="R91" s="334" t="str">
        <f aca="false">IF((E91="a"),G91," ")</f>
        <v> </v>
      </c>
      <c r="S91" s="334" t="str">
        <f aca="false">IF((E91="l"),G91," ")</f>
        <v> </v>
      </c>
      <c r="T91" s="334" t="str">
        <f aca="false">IF((E91="b"),G91," ")</f>
        <v> </v>
      </c>
      <c r="U91" s="334" t="str">
        <f aca="false">IF((E91="i"),G91," ")</f>
        <v> </v>
      </c>
      <c r="V91" s="334" t="str">
        <f aca="false">IF((E91="o"),G91," ")</f>
        <v> </v>
      </c>
      <c r="W91" s="334" t="str">
        <f aca="false">IF((E91="f"),G91," ")</f>
        <v> </v>
      </c>
    </row>
    <row r="92" customFormat="false" ht="12.75" hidden="false" customHeight="false" outlineLevel="0" collapsed="false">
      <c r="A92" s="355"/>
      <c r="E92" s="365" t="str">
        <f aca="false">IF((G92&lt;&gt;0),"Enter Letter"," ")</f>
        <v> </v>
      </c>
      <c r="H92" s="338" t="str">
        <f aca="false">IF((G92&lt;&gt;0),IF((D92&gt;0)," ",G92)," ")</f>
        <v> </v>
      </c>
      <c r="I92" s="367" t="str">
        <f aca="false">IF((G92&lt;&gt;0),IF((D92&gt;0)," ",(I$1-A92))," ")</f>
        <v> </v>
      </c>
      <c r="J92" s="334" t="str">
        <f aca="false">IF((E92="s"),G92," ")</f>
        <v> </v>
      </c>
      <c r="K92" s="334" t="str">
        <f aca="false">IF((E92="d"),G92," ")</f>
        <v> </v>
      </c>
      <c r="L92" s="334" t="str">
        <f aca="false">IF((E92="e"),G92," ")</f>
        <v> </v>
      </c>
      <c r="M92" s="334" t="str">
        <f aca="false">IF((E92="p"),G92," ")</f>
        <v> </v>
      </c>
      <c r="N92" s="334" t="str">
        <f aca="false">IF((E92="r"),G92," ")</f>
        <v> </v>
      </c>
      <c r="O92" s="334" t="str">
        <f aca="false">IF((E92="g"),G92," ")</f>
        <v> </v>
      </c>
      <c r="P92" s="334" t="str">
        <f aca="false">IF((E92="m"),G92," ")</f>
        <v> </v>
      </c>
      <c r="Q92" s="334" t="str">
        <f aca="false">IF((E92="t"),G92," ")</f>
        <v> </v>
      </c>
      <c r="R92" s="334" t="str">
        <f aca="false">IF((E92="a"),G92," ")</f>
        <v> </v>
      </c>
      <c r="S92" s="334" t="str">
        <f aca="false">IF((E92="l"),G92," ")</f>
        <v> </v>
      </c>
      <c r="T92" s="334" t="str">
        <f aca="false">IF((E92="b"),G92," ")</f>
        <v> </v>
      </c>
      <c r="U92" s="334" t="str">
        <f aca="false">IF((E92="i"),G92," ")</f>
        <v> </v>
      </c>
      <c r="V92" s="334" t="str">
        <f aca="false">IF((E92="o"),G92," ")</f>
        <v> </v>
      </c>
      <c r="W92" s="334" t="str">
        <f aca="false">IF((E92="f"),G92," ")</f>
        <v> </v>
      </c>
    </row>
    <row r="93" customFormat="false" ht="12.75" hidden="false" customHeight="false" outlineLevel="0" collapsed="false">
      <c r="A93" s="355"/>
      <c r="E93" s="365" t="str">
        <f aca="false">IF((G93&lt;&gt;0),"Enter Letter"," ")</f>
        <v> </v>
      </c>
      <c r="H93" s="338" t="str">
        <f aca="false">IF((G93&lt;&gt;0),IF((D93&gt;0)," ",G93)," ")</f>
        <v> </v>
      </c>
      <c r="I93" s="367" t="str">
        <f aca="false">IF((G93&lt;&gt;0),IF((D93&gt;0)," ",(I$1-A93))," ")</f>
        <v> </v>
      </c>
      <c r="J93" s="334" t="str">
        <f aca="false">IF((E93="s"),G93," ")</f>
        <v> </v>
      </c>
      <c r="K93" s="334" t="str">
        <f aca="false">IF((E93="d"),G93," ")</f>
        <v> </v>
      </c>
      <c r="L93" s="334" t="str">
        <f aca="false">IF((E93="e"),G93," ")</f>
        <v> </v>
      </c>
      <c r="M93" s="334" t="str">
        <f aca="false">IF((E93="p"),G93," ")</f>
        <v> </v>
      </c>
      <c r="N93" s="334" t="str">
        <f aca="false">IF((E93="r"),G93," ")</f>
        <v> </v>
      </c>
      <c r="O93" s="334" t="str">
        <f aca="false">IF((E93="g"),G93," ")</f>
        <v> </v>
      </c>
      <c r="P93" s="334" t="str">
        <f aca="false">IF((E93="m"),G93," ")</f>
        <v> </v>
      </c>
      <c r="Q93" s="334" t="str">
        <f aca="false">IF((E93="t"),G93," ")</f>
        <v> </v>
      </c>
      <c r="R93" s="334" t="str">
        <f aca="false">IF((E93="a"),G93," ")</f>
        <v> </v>
      </c>
      <c r="S93" s="334" t="str">
        <f aca="false">IF((E93="l"),G93," ")</f>
        <v> </v>
      </c>
      <c r="T93" s="334" t="str">
        <f aca="false">IF((E93="b"),G93," ")</f>
        <v> </v>
      </c>
      <c r="U93" s="334" t="str">
        <f aca="false">IF((E93="i"),G93," ")</f>
        <v> </v>
      </c>
      <c r="V93" s="334" t="str">
        <f aca="false">IF((E93="o"),G93," ")</f>
        <v> </v>
      </c>
      <c r="W93" s="334" t="str">
        <f aca="false">IF((E93="f"),G93," ")</f>
        <v> </v>
      </c>
    </row>
    <row r="94" customFormat="false" ht="12.75" hidden="false" customHeight="false" outlineLevel="0" collapsed="false">
      <c r="A94" s="355"/>
      <c r="E94" s="365" t="str">
        <f aca="false">IF((G94&lt;&gt;0),"Enter Letter"," ")</f>
        <v> </v>
      </c>
      <c r="H94" s="338" t="str">
        <f aca="false">IF((G94&lt;&gt;0),IF((D94&gt;0)," ",G94)," ")</f>
        <v> </v>
      </c>
      <c r="I94" s="367" t="str">
        <f aca="false">IF((G94&lt;&gt;0),IF((D94&gt;0)," ",(I$1-A94))," ")</f>
        <v> </v>
      </c>
      <c r="J94" s="334" t="str">
        <f aca="false">IF((E94="s"),G94," ")</f>
        <v> </v>
      </c>
      <c r="K94" s="334" t="str">
        <f aca="false">IF((E94="d"),G94," ")</f>
        <v> </v>
      </c>
      <c r="L94" s="334" t="str">
        <f aca="false">IF((E94="e"),G94," ")</f>
        <v> </v>
      </c>
      <c r="M94" s="334" t="str">
        <f aca="false">IF((E94="p"),G94," ")</f>
        <v> </v>
      </c>
      <c r="N94" s="334" t="str">
        <f aca="false">IF((E94="r"),G94," ")</f>
        <v> </v>
      </c>
      <c r="O94" s="334" t="str">
        <f aca="false">IF((E94="g"),G94," ")</f>
        <v> </v>
      </c>
      <c r="P94" s="334" t="str">
        <f aca="false">IF((E94="m"),G94," ")</f>
        <v> </v>
      </c>
      <c r="Q94" s="334" t="str">
        <f aca="false">IF((E94="t"),G94," ")</f>
        <v> </v>
      </c>
      <c r="R94" s="334" t="str">
        <f aca="false">IF((E94="a"),G94," ")</f>
        <v> </v>
      </c>
      <c r="S94" s="334" t="str">
        <f aca="false">IF((E94="l"),G94," ")</f>
        <v> </v>
      </c>
      <c r="T94" s="334" t="str">
        <f aca="false">IF((E94="b"),G94," ")</f>
        <v> </v>
      </c>
      <c r="U94" s="334" t="str">
        <f aca="false">IF((E94="i"),G94," ")</f>
        <v> </v>
      </c>
      <c r="V94" s="334" t="str">
        <f aca="false">IF((E94="o"),G94," ")</f>
        <v> </v>
      </c>
      <c r="W94" s="334" t="str">
        <f aca="false">IF((E94="f"),G94," ")</f>
        <v> </v>
      </c>
    </row>
    <row r="95" customFormat="false" ht="12.75" hidden="false" customHeight="false" outlineLevel="0" collapsed="false">
      <c r="A95" s="355"/>
      <c r="E95" s="365" t="str">
        <f aca="false">IF((G95&lt;&gt;0),"Enter Letter"," ")</f>
        <v> </v>
      </c>
      <c r="H95" s="338" t="str">
        <f aca="false">IF((G95&lt;&gt;0),IF((D95&gt;0)," ",G95)," ")</f>
        <v> </v>
      </c>
      <c r="I95" s="367" t="str">
        <f aca="false">IF((G95&lt;&gt;0),IF((D95&gt;0)," ",(I$1-A95))," ")</f>
        <v> </v>
      </c>
      <c r="J95" s="334" t="str">
        <f aca="false">IF((E95="s"),G95," ")</f>
        <v> </v>
      </c>
      <c r="K95" s="334" t="str">
        <f aca="false">IF((E95="d"),G95," ")</f>
        <v> </v>
      </c>
      <c r="L95" s="334" t="str">
        <f aca="false">IF((E95="e"),G95," ")</f>
        <v> </v>
      </c>
      <c r="M95" s="334" t="str">
        <f aca="false">IF((E95="p"),G95," ")</f>
        <v> </v>
      </c>
      <c r="N95" s="334" t="str">
        <f aca="false">IF((E95="r"),G95," ")</f>
        <v> </v>
      </c>
      <c r="O95" s="334" t="str">
        <f aca="false">IF((E95="g"),G95," ")</f>
        <v> </v>
      </c>
      <c r="P95" s="334" t="str">
        <f aca="false">IF((E95="m"),G95," ")</f>
        <v> </v>
      </c>
      <c r="Q95" s="334" t="str">
        <f aca="false">IF((E95="t"),G95," ")</f>
        <v> </v>
      </c>
      <c r="R95" s="334" t="str">
        <f aca="false">IF((E95="a"),G95," ")</f>
        <v> </v>
      </c>
      <c r="S95" s="334" t="str">
        <f aca="false">IF((E95="l"),G95," ")</f>
        <v> </v>
      </c>
      <c r="T95" s="334" t="str">
        <f aca="false">IF((E95="b"),G95," ")</f>
        <v> </v>
      </c>
      <c r="U95" s="334" t="str">
        <f aca="false">IF((E95="i"),G95," ")</f>
        <v> </v>
      </c>
      <c r="V95" s="334" t="str">
        <f aca="false">IF((E95="o"),G95," ")</f>
        <v> </v>
      </c>
      <c r="W95" s="334" t="str">
        <f aca="false">IF((E95="f"),G95," ")</f>
        <v> </v>
      </c>
    </row>
    <row r="96" customFormat="false" ht="12.75" hidden="false" customHeight="false" outlineLevel="0" collapsed="false">
      <c r="A96" s="355"/>
      <c r="E96" s="365" t="str">
        <f aca="false">IF((G96&lt;&gt;0),"Enter Letter"," ")</f>
        <v> </v>
      </c>
      <c r="H96" s="338" t="str">
        <f aca="false">IF((G96&lt;&gt;0),IF((D96&gt;0)," ",G96)," ")</f>
        <v> </v>
      </c>
      <c r="I96" s="367" t="str">
        <f aca="false">IF((G96&lt;&gt;0),IF((D96&gt;0)," ",(I$1-A96))," ")</f>
        <v> </v>
      </c>
      <c r="J96" s="334" t="str">
        <f aca="false">IF((E96="s"),G96," ")</f>
        <v> </v>
      </c>
      <c r="K96" s="334" t="str">
        <f aca="false">IF((E96="d"),G96," ")</f>
        <v> </v>
      </c>
      <c r="L96" s="334" t="str">
        <f aca="false">IF((E96="e"),G96," ")</f>
        <v> </v>
      </c>
      <c r="M96" s="334" t="str">
        <f aca="false">IF((E96="p"),G96," ")</f>
        <v> </v>
      </c>
      <c r="N96" s="334" t="str">
        <f aca="false">IF((E96="r"),G96," ")</f>
        <v> </v>
      </c>
      <c r="O96" s="334" t="str">
        <f aca="false">IF((E96="g"),G96," ")</f>
        <v> </v>
      </c>
      <c r="P96" s="334" t="str">
        <f aca="false">IF((E96="m"),G96," ")</f>
        <v> </v>
      </c>
      <c r="Q96" s="334" t="str">
        <f aca="false">IF((E96="t"),G96," ")</f>
        <v> </v>
      </c>
      <c r="R96" s="334" t="str">
        <f aca="false">IF((E96="a"),G96," ")</f>
        <v> </v>
      </c>
      <c r="S96" s="334" t="str">
        <f aca="false">IF((E96="l"),G96," ")</f>
        <v> </v>
      </c>
      <c r="T96" s="334" t="str">
        <f aca="false">IF((E96="b"),G96," ")</f>
        <v> </v>
      </c>
      <c r="U96" s="334" t="str">
        <f aca="false">IF((E96="i"),G96," ")</f>
        <v> </v>
      </c>
      <c r="V96" s="334" t="str">
        <f aca="false">IF((E96="o"),G96," ")</f>
        <v> </v>
      </c>
      <c r="W96" s="334" t="str">
        <f aca="false">IF((E96="f"),G96," ")</f>
        <v> </v>
      </c>
    </row>
    <row r="97" customFormat="false" ht="12.75" hidden="false" customHeight="false" outlineLevel="0" collapsed="false">
      <c r="A97" s="355"/>
      <c r="E97" s="365" t="str">
        <f aca="false">IF((G97&lt;&gt;0),"Enter Letter"," ")</f>
        <v> </v>
      </c>
      <c r="H97" s="338" t="str">
        <f aca="false">IF((G97&lt;&gt;0),IF((D97&gt;0)," ",G97)," ")</f>
        <v> </v>
      </c>
      <c r="I97" s="367" t="str">
        <f aca="false">IF((G97&lt;&gt;0),IF((D97&gt;0)," ",(I$1-A97))," ")</f>
        <v> </v>
      </c>
      <c r="J97" s="334" t="str">
        <f aca="false">IF((E97="s"),G97," ")</f>
        <v> </v>
      </c>
      <c r="K97" s="334" t="str">
        <f aca="false">IF((E97="d"),G97," ")</f>
        <v> </v>
      </c>
      <c r="L97" s="334" t="str">
        <f aca="false">IF((E97="e"),G97," ")</f>
        <v> </v>
      </c>
      <c r="M97" s="334" t="str">
        <f aca="false">IF((E97="p"),G97," ")</f>
        <v> </v>
      </c>
      <c r="N97" s="334" t="str">
        <f aca="false">IF((E97="r"),G97," ")</f>
        <v> </v>
      </c>
      <c r="O97" s="334" t="str">
        <f aca="false">IF((E97="g"),G97," ")</f>
        <v> </v>
      </c>
      <c r="P97" s="334" t="str">
        <f aca="false">IF((E97="m"),G97," ")</f>
        <v> </v>
      </c>
      <c r="Q97" s="334" t="str">
        <f aca="false">IF((E97="t"),G97," ")</f>
        <v> </v>
      </c>
      <c r="R97" s="334" t="str">
        <f aca="false">IF((E97="a"),G97," ")</f>
        <v> </v>
      </c>
      <c r="S97" s="334" t="str">
        <f aca="false">IF((E97="l"),G97," ")</f>
        <v> </v>
      </c>
      <c r="T97" s="334" t="str">
        <f aca="false">IF((E97="b"),G97," ")</f>
        <v> </v>
      </c>
      <c r="U97" s="334" t="str">
        <f aca="false">IF((E97="i"),G97," ")</f>
        <v> </v>
      </c>
      <c r="V97" s="334" t="str">
        <f aca="false">IF((E97="o"),G97," ")</f>
        <v> </v>
      </c>
      <c r="W97" s="334" t="str">
        <f aca="false">IF((E97="f"),G97," ")</f>
        <v> </v>
      </c>
    </row>
    <row r="98" customFormat="false" ht="12.75" hidden="false" customHeight="false" outlineLevel="0" collapsed="false">
      <c r="A98" s="355"/>
      <c r="E98" s="365" t="str">
        <f aca="false">IF((G98&lt;&gt;0),"Enter Letter"," ")</f>
        <v> </v>
      </c>
      <c r="H98" s="338" t="str">
        <f aca="false">IF((G98&lt;&gt;0),IF((D98&gt;0)," ",G98)," ")</f>
        <v> </v>
      </c>
      <c r="I98" s="367" t="str">
        <f aca="false">IF((G98&lt;&gt;0),IF((D98&gt;0)," ",(I$1-A98))," ")</f>
        <v> </v>
      </c>
      <c r="J98" s="334" t="str">
        <f aca="false">IF((E98="s"),G98," ")</f>
        <v> </v>
      </c>
      <c r="K98" s="334" t="str">
        <f aca="false">IF((E98="d"),G98," ")</f>
        <v> </v>
      </c>
      <c r="L98" s="334" t="str">
        <f aca="false">IF((E98="e"),G98," ")</f>
        <v> </v>
      </c>
      <c r="M98" s="334" t="str">
        <f aca="false">IF((E98="p"),G98," ")</f>
        <v> </v>
      </c>
      <c r="N98" s="334" t="str">
        <f aca="false">IF((E98="r"),G98," ")</f>
        <v> </v>
      </c>
      <c r="O98" s="334" t="str">
        <f aca="false">IF((E98="g"),G98," ")</f>
        <v> </v>
      </c>
      <c r="P98" s="334" t="str">
        <f aca="false">IF((E98="m"),G98," ")</f>
        <v> </v>
      </c>
      <c r="Q98" s="334" t="str">
        <f aca="false">IF((E98="t"),G98," ")</f>
        <v> </v>
      </c>
      <c r="R98" s="334" t="str">
        <f aca="false">IF((E98="a"),G98," ")</f>
        <v> </v>
      </c>
      <c r="S98" s="334" t="str">
        <f aca="false">IF((E98="l"),G98," ")</f>
        <v> </v>
      </c>
      <c r="T98" s="334" t="str">
        <f aca="false">IF((E98="b"),G98," ")</f>
        <v> </v>
      </c>
      <c r="U98" s="334" t="str">
        <f aca="false">IF((E98="i"),G98," ")</f>
        <v> </v>
      </c>
      <c r="V98" s="334" t="str">
        <f aca="false">IF((E98="o"),G98," ")</f>
        <v> </v>
      </c>
      <c r="W98" s="334" t="str">
        <f aca="false">IF((E98="f"),G98," ")</f>
        <v> </v>
      </c>
    </row>
    <row r="99" customFormat="false" ht="12.75" hidden="false" customHeight="false" outlineLevel="0" collapsed="false">
      <c r="A99" s="355"/>
      <c r="E99" s="365" t="str">
        <f aca="false">IF((G99&lt;&gt;0),"Enter Letter"," ")</f>
        <v> </v>
      </c>
      <c r="H99" s="338" t="str">
        <f aca="false">IF((G99&lt;&gt;0),IF((D99&gt;0)," ",G99)," ")</f>
        <v> </v>
      </c>
      <c r="I99" s="367" t="str">
        <f aca="false">IF((G99&lt;&gt;0),IF((D99&gt;0)," ",(I$1-A99))," ")</f>
        <v> </v>
      </c>
      <c r="J99" s="334" t="str">
        <f aca="false">IF((E99="s"),G99," ")</f>
        <v> </v>
      </c>
      <c r="K99" s="334" t="str">
        <f aca="false">IF((E99="d"),G99," ")</f>
        <v> </v>
      </c>
      <c r="L99" s="334" t="str">
        <f aca="false">IF((E99="e"),G99," ")</f>
        <v> </v>
      </c>
      <c r="M99" s="334" t="str">
        <f aca="false">IF((E99="p"),G99," ")</f>
        <v> </v>
      </c>
      <c r="N99" s="334" t="str">
        <f aca="false">IF((E99="r"),G99," ")</f>
        <v> </v>
      </c>
      <c r="O99" s="334" t="str">
        <f aca="false">IF((E99="g"),G99," ")</f>
        <v> </v>
      </c>
      <c r="P99" s="334" t="str">
        <f aca="false">IF((E99="m"),G99," ")</f>
        <v> </v>
      </c>
      <c r="Q99" s="334" t="str">
        <f aca="false">IF((E99="t"),G99," ")</f>
        <v> </v>
      </c>
      <c r="R99" s="334" t="str">
        <f aca="false">IF((E99="a"),G99," ")</f>
        <v> </v>
      </c>
      <c r="S99" s="334" t="str">
        <f aca="false">IF((E99="l"),G99," ")</f>
        <v> </v>
      </c>
      <c r="T99" s="334" t="str">
        <f aca="false">IF((E99="b"),G99," ")</f>
        <v> </v>
      </c>
      <c r="U99" s="334" t="str">
        <f aca="false">IF((E99="i"),G99," ")</f>
        <v> </v>
      </c>
      <c r="V99" s="334" t="str">
        <f aca="false">IF((E99="o"),G99," ")</f>
        <v> </v>
      </c>
      <c r="W99" s="334" t="str">
        <f aca="false">IF((E99="f"),G99," ")</f>
        <v> </v>
      </c>
    </row>
    <row r="100" customFormat="false" ht="12.75" hidden="false" customHeight="false" outlineLevel="0" collapsed="false">
      <c r="A100" s="355"/>
      <c r="E100" s="365" t="str">
        <f aca="false">IF((G100&lt;&gt;0),"Enter Letter"," ")</f>
        <v> </v>
      </c>
      <c r="H100" s="338" t="str">
        <f aca="false">IF((G100&lt;&gt;0),IF((D100&gt;0)," ",G100)," ")</f>
        <v> </v>
      </c>
      <c r="I100" s="367" t="str">
        <f aca="false">IF((G100&lt;&gt;0),IF((D100&gt;0)," ",(I$1-A100))," ")</f>
        <v> </v>
      </c>
      <c r="J100" s="334" t="str">
        <f aca="false">IF((E100="s"),G100," ")</f>
        <v> </v>
      </c>
      <c r="K100" s="334" t="str">
        <f aca="false">IF((E100="d"),G100," ")</f>
        <v> </v>
      </c>
      <c r="L100" s="334" t="str">
        <f aca="false">IF((E100="e"),G100," ")</f>
        <v> </v>
      </c>
      <c r="M100" s="334" t="str">
        <f aca="false">IF((E100="p"),G100," ")</f>
        <v> </v>
      </c>
      <c r="N100" s="334" t="str">
        <f aca="false">IF((E100="r"),G100," ")</f>
        <v> </v>
      </c>
      <c r="O100" s="334" t="str">
        <f aca="false">IF((E100="g"),G100," ")</f>
        <v> </v>
      </c>
      <c r="P100" s="334" t="str">
        <f aca="false">IF((E100="m"),G100," ")</f>
        <v> </v>
      </c>
      <c r="Q100" s="334" t="str">
        <f aca="false">IF((E100="t"),G100," ")</f>
        <v> </v>
      </c>
      <c r="R100" s="334" t="str">
        <f aca="false">IF((E100="a"),G100," ")</f>
        <v> </v>
      </c>
      <c r="S100" s="334" t="str">
        <f aca="false">IF((E100="l"),G100," ")</f>
        <v> </v>
      </c>
      <c r="T100" s="334" t="str">
        <f aca="false">IF((E100="b"),G100," ")</f>
        <v> </v>
      </c>
      <c r="U100" s="334" t="str">
        <f aca="false">IF((E100="i"),G100," ")</f>
        <v> </v>
      </c>
      <c r="V100" s="334" t="str">
        <f aca="false">IF((E100="o"),G100," ")</f>
        <v> </v>
      </c>
      <c r="W100" s="334" t="str">
        <f aca="false">IF((E100="f"),G100," ")</f>
        <v> </v>
      </c>
    </row>
    <row r="101" customFormat="false" ht="12.75" hidden="false" customHeight="false" outlineLevel="0" collapsed="false">
      <c r="A101" s="355"/>
      <c r="E101" s="365" t="str">
        <f aca="false">IF((G101&lt;&gt;0),"Enter Letter"," ")</f>
        <v> </v>
      </c>
      <c r="H101" s="338" t="str">
        <f aca="false">IF((G101&lt;&gt;0),IF((D101&gt;0)," ",G101)," ")</f>
        <v> </v>
      </c>
      <c r="I101" s="367" t="str">
        <f aca="false">IF((G101&lt;&gt;0),IF((D101&gt;0)," ",(I$1-A101))," ")</f>
        <v> </v>
      </c>
      <c r="J101" s="334" t="str">
        <f aca="false">IF((E101="s"),G101," ")</f>
        <v> </v>
      </c>
      <c r="K101" s="334" t="str">
        <f aca="false">IF((E101="d"),G101," ")</f>
        <v> </v>
      </c>
      <c r="L101" s="334" t="str">
        <f aca="false">IF((E101="e"),G101," ")</f>
        <v> </v>
      </c>
      <c r="M101" s="334" t="str">
        <f aca="false">IF((E101="p"),G101," ")</f>
        <v> </v>
      </c>
      <c r="N101" s="334" t="str">
        <f aca="false">IF((E101="r"),G101," ")</f>
        <v> </v>
      </c>
      <c r="O101" s="334" t="str">
        <f aca="false">IF((E101="g"),G101," ")</f>
        <v> </v>
      </c>
      <c r="P101" s="334" t="str">
        <f aca="false">IF((E101="m"),G101," ")</f>
        <v> </v>
      </c>
      <c r="Q101" s="334" t="str">
        <f aca="false">IF((E101="t"),G101," ")</f>
        <v> </v>
      </c>
      <c r="R101" s="334" t="str">
        <f aca="false">IF((E101="a"),G101," ")</f>
        <v> </v>
      </c>
      <c r="S101" s="334" t="str">
        <f aca="false">IF((E101="l"),G101," ")</f>
        <v> </v>
      </c>
      <c r="T101" s="334" t="str">
        <f aca="false">IF((E101="b"),G101," ")</f>
        <v> </v>
      </c>
      <c r="U101" s="334" t="str">
        <f aca="false">IF((E101="i"),G101," ")</f>
        <v> </v>
      </c>
      <c r="V101" s="334" t="str">
        <f aca="false">IF((E101="o"),G101," ")</f>
        <v> </v>
      </c>
      <c r="W101" s="334" t="str">
        <f aca="false">IF((E101="f"),G101," ")</f>
        <v> </v>
      </c>
    </row>
    <row r="102" customFormat="false" ht="12.75" hidden="false" customHeight="false" outlineLevel="0" collapsed="false">
      <c r="A102" s="355"/>
      <c r="E102" s="365" t="str">
        <f aca="false">IF((G102&lt;&gt;0),"Enter Letter"," ")</f>
        <v> </v>
      </c>
      <c r="H102" s="338" t="str">
        <f aca="false">IF((G102&lt;&gt;0),IF((D102&gt;0)," ",G102)," ")</f>
        <v> </v>
      </c>
      <c r="I102" s="367" t="str">
        <f aca="false">IF((G102&lt;&gt;0),IF((D102&gt;0)," ",(I$1-A102))," ")</f>
        <v> </v>
      </c>
      <c r="J102" s="334" t="str">
        <f aca="false">IF((E102="s"),G102," ")</f>
        <v> </v>
      </c>
      <c r="K102" s="334" t="str">
        <f aca="false">IF((E102="d"),G102," ")</f>
        <v> </v>
      </c>
      <c r="L102" s="334" t="str">
        <f aca="false">IF((E102="e"),G102," ")</f>
        <v> </v>
      </c>
      <c r="M102" s="334" t="str">
        <f aca="false">IF((E102="p"),G102," ")</f>
        <v> </v>
      </c>
      <c r="N102" s="334" t="str">
        <f aca="false">IF((E102="r"),G102," ")</f>
        <v> </v>
      </c>
      <c r="O102" s="334" t="str">
        <f aca="false">IF((E102="g"),G102," ")</f>
        <v> </v>
      </c>
      <c r="P102" s="334" t="str">
        <f aca="false">IF((E102="m"),G102," ")</f>
        <v> </v>
      </c>
      <c r="Q102" s="334" t="str">
        <f aca="false">IF((E102="t"),G102," ")</f>
        <v> </v>
      </c>
      <c r="R102" s="334" t="str">
        <f aca="false">IF((E102="a"),G102," ")</f>
        <v> </v>
      </c>
      <c r="S102" s="334" t="str">
        <f aca="false">IF((E102="l"),G102," ")</f>
        <v> </v>
      </c>
      <c r="T102" s="334" t="str">
        <f aca="false">IF((E102="b"),G102," ")</f>
        <v> </v>
      </c>
      <c r="U102" s="334" t="str">
        <f aca="false">IF((E102="i"),G102," ")</f>
        <v> </v>
      </c>
      <c r="V102" s="334" t="str">
        <f aca="false">IF((E102="o"),G102," ")</f>
        <v> </v>
      </c>
      <c r="W102" s="334" t="str">
        <f aca="false">IF((E102="f"),G102," ")</f>
        <v> </v>
      </c>
    </row>
    <row r="103" customFormat="false" ht="12.75" hidden="false" customHeight="false" outlineLevel="0" collapsed="false">
      <c r="A103" s="355"/>
      <c r="E103" s="365" t="str">
        <f aca="false">IF((G103&lt;&gt;0),"Enter Letter"," ")</f>
        <v> </v>
      </c>
      <c r="H103" s="338" t="str">
        <f aca="false">IF((G103&lt;&gt;0),IF((D103&gt;0)," ",G103)," ")</f>
        <v> </v>
      </c>
      <c r="I103" s="367" t="str">
        <f aca="false">IF((G103&lt;&gt;0),IF((D103&gt;0)," ",(I$1-A103))," ")</f>
        <v> </v>
      </c>
      <c r="J103" s="334" t="str">
        <f aca="false">IF((E103="s"),G103," ")</f>
        <v> </v>
      </c>
      <c r="K103" s="334" t="str">
        <f aca="false">IF((E103="d"),G103," ")</f>
        <v> </v>
      </c>
      <c r="L103" s="334" t="str">
        <f aca="false">IF((E103="e"),G103," ")</f>
        <v> </v>
      </c>
      <c r="M103" s="334" t="str">
        <f aca="false">IF((E103="p"),G103," ")</f>
        <v> </v>
      </c>
      <c r="N103" s="334" t="str">
        <f aca="false">IF((E103="r"),G103," ")</f>
        <v> </v>
      </c>
      <c r="O103" s="334" t="str">
        <f aca="false">IF((E103="g"),G103," ")</f>
        <v> </v>
      </c>
      <c r="P103" s="334" t="str">
        <f aca="false">IF((E103="m"),G103," ")</f>
        <v> </v>
      </c>
      <c r="Q103" s="334" t="str">
        <f aca="false">IF((E103="t"),G103," ")</f>
        <v> </v>
      </c>
      <c r="R103" s="334" t="str">
        <f aca="false">IF((E103="a"),G103," ")</f>
        <v> </v>
      </c>
      <c r="S103" s="334" t="str">
        <f aca="false">IF((E103="l"),G103," ")</f>
        <v> </v>
      </c>
      <c r="T103" s="334" t="str">
        <f aca="false">IF((E103="b"),G103," ")</f>
        <v> </v>
      </c>
      <c r="U103" s="334" t="str">
        <f aca="false">IF((E103="i"),G103," ")</f>
        <v> </v>
      </c>
      <c r="V103" s="334" t="str">
        <f aca="false">IF((E103="o"),G103," ")</f>
        <v> </v>
      </c>
      <c r="W103" s="334" t="str">
        <f aca="false">IF((E103="f"),G103," ")</f>
        <v> </v>
      </c>
    </row>
    <row r="104" customFormat="false" ht="12.75" hidden="false" customHeight="false" outlineLevel="0" collapsed="false">
      <c r="A104" s="355"/>
      <c r="E104" s="365" t="str">
        <f aca="false">IF((G104&lt;&gt;0),"Enter Letter"," ")</f>
        <v> </v>
      </c>
      <c r="H104" s="338" t="str">
        <f aca="false">IF((G104&lt;&gt;0),IF((D104&gt;0)," ",G104)," ")</f>
        <v> </v>
      </c>
      <c r="I104" s="367" t="str">
        <f aca="false">IF((G104&lt;&gt;0),IF((D104&gt;0)," ",(I$1-A104))," ")</f>
        <v> </v>
      </c>
      <c r="J104" s="334" t="str">
        <f aca="false">IF((E104="s"),G104," ")</f>
        <v> </v>
      </c>
      <c r="K104" s="334" t="str">
        <f aca="false">IF((E104="d"),G104," ")</f>
        <v> </v>
      </c>
      <c r="L104" s="334" t="str">
        <f aca="false">IF((E104="e"),G104," ")</f>
        <v> </v>
      </c>
      <c r="M104" s="334" t="str">
        <f aca="false">IF((E104="p"),G104," ")</f>
        <v> </v>
      </c>
      <c r="N104" s="334" t="str">
        <f aca="false">IF((E104="r"),G104," ")</f>
        <v> </v>
      </c>
      <c r="O104" s="334" t="str">
        <f aca="false">IF((E104="g"),G104," ")</f>
        <v> </v>
      </c>
      <c r="P104" s="334" t="str">
        <f aca="false">IF((E104="m"),G104," ")</f>
        <v> </v>
      </c>
      <c r="Q104" s="334" t="str">
        <f aca="false">IF((E104="t"),G104," ")</f>
        <v> </v>
      </c>
      <c r="R104" s="334" t="str">
        <f aca="false">IF((E104="a"),G104," ")</f>
        <v> </v>
      </c>
      <c r="S104" s="334" t="str">
        <f aca="false">IF((E104="l"),G104," ")</f>
        <v> </v>
      </c>
      <c r="T104" s="334" t="str">
        <f aca="false">IF((E104="b"),G104," ")</f>
        <v> </v>
      </c>
      <c r="U104" s="334" t="str">
        <f aca="false">IF((E104="i"),G104," ")</f>
        <v> </v>
      </c>
      <c r="V104" s="334" t="str">
        <f aca="false">IF((E104="o"),G104," ")</f>
        <v> </v>
      </c>
      <c r="W104" s="334" t="str">
        <f aca="false">IF((E104="f"),G104," ")</f>
        <v> </v>
      </c>
    </row>
    <row r="105" customFormat="false" ht="12.75" hidden="false" customHeight="false" outlineLevel="0" collapsed="false">
      <c r="A105" s="355"/>
      <c r="E105" s="365" t="str">
        <f aca="false">IF((G105&lt;&gt;0),"Enter Letter"," ")</f>
        <v> </v>
      </c>
      <c r="H105" s="338" t="str">
        <f aca="false">IF((G105&lt;&gt;0),IF((D105&gt;0)," ",G105)," ")</f>
        <v> </v>
      </c>
      <c r="I105" s="367" t="str">
        <f aca="false">IF((G105&lt;&gt;0),IF((D105&gt;0)," ",(I$1-A105))," ")</f>
        <v> </v>
      </c>
      <c r="J105" s="334" t="str">
        <f aca="false">IF((E105="s"),G105," ")</f>
        <v> </v>
      </c>
      <c r="K105" s="334" t="str">
        <f aca="false">IF((E105="d"),G105," ")</f>
        <v> </v>
      </c>
      <c r="L105" s="334" t="str">
        <f aca="false">IF((E105="e"),G105," ")</f>
        <v> </v>
      </c>
      <c r="M105" s="334" t="str">
        <f aca="false">IF((E105="p"),G105," ")</f>
        <v> </v>
      </c>
      <c r="N105" s="334" t="str">
        <f aca="false">IF((E105="r"),G105," ")</f>
        <v> </v>
      </c>
      <c r="O105" s="334" t="str">
        <f aca="false">IF((E105="g"),G105," ")</f>
        <v> </v>
      </c>
      <c r="P105" s="334" t="str">
        <f aca="false">IF((E105="m"),G105," ")</f>
        <v> </v>
      </c>
      <c r="Q105" s="334" t="str">
        <f aca="false">IF((E105="t"),G105," ")</f>
        <v> </v>
      </c>
      <c r="R105" s="334" t="str">
        <f aca="false">IF((E105="a"),G105," ")</f>
        <v> </v>
      </c>
      <c r="S105" s="334" t="str">
        <f aca="false">IF((E105="l"),G105," ")</f>
        <v> </v>
      </c>
      <c r="T105" s="334" t="str">
        <f aca="false">IF((E105="b"),G105," ")</f>
        <v> </v>
      </c>
      <c r="U105" s="334" t="str">
        <f aca="false">IF((E105="i"),G105," ")</f>
        <v> </v>
      </c>
      <c r="V105" s="334" t="str">
        <f aca="false">IF((E105="o"),G105," ")</f>
        <v> </v>
      </c>
      <c r="W105" s="334" t="str">
        <f aca="false">IF((E105="f"),G105," ")</f>
        <v> </v>
      </c>
    </row>
    <row r="106" customFormat="false" ht="12.75" hidden="false" customHeight="false" outlineLevel="0" collapsed="false">
      <c r="A106" s="355"/>
      <c r="E106" s="365" t="str">
        <f aca="false">IF((G106&lt;&gt;0),"Enter Letter"," ")</f>
        <v> </v>
      </c>
      <c r="H106" s="338" t="str">
        <f aca="false">IF((G106&lt;&gt;0),IF((D106&gt;0)," ",G106)," ")</f>
        <v> </v>
      </c>
      <c r="I106" s="367" t="str">
        <f aca="false">IF((G106&lt;&gt;0),IF((D106&gt;0)," ",(I$1-A106))," ")</f>
        <v> </v>
      </c>
      <c r="J106" s="334" t="str">
        <f aca="false">IF((E106="s"),G106," ")</f>
        <v> </v>
      </c>
      <c r="K106" s="334" t="str">
        <f aca="false">IF((E106="d"),G106," ")</f>
        <v> </v>
      </c>
      <c r="L106" s="334" t="str">
        <f aca="false">IF((E106="e"),G106," ")</f>
        <v> </v>
      </c>
      <c r="M106" s="334" t="str">
        <f aca="false">IF((E106="p"),G106," ")</f>
        <v> </v>
      </c>
      <c r="N106" s="334" t="str">
        <f aca="false">IF((E106="r"),G106," ")</f>
        <v> </v>
      </c>
      <c r="O106" s="334" t="str">
        <f aca="false">IF((E106="g"),G106," ")</f>
        <v> </v>
      </c>
      <c r="P106" s="334" t="str">
        <f aca="false">IF((E106="m"),G106," ")</f>
        <v> </v>
      </c>
      <c r="Q106" s="334" t="str">
        <f aca="false">IF((E106="t"),G106," ")</f>
        <v> </v>
      </c>
      <c r="R106" s="334" t="str">
        <f aca="false">IF((E106="a"),G106," ")</f>
        <v> </v>
      </c>
      <c r="S106" s="334" t="str">
        <f aca="false">IF((E106="l"),G106," ")</f>
        <v> </v>
      </c>
      <c r="T106" s="334" t="str">
        <f aca="false">IF((E106="b"),G106," ")</f>
        <v> </v>
      </c>
      <c r="U106" s="334" t="str">
        <f aca="false">IF((E106="i"),G106," ")</f>
        <v> </v>
      </c>
      <c r="V106" s="334" t="str">
        <f aca="false">IF((E106="o"),G106," ")</f>
        <v> </v>
      </c>
      <c r="W106" s="334" t="str">
        <f aca="false">IF((E106="f"),G106," ")</f>
        <v> </v>
      </c>
    </row>
    <row r="107" customFormat="false" ht="12.75" hidden="false" customHeight="false" outlineLevel="0" collapsed="false">
      <c r="A107" s="355"/>
      <c r="E107" s="365" t="str">
        <f aca="false">IF((G107&lt;&gt;0),"Enter Letter"," ")</f>
        <v> </v>
      </c>
      <c r="H107" s="338" t="str">
        <f aca="false">IF((G107&lt;&gt;0),IF((D107&gt;0)," ",G107)," ")</f>
        <v> </v>
      </c>
      <c r="I107" s="367" t="str">
        <f aca="false">IF((G107&lt;&gt;0),IF((D107&gt;0)," ",(I$1-A107))," ")</f>
        <v> </v>
      </c>
      <c r="J107" s="334" t="str">
        <f aca="false">IF((E107="s"),G107," ")</f>
        <v> </v>
      </c>
      <c r="K107" s="334" t="str">
        <f aca="false">IF((E107="d"),G107," ")</f>
        <v> </v>
      </c>
      <c r="L107" s="334" t="str">
        <f aca="false">IF((E107="e"),G107," ")</f>
        <v> </v>
      </c>
      <c r="M107" s="334" t="str">
        <f aca="false">IF((E107="p"),G107," ")</f>
        <v> </v>
      </c>
      <c r="N107" s="334" t="str">
        <f aca="false">IF((E107="r"),G107," ")</f>
        <v> </v>
      </c>
      <c r="O107" s="334" t="str">
        <f aca="false">IF((E107="g"),G107," ")</f>
        <v> </v>
      </c>
      <c r="P107" s="334" t="str">
        <f aca="false">IF((E107="m"),G107," ")</f>
        <v> </v>
      </c>
      <c r="Q107" s="334" t="str">
        <f aca="false">IF((E107="t"),G107," ")</f>
        <v> </v>
      </c>
      <c r="R107" s="334" t="str">
        <f aca="false">IF((E107="a"),G107," ")</f>
        <v> </v>
      </c>
      <c r="S107" s="334" t="str">
        <f aca="false">IF((E107="l"),G107," ")</f>
        <v> </v>
      </c>
      <c r="T107" s="334" t="str">
        <f aca="false">IF((E107="b"),G107," ")</f>
        <v> </v>
      </c>
      <c r="U107" s="334" t="str">
        <f aca="false">IF((E107="i"),G107," ")</f>
        <v> </v>
      </c>
      <c r="V107" s="334" t="str">
        <f aca="false">IF((E107="o"),G107," ")</f>
        <v> </v>
      </c>
      <c r="W107" s="334" t="str">
        <f aca="false">IF((E107="f"),G107," ")</f>
        <v> </v>
      </c>
    </row>
    <row r="108" customFormat="false" ht="12.75" hidden="false" customHeight="false" outlineLevel="0" collapsed="false">
      <c r="A108" s="355"/>
      <c r="E108" s="365" t="str">
        <f aca="false">IF((G108&lt;&gt;0),"Enter Letter"," ")</f>
        <v> </v>
      </c>
      <c r="H108" s="338" t="str">
        <f aca="false">IF((G108&lt;&gt;0),IF((D108&gt;0)," ",G108)," ")</f>
        <v> </v>
      </c>
      <c r="I108" s="367" t="str">
        <f aca="false">IF((G108&lt;&gt;0),IF((D108&gt;0)," ",(I$1-A108))," ")</f>
        <v> </v>
      </c>
      <c r="J108" s="334" t="str">
        <f aca="false">IF((E108="s"),G108," ")</f>
        <v> </v>
      </c>
      <c r="K108" s="334" t="str">
        <f aca="false">IF((E108="d"),G108," ")</f>
        <v> </v>
      </c>
      <c r="L108" s="334" t="str">
        <f aca="false">IF((E108="e"),G108," ")</f>
        <v> </v>
      </c>
      <c r="M108" s="334" t="str">
        <f aca="false">IF((E108="p"),G108," ")</f>
        <v> </v>
      </c>
      <c r="N108" s="334" t="str">
        <f aca="false">IF((E108="r"),G108," ")</f>
        <v> </v>
      </c>
      <c r="O108" s="334" t="str">
        <f aca="false">IF((E108="g"),G108," ")</f>
        <v> </v>
      </c>
      <c r="P108" s="334" t="str">
        <f aca="false">IF((E108="m"),G108," ")</f>
        <v> </v>
      </c>
      <c r="Q108" s="334" t="str">
        <f aca="false">IF((E108="t"),G108," ")</f>
        <v> </v>
      </c>
      <c r="R108" s="334" t="str">
        <f aca="false">IF((E108="a"),G108," ")</f>
        <v> </v>
      </c>
      <c r="S108" s="334" t="str">
        <f aca="false">IF((E108="l"),G108," ")</f>
        <v> </v>
      </c>
      <c r="T108" s="334" t="str">
        <f aca="false">IF((E108="b"),G108," ")</f>
        <v> </v>
      </c>
      <c r="U108" s="334" t="str">
        <f aca="false">IF((E108="i"),G108," ")</f>
        <v> </v>
      </c>
      <c r="V108" s="334" t="str">
        <f aca="false">IF((E108="o"),G108," ")</f>
        <v> </v>
      </c>
      <c r="W108" s="334" t="str">
        <f aca="false">IF((E108="f"),G108," ")</f>
        <v> </v>
      </c>
    </row>
    <row r="109" customFormat="false" ht="12.75" hidden="false" customHeight="false" outlineLevel="0" collapsed="false">
      <c r="A109" s="355"/>
      <c r="E109" s="365" t="str">
        <f aca="false">IF((G109&lt;&gt;0),"Enter Letter"," ")</f>
        <v> </v>
      </c>
      <c r="H109" s="338" t="str">
        <f aca="false">IF((G109&lt;&gt;0),IF((D109&gt;0)," ",G109)," ")</f>
        <v> </v>
      </c>
      <c r="I109" s="367" t="str">
        <f aca="false">IF((G109&lt;&gt;0),IF((D109&gt;0)," ",(I$1-A109))," ")</f>
        <v> </v>
      </c>
      <c r="J109" s="334" t="str">
        <f aca="false">IF((E109="s"),G109," ")</f>
        <v> </v>
      </c>
      <c r="K109" s="334" t="str">
        <f aca="false">IF((E109="d"),G109," ")</f>
        <v> </v>
      </c>
      <c r="L109" s="334" t="str">
        <f aca="false">IF((E109="e"),G109," ")</f>
        <v> </v>
      </c>
      <c r="M109" s="334" t="str">
        <f aca="false">IF((E109="p"),G109," ")</f>
        <v> </v>
      </c>
      <c r="N109" s="334" t="str">
        <f aca="false">IF((E109="r"),G109," ")</f>
        <v> </v>
      </c>
      <c r="O109" s="334" t="str">
        <f aca="false">IF((E109="g"),G109," ")</f>
        <v> </v>
      </c>
      <c r="P109" s="334" t="str">
        <f aca="false">IF((E109="m"),G109," ")</f>
        <v> </v>
      </c>
      <c r="Q109" s="334" t="str">
        <f aca="false">IF((E109="t"),G109," ")</f>
        <v> </v>
      </c>
      <c r="R109" s="334" t="str">
        <f aca="false">IF((E109="a"),G109," ")</f>
        <v> </v>
      </c>
      <c r="S109" s="334" t="str">
        <f aca="false">IF((E109="l"),G109," ")</f>
        <v> </v>
      </c>
      <c r="T109" s="334" t="str">
        <f aca="false">IF((E109="b"),G109," ")</f>
        <v> </v>
      </c>
      <c r="U109" s="334" t="str">
        <f aca="false">IF((E109="i"),G109," ")</f>
        <v> </v>
      </c>
      <c r="V109" s="334" t="str">
        <f aca="false">IF((E109="o"),G109," ")</f>
        <v> </v>
      </c>
      <c r="W109" s="334" t="str">
        <f aca="false">IF((E109="f"),G109," ")</f>
        <v> </v>
      </c>
    </row>
    <row r="110" customFormat="false" ht="12.75" hidden="false" customHeight="false" outlineLevel="0" collapsed="false">
      <c r="A110" s="355"/>
      <c r="E110" s="365" t="str">
        <f aca="false">IF((G110&lt;&gt;0),"Enter Letter"," ")</f>
        <v> </v>
      </c>
      <c r="H110" s="338" t="str">
        <f aca="false">IF((G110&lt;&gt;0),IF((D110&gt;0)," ",G110)," ")</f>
        <v> </v>
      </c>
      <c r="I110" s="367" t="str">
        <f aca="false">IF((G110&lt;&gt;0),IF((D110&gt;0)," ",(I$1-A110))," ")</f>
        <v> </v>
      </c>
      <c r="J110" s="334" t="str">
        <f aca="false">IF((E110="s"),G110," ")</f>
        <v> </v>
      </c>
      <c r="K110" s="334" t="str">
        <f aca="false">IF((E110="d"),G110," ")</f>
        <v> </v>
      </c>
      <c r="L110" s="334" t="str">
        <f aca="false">IF((E110="e"),G110," ")</f>
        <v> </v>
      </c>
      <c r="M110" s="334" t="str">
        <f aca="false">IF((E110="p"),G110," ")</f>
        <v> </v>
      </c>
      <c r="N110" s="334" t="str">
        <f aca="false">IF((E110="r"),G110," ")</f>
        <v> </v>
      </c>
      <c r="O110" s="334" t="str">
        <f aca="false">IF((E110="g"),G110," ")</f>
        <v> </v>
      </c>
      <c r="P110" s="334" t="str">
        <f aca="false">IF((E110="m"),G110," ")</f>
        <v> </v>
      </c>
      <c r="Q110" s="334" t="str">
        <f aca="false">IF((E110="t"),G110," ")</f>
        <v> </v>
      </c>
      <c r="R110" s="334" t="str">
        <f aca="false">IF((E110="a"),G110," ")</f>
        <v> </v>
      </c>
      <c r="S110" s="334" t="str">
        <f aca="false">IF((E110="l"),G110," ")</f>
        <v> </v>
      </c>
      <c r="T110" s="334" t="str">
        <f aca="false">IF((E110="b"),G110," ")</f>
        <v> </v>
      </c>
      <c r="U110" s="334" t="str">
        <f aca="false">IF((E110="i"),G110," ")</f>
        <v> </v>
      </c>
      <c r="V110" s="334" t="str">
        <f aca="false">IF((E110="o"),G110," ")</f>
        <v> </v>
      </c>
      <c r="W110" s="334" t="str">
        <f aca="false">IF((E110="f"),G110," ")</f>
        <v> </v>
      </c>
    </row>
    <row r="111" customFormat="false" ht="12.75" hidden="false" customHeight="false" outlineLevel="0" collapsed="false">
      <c r="A111" s="355"/>
      <c r="E111" s="365" t="str">
        <f aca="false">IF((G111&lt;&gt;0),"Enter Letter"," ")</f>
        <v> </v>
      </c>
      <c r="H111" s="338" t="str">
        <f aca="false">IF((G111&lt;&gt;0),IF((D111&gt;0)," ",G111)," ")</f>
        <v> </v>
      </c>
      <c r="I111" s="367" t="str">
        <f aca="false">IF((G111&lt;&gt;0),IF((D111&gt;0)," ",(I$1-A111))," ")</f>
        <v> </v>
      </c>
      <c r="J111" s="334" t="str">
        <f aca="false">IF((E111="s"),G111," ")</f>
        <v> </v>
      </c>
      <c r="K111" s="334" t="str">
        <f aca="false">IF((E111="d"),G111," ")</f>
        <v> </v>
      </c>
      <c r="L111" s="334" t="str">
        <f aca="false">IF((E111="e"),G111," ")</f>
        <v> </v>
      </c>
      <c r="M111" s="334" t="str">
        <f aca="false">IF((E111="p"),G111," ")</f>
        <v> </v>
      </c>
      <c r="N111" s="334" t="str">
        <f aca="false">IF((E111="r"),G111," ")</f>
        <v> </v>
      </c>
      <c r="O111" s="334" t="str">
        <f aca="false">IF((E111="g"),G111," ")</f>
        <v> </v>
      </c>
      <c r="P111" s="334" t="str">
        <f aca="false">IF((E111="m"),G111," ")</f>
        <v> </v>
      </c>
      <c r="Q111" s="334" t="str">
        <f aca="false">IF((E111="t"),G111," ")</f>
        <v> </v>
      </c>
      <c r="R111" s="334" t="str">
        <f aca="false">IF((E111="a"),G111," ")</f>
        <v> </v>
      </c>
      <c r="S111" s="334" t="str">
        <f aca="false">IF((E111="l"),G111," ")</f>
        <v> </v>
      </c>
      <c r="T111" s="334" t="str">
        <f aca="false">IF((E111="b"),G111," ")</f>
        <v> </v>
      </c>
      <c r="U111" s="334" t="str">
        <f aca="false">IF((E111="i"),G111," ")</f>
        <v> </v>
      </c>
      <c r="V111" s="334" t="str">
        <f aca="false">IF((E111="o"),G111," ")</f>
        <v> </v>
      </c>
      <c r="W111" s="334" t="str">
        <f aca="false">IF((E111="f"),G111," ")</f>
        <v> </v>
      </c>
    </row>
    <row r="112" customFormat="false" ht="12.75" hidden="false" customHeight="false" outlineLevel="0" collapsed="false">
      <c r="A112" s="355"/>
      <c r="E112" s="365" t="str">
        <f aca="false">IF((G112&lt;&gt;0),"Enter Letter"," ")</f>
        <v> </v>
      </c>
      <c r="H112" s="338" t="str">
        <f aca="false">IF((G112&lt;&gt;0),IF((D112&gt;0)," ",G112)," ")</f>
        <v> </v>
      </c>
      <c r="I112" s="367" t="str">
        <f aca="false">IF((G112&lt;&gt;0),IF((D112&gt;0)," ",(I$1-A112))," ")</f>
        <v> </v>
      </c>
      <c r="J112" s="334" t="str">
        <f aca="false">IF((E112="s"),G112," ")</f>
        <v> </v>
      </c>
      <c r="K112" s="334" t="str">
        <f aca="false">IF((E112="d"),G112," ")</f>
        <v> </v>
      </c>
      <c r="L112" s="334" t="str">
        <f aca="false">IF((E112="e"),G112," ")</f>
        <v> </v>
      </c>
      <c r="M112" s="334" t="str">
        <f aca="false">IF((E112="p"),G112," ")</f>
        <v> </v>
      </c>
      <c r="N112" s="334" t="str">
        <f aca="false">IF((E112="r"),G112," ")</f>
        <v> </v>
      </c>
      <c r="O112" s="334" t="str">
        <f aca="false">IF((E112="g"),G112," ")</f>
        <v> </v>
      </c>
      <c r="P112" s="334" t="str">
        <f aca="false">IF((E112="m"),G112," ")</f>
        <v> </v>
      </c>
      <c r="Q112" s="334" t="str">
        <f aca="false">IF((E112="t"),G112," ")</f>
        <v> </v>
      </c>
      <c r="R112" s="334" t="str">
        <f aca="false">IF((E112="a"),G112," ")</f>
        <v> </v>
      </c>
      <c r="S112" s="334" t="str">
        <f aca="false">IF((E112="l"),G112," ")</f>
        <v> </v>
      </c>
      <c r="T112" s="334" t="str">
        <f aca="false">IF((E112="b"),G112," ")</f>
        <v> </v>
      </c>
      <c r="U112" s="334" t="str">
        <f aca="false">IF((E112="i"),G112," ")</f>
        <v> </v>
      </c>
      <c r="V112" s="334" t="str">
        <f aca="false">IF((E112="o"),G112," ")</f>
        <v> </v>
      </c>
      <c r="W112" s="334" t="str">
        <f aca="false">IF((E112="f"),G112," ")</f>
        <v> </v>
      </c>
    </row>
    <row r="113" customFormat="false" ht="12.75" hidden="false" customHeight="false" outlineLevel="0" collapsed="false">
      <c r="A113" s="355"/>
      <c r="E113" s="365" t="str">
        <f aca="false">IF((G113&lt;&gt;0),"Enter Letter"," ")</f>
        <v> </v>
      </c>
      <c r="H113" s="338" t="str">
        <f aca="false">IF((G113&lt;&gt;0),IF((D113&gt;0)," ",G113)," ")</f>
        <v> </v>
      </c>
      <c r="I113" s="367" t="str">
        <f aca="false">IF((G113&lt;&gt;0),IF((D113&gt;0)," ",(I$1-A113))," ")</f>
        <v> </v>
      </c>
      <c r="J113" s="334" t="str">
        <f aca="false">IF((E113="s"),G113," ")</f>
        <v> </v>
      </c>
      <c r="K113" s="334" t="str">
        <f aca="false">IF((E113="d"),G113," ")</f>
        <v> </v>
      </c>
      <c r="L113" s="334" t="str">
        <f aca="false">IF((E113="e"),G113," ")</f>
        <v> </v>
      </c>
      <c r="M113" s="334" t="str">
        <f aca="false">IF((E113="p"),G113," ")</f>
        <v> </v>
      </c>
      <c r="N113" s="334" t="str">
        <f aca="false">IF((E113="r"),G113," ")</f>
        <v> </v>
      </c>
      <c r="O113" s="334" t="str">
        <f aca="false">IF((E113="g"),G113," ")</f>
        <v> </v>
      </c>
      <c r="P113" s="334" t="str">
        <f aca="false">IF((E113="m"),G113," ")</f>
        <v> </v>
      </c>
      <c r="Q113" s="334" t="str">
        <f aca="false">IF((E113="t"),G113," ")</f>
        <v> </v>
      </c>
      <c r="R113" s="334" t="str">
        <f aca="false">IF((E113="a"),G113," ")</f>
        <v> </v>
      </c>
      <c r="S113" s="334" t="str">
        <f aca="false">IF((E113="l"),G113," ")</f>
        <v> </v>
      </c>
      <c r="T113" s="334" t="str">
        <f aca="false">IF((E113="b"),G113," ")</f>
        <v> </v>
      </c>
      <c r="U113" s="334" t="str">
        <f aca="false">IF((E113="i"),G113," ")</f>
        <v> </v>
      </c>
      <c r="V113" s="334" t="str">
        <f aca="false">IF((E113="o"),G113," ")</f>
        <v> </v>
      </c>
      <c r="W113" s="334" t="str">
        <f aca="false">IF((E113="f"),G113," ")</f>
        <v> </v>
      </c>
    </row>
    <row r="114" customFormat="false" ht="12.75" hidden="false" customHeight="false" outlineLevel="0" collapsed="false">
      <c r="A114" s="355"/>
      <c r="E114" s="365" t="str">
        <f aca="false">IF((G114&lt;&gt;0),"Enter Letter"," ")</f>
        <v> </v>
      </c>
      <c r="H114" s="338" t="str">
        <f aca="false">IF((G114&lt;&gt;0),IF((D114&gt;0)," ",G114)," ")</f>
        <v> </v>
      </c>
      <c r="I114" s="367" t="str">
        <f aca="false">IF((G114&lt;&gt;0),IF((D114&gt;0)," ",(I$1-A114))," ")</f>
        <v> </v>
      </c>
      <c r="J114" s="334" t="str">
        <f aca="false">IF((E114="s"),G114," ")</f>
        <v> </v>
      </c>
      <c r="K114" s="334" t="str">
        <f aca="false">IF((E114="d"),G114," ")</f>
        <v> </v>
      </c>
      <c r="L114" s="334" t="str">
        <f aca="false">IF((E114="e"),G114," ")</f>
        <v> </v>
      </c>
      <c r="M114" s="334" t="str">
        <f aca="false">IF((E114="p"),G114," ")</f>
        <v> </v>
      </c>
      <c r="N114" s="334" t="str">
        <f aca="false">IF((E114="r"),G114," ")</f>
        <v> </v>
      </c>
      <c r="O114" s="334" t="str">
        <f aca="false">IF((E114="g"),G114," ")</f>
        <v> </v>
      </c>
      <c r="P114" s="334" t="str">
        <f aca="false">IF((E114="m"),G114," ")</f>
        <v> </v>
      </c>
      <c r="Q114" s="334" t="str">
        <f aca="false">IF((E114="t"),G114," ")</f>
        <v> </v>
      </c>
      <c r="R114" s="334" t="str">
        <f aca="false">IF((E114="a"),G114," ")</f>
        <v> </v>
      </c>
      <c r="S114" s="334" t="str">
        <f aca="false">IF((E114="l"),G114," ")</f>
        <v> </v>
      </c>
      <c r="T114" s="334" t="str">
        <f aca="false">IF((E114="b"),G114," ")</f>
        <v> </v>
      </c>
      <c r="U114" s="334" t="str">
        <f aca="false">IF((E114="i"),G114," ")</f>
        <v> </v>
      </c>
      <c r="V114" s="334" t="str">
        <f aca="false">IF((E114="o"),G114," ")</f>
        <v> </v>
      </c>
      <c r="W114" s="334" t="str">
        <f aca="false">IF((E114="f"),G114," ")</f>
        <v> </v>
      </c>
    </row>
    <row r="115" customFormat="false" ht="12.75" hidden="false" customHeight="false" outlineLevel="0" collapsed="false">
      <c r="A115" s="355"/>
      <c r="E115" s="365" t="str">
        <f aca="false">IF((G115&lt;&gt;0),"Enter Letter"," ")</f>
        <v> </v>
      </c>
      <c r="H115" s="338" t="str">
        <f aca="false">IF((G115&lt;&gt;0),IF((D115&gt;0)," ",G115)," ")</f>
        <v> </v>
      </c>
      <c r="I115" s="367" t="str">
        <f aca="false">IF((G115&lt;&gt;0),IF((D115&gt;0)," ",(I$1-A115))," ")</f>
        <v> </v>
      </c>
      <c r="J115" s="334" t="str">
        <f aca="false">IF((E115="s"),G115," ")</f>
        <v> </v>
      </c>
      <c r="K115" s="334" t="str">
        <f aca="false">IF((E115="d"),G115," ")</f>
        <v> </v>
      </c>
      <c r="L115" s="334" t="str">
        <f aca="false">IF((E115="e"),G115," ")</f>
        <v> </v>
      </c>
      <c r="M115" s="334" t="str">
        <f aca="false">IF((E115="p"),G115," ")</f>
        <v> </v>
      </c>
      <c r="N115" s="334" t="str">
        <f aca="false">IF((E115="r"),G115," ")</f>
        <v> </v>
      </c>
      <c r="O115" s="334" t="str">
        <f aca="false">IF((E115="g"),G115," ")</f>
        <v> </v>
      </c>
      <c r="P115" s="334" t="str">
        <f aca="false">IF((E115="m"),G115," ")</f>
        <v> </v>
      </c>
      <c r="Q115" s="334" t="str">
        <f aca="false">IF((E115="t"),G115," ")</f>
        <v> </v>
      </c>
      <c r="R115" s="334" t="str">
        <f aca="false">IF((E115="a"),G115," ")</f>
        <v> </v>
      </c>
      <c r="S115" s="334" t="str">
        <f aca="false">IF((E115="l"),G115," ")</f>
        <v> </v>
      </c>
      <c r="T115" s="334" t="str">
        <f aca="false">IF((E115="b"),G115," ")</f>
        <v> </v>
      </c>
      <c r="U115" s="334" t="str">
        <f aca="false">IF((E115="i"),G115," ")</f>
        <v> </v>
      </c>
      <c r="V115" s="334" t="str">
        <f aca="false">IF((E115="o"),G115," ")</f>
        <v> </v>
      </c>
      <c r="W115" s="334" t="str">
        <f aca="false">IF((E115="f"),G115," ")</f>
        <v> </v>
      </c>
    </row>
    <row r="116" customFormat="false" ht="12.75" hidden="false" customHeight="false" outlineLevel="0" collapsed="false">
      <c r="A116" s="355"/>
      <c r="E116" s="365" t="str">
        <f aca="false">IF((G116&lt;&gt;0),"Enter Letter"," ")</f>
        <v> </v>
      </c>
      <c r="H116" s="338" t="str">
        <f aca="false">IF((G116&lt;&gt;0),IF((D116&gt;0)," ",G116)," ")</f>
        <v> </v>
      </c>
      <c r="I116" s="367" t="str">
        <f aca="false">IF((G116&lt;&gt;0),IF((D116&gt;0)," ",(I$1-A116))," ")</f>
        <v> </v>
      </c>
      <c r="J116" s="334" t="str">
        <f aca="false">IF((E116="s"),G116," ")</f>
        <v> </v>
      </c>
      <c r="K116" s="334" t="str">
        <f aca="false">IF((E116="d"),G116," ")</f>
        <v> </v>
      </c>
      <c r="L116" s="334" t="str">
        <f aca="false">IF((E116="e"),G116," ")</f>
        <v> </v>
      </c>
      <c r="M116" s="334" t="str">
        <f aca="false">IF((E116="p"),G116," ")</f>
        <v> </v>
      </c>
      <c r="N116" s="334" t="str">
        <f aca="false">IF((E116="r"),G116," ")</f>
        <v> </v>
      </c>
      <c r="O116" s="334" t="str">
        <f aca="false">IF((E116="g"),G116," ")</f>
        <v> </v>
      </c>
      <c r="P116" s="334" t="str">
        <f aca="false">IF((E116="m"),G116," ")</f>
        <v> </v>
      </c>
      <c r="Q116" s="334" t="str">
        <f aca="false">IF((E116="t"),G116," ")</f>
        <v> </v>
      </c>
      <c r="R116" s="334" t="str">
        <f aca="false">IF((E116="a"),G116," ")</f>
        <v> </v>
      </c>
      <c r="S116" s="334" t="str">
        <f aca="false">IF((E116="l"),G116," ")</f>
        <v> </v>
      </c>
      <c r="T116" s="334" t="str">
        <f aca="false">IF((E116="b"),G116," ")</f>
        <v> </v>
      </c>
      <c r="U116" s="334" t="str">
        <f aca="false">IF((E116="i"),G116," ")</f>
        <v> </v>
      </c>
      <c r="V116" s="334" t="str">
        <f aca="false">IF((E116="o"),G116," ")</f>
        <v> </v>
      </c>
      <c r="W116" s="334" t="str">
        <f aca="false">IF((E116="f"),G116," ")</f>
        <v> </v>
      </c>
    </row>
    <row r="117" customFormat="false" ht="12.75" hidden="false" customHeight="false" outlineLevel="0" collapsed="false">
      <c r="A117" s="355"/>
      <c r="E117" s="365" t="str">
        <f aca="false">IF((G117&lt;&gt;0),"Enter Letter"," ")</f>
        <v> </v>
      </c>
      <c r="H117" s="338" t="str">
        <f aca="false">IF((G117&lt;&gt;0),IF((D117&gt;0)," ",G117)," ")</f>
        <v> </v>
      </c>
      <c r="I117" s="367" t="str">
        <f aca="false">IF((G117&lt;&gt;0),IF((D117&gt;0)," ",(I$1-A117))," ")</f>
        <v> </v>
      </c>
      <c r="J117" s="334" t="str">
        <f aca="false">IF((E117="s"),G117," ")</f>
        <v> </v>
      </c>
      <c r="K117" s="334" t="str">
        <f aca="false">IF((E117="d"),G117," ")</f>
        <v> </v>
      </c>
      <c r="L117" s="334" t="str">
        <f aca="false">IF((E117="e"),G117," ")</f>
        <v> </v>
      </c>
      <c r="M117" s="334" t="str">
        <f aca="false">IF((E117="p"),G117," ")</f>
        <v> </v>
      </c>
      <c r="N117" s="334" t="str">
        <f aca="false">IF((E117="r"),G117," ")</f>
        <v> </v>
      </c>
      <c r="O117" s="334" t="str">
        <f aca="false">IF((E117="g"),G117," ")</f>
        <v> </v>
      </c>
      <c r="P117" s="334" t="str">
        <f aca="false">IF((E117="m"),G117," ")</f>
        <v> </v>
      </c>
      <c r="Q117" s="334" t="str">
        <f aca="false">IF((E117="t"),G117," ")</f>
        <v> </v>
      </c>
      <c r="R117" s="334" t="str">
        <f aca="false">IF((E117="a"),G117," ")</f>
        <v> </v>
      </c>
      <c r="S117" s="334" t="str">
        <f aca="false">IF((E117="l"),G117," ")</f>
        <v> </v>
      </c>
      <c r="T117" s="334" t="str">
        <f aca="false">IF((E117="b"),G117," ")</f>
        <v> </v>
      </c>
      <c r="U117" s="334" t="str">
        <f aca="false">IF((E117="i"),G117," ")</f>
        <v> </v>
      </c>
      <c r="V117" s="334" t="str">
        <f aca="false">IF((E117="o"),G117," ")</f>
        <v> </v>
      </c>
      <c r="W117" s="334" t="str">
        <f aca="false">IF((E117="f"),G117," ")</f>
        <v> </v>
      </c>
    </row>
    <row r="118" customFormat="false" ht="12.75" hidden="false" customHeight="false" outlineLevel="0" collapsed="false">
      <c r="A118" s="355"/>
      <c r="E118" s="365" t="str">
        <f aca="false">IF((G118&lt;&gt;0),"Enter Letter"," ")</f>
        <v> </v>
      </c>
      <c r="H118" s="338" t="str">
        <f aca="false">IF((G118&lt;&gt;0),IF((D118&gt;0)," ",G118)," ")</f>
        <v> </v>
      </c>
      <c r="I118" s="367" t="str">
        <f aca="false">IF((G118&lt;&gt;0),IF((D118&gt;0)," ",(I$1-A118))," ")</f>
        <v> </v>
      </c>
      <c r="J118" s="334" t="str">
        <f aca="false">IF((E118="s"),G118," ")</f>
        <v> </v>
      </c>
      <c r="K118" s="334" t="str">
        <f aca="false">IF((E118="d"),G118," ")</f>
        <v> </v>
      </c>
      <c r="L118" s="334" t="str">
        <f aca="false">IF((E118="e"),G118," ")</f>
        <v> </v>
      </c>
      <c r="M118" s="334" t="str">
        <f aca="false">IF((E118="p"),G118," ")</f>
        <v> </v>
      </c>
      <c r="N118" s="334" t="str">
        <f aca="false">IF((E118="r"),G118," ")</f>
        <v> </v>
      </c>
      <c r="O118" s="334" t="str">
        <f aca="false">IF((E118="g"),G118," ")</f>
        <v> </v>
      </c>
      <c r="P118" s="334" t="str">
        <f aca="false">IF((E118="m"),G118," ")</f>
        <v> </v>
      </c>
      <c r="Q118" s="334" t="str">
        <f aca="false">IF((E118="t"),G118," ")</f>
        <v> </v>
      </c>
      <c r="R118" s="334" t="str">
        <f aca="false">IF((E118="a"),G118," ")</f>
        <v> </v>
      </c>
      <c r="S118" s="334" t="str">
        <f aca="false">IF((E118="l"),G118," ")</f>
        <v> </v>
      </c>
      <c r="T118" s="334" t="str">
        <f aca="false">IF((E118="b"),G118," ")</f>
        <v> </v>
      </c>
      <c r="U118" s="334" t="str">
        <f aca="false">IF((E118="i"),G118," ")</f>
        <v> </v>
      </c>
      <c r="V118" s="334" t="str">
        <f aca="false">IF((E118="o"),G118," ")</f>
        <v> </v>
      </c>
      <c r="W118" s="334" t="str">
        <f aca="false">IF((E118="f"),G118," ")</f>
        <v> </v>
      </c>
    </row>
    <row r="119" customFormat="false" ht="12.75" hidden="false" customHeight="false" outlineLevel="0" collapsed="false">
      <c r="A119" s="355"/>
      <c r="E119" s="365" t="str">
        <f aca="false">IF((G119&lt;&gt;0),"Enter Letter"," ")</f>
        <v> </v>
      </c>
      <c r="H119" s="338" t="str">
        <f aca="false">IF((G119&lt;&gt;0),IF((D119&gt;0)," ",G119)," ")</f>
        <v> </v>
      </c>
      <c r="I119" s="367" t="str">
        <f aca="false">IF((G119&lt;&gt;0),IF((D119&gt;0)," ",(I$1-A119))," ")</f>
        <v> </v>
      </c>
      <c r="J119" s="334" t="str">
        <f aca="false">IF((E119="s"),G119," ")</f>
        <v> </v>
      </c>
      <c r="K119" s="334" t="str">
        <f aca="false">IF((E119="d"),G119," ")</f>
        <v> </v>
      </c>
      <c r="L119" s="334" t="str">
        <f aca="false">IF((E119="e"),G119," ")</f>
        <v> </v>
      </c>
      <c r="M119" s="334" t="str">
        <f aca="false">IF((E119="p"),G119," ")</f>
        <v> </v>
      </c>
      <c r="N119" s="334" t="str">
        <f aca="false">IF((E119="r"),G119," ")</f>
        <v> </v>
      </c>
      <c r="O119" s="334" t="str">
        <f aca="false">IF((E119="g"),G119," ")</f>
        <v> </v>
      </c>
      <c r="P119" s="334" t="str">
        <f aca="false">IF((E119="m"),G119," ")</f>
        <v> </v>
      </c>
      <c r="Q119" s="334" t="str">
        <f aca="false">IF((E119="t"),G119," ")</f>
        <v> </v>
      </c>
      <c r="R119" s="334" t="str">
        <f aca="false">IF((E119="a"),G119," ")</f>
        <v> </v>
      </c>
      <c r="S119" s="334" t="str">
        <f aca="false">IF((E119="l"),G119," ")</f>
        <v> </v>
      </c>
      <c r="T119" s="334" t="str">
        <f aca="false">IF((E119="b"),G119," ")</f>
        <v> </v>
      </c>
      <c r="U119" s="334" t="str">
        <f aca="false">IF((E119="i"),G119," ")</f>
        <v> </v>
      </c>
      <c r="V119" s="334" t="str">
        <f aca="false">IF((E119="o"),G119," ")</f>
        <v> </v>
      </c>
      <c r="W119" s="334" t="str">
        <f aca="false">IF((E119="f"),G119," ")</f>
        <v> </v>
      </c>
    </row>
    <row r="120" customFormat="false" ht="12.75" hidden="false" customHeight="false" outlineLevel="0" collapsed="false">
      <c r="A120" s="355"/>
      <c r="E120" s="365" t="str">
        <f aca="false">IF((G120&lt;&gt;0),"Enter Letter"," ")</f>
        <v> </v>
      </c>
      <c r="H120" s="338" t="str">
        <f aca="false">IF((G120&lt;&gt;0),IF((D120&gt;0)," ",G120)," ")</f>
        <v> </v>
      </c>
      <c r="I120" s="367" t="str">
        <f aca="false">IF((G120&lt;&gt;0),IF((D120&gt;0)," ",(I$1-A120))," ")</f>
        <v> </v>
      </c>
      <c r="J120" s="334" t="str">
        <f aca="false">IF((E120="s"),G120," ")</f>
        <v> </v>
      </c>
      <c r="K120" s="334" t="str">
        <f aca="false">IF((E120="d"),G120," ")</f>
        <v> </v>
      </c>
      <c r="L120" s="334" t="str">
        <f aca="false">IF((E120="e"),G120," ")</f>
        <v> </v>
      </c>
      <c r="M120" s="334" t="str">
        <f aca="false">IF((E120="p"),G120," ")</f>
        <v> </v>
      </c>
      <c r="N120" s="334" t="str">
        <f aca="false">IF((E120="r"),G120," ")</f>
        <v> </v>
      </c>
      <c r="O120" s="334" t="str">
        <f aca="false">IF((E120="g"),G120," ")</f>
        <v> </v>
      </c>
      <c r="P120" s="334" t="str">
        <f aca="false">IF((E120="m"),G120," ")</f>
        <v> </v>
      </c>
      <c r="Q120" s="334" t="str">
        <f aca="false">IF((E120="t"),G120," ")</f>
        <v> </v>
      </c>
      <c r="R120" s="334" t="str">
        <f aca="false">IF((E120="a"),G120," ")</f>
        <v> </v>
      </c>
      <c r="S120" s="334" t="str">
        <f aca="false">IF((E120="l"),G120," ")</f>
        <v> </v>
      </c>
      <c r="T120" s="334" t="str">
        <f aca="false">IF((E120="b"),G120," ")</f>
        <v> </v>
      </c>
      <c r="U120" s="334" t="str">
        <f aca="false">IF((E120="i"),G120," ")</f>
        <v> </v>
      </c>
      <c r="V120" s="334" t="str">
        <f aca="false">IF((E120="o"),G120," ")</f>
        <v> </v>
      </c>
      <c r="W120" s="334" t="str">
        <f aca="false">IF((E120="f"),G120," ")</f>
        <v> </v>
      </c>
    </row>
    <row r="121" customFormat="false" ht="12.75" hidden="false" customHeight="false" outlineLevel="0" collapsed="false">
      <c r="A121" s="355"/>
      <c r="E121" s="365" t="str">
        <f aca="false">IF((G121&lt;&gt;0),"Enter Letter"," ")</f>
        <v> </v>
      </c>
      <c r="H121" s="338" t="str">
        <f aca="false">IF((G121&lt;&gt;0),IF((D121&gt;0)," ",G121)," ")</f>
        <v> </v>
      </c>
      <c r="I121" s="367" t="str">
        <f aca="false">IF((G121&lt;&gt;0),IF((D121&gt;0)," ",(I$1-A121))," ")</f>
        <v> </v>
      </c>
      <c r="J121" s="334" t="str">
        <f aca="false">IF((E121="s"),G121," ")</f>
        <v> </v>
      </c>
      <c r="K121" s="334" t="str">
        <f aca="false">IF((E121="d"),G121," ")</f>
        <v> </v>
      </c>
      <c r="L121" s="334" t="str">
        <f aca="false">IF((E121="e"),G121," ")</f>
        <v> </v>
      </c>
      <c r="M121" s="334" t="str">
        <f aca="false">IF((E121="p"),G121," ")</f>
        <v> </v>
      </c>
      <c r="N121" s="334" t="str">
        <f aca="false">IF((E121="r"),G121," ")</f>
        <v> </v>
      </c>
      <c r="O121" s="334" t="str">
        <f aca="false">IF((E121="g"),G121," ")</f>
        <v> </v>
      </c>
      <c r="P121" s="334" t="str">
        <f aca="false">IF((E121="m"),G121," ")</f>
        <v> </v>
      </c>
      <c r="Q121" s="334" t="str">
        <f aca="false">IF((E121="t"),G121," ")</f>
        <v> </v>
      </c>
      <c r="R121" s="334" t="str">
        <f aca="false">IF((E121="a"),G121," ")</f>
        <v> </v>
      </c>
      <c r="S121" s="334" t="str">
        <f aca="false">IF((E121="l"),G121," ")</f>
        <v> </v>
      </c>
      <c r="T121" s="334" t="str">
        <f aca="false">IF((E121="b"),G121," ")</f>
        <v> </v>
      </c>
      <c r="U121" s="334" t="str">
        <f aca="false">IF((E121="i"),G121," ")</f>
        <v> </v>
      </c>
      <c r="V121" s="334" t="str">
        <f aca="false">IF((E121="o"),G121," ")</f>
        <v> </v>
      </c>
      <c r="W121" s="334" t="str">
        <f aca="false">IF((E121="f"),G121," ")</f>
        <v> </v>
      </c>
    </row>
    <row r="122" customFormat="false" ht="12.75" hidden="false" customHeight="false" outlineLevel="0" collapsed="false">
      <c r="A122" s="355"/>
      <c r="E122" s="365" t="str">
        <f aca="false">IF((G122&lt;&gt;0),"Enter Letter"," ")</f>
        <v> </v>
      </c>
      <c r="H122" s="338" t="str">
        <f aca="false">IF((G122&lt;&gt;0),IF((D122&gt;0)," ",G122)," ")</f>
        <v> </v>
      </c>
      <c r="I122" s="367" t="str">
        <f aca="false">IF((G122&lt;&gt;0),IF((D122&gt;0)," ",(I$1-A122))," ")</f>
        <v> </v>
      </c>
      <c r="J122" s="334" t="str">
        <f aca="false">IF((E122="s"),G122," ")</f>
        <v> </v>
      </c>
      <c r="K122" s="334" t="str">
        <f aca="false">IF((E122="d"),G122," ")</f>
        <v> </v>
      </c>
      <c r="L122" s="334" t="str">
        <f aca="false">IF((E122="e"),G122," ")</f>
        <v> </v>
      </c>
      <c r="M122" s="334" t="str">
        <f aca="false">IF((E122="p"),G122," ")</f>
        <v> </v>
      </c>
      <c r="N122" s="334" t="str">
        <f aca="false">IF((E122="r"),G122," ")</f>
        <v> </v>
      </c>
      <c r="O122" s="334" t="str">
        <f aca="false">IF((E122="g"),G122," ")</f>
        <v> </v>
      </c>
      <c r="P122" s="334" t="str">
        <f aca="false">IF((E122="m"),G122," ")</f>
        <v> </v>
      </c>
      <c r="Q122" s="334" t="str">
        <f aca="false">IF((E122="t"),G122," ")</f>
        <v> </v>
      </c>
      <c r="R122" s="334" t="str">
        <f aca="false">IF((E122="a"),G122," ")</f>
        <v> </v>
      </c>
      <c r="S122" s="334" t="str">
        <f aca="false">IF((E122="l"),G122," ")</f>
        <v> </v>
      </c>
      <c r="T122" s="334" t="str">
        <f aca="false">IF((E122="b"),G122," ")</f>
        <v> </v>
      </c>
      <c r="U122" s="334" t="str">
        <f aca="false">IF((E122="i"),G122," ")</f>
        <v> </v>
      </c>
      <c r="V122" s="334" t="str">
        <f aca="false">IF((E122="o"),G122," ")</f>
        <v> </v>
      </c>
      <c r="W122" s="334" t="str">
        <f aca="false">IF((E122="f"),G122," ")</f>
        <v> </v>
      </c>
    </row>
    <row r="123" customFormat="false" ht="12.75" hidden="false" customHeight="false" outlineLevel="0" collapsed="false">
      <c r="A123" s="355"/>
      <c r="E123" s="365" t="str">
        <f aca="false">IF((G123&lt;&gt;0),"Enter Letter"," ")</f>
        <v> </v>
      </c>
      <c r="H123" s="338" t="str">
        <f aca="false">IF((G123&lt;&gt;0),IF((D123&gt;0)," ",G123)," ")</f>
        <v> </v>
      </c>
      <c r="I123" s="367" t="str">
        <f aca="false">IF((G123&lt;&gt;0),IF((D123&gt;0)," ",(I$1-A123))," ")</f>
        <v> </v>
      </c>
      <c r="J123" s="334" t="str">
        <f aca="false">IF((E123="s"),G123," ")</f>
        <v> </v>
      </c>
      <c r="K123" s="334" t="str">
        <f aca="false">IF((E123="d"),G123," ")</f>
        <v> </v>
      </c>
      <c r="L123" s="334" t="str">
        <f aca="false">IF((E123="e"),G123," ")</f>
        <v> </v>
      </c>
      <c r="M123" s="334" t="str">
        <f aca="false">IF((E123="p"),G123," ")</f>
        <v> </v>
      </c>
      <c r="N123" s="334" t="str">
        <f aca="false">IF((E123="r"),G123," ")</f>
        <v> </v>
      </c>
      <c r="O123" s="334" t="str">
        <f aca="false">IF((E123="g"),G123," ")</f>
        <v> </v>
      </c>
      <c r="P123" s="334" t="str">
        <f aca="false">IF((E123="m"),G123," ")</f>
        <v> </v>
      </c>
      <c r="Q123" s="334" t="str">
        <f aca="false">IF((E123="t"),G123," ")</f>
        <v> </v>
      </c>
      <c r="R123" s="334" t="str">
        <f aca="false">IF((E123="a"),G123," ")</f>
        <v> </v>
      </c>
      <c r="S123" s="334" t="str">
        <f aca="false">IF((E123="l"),G123," ")</f>
        <v> </v>
      </c>
      <c r="T123" s="334" t="str">
        <f aca="false">IF((E123="b"),G123," ")</f>
        <v> </v>
      </c>
      <c r="U123" s="334" t="str">
        <f aca="false">IF((E123="i"),G123," ")</f>
        <v> </v>
      </c>
      <c r="V123" s="334" t="str">
        <f aca="false">IF((E123="o"),G123," ")</f>
        <v> </v>
      </c>
      <c r="W123" s="334" t="str">
        <f aca="false">IF((E123="f"),G123," ")</f>
        <v> </v>
      </c>
    </row>
    <row r="124" customFormat="false" ht="12.75" hidden="false" customHeight="false" outlineLevel="0" collapsed="false">
      <c r="A124" s="355"/>
      <c r="E124" s="365" t="str">
        <f aca="false">IF((G124&lt;&gt;0),"Enter Letter"," ")</f>
        <v> </v>
      </c>
      <c r="H124" s="338" t="str">
        <f aca="false">IF((G124&lt;&gt;0),IF((D124&gt;0)," ",G124)," ")</f>
        <v> </v>
      </c>
      <c r="I124" s="367" t="str">
        <f aca="false">IF((G124&lt;&gt;0),IF((D124&gt;0)," ",(I$1-A124))," ")</f>
        <v> </v>
      </c>
      <c r="J124" s="334" t="str">
        <f aca="false">IF((E124="s"),G124," ")</f>
        <v> </v>
      </c>
      <c r="K124" s="334" t="str">
        <f aca="false">IF((E124="d"),G124," ")</f>
        <v> </v>
      </c>
      <c r="L124" s="334" t="str">
        <f aca="false">IF((E124="e"),G124," ")</f>
        <v> </v>
      </c>
      <c r="M124" s="334" t="str">
        <f aca="false">IF((E124="p"),G124," ")</f>
        <v> </v>
      </c>
      <c r="N124" s="334" t="str">
        <f aca="false">IF((E124="r"),G124," ")</f>
        <v> </v>
      </c>
      <c r="O124" s="334" t="str">
        <f aca="false">IF((E124="g"),G124," ")</f>
        <v> </v>
      </c>
      <c r="P124" s="334" t="str">
        <f aca="false">IF((E124="m"),G124," ")</f>
        <v> </v>
      </c>
      <c r="Q124" s="334" t="str">
        <f aca="false">IF((E124="t"),G124," ")</f>
        <v> </v>
      </c>
      <c r="R124" s="334" t="str">
        <f aca="false">IF((E124="a"),G124," ")</f>
        <v> </v>
      </c>
      <c r="S124" s="334" t="str">
        <f aca="false">IF((E124="l"),G124," ")</f>
        <v> </v>
      </c>
      <c r="T124" s="334" t="str">
        <f aca="false">IF((E124="b"),G124," ")</f>
        <v> </v>
      </c>
      <c r="U124" s="334" t="str">
        <f aca="false">IF((E124="i"),G124," ")</f>
        <v> </v>
      </c>
      <c r="V124" s="334" t="str">
        <f aca="false">IF((E124="o"),G124," ")</f>
        <v> </v>
      </c>
      <c r="W124" s="334" t="str">
        <f aca="false">IF((E124="f"),G124," ")</f>
        <v> </v>
      </c>
    </row>
    <row r="125" customFormat="false" ht="12.75" hidden="false" customHeight="false" outlineLevel="0" collapsed="false">
      <c r="A125" s="355"/>
      <c r="E125" s="365" t="str">
        <f aca="false">IF((G125&lt;&gt;0),"Enter Letter"," ")</f>
        <v> </v>
      </c>
      <c r="H125" s="338" t="str">
        <f aca="false">IF((G125&lt;&gt;0),IF((D125&gt;0)," ",G125)," ")</f>
        <v> </v>
      </c>
      <c r="I125" s="367" t="str">
        <f aca="false">IF((G125&lt;&gt;0),IF((D125&gt;0)," ",(I$1-A125))," ")</f>
        <v> </v>
      </c>
      <c r="J125" s="334" t="str">
        <f aca="false">IF((E125="s"),G125," ")</f>
        <v> </v>
      </c>
      <c r="K125" s="334" t="str">
        <f aca="false">IF((E125="d"),G125," ")</f>
        <v> </v>
      </c>
      <c r="L125" s="334" t="str">
        <f aca="false">IF((E125="e"),G125," ")</f>
        <v> </v>
      </c>
      <c r="M125" s="334" t="str">
        <f aca="false">IF((E125="p"),G125," ")</f>
        <v> </v>
      </c>
      <c r="N125" s="334" t="str">
        <f aca="false">IF((E125="r"),G125," ")</f>
        <v> </v>
      </c>
      <c r="O125" s="334" t="str">
        <f aca="false">IF((E125="g"),G125," ")</f>
        <v> </v>
      </c>
      <c r="P125" s="334" t="str">
        <f aca="false">IF((E125="m"),G125," ")</f>
        <v> </v>
      </c>
      <c r="Q125" s="334" t="str">
        <f aca="false">IF((E125="t"),G125," ")</f>
        <v> </v>
      </c>
      <c r="R125" s="334" t="str">
        <f aca="false">IF((E125="a"),G125," ")</f>
        <v> </v>
      </c>
      <c r="S125" s="334" t="str">
        <f aca="false">IF((E125="l"),G125," ")</f>
        <v> </v>
      </c>
      <c r="T125" s="334" t="str">
        <f aca="false">IF((E125="b"),G125," ")</f>
        <v> </v>
      </c>
      <c r="U125" s="334" t="str">
        <f aca="false">IF((E125="i"),G125," ")</f>
        <v> </v>
      </c>
      <c r="V125" s="334" t="str">
        <f aca="false">IF((E125="o"),G125," ")</f>
        <v> </v>
      </c>
      <c r="W125" s="334" t="str">
        <f aca="false">IF((E125="f"),G125," ")</f>
        <v> </v>
      </c>
    </row>
    <row r="126" customFormat="false" ht="12.75" hidden="false" customHeight="false" outlineLevel="0" collapsed="false">
      <c r="A126" s="355"/>
      <c r="E126" s="365" t="str">
        <f aca="false">IF((G126&lt;&gt;0),"Enter Letter"," ")</f>
        <v> </v>
      </c>
      <c r="H126" s="338" t="str">
        <f aca="false">IF((G126&lt;&gt;0),IF((D126&gt;0)," ",G126)," ")</f>
        <v> </v>
      </c>
      <c r="I126" s="367" t="str">
        <f aca="false">IF((G126&lt;&gt;0),IF((D126&gt;0)," ",(I$1-A126))," ")</f>
        <v> </v>
      </c>
      <c r="J126" s="334" t="str">
        <f aca="false">IF((E126="s"),G126," ")</f>
        <v> </v>
      </c>
      <c r="K126" s="334" t="str">
        <f aca="false">IF((E126="d"),G126," ")</f>
        <v> </v>
      </c>
      <c r="L126" s="334" t="str">
        <f aca="false">IF((E126="e"),G126," ")</f>
        <v> </v>
      </c>
      <c r="M126" s="334" t="str">
        <f aca="false">IF((E126="p"),G126," ")</f>
        <v> </v>
      </c>
      <c r="N126" s="334" t="str">
        <f aca="false">IF((E126="r"),G126," ")</f>
        <v> </v>
      </c>
      <c r="O126" s="334" t="str">
        <f aca="false">IF((E126="g"),G126," ")</f>
        <v> </v>
      </c>
      <c r="P126" s="334" t="str">
        <f aca="false">IF((E126="m"),G126," ")</f>
        <v> </v>
      </c>
      <c r="Q126" s="334" t="str">
        <f aca="false">IF((E126="t"),G126," ")</f>
        <v> </v>
      </c>
      <c r="R126" s="334" t="str">
        <f aca="false">IF((E126="a"),G126," ")</f>
        <v> </v>
      </c>
      <c r="S126" s="334" t="str">
        <f aca="false">IF((E126="l"),G126," ")</f>
        <v> </v>
      </c>
      <c r="T126" s="334" t="str">
        <f aca="false">IF((E126="b"),G126," ")</f>
        <v> </v>
      </c>
      <c r="U126" s="334" t="str">
        <f aca="false">IF((E126="i"),G126," ")</f>
        <v> </v>
      </c>
      <c r="V126" s="334" t="str">
        <f aca="false">IF((E126="o"),G126," ")</f>
        <v> </v>
      </c>
      <c r="W126" s="334" t="str">
        <f aca="false">IF((E126="f"),G126," ")</f>
        <v> </v>
      </c>
    </row>
    <row r="127" customFormat="false" ht="12.75" hidden="false" customHeight="false" outlineLevel="0" collapsed="false">
      <c r="A127" s="355"/>
      <c r="E127" s="365" t="str">
        <f aca="false">IF((G127&lt;&gt;0),"Enter Letter"," ")</f>
        <v> </v>
      </c>
      <c r="H127" s="338" t="str">
        <f aca="false">IF((G127&lt;&gt;0),IF((D127&gt;0)," ",G127)," ")</f>
        <v> </v>
      </c>
      <c r="I127" s="367" t="str">
        <f aca="false">IF((G127&lt;&gt;0),IF((D127&gt;0)," ",(I$1-A127))," ")</f>
        <v> </v>
      </c>
      <c r="J127" s="334" t="str">
        <f aca="false">IF((E127="s"),G127," ")</f>
        <v> </v>
      </c>
      <c r="K127" s="334" t="str">
        <f aca="false">IF((E127="d"),G127," ")</f>
        <v> </v>
      </c>
      <c r="L127" s="334" t="str">
        <f aca="false">IF((E127="e"),G127," ")</f>
        <v> </v>
      </c>
      <c r="M127" s="334" t="str">
        <f aca="false">IF((E127="p"),G127," ")</f>
        <v> </v>
      </c>
      <c r="N127" s="334" t="str">
        <f aca="false">IF((E127="r"),G127," ")</f>
        <v> </v>
      </c>
      <c r="O127" s="334" t="str">
        <f aca="false">IF((E127="g"),G127," ")</f>
        <v> </v>
      </c>
      <c r="P127" s="334" t="str">
        <f aca="false">IF((E127="m"),G127," ")</f>
        <v> </v>
      </c>
      <c r="Q127" s="334" t="str">
        <f aca="false">IF((E127="t"),G127," ")</f>
        <v> </v>
      </c>
      <c r="R127" s="334" t="str">
        <f aca="false">IF((E127="a"),G127," ")</f>
        <v> </v>
      </c>
      <c r="S127" s="334" t="str">
        <f aca="false">IF((E127="l"),G127," ")</f>
        <v> </v>
      </c>
      <c r="T127" s="334" t="str">
        <f aca="false">IF((E127="b"),G127," ")</f>
        <v> </v>
      </c>
      <c r="U127" s="334" t="str">
        <f aca="false">IF((E127="i"),G127," ")</f>
        <v> </v>
      </c>
      <c r="V127" s="334" t="str">
        <f aca="false">IF((E127="o"),G127," ")</f>
        <v> </v>
      </c>
      <c r="W127" s="334" t="str">
        <f aca="false">IF((E127="f"),G127," ")</f>
        <v> </v>
      </c>
    </row>
    <row r="128" customFormat="false" ht="12.75" hidden="false" customHeight="false" outlineLevel="0" collapsed="false">
      <c r="A128" s="355"/>
      <c r="E128" s="365" t="str">
        <f aca="false">IF((G128&lt;&gt;0),"Enter Letter"," ")</f>
        <v> </v>
      </c>
      <c r="H128" s="338" t="str">
        <f aca="false">IF((G128&lt;&gt;0),IF((D128&gt;0)," ",G128)," ")</f>
        <v> </v>
      </c>
      <c r="I128" s="367" t="str">
        <f aca="false">IF((G128&lt;&gt;0),IF((D128&gt;0)," ",(I$1-A128))," ")</f>
        <v> </v>
      </c>
      <c r="J128" s="334" t="str">
        <f aca="false">IF((E128="s"),G128," ")</f>
        <v> </v>
      </c>
      <c r="K128" s="334" t="str">
        <f aca="false">IF((E128="d"),G128," ")</f>
        <v> </v>
      </c>
      <c r="L128" s="334" t="str">
        <f aca="false">IF((E128="e"),G128," ")</f>
        <v> </v>
      </c>
      <c r="M128" s="334" t="str">
        <f aca="false">IF((E128="p"),G128," ")</f>
        <v> </v>
      </c>
      <c r="N128" s="334" t="str">
        <f aca="false">IF((E128="r"),G128," ")</f>
        <v> </v>
      </c>
      <c r="O128" s="334" t="str">
        <f aca="false">IF((E128="g"),G128," ")</f>
        <v> </v>
      </c>
      <c r="P128" s="334" t="str">
        <f aca="false">IF((E128="m"),G128," ")</f>
        <v> </v>
      </c>
      <c r="Q128" s="334" t="str">
        <f aca="false">IF((E128="t"),G128," ")</f>
        <v> </v>
      </c>
      <c r="R128" s="334" t="str">
        <f aca="false">IF((E128="a"),G128," ")</f>
        <v> </v>
      </c>
      <c r="S128" s="334" t="str">
        <f aca="false">IF((E128="l"),G128," ")</f>
        <v> </v>
      </c>
      <c r="T128" s="334" t="str">
        <f aca="false">IF((E128="b"),G128," ")</f>
        <v> </v>
      </c>
      <c r="U128" s="334" t="str">
        <f aca="false">IF((E128="i"),G128," ")</f>
        <v> </v>
      </c>
      <c r="V128" s="334" t="str">
        <f aca="false">IF((E128="o"),G128," ")</f>
        <v> </v>
      </c>
      <c r="W128" s="334" t="str">
        <f aca="false">IF((E128="f"),G128," ")</f>
        <v> </v>
      </c>
    </row>
    <row r="129" customFormat="false" ht="12.75" hidden="false" customHeight="false" outlineLevel="0" collapsed="false">
      <c r="A129" s="355"/>
      <c r="E129" s="365" t="str">
        <f aca="false">IF((G129&lt;&gt;0),"Enter Letter"," ")</f>
        <v> </v>
      </c>
      <c r="H129" s="338" t="str">
        <f aca="false">IF((G129&lt;&gt;0),IF((D129&gt;0)," ",G129)," ")</f>
        <v> </v>
      </c>
      <c r="I129" s="367" t="str">
        <f aca="false">IF((G129&lt;&gt;0),IF((D129&gt;0)," ",(I$1-A129))," ")</f>
        <v> </v>
      </c>
      <c r="J129" s="334" t="str">
        <f aca="false">IF((E129="s"),G129," ")</f>
        <v> </v>
      </c>
      <c r="K129" s="334" t="str">
        <f aca="false">IF((E129="d"),G129," ")</f>
        <v> </v>
      </c>
      <c r="L129" s="334" t="str">
        <f aca="false">IF((E129="e"),G129," ")</f>
        <v> </v>
      </c>
      <c r="M129" s="334" t="str">
        <f aca="false">IF((E129="p"),G129," ")</f>
        <v> </v>
      </c>
      <c r="N129" s="334" t="str">
        <f aca="false">IF((E129="r"),G129," ")</f>
        <v> </v>
      </c>
      <c r="O129" s="334" t="str">
        <f aca="false">IF((E129="g"),G129," ")</f>
        <v> </v>
      </c>
      <c r="P129" s="334" t="str">
        <f aca="false">IF((E129="m"),G129," ")</f>
        <v> </v>
      </c>
      <c r="Q129" s="334" t="str">
        <f aca="false">IF((E129="t"),G129," ")</f>
        <v> </v>
      </c>
      <c r="R129" s="334" t="str">
        <f aca="false">IF((E129="a"),G129," ")</f>
        <v> </v>
      </c>
      <c r="S129" s="334" t="str">
        <f aca="false">IF((E129="l"),G129," ")</f>
        <v> </v>
      </c>
      <c r="T129" s="334" t="str">
        <f aca="false">IF((E129="b"),G129," ")</f>
        <v> </v>
      </c>
      <c r="U129" s="334" t="str">
        <f aca="false">IF((E129="i"),G129," ")</f>
        <v> </v>
      </c>
      <c r="V129" s="334" t="str">
        <f aca="false">IF((E129="o"),G129," ")</f>
        <v> </v>
      </c>
      <c r="W129" s="334" t="str">
        <f aca="false">IF((E129="f"),G129," ")</f>
        <v> </v>
      </c>
    </row>
    <row r="130" customFormat="false" ht="12.75" hidden="false" customHeight="false" outlineLevel="0" collapsed="false">
      <c r="A130" s="355"/>
      <c r="E130" s="365" t="str">
        <f aca="false">IF((G130&lt;&gt;0),"Enter Letter"," ")</f>
        <v> </v>
      </c>
      <c r="H130" s="338" t="str">
        <f aca="false">IF((G130&lt;&gt;0),IF((D130&gt;0)," ",G130)," ")</f>
        <v> </v>
      </c>
      <c r="I130" s="367" t="str">
        <f aca="false">IF((G130&lt;&gt;0),IF((D130&gt;0)," ",(I$1-A130))," ")</f>
        <v> </v>
      </c>
      <c r="J130" s="334" t="str">
        <f aca="false">IF((E130="s"),G130," ")</f>
        <v> </v>
      </c>
      <c r="K130" s="334" t="str">
        <f aca="false">IF((E130="d"),G130," ")</f>
        <v> </v>
      </c>
      <c r="L130" s="334" t="str">
        <f aca="false">IF((E130="e"),G130," ")</f>
        <v> </v>
      </c>
      <c r="M130" s="334" t="str">
        <f aca="false">IF((E130="p"),G130," ")</f>
        <v> </v>
      </c>
      <c r="N130" s="334" t="str">
        <f aca="false">IF((E130="r"),G130," ")</f>
        <v> </v>
      </c>
      <c r="O130" s="334" t="str">
        <f aca="false">IF((E130="g"),G130," ")</f>
        <v> </v>
      </c>
      <c r="P130" s="334" t="str">
        <f aca="false">IF((E130="m"),G130," ")</f>
        <v> </v>
      </c>
      <c r="Q130" s="334" t="str">
        <f aca="false">IF((E130="t"),G130," ")</f>
        <v> </v>
      </c>
      <c r="R130" s="334" t="str">
        <f aca="false">IF((E130="a"),G130," ")</f>
        <v> </v>
      </c>
      <c r="S130" s="334" t="str">
        <f aca="false">IF((E130="l"),G130," ")</f>
        <v> </v>
      </c>
      <c r="T130" s="334" t="str">
        <f aca="false">IF((E130="b"),G130," ")</f>
        <v> </v>
      </c>
      <c r="U130" s="334" t="str">
        <f aca="false">IF((E130="i"),G130," ")</f>
        <v> </v>
      </c>
      <c r="V130" s="334" t="str">
        <f aca="false">IF((E130="o"),G130," ")</f>
        <v> </v>
      </c>
      <c r="W130" s="334" t="str">
        <f aca="false">IF((E130="f"),G130," ")</f>
        <v> </v>
      </c>
    </row>
    <row r="131" customFormat="false" ht="12.75" hidden="false" customHeight="false" outlineLevel="0" collapsed="false">
      <c r="A131" s="355"/>
      <c r="E131" s="365" t="str">
        <f aca="false">IF((G131&lt;&gt;0),"Enter Letter"," ")</f>
        <v> </v>
      </c>
      <c r="H131" s="338" t="str">
        <f aca="false">IF((G131&lt;&gt;0),IF((D131&gt;0)," ",G131)," ")</f>
        <v> </v>
      </c>
      <c r="I131" s="367" t="str">
        <f aca="false">IF((G131&lt;&gt;0),IF((D131&gt;0)," ",(I$1-A131))," ")</f>
        <v> </v>
      </c>
      <c r="J131" s="334" t="str">
        <f aca="false">IF((E131="s"),G131," ")</f>
        <v> </v>
      </c>
      <c r="K131" s="334" t="str">
        <f aca="false">IF((E131="d"),G131," ")</f>
        <v> </v>
      </c>
      <c r="L131" s="334" t="str">
        <f aca="false">IF((E131="e"),G131," ")</f>
        <v> </v>
      </c>
      <c r="M131" s="334" t="str">
        <f aca="false">IF((E131="p"),G131," ")</f>
        <v> </v>
      </c>
      <c r="N131" s="334" t="str">
        <f aca="false">IF((E131="r"),G131," ")</f>
        <v> </v>
      </c>
      <c r="O131" s="334" t="str">
        <f aca="false">IF((E131="g"),G131," ")</f>
        <v> </v>
      </c>
      <c r="P131" s="334" t="str">
        <f aca="false">IF((E131="m"),G131," ")</f>
        <v> </v>
      </c>
      <c r="Q131" s="334" t="str">
        <f aca="false">IF((E131="t"),G131," ")</f>
        <v> </v>
      </c>
      <c r="R131" s="334" t="str">
        <f aca="false">IF((E131="a"),G131," ")</f>
        <v> </v>
      </c>
      <c r="S131" s="334" t="str">
        <f aca="false">IF((E131="l"),G131," ")</f>
        <v> </v>
      </c>
      <c r="T131" s="334" t="str">
        <f aca="false">IF((E131="b"),G131," ")</f>
        <v> </v>
      </c>
      <c r="U131" s="334" t="str">
        <f aca="false">IF((E131="i"),G131," ")</f>
        <v> </v>
      </c>
      <c r="V131" s="334" t="str">
        <f aca="false">IF((E131="o"),G131," ")</f>
        <v> </v>
      </c>
      <c r="W131" s="334" t="str">
        <f aca="false">IF((E131="f"),G131," ")</f>
        <v> </v>
      </c>
    </row>
    <row r="132" customFormat="false" ht="12.75" hidden="false" customHeight="false" outlineLevel="0" collapsed="false">
      <c r="A132" s="355"/>
      <c r="E132" s="365" t="str">
        <f aca="false">IF((G132&lt;&gt;0),"Enter Letter"," ")</f>
        <v> </v>
      </c>
      <c r="H132" s="338" t="str">
        <f aca="false">IF((G132&lt;&gt;0),IF((D132&gt;0)," ",G132)," ")</f>
        <v> </v>
      </c>
      <c r="I132" s="367" t="str">
        <f aca="false">IF((G132&lt;&gt;0),IF((D132&gt;0)," ",(I$1-A132))," ")</f>
        <v> </v>
      </c>
      <c r="J132" s="334" t="str">
        <f aca="false">IF((E132="s"),G132," ")</f>
        <v> </v>
      </c>
      <c r="K132" s="334" t="str">
        <f aca="false">IF((E132="d"),G132," ")</f>
        <v> </v>
      </c>
      <c r="L132" s="334" t="str">
        <f aca="false">IF((E132="e"),G132," ")</f>
        <v> </v>
      </c>
      <c r="M132" s="334" t="str">
        <f aca="false">IF((E132="p"),G132," ")</f>
        <v> </v>
      </c>
      <c r="N132" s="334" t="str">
        <f aca="false">IF((E132="r"),G132," ")</f>
        <v> </v>
      </c>
      <c r="O132" s="334" t="str">
        <f aca="false">IF((E132="g"),G132," ")</f>
        <v> </v>
      </c>
      <c r="P132" s="334" t="str">
        <f aca="false">IF((E132="m"),G132," ")</f>
        <v> </v>
      </c>
      <c r="Q132" s="334" t="str">
        <f aca="false">IF((E132="t"),G132," ")</f>
        <v> </v>
      </c>
      <c r="R132" s="334" t="str">
        <f aca="false">IF((E132="a"),G132," ")</f>
        <v> </v>
      </c>
      <c r="S132" s="334" t="str">
        <f aca="false">IF((E132="l"),G132," ")</f>
        <v> </v>
      </c>
      <c r="T132" s="334" t="str">
        <f aca="false">IF((E132="b"),G132," ")</f>
        <v> </v>
      </c>
      <c r="U132" s="334" t="str">
        <f aca="false">IF((E132="i"),G132," ")</f>
        <v> </v>
      </c>
      <c r="V132" s="334" t="str">
        <f aca="false">IF((E132="o"),G132," ")</f>
        <v> </v>
      </c>
      <c r="W132" s="334" t="str">
        <f aca="false">IF((E132="f"),G132," ")</f>
        <v> </v>
      </c>
    </row>
    <row r="133" customFormat="false" ht="12.75" hidden="false" customHeight="false" outlineLevel="0" collapsed="false">
      <c r="A133" s="355"/>
      <c r="E133" s="365" t="str">
        <f aca="false">IF((G133&lt;&gt;0),"Enter Letter"," ")</f>
        <v> </v>
      </c>
      <c r="H133" s="338" t="str">
        <f aca="false">IF((G133&lt;&gt;0),IF((D133&gt;0)," ",G133)," ")</f>
        <v> </v>
      </c>
      <c r="I133" s="367" t="str">
        <f aca="false">IF((G133&lt;&gt;0),IF((D133&gt;0)," ",(I$1-A133))," ")</f>
        <v> </v>
      </c>
      <c r="J133" s="334" t="str">
        <f aca="false">IF((E133="s"),G133," ")</f>
        <v> </v>
      </c>
      <c r="K133" s="334" t="str">
        <f aca="false">IF((E133="d"),G133," ")</f>
        <v> </v>
      </c>
      <c r="L133" s="334" t="str">
        <f aca="false">IF((E133="e"),G133," ")</f>
        <v> </v>
      </c>
      <c r="M133" s="334" t="str">
        <f aca="false">IF((E133="p"),G133," ")</f>
        <v> </v>
      </c>
      <c r="N133" s="334" t="str">
        <f aca="false">IF((E133="r"),G133," ")</f>
        <v> </v>
      </c>
      <c r="O133" s="334" t="str">
        <f aca="false">IF((E133="g"),G133," ")</f>
        <v> </v>
      </c>
      <c r="P133" s="334" t="str">
        <f aca="false">IF((E133="m"),G133," ")</f>
        <v> </v>
      </c>
      <c r="Q133" s="334" t="str">
        <f aca="false">IF((E133="t"),G133," ")</f>
        <v> </v>
      </c>
      <c r="R133" s="334" t="str">
        <f aca="false">IF((E133="a"),G133," ")</f>
        <v> </v>
      </c>
      <c r="S133" s="334" t="str">
        <f aca="false">IF((E133="l"),G133," ")</f>
        <v> </v>
      </c>
      <c r="T133" s="334" t="str">
        <f aca="false">IF((E133="b"),G133," ")</f>
        <v> </v>
      </c>
      <c r="U133" s="334" t="str">
        <f aca="false">IF((E133="i"),G133," ")</f>
        <v> </v>
      </c>
      <c r="V133" s="334" t="str">
        <f aca="false">IF((E133="o"),G133," ")</f>
        <v> </v>
      </c>
      <c r="W133" s="334" t="str">
        <f aca="false">IF((E133="f"),G133," ")</f>
        <v> </v>
      </c>
    </row>
    <row r="134" customFormat="false" ht="12.75" hidden="false" customHeight="false" outlineLevel="0" collapsed="false">
      <c r="A134" s="355"/>
      <c r="E134" s="365" t="str">
        <f aca="false">IF((G134&lt;&gt;0),"Enter Letter"," ")</f>
        <v> </v>
      </c>
      <c r="H134" s="338" t="str">
        <f aca="false">IF((G134&lt;&gt;0),IF((D134&gt;0)," ",G134)," ")</f>
        <v> </v>
      </c>
      <c r="I134" s="367" t="str">
        <f aca="false">IF((G134&lt;&gt;0),IF((D134&gt;0)," ",(I$1-A134))," ")</f>
        <v> </v>
      </c>
      <c r="J134" s="334" t="str">
        <f aca="false">IF((E134="s"),G134," ")</f>
        <v> </v>
      </c>
      <c r="K134" s="334" t="str">
        <f aca="false">IF((E134="d"),G134," ")</f>
        <v> </v>
      </c>
      <c r="L134" s="334" t="str">
        <f aca="false">IF((E134="e"),G134," ")</f>
        <v> </v>
      </c>
      <c r="M134" s="334" t="str">
        <f aca="false">IF((E134="p"),G134," ")</f>
        <v> </v>
      </c>
      <c r="N134" s="334" t="str">
        <f aca="false">IF((E134="r"),G134," ")</f>
        <v> </v>
      </c>
      <c r="O134" s="334" t="str">
        <f aca="false">IF((E134="g"),G134," ")</f>
        <v> </v>
      </c>
      <c r="P134" s="334" t="str">
        <f aca="false">IF((E134="m"),G134," ")</f>
        <v> </v>
      </c>
      <c r="Q134" s="334" t="str">
        <f aca="false">IF((E134="t"),G134," ")</f>
        <v> </v>
      </c>
      <c r="R134" s="334" t="str">
        <f aca="false">IF((E134="a"),G134," ")</f>
        <v> </v>
      </c>
      <c r="S134" s="334" t="str">
        <f aca="false">IF((E134="l"),G134," ")</f>
        <v> </v>
      </c>
      <c r="T134" s="334" t="str">
        <f aca="false">IF((E134="b"),G134," ")</f>
        <v> </v>
      </c>
      <c r="U134" s="334" t="str">
        <f aca="false">IF((E134="i"),G134," ")</f>
        <v> </v>
      </c>
      <c r="V134" s="334" t="str">
        <f aca="false">IF((E134="o"),G134," ")</f>
        <v> </v>
      </c>
      <c r="W134" s="334" t="str">
        <f aca="false">IF((E134="f"),G134," ")</f>
        <v> </v>
      </c>
    </row>
    <row r="135" customFormat="false" ht="12.75" hidden="false" customHeight="false" outlineLevel="0" collapsed="false">
      <c r="A135" s="355"/>
      <c r="E135" s="365" t="str">
        <f aca="false">IF((G135&lt;&gt;0),"Enter Letter"," ")</f>
        <v> </v>
      </c>
      <c r="H135" s="338" t="str">
        <f aca="false">IF((G135&lt;&gt;0),IF((D135&gt;0)," ",G135)," ")</f>
        <v> </v>
      </c>
      <c r="I135" s="367" t="str">
        <f aca="false">IF((G135&lt;&gt;0),IF((D135&gt;0)," ",(I$1-A135))," ")</f>
        <v> </v>
      </c>
      <c r="J135" s="334" t="str">
        <f aca="false">IF((E135="s"),G135," ")</f>
        <v> </v>
      </c>
      <c r="K135" s="334" t="str">
        <f aca="false">IF((E135="d"),G135," ")</f>
        <v> </v>
      </c>
      <c r="L135" s="334" t="str">
        <f aca="false">IF((E135="e"),G135," ")</f>
        <v> </v>
      </c>
      <c r="M135" s="334" t="str">
        <f aca="false">IF((E135="p"),G135," ")</f>
        <v> </v>
      </c>
      <c r="N135" s="334" t="str">
        <f aca="false">IF((E135="r"),G135," ")</f>
        <v> </v>
      </c>
      <c r="O135" s="334" t="str">
        <f aca="false">IF((E135="g"),G135," ")</f>
        <v> </v>
      </c>
      <c r="P135" s="334" t="str">
        <f aca="false">IF((E135="m"),G135," ")</f>
        <v> </v>
      </c>
      <c r="Q135" s="334" t="str">
        <f aca="false">IF((E135="t"),G135," ")</f>
        <v> </v>
      </c>
      <c r="R135" s="334" t="str">
        <f aca="false">IF((E135="a"),G135," ")</f>
        <v> </v>
      </c>
      <c r="S135" s="334" t="str">
        <f aca="false">IF((E135="l"),G135," ")</f>
        <v> </v>
      </c>
      <c r="T135" s="334" t="str">
        <f aca="false">IF((E135="b"),G135," ")</f>
        <v> </v>
      </c>
      <c r="U135" s="334" t="str">
        <f aca="false">IF((E135="i"),G135," ")</f>
        <v> </v>
      </c>
      <c r="V135" s="334" t="str">
        <f aca="false">IF((E135="o"),G135," ")</f>
        <v> </v>
      </c>
      <c r="W135" s="334" t="str">
        <f aca="false">IF((E135="f"),G135," ")</f>
        <v> </v>
      </c>
    </row>
    <row r="136" customFormat="false" ht="12.75" hidden="false" customHeight="false" outlineLevel="0" collapsed="false">
      <c r="A136" s="355"/>
      <c r="E136" s="365" t="str">
        <f aca="false">IF((G136&lt;&gt;0),"Enter Letter"," ")</f>
        <v> </v>
      </c>
      <c r="H136" s="338" t="str">
        <f aca="false">IF((G136&lt;&gt;0),IF((D136&gt;0)," ",G136)," ")</f>
        <v> </v>
      </c>
      <c r="I136" s="367" t="str">
        <f aca="false">IF((G136&lt;&gt;0),IF((D136&gt;0)," ",(I$1-A136))," ")</f>
        <v> </v>
      </c>
      <c r="J136" s="334" t="str">
        <f aca="false">IF((E136="s"),G136," ")</f>
        <v> </v>
      </c>
      <c r="K136" s="334" t="str">
        <f aca="false">IF((E136="d"),G136," ")</f>
        <v> </v>
      </c>
      <c r="L136" s="334" t="str">
        <f aca="false">IF((E136="e"),G136," ")</f>
        <v> </v>
      </c>
      <c r="M136" s="334" t="str">
        <f aca="false">IF((E136="p"),G136," ")</f>
        <v> </v>
      </c>
      <c r="N136" s="334" t="str">
        <f aca="false">IF((E136="r"),G136," ")</f>
        <v> </v>
      </c>
      <c r="O136" s="334" t="str">
        <f aca="false">IF((E136="g"),G136," ")</f>
        <v> </v>
      </c>
      <c r="P136" s="334" t="str">
        <f aca="false">IF((E136="m"),G136," ")</f>
        <v> </v>
      </c>
      <c r="Q136" s="334" t="str">
        <f aca="false">IF((E136="t"),G136," ")</f>
        <v> </v>
      </c>
      <c r="R136" s="334" t="str">
        <f aca="false">IF((E136="a"),G136," ")</f>
        <v> </v>
      </c>
      <c r="S136" s="334" t="str">
        <f aca="false">IF((E136="l"),G136," ")</f>
        <v> </v>
      </c>
      <c r="T136" s="334" t="str">
        <f aca="false">IF((E136="b"),G136," ")</f>
        <v> </v>
      </c>
      <c r="U136" s="334" t="str">
        <f aca="false">IF((E136="i"),G136," ")</f>
        <v> </v>
      </c>
      <c r="V136" s="334" t="str">
        <f aca="false">IF((E136="o"),G136," ")</f>
        <v> </v>
      </c>
      <c r="W136" s="334" t="str">
        <f aca="false">IF((E136="f"),G136," ")</f>
        <v> </v>
      </c>
    </row>
    <row r="137" customFormat="false" ht="12.75" hidden="false" customHeight="false" outlineLevel="0" collapsed="false">
      <c r="A137" s="355"/>
      <c r="E137" s="365" t="str">
        <f aca="false">IF((G137&lt;&gt;0),"Enter Letter"," ")</f>
        <v> </v>
      </c>
      <c r="H137" s="338" t="str">
        <f aca="false">IF((G137&lt;&gt;0),IF((D137&gt;0)," ",G137)," ")</f>
        <v> </v>
      </c>
      <c r="I137" s="367" t="str">
        <f aca="false">IF((G137&lt;&gt;0),IF((D137&gt;0)," ",(I$1-A137))," ")</f>
        <v> </v>
      </c>
      <c r="J137" s="334" t="str">
        <f aca="false">IF((E137="s"),G137," ")</f>
        <v> </v>
      </c>
      <c r="K137" s="334" t="str">
        <f aca="false">IF((E137="d"),G137," ")</f>
        <v> </v>
      </c>
      <c r="L137" s="334" t="str">
        <f aca="false">IF((E137="e"),G137," ")</f>
        <v> </v>
      </c>
      <c r="M137" s="334" t="str">
        <f aca="false">IF((E137="p"),G137," ")</f>
        <v> </v>
      </c>
      <c r="N137" s="334" t="str">
        <f aca="false">IF((E137="r"),G137," ")</f>
        <v> </v>
      </c>
      <c r="O137" s="334" t="str">
        <f aca="false">IF((E137="g"),G137," ")</f>
        <v> </v>
      </c>
      <c r="P137" s="334" t="str">
        <f aca="false">IF((E137="m"),G137," ")</f>
        <v> </v>
      </c>
      <c r="Q137" s="334" t="str">
        <f aca="false">IF((E137="t"),G137," ")</f>
        <v> </v>
      </c>
      <c r="R137" s="334" t="str">
        <f aca="false">IF((E137="a"),G137," ")</f>
        <v> </v>
      </c>
      <c r="S137" s="334" t="str">
        <f aca="false">IF((E137="l"),G137," ")</f>
        <v> </v>
      </c>
      <c r="T137" s="334" t="str">
        <f aca="false">IF((E137="b"),G137," ")</f>
        <v> </v>
      </c>
      <c r="U137" s="334" t="str">
        <f aca="false">IF((E137="i"),G137," ")</f>
        <v> </v>
      </c>
      <c r="V137" s="334" t="str">
        <f aca="false">IF((E137="o"),G137," ")</f>
        <v> </v>
      </c>
      <c r="W137" s="334" t="str">
        <f aca="false">IF((E137="f"),G137," ")</f>
        <v> </v>
      </c>
    </row>
    <row r="138" customFormat="false" ht="12.75" hidden="false" customHeight="false" outlineLevel="0" collapsed="false">
      <c r="A138" s="355"/>
      <c r="E138" s="365" t="str">
        <f aca="false">IF((G138&lt;&gt;0),"Enter Letter"," ")</f>
        <v> </v>
      </c>
      <c r="H138" s="338" t="str">
        <f aca="false">IF((G138&lt;&gt;0),IF((D138&gt;0)," ",G138)," ")</f>
        <v> </v>
      </c>
      <c r="I138" s="367" t="str">
        <f aca="false">IF((G138&lt;&gt;0),IF((D138&gt;0)," ",(I$1-A138))," ")</f>
        <v> </v>
      </c>
      <c r="J138" s="334" t="str">
        <f aca="false">IF((E138="s"),G138," ")</f>
        <v> </v>
      </c>
      <c r="K138" s="334" t="str">
        <f aca="false">IF((E138="d"),G138," ")</f>
        <v> </v>
      </c>
      <c r="L138" s="334" t="str">
        <f aca="false">IF((E138="e"),G138," ")</f>
        <v> </v>
      </c>
      <c r="M138" s="334" t="str">
        <f aca="false">IF((E138="p"),G138," ")</f>
        <v> </v>
      </c>
      <c r="N138" s="334" t="str">
        <f aca="false">IF((E138="r"),G138," ")</f>
        <v> </v>
      </c>
      <c r="O138" s="334" t="str">
        <f aca="false">IF((E138="g"),G138," ")</f>
        <v> </v>
      </c>
      <c r="P138" s="334" t="str">
        <f aca="false">IF((E138="m"),G138," ")</f>
        <v> </v>
      </c>
      <c r="Q138" s="334" t="str">
        <f aca="false">IF((E138="t"),G138," ")</f>
        <v> </v>
      </c>
      <c r="R138" s="334" t="str">
        <f aca="false">IF((E138="a"),G138," ")</f>
        <v> </v>
      </c>
      <c r="S138" s="334" t="str">
        <f aca="false">IF((E138="l"),G138," ")</f>
        <v> </v>
      </c>
      <c r="T138" s="334" t="str">
        <f aca="false">IF((E138="b"),G138," ")</f>
        <v> </v>
      </c>
      <c r="U138" s="334" t="str">
        <f aca="false">IF((E138="i"),G138," ")</f>
        <v> </v>
      </c>
      <c r="V138" s="334" t="str">
        <f aca="false">IF((E138="o"),G138," ")</f>
        <v> </v>
      </c>
      <c r="W138" s="334" t="str">
        <f aca="false">IF((E138="f"),G138," ")</f>
        <v> </v>
      </c>
    </row>
    <row r="139" customFormat="false" ht="12.75" hidden="false" customHeight="false" outlineLevel="0" collapsed="false">
      <c r="A139" s="355"/>
      <c r="E139" s="365" t="str">
        <f aca="false">IF((G139&lt;&gt;0),"Enter Letter"," ")</f>
        <v> </v>
      </c>
      <c r="H139" s="338" t="str">
        <f aca="false">IF((G139&lt;&gt;0),IF((D139&gt;0)," ",G139)," ")</f>
        <v> </v>
      </c>
      <c r="I139" s="367" t="str">
        <f aca="false">IF((G139&lt;&gt;0),IF((D139&gt;0)," ",(I$1-A139))," ")</f>
        <v> </v>
      </c>
      <c r="J139" s="334" t="str">
        <f aca="false">IF((E139="s"),G139," ")</f>
        <v> </v>
      </c>
      <c r="K139" s="334" t="str">
        <f aca="false">IF((E139="d"),G139," ")</f>
        <v> </v>
      </c>
      <c r="L139" s="334" t="str">
        <f aca="false">IF((E139="e"),G139," ")</f>
        <v> </v>
      </c>
      <c r="M139" s="334" t="str">
        <f aca="false">IF((E139="p"),G139," ")</f>
        <v> </v>
      </c>
      <c r="N139" s="334" t="str">
        <f aca="false">IF((E139="r"),G139," ")</f>
        <v> </v>
      </c>
      <c r="O139" s="334" t="str">
        <f aca="false">IF((E139="g"),G139," ")</f>
        <v> </v>
      </c>
      <c r="P139" s="334" t="str">
        <f aca="false">IF((E139="m"),G139," ")</f>
        <v> </v>
      </c>
      <c r="Q139" s="334" t="str">
        <f aca="false">IF((E139="t"),G139," ")</f>
        <v> </v>
      </c>
      <c r="R139" s="334" t="str">
        <f aca="false">IF((E139="a"),G139," ")</f>
        <v> </v>
      </c>
      <c r="S139" s="334" t="str">
        <f aca="false">IF((E139="l"),G139," ")</f>
        <v> </v>
      </c>
      <c r="T139" s="334" t="str">
        <f aca="false">IF((E139="b"),G139," ")</f>
        <v> </v>
      </c>
      <c r="U139" s="334" t="str">
        <f aca="false">IF((E139="i"),G139," ")</f>
        <v> </v>
      </c>
      <c r="V139" s="334" t="str">
        <f aca="false">IF((E139="o"),G139," ")</f>
        <v> </v>
      </c>
      <c r="W139" s="334" t="str">
        <f aca="false">IF((E139="f"),G139," ")</f>
        <v> </v>
      </c>
    </row>
    <row r="140" customFormat="false" ht="12.75" hidden="false" customHeight="false" outlineLevel="0" collapsed="false">
      <c r="A140" s="355"/>
      <c r="E140" s="365" t="str">
        <f aca="false">IF((G140&lt;&gt;0),"Enter Letter"," ")</f>
        <v> </v>
      </c>
      <c r="H140" s="338" t="str">
        <f aca="false">IF((G140&lt;&gt;0),IF((D140&gt;0)," ",G140)," ")</f>
        <v> </v>
      </c>
      <c r="I140" s="367" t="str">
        <f aca="false">IF((G140&lt;&gt;0),IF((D140&gt;0)," ",(I$1-A140))," ")</f>
        <v> </v>
      </c>
      <c r="J140" s="334" t="str">
        <f aca="false">IF((E140="s"),G140," ")</f>
        <v> </v>
      </c>
      <c r="K140" s="334" t="str">
        <f aca="false">IF((E140="d"),G140," ")</f>
        <v> </v>
      </c>
      <c r="L140" s="334" t="str">
        <f aca="false">IF((E140="e"),G140," ")</f>
        <v> </v>
      </c>
      <c r="M140" s="334" t="str">
        <f aca="false">IF((E140="p"),G140," ")</f>
        <v> </v>
      </c>
      <c r="N140" s="334" t="str">
        <f aca="false">IF((E140="r"),G140," ")</f>
        <v> </v>
      </c>
      <c r="O140" s="334" t="str">
        <f aca="false">IF((E140="g"),G140," ")</f>
        <v> </v>
      </c>
      <c r="P140" s="334" t="str">
        <f aca="false">IF((E140="m"),G140," ")</f>
        <v> </v>
      </c>
      <c r="Q140" s="334" t="str">
        <f aca="false">IF((E140="t"),G140," ")</f>
        <v> </v>
      </c>
      <c r="R140" s="334" t="str">
        <f aca="false">IF((E140="a"),G140," ")</f>
        <v> </v>
      </c>
      <c r="S140" s="334" t="str">
        <f aca="false">IF((E140="l"),G140," ")</f>
        <v> </v>
      </c>
      <c r="T140" s="334" t="str">
        <f aca="false">IF((E140="b"),G140," ")</f>
        <v> </v>
      </c>
      <c r="U140" s="334" t="str">
        <f aca="false">IF((E140="i"),G140," ")</f>
        <v> </v>
      </c>
      <c r="V140" s="334" t="str">
        <f aca="false">IF((E140="o"),G140," ")</f>
        <v> </v>
      </c>
      <c r="W140" s="334" t="str">
        <f aca="false">IF((E140="f"),G140," ")</f>
        <v> </v>
      </c>
    </row>
    <row r="141" customFormat="false" ht="12.75" hidden="false" customHeight="false" outlineLevel="0" collapsed="false">
      <c r="A141" s="355"/>
      <c r="E141" s="365" t="str">
        <f aca="false">IF((G141&lt;&gt;0),"Enter Letter"," ")</f>
        <v> </v>
      </c>
      <c r="H141" s="338" t="str">
        <f aca="false">IF((G141&lt;&gt;0),IF((D141&gt;0)," ",G141)," ")</f>
        <v> </v>
      </c>
      <c r="I141" s="367" t="str">
        <f aca="false">IF((G141&lt;&gt;0),IF((D141&gt;0)," ",(I$1-A141))," ")</f>
        <v> </v>
      </c>
      <c r="J141" s="334" t="str">
        <f aca="false">IF((E141="s"),G141," ")</f>
        <v> </v>
      </c>
      <c r="K141" s="334" t="str">
        <f aca="false">IF((E141="d"),G141," ")</f>
        <v> </v>
      </c>
      <c r="L141" s="334" t="str">
        <f aca="false">IF((E141="e"),G141," ")</f>
        <v> </v>
      </c>
      <c r="M141" s="334" t="str">
        <f aca="false">IF((E141="p"),G141," ")</f>
        <v> </v>
      </c>
      <c r="N141" s="334" t="str">
        <f aca="false">IF((E141="r"),G141," ")</f>
        <v> </v>
      </c>
      <c r="O141" s="334" t="str">
        <f aca="false">IF((E141="g"),G141," ")</f>
        <v> </v>
      </c>
      <c r="P141" s="334" t="str">
        <f aca="false">IF((E141="m"),G141," ")</f>
        <v> </v>
      </c>
      <c r="Q141" s="334" t="str">
        <f aca="false">IF((E141="t"),G141," ")</f>
        <v> </v>
      </c>
      <c r="R141" s="334" t="str">
        <f aca="false">IF((E141="a"),G141," ")</f>
        <v> </v>
      </c>
      <c r="S141" s="334" t="str">
        <f aca="false">IF((E141="l"),G141," ")</f>
        <v> </v>
      </c>
      <c r="T141" s="334" t="str">
        <f aca="false">IF((E141="b"),G141," ")</f>
        <v> </v>
      </c>
      <c r="U141" s="334" t="str">
        <f aca="false">IF((E141="i"),G141," ")</f>
        <v> </v>
      </c>
      <c r="V141" s="334" t="str">
        <f aca="false">IF((E141="o"),G141," ")</f>
        <v> </v>
      </c>
      <c r="W141" s="334" t="str">
        <f aca="false">IF((E141="f"),G141," ")</f>
        <v> </v>
      </c>
    </row>
    <row r="142" customFormat="false" ht="12.75" hidden="false" customHeight="false" outlineLevel="0" collapsed="false">
      <c r="A142" s="355"/>
      <c r="E142" s="365" t="str">
        <f aca="false">IF((G142&lt;&gt;0),"Enter Letter"," ")</f>
        <v> </v>
      </c>
      <c r="H142" s="338" t="str">
        <f aca="false">IF((G142&lt;&gt;0),IF((D142&gt;0)," ",G142)," ")</f>
        <v> </v>
      </c>
      <c r="I142" s="367" t="str">
        <f aca="false">IF((G142&lt;&gt;0),IF((D142&gt;0)," ",(I$1-A142))," ")</f>
        <v> </v>
      </c>
      <c r="J142" s="334" t="str">
        <f aca="false">IF((E142="s"),G142," ")</f>
        <v> </v>
      </c>
      <c r="K142" s="334" t="str">
        <f aca="false">IF((E142="d"),G142," ")</f>
        <v> </v>
      </c>
      <c r="L142" s="334" t="str">
        <f aca="false">IF((E142="e"),G142," ")</f>
        <v> </v>
      </c>
      <c r="M142" s="334" t="str">
        <f aca="false">IF((E142="p"),G142," ")</f>
        <v> </v>
      </c>
      <c r="N142" s="334" t="str">
        <f aca="false">IF((E142="r"),G142," ")</f>
        <v> </v>
      </c>
      <c r="O142" s="334" t="str">
        <f aca="false">IF((E142="g"),G142," ")</f>
        <v> </v>
      </c>
      <c r="P142" s="334" t="str">
        <f aca="false">IF((E142="m"),G142," ")</f>
        <v> </v>
      </c>
      <c r="Q142" s="334" t="str">
        <f aca="false">IF((E142="t"),G142," ")</f>
        <v> </v>
      </c>
      <c r="R142" s="334" t="str">
        <f aca="false">IF((E142="a"),G142," ")</f>
        <v> </v>
      </c>
      <c r="S142" s="334" t="str">
        <f aca="false">IF((E142="l"),G142," ")</f>
        <v> </v>
      </c>
      <c r="T142" s="334" t="str">
        <f aca="false">IF((E142="b"),G142," ")</f>
        <v> </v>
      </c>
      <c r="U142" s="334" t="str">
        <f aca="false">IF((E142="i"),G142," ")</f>
        <v> </v>
      </c>
      <c r="V142" s="334" t="str">
        <f aca="false">IF((E142="o"),G142," ")</f>
        <v> </v>
      </c>
      <c r="W142" s="334" t="str">
        <f aca="false">IF((E142="f"),G142," ")</f>
        <v> </v>
      </c>
    </row>
    <row r="143" customFormat="false" ht="12.75" hidden="false" customHeight="false" outlineLevel="0" collapsed="false">
      <c r="A143" s="355"/>
      <c r="E143" s="365" t="str">
        <f aca="false">IF((G143&lt;&gt;0),"Enter Letter"," ")</f>
        <v> </v>
      </c>
      <c r="H143" s="338" t="str">
        <f aca="false">IF((G143&lt;&gt;0),IF((D143&gt;0)," ",G143)," ")</f>
        <v> </v>
      </c>
      <c r="I143" s="367" t="str">
        <f aca="false">IF((G143&lt;&gt;0),IF((D143&gt;0)," ",(I$1-A143))," ")</f>
        <v> </v>
      </c>
      <c r="J143" s="334" t="str">
        <f aca="false">IF((E143="s"),G143," ")</f>
        <v> </v>
      </c>
      <c r="K143" s="334" t="str">
        <f aca="false">IF((E143="d"),G143," ")</f>
        <v> </v>
      </c>
      <c r="L143" s="334" t="str">
        <f aca="false">IF((E143="e"),G143," ")</f>
        <v> </v>
      </c>
      <c r="M143" s="334" t="str">
        <f aca="false">IF((E143="p"),G143," ")</f>
        <v> </v>
      </c>
      <c r="N143" s="334" t="str">
        <f aca="false">IF((E143="r"),G143," ")</f>
        <v> </v>
      </c>
      <c r="O143" s="334" t="str">
        <f aca="false">IF((E143="g"),G143," ")</f>
        <v> </v>
      </c>
      <c r="P143" s="334" t="str">
        <f aca="false">IF((E143="m"),G143," ")</f>
        <v> </v>
      </c>
      <c r="Q143" s="334" t="str">
        <f aca="false">IF((E143="t"),G143," ")</f>
        <v> </v>
      </c>
      <c r="R143" s="334" t="str">
        <f aca="false">IF((E143="a"),G143," ")</f>
        <v> </v>
      </c>
      <c r="S143" s="334" t="str">
        <f aca="false">IF((E143="l"),G143," ")</f>
        <v> </v>
      </c>
      <c r="T143" s="334" t="str">
        <f aca="false">IF((E143="b"),G143," ")</f>
        <v> </v>
      </c>
      <c r="U143" s="334" t="str">
        <f aca="false">IF((E143="i"),G143," ")</f>
        <v> </v>
      </c>
      <c r="V143" s="334" t="str">
        <f aca="false">IF((E143="o"),G143," ")</f>
        <v> </v>
      </c>
      <c r="W143" s="334" t="str">
        <f aca="false">IF((E143="f"),G143," ")</f>
        <v> </v>
      </c>
    </row>
    <row r="144" customFormat="false" ht="12.75" hidden="false" customHeight="false" outlineLevel="0" collapsed="false">
      <c r="A144" s="355"/>
      <c r="E144" s="365" t="str">
        <f aca="false">IF((G144&lt;&gt;0),"Enter Letter"," ")</f>
        <v> </v>
      </c>
      <c r="H144" s="338" t="str">
        <f aca="false">IF((G144&lt;&gt;0),IF((D144&gt;0)," ",G144)," ")</f>
        <v> </v>
      </c>
      <c r="I144" s="367" t="str">
        <f aca="false">IF((G144&lt;&gt;0),IF((D144&gt;0)," ",(I$1-A144))," ")</f>
        <v> </v>
      </c>
      <c r="J144" s="334" t="str">
        <f aca="false">IF((E144="s"),G144," ")</f>
        <v> </v>
      </c>
      <c r="K144" s="334" t="str">
        <f aca="false">IF((E144="d"),G144," ")</f>
        <v> </v>
      </c>
      <c r="L144" s="334" t="str">
        <f aca="false">IF((E144="e"),G144," ")</f>
        <v> </v>
      </c>
      <c r="M144" s="334" t="str">
        <f aca="false">IF((E144="p"),G144," ")</f>
        <v> </v>
      </c>
      <c r="N144" s="334" t="str">
        <f aca="false">IF((E144="r"),G144," ")</f>
        <v> </v>
      </c>
      <c r="O144" s="334" t="str">
        <f aca="false">IF((E144="g"),G144," ")</f>
        <v> </v>
      </c>
      <c r="P144" s="334" t="str">
        <f aca="false">IF((E144="m"),G144," ")</f>
        <v> </v>
      </c>
      <c r="Q144" s="334" t="str">
        <f aca="false">IF((E144="t"),G144," ")</f>
        <v> </v>
      </c>
      <c r="R144" s="334" t="str">
        <f aca="false">IF((E144="a"),G144," ")</f>
        <v> </v>
      </c>
      <c r="S144" s="334" t="str">
        <f aca="false">IF((E144="l"),G144," ")</f>
        <v> </v>
      </c>
      <c r="T144" s="334" t="str">
        <f aca="false">IF((E144="b"),G144," ")</f>
        <v> </v>
      </c>
      <c r="U144" s="334" t="str">
        <f aca="false">IF((E144="i"),G144," ")</f>
        <v> </v>
      </c>
      <c r="V144" s="334" t="str">
        <f aca="false">IF((E144="o"),G144," ")</f>
        <v> </v>
      </c>
      <c r="W144" s="334" t="str">
        <f aca="false">IF((E144="f"),G144," ")</f>
        <v> </v>
      </c>
    </row>
    <row r="145" customFormat="false" ht="12.75" hidden="false" customHeight="false" outlineLevel="0" collapsed="false">
      <c r="A145" s="355"/>
      <c r="E145" s="365" t="str">
        <f aca="false">IF((G145&lt;&gt;0),"Enter Letter"," ")</f>
        <v> </v>
      </c>
      <c r="H145" s="338" t="str">
        <f aca="false">IF((G145&lt;&gt;0),IF((D145&gt;0)," ",G145)," ")</f>
        <v> </v>
      </c>
      <c r="I145" s="367" t="str">
        <f aca="false">IF((G145&lt;&gt;0),IF((D145&gt;0)," ",(I$1-A145))," ")</f>
        <v> </v>
      </c>
      <c r="J145" s="334" t="str">
        <f aca="false">IF((E145="s"),G145," ")</f>
        <v> </v>
      </c>
      <c r="K145" s="334" t="str">
        <f aca="false">IF((E145="d"),G145," ")</f>
        <v> </v>
      </c>
      <c r="L145" s="334" t="str">
        <f aca="false">IF((E145="e"),G145," ")</f>
        <v> </v>
      </c>
      <c r="M145" s="334" t="str">
        <f aca="false">IF((E145="p"),G145," ")</f>
        <v> </v>
      </c>
      <c r="N145" s="334" t="str">
        <f aca="false">IF((E145="r"),G145," ")</f>
        <v> </v>
      </c>
      <c r="O145" s="334" t="str">
        <f aca="false">IF((E145="g"),G145," ")</f>
        <v> </v>
      </c>
      <c r="P145" s="334" t="str">
        <f aca="false">IF((E145="m"),G145," ")</f>
        <v> </v>
      </c>
      <c r="Q145" s="334" t="str">
        <f aca="false">IF((E145="t"),G145," ")</f>
        <v> </v>
      </c>
      <c r="R145" s="334" t="str">
        <f aca="false">IF((E145="a"),G145," ")</f>
        <v> </v>
      </c>
      <c r="S145" s="334" t="str">
        <f aca="false">IF((E145="l"),G145," ")</f>
        <v> </v>
      </c>
      <c r="T145" s="334" t="str">
        <f aca="false">IF((E145="b"),G145," ")</f>
        <v> </v>
      </c>
      <c r="U145" s="334" t="str">
        <f aca="false">IF((E145="i"),G145," ")</f>
        <v> </v>
      </c>
      <c r="V145" s="334" t="str">
        <f aca="false">IF((E145="o"),G145," ")</f>
        <v> </v>
      </c>
      <c r="W145" s="334" t="str">
        <f aca="false">IF((E145="f"),G145," ")</f>
        <v> </v>
      </c>
    </row>
    <row r="146" customFormat="false" ht="12.75" hidden="false" customHeight="false" outlineLevel="0" collapsed="false">
      <c r="A146" s="355"/>
      <c r="E146" s="365" t="str">
        <f aca="false">IF((G146&lt;&gt;0),"Enter Letter"," ")</f>
        <v> </v>
      </c>
      <c r="H146" s="338" t="str">
        <f aca="false">IF((G146&lt;&gt;0),IF((D146&gt;0)," ",G146)," ")</f>
        <v> </v>
      </c>
      <c r="I146" s="367" t="str">
        <f aca="false">IF((G146&lt;&gt;0),IF((D146&gt;0)," ",(I$1-A146))," ")</f>
        <v> </v>
      </c>
      <c r="J146" s="334" t="str">
        <f aca="false">IF((E146="s"),G146," ")</f>
        <v> </v>
      </c>
      <c r="K146" s="334" t="str">
        <f aca="false">IF((E146="d"),G146," ")</f>
        <v> </v>
      </c>
      <c r="L146" s="334" t="str">
        <f aca="false">IF((E146="e"),G146," ")</f>
        <v> </v>
      </c>
      <c r="M146" s="334" t="str">
        <f aca="false">IF((E146="p"),G146," ")</f>
        <v> </v>
      </c>
      <c r="N146" s="334" t="str">
        <f aca="false">IF((E146="r"),G146," ")</f>
        <v> </v>
      </c>
      <c r="O146" s="334" t="str">
        <f aca="false">IF((E146="g"),G146," ")</f>
        <v> </v>
      </c>
      <c r="P146" s="334" t="str">
        <f aca="false">IF((E146="m"),G146," ")</f>
        <v> </v>
      </c>
      <c r="Q146" s="334" t="str">
        <f aca="false">IF((E146="t"),G146," ")</f>
        <v> </v>
      </c>
      <c r="R146" s="334" t="str">
        <f aca="false">IF((E146="a"),G146," ")</f>
        <v> </v>
      </c>
      <c r="S146" s="334" t="str">
        <f aca="false">IF((E146="l"),G146," ")</f>
        <v> </v>
      </c>
      <c r="T146" s="334" t="str">
        <f aca="false">IF((E146="b"),G146," ")</f>
        <v> </v>
      </c>
      <c r="U146" s="334" t="str">
        <f aca="false">IF((E146="i"),G146," ")</f>
        <v> </v>
      </c>
      <c r="V146" s="334" t="str">
        <f aca="false">IF((E146="o"),G146," ")</f>
        <v> </v>
      </c>
      <c r="W146" s="334" t="str">
        <f aca="false">IF((E146="f"),G146," ")</f>
        <v> </v>
      </c>
    </row>
    <row r="147" customFormat="false" ht="12.75" hidden="false" customHeight="false" outlineLevel="0" collapsed="false">
      <c r="A147" s="355"/>
      <c r="E147" s="365" t="str">
        <f aca="false">IF((G147&lt;&gt;0),"Enter Letter"," ")</f>
        <v> </v>
      </c>
      <c r="H147" s="338" t="str">
        <f aca="false">IF((G147&lt;&gt;0),IF((D147&gt;0)," ",G147)," ")</f>
        <v> </v>
      </c>
      <c r="I147" s="367" t="str">
        <f aca="false">IF((G147&lt;&gt;0),IF((D147&gt;0)," ",(I$1-A147))," ")</f>
        <v> </v>
      </c>
      <c r="J147" s="334" t="str">
        <f aca="false">IF((E147="s"),G147," ")</f>
        <v> </v>
      </c>
      <c r="K147" s="334" t="str">
        <f aca="false">IF((E147="d"),G147," ")</f>
        <v> </v>
      </c>
      <c r="L147" s="334" t="str">
        <f aca="false">IF((E147="e"),G147," ")</f>
        <v> </v>
      </c>
      <c r="M147" s="334" t="str">
        <f aca="false">IF((E147="p"),G147," ")</f>
        <v> </v>
      </c>
      <c r="N147" s="334" t="str">
        <f aca="false">IF((E147="r"),G147," ")</f>
        <v> </v>
      </c>
      <c r="O147" s="334" t="str">
        <f aca="false">IF((E147="g"),G147," ")</f>
        <v> </v>
      </c>
      <c r="P147" s="334" t="str">
        <f aca="false">IF((E147="m"),G147," ")</f>
        <v> </v>
      </c>
      <c r="Q147" s="334" t="str">
        <f aca="false">IF((E147="t"),G147," ")</f>
        <v> </v>
      </c>
      <c r="R147" s="334" t="str">
        <f aca="false">IF((E147="a"),G147," ")</f>
        <v> </v>
      </c>
      <c r="S147" s="334" t="str">
        <f aca="false">IF((E147="l"),G147," ")</f>
        <v> </v>
      </c>
      <c r="T147" s="334" t="str">
        <f aca="false">IF((E147="b"),G147," ")</f>
        <v> </v>
      </c>
      <c r="U147" s="334" t="str">
        <f aca="false">IF((E147="i"),G147," ")</f>
        <v> </v>
      </c>
      <c r="V147" s="334" t="str">
        <f aca="false">IF((E147="o"),G147," ")</f>
        <v> </v>
      </c>
      <c r="W147" s="334" t="str">
        <f aca="false">IF((E147="f"),G147," ")</f>
        <v> </v>
      </c>
    </row>
    <row r="148" customFormat="false" ht="12.75" hidden="false" customHeight="false" outlineLevel="0" collapsed="false">
      <c r="A148" s="355"/>
      <c r="E148" s="365" t="str">
        <f aca="false">IF((G148&lt;&gt;0),"Enter Letter"," ")</f>
        <v> </v>
      </c>
      <c r="H148" s="338" t="str">
        <f aca="false">IF((G148&lt;&gt;0),IF((D148&gt;0)," ",G148)," ")</f>
        <v> </v>
      </c>
      <c r="I148" s="367" t="str">
        <f aca="false">IF((G148&lt;&gt;0),IF((D148&gt;0)," ",(I$1-A148))," ")</f>
        <v> </v>
      </c>
      <c r="J148" s="334" t="str">
        <f aca="false">IF((E148="s"),G148," ")</f>
        <v> </v>
      </c>
      <c r="K148" s="334" t="str">
        <f aca="false">IF((E148="d"),G148," ")</f>
        <v> </v>
      </c>
      <c r="L148" s="334" t="str">
        <f aca="false">IF((E148="e"),G148," ")</f>
        <v> </v>
      </c>
      <c r="M148" s="334" t="str">
        <f aca="false">IF((E148="p"),G148," ")</f>
        <v> </v>
      </c>
      <c r="N148" s="334" t="str">
        <f aca="false">IF((E148="r"),G148," ")</f>
        <v> </v>
      </c>
      <c r="O148" s="334" t="str">
        <f aca="false">IF((E148="g"),G148," ")</f>
        <v> </v>
      </c>
      <c r="P148" s="334" t="str">
        <f aca="false">IF((E148="m"),G148," ")</f>
        <v> </v>
      </c>
      <c r="Q148" s="334" t="str">
        <f aca="false">IF((E148="t"),G148," ")</f>
        <v> </v>
      </c>
      <c r="R148" s="334" t="str">
        <f aca="false">IF((E148="a"),G148," ")</f>
        <v> </v>
      </c>
      <c r="S148" s="334" t="str">
        <f aca="false">IF((E148="l"),G148," ")</f>
        <v> </v>
      </c>
      <c r="T148" s="334" t="str">
        <f aca="false">IF((E148="b"),G148," ")</f>
        <v> </v>
      </c>
      <c r="U148" s="334" t="str">
        <f aca="false">IF((E148="i"),G148," ")</f>
        <v> </v>
      </c>
      <c r="V148" s="334" t="str">
        <f aca="false">IF((E148="o"),G148," ")</f>
        <v> </v>
      </c>
      <c r="W148" s="334" t="str">
        <f aca="false">IF((E148="f"),G148," ")</f>
        <v> </v>
      </c>
    </row>
    <row r="149" customFormat="false" ht="12.75" hidden="false" customHeight="false" outlineLevel="0" collapsed="false">
      <c r="A149" s="355"/>
      <c r="E149" s="365" t="str">
        <f aca="false">IF((G149&lt;&gt;0),"Enter Letter"," ")</f>
        <v> </v>
      </c>
      <c r="H149" s="338" t="str">
        <f aca="false">IF((G149&lt;&gt;0),IF((D149&gt;0)," ",G149)," ")</f>
        <v> </v>
      </c>
      <c r="I149" s="367" t="str">
        <f aca="false">IF((G149&lt;&gt;0),IF((D149&gt;0)," ",(I$1-A149))," ")</f>
        <v> </v>
      </c>
      <c r="J149" s="334" t="str">
        <f aca="false">IF((E149="s"),G149," ")</f>
        <v> </v>
      </c>
      <c r="K149" s="334" t="str">
        <f aca="false">IF((E149="d"),G149," ")</f>
        <v> </v>
      </c>
      <c r="L149" s="334" t="str">
        <f aca="false">IF((E149="e"),G149," ")</f>
        <v> </v>
      </c>
      <c r="M149" s="334" t="str">
        <f aca="false">IF((E149="p"),G149," ")</f>
        <v> </v>
      </c>
      <c r="N149" s="334" t="str">
        <f aca="false">IF((E149="r"),G149," ")</f>
        <v> </v>
      </c>
      <c r="O149" s="334" t="str">
        <f aca="false">IF((E149="g"),G149," ")</f>
        <v> </v>
      </c>
      <c r="P149" s="334" t="str">
        <f aca="false">IF((E149="m"),G149," ")</f>
        <v> </v>
      </c>
      <c r="Q149" s="334" t="str">
        <f aca="false">IF((E149="t"),G149," ")</f>
        <v> </v>
      </c>
      <c r="R149" s="334" t="str">
        <f aca="false">IF((E149="a"),G149," ")</f>
        <v> </v>
      </c>
      <c r="S149" s="334" t="str">
        <f aca="false">IF((E149="l"),G149," ")</f>
        <v> </v>
      </c>
      <c r="T149" s="334" t="str">
        <f aca="false">IF((E149="b"),G149," ")</f>
        <v> </v>
      </c>
      <c r="U149" s="334" t="str">
        <f aca="false">IF((E149="i"),G149," ")</f>
        <v> </v>
      </c>
      <c r="V149" s="334" t="str">
        <f aca="false">IF((E149="o"),G149," ")</f>
        <v> </v>
      </c>
      <c r="W149" s="334" t="str">
        <f aca="false">IF((E149="f"),G149," ")</f>
        <v> </v>
      </c>
    </row>
    <row r="150" customFormat="false" ht="12.75" hidden="false" customHeight="false" outlineLevel="0" collapsed="false">
      <c r="A150" s="355"/>
      <c r="E150" s="365" t="str">
        <f aca="false">IF((G150&lt;&gt;0),"Enter Letter"," ")</f>
        <v> </v>
      </c>
      <c r="H150" s="338" t="str">
        <f aca="false">IF((G150&lt;&gt;0),IF((D150&gt;0)," ",G150)," ")</f>
        <v> </v>
      </c>
      <c r="I150" s="367" t="str">
        <f aca="false">IF((G150&lt;&gt;0),IF((D150&gt;0)," ",(I$1-A150))," ")</f>
        <v> </v>
      </c>
      <c r="J150" s="334" t="str">
        <f aca="false">IF((E150="s"),G150," ")</f>
        <v> </v>
      </c>
      <c r="K150" s="334" t="str">
        <f aca="false">IF((E150="d"),G150," ")</f>
        <v> </v>
      </c>
      <c r="L150" s="334" t="str">
        <f aca="false">IF((E150="e"),G150," ")</f>
        <v> </v>
      </c>
      <c r="M150" s="334" t="str">
        <f aca="false">IF((E150="p"),G150," ")</f>
        <v> </v>
      </c>
      <c r="N150" s="334" t="str">
        <f aca="false">IF((E150="r"),G150," ")</f>
        <v> </v>
      </c>
      <c r="O150" s="334" t="str">
        <f aca="false">IF((E150="g"),G150," ")</f>
        <v> </v>
      </c>
      <c r="P150" s="334" t="str">
        <f aca="false">IF((E150="m"),G150," ")</f>
        <v> </v>
      </c>
      <c r="Q150" s="334" t="str">
        <f aca="false">IF((E150="t"),G150," ")</f>
        <v> </v>
      </c>
      <c r="R150" s="334" t="str">
        <f aca="false">IF((E150="a"),G150," ")</f>
        <v> </v>
      </c>
      <c r="S150" s="334" t="str">
        <f aca="false">IF((E150="l"),G150," ")</f>
        <v> </v>
      </c>
      <c r="T150" s="334" t="str">
        <f aca="false">IF((E150="b"),G150," ")</f>
        <v> </v>
      </c>
      <c r="U150" s="334" t="str">
        <f aca="false">IF((E150="i"),G150," ")</f>
        <v> </v>
      </c>
      <c r="V150" s="334" t="str">
        <f aca="false">IF((E150="o"),G150," ")</f>
        <v> </v>
      </c>
      <c r="W150" s="334" t="str">
        <f aca="false">IF((E150="f"),G150," ")</f>
        <v> </v>
      </c>
    </row>
    <row r="151" customFormat="false" ht="12.75" hidden="false" customHeight="false" outlineLevel="0" collapsed="false">
      <c r="A151" s="355"/>
      <c r="E151" s="365" t="str">
        <f aca="false">IF((G151&lt;&gt;0),"Enter Letter"," ")</f>
        <v> </v>
      </c>
      <c r="H151" s="338" t="str">
        <f aca="false">IF((G151&lt;&gt;0),IF((D151&gt;0)," ",G151)," ")</f>
        <v> </v>
      </c>
      <c r="I151" s="367" t="str">
        <f aca="false">IF((G151&lt;&gt;0),IF((D151&gt;0)," ",(I$1-A151))," ")</f>
        <v> </v>
      </c>
      <c r="J151" s="334" t="str">
        <f aca="false">IF((E151="s"),G151," ")</f>
        <v> </v>
      </c>
      <c r="K151" s="334" t="str">
        <f aca="false">IF((E151="d"),G151," ")</f>
        <v> </v>
      </c>
      <c r="L151" s="334" t="str">
        <f aca="false">IF((E151="e"),G151," ")</f>
        <v> </v>
      </c>
      <c r="M151" s="334" t="str">
        <f aca="false">IF((E151="p"),G151," ")</f>
        <v> </v>
      </c>
      <c r="N151" s="334" t="str">
        <f aca="false">IF((E151="r"),G151," ")</f>
        <v> </v>
      </c>
      <c r="O151" s="334" t="str">
        <f aca="false">IF((E151="g"),G151," ")</f>
        <v> </v>
      </c>
      <c r="P151" s="334" t="str">
        <f aca="false">IF((E151="m"),G151," ")</f>
        <v> </v>
      </c>
      <c r="Q151" s="334" t="str">
        <f aca="false">IF((E151="t"),G151," ")</f>
        <v> </v>
      </c>
      <c r="R151" s="334" t="str">
        <f aca="false">IF((E151="a"),G151," ")</f>
        <v> </v>
      </c>
      <c r="S151" s="334" t="str">
        <f aca="false">IF((E151="l"),G151," ")</f>
        <v> </v>
      </c>
      <c r="T151" s="334" t="str">
        <f aca="false">IF((E151="b"),G151," ")</f>
        <v> </v>
      </c>
      <c r="U151" s="334" t="str">
        <f aca="false">IF((E151="i"),G151," ")</f>
        <v> </v>
      </c>
      <c r="V151" s="334" t="str">
        <f aca="false">IF((E151="o"),G151," ")</f>
        <v> </v>
      </c>
      <c r="W151" s="334" t="str">
        <f aca="false">IF((E151="f"),G151," ")</f>
        <v> </v>
      </c>
    </row>
    <row r="152" customFormat="false" ht="12.75" hidden="false" customHeight="false" outlineLevel="0" collapsed="false">
      <c r="A152" s="355"/>
      <c r="E152" s="365" t="str">
        <f aca="false">IF((G152&lt;&gt;0),"Enter Letter"," ")</f>
        <v> </v>
      </c>
      <c r="H152" s="338" t="str">
        <f aca="false">IF((G152&lt;&gt;0),IF((D152&gt;0)," ",G152)," ")</f>
        <v> </v>
      </c>
      <c r="I152" s="367" t="str">
        <f aca="false">IF((G152&lt;&gt;0),IF((D152&gt;0)," ",(I$1-A152))," ")</f>
        <v> </v>
      </c>
      <c r="J152" s="334" t="str">
        <f aca="false">IF((E152="s"),G152," ")</f>
        <v> </v>
      </c>
      <c r="K152" s="334" t="str">
        <f aca="false">IF((E152="d"),G152," ")</f>
        <v> </v>
      </c>
      <c r="L152" s="334" t="str">
        <f aca="false">IF((E152="e"),G152," ")</f>
        <v> </v>
      </c>
      <c r="M152" s="334" t="str">
        <f aca="false">IF((E152="p"),G152," ")</f>
        <v> </v>
      </c>
      <c r="N152" s="334" t="str">
        <f aca="false">IF((E152="r"),G152," ")</f>
        <v> </v>
      </c>
      <c r="O152" s="334" t="str">
        <f aca="false">IF((E152="g"),G152," ")</f>
        <v> </v>
      </c>
      <c r="P152" s="334" t="str">
        <f aca="false">IF((E152="m"),G152," ")</f>
        <v> </v>
      </c>
      <c r="Q152" s="334" t="str">
        <f aca="false">IF((E152="t"),G152," ")</f>
        <v> </v>
      </c>
      <c r="R152" s="334" t="str">
        <f aca="false">IF((E152="a"),G152," ")</f>
        <v> </v>
      </c>
      <c r="S152" s="334" t="str">
        <f aca="false">IF((E152="l"),G152," ")</f>
        <v> </v>
      </c>
      <c r="T152" s="334" t="str">
        <f aca="false">IF((E152="b"),G152," ")</f>
        <v> </v>
      </c>
      <c r="U152" s="334" t="str">
        <f aca="false">IF((E152="i"),G152," ")</f>
        <v> </v>
      </c>
      <c r="V152" s="334" t="str">
        <f aca="false">IF((E152="o"),G152," ")</f>
        <v> </v>
      </c>
      <c r="W152" s="334" t="str">
        <f aca="false">IF((E152="f"),G152," ")</f>
        <v> </v>
      </c>
    </row>
    <row r="153" customFormat="false" ht="12.75" hidden="false" customHeight="false" outlineLevel="0" collapsed="false">
      <c r="A153" s="355"/>
      <c r="E153" s="365" t="str">
        <f aca="false">IF((G153&lt;&gt;0),"Enter Letter"," ")</f>
        <v> </v>
      </c>
      <c r="H153" s="338" t="str">
        <f aca="false">IF((G153&lt;&gt;0),IF((D153&gt;0)," ",G153)," ")</f>
        <v> </v>
      </c>
      <c r="I153" s="367" t="str">
        <f aca="false">IF((G153&lt;&gt;0),IF((D153&gt;0)," ",(I$1-A153))," ")</f>
        <v> </v>
      </c>
      <c r="J153" s="334" t="str">
        <f aca="false">IF((E153="s"),G153," ")</f>
        <v> </v>
      </c>
      <c r="K153" s="334" t="str">
        <f aca="false">IF((E153="d"),G153," ")</f>
        <v> </v>
      </c>
      <c r="L153" s="334" t="str">
        <f aca="false">IF((E153="e"),G153," ")</f>
        <v> </v>
      </c>
      <c r="M153" s="334" t="str">
        <f aca="false">IF((E153="p"),G153," ")</f>
        <v> </v>
      </c>
      <c r="N153" s="334" t="str">
        <f aca="false">IF((E153="r"),G153," ")</f>
        <v> </v>
      </c>
      <c r="O153" s="334" t="str">
        <f aca="false">IF((E153="g"),G153," ")</f>
        <v> </v>
      </c>
      <c r="P153" s="334" t="str">
        <f aca="false">IF((E153="m"),G153," ")</f>
        <v> </v>
      </c>
      <c r="Q153" s="334" t="str">
        <f aca="false">IF((E153="t"),G153," ")</f>
        <v> </v>
      </c>
      <c r="R153" s="334" t="str">
        <f aca="false">IF((E153="a"),G153," ")</f>
        <v> </v>
      </c>
      <c r="S153" s="334" t="str">
        <f aca="false">IF((E153="l"),G153," ")</f>
        <v> </v>
      </c>
      <c r="T153" s="334" t="str">
        <f aca="false">IF((E153="b"),G153," ")</f>
        <v> </v>
      </c>
      <c r="U153" s="334" t="str">
        <f aca="false">IF((E153="i"),G153," ")</f>
        <v> </v>
      </c>
      <c r="V153" s="334" t="str">
        <f aca="false">IF((E153="o"),G153," ")</f>
        <v> </v>
      </c>
      <c r="W153" s="334" t="str">
        <f aca="false">IF((E153="f"),G153," ")</f>
        <v> </v>
      </c>
    </row>
    <row r="154" customFormat="false" ht="12.75" hidden="false" customHeight="false" outlineLevel="0" collapsed="false">
      <c r="A154" s="355"/>
      <c r="E154" s="365" t="str">
        <f aca="false">IF((G154&lt;&gt;0),"Enter Letter"," ")</f>
        <v> </v>
      </c>
      <c r="H154" s="338" t="str">
        <f aca="false">IF((G154&lt;&gt;0),IF((D154&gt;0)," ",G154)," ")</f>
        <v> </v>
      </c>
      <c r="I154" s="367" t="str">
        <f aca="false">IF((G154&lt;&gt;0),IF((D154&gt;0)," ",(I$1-A154))," ")</f>
        <v> </v>
      </c>
      <c r="J154" s="334" t="str">
        <f aca="false">IF((E154="s"),G154," ")</f>
        <v> </v>
      </c>
      <c r="K154" s="334" t="str">
        <f aca="false">IF((E154="d"),G154," ")</f>
        <v> </v>
      </c>
      <c r="L154" s="334" t="str">
        <f aca="false">IF((E154="e"),G154," ")</f>
        <v> </v>
      </c>
      <c r="M154" s="334" t="str">
        <f aca="false">IF((E154="p"),G154," ")</f>
        <v> </v>
      </c>
      <c r="N154" s="334" t="str">
        <f aca="false">IF((E154="r"),G154," ")</f>
        <v> </v>
      </c>
      <c r="O154" s="334" t="str">
        <f aca="false">IF((E154="g"),G154," ")</f>
        <v> </v>
      </c>
      <c r="P154" s="334" t="str">
        <f aca="false">IF((E154="m"),G154," ")</f>
        <v> </v>
      </c>
      <c r="Q154" s="334" t="str">
        <f aca="false">IF((E154="t"),G154," ")</f>
        <v> </v>
      </c>
      <c r="R154" s="334" t="str">
        <f aca="false">IF((E154="a"),G154," ")</f>
        <v> </v>
      </c>
      <c r="S154" s="334" t="str">
        <f aca="false">IF((E154="l"),G154," ")</f>
        <v> </v>
      </c>
      <c r="T154" s="334" t="str">
        <f aca="false">IF((E154="b"),G154," ")</f>
        <v> </v>
      </c>
      <c r="U154" s="334" t="str">
        <f aca="false">IF((E154="i"),G154," ")</f>
        <v> </v>
      </c>
      <c r="V154" s="334" t="str">
        <f aca="false">IF((E154="o"),G154," ")</f>
        <v> </v>
      </c>
      <c r="W154" s="334" t="str">
        <f aca="false">IF((E154="f"),G154," ")</f>
        <v> </v>
      </c>
    </row>
    <row r="155" customFormat="false" ht="12.75" hidden="false" customHeight="false" outlineLevel="0" collapsed="false">
      <c r="A155" s="355"/>
      <c r="E155" s="365" t="str">
        <f aca="false">IF((G155&lt;&gt;0),"Enter Letter"," ")</f>
        <v> </v>
      </c>
      <c r="H155" s="338" t="str">
        <f aca="false">IF((G155&lt;&gt;0),IF((D155&gt;0)," ",G155)," ")</f>
        <v> </v>
      </c>
      <c r="I155" s="367" t="str">
        <f aca="false">IF((G155&lt;&gt;0),IF((D155&gt;0)," ",(I$1-A155))," ")</f>
        <v> </v>
      </c>
      <c r="J155" s="334" t="str">
        <f aca="false">IF((E155="s"),G155," ")</f>
        <v> </v>
      </c>
      <c r="K155" s="334" t="str">
        <f aca="false">IF((E155="d"),G155," ")</f>
        <v> </v>
      </c>
      <c r="L155" s="334" t="str">
        <f aca="false">IF((E155="e"),G155," ")</f>
        <v> </v>
      </c>
      <c r="M155" s="334" t="str">
        <f aca="false">IF((E155="p"),G155," ")</f>
        <v> </v>
      </c>
      <c r="N155" s="334" t="str">
        <f aca="false">IF((E155="r"),G155," ")</f>
        <v> </v>
      </c>
      <c r="O155" s="334" t="str">
        <f aca="false">IF((E155="g"),G155," ")</f>
        <v> </v>
      </c>
      <c r="P155" s="334" t="str">
        <f aca="false">IF((E155="m"),G155," ")</f>
        <v> </v>
      </c>
      <c r="Q155" s="334" t="str">
        <f aca="false">IF((E155="t"),G155," ")</f>
        <v> </v>
      </c>
      <c r="R155" s="334" t="str">
        <f aca="false">IF((E155="a"),G155," ")</f>
        <v> </v>
      </c>
      <c r="S155" s="334" t="str">
        <f aca="false">IF((E155="l"),G155," ")</f>
        <v> </v>
      </c>
      <c r="T155" s="334" t="str">
        <f aca="false">IF((E155="b"),G155," ")</f>
        <v> </v>
      </c>
      <c r="U155" s="334" t="str">
        <f aca="false">IF((E155="i"),G155," ")</f>
        <v> </v>
      </c>
      <c r="V155" s="334" t="str">
        <f aca="false">IF((E155="o"),G155," ")</f>
        <v> </v>
      </c>
      <c r="W155" s="334" t="str">
        <f aca="false">IF((E155="f"),G155," ")</f>
        <v> </v>
      </c>
    </row>
    <row r="156" customFormat="false" ht="12.75" hidden="false" customHeight="false" outlineLevel="0" collapsed="false">
      <c r="A156" s="355"/>
      <c r="E156" s="365" t="str">
        <f aca="false">IF((G156&lt;&gt;0),"Enter Letter"," ")</f>
        <v> </v>
      </c>
      <c r="H156" s="338" t="str">
        <f aca="false">IF((G156&lt;&gt;0),IF((D156&gt;0)," ",G156)," ")</f>
        <v> </v>
      </c>
      <c r="I156" s="367" t="str">
        <f aca="false">IF((G156&lt;&gt;0),IF((D156&gt;0)," ",(I$1-A156))," ")</f>
        <v> </v>
      </c>
      <c r="J156" s="334" t="str">
        <f aca="false">IF((E156="s"),G156," ")</f>
        <v> </v>
      </c>
      <c r="K156" s="334" t="str">
        <f aca="false">IF((E156="d"),G156," ")</f>
        <v> </v>
      </c>
      <c r="L156" s="334" t="str">
        <f aca="false">IF((E156="e"),G156," ")</f>
        <v> </v>
      </c>
      <c r="M156" s="334" t="str">
        <f aca="false">IF((E156="p"),G156," ")</f>
        <v> </v>
      </c>
      <c r="N156" s="334" t="str">
        <f aca="false">IF((E156="r"),G156," ")</f>
        <v> </v>
      </c>
      <c r="O156" s="334" t="str">
        <f aca="false">IF((E156="g"),G156," ")</f>
        <v> </v>
      </c>
      <c r="P156" s="334" t="str">
        <f aca="false">IF((E156="m"),G156," ")</f>
        <v> </v>
      </c>
      <c r="Q156" s="334" t="str">
        <f aca="false">IF((E156="t"),G156," ")</f>
        <v> </v>
      </c>
      <c r="R156" s="334" t="str">
        <f aca="false">IF((E156="a"),G156," ")</f>
        <v> </v>
      </c>
      <c r="S156" s="334" t="str">
        <f aca="false">IF((E156="l"),G156," ")</f>
        <v> </v>
      </c>
      <c r="T156" s="334" t="str">
        <f aca="false">IF((E156="b"),G156," ")</f>
        <v> </v>
      </c>
      <c r="U156" s="334" t="str">
        <f aca="false">IF((E156="i"),G156," ")</f>
        <v> </v>
      </c>
      <c r="V156" s="334" t="str">
        <f aca="false">IF((E156="o"),G156," ")</f>
        <v> </v>
      </c>
      <c r="W156" s="334" t="str">
        <f aca="false">IF((E156="f"),G156," ")</f>
        <v> </v>
      </c>
    </row>
    <row r="157" customFormat="false" ht="12.75" hidden="false" customHeight="false" outlineLevel="0" collapsed="false">
      <c r="A157" s="355"/>
      <c r="E157" s="365" t="str">
        <f aca="false">IF((G157&lt;&gt;0),"Enter Letter"," ")</f>
        <v> </v>
      </c>
      <c r="H157" s="338" t="str">
        <f aca="false">IF((G157&lt;&gt;0),IF((D157&gt;0)," ",G157)," ")</f>
        <v> </v>
      </c>
      <c r="I157" s="367" t="str">
        <f aca="false">IF((G157&lt;&gt;0),IF((D157&gt;0)," ",(I$1-A157))," ")</f>
        <v> </v>
      </c>
      <c r="J157" s="334" t="str">
        <f aca="false">IF((E157="s"),G157," ")</f>
        <v> </v>
      </c>
      <c r="K157" s="334" t="str">
        <f aca="false">IF((E157="d"),G157," ")</f>
        <v> </v>
      </c>
      <c r="L157" s="334" t="str">
        <f aca="false">IF((E157="e"),G157," ")</f>
        <v> </v>
      </c>
      <c r="M157" s="334" t="str">
        <f aca="false">IF((E157="p"),G157," ")</f>
        <v> </v>
      </c>
      <c r="N157" s="334" t="str">
        <f aca="false">IF((E157="r"),G157," ")</f>
        <v> </v>
      </c>
      <c r="O157" s="334" t="str">
        <f aca="false">IF((E157="g"),G157," ")</f>
        <v> </v>
      </c>
      <c r="P157" s="334" t="str">
        <f aca="false">IF((E157="m"),G157," ")</f>
        <v> </v>
      </c>
      <c r="Q157" s="334" t="str">
        <f aca="false">IF((E157="t"),G157," ")</f>
        <v> </v>
      </c>
      <c r="R157" s="334" t="str">
        <f aca="false">IF((E157="a"),G157," ")</f>
        <v> </v>
      </c>
      <c r="S157" s="334" t="str">
        <f aca="false">IF((E157="l"),G157," ")</f>
        <v> </v>
      </c>
      <c r="T157" s="334" t="str">
        <f aca="false">IF((E157="b"),G157," ")</f>
        <v> </v>
      </c>
      <c r="U157" s="334" t="str">
        <f aca="false">IF((E157="i"),G157," ")</f>
        <v> </v>
      </c>
      <c r="V157" s="334" t="str">
        <f aca="false">IF((E157="o"),G157," ")</f>
        <v> </v>
      </c>
      <c r="W157" s="334" t="str">
        <f aca="false">IF((E157="f"),G157," ")</f>
        <v> </v>
      </c>
    </row>
    <row r="158" customFormat="false" ht="12.75" hidden="false" customHeight="false" outlineLevel="0" collapsed="false">
      <c r="A158" s="355"/>
      <c r="E158" s="365" t="str">
        <f aca="false">IF((G158&lt;&gt;0),"Enter Letter"," ")</f>
        <v> </v>
      </c>
      <c r="H158" s="338" t="str">
        <f aca="false">IF((G158&lt;&gt;0),IF((D158&gt;0)," ",G158)," ")</f>
        <v> </v>
      </c>
      <c r="I158" s="367" t="str">
        <f aca="false">IF((G158&lt;&gt;0),IF((D158&gt;0)," ",(I$1-A158))," ")</f>
        <v> </v>
      </c>
      <c r="J158" s="334" t="str">
        <f aca="false">IF((E158="s"),G158," ")</f>
        <v> </v>
      </c>
      <c r="K158" s="334" t="str">
        <f aca="false">IF((E158="d"),G158," ")</f>
        <v> </v>
      </c>
      <c r="L158" s="334" t="str">
        <f aca="false">IF((E158="e"),G158," ")</f>
        <v> </v>
      </c>
      <c r="M158" s="334" t="str">
        <f aca="false">IF((E158="p"),G158," ")</f>
        <v> </v>
      </c>
      <c r="N158" s="334" t="str">
        <f aca="false">IF((E158="r"),G158," ")</f>
        <v> </v>
      </c>
      <c r="O158" s="334" t="str">
        <f aca="false">IF((E158="g"),G158," ")</f>
        <v> </v>
      </c>
      <c r="P158" s="334" t="str">
        <f aca="false">IF((E158="m"),G158," ")</f>
        <v> </v>
      </c>
      <c r="Q158" s="334" t="str">
        <f aca="false">IF((E158="t"),G158," ")</f>
        <v> </v>
      </c>
      <c r="R158" s="334" t="str">
        <f aca="false">IF((E158="a"),G158," ")</f>
        <v> </v>
      </c>
      <c r="S158" s="334" t="str">
        <f aca="false">IF((E158="l"),G158," ")</f>
        <v> </v>
      </c>
      <c r="T158" s="334" t="str">
        <f aca="false">IF((E158="b"),G158," ")</f>
        <v> </v>
      </c>
      <c r="U158" s="334" t="str">
        <f aca="false">IF((E158="i"),G158," ")</f>
        <v> </v>
      </c>
      <c r="V158" s="334" t="str">
        <f aca="false">IF((E158="o"),G158," ")</f>
        <v> </v>
      </c>
      <c r="W158" s="334" t="str">
        <f aca="false">IF((E158="f"),G158," ")</f>
        <v> </v>
      </c>
    </row>
    <row r="159" customFormat="false" ht="12.75" hidden="false" customHeight="false" outlineLevel="0" collapsed="false">
      <c r="A159" s="355"/>
      <c r="E159" s="365" t="str">
        <f aca="false">IF((G159&lt;&gt;0),"Enter Letter"," ")</f>
        <v> </v>
      </c>
      <c r="H159" s="338" t="str">
        <f aca="false">IF((G159&lt;&gt;0),IF((D159&gt;0)," ",G159)," ")</f>
        <v> </v>
      </c>
      <c r="I159" s="367" t="str">
        <f aca="false">IF((G159&lt;&gt;0),IF((D159&gt;0)," ",(I$1-A159))," ")</f>
        <v> </v>
      </c>
      <c r="J159" s="334" t="str">
        <f aca="false">IF((E159="s"),G159," ")</f>
        <v> </v>
      </c>
      <c r="K159" s="334" t="str">
        <f aca="false">IF((E159="d"),G159," ")</f>
        <v> </v>
      </c>
      <c r="L159" s="334" t="str">
        <f aca="false">IF((E159="e"),G159," ")</f>
        <v> </v>
      </c>
      <c r="M159" s="334" t="str">
        <f aca="false">IF((E159="p"),G159," ")</f>
        <v> </v>
      </c>
      <c r="N159" s="334" t="str">
        <f aca="false">IF((E159="r"),G159," ")</f>
        <v> </v>
      </c>
      <c r="O159" s="334" t="str">
        <f aca="false">IF((E159="g"),G159," ")</f>
        <v> </v>
      </c>
      <c r="P159" s="334" t="str">
        <f aca="false">IF((E159="m"),G159," ")</f>
        <v> </v>
      </c>
      <c r="Q159" s="334" t="str">
        <f aca="false">IF((E159="t"),G159," ")</f>
        <v> </v>
      </c>
      <c r="R159" s="334" t="str">
        <f aca="false">IF((E159="a"),G159," ")</f>
        <v> </v>
      </c>
      <c r="S159" s="334" t="str">
        <f aca="false">IF((E159="l"),G159," ")</f>
        <v> </v>
      </c>
      <c r="T159" s="334" t="str">
        <f aca="false">IF((E159="b"),G159," ")</f>
        <v> </v>
      </c>
      <c r="U159" s="334" t="str">
        <f aca="false">IF((E159="i"),G159," ")</f>
        <v> </v>
      </c>
      <c r="V159" s="334" t="str">
        <f aca="false">IF((E159="o"),G159," ")</f>
        <v> </v>
      </c>
      <c r="W159" s="334" t="str">
        <f aca="false">IF((E159="f"),G159," ")</f>
        <v> </v>
      </c>
    </row>
    <row r="160" customFormat="false" ht="12.75" hidden="false" customHeight="false" outlineLevel="0" collapsed="false">
      <c r="A160" s="355"/>
      <c r="E160" s="365" t="str">
        <f aca="false">IF((G160&lt;&gt;0),"Enter Letter"," ")</f>
        <v> </v>
      </c>
      <c r="H160" s="338" t="str">
        <f aca="false">IF((G160&lt;&gt;0),IF((D160&gt;0)," ",G160)," ")</f>
        <v> </v>
      </c>
      <c r="I160" s="367" t="str">
        <f aca="false">IF((G160&lt;&gt;0),IF((D160&gt;0)," ",(I$1-A160))," ")</f>
        <v> </v>
      </c>
      <c r="J160" s="334" t="str">
        <f aca="false">IF((E160="s"),G160," ")</f>
        <v> </v>
      </c>
      <c r="K160" s="334" t="str">
        <f aca="false">IF((E160="d"),G160," ")</f>
        <v> </v>
      </c>
      <c r="L160" s="334" t="str">
        <f aca="false">IF((E160="e"),G160," ")</f>
        <v> </v>
      </c>
      <c r="M160" s="334" t="str">
        <f aca="false">IF((E160="p"),G160," ")</f>
        <v> </v>
      </c>
      <c r="N160" s="334" t="str">
        <f aca="false">IF((E160="r"),G160," ")</f>
        <v> </v>
      </c>
      <c r="O160" s="334" t="str">
        <f aca="false">IF((E160="g"),G160," ")</f>
        <v> </v>
      </c>
      <c r="P160" s="334" t="str">
        <f aca="false">IF((E160="m"),G160," ")</f>
        <v> </v>
      </c>
      <c r="Q160" s="334" t="str">
        <f aca="false">IF((E160="t"),G160," ")</f>
        <v> </v>
      </c>
      <c r="R160" s="334" t="str">
        <f aca="false">IF((E160="a"),G160," ")</f>
        <v> </v>
      </c>
      <c r="S160" s="334" t="str">
        <f aca="false">IF((E160="l"),G160," ")</f>
        <v> </v>
      </c>
      <c r="T160" s="334" t="str">
        <f aca="false">IF((E160="b"),G160," ")</f>
        <v> </v>
      </c>
      <c r="U160" s="334" t="str">
        <f aca="false">IF((E160="i"),G160," ")</f>
        <v> </v>
      </c>
      <c r="V160" s="334" t="str">
        <f aca="false">IF((E160="o"),G160," ")</f>
        <v> </v>
      </c>
      <c r="W160" s="334" t="str">
        <f aca="false">IF((E160="f"),G160," ")</f>
        <v> </v>
      </c>
    </row>
    <row r="161" customFormat="false" ht="12.75" hidden="false" customHeight="false" outlineLevel="0" collapsed="false">
      <c r="A161" s="355"/>
      <c r="E161" s="365" t="str">
        <f aca="false">IF((G161&lt;&gt;0),"Enter Letter"," ")</f>
        <v> </v>
      </c>
      <c r="H161" s="338" t="str">
        <f aca="false">IF((G161&lt;&gt;0),IF((D161&gt;0)," ",G161)," ")</f>
        <v> </v>
      </c>
      <c r="I161" s="367" t="str">
        <f aca="false">IF((G161&lt;&gt;0),IF((D161&gt;0)," ",(I$1-A161))," ")</f>
        <v> </v>
      </c>
      <c r="J161" s="334" t="str">
        <f aca="false">IF((E161="s"),G161," ")</f>
        <v> </v>
      </c>
      <c r="K161" s="334" t="str">
        <f aca="false">IF((E161="d"),G161," ")</f>
        <v> </v>
      </c>
      <c r="L161" s="334" t="str">
        <f aca="false">IF((E161="e"),G161," ")</f>
        <v> </v>
      </c>
      <c r="M161" s="334" t="str">
        <f aca="false">IF((E161="p"),G161," ")</f>
        <v> </v>
      </c>
      <c r="N161" s="334" t="str">
        <f aca="false">IF((E161="r"),G161," ")</f>
        <v> </v>
      </c>
      <c r="O161" s="334" t="str">
        <f aca="false">IF((E161="g"),G161," ")</f>
        <v> </v>
      </c>
      <c r="P161" s="334" t="str">
        <f aca="false">IF((E161="m"),G161," ")</f>
        <v> </v>
      </c>
      <c r="Q161" s="334" t="str">
        <f aca="false">IF((E161="t"),G161," ")</f>
        <v> </v>
      </c>
      <c r="R161" s="334" t="str">
        <f aca="false">IF((E161="a"),G161," ")</f>
        <v> </v>
      </c>
      <c r="S161" s="334" t="str">
        <f aca="false">IF((E161="l"),G161," ")</f>
        <v> </v>
      </c>
      <c r="T161" s="334" t="str">
        <f aca="false">IF((E161="b"),G161," ")</f>
        <v> </v>
      </c>
      <c r="U161" s="334" t="str">
        <f aca="false">IF((E161="i"),G161," ")</f>
        <v> </v>
      </c>
      <c r="V161" s="334" t="str">
        <f aca="false">IF((E161="o"),G161," ")</f>
        <v> </v>
      </c>
      <c r="W161" s="334" t="str">
        <f aca="false">IF((E161="f"),G161," ")</f>
        <v> </v>
      </c>
    </row>
    <row r="162" customFormat="false" ht="12.75" hidden="false" customHeight="false" outlineLevel="0" collapsed="false">
      <c r="A162" s="355"/>
      <c r="E162" s="365" t="str">
        <f aca="false">IF((G162&lt;&gt;0),"Enter Letter"," ")</f>
        <v> </v>
      </c>
      <c r="H162" s="338" t="str">
        <f aca="false">IF((G162&lt;&gt;0),IF((D162&gt;0)," ",G162)," ")</f>
        <v> </v>
      </c>
      <c r="I162" s="367" t="str">
        <f aca="false">IF((G162&lt;&gt;0),IF((D162&gt;0)," ",(I$1-A162))," ")</f>
        <v> </v>
      </c>
      <c r="J162" s="334" t="str">
        <f aca="false">IF((E162="s"),G162," ")</f>
        <v> </v>
      </c>
      <c r="K162" s="334" t="str">
        <f aca="false">IF((E162="d"),G162," ")</f>
        <v> </v>
      </c>
      <c r="L162" s="334" t="str">
        <f aca="false">IF((E162="e"),G162," ")</f>
        <v> </v>
      </c>
      <c r="M162" s="334" t="str">
        <f aca="false">IF((E162="p"),G162," ")</f>
        <v> </v>
      </c>
      <c r="N162" s="334" t="str">
        <f aca="false">IF((E162="r"),G162," ")</f>
        <v> </v>
      </c>
      <c r="O162" s="334" t="str">
        <f aca="false">IF((E162="g"),G162," ")</f>
        <v> </v>
      </c>
      <c r="P162" s="334" t="str">
        <f aca="false">IF((E162="m"),G162," ")</f>
        <v> </v>
      </c>
      <c r="Q162" s="334" t="str">
        <f aca="false">IF((E162="t"),G162," ")</f>
        <v> </v>
      </c>
      <c r="R162" s="334" t="str">
        <f aca="false">IF((E162="a"),G162," ")</f>
        <v> </v>
      </c>
      <c r="S162" s="334" t="str">
        <f aca="false">IF((E162="l"),G162," ")</f>
        <v> </v>
      </c>
      <c r="T162" s="334" t="str">
        <f aca="false">IF((E162="b"),G162," ")</f>
        <v> </v>
      </c>
      <c r="U162" s="334" t="str">
        <f aca="false">IF((E162="i"),G162," ")</f>
        <v> </v>
      </c>
      <c r="V162" s="334" t="str">
        <f aca="false">IF((E162="o"),G162," ")</f>
        <v> </v>
      </c>
      <c r="W162" s="334" t="str">
        <f aca="false">IF((E162="f"),G162," ")</f>
        <v> </v>
      </c>
    </row>
    <row r="163" customFormat="false" ht="12.75" hidden="false" customHeight="false" outlineLevel="0" collapsed="false">
      <c r="A163" s="355"/>
      <c r="E163" s="365" t="str">
        <f aca="false">IF((G163&lt;&gt;0),"Enter Letter"," ")</f>
        <v> </v>
      </c>
      <c r="H163" s="338" t="str">
        <f aca="false">IF((G163&lt;&gt;0),IF((D163&gt;0)," ",G163)," ")</f>
        <v> </v>
      </c>
      <c r="I163" s="367" t="str">
        <f aca="false">IF((G163&lt;&gt;0),IF((D163&gt;0)," ",(I$1-A163))," ")</f>
        <v> </v>
      </c>
      <c r="J163" s="334" t="str">
        <f aca="false">IF((E163="s"),G163," ")</f>
        <v> </v>
      </c>
      <c r="K163" s="334" t="str">
        <f aca="false">IF((E163="d"),G163," ")</f>
        <v> </v>
      </c>
      <c r="L163" s="334" t="str">
        <f aca="false">IF((E163="e"),G163," ")</f>
        <v> </v>
      </c>
      <c r="M163" s="334" t="str">
        <f aca="false">IF((E163="p"),G163," ")</f>
        <v> </v>
      </c>
      <c r="N163" s="334" t="str">
        <f aca="false">IF((E163="r"),G163," ")</f>
        <v> </v>
      </c>
      <c r="O163" s="334" t="str">
        <f aca="false">IF((E163="g"),G163," ")</f>
        <v> </v>
      </c>
      <c r="P163" s="334" t="str">
        <f aca="false">IF((E163="m"),G163," ")</f>
        <v> </v>
      </c>
      <c r="Q163" s="334" t="str">
        <f aca="false">IF((E163="t"),G163," ")</f>
        <v> </v>
      </c>
      <c r="R163" s="334" t="str">
        <f aca="false">IF((E163="a"),G163," ")</f>
        <v> </v>
      </c>
      <c r="S163" s="334" t="str">
        <f aca="false">IF((E163="l"),G163," ")</f>
        <v> </v>
      </c>
      <c r="T163" s="334" t="str">
        <f aca="false">IF((E163="b"),G163," ")</f>
        <v> </v>
      </c>
      <c r="U163" s="334" t="str">
        <f aca="false">IF((E163="i"),G163," ")</f>
        <v> </v>
      </c>
      <c r="V163" s="334" t="str">
        <f aca="false">IF((E163="o"),G163," ")</f>
        <v> </v>
      </c>
      <c r="W163" s="334" t="str">
        <f aca="false">IF((E163="f"),G163," ")</f>
        <v> </v>
      </c>
    </row>
    <row r="164" customFormat="false" ht="12.75" hidden="false" customHeight="false" outlineLevel="0" collapsed="false">
      <c r="A164" s="355"/>
      <c r="E164" s="365" t="str">
        <f aca="false">IF((G164&lt;&gt;0),"Enter Letter"," ")</f>
        <v> </v>
      </c>
      <c r="H164" s="338" t="str">
        <f aca="false">IF((G164&lt;&gt;0),IF((D164&gt;0)," ",G164)," ")</f>
        <v> </v>
      </c>
      <c r="I164" s="367" t="str">
        <f aca="false">IF((G164&lt;&gt;0),IF((D164&gt;0)," ",(I$1-A164))," ")</f>
        <v> </v>
      </c>
      <c r="J164" s="334" t="str">
        <f aca="false">IF((E164="s"),G164," ")</f>
        <v> </v>
      </c>
      <c r="K164" s="334" t="str">
        <f aca="false">IF((E164="d"),G164," ")</f>
        <v> </v>
      </c>
      <c r="L164" s="334" t="str">
        <f aca="false">IF((E164="e"),G164," ")</f>
        <v> </v>
      </c>
      <c r="M164" s="334" t="str">
        <f aca="false">IF((E164="p"),G164," ")</f>
        <v> </v>
      </c>
      <c r="N164" s="334" t="str">
        <f aca="false">IF((E164="r"),G164," ")</f>
        <v> </v>
      </c>
      <c r="O164" s="334" t="str">
        <f aca="false">IF((E164="g"),G164," ")</f>
        <v> </v>
      </c>
      <c r="P164" s="334" t="str">
        <f aca="false">IF((E164="m"),G164," ")</f>
        <v> </v>
      </c>
      <c r="Q164" s="334" t="str">
        <f aca="false">IF((E164="t"),G164," ")</f>
        <v> </v>
      </c>
      <c r="R164" s="334" t="str">
        <f aca="false">IF((E164="a"),G164," ")</f>
        <v> </v>
      </c>
      <c r="S164" s="334" t="str">
        <f aca="false">IF((E164="l"),G164," ")</f>
        <v> </v>
      </c>
      <c r="T164" s="334" t="str">
        <f aca="false">IF((E164="b"),G164," ")</f>
        <v> </v>
      </c>
      <c r="U164" s="334" t="str">
        <f aca="false">IF((E164="i"),G164," ")</f>
        <v> </v>
      </c>
      <c r="V164" s="334" t="str">
        <f aca="false">IF((E164="o"),G164," ")</f>
        <v> </v>
      </c>
      <c r="W164" s="334" t="str">
        <f aca="false">IF((E164="f"),G164," ")</f>
        <v> </v>
      </c>
    </row>
    <row r="165" customFormat="false" ht="12.75" hidden="false" customHeight="false" outlineLevel="0" collapsed="false">
      <c r="A165" s="355"/>
      <c r="E165" s="365" t="str">
        <f aca="false">IF((G165&lt;&gt;0),"Enter Letter"," ")</f>
        <v> </v>
      </c>
      <c r="H165" s="338" t="str">
        <f aca="false">IF((G165&lt;&gt;0),IF((D165&gt;0)," ",G165)," ")</f>
        <v> </v>
      </c>
      <c r="I165" s="367" t="str">
        <f aca="false">IF((G165&lt;&gt;0),IF((D165&gt;0)," ",(I$1-A165))," ")</f>
        <v> </v>
      </c>
      <c r="J165" s="334" t="str">
        <f aca="false">IF((E165="s"),G165," ")</f>
        <v> </v>
      </c>
      <c r="K165" s="334" t="str">
        <f aca="false">IF((E165="d"),G165," ")</f>
        <v> </v>
      </c>
      <c r="L165" s="334" t="str">
        <f aca="false">IF((E165="e"),G165," ")</f>
        <v> </v>
      </c>
      <c r="M165" s="334" t="str">
        <f aca="false">IF((E165="p"),G165," ")</f>
        <v> </v>
      </c>
      <c r="N165" s="334" t="str">
        <f aca="false">IF((E165="r"),G165," ")</f>
        <v> </v>
      </c>
      <c r="O165" s="334" t="str">
        <f aca="false">IF((E165="g"),G165," ")</f>
        <v> </v>
      </c>
      <c r="P165" s="334" t="str">
        <f aca="false">IF((E165="m"),G165," ")</f>
        <v> </v>
      </c>
      <c r="Q165" s="334" t="str">
        <f aca="false">IF((E165="t"),G165," ")</f>
        <v> </v>
      </c>
      <c r="R165" s="334" t="str">
        <f aca="false">IF((E165="a"),G165," ")</f>
        <v> </v>
      </c>
      <c r="S165" s="334" t="str">
        <f aca="false">IF((E165="l"),G165," ")</f>
        <v> </v>
      </c>
      <c r="T165" s="334" t="str">
        <f aca="false">IF((E165="b"),G165," ")</f>
        <v> </v>
      </c>
      <c r="U165" s="334" t="str">
        <f aca="false">IF((E165="i"),G165," ")</f>
        <v> </v>
      </c>
      <c r="V165" s="334" t="str">
        <f aca="false">IF((E165="o"),G165," ")</f>
        <v> </v>
      </c>
      <c r="W165" s="334" t="str">
        <f aca="false">IF((E165="f"),G165," ")</f>
        <v> </v>
      </c>
    </row>
    <row r="166" customFormat="false" ht="12.75" hidden="false" customHeight="false" outlineLevel="0" collapsed="false">
      <c r="A166" s="355"/>
      <c r="E166" s="365" t="str">
        <f aca="false">IF((G166&lt;&gt;0),"Enter Letter"," ")</f>
        <v> </v>
      </c>
      <c r="H166" s="338" t="str">
        <f aca="false">IF((G166&lt;&gt;0),IF((D166&gt;0)," ",G166)," ")</f>
        <v> </v>
      </c>
      <c r="I166" s="367" t="str">
        <f aca="false">IF((G166&lt;&gt;0),IF((D166&gt;0)," ",(I$1-A166))," ")</f>
        <v> </v>
      </c>
      <c r="J166" s="334" t="str">
        <f aca="false">IF((E166="s"),G166," ")</f>
        <v> </v>
      </c>
      <c r="K166" s="334" t="str">
        <f aca="false">IF((E166="d"),G166," ")</f>
        <v> </v>
      </c>
      <c r="L166" s="334" t="str">
        <f aca="false">IF((E166="e"),G166," ")</f>
        <v> </v>
      </c>
      <c r="M166" s="334" t="str">
        <f aca="false">IF((E166="p"),G166," ")</f>
        <v> </v>
      </c>
      <c r="N166" s="334" t="str">
        <f aca="false">IF((E166="r"),G166," ")</f>
        <v> </v>
      </c>
      <c r="O166" s="334" t="str">
        <f aca="false">IF((E166="g"),G166," ")</f>
        <v> </v>
      </c>
      <c r="P166" s="334" t="str">
        <f aca="false">IF((E166="m"),G166," ")</f>
        <v> </v>
      </c>
      <c r="Q166" s="334" t="str">
        <f aca="false">IF((E166="t"),G166," ")</f>
        <v> </v>
      </c>
      <c r="R166" s="334" t="str">
        <f aca="false">IF((E166="a"),G166," ")</f>
        <v> </v>
      </c>
      <c r="S166" s="334" t="str">
        <f aca="false">IF((E166="l"),G166," ")</f>
        <v> </v>
      </c>
      <c r="T166" s="334" t="str">
        <f aca="false">IF((E166="b"),G166," ")</f>
        <v> </v>
      </c>
      <c r="U166" s="334" t="str">
        <f aca="false">IF((E166="i"),G166," ")</f>
        <v> </v>
      </c>
      <c r="V166" s="334" t="str">
        <f aca="false">IF((E166="o"),G166," ")</f>
        <v> </v>
      </c>
      <c r="W166" s="334" t="str">
        <f aca="false">IF((E166="f"),G166," ")</f>
        <v> </v>
      </c>
    </row>
    <row r="167" customFormat="false" ht="12.75" hidden="false" customHeight="false" outlineLevel="0" collapsed="false">
      <c r="A167" s="355"/>
      <c r="E167" s="365" t="str">
        <f aca="false">IF((G167&lt;&gt;0),"Enter Letter"," ")</f>
        <v> </v>
      </c>
      <c r="H167" s="338" t="str">
        <f aca="false">IF((G167&lt;&gt;0),IF((D167&gt;0)," ",G167)," ")</f>
        <v> </v>
      </c>
      <c r="I167" s="367" t="str">
        <f aca="false">IF((G167&lt;&gt;0),IF((D167&gt;0)," ",(I$1-A167))," ")</f>
        <v> </v>
      </c>
      <c r="J167" s="334" t="str">
        <f aca="false">IF((E167="s"),G167," ")</f>
        <v> </v>
      </c>
      <c r="K167" s="334" t="str">
        <f aca="false">IF((E167="d"),G167," ")</f>
        <v> </v>
      </c>
      <c r="L167" s="334" t="str">
        <f aca="false">IF((E167="e"),G167," ")</f>
        <v> </v>
      </c>
      <c r="M167" s="334" t="str">
        <f aca="false">IF((E167="p"),G167," ")</f>
        <v> </v>
      </c>
      <c r="N167" s="334" t="str">
        <f aca="false">IF((E167="r"),G167," ")</f>
        <v> </v>
      </c>
      <c r="O167" s="334" t="str">
        <f aca="false">IF((E167="g"),G167," ")</f>
        <v> </v>
      </c>
      <c r="P167" s="334" t="str">
        <f aca="false">IF((E167="m"),G167," ")</f>
        <v> </v>
      </c>
      <c r="Q167" s="334" t="str">
        <f aca="false">IF((E167="t"),G167," ")</f>
        <v> </v>
      </c>
      <c r="R167" s="334" t="str">
        <f aca="false">IF((E167="a"),G167," ")</f>
        <v> </v>
      </c>
      <c r="S167" s="334" t="str">
        <f aca="false">IF((E167="l"),G167," ")</f>
        <v> </v>
      </c>
      <c r="T167" s="334" t="str">
        <f aca="false">IF((E167="b"),G167," ")</f>
        <v> </v>
      </c>
      <c r="U167" s="334" t="str">
        <f aca="false">IF((E167="i"),G167," ")</f>
        <v> </v>
      </c>
      <c r="V167" s="334" t="str">
        <f aca="false">IF((E167="o"),G167," ")</f>
        <v> </v>
      </c>
      <c r="W167" s="334" t="str">
        <f aca="false">IF((E167="f"),G167," ")</f>
        <v> </v>
      </c>
    </row>
    <row r="168" customFormat="false" ht="12.75" hidden="false" customHeight="false" outlineLevel="0" collapsed="false">
      <c r="A168" s="355"/>
      <c r="E168" s="365" t="str">
        <f aca="false">IF((G168&lt;&gt;0),"Enter Letter"," ")</f>
        <v> </v>
      </c>
      <c r="H168" s="338" t="str">
        <f aca="false">IF((G168&lt;&gt;0),IF((D168&gt;0)," ",G168)," ")</f>
        <v> </v>
      </c>
      <c r="I168" s="367" t="str">
        <f aca="false">IF((G168&lt;&gt;0),IF((D168&gt;0)," ",(I$1-A168))," ")</f>
        <v> </v>
      </c>
      <c r="J168" s="334" t="str">
        <f aca="false">IF((E168="s"),G168," ")</f>
        <v> </v>
      </c>
      <c r="K168" s="334" t="str">
        <f aca="false">IF((E168="d"),G168," ")</f>
        <v> </v>
      </c>
      <c r="L168" s="334" t="str">
        <f aca="false">IF((E168="e"),G168," ")</f>
        <v> </v>
      </c>
      <c r="M168" s="334" t="str">
        <f aca="false">IF((E168="p"),G168," ")</f>
        <v> </v>
      </c>
      <c r="N168" s="334" t="str">
        <f aca="false">IF((E168="r"),G168," ")</f>
        <v> </v>
      </c>
      <c r="O168" s="334" t="str">
        <f aca="false">IF((E168="g"),G168," ")</f>
        <v> </v>
      </c>
      <c r="P168" s="334" t="str">
        <f aca="false">IF((E168="m"),G168," ")</f>
        <v> </v>
      </c>
      <c r="Q168" s="334" t="str">
        <f aca="false">IF((E168="t"),G168," ")</f>
        <v> </v>
      </c>
      <c r="R168" s="334" t="str">
        <f aca="false">IF((E168="a"),G168," ")</f>
        <v> </v>
      </c>
      <c r="S168" s="334" t="str">
        <f aca="false">IF((E168="l"),G168," ")</f>
        <v> </v>
      </c>
      <c r="T168" s="334" t="str">
        <f aca="false">IF((E168="b"),G168," ")</f>
        <v> </v>
      </c>
      <c r="U168" s="334" t="str">
        <f aca="false">IF((E168="i"),G168," ")</f>
        <v> </v>
      </c>
      <c r="V168" s="334" t="str">
        <f aca="false">IF((E168="o"),G168," ")</f>
        <v> </v>
      </c>
      <c r="W168" s="334" t="str">
        <f aca="false">IF((E168="f"),G168," ")</f>
        <v> </v>
      </c>
    </row>
    <row r="169" customFormat="false" ht="12.75" hidden="false" customHeight="false" outlineLevel="0" collapsed="false">
      <c r="A169" s="355"/>
      <c r="E169" s="365" t="str">
        <f aca="false">IF((G169&lt;&gt;0),"Enter Letter"," ")</f>
        <v> </v>
      </c>
      <c r="H169" s="338" t="str">
        <f aca="false">IF((G169&lt;&gt;0),IF((D169&gt;0)," ",G169)," ")</f>
        <v> </v>
      </c>
      <c r="I169" s="367" t="str">
        <f aca="false">IF((G169&lt;&gt;0),IF((D169&gt;0)," ",(I$1-A169))," ")</f>
        <v> </v>
      </c>
      <c r="J169" s="334" t="str">
        <f aca="false">IF((E169="s"),G169," ")</f>
        <v> </v>
      </c>
      <c r="K169" s="334" t="str">
        <f aca="false">IF((E169="d"),G169," ")</f>
        <v> </v>
      </c>
      <c r="L169" s="334" t="str">
        <f aca="false">IF((E169="e"),G169," ")</f>
        <v> </v>
      </c>
      <c r="M169" s="334" t="str">
        <f aca="false">IF((E169="p"),G169," ")</f>
        <v> </v>
      </c>
      <c r="N169" s="334" t="str">
        <f aca="false">IF((E169="r"),G169," ")</f>
        <v> </v>
      </c>
      <c r="O169" s="334" t="str">
        <f aca="false">IF((E169="g"),G169," ")</f>
        <v> </v>
      </c>
      <c r="P169" s="334" t="str">
        <f aca="false">IF((E169="m"),G169," ")</f>
        <v> </v>
      </c>
      <c r="Q169" s="334" t="str">
        <f aca="false">IF((E169="t"),G169," ")</f>
        <v> </v>
      </c>
      <c r="R169" s="334" t="str">
        <f aca="false">IF((E169="a"),G169," ")</f>
        <v> </v>
      </c>
      <c r="S169" s="334" t="str">
        <f aca="false">IF((E169="l"),G169," ")</f>
        <v> </v>
      </c>
      <c r="T169" s="334" t="str">
        <f aca="false">IF((E169="b"),G169," ")</f>
        <v> </v>
      </c>
      <c r="U169" s="334" t="str">
        <f aca="false">IF((E169="i"),G169," ")</f>
        <v> </v>
      </c>
      <c r="V169" s="334" t="str">
        <f aca="false">IF((E169="o"),G169," ")</f>
        <v> </v>
      </c>
      <c r="W169" s="334" t="str">
        <f aca="false">IF((E169="f"),G169," ")</f>
        <v> </v>
      </c>
    </row>
    <row r="170" customFormat="false" ht="12.75" hidden="false" customHeight="false" outlineLevel="0" collapsed="false">
      <c r="A170" s="355"/>
      <c r="E170" s="365" t="str">
        <f aca="false">IF((G170&lt;&gt;0),"Enter Letter"," ")</f>
        <v> </v>
      </c>
      <c r="H170" s="338" t="str">
        <f aca="false">IF((G170&lt;&gt;0),IF((D170&gt;0)," ",G170)," ")</f>
        <v> </v>
      </c>
      <c r="I170" s="367" t="str">
        <f aca="false">IF((G170&lt;&gt;0),IF((D170&gt;0)," ",(I$1-A170))," ")</f>
        <v> </v>
      </c>
      <c r="J170" s="334" t="str">
        <f aca="false">IF((E170="s"),G170," ")</f>
        <v> </v>
      </c>
      <c r="K170" s="334" t="str">
        <f aca="false">IF((E170="d"),G170," ")</f>
        <v> </v>
      </c>
      <c r="L170" s="334" t="str">
        <f aca="false">IF((E170="e"),G170," ")</f>
        <v> </v>
      </c>
      <c r="M170" s="334" t="str">
        <f aca="false">IF((E170="p"),G170," ")</f>
        <v> </v>
      </c>
      <c r="N170" s="334" t="str">
        <f aca="false">IF((E170="r"),G170," ")</f>
        <v> </v>
      </c>
      <c r="O170" s="334" t="str">
        <f aca="false">IF((E170="g"),G170," ")</f>
        <v> </v>
      </c>
      <c r="P170" s="334" t="str">
        <f aca="false">IF((E170="m"),G170," ")</f>
        <v> </v>
      </c>
      <c r="Q170" s="334" t="str">
        <f aca="false">IF((E170="t"),G170," ")</f>
        <v> </v>
      </c>
      <c r="R170" s="334" t="str">
        <f aca="false">IF((E170="a"),G170," ")</f>
        <v> </v>
      </c>
      <c r="S170" s="334" t="str">
        <f aca="false">IF((E170="l"),G170," ")</f>
        <v> </v>
      </c>
      <c r="T170" s="334" t="str">
        <f aca="false">IF((E170="b"),G170," ")</f>
        <v> </v>
      </c>
      <c r="U170" s="334" t="str">
        <f aca="false">IF((E170="i"),G170," ")</f>
        <v> </v>
      </c>
      <c r="V170" s="334" t="str">
        <f aca="false">IF((E170="o"),G170," ")</f>
        <v> </v>
      </c>
      <c r="W170" s="334" t="str">
        <f aca="false">IF((E170="f"),G170," ")</f>
        <v> </v>
      </c>
    </row>
    <row r="171" customFormat="false" ht="12.75" hidden="false" customHeight="false" outlineLevel="0" collapsed="false">
      <c r="A171" s="355"/>
      <c r="E171" s="365" t="str">
        <f aca="false">IF((G171&lt;&gt;0),"Enter Letter"," ")</f>
        <v> </v>
      </c>
      <c r="H171" s="338" t="str">
        <f aca="false">IF((G171&lt;&gt;0),IF((D171&gt;0)," ",G171)," ")</f>
        <v> </v>
      </c>
      <c r="I171" s="367" t="str">
        <f aca="false">IF((G171&lt;&gt;0),IF((D171&gt;0)," ",(I$1-A171))," ")</f>
        <v> </v>
      </c>
      <c r="J171" s="334" t="str">
        <f aca="false">IF((E171="s"),G171," ")</f>
        <v> </v>
      </c>
      <c r="K171" s="334" t="str">
        <f aca="false">IF((E171="d"),G171," ")</f>
        <v> </v>
      </c>
      <c r="L171" s="334" t="str">
        <f aca="false">IF((E171="e"),G171," ")</f>
        <v> </v>
      </c>
      <c r="M171" s="334" t="str">
        <f aca="false">IF((E171="p"),G171," ")</f>
        <v> </v>
      </c>
      <c r="N171" s="334" t="str">
        <f aca="false">IF((E171="r"),G171," ")</f>
        <v> </v>
      </c>
      <c r="O171" s="334" t="str">
        <f aca="false">IF((E171="g"),G171," ")</f>
        <v> </v>
      </c>
      <c r="P171" s="334" t="str">
        <f aca="false">IF((E171="m"),G171," ")</f>
        <v> </v>
      </c>
      <c r="Q171" s="334" t="str">
        <f aca="false">IF((E171="t"),G171," ")</f>
        <v> </v>
      </c>
      <c r="R171" s="334" t="str">
        <f aca="false">IF((E171="a"),G171," ")</f>
        <v> </v>
      </c>
      <c r="S171" s="334" t="str">
        <f aca="false">IF((E171="l"),G171," ")</f>
        <v> </v>
      </c>
      <c r="T171" s="334" t="str">
        <f aca="false">IF((E171="b"),G171," ")</f>
        <v> </v>
      </c>
      <c r="U171" s="334" t="str">
        <f aca="false">IF((E171="i"),G171," ")</f>
        <v> </v>
      </c>
      <c r="V171" s="334" t="str">
        <f aca="false">IF((E171="o"),G171," ")</f>
        <v> </v>
      </c>
      <c r="W171" s="334" t="str">
        <f aca="false">IF((E171="f"),G171," ")</f>
        <v> </v>
      </c>
    </row>
    <row r="172" customFormat="false" ht="12.75" hidden="false" customHeight="false" outlineLevel="0" collapsed="false">
      <c r="A172" s="355"/>
      <c r="E172" s="365" t="str">
        <f aca="false">IF((G172&lt;&gt;0),"Enter Letter"," ")</f>
        <v> </v>
      </c>
      <c r="H172" s="338" t="str">
        <f aca="false">IF((G172&lt;&gt;0),IF((D172&gt;0)," ",G172)," ")</f>
        <v> </v>
      </c>
      <c r="I172" s="367" t="str">
        <f aca="false">IF((G172&lt;&gt;0),IF((D172&gt;0)," ",(I$1-A172))," ")</f>
        <v> </v>
      </c>
      <c r="J172" s="334" t="str">
        <f aca="false">IF((E172="s"),G172," ")</f>
        <v> </v>
      </c>
      <c r="K172" s="334" t="str">
        <f aca="false">IF((E172="d"),G172," ")</f>
        <v> </v>
      </c>
      <c r="L172" s="334" t="str">
        <f aca="false">IF((E172="e"),G172," ")</f>
        <v> </v>
      </c>
      <c r="M172" s="334" t="str">
        <f aca="false">IF((E172="p"),G172," ")</f>
        <v> </v>
      </c>
      <c r="N172" s="334" t="str">
        <f aca="false">IF((E172="r"),G172," ")</f>
        <v> </v>
      </c>
      <c r="O172" s="334" t="str">
        <f aca="false">IF((E172="g"),G172," ")</f>
        <v> </v>
      </c>
      <c r="P172" s="334" t="str">
        <f aca="false">IF((E172="m"),G172," ")</f>
        <v> </v>
      </c>
      <c r="Q172" s="334" t="str">
        <f aca="false">IF((E172="t"),G172," ")</f>
        <v> </v>
      </c>
      <c r="R172" s="334" t="str">
        <f aca="false">IF((E172="a"),G172," ")</f>
        <v> </v>
      </c>
      <c r="S172" s="334" t="str">
        <f aca="false">IF((E172="l"),G172," ")</f>
        <v> </v>
      </c>
      <c r="T172" s="334" t="str">
        <f aca="false">IF((E172="b"),G172," ")</f>
        <v> </v>
      </c>
      <c r="U172" s="334" t="str">
        <f aca="false">IF((E172="i"),G172," ")</f>
        <v> </v>
      </c>
      <c r="V172" s="334" t="str">
        <f aca="false">IF((E172="o"),G172," ")</f>
        <v> </v>
      </c>
      <c r="W172" s="334" t="str">
        <f aca="false">IF((E172="f"),G172," ")</f>
        <v> </v>
      </c>
    </row>
    <row r="173" customFormat="false" ht="12.75" hidden="false" customHeight="false" outlineLevel="0" collapsed="false">
      <c r="A173" s="355"/>
      <c r="E173" s="365" t="str">
        <f aca="false">IF((G173&lt;&gt;0),"Enter Letter"," ")</f>
        <v> </v>
      </c>
      <c r="H173" s="338" t="str">
        <f aca="false">IF((G173&lt;&gt;0),IF((D173&gt;0)," ",G173)," ")</f>
        <v> </v>
      </c>
      <c r="I173" s="367" t="str">
        <f aca="false">IF((G173&lt;&gt;0),IF((D173&gt;0)," ",(I$1-A173))," ")</f>
        <v> </v>
      </c>
      <c r="J173" s="334" t="str">
        <f aca="false">IF((E173="s"),G173," ")</f>
        <v> </v>
      </c>
      <c r="K173" s="334" t="str">
        <f aca="false">IF((E173="d"),G173," ")</f>
        <v> </v>
      </c>
      <c r="L173" s="334" t="str">
        <f aca="false">IF((E173="e"),G173," ")</f>
        <v> </v>
      </c>
      <c r="M173" s="334" t="str">
        <f aca="false">IF((E173="p"),G173," ")</f>
        <v> </v>
      </c>
      <c r="N173" s="334" t="str">
        <f aca="false">IF((E173="r"),G173," ")</f>
        <v> </v>
      </c>
      <c r="O173" s="334" t="str">
        <f aca="false">IF((E173="g"),G173," ")</f>
        <v> </v>
      </c>
      <c r="P173" s="334" t="str">
        <f aca="false">IF((E173="m"),G173," ")</f>
        <v> </v>
      </c>
      <c r="Q173" s="334" t="str">
        <f aca="false">IF((E173="t"),G173," ")</f>
        <v> </v>
      </c>
      <c r="R173" s="334" t="str">
        <f aca="false">IF((E173="a"),G173," ")</f>
        <v> </v>
      </c>
      <c r="S173" s="334" t="str">
        <f aca="false">IF((E173="l"),G173," ")</f>
        <v> </v>
      </c>
      <c r="T173" s="334" t="str">
        <f aca="false">IF((E173="b"),G173," ")</f>
        <v> </v>
      </c>
      <c r="U173" s="334" t="str">
        <f aca="false">IF((E173="i"),G173," ")</f>
        <v> </v>
      </c>
      <c r="V173" s="334" t="str">
        <f aca="false">IF((E173="o"),G173," ")</f>
        <v> </v>
      </c>
      <c r="W173" s="334" t="str">
        <f aca="false">IF((E173="f"),G173," ")</f>
        <v> </v>
      </c>
    </row>
    <row r="174" customFormat="false" ht="12.75" hidden="false" customHeight="false" outlineLevel="0" collapsed="false">
      <c r="A174" s="355"/>
      <c r="E174" s="365" t="str">
        <f aca="false">IF((G174&lt;&gt;0),"Enter Letter"," ")</f>
        <v> </v>
      </c>
      <c r="H174" s="338" t="str">
        <f aca="false">IF((G174&lt;&gt;0),IF((D174&gt;0)," ",G174)," ")</f>
        <v> </v>
      </c>
      <c r="I174" s="367" t="str">
        <f aca="false">IF((G174&lt;&gt;0),IF((D174&gt;0)," ",(I$1-A174))," ")</f>
        <v> </v>
      </c>
      <c r="J174" s="334" t="str">
        <f aca="false">IF((E174="s"),G174," ")</f>
        <v> </v>
      </c>
      <c r="K174" s="334" t="str">
        <f aca="false">IF((E174="d"),G174," ")</f>
        <v> </v>
      </c>
      <c r="L174" s="334" t="str">
        <f aca="false">IF((E174="e"),G174," ")</f>
        <v> </v>
      </c>
      <c r="M174" s="334" t="str">
        <f aca="false">IF((E174="p"),G174," ")</f>
        <v> </v>
      </c>
      <c r="N174" s="334" t="str">
        <f aca="false">IF((E174="r"),G174," ")</f>
        <v> </v>
      </c>
      <c r="O174" s="334" t="str">
        <f aca="false">IF((E174="g"),G174," ")</f>
        <v> </v>
      </c>
      <c r="P174" s="334" t="str">
        <f aca="false">IF((E174="m"),G174," ")</f>
        <v> </v>
      </c>
      <c r="Q174" s="334" t="str">
        <f aca="false">IF((E174="t"),G174," ")</f>
        <v> </v>
      </c>
      <c r="R174" s="334" t="str">
        <f aca="false">IF((E174="a"),G174," ")</f>
        <v> </v>
      </c>
      <c r="S174" s="334" t="str">
        <f aca="false">IF((E174="l"),G174," ")</f>
        <v> </v>
      </c>
      <c r="T174" s="334" t="str">
        <f aca="false">IF((E174="b"),G174," ")</f>
        <v> </v>
      </c>
      <c r="U174" s="334" t="str">
        <f aca="false">IF((E174="i"),G174," ")</f>
        <v> </v>
      </c>
      <c r="V174" s="334" t="str">
        <f aca="false">IF((E174="o"),G174," ")</f>
        <v> </v>
      </c>
      <c r="W174" s="334" t="str">
        <f aca="false">IF((E174="f"),G174," ")</f>
        <v> </v>
      </c>
    </row>
    <row r="175" customFormat="false" ht="12.75" hidden="false" customHeight="false" outlineLevel="0" collapsed="false">
      <c r="A175" s="355"/>
      <c r="E175" s="365" t="str">
        <f aca="false">IF((G175&lt;&gt;0),"Enter Letter"," ")</f>
        <v> </v>
      </c>
      <c r="H175" s="338" t="str">
        <f aca="false">IF((G175&lt;&gt;0),IF((D175&gt;0)," ",G175)," ")</f>
        <v> </v>
      </c>
      <c r="I175" s="367" t="str">
        <f aca="false">IF((G175&lt;&gt;0),IF((D175&gt;0)," ",(I$1-A175))," ")</f>
        <v> </v>
      </c>
      <c r="J175" s="334" t="str">
        <f aca="false">IF((E175="s"),G175," ")</f>
        <v> </v>
      </c>
      <c r="K175" s="334" t="str">
        <f aca="false">IF((E175="d"),G175," ")</f>
        <v> </v>
      </c>
      <c r="L175" s="334" t="str">
        <f aca="false">IF((E175="e"),G175," ")</f>
        <v> </v>
      </c>
      <c r="M175" s="334" t="str">
        <f aca="false">IF((E175="p"),G175," ")</f>
        <v> </v>
      </c>
      <c r="N175" s="334" t="str">
        <f aca="false">IF((E175="r"),G175," ")</f>
        <v> </v>
      </c>
      <c r="O175" s="334" t="str">
        <f aca="false">IF((E175="g"),G175," ")</f>
        <v> </v>
      </c>
      <c r="P175" s="334" t="str">
        <f aca="false">IF((E175="m"),G175," ")</f>
        <v> </v>
      </c>
      <c r="Q175" s="334" t="str">
        <f aca="false">IF((E175="t"),G175," ")</f>
        <v> </v>
      </c>
      <c r="R175" s="334" t="str">
        <f aca="false">IF((E175="a"),G175," ")</f>
        <v> </v>
      </c>
      <c r="S175" s="334" t="str">
        <f aca="false">IF((E175="l"),G175," ")</f>
        <v> </v>
      </c>
      <c r="T175" s="334" t="str">
        <f aca="false">IF((E175="b"),G175," ")</f>
        <v> </v>
      </c>
      <c r="U175" s="334" t="str">
        <f aca="false">IF((E175="i"),G175," ")</f>
        <v> </v>
      </c>
      <c r="V175" s="334" t="str">
        <f aca="false">IF((E175="o"),G175," ")</f>
        <v> </v>
      </c>
      <c r="W175" s="334" t="str">
        <f aca="false">IF((E175="f"),G175," ")</f>
        <v> </v>
      </c>
    </row>
    <row r="176" customFormat="false" ht="12.75" hidden="false" customHeight="false" outlineLevel="0" collapsed="false">
      <c r="A176" s="355"/>
      <c r="E176" s="365" t="str">
        <f aca="false">IF((G176&lt;&gt;0),"Enter Letter"," ")</f>
        <v> </v>
      </c>
      <c r="H176" s="338" t="str">
        <f aca="false">IF((G176&lt;&gt;0),IF((D176&gt;0)," ",G176)," ")</f>
        <v> </v>
      </c>
      <c r="I176" s="367" t="str">
        <f aca="false">IF((G176&lt;&gt;0),IF((D176&gt;0)," ",(I$1-A176))," ")</f>
        <v> </v>
      </c>
      <c r="J176" s="334" t="str">
        <f aca="false">IF((E176="s"),G176," ")</f>
        <v> </v>
      </c>
      <c r="K176" s="334" t="str">
        <f aca="false">IF((E176="d"),G176," ")</f>
        <v> </v>
      </c>
      <c r="L176" s="334" t="str">
        <f aca="false">IF((E176="e"),G176," ")</f>
        <v> </v>
      </c>
      <c r="M176" s="334" t="str">
        <f aca="false">IF((E176="p"),G176," ")</f>
        <v> </v>
      </c>
      <c r="N176" s="334" t="str">
        <f aca="false">IF((E176="r"),G176," ")</f>
        <v> </v>
      </c>
      <c r="O176" s="334" t="str">
        <f aca="false">IF((E176="g"),G176," ")</f>
        <v> </v>
      </c>
      <c r="P176" s="334" t="str">
        <f aca="false">IF((E176="m"),G176," ")</f>
        <v> </v>
      </c>
      <c r="Q176" s="334" t="str">
        <f aca="false">IF((E176="t"),G176," ")</f>
        <v> </v>
      </c>
      <c r="R176" s="334" t="str">
        <f aca="false">IF((E176="a"),G176," ")</f>
        <v> </v>
      </c>
      <c r="S176" s="334" t="str">
        <f aca="false">IF((E176="l"),G176," ")</f>
        <v> </v>
      </c>
      <c r="T176" s="334" t="str">
        <f aca="false">IF((E176="b"),G176," ")</f>
        <v> </v>
      </c>
      <c r="U176" s="334" t="str">
        <f aca="false">IF((E176="i"),G176," ")</f>
        <v> </v>
      </c>
      <c r="V176" s="334" t="str">
        <f aca="false">IF((E176="o"),G176," ")</f>
        <v> </v>
      </c>
      <c r="W176" s="334" t="str">
        <f aca="false">IF((E176="f"),G176," ")</f>
        <v> </v>
      </c>
    </row>
    <row r="177" customFormat="false" ht="12.75" hidden="false" customHeight="false" outlineLevel="0" collapsed="false">
      <c r="A177" s="355"/>
      <c r="E177" s="365" t="str">
        <f aca="false">IF((G177&lt;&gt;0),"Enter Letter"," ")</f>
        <v> </v>
      </c>
      <c r="H177" s="338" t="str">
        <f aca="false">IF((G177&lt;&gt;0),IF((D177&gt;0)," ",G177)," ")</f>
        <v> </v>
      </c>
      <c r="I177" s="367" t="str">
        <f aca="false">IF((G177&lt;&gt;0),IF((D177&gt;0)," ",(I$1-A177))," ")</f>
        <v> </v>
      </c>
      <c r="J177" s="334" t="str">
        <f aca="false">IF((E177="s"),G177," ")</f>
        <v> </v>
      </c>
      <c r="K177" s="334" t="str">
        <f aca="false">IF((E177="d"),G177," ")</f>
        <v> </v>
      </c>
      <c r="L177" s="334" t="str">
        <f aca="false">IF((E177="e"),G177," ")</f>
        <v> </v>
      </c>
      <c r="M177" s="334" t="str">
        <f aca="false">IF((E177="p"),G177," ")</f>
        <v> </v>
      </c>
      <c r="N177" s="334" t="str">
        <f aca="false">IF((E177="r"),G177," ")</f>
        <v> </v>
      </c>
      <c r="O177" s="334" t="str">
        <f aca="false">IF((E177="g"),G177," ")</f>
        <v> </v>
      </c>
      <c r="P177" s="334" t="str">
        <f aca="false">IF((E177="m"),G177," ")</f>
        <v> </v>
      </c>
      <c r="Q177" s="334" t="str">
        <f aca="false">IF((E177="t"),G177," ")</f>
        <v> </v>
      </c>
      <c r="R177" s="334" t="str">
        <f aca="false">IF((E177="a"),G177," ")</f>
        <v> </v>
      </c>
      <c r="S177" s="334" t="str">
        <f aca="false">IF((E177="l"),G177," ")</f>
        <v> </v>
      </c>
      <c r="T177" s="334" t="str">
        <f aca="false">IF((E177="b"),G177," ")</f>
        <v> </v>
      </c>
      <c r="U177" s="334" t="str">
        <f aca="false">IF((E177="i"),G177," ")</f>
        <v> </v>
      </c>
      <c r="V177" s="334" t="str">
        <f aca="false">IF((E177="o"),G177," ")</f>
        <v> </v>
      </c>
      <c r="W177" s="334" t="str">
        <f aca="false">IF((E177="f"),G177," ")</f>
        <v> </v>
      </c>
    </row>
    <row r="178" customFormat="false" ht="12.75" hidden="false" customHeight="false" outlineLevel="0" collapsed="false">
      <c r="A178" s="355"/>
      <c r="E178" s="365" t="str">
        <f aca="false">IF((G178&lt;&gt;0),"Enter Letter"," ")</f>
        <v> </v>
      </c>
      <c r="H178" s="338" t="str">
        <f aca="false">IF((G178&lt;&gt;0),IF((D178&gt;0)," ",G178)," ")</f>
        <v> </v>
      </c>
      <c r="I178" s="367" t="str">
        <f aca="false">IF((G178&lt;&gt;0),IF((D178&gt;0)," ",(I$1-A178))," ")</f>
        <v> </v>
      </c>
      <c r="J178" s="334" t="str">
        <f aca="false">IF((E178="s"),G178," ")</f>
        <v> </v>
      </c>
      <c r="K178" s="334" t="str">
        <f aca="false">IF((E178="d"),G178," ")</f>
        <v> </v>
      </c>
      <c r="L178" s="334" t="str">
        <f aca="false">IF((E178="e"),G178," ")</f>
        <v> </v>
      </c>
      <c r="M178" s="334" t="str">
        <f aca="false">IF((E178="p"),G178," ")</f>
        <v> </v>
      </c>
      <c r="N178" s="334" t="str">
        <f aca="false">IF((E178="r"),G178," ")</f>
        <v> </v>
      </c>
      <c r="O178" s="334" t="str">
        <f aca="false">IF((E178="g"),G178," ")</f>
        <v> </v>
      </c>
      <c r="P178" s="334" t="str">
        <f aca="false">IF((E178="m"),G178," ")</f>
        <v> </v>
      </c>
      <c r="Q178" s="334" t="str">
        <f aca="false">IF((E178="t"),G178," ")</f>
        <v> </v>
      </c>
      <c r="R178" s="334" t="str">
        <f aca="false">IF((E178="a"),G178," ")</f>
        <v> </v>
      </c>
      <c r="S178" s="334" t="str">
        <f aca="false">IF((E178="l"),G178," ")</f>
        <v> </v>
      </c>
      <c r="T178" s="334" t="str">
        <f aca="false">IF((E178="b"),G178," ")</f>
        <v> </v>
      </c>
      <c r="U178" s="334" t="str">
        <f aca="false">IF((E178="i"),G178," ")</f>
        <v> </v>
      </c>
      <c r="V178" s="334" t="str">
        <f aca="false">IF((E178="o"),G178," ")</f>
        <v> </v>
      </c>
      <c r="W178" s="334" t="str">
        <f aca="false">IF((E178="f"),G178," ")</f>
        <v> </v>
      </c>
    </row>
    <row r="179" customFormat="false" ht="12.75" hidden="false" customHeight="false" outlineLevel="0" collapsed="false">
      <c r="A179" s="355"/>
      <c r="E179" s="365" t="str">
        <f aca="false">IF((G179&lt;&gt;0),"Enter Letter"," ")</f>
        <v> </v>
      </c>
      <c r="H179" s="338" t="str">
        <f aca="false">IF((G179&lt;&gt;0),IF((D179&gt;0)," ",G179)," ")</f>
        <v> </v>
      </c>
      <c r="I179" s="367" t="str">
        <f aca="false">IF((G179&lt;&gt;0),IF((D179&gt;0)," ",(I$1-A179))," ")</f>
        <v> </v>
      </c>
      <c r="J179" s="334" t="str">
        <f aca="false">IF((E179="s"),G179," ")</f>
        <v> </v>
      </c>
      <c r="K179" s="334" t="str">
        <f aca="false">IF((E179="d"),G179," ")</f>
        <v> </v>
      </c>
      <c r="L179" s="334" t="str">
        <f aca="false">IF((E179="e"),G179," ")</f>
        <v> </v>
      </c>
      <c r="M179" s="334" t="str">
        <f aca="false">IF((E179="p"),G179," ")</f>
        <v> </v>
      </c>
      <c r="N179" s="334" t="str">
        <f aca="false">IF((E179="r"),G179," ")</f>
        <v> </v>
      </c>
      <c r="O179" s="334" t="str">
        <f aca="false">IF((E179="g"),G179," ")</f>
        <v> </v>
      </c>
      <c r="P179" s="334" t="str">
        <f aca="false">IF((E179="m"),G179," ")</f>
        <v> </v>
      </c>
      <c r="Q179" s="334" t="str">
        <f aca="false">IF((E179="t"),G179," ")</f>
        <v> </v>
      </c>
      <c r="R179" s="334" t="str">
        <f aca="false">IF((E179="a"),G179," ")</f>
        <v> </v>
      </c>
      <c r="S179" s="334" t="str">
        <f aca="false">IF((E179="l"),G179," ")</f>
        <v> </v>
      </c>
      <c r="T179" s="334" t="str">
        <f aca="false">IF((E179="b"),G179," ")</f>
        <v> </v>
      </c>
      <c r="U179" s="334" t="str">
        <f aca="false">IF((E179="i"),G179," ")</f>
        <v> </v>
      </c>
      <c r="V179" s="334" t="str">
        <f aca="false">IF((E179="o"),G179," ")</f>
        <v> </v>
      </c>
      <c r="W179" s="334" t="str">
        <f aca="false">IF((E179="f"),G179," ")</f>
        <v> </v>
      </c>
    </row>
    <row r="180" customFormat="false" ht="12.75" hidden="false" customHeight="false" outlineLevel="0" collapsed="false">
      <c r="A180" s="355"/>
      <c r="E180" s="365" t="str">
        <f aca="false">IF((G180&lt;&gt;0),"Enter Letter"," ")</f>
        <v> </v>
      </c>
      <c r="H180" s="338" t="str">
        <f aca="false">IF((G180&lt;&gt;0),IF((D180&gt;0)," ",G180)," ")</f>
        <v> </v>
      </c>
      <c r="I180" s="367" t="str">
        <f aca="false">IF((G180&lt;&gt;0),IF((D180&gt;0)," ",(I$1-A180))," ")</f>
        <v> </v>
      </c>
      <c r="J180" s="334" t="str">
        <f aca="false">IF((E180="s"),G180," ")</f>
        <v> </v>
      </c>
      <c r="K180" s="334" t="str">
        <f aca="false">IF((E180="d"),G180," ")</f>
        <v> </v>
      </c>
      <c r="L180" s="334" t="str">
        <f aca="false">IF((E180="e"),G180," ")</f>
        <v> </v>
      </c>
      <c r="M180" s="334" t="str">
        <f aca="false">IF((E180="p"),G180," ")</f>
        <v> </v>
      </c>
      <c r="N180" s="334" t="str">
        <f aca="false">IF((E180="r"),G180," ")</f>
        <v> </v>
      </c>
      <c r="O180" s="334" t="str">
        <f aca="false">IF((E180="g"),G180," ")</f>
        <v> </v>
      </c>
      <c r="P180" s="334" t="str">
        <f aca="false">IF((E180="m"),G180," ")</f>
        <v> </v>
      </c>
      <c r="Q180" s="334" t="str">
        <f aca="false">IF((E180="t"),G180," ")</f>
        <v> </v>
      </c>
      <c r="R180" s="334" t="str">
        <f aca="false">IF((E180="a"),G180," ")</f>
        <v> </v>
      </c>
      <c r="S180" s="334" t="str">
        <f aca="false">IF((E180="l"),G180," ")</f>
        <v> </v>
      </c>
      <c r="T180" s="334" t="str">
        <f aca="false">IF((E180="b"),G180," ")</f>
        <v> </v>
      </c>
      <c r="U180" s="334" t="str">
        <f aca="false">IF((E180="i"),G180," ")</f>
        <v> </v>
      </c>
      <c r="V180" s="334" t="str">
        <f aca="false">IF((E180="o"),G180," ")</f>
        <v> </v>
      </c>
      <c r="W180" s="334" t="str">
        <f aca="false">IF((E180="f"),G180," ")</f>
        <v> </v>
      </c>
    </row>
    <row r="181" customFormat="false" ht="12.75" hidden="false" customHeight="false" outlineLevel="0" collapsed="false">
      <c r="A181" s="355"/>
      <c r="E181" s="365" t="str">
        <f aca="false">IF((G181&lt;&gt;0),"Enter Letter"," ")</f>
        <v> </v>
      </c>
      <c r="H181" s="338" t="str">
        <f aca="false">IF((G181&lt;&gt;0),IF((D181&gt;0)," ",G181)," ")</f>
        <v> </v>
      </c>
      <c r="I181" s="367" t="str">
        <f aca="false">IF((G181&lt;&gt;0),IF((D181&gt;0)," ",(I$1-A181))," ")</f>
        <v> </v>
      </c>
      <c r="J181" s="334" t="str">
        <f aca="false">IF((E181="s"),G181," ")</f>
        <v> </v>
      </c>
      <c r="K181" s="334" t="str">
        <f aca="false">IF((E181="d"),G181," ")</f>
        <v> </v>
      </c>
      <c r="L181" s="334" t="str">
        <f aca="false">IF((E181="e"),G181," ")</f>
        <v> </v>
      </c>
      <c r="M181" s="334" t="str">
        <f aca="false">IF((E181="p"),G181," ")</f>
        <v> </v>
      </c>
      <c r="N181" s="334" t="str">
        <f aca="false">IF((E181="r"),G181," ")</f>
        <v> </v>
      </c>
      <c r="O181" s="334" t="str">
        <f aca="false">IF((E181="g"),G181," ")</f>
        <v> </v>
      </c>
      <c r="P181" s="334" t="str">
        <f aca="false">IF((E181="m"),G181," ")</f>
        <v> </v>
      </c>
      <c r="Q181" s="334" t="str">
        <f aca="false">IF((E181="t"),G181," ")</f>
        <v> </v>
      </c>
      <c r="R181" s="334" t="str">
        <f aca="false">IF((E181="a"),G181," ")</f>
        <v> </v>
      </c>
      <c r="S181" s="334" t="str">
        <f aca="false">IF((E181="l"),G181," ")</f>
        <v> </v>
      </c>
      <c r="T181" s="334" t="str">
        <f aca="false">IF((E181="b"),G181," ")</f>
        <v> </v>
      </c>
      <c r="U181" s="334" t="str">
        <f aca="false">IF((E181="i"),G181," ")</f>
        <v> </v>
      </c>
      <c r="V181" s="334" t="str">
        <f aca="false">IF((E181="o"),G181," ")</f>
        <v> </v>
      </c>
      <c r="W181" s="334" t="str">
        <f aca="false">IF((E181="f"),G181," ")</f>
        <v> </v>
      </c>
    </row>
    <row r="182" customFormat="false" ht="12.75" hidden="false" customHeight="false" outlineLevel="0" collapsed="false">
      <c r="A182" s="355"/>
      <c r="E182" s="365" t="str">
        <f aca="false">IF((G182&lt;&gt;0),"Enter Letter"," ")</f>
        <v> </v>
      </c>
      <c r="H182" s="338" t="str">
        <f aca="false">IF((G182&lt;&gt;0),IF((D182&gt;0)," ",G182)," ")</f>
        <v> </v>
      </c>
      <c r="I182" s="367" t="str">
        <f aca="false">IF((G182&lt;&gt;0),IF((D182&gt;0)," ",(I$1-A182))," ")</f>
        <v> </v>
      </c>
      <c r="J182" s="334" t="str">
        <f aca="false">IF((E182="s"),G182," ")</f>
        <v> </v>
      </c>
      <c r="K182" s="334" t="str">
        <f aca="false">IF((E182="d"),G182," ")</f>
        <v> </v>
      </c>
      <c r="L182" s="334" t="str">
        <f aca="false">IF((E182="e"),G182," ")</f>
        <v> </v>
      </c>
      <c r="M182" s="334" t="str">
        <f aca="false">IF((E182="p"),G182," ")</f>
        <v> </v>
      </c>
      <c r="N182" s="334" t="str">
        <f aca="false">IF((E182="r"),G182," ")</f>
        <v> </v>
      </c>
      <c r="O182" s="334" t="str">
        <f aca="false">IF((E182="g"),G182," ")</f>
        <v> </v>
      </c>
      <c r="P182" s="334" t="str">
        <f aca="false">IF((E182="m"),G182," ")</f>
        <v> </v>
      </c>
      <c r="Q182" s="334" t="str">
        <f aca="false">IF((E182="t"),G182," ")</f>
        <v> </v>
      </c>
      <c r="R182" s="334" t="str">
        <f aca="false">IF((E182="a"),G182," ")</f>
        <v> </v>
      </c>
      <c r="S182" s="334" t="str">
        <f aca="false">IF((E182="l"),G182," ")</f>
        <v> </v>
      </c>
      <c r="T182" s="334" t="str">
        <f aca="false">IF((E182="b"),G182," ")</f>
        <v> </v>
      </c>
      <c r="U182" s="334" t="str">
        <f aca="false">IF((E182="i"),G182," ")</f>
        <v> </v>
      </c>
      <c r="V182" s="334" t="str">
        <f aca="false">IF((E182="o"),G182," ")</f>
        <v> </v>
      </c>
      <c r="W182" s="334" t="str">
        <f aca="false">IF((E182="f"),G182," ")</f>
        <v> </v>
      </c>
    </row>
    <row r="183" customFormat="false" ht="12.75" hidden="false" customHeight="false" outlineLevel="0" collapsed="false">
      <c r="A183" s="355"/>
      <c r="E183" s="365" t="str">
        <f aca="false">IF((G183&lt;&gt;0),"Enter Letter"," ")</f>
        <v> </v>
      </c>
      <c r="H183" s="338" t="str">
        <f aca="false">IF((G183&lt;&gt;0),IF((D183&gt;0)," ",G183)," ")</f>
        <v> </v>
      </c>
      <c r="I183" s="367" t="str">
        <f aca="false">IF((G183&lt;&gt;0),IF((D183&gt;0)," ",(I$1-A183))," ")</f>
        <v> </v>
      </c>
      <c r="J183" s="334" t="str">
        <f aca="false">IF((E183="s"),G183," ")</f>
        <v> </v>
      </c>
      <c r="K183" s="334" t="str">
        <f aca="false">IF((E183="d"),G183," ")</f>
        <v> </v>
      </c>
      <c r="L183" s="334" t="str">
        <f aca="false">IF((E183="e"),G183," ")</f>
        <v> </v>
      </c>
      <c r="M183" s="334" t="str">
        <f aca="false">IF((E183="p"),G183," ")</f>
        <v> </v>
      </c>
      <c r="N183" s="334" t="str">
        <f aca="false">IF((E183="r"),G183," ")</f>
        <v> </v>
      </c>
      <c r="O183" s="334" t="str">
        <f aca="false">IF((E183="g"),G183," ")</f>
        <v> </v>
      </c>
      <c r="P183" s="334" t="str">
        <f aca="false">IF((E183="m"),G183," ")</f>
        <v> </v>
      </c>
      <c r="Q183" s="334" t="str">
        <f aca="false">IF((E183="t"),G183," ")</f>
        <v> </v>
      </c>
      <c r="R183" s="334" t="str">
        <f aca="false">IF((E183="a"),G183," ")</f>
        <v> </v>
      </c>
      <c r="S183" s="334" t="str">
        <f aca="false">IF((E183="l"),G183," ")</f>
        <v> </v>
      </c>
      <c r="T183" s="334" t="str">
        <f aca="false">IF((E183="b"),G183," ")</f>
        <v> </v>
      </c>
      <c r="U183" s="334" t="str">
        <f aca="false">IF((E183="i"),G183," ")</f>
        <v> </v>
      </c>
      <c r="V183" s="334" t="str">
        <f aca="false">IF((E183="o"),G183," ")</f>
        <v> </v>
      </c>
      <c r="W183" s="334" t="str">
        <f aca="false">IF((E183="f"),G183," ")</f>
        <v> </v>
      </c>
    </row>
    <row r="184" customFormat="false" ht="12.75" hidden="false" customHeight="false" outlineLevel="0" collapsed="false">
      <c r="A184" s="355"/>
      <c r="E184" s="365" t="str">
        <f aca="false">IF((G184&lt;&gt;0),"Enter Letter"," ")</f>
        <v> </v>
      </c>
      <c r="H184" s="338" t="str">
        <f aca="false">IF((G184&lt;&gt;0),IF((D184&gt;0)," ",G184)," ")</f>
        <v> </v>
      </c>
      <c r="I184" s="367" t="str">
        <f aca="false">IF((G184&lt;&gt;0),IF((D184&gt;0)," ",(I$1-A184))," ")</f>
        <v> </v>
      </c>
      <c r="J184" s="334" t="str">
        <f aca="false">IF((E184="s"),G184," ")</f>
        <v> </v>
      </c>
      <c r="K184" s="334" t="str">
        <f aca="false">IF((E184="d"),G184," ")</f>
        <v> </v>
      </c>
      <c r="L184" s="334" t="str">
        <f aca="false">IF((E184="e"),G184," ")</f>
        <v> </v>
      </c>
      <c r="M184" s="334" t="str">
        <f aca="false">IF((E184="p"),G184," ")</f>
        <v> </v>
      </c>
      <c r="N184" s="334" t="str">
        <f aca="false">IF((E184="r"),G184," ")</f>
        <v> </v>
      </c>
      <c r="O184" s="334" t="str">
        <f aca="false">IF((E184="g"),G184," ")</f>
        <v> </v>
      </c>
      <c r="P184" s="334" t="str">
        <f aca="false">IF((E184="m"),G184," ")</f>
        <v> </v>
      </c>
      <c r="Q184" s="334" t="str">
        <f aca="false">IF((E184="t"),G184," ")</f>
        <v> </v>
      </c>
      <c r="R184" s="334" t="str">
        <f aca="false">IF((E184="a"),G184," ")</f>
        <v> </v>
      </c>
      <c r="S184" s="334" t="str">
        <f aca="false">IF((E184="l"),G184," ")</f>
        <v> </v>
      </c>
      <c r="T184" s="334" t="str">
        <f aca="false">IF((E184="b"),G184," ")</f>
        <v> </v>
      </c>
      <c r="U184" s="334" t="str">
        <f aca="false">IF((E184="i"),G184," ")</f>
        <v> </v>
      </c>
      <c r="V184" s="334" t="str">
        <f aca="false">IF((E184="o"),G184," ")</f>
        <v> </v>
      </c>
      <c r="W184" s="334" t="str">
        <f aca="false">IF((E184="f"),G184," ")</f>
        <v> </v>
      </c>
    </row>
    <row r="185" customFormat="false" ht="12.75" hidden="false" customHeight="false" outlineLevel="0" collapsed="false">
      <c r="A185" s="355"/>
      <c r="E185" s="365" t="str">
        <f aca="false">IF((G185&lt;&gt;0),"Enter Letter"," ")</f>
        <v> </v>
      </c>
      <c r="H185" s="338" t="str">
        <f aca="false">IF((G185&lt;&gt;0),IF((D185&gt;0)," ",G185)," ")</f>
        <v> </v>
      </c>
      <c r="I185" s="367" t="str">
        <f aca="false">IF((G185&lt;&gt;0),IF((D185&gt;0)," ",(I$1-A185))," ")</f>
        <v> </v>
      </c>
      <c r="J185" s="334" t="str">
        <f aca="false">IF((E185="s"),G185," ")</f>
        <v> </v>
      </c>
      <c r="K185" s="334" t="str">
        <f aca="false">IF((E185="d"),G185," ")</f>
        <v> </v>
      </c>
      <c r="L185" s="334" t="str">
        <f aca="false">IF((E185="e"),G185," ")</f>
        <v> </v>
      </c>
      <c r="M185" s="334" t="str">
        <f aca="false">IF((E185="p"),G185," ")</f>
        <v> </v>
      </c>
      <c r="N185" s="334" t="str">
        <f aca="false">IF((E185="r"),G185," ")</f>
        <v> </v>
      </c>
      <c r="O185" s="334" t="str">
        <f aca="false">IF((E185="g"),G185," ")</f>
        <v> </v>
      </c>
      <c r="P185" s="334" t="str">
        <f aca="false">IF((E185="m"),G185," ")</f>
        <v> </v>
      </c>
      <c r="Q185" s="334" t="str">
        <f aca="false">IF((E185="t"),G185," ")</f>
        <v> </v>
      </c>
      <c r="R185" s="334" t="str">
        <f aca="false">IF((E185="a"),G185," ")</f>
        <v> </v>
      </c>
      <c r="S185" s="334" t="str">
        <f aca="false">IF((E185="l"),G185," ")</f>
        <v> </v>
      </c>
      <c r="T185" s="334" t="str">
        <f aca="false">IF((E185="b"),G185," ")</f>
        <v> </v>
      </c>
      <c r="U185" s="334" t="str">
        <f aca="false">IF((E185="i"),G185," ")</f>
        <v> </v>
      </c>
      <c r="V185" s="334" t="str">
        <f aca="false">IF((E185="o"),G185," ")</f>
        <v> </v>
      </c>
      <c r="W185" s="334" t="str">
        <f aca="false">IF((E185="f"),G185," ")</f>
        <v> </v>
      </c>
    </row>
    <row r="186" customFormat="false" ht="12.75" hidden="false" customHeight="false" outlineLevel="0" collapsed="false">
      <c r="A186" s="355"/>
      <c r="E186" s="365" t="str">
        <f aca="false">IF((G186&lt;&gt;0),"Enter Letter"," ")</f>
        <v> </v>
      </c>
      <c r="H186" s="338" t="str">
        <f aca="false">IF((G186&lt;&gt;0),IF((D186&gt;0)," ",G186)," ")</f>
        <v> </v>
      </c>
      <c r="I186" s="367" t="str">
        <f aca="false">IF((G186&lt;&gt;0),IF((D186&gt;0)," ",(I$1-A186))," ")</f>
        <v> </v>
      </c>
      <c r="J186" s="334" t="str">
        <f aca="false">IF((E186="s"),G186," ")</f>
        <v> </v>
      </c>
      <c r="K186" s="334" t="str">
        <f aca="false">IF((E186="d"),G186," ")</f>
        <v> </v>
      </c>
      <c r="L186" s="334" t="str">
        <f aca="false">IF((E186="e"),G186," ")</f>
        <v> </v>
      </c>
      <c r="M186" s="334" t="str">
        <f aca="false">IF((E186="p"),G186," ")</f>
        <v> </v>
      </c>
      <c r="N186" s="334" t="str">
        <f aca="false">IF((E186="r"),G186," ")</f>
        <v> </v>
      </c>
      <c r="O186" s="334" t="str">
        <f aca="false">IF((E186="g"),G186," ")</f>
        <v> </v>
      </c>
      <c r="P186" s="334" t="str">
        <f aca="false">IF((E186="m"),G186," ")</f>
        <v> </v>
      </c>
      <c r="Q186" s="334" t="str">
        <f aca="false">IF((E186="t"),G186," ")</f>
        <v> </v>
      </c>
      <c r="R186" s="334" t="str">
        <f aca="false">IF((E186="a"),G186," ")</f>
        <v> </v>
      </c>
      <c r="S186" s="334" t="str">
        <f aca="false">IF((E186="l"),G186," ")</f>
        <v> </v>
      </c>
      <c r="T186" s="334" t="str">
        <f aca="false">IF((E186="b"),G186," ")</f>
        <v> </v>
      </c>
      <c r="U186" s="334" t="str">
        <f aca="false">IF((E186="i"),G186," ")</f>
        <v> </v>
      </c>
      <c r="V186" s="334" t="str">
        <f aca="false">IF((E186="o"),G186," ")</f>
        <v> </v>
      </c>
      <c r="W186" s="334" t="str">
        <f aca="false">IF((E186="f"),G186," ")</f>
        <v> </v>
      </c>
    </row>
    <row r="187" customFormat="false" ht="12.75" hidden="false" customHeight="false" outlineLevel="0" collapsed="false">
      <c r="A187" s="355"/>
      <c r="E187" s="365" t="str">
        <f aca="false">IF((G187&lt;&gt;0),"Enter Letter"," ")</f>
        <v> </v>
      </c>
      <c r="H187" s="338" t="str">
        <f aca="false">IF((G187&lt;&gt;0),IF((D187&gt;0)," ",G187)," ")</f>
        <v> </v>
      </c>
      <c r="I187" s="367" t="str">
        <f aca="false">IF((G187&lt;&gt;0),IF((D187&gt;0)," ",(I$1-A187))," ")</f>
        <v> </v>
      </c>
      <c r="J187" s="334" t="str">
        <f aca="false">IF((E187="s"),G187," ")</f>
        <v> </v>
      </c>
      <c r="K187" s="334" t="str">
        <f aca="false">IF((E187="d"),G187," ")</f>
        <v> </v>
      </c>
      <c r="L187" s="334" t="str">
        <f aca="false">IF((E187="e"),G187," ")</f>
        <v> </v>
      </c>
      <c r="M187" s="334" t="str">
        <f aca="false">IF((E187="p"),G187," ")</f>
        <v> </v>
      </c>
      <c r="N187" s="334" t="str">
        <f aca="false">IF((E187="r"),G187," ")</f>
        <v> </v>
      </c>
      <c r="O187" s="334" t="str">
        <f aca="false">IF((E187="g"),G187," ")</f>
        <v> </v>
      </c>
      <c r="P187" s="334" t="str">
        <f aca="false">IF((E187="m"),G187," ")</f>
        <v> </v>
      </c>
      <c r="Q187" s="334" t="str">
        <f aca="false">IF((E187="t"),G187," ")</f>
        <v> </v>
      </c>
      <c r="R187" s="334" t="str">
        <f aca="false">IF((E187="a"),G187," ")</f>
        <v> </v>
      </c>
      <c r="S187" s="334" t="str">
        <f aca="false">IF((E187="l"),G187," ")</f>
        <v> </v>
      </c>
      <c r="T187" s="334" t="str">
        <f aca="false">IF((E187="b"),G187," ")</f>
        <v> </v>
      </c>
      <c r="U187" s="334" t="str">
        <f aca="false">IF((E187="i"),G187," ")</f>
        <v> </v>
      </c>
      <c r="V187" s="334" t="str">
        <f aca="false">IF((E187="o"),G187," ")</f>
        <v> </v>
      </c>
      <c r="W187" s="334" t="str">
        <f aca="false">IF((E187="f"),G187," ")</f>
        <v> </v>
      </c>
    </row>
    <row r="188" customFormat="false" ht="12.75" hidden="false" customHeight="false" outlineLevel="0" collapsed="false">
      <c r="A188" s="355"/>
      <c r="E188" s="365" t="str">
        <f aca="false">IF((G188&lt;&gt;0),"Enter Letter"," ")</f>
        <v> </v>
      </c>
      <c r="H188" s="338" t="str">
        <f aca="false">IF((G188&lt;&gt;0),IF((D188&gt;0)," ",G188)," ")</f>
        <v> </v>
      </c>
      <c r="I188" s="367" t="str">
        <f aca="false">IF((G188&lt;&gt;0),IF((D188&gt;0)," ",(I$1-A188))," ")</f>
        <v> </v>
      </c>
      <c r="J188" s="334" t="str">
        <f aca="false">IF((E188="s"),G188," ")</f>
        <v> </v>
      </c>
      <c r="K188" s="334" t="str">
        <f aca="false">IF((E188="d"),G188," ")</f>
        <v> </v>
      </c>
      <c r="L188" s="334" t="str">
        <f aca="false">IF((E188="e"),G188," ")</f>
        <v> </v>
      </c>
      <c r="M188" s="334" t="str">
        <f aca="false">IF((E188="p"),G188," ")</f>
        <v> </v>
      </c>
      <c r="N188" s="334" t="str">
        <f aca="false">IF((E188="r"),G188," ")</f>
        <v> </v>
      </c>
      <c r="O188" s="334" t="str">
        <f aca="false">IF((E188="g"),G188," ")</f>
        <v> </v>
      </c>
      <c r="P188" s="334" t="str">
        <f aca="false">IF((E188="m"),G188," ")</f>
        <v> </v>
      </c>
      <c r="Q188" s="334" t="str">
        <f aca="false">IF((E188="t"),G188," ")</f>
        <v> </v>
      </c>
      <c r="R188" s="334" t="str">
        <f aca="false">IF((E188="a"),G188," ")</f>
        <v> </v>
      </c>
      <c r="S188" s="334" t="str">
        <f aca="false">IF((E188="l"),G188," ")</f>
        <v> </v>
      </c>
      <c r="T188" s="334" t="str">
        <f aca="false">IF((E188="b"),G188," ")</f>
        <v> </v>
      </c>
      <c r="U188" s="334" t="str">
        <f aca="false">IF((E188="i"),G188," ")</f>
        <v> </v>
      </c>
      <c r="V188" s="334" t="str">
        <f aca="false">IF((E188="o"),G188," ")</f>
        <v> </v>
      </c>
      <c r="W188" s="334" t="str">
        <f aca="false">IF((E188="f"),G188," ")</f>
        <v> </v>
      </c>
    </row>
    <row r="189" customFormat="false" ht="12.75" hidden="false" customHeight="false" outlineLevel="0" collapsed="false">
      <c r="A189" s="355"/>
      <c r="E189" s="365" t="str">
        <f aca="false">IF((G189&lt;&gt;0),"Enter Letter"," ")</f>
        <v> </v>
      </c>
      <c r="H189" s="338" t="str">
        <f aca="false">IF((G189&lt;&gt;0),IF((D189&gt;0)," ",G189)," ")</f>
        <v> </v>
      </c>
      <c r="I189" s="367" t="str">
        <f aca="false">IF((G189&lt;&gt;0),IF((D189&gt;0)," ",(I$1-A189))," ")</f>
        <v> </v>
      </c>
      <c r="J189" s="334" t="str">
        <f aca="false">IF((E189="s"),G189," ")</f>
        <v> </v>
      </c>
      <c r="K189" s="334" t="str">
        <f aca="false">IF((E189="d"),G189," ")</f>
        <v> </v>
      </c>
      <c r="L189" s="334" t="str">
        <f aca="false">IF((E189="e"),G189," ")</f>
        <v> </v>
      </c>
      <c r="M189" s="334" t="str">
        <f aca="false">IF((E189="p"),G189," ")</f>
        <v> </v>
      </c>
      <c r="N189" s="334" t="str">
        <f aca="false">IF((E189="r"),G189," ")</f>
        <v> </v>
      </c>
      <c r="O189" s="334" t="str">
        <f aca="false">IF((E189="g"),G189," ")</f>
        <v> </v>
      </c>
      <c r="P189" s="334" t="str">
        <f aca="false">IF((E189="m"),G189," ")</f>
        <v> </v>
      </c>
      <c r="Q189" s="334" t="str">
        <f aca="false">IF((E189="t"),G189," ")</f>
        <v> </v>
      </c>
      <c r="R189" s="334" t="str">
        <f aca="false">IF((E189="a"),G189," ")</f>
        <v> </v>
      </c>
      <c r="S189" s="334" t="str">
        <f aca="false">IF((E189="l"),G189," ")</f>
        <v> </v>
      </c>
      <c r="T189" s="334" t="str">
        <f aca="false">IF((E189="b"),G189," ")</f>
        <v> </v>
      </c>
      <c r="U189" s="334" t="str">
        <f aca="false">IF((E189="i"),G189," ")</f>
        <v> </v>
      </c>
      <c r="V189" s="334" t="str">
        <f aca="false">IF((E189="o"),G189," ")</f>
        <v> </v>
      </c>
      <c r="W189" s="334" t="str">
        <f aca="false">IF((E189="f"),G189," ")</f>
        <v> </v>
      </c>
    </row>
    <row r="190" customFormat="false" ht="12.75" hidden="false" customHeight="false" outlineLevel="0" collapsed="false">
      <c r="A190" s="355"/>
      <c r="E190" s="365" t="str">
        <f aca="false">IF((G190&lt;&gt;0),"Enter Letter"," ")</f>
        <v> </v>
      </c>
      <c r="H190" s="338" t="str">
        <f aca="false">IF((G190&lt;&gt;0),IF((D190&gt;0)," ",G190)," ")</f>
        <v> </v>
      </c>
      <c r="I190" s="367" t="str">
        <f aca="false">IF((G190&lt;&gt;0),IF((D190&gt;0)," ",(I$1-A190))," ")</f>
        <v> </v>
      </c>
      <c r="J190" s="334" t="str">
        <f aca="false">IF((E190="s"),G190," ")</f>
        <v> </v>
      </c>
      <c r="K190" s="334" t="str">
        <f aca="false">IF((E190="d"),G190," ")</f>
        <v> </v>
      </c>
      <c r="L190" s="334" t="str">
        <f aca="false">IF((E190="e"),G190," ")</f>
        <v> </v>
      </c>
      <c r="M190" s="334" t="str">
        <f aca="false">IF((E190="p"),G190," ")</f>
        <v> </v>
      </c>
      <c r="N190" s="334" t="str">
        <f aca="false">IF((E190="r"),G190," ")</f>
        <v> </v>
      </c>
      <c r="O190" s="334" t="str">
        <f aca="false">IF((E190="g"),G190," ")</f>
        <v> </v>
      </c>
      <c r="P190" s="334" t="str">
        <f aca="false">IF((E190="m"),G190," ")</f>
        <v> </v>
      </c>
      <c r="Q190" s="334" t="str">
        <f aca="false">IF((E190="t"),G190," ")</f>
        <v> </v>
      </c>
      <c r="R190" s="334" t="str">
        <f aca="false">IF((E190="a"),G190," ")</f>
        <v> </v>
      </c>
      <c r="S190" s="334" t="str">
        <f aca="false">IF((E190="l"),G190," ")</f>
        <v> </v>
      </c>
      <c r="T190" s="334" t="str">
        <f aca="false">IF((E190="b"),G190," ")</f>
        <v> </v>
      </c>
      <c r="U190" s="334" t="str">
        <f aca="false">IF((E190="i"),G190," ")</f>
        <v> </v>
      </c>
      <c r="V190" s="334" t="str">
        <f aca="false">IF((E190="o"),G190," ")</f>
        <v> </v>
      </c>
      <c r="W190" s="334" t="str">
        <f aca="false">IF((E190="f"),G190," ")</f>
        <v> </v>
      </c>
    </row>
    <row r="191" customFormat="false" ht="12.75" hidden="false" customHeight="false" outlineLevel="0" collapsed="false">
      <c r="A191" s="355"/>
      <c r="E191" s="365" t="str">
        <f aca="false">IF((G191&lt;&gt;0),"Enter Letter"," ")</f>
        <v> </v>
      </c>
      <c r="H191" s="338" t="str">
        <f aca="false">IF((G191&lt;&gt;0),IF((D191&gt;0)," ",G191)," ")</f>
        <v> </v>
      </c>
      <c r="I191" s="367" t="str">
        <f aca="false">IF((G191&lt;&gt;0),IF((D191&gt;0)," ",(I$1-A191))," ")</f>
        <v> </v>
      </c>
      <c r="J191" s="334" t="str">
        <f aca="false">IF((E191="s"),G191," ")</f>
        <v> </v>
      </c>
      <c r="K191" s="334" t="str">
        <f aca="false">IF((E191="d"),G191," ")</f>
        <v> </v>
      </c>
      <c r="L191" s="334" t="str">
        <f aca="false">IF((E191="e"),G191," ")</f>
        <v> </v>
      </c>
      <c r="M191" s="334" t="str">
        <f aca="false">IF((E191="p"),G191," ")</f>
        <v> </v>
      </c>
      <c r="N191" s="334" t="str">
        <f aca="false">IF((E191="r"),G191," ")</f>
        <v> </v>
      </c>
      <c r="O191" s="334" t="str">
        <f aca="false">IF((E191="g"),G191," ")</f>
        <v> </v>
      </c>
      <c r="P191" s="334" t="str">
        <f aca="false">IF((E191="m"),G191," ")</f>
        <v> </v>
      </c>
      <c r="Q191" s="334" t="str">
        <f aca="false">IF((E191="t"),G191," ")</f>
        <v> </v>
      </c>
      <c r="R191" s="334" t="str">
        <f aca="false">IF((E191="a"),G191," ")</f>
        <v> </v>
      </c>
      <c r="S191" s="334" t="str">
        <f aca="false">IF((E191="l"),G191," ")</f>
        <v> </v>
      </c>
      <c r="T191" s="334" t="str">
        <f aca="false">IF((E191="b"),G191," ")</f>
        <v> </v>
      </c>
      <c r="U191" s="334" t="str">
        <f aca="false">IF((E191="i"),G191," ")</f>
        <v> </v>
      </c>
      <c r="V191" s="334" t="str">
        <f aca="false">IF((E191="o"),G191," ")</f>
        <v> </v>
      </c>
      <c r="W191" s="334" t="str">
        <f aca="false">IF((E191="f"),G191," ")</f>
        <v> </v>
      </c>
    </row>
    <row r="192" customFormat="false" ht="12.75" hidden="false" customHeight="false" outlineLevel="0" collapsed="false">
      <c r="A192" s="355"/>
      <c r="E192" s="365" t="str">
        <f aca="false">IF((G192&lt;&gt;0),"Enter Letter"," ")</f>
        <v> </v>
      </c>
      <c r="H192" s="338" t="str">
        <f aca="false">IF((G192&lt;&gt;0),IF((D192&gt;0)," ",G192)," ")</f>
        <v> </v>
      </c>
      <c r="I192" s="367" t="str">
        <f aca="false">IF((G192&lt;&gt;0),IF((D192&gt;0)," ",(I$1-A192))," ")</f>
        <v> </v>
      </c>
      <c r="J192" s="334" t="str">
        <f aca="false">IF((E192="s"),G192," ")</f>
        <v> </v>
      </c>
      <c r="K192" s="334" t="str">
        <f aca="false">IF((E192="d"),G192," ")</f>
        <v> </v>
      </c>
      <c r="L192" s="334" t="str">
        <f aca="false">IF((E192="e"),G192," ")</f>
        <v> </v>
      </c>
      <c r="M192" s="334" t="str">
        <f aca="false">IF((E192="p"),G192," ")</f>
        <v> </v>
      </c>
      <c r="N192" s="334" t="str">
        <f aca="false">IF((E192="r"),G192," ")</f>
        <v> </v>
      </c>
      <c r="O192" s="334" t="str">
        <f aca="false">IF((E192="g"),G192," ")</f>
        <v> </v>
      </c>
      <c r="P192" s="334" t="str">
        <f aca="false">IF((E192="m"),G192," ")</f>
        <v> </v>
      </c>
      <c r="Q192" s="334" t="str">
        <f aca="false">IF((E192="t"),G192," ")</f>
        <v> </v>
      </c>
      <c r="R192" s="334" t="str">
        <f aca="false">IF((E192="a"),G192," ")</f>
        <v> </v>
      </c>
      <c r="S192" s="334" t="str">
        <f aca="false">IF((E192="l"),G192," ")</f>
        <v> </v>
      </c>
      <c r="T192" s="334" t="str">
        <f aca="false">IF((E192="b"),G192," ")</f>
        <v> </v>
      </c>
      <c r="U192" s="334" t="str">
        <f aca="false">IF((E192="i"),G192," ")</f>
        <v> </v>
      </c>
      <c r="V192" s="334" t="str">
        <f aca="false">IF((E192="o"),G192," ")</f>
        <v> </v>
      </c>
      <c r="W192" s="334" t="str">
        <f aca="false">IF((E192="f"),G192," ")</f>
        <v> </v>
      </c>
    </row>
    <row r="193" customFormat="false" ht="12.75" hidden="false" customHeight="false" outlineLevel="0" collapsed="false">
      <c r="A193" s="355"/>
      <c r="E193" s="365" t="str">
        <f aca="false">IF((G193&lt;&gt;0),"Enter Letter"," ")</f>
        <v> </v>
      </c>
      <c r="H193" s="338" t="str">
        <f aca="false">IF((G193&lt;&gt;0),IF((D193&gt;0)," ",G193)," ")</f>
        <v> </v>
      </c>
      <c r="I193" s="367" t="str">
        <f aca="false">IF((G193&lt;&gt;0),IF((D193&gt;0)," ",(I$1-A193))," ")</f>
        <v> </v>
      </c>
      <c r="J193" s="334" t="str">
        <f aca="false">IF((E193="s"),G193," ")</f>
        <v> </v>
      </c>
      <c r="K193" s="334" t="str">
        <f aca="false">IF((E193="d"),G193," ")</f>
        <v> </v>
      </c>
      <c r="L193" s="334" t="str">
        <f aca="false">IF((E193="e"),G193," ")</f>
        <v> </v>
      </c>
      <c r="M193" s="334" t="str">
        <f aca="false">IF((E193="p"),G193," ")</f>
        <v> </v>
      </c>
      <c r="N193" s="334" t="str">
        <f aca="false">IF((E193="r"),G193," ")</f>
        <v> </v>
      </c>
      <c r="O193" s="334" t="str">
        <f aca="false">IF((E193="g"),G193," ")</f>
        <v> </v>
      </c>
      <c r="P193" s="334" t="str">
        <f aca="false">IF((E193="m"),G193," ")</f>
        <v> </v>
      </c>
      <c r="Q193" s="334" t="str">
        <f aca="false">IF((E193="t"),G193," ")</f>
        <v> </v>
      </c>
      <c r="R193" s="334" t="str">
        <f aca="false">IF((E193="a"),G193," ")</f>
        <v> </v>
      </c>
      <c r="S193" s="334" t="str">
        <f aca="false">IF((E193="l"),G193," ")</f>
        <v> </v>
      </c>
      <c r="T193" s="334" t="str">
        <f aca="false">IF((E193="b"),G193," ")</f>
        <v> </v>
      </c>
      <c r="U193" s="334" t="str">
        <f aca="false">IF((E193="i"),G193," ")</f>
        <v> </v>
      </c>
      <c r="V193" s="334" t="str">
        <f aca="false">IF((E193="o"),G193," ")</f>
        <v> </v>
      </c>
      <c r="W193" s="334" t="str">
        <f aca="false">IF((E193="f"),G193," ")</f>
        <v> </v>
      </c>
    </row>
    <row r="194" customFormat="false" ht="12.75" hidden="false" customHeight="false" outlineLevel="0" collapsed="false">
      <c r="A194" s="355"/>
      <c r="E194" s="365" t="str">
        <f aca="false">IF((G194&lt;&gt;0),"Enter Letter"," ")</f>
        <v> </v>
      </c>
      <c r="H194" s="338" t="str">
        <f aca="false">IF((G194&lt;&gt;0),IF((D194&gt;0)," ",G194)," ")</f>
        <v> </v>
      </c>
      <c r="I194" s="367" t="str">
        <f aca="false">IF((G194&lt;&gt;0),IF((D194&gt;0)," ",(I$1-A194))," ")</f>
        <v> </v>
      </c>
      <c r="J194" s="334" t="str">
        <f aca="false">IF((E194="s"),G194," ")</f>
        <v> </v>
      </c>
      <c r="K194" s="334" t="str">
        <f aca="false">IF((E194="d"),G194," ")</f>
        <v> </v>
      </c>
      <c r="L194" s="334" t="str">
        <f aca="false">IF((E194="e"),G194," ")</f>
        <v> </v>
      </c>
      <c r="M194" s="334" t="str">
        <f aca="false">IF((E194="p"),G194," ")</f>
        <v> </v>
      </c>
      <c r="N194" s="334" t="str">
        <f aca="false">IF((E194="r"),G194," ")</f>
        <v> </v>
      </c>
      <c r="O194" s="334" t="str">
        <f aca="false">IF((E194="g"),G194," ")</f>
        <v> </v>
      </c>
      <c r="P194" s="334" t="str">
        <f aca="false">IF((E194="m"),G194," ")</f>
        <v> </v>
      </c>
      <c r="Q194" s="334" t="str">
        <f aca="false">IF((E194="t"),G194," ")</f>
        <v> </v>
      </c>
      <c r="R194" s="334" t="str">
        <f aca="false">IF((E194="a"),G194," ")</f>
        <v> </v>
      </c>
      <c r="S194" s="334" t="str">
        <f aca="false">IF((E194="l"),G194," ")</f>
        <v> </v>
      </c>
      <c r="T194" s="334" t="str">
        <f aca="false">IF((E194="b"),G194," ")</f>
        <v> </v>
      </c>
      <c r="U194" s="334" t="str">
        <f aca="false">IF((E194="i"),G194," ")</f>
        <v> </v>
      </c>
      <c r="V194" s="334" t="str">
        <f aca="false">IF((E194="o"),G194," ")</f>
        <v> </v>
      </c>
      <c r="W194" s="334" t="str">
        <f aca="false">IF((E194="f"),G194," ")</f>
        <v> </v>
      </c>
    </row>
    <row r="195" customFormat="false" ht="12.75" hidden="false" customHeight="false" outlineLevel="0" collapsed="false">
      <c r="A195" s="355"/>
      <c r="E195" s="365" t="str">
        <f aca="false">IF((G195&lt;&gt;0),"Enter Letter"," ")</f>
        <v> </v>
      </c>
      <c r="H195" s="338" t="str">
        <f aca="false">IF((G195&lt;&gt;0),IF((D195&gt;0)," ",G195)," ")</f>
        <v> </v>
      </c>
      <c r="I195" s="367" t="str">
        <f aca="false">IF((G195&lt;&gt;0),IF((D195&gt;0)," ",(I$1-A195))," ")</f>
        <v> </v>
      </c>
      <c r="J195" s="334" t="str">
        <f aca="false">IF((E195="s"),G195," ")</f>
        <v> </v>
      </c>
      <c r="K195" s="334" t="str">
        <f aca="false">IF((E195="d"),G195," ")</f>
        <v> </v>
      </c>
      <c r="L195" s="334" t="str">
        <f aca="false">IF((E195="e"),G195," ")</f>
        <v> </v>
      </c>
      <c r="M195" s="334" t="str">
        <f aca="false">IF((E195="p"),G195," ")</f>
        <v> </v>
      </c>
      <c r="N195" s="334" t="str">
        <f aca="false">IF((E195="r"),G195," ")</f>
        <v> </v>
      </c>
      <c r="O195" s="334" t="str">
        <f aca="false">IF((E195="g"),G195," ")</f>
        <v> </v>
      </c>
      <c r="P195" s="334" t="str">
        <f aca="false">IF((E195="m"),G195," ")</f>
        <v> </v>
      </c>
      <c r="Q195" s="334" t="str">
        <f aca="false">IF((E195="t"),G195," ")</f>
        <v> </v>
      </c>
      <c r="R195" s="334" t="str">
        <f aca="false">IF((E195="a"),G195," ")</f>
        <v> </v>
      </c>
      <c r="S195" s="334" t="str">
        <f aca="false">IF((E195="l"),G195," ")</f>
        <v> </v>
      </c>
      <c r="T195" s="334" t="str">
        <f aca="false">IF((E195="b"),G195," ")</f>
        <v> </v>
      </c>
      <c r="U195" s="334" t="str">
        <f aca="false">IF((E195="i"),G195," ")</f>
        <v> </v>
      </c>
      <c r="V195" s="334" t="str">
        <f aca="false">IF((E195="o"),G195," ")</f>
        <v> </v>
      </c>
      <c r="W195" s="334" t="str">
        <f aca="false">IF((E195="f"),G195," ")</f>
        <v> </v>
      </c>
    </row>
    <row r="196" customFormat="false" ht="12.75" hidden="false" customHeight="false" outlineLevel="0" collapsed="false">
      <c r="A196" s="355"/>
      <c r="E196" s="365" t="str">
        <f aca="false">IF((G196&lt;&gt;0),"Enter Letter"," ")</f>
        <v> </v>
      </c>
      <c r="H196" s="338" t="str">
        <f aca="false">IF((G196&lt;&gt;0),IF((D196&gt;0)," ",G196)," ")</f>
        <v> </v>
      </c>
      <c r="I196" s="367" t="str">
        <f aca="false">IF((G196&lt;&gt;0),IF((D196&gt;0)," ",(I$1-A196))," ")</f>
        <v> </v>
      </c>
      <c r="J196" s="334" t="str">
        <f aca="false">IF((E196="s"),G196," ")</f>
        <v> </v>
      </c>
      <c r="K196" s="334" t="str">
        <f aca="false">IF((E196="d"),G196," ")</f>
        <v> </v>
      </c>
      <c r="L196" s="334" t="str">
        <f aca="false">IF((E196="e"),G196," ")</f>
        <v> </v>
      </c>
      <c r="M196" s="334" t="str">
        <f aca="false">IF((E196="p"),G196," ")</f>
        <v> </v>
      </c>
      <c r="N196" s="334" t="str">
        <f aca="false">IF((E196="r"),G196," ")</f>
        <v> </v>
      </c>
      <c r="O196" s="334" t="str">
        <f aca="false">IF((E196="g"),G196," ")</f>
        <v> </v>
      </c>
      <c r="P196" s="334" t="str">
        <f aca="false">IF((E196="m"),G196," ")</f>
        <v> </v>
      </c>
      <c r="Q196" s="334" t="str">
        <f aca="false">IF((E196="t"),G196," ")</f>
        <v> </v>
      </c>
      <c r="R196" s="334" t="str">
        <f aca="false">IF((E196="a"),G196," ")</f>
        <v> </v>
      </c>
      <c r="S196" s="334" t="str">
        <f aca="false">IF((E196="l"),G196," ")</f>
        <v> </v>
      </c>
      <c r="T196" s="334" t="str">
        <f aca="false">IF((E196="b"),G196," ")</f>
        <v> </v>
      </c>
      <c r="U196" s="334" t="str">
        <f aca="false">IF((E196="i"),G196," ")</f>
        <v> </v>
      </c>
      <c r="V196" s="334" t="str">
        <f aca="false">IF((E196="o"),G196," ")</f>
        <v> </v>
      </c>
      <c r="W196" s="334" t="str">
        <f aca="false">IF((E196="f"),G196," ")</f>
        <v> </v>
      </c>
    </row>
    <row r="197" customFormat="false" ht="12.75" hidden="false" customHeight="false" outlineLevel="0" collapsed="false">
      <c r="A197" s="355"/>
      <c r="E197" s="365" t="str">
        <f aca="false">IF((G197&lt;&gt;0),"Enter Letter"," ")</f>
        <v> </v>
      </c>
      <c r="H197" s="338" t="str">
        <f aca="false">IF((G197&lt;&gt;0),IF((D197&gt;0)," ",G197)," ")</f>
        <v> </v>
      </c>
      <c r="I197" s="367" t="str">
        <f aca="false">IF((G197&lt;&gt;0),IF((D197&gt;0)," ",(I$1-A197))," ")</f>
        <v> </v>
      </c>
      <c r="J197" s="334" t="str">
        <f aca="false">IF((E197="s"),G197," ")</f>
        <v> </v>
      </c>
      <c r="K197" s="334" t="str">
        <f aca="false">IF((E197="d"),G197," ")</f>
        <v> </v>
      </c>
      <c r="L197" s="334" t="str">
        <f aca="false">IF((E197="e"),G197," ")</f>
        <v> </v>
      </c>
      <c r="M197" s="334" t="str">
        <f aca="false">IF((E197="p"),G197," ")</f>
        <v> </v>
      </c>
      <c r="N197" s="334" t="str">
        <f aca="false">IF((E197="r"),G197," ")</f>
        <v> </v>
      </c>
      <c r="O197" s="334" t="str">
        <f aca="false">IF((E197="g"),G197," ")</f>
        <v> </v>
      </c>
      <c r="P197" s="334" t="str">
        <f aca="false">IF((E197="m"),G197," ")</f>
        <v> </v>
      </c>
      <c r="Q197" s="334" t="str">
        <f aca="false">IF((E197="t"),G197," ")</f>
        <v> </v>
      </c>
      <c r="R197" s="334" t="str">
        <f aca="false">IF((E197="a"),G197," ")</f>
        <v> </v>
      </c>
      <c r="S197" s="334" t="str">
        <f aca="false">IF((E197="l"),G197," ")</f>
        <v> </v>
      </c>
      <c r="T197" s="334" t="str">
        <f aca="false">IF((E197="b"),G197," ")</f>
        <v> </v>
      </c>
      <c r="U197" s="334" t="str">
        <f aca="false">IF((E197="i"),G197," ")</f>
        <v> </v>
      </c>
      <c r="V197" s="334" t="str">
        <f aca="false">IF((E197="o"),G197," ")</f>
        <v> </v>
      </c>
      <c r="W197" s="334" t="str">
        <f aca="false">IF((E197="f"),G197," ")</f>
        <v> </v>
      </c>
    </row>
    <row r="198" customFormat="false" ht="12.75" hidden="false" customHeight="false" outlineLevel="0" collapsed="false">
      <c r="A198" s="355"/>
      <c r="E198" s="365" t="str">
        <f aca="false">IF((G198&lt;&gt;0),"Enter Letter"," ")</f>
        <v> </v>
      </c>
      <c r="H198" s="338" t="str">
        <f aca="false">IF((G198&lt;&gt;0),IF((D198&gt;0)," ",G198)," ")</f>
        <v> </v>
      </c>
      <c r="I198" s="367" t="str">
        <f aca="false">IF((G198&lt;&gt;0),IF((D198&gt;0)," ",(I$1-A198))," ")</f>
        <v> </v>
      </c>
      <c r="J198" s="334" t="str">
        <f aca="false">IF((E198="s"),G198," ")</f>
        <v> </v>
      </c>
      <c r="K198" s="334" t="str">
        <f aca="false">IF((E198="d"),G198," ")</f>
        <v> </v>
      </c>
      <c r="L198" s="334" t="str">
        <f aca="false">IF((E198="e"),G198," ")</f>
        <v> </v>
      </c>
      <c r="M198" s="334" t="str">
        <f aca="false">IF((E198="p"),G198," ")</f>
        <v> </v>
      </c>
      <c r="N198" s="334" t="str">
        <f aca="false">IF((E198="r"),G198," ")</f>
        <v> </v>
      </c>
      <c r="O198" s="334" t="str">
        <f aca="false">IF((E198="g"),G198," ")</f>
        <v> </v>
      </c>
      <c r="P198" s="334" t="str">
        <f aca="false">IF((E198="m"),G198," ")</f>
        <v> </v>
      </c>
      <c r="Q198" s="334" t="str">
        <f aca="false">IF((E198="t"),G198," ")</f>
        <v> </v>
      </c>
      <c r="R198" s="334" t="str">
        <f aca="false">IF((E198="a"),G198," ")</f>
        <v> </v>
      </c>
      <c r="S198" s="334" t="str">
        <f aca="false">IF((E198="l"),G198," ")</f>
        <v> </v>
      </c>
      <c r="T198" s="334" t="str">
        <f aca="false">IF((E198="b"),G198," ")</f>
        <v> </v>
      </c>
      <c r="U198" s="334" t="str">
        <f aca="false">IF((E198="i"),G198," ")</f>
        <v> </v>
      </c>
      <c r="V198" s="334" t="str">
        <f aca="false">IF((E198="o"),G198," ")</f>
        <v> </v>
      </c>
      <c r="W198" s="334" t="str">
        <f aca="false">IF((E198="f"),G198," ")</f>
        <v> </v>
      </c>
    </row>
    <row r="199" customFormat="false" ht="12.75" hidden="false" customHeight="false" outlineLevel="0" collapsed="false">
      <c r="A199" s="355"/>
      <c r="E199" s="365" t="str">
        <f aca="false">IF((G199&lt;&gt;0),"Enter Letter"," ")</f>
        <v> </v>
      </c>
      <c r="H199" s="338" t="str">
        <f aca="false">IF((G199&lt;&gt;0),IF((D199&gt;0)," ",G199)," ")</f>
        <v> </v>
      </c>
      <c r="I199" s="367" t="str">
        <f aca="false">IF((G199&lt;&gt;0),IF((D199&gt;0)," ",(I$1-A199))," ")</f>
        <v> </v>
      </c>
      <c r="J199" s="334" t="str">
        <f aca="false">IF((E199="s"),G199," ")</f>
        <v> </v>
      </c>
      <c r="K199" s="334" t="str">
        <f aca="false">IF((E199="d"),G199," ")</f>
        <v> </v>
      </c>
      <c r="L199" s="334" t="str">
        <f aca="false">IF((E199="e"),G199," ")</f>
        <v> </v>
      </c>
      <c r="M199" s="334" t="str">
        <f aca="false">IF((E199="p"),G199," ")</f>
        <v> </v>
      </c>
      <c r="N199" s="334" t="str">
        <f aca="false">IF((E199="r"),G199," ")</f>
        <v> </v>
      </c>
      <c r="O199" s="334" t="str">
        <f aca="false">IF((E199="g"),G199," ")</f>
        <v> </v>
      </c>
      <c r="P199" s="334" t="str">
        <f aca="false">IF((E199="m"),G199," ")</f>
        <v> </v>
      </c>
      <c r="Q199" s="334" t="str">
        <f aca="false">IF((E199="t"),G199," ")</f>
        <v> </v>
      </c>
      <c r="R199" s="334" t="str">
        <f aca="false">IF((E199="a"),G199," ")</f>
        <v> </v>
      </c>
      <c r="S199" s="334" t="str">
        <f aca="false">IF((E199="l"),G199," ")</f>
        <v> </v>
      </c>
      <c r="T199" s="334" t="str">
        <f aca="false">IF((E199="b"),G199," ")</f>
        <v> </v>
      </c>
      <c r="U199" s="334" t="str">
        <f aca="false">IF((E199="i"),G199," ")</f>
        <v> </v>
      </c>
      <c r="V199" s="334" t="str">
        <f aca="false">IF((E199="o"),G199," ")</f>
        <v> </v>
      </c>
      <c r="W199" s="334" t="str">
        <f aca="false">IF((E199="f"),G199," ")</f>
        <v> </v>
      </c>
    </row>
    <row r="200" customFormat="false" ht="12.75" hidden="false" customHeight="false" outlineLevel="0" collapsed="false">
      <c r="A200" s="355"/>
      <c r="E200" s="365" t="str">
        <f aca="false">IF((G200&lt;&gt;0),"Enter Letter"," ")</f>
        <v> </v>
      </c>
      <c r="H200" s="338" t="str">
        <f aca="false">IF((G200&lt;&gt;0),IF((D200&gt;0)," ",G200)," ")</f>
        <v> </v>
      </c>
      <c r="I200" s="367" t="str">
        <f aca="false">IF((G200&lt;&gt;0),IF((D200&gt;0)," ",(I$1-A200))," ")</f>
        <v> </v>
      </c>
      <c r="J200" s="334" t="str">
        <f aca="false">IF((E200="s"),G200," ")</f>
        <v> </v>
      </c>
      <c r="K200" s="334" t="str">
        <f aca="false">IF((E200="d"),G200," ")</f>
        <v> </v>
      </c>
      <c r="L200" s="334" t="str">
        <f aca="false">IF((E200="e"),G200," ")</f>
        <v> </v>
      </c>
      <c r="M200" s="334" t="str">
        <f aca="false">IF((E200="p"),G200," ")</f>
        <v> </v>
      </c>
      <c r="N200" s="334" t="str">
        <f aca="false">IF((E200="r"),G200," ")</f>
        <v> </v>
      </c>
      <c r="O200" s="334" t="str">
        <f aca="false">IF((E200="g"),G200," ")</f>
        <v> </v>
      </c>
      <c r="P200" s="334" t="str">
        <f aca="false">IF((E200="m"),G200," ")</f>
        <v> </v>
      </c>
      <c r="Q200" s="334" t="str">
        <f aca="false">IF((E200="t"),G200," ")</f>
        <v> </v>
      </c>
      <c r="R200" s="334" t="str">
        <f aca="false">IF((E200="a"),G200," ")</f>
        <v> </v>
      </c>
      <c r="S200" s="334" t="str">
        <f aca="false">IF((E200="l"),G200," ")</f>
        <v> </v>
      </c>
      <c r="T200" s="334" t="str">
        <f aca="false">IF((E200="b"),G200," ")</f>
        <v> </v>
      </c>
      <c r="U200" s="334" t="str">
        <f aca="false">IF((E200="i"),G200," ")</f>
        <v> </v>
      </c>
      <c r="V200" s="334" t="str">
        <f aca="false">IF((E200="o"),G200," ")</f>
        <v> </v>
      </c>
      <c r="W200" s="334" t="str">
        <f aca="false">IF((E200="f"),G200," ")</f>
        <v> </v>
      </c>
      <c r="Y200" s="399"/>
      <c r="Z200" s="399"/>
    </row>
    <row r="201" customFormat="false" ht="12.75" hidden="false" customHeight="false" outlineLevel="0" collapsed="false">
      <c r="A201" s="355"/>
      <c r="E201" s="365" t="str">
        <f aca="false">IF((G201&lt;&gt;0),"Enter Letter"," ")</f>
        <v> </v>
      </c>
      <c r="H201" s="338" t="str">
        <f aca="false">IF((G201&lt;&gt;0),IF((D201&gt;0)," ",G201)," ")</f>
        <v> </v>
      </c>
      <c r="I201" s="367" t="str">
        <f aca="false">IF((G201&lt;&gt;0),IF((D201&gt;0)," ",(I$1-A201))," ")</f>
        <v> </v>
      </c>
      <c r="J201" s="334" t="str">
        <f aca="false">IF((E201="s"),G201," ")</f>
        <v> </v>
      </c>
      <c r="K201" s="334" t="str">
        <f aca="false">IF((E201="d"),G201," ")</f>
        <v> </v>
      </c>
      <c r="L201" s="334" t="str">
        <f aca="false">IF((E201="e"),G201," ")</f>
        <v> </v>
      </c>
      <c r="M201" s="334" t="str">
        <f aca="false">IF((E201="p"),G201," ")</f>
        <v> </v>
      </c>
      <c r="N201" s="334" t="str">
        <f aca="false">IF((E201="r"),G201," ")</f>
        <v> </v>
      </c>
      <c r="O201" s="334" t="str">
        <f aca="false">IF((E201="g"),G201," ")</f>
        <v> </v>
      </c>
      <c r="P201" s="334" t="str">
        <f aca="false">IF((E201="m"),G201," ")</f>
        <v> </v>
      </c>
      <c r="Q201" s="334" t="str">
        <f aca="false">IF((E201="t"),G201," ")</f>
        <v> </v>
      </c>
      <c r="R201" s="334" t="str">
        <f aca="false">IF((E201="a"),G201," ")</f>
        <v> </v>
      </c>
      <c r="S201" s="334" t="str">
        <f aca="false">IF((E201="l"),G201," ")</f>
        <v> </v>
      </c>
      <c r="T201" s="334" t="str">
        <f aca="false">IF((E201="b"),G201," ")</f>
        <v> </v>
      </c>
      <c r="U201" s="334" t="str">
        <f aca="false">IF((E201="i"),G201," ")</f>
        <v> </v>
      </c>
      <c r="V201" s="334" t="str">
        <f aca="false">IF((E201="o"),G201," ")</f>
        <v> </v>
      </c>
      <c r="W201" s="334" t="str">
        <f aca="false">IF((E201="f"),G201," ")</f>
        <v> </v>
      </c>
    </row>
    <row r="202" customFormat="false" ht="12.75" hidden="false" customHeight="false" outlineLevel="0" collapsed="false">
      <c r="A202" s="355"/>
      <c r="E202" s="365" t="str">
        <f aca="false">IF((G202&lt;&gt;0),"Enter Letter"," ")</f>
        <v> </v>
      </c>
      <c r="H202" s="338" t="str">
        <f aca="false">IF((G202&lt;&gt;0),IF((D202&gt;0)," ",G202)," ")</f>
        <v> </v>
      </c>
      <c r="I202" s="367" t="str">
        <f aca="false">IF((G202&lt;&gt;0),IF((D202&gt;0)," ",(I$1-A202))," ")</f>
        <v> </v>
      </c>
      <c r="J202" s="334" t="str">
        <f aca="false">IF((E202="s"),G202," ")</f>
        <v> </v>
      </c>
      <c r="K202" s="334" t="str">
        <f aca="false">IF((E202="d"),G202," ")</f>
        <v> </v>
      </c>
      <c r="L202" s="334" t="str">
        <f aca="false">IF((E202="e"),G202," ")</f>
        <v> </v>
      </c>
      <c r="M202" s="334" t="str">
        <f aca="false">IF((E202="p"),G202," ")</f>
        <v> </v>
      </c>
      <c r="N202" s="334" t="str">
        <f aca="false">IF((E202="r"),G202," ")</f>
        <v> </v>
      </c>
      <c r="O202" s="334" t="str">
        <f aca="false">IF((E202="g"),G202," ")</f>
        <v> </v>
      </c>
      <c r="P202" s="334" t="str">
        <f aca="false">IF((E202="m"),G202," ")</f>
        <v> </v>
      </c>
      <c r="Q202" s="334" t="str">
        <f aca="false">IF((E202="t"),G202," ")</f>
        <v> </v>
      </c>
      <c r="R202" s="334" t="str">
        <f aca="false">IF((E202="a"),G202," ")</f>
        <v> </v>
      </c>
      <c r="S202" s="334" t="str">
        <f aca="false">IF((E202="l"),G202," ")</f>
        <v> </v>
      </c>
      <c r="T202" s="334" t="str">
        <f aca="false">IF((E202="b"),G202," ")</f>
        <v> </v>
      </c>
      <c r="U202" s="334" t="str">
        <f aca="false">IF((E202="i"),G202," ")</f>
        <v> </v>
      </c>
      <c r="V202" s="334" t="str">
        <f aca="false">IF((E202="o"),G202," ")</f>
        <v> </v>
      </c>
      <c r="W202" s="334" t="str">
        <f aca="false">IF((E202="f"),G202," ")</f>
        <v> </v>
      </c>
    </row>
    <row r="203" customFormat="false" ht="12.75" hidden="false" customHeight="false" outlineLevel="0" collapsed="false">
      <c r="A203" s="355"/>
      <c r="E203" s="365" t="str">
        <f aca="false">IF((G203&lt;&gt;0),"Enter Letter"," ")</f>
        <v> </v>
      </c>
      <c r="H203" s="338" t="str">
        <f aca="false">IF((G203&lt;&gt;0),IF((D203&gt;0)," ",G203)," ")</f>
        <v> </v>
      </c>
      <c r="I203" s="367" t="str">
        <f aca="false">IF((G203&lt;&gt;0),IF((D203&gt;0)," ",(I$1-A203))," ")</f>
        <v> </v>
      </c>
      <c r="J203" s="334" t="str">
        <f aca="false">IF((E203="s"),G203," ")</f>
        <v> </v>
      </c>
      <c r="K203" s="334" t="str">
        <f aca="false">IF((E203="d"),G203," ")</f>
        <v> </v>
      </c>
      <c r="L203" s="334" t="str">
        <f aca="false">IF((E203="e"),G203," ")</f>
        <v> </v>
      </c>
      <c r="M203" s="334" t="str">
        <f aca="false">IF((E203="p"),G203," ")</f>
        <v> </v>
      </c>
      <c r="N203" s="334" t="str">
        <f aca="false">IF((E203="r"),G203," ")</f>
        <v> </v>
      </c>
      <c r="O203" s="334" t="str">
        <f aca="false">IF((E203="g"),G203," ")</f>
        <v> </v>
      </c>
      <c r="P203" s="334" t="str">
        <f aca="false">IF((E203="m"),G203," ")</f>
        <v> </v>
      </c>
      <c r="Q203" s="334" t="str">
        <f aca="false">IF((E203="t"),G203," ")</f>
        <v> </v>
      </c>
      <c r="R203" s="334" t="str">
        <f aca="false">IF((E203="a"),G203," ")</f>
        <v> </v>
      </c>
      <c r="S203" s="334" t="str">
        <f aca="false">IF((E203="l"),G203," ")</f>
        <v> </v>
      </c>
      <c r="T203" s="334" t="str">
        <f aca="false">IF((E203="b"),G203," ")</f>
        <v> </v>
      </c>
      <c r="U203" s="334" t="str">
        <f aca="false">IF((E203="i"),G203," ")</f>
        <v> </v>
      </c>
      <c r="V203" s="334" t="str">
        <f aca="false">IF((E203="o"),G203," ")</f>
        <v> </v>
      </c>
      <c r="W203" s="334" t="str">
        <f aca="false">IF((E203="f"),G203," ")</f>
        <v> </v>
      </c>
    </row>
    <row r="204" customFormat="false" ht="12.75" hidden="false" customHeight="false" outlineLevel="0" collapsed="false">
      <c r="A204" s="355"/>
      <c r="E204" s="365" t="str">
        <f aca="false">IF((G204&lt;&gt;0),"Enter Letter"," ")</f>
        <v> </v>
      </c>
      <c r="H204" s="338" t="str">
        <f aca="false">IF((G204&lt;&gt;0),IF((D204&gt;0)," ",G204)," ")</f>
        <v> </v>
      </c>
      <c r="I204" s="367" t="str">
        <f aca="false">IF((G204&lt;&gt;0),IF((D204&gt;0)," ",(I$1-A204))," ")</f>
        <v> </v>
      </c>
      <c r="J204" s="334" t="str">
        <f aca="false">IF((E204="s"),G204," ")</f>
        <v> </v>
      </c>
      <c r="K204" s="334" t="str">
        <f aca="false">IF((E204="d"),G204," ")</f>
        <v> </v>
      </c>
      <c r="L204" s="334" t="str">
        <f aca="false">IF((E204="e"),G204," ")</f>
        <v> </v>
      </c>
      <c r="M204" s="334" t="str">
        <f aca="false">IF((E204="p"),G204," ")</f>
        <v> </v>
      </c>
      <c r="N204" s="334" t="str">
        <f aca="false">IF((E204="r"),G204," ")</f>
        <v> </v>
      </c>
      <c r="O204" s="334" t="str">
        <f aca="false">IF((E204="g"),G204," ")</f>
        <v> </v>
      </c>
      <c r="P204" s="334" t="str">
        <f aca="false">IF((E204="m"),G204," ")</f>
        <v> </v>
      </c>
      <c r="Q204" s="334" t="str">
        <f aca="false">IF((E204="t"),G204," ")</f>
        <v> </v>
      </c>
      <c r="R204" s="334" t="str">
        <f aca="false">IF((E204="a"),G204," ")</f>
        <v> </v>
      </c>
      <c r="S204" s="334" t="str">
        <f aca="false">IF((E204="l"),G204," ")</f>
        <v> </v>
      </c>
      <c r="T204" s="334" t="str">
        <f aca="false">IF((E204="b"),G204," ")</f>
        <v> </v>
      </c>
      <c r="U204" s="334" t="str">
        <f aca="false">IF((E204="i"),G204," ")</f>
        <v> </v>
      </c>
      <c r="V204" s="334" t="str">
        <f aca="false">IF((E204="o"),G204," ")</f>
        <v> </v>
      </c>
      <c r="W204" s="334" t="str">
        <f aca="false">IF((E204="f"),G204," ")</f>
        <v> </v>
      </c>
    </row>
    <row r="205" customFormat="false" ht="12.75" hidden="false" customHeight="false" outlineLevel="0" collapsed="false">
      <c r="A205" s="355"/>
      <c r="E205" s="365" t="str">
        <f aca="false">IF((G205&lt;&gt;0),"Enter Letter"," ")</f>
        <v> </v>
      </c>
      <c r="J205" s="334" t="str">
        <f aca="false">IF((E205="s"),G205," ")</f>
        <v> </v>
      </c>
      <c r="K205" s="334" t="str">
        <f aca="false">IF((E205="d"),G205," ")</f>
        <v> </v>
      </c>
      <c r="L205" s="334" t="str">
        <f aca="false">IF((E205="e"),G205," ")</f>
        <v> </v>
      </c>
      <c r="M205" s="334" t="str">
        <f aca="false">IF((E205="p"),G205," ")</f>
        <v> </v>
      </c>
      <c r="N205" s="334" t="str">
        <f aca="false">IF((E205="r"),G205," ")</f>
        <v> </v>
      </c>
      <c r="O205" s="334" t="str">
        <f aca="false">IF((E205="g"),G205," ")</f>
        <v> </v>
      </c>
      <c r="P205" s="334" t="str">
        <f aca="false">IF((E205="m"),G205," ")</f>
        <v> </v>
      </c>
      <c r="Q205" s="334" t="str">
        <f aca="false">IF((E205="t"),G205," ")</f>
        <v> </v>
      </c>
      <c r="R205" s="334" t="str">
        <f aca="false">IF((E205="a"),G205," ")</f>
        <v> </v>
      </c>
      <c r="S205" s="334" t="str">
        <f aca="false">IF((E205="l"),G205," ")</f>
        <v> </v>
      </c>
      <c r="T205" s="334" t="str">
        <f aca="false">IF((E205="b"),G205," ")</f>
        <v> </v>
      </c>
      <c r="U205" s="334" t="str">
        <f aca="false">IF((E205="i"),G205," ")</f>
        <v> </v>
      </c>
      <c r="V205" s="334" t="str">
        <f aca="false">IF((E205="o"),G205," ")</f>
        <v> </v>
      </c>
      <c r="W205" s="334" t="str">
        <f aca="false">IF((E205="f"),G205," ")</f>
        <v> </v>
      </c>
    </row>
    <row r="206" customFormat="false" ht="12.75" hidden="false" customHeight="false" outlineLevel="0" collapsed="false">
      <c r="A206" s="355"/>
      <c r="E206" s="365" t="str">
        <f aca="false">IF((G206&lt;&gt;0),"Enter Letter"," ")</f>
        <v> </v>
      </c>
      <c r="J206" s="334" t="str">
        <f aca="false">IF((E206="s"),G206," ")</f>
        <v> </v>
      </c>
      <c r="K206" s="334" t="str">
        <f aca="false">IF((E206="d"),G206," ")</f>
        <v> </v>
      </c>
      <c r="L206" s="334" t="str">
        <f aca="false">IF((E206="e"),G206," ")</f>
        <v> </v>
      </c>
      <c r="M206" s="334" t="str">
        <f aca="false">IF((E206="p"),G206," ")</f>
        <v> </v>
      </c>
      <c r="N206" s="334" t="str">
        <f aca="false">IF((E206="r"),G206," ")</f>
        <v> </v>
      </c>
      <c r="O206" s="334" t="str">
        <f aca="false">IF((E206="g"),G206," ")</f>
        <v> </v>
      </c>
      <c r="P206" s="334" t="str">
        <f aca="false">IF((E206="m"),G206," ")</f>
        <v> </v>
      </c>
      <c r="Q206" s="334" t="str">
        <f aca="false">IF((E206="t"),G206," ")</f>
        <v> </v>
      </c>
      <c r="R206" s="334" t="str">
        <f aca="false">IF((E206="a"),G206," ")</f>
        <v> </v>
      </c>
      <c r="S206" s="334" t="str">
        <f aca="false">IF((E206="l"),G206," ")</f>
        <v> </v>
      </c>
      <c r="T206" s="334" t="str">
        <f aca="false">IF((E206="b"),G206," ")</f>
        <v> </v>
      </c>
      <c r="U206" s="334" t="str">
        <f aca="false">IF((E206="i"),G206," ")</f>
        <v> </v>
      </c>
      <c r="V206" s="334" t="str">
        <f aca="false">IF((E206="o"),G206," ")</f>
        <v> </v>
      </c>
      <c r="W206" s="334" t="str">
        <f aca="false">IF((E206="f"),G206," ")</f>
        <v> </v>
      </c>
    </row>
    <row r="207" customFormat="false" ht="12.75" hidden="false" customHeight="false" outlineLevel="0" collapsed="false">
      <c r="A207" s="355"/>
      <c r="E207" s="365" t="str">
        <f aca="false">IF((G207&lt;&gt;0),"Enter Letter"," ")</f>
        <v> </v>
      </c>
      <c r="J207" s="334" t="str">
        <f aca="false">IF((E207="s"),G207," ")</f>
        <v> </v>
      </c>
      <c r="K207" s="334" t="str">
        <f aca="false">IF((E207="d"),G207," ")</f>
        <v> </v>
      </c>
      <c r="L207" s="334" t="str">
        <f aca="false">IF((E207="e"),G207," ")</f>
        <v> </v>
      </c>
      <c r="M207" s="334" t="str">
        <f aca="false">IF((E207="p"),G207," ")</f>
        <v> </v>
      </c>
      <c r="N207" s="334" t="str">
        <f aca="false">IF((E207="r"),G207," ")</f>
        <v> </v>
      </c>
      <c r="O207" s="334" t="str">
        <f aca="false">IF((E207="g"),G207," ")</f>
        <v> </v>
      </c>
      <c r="P207" s="334" t="str">
        <f aca="false">IF((E207="m"),G207," ")</f>
        <v> </v>
      </c>
      <c r="Q207" s="334" t="str">
        <f aca="false">IF((E207="t"),G207," ")</f>
        <v> </v>
      </c>
      <c r="R207" s="334" t="str">
        <f aca="false">IF((E207="a"),G207," ")</f>
        <v> </v>
      </c>
      <c r="S207" s="334" t="str">
        <f aca="false">IF((E207="l"),G207," ")</f>
        <v> </v>
      </c>
      <c r="T207" s="334" t="str">
        <f aca="false">IF((E207="b"),G207," ")</f>
        <v> </v>
      </c>
      <c r="U207" s="334" t="str">
        <f aca="false">IF((E207="i"),G207," ")</f>
        <v> </v>
      </c>
      <c r="V207" s="334" t="str">
        <f aca="false">IF((E207="o"),G207," ")</f>
        <v> </v>
      </c>
      <c r="W207" s="334" t="str">
        <f aca="false">IF((E207="f"),G207," ")</f>
        <v> </v>
      </c>
    </row>
    <row r="208" customFormat="false" ht="12.75" hidden="false" customHeight="false" outlineLevel="0" collapsed="false">
      <c r="A208" s="355"/>
      <c r="E208" s="365" t="str">
        <f aca="false">IF((G208&lt;&gt;0),"Enter Letter"," ")</f>
        <v> </v>
      </c>
      <c r="J208" s="334" t="str">
        <f aca="false">IF((E208="s"),G208," ")</f>
        <v> </v>
      </c>
      <c r="K208" s="334" t="str">
        <f aca="false">IF((E208="d"),G208," ")</f>
        <v> </v>
      </c>
      <c r="L208" s="334" t="str">
        <f aca="false">IF((E208="e"),G208," ")</f>
        <v> </v>
      </c>
      <c r="M208" s="334" t="str">
        <f aca="false">IF((E208="p"),G208," ")</f>
        <v> </v>
      </c>
      <c r="N208" s="334" t="str">
        <f aca="false">IF((E208="r"),G208," ")</f>
        <v> </v>
      </c>
      <c r="O208" s="334" t="str">
        <f aca="false">IF((E208="g"),G208," ")</f>
        <v> </v>
      </c>
      <c r="P208" s="334" t="str">
        <f aca="false">IF((E208="m"),G208," ")</f>
        <v> </v>
      </c>
      <c r="Q208" s="334" t="str">
        <f aca="false">IF((E208="t"),G208," ")</f>
        <v> </v>
      </c>
      <c r="R208" s="334" t="str">
        <f aca="false">IF((E208="a"),G208," ")</f>
        <v> </v>
      </c>
      <c r="S208" s="334" t="str">
        <f aca="false">IF((E208="l"),G208," ")</f>
        <v> </v>
      </c>
      <c r="T208" s="334" t="str">
        <f aca="false">IF((E208="b"),G208," ")</f>
        <v> </v>
      </c>
      <c r="U208" s="334" t="str">
        <f aca="false">IF((E208="i"),G208," ")</f>
        <v> </v>
      </c>
      <c r="V208" s="334" t="str">
        <f aca="false">IF((E208="o"),G208," ")</f>
        <v> </v>
      </c>
      <c r="W208" s="334" t="str">
        <f aca="false">IF((E208="f"),G208," ")</f>
        <v> </v>
      </c>
    </row>
    <row r="209" customFormat="false" ht="12.75" hidden="false" customHeight="false" outlineLevel="0" collapsed="false">
      <c r="A209" s="355"/>
      <c r="E209" s="365" t="str">
        <f aca="false">IF((G209&lt;&gt;0),"Enter Letter"," ")</f>
        <v> </v>
      </c>
      <c r="J209" s="334" t="str">
        <f aca="false">IF((E209="s"),G209," ")</f>
        <v> </v>
      </c>
      <c r="K209" s="334" t="str">
        <f aca="false">IF((E209="d"),G209," ")</f>
        <v> </v>
      </c>
      <c r="L209" s="334" t="str">
        <f aca="false">IF((E209="e"),G209," ")</f>
        <v> </v>
      </c>
      <c r="M209" s="334" t="str">
        <f aca="false">IF((E209="p"),G209," ")</f>
        <v> </v>
      </c>
      <c r="N209" s="334" t="str">
        <f aca="false">IF((E209="r"),G209," ")</f>
        <v> </v>
      </c>
      <c r="O209" s="334" t="str">
        <f aca="false">IF((E209="g"),G209," ")</f>
        <v> </v>
      </c>
      <c r="P209" s="334" t="str">
        <f aca="false">IF((E209="m"),G209," ")</f>
        <v> </v>
      </c>
      <c r="Q209" s="334" t="str">
        <f aca="false">IF((E209="t"),G209," ")</f>
        <v> </v>
      </c>
      <c r="R209" s="334" t="str">
        <f aca="false">IF((E209="a"),G209," ")</f>
        <v> </v>
      </c>
      <c r="S209" s="334" t="str">
        <f aca="false">IF((E209="l"),G209," ")</f>
        <v> </v>
      </c>
      <c r="T209" s="334" t="str">
        <f aca="false">IF((E209="b"),G209," ")</f>
        <v> </v>
      </c>
      <c r="U209" s="334" t="str">
        <f aca="false">IF((E209="i"),G209," ")</f>
        <v> </v>
      </c>
      <c r="V209" s="334" t="str">
        <f aca="false">IF((E209="o"),G209," ")</f>
        <v> </v>
      </c>
      <c r="W209" s="334" t="str">
        <f aca="false">IF((E209="f"),G209," ")</f>
        <v> </v>
      </c>
    </row>
    <row r="210" customFormat="false" ht="12.75" hidden="false" customHeight="false" outlineLevel="0" collapsed="false">
      <c r="A210" s="355"/>
      <c r="E210" s="365" t="str">
        <f aca="false">IF((G210&lt;&gt;0),"Enter Letter"," ")</f>
        <v> </v>
      </c>
      <c r="J210" s="334" t="str">
        <f aca="false">IF((E210="s"),G210," ")</f>
        <v> </v>
      </c>
      <c r="K210" s="334" t="str">
        <f aca="false">IF((E210="d"),G210," ")</f>
        <v> </v>
      </c>
      <c r="L210" s="334" t="str">
        <f aca="false">IF((E210="e"),G210," ")</f>
        <v> </v>
      </c>
      <c r="M210" s="334" t="str">
        <f aca="false">IF((E210="p"),G210," ")</f>
        <v> </v>
      </c>
      <c r="N210" s="334" t="str">
        <f aca="false">IF((E210="r"),G210," ")</f>
        <v> </v>
      </c>
      <c r="O210" s="334" t="str">
        <f aca="false">IF((E210="g"),G210," ")</f>
        <v> </v>
      </c>
      <c r="P210" s="334" t="str">
        <f aca="false">IF((E210="m"),G210," ")</f>
        <v> </v>
      </c>
      <c r="Q210" s="334" t="str">
        <f aca="false">IF((E210="t"),G210," ")</f>
        <v> </v>
      </c>
      <c r="R210" s="334" t="str">
        <f aca="false">IF((E210="a"),G210," ")</f>
        <v> </v>
      </c>
      <c r="S210" s="334" t="str">
        <f aca="false">IF((E210="l"),G210," ")</f>
        <v> </v>
      </c>
      <c r="T210" s="334" t="str">
        <f aca="false">IF((E210="b"),G210," ")</f>
        <v> </v>
      </c>
      <c r="U210" s="334" t="str">
        <f aca="false">IF((E210="i"),G210," ")</f>
        <v> </v>
      </c>
      <c r="V210" s="334" t="str">
        <f aca="false">IF((E210="o"),G210," ")</f>
        <v> </v>
      </c>
      <c r="W210" s="334" t="str">
        <f aca="false">IF((E210="f"),G210," ")</f>
        <v> </v>
      </c>
    </row>
    <row r="211" customFormat="false" ht="12.75" hidden="false" customHeight="false" outlineLevel="0" collapsed="false">
      <c r="A211" s="355"/>
      <c r="E211" s="365" t="str">
        <f aca="false">IF((G211&lt;&gt;0),"Enter Letter"," ")</f>
        <v> </v>
      </c>
      <c r="J211" s="334" t="str">
        <f aca="false">IF((E211="s"),G211," ")</f>
        <v> </v>
      </c>
      <c r="K211" s="334" t="str">
        <f aca="false">IF((E211="d"),G211," ")</f>
        <v> </v>
      </c>
      <c r="L211" s="334" t="str">
        <f aca="false">IF((E211="e"),G211," ")</f>
        <v> </v>
      </c>
      <c r="M211" s="334" t="str">
        <f aca="false">IF((E211="p"),G211," ")</f>
        <v> </v>
      </c>
      <c r="N211" s="334" t="str">
        <f aca="false">IF((E211="r"),G211," ")</f>
        <v> </v>
      </c>
      <c r="O211" s="334" t="str">
        <f aca="false">IF((E211="g"),G211," ")</f>
        <v> </v>
      </c>
      <c r="P211" s="334" t="str">
        <f aca="false">IF((E211="m"),G211," ")</f>
        <v> </v>
      </c>
      <c r="Q211" s="334" t="str">
        <f aca="false">IF((E211="t"),G211," ")</f>
        <v> </v>
      </c>
      <c r="R211" s="334" t="str">
        <f aca="false">IF((E211="a"),G211," ")</f>
        <v> </v>
      </c>
      <c r="S211" s="334" t="str">
        <f aca="false">IF((E211="l"),G211," ")</f>
        <v> </v>
      </c>
      <c r="T211" s="334" t="str">
        <f aca="false">IF((E211="b"),G211," ")</f>
        <v> </v>
      </c>
      <c r="U211" s="334" t="str">
        <f aca="false">IF((E211="i"),G211," ")</f>
        <v> </v>
      </c>
      <c r="V211" s="334" t="str">
        <f aca="false">IF((E211="o"),G211," ")</f>
        <v> </v>
      </c>
      <c r="W211" s="334" t="str">
        <f aca="false">IF((E211="f"),G211," ")</f>
        <v> </v>
      </c>
    </row>
    <row r="212" customFormat="false" ht="12.75" hidden="false" customHeight="false" outlineLevel="0" collapsed="false">
      <c r="A212" s="355"/>
      <c r="E212" s="365" t="str">
        <f aca="false">IF((G212&lt;&gt;0),"Enter Letter"," ")</f>
        <v> </v>
      </c>
      <c r="J212" s="334" t="str">
        <f aca="false">IF((E212="s"),G212," ")</f>
        <v> </v>
      </c>
      <c r="K212" s="334" t="str">
        <f aca="false">IF((E212="d"),G212," ")</f>
        <v> </v>
      </c>
      <c r="L212" s="334" t="str">
        <f aca="false">IF((E212="e"),G212," ")</f>
        <v> </v>
      </c>
      <c r="M212" s="334" t="str">
        <f aca="false">IF((E212="p"),G212," ")</f>
        <v> </v>
      </c>
      <c r="N212" s="334" t="str">
        <f aca="false">IF((E212="r"),G212," ")</f>
        <v> </v>
      </c>
      <c r="O212" s="334" t="str">
        <f aca="false">IF((E212="g"),G212," ")</f>
        <v> </v>
      </c>
      <c r="P212" s="334" t="str">
        <f aca="false">IF((E212="m"),G212," ")</f>
        <v> </v>
      </c>
      <c r="Q212" s="334" t="str">
        <f aca="false">IF((E212="t"),G212," ")</f>
        <v> </v>
      </c>
      <c r="R212" s="334" t="str">
        <f aca="false">IF((E212="a"),G212," ")</f>
        <v> </v>
      </c>
      <c r="S212" s="334" t="str">
        <f aca="false">IF((E212="l"),G212," ")</f>
        <v> </v>
      </c>
      <c r="T212" s="334" t="str">
        <f aca="false">IF((E212="b"),G212," ")</f>
        <v> </v>
      </c>
      <c r="U212" s="334" t="str">
        <f aca="false">IF((E212="i"),G212," ")</f>
        <v> </v>
      </c>
      <c r="V212" s="334" t="str">
        <f aca="false">IF((E212="o"),G212," ")</f>
        <v> </v>
      </c>
      <c r="W212" s="334" t="str">
        <f aca="false">IF((E212="f"),G212," ")</f>
        <v> </v>
      </c>
    </row>
    <row r="213" customFormat="false" ht="12.75" hidden="false" customHeight="false" outlineLevel="0" collapsed="false">
      <c r="A213" s="355"/>
      <c r="E213" s="365" t="str">
        <f aca="false">IF((G213&lt;&gt;0),"Enter Letter"," ")</f>
        <v> </v>
      </c>
      <c r="J213" s="334" t="str">
        <f aca="false">IF((E213="s"),G213," ")</f>
        <v> </v>
      </c>
      <c r="K213" s="334" t="str">
        <f aca="false">IF((E213="d"),G213," ")</f>
        <v> </v>
      </c>
      <c r="L213" s="334" t="str">
        <f aca="false">IF((E213="e"),G213," ")</f>
        <v> </v>
      </c>
      <c r="M213" s="334" t="str">
        <f aca="false">IF((E213="p"),G213," ")</f>
        <v> </v>
      </c>
      <c r="N213" s="334" t="str">
        <f aca="false">IF((E213="r"),G213," ")</f>
        <v> </v>
      </c>
      <c r="O213" s="334" t="str">
        <f aca="false">IF((E213="g"),G213," ")</f>
        <v> </v>
      </c>
      <c r="P213" s="334" t="str">
        <f aca="false">IF((E213="m"),G213," ")</f>
        <v> </v>
      </c>
      <c r="Q213" s="334" t="str">
        <f aca="false">IF((E213="t"),G213," ")</f>
        <v> </v>
      </c>
      <c r="R213" s="334" t="str">
        <f aca="false">IF((E213="a"),G213," ")</f>
        <v> </v>
      </c>
      <c r="S213" s="334" t="str">
        <f aca="false">IF((E213="l"),G213," ")</f>
        <v> </v>
      </c>
      <c r="T213" s="334" t="str">
        <f aca="false">IF((E213="b"),G213," ")</f>
        <v> </v>
      </c>
      <c r="U213" s="334" t="str">
        <f aca="false">IF((E213="i"),G213," ")</f>
        <v> </v>
      </c>
      <c r="V213" s="334" t="str">
        <f aca="false">IF((E213="o"),G213," ")</f>
        <v> </v>
      </c>
      <c r="W213" s="334" t="str">
        <f aca="false">IF((E213="f"),G213," ")</f>
        <v> </v>
      </c>
    </row>
    <row r="214" customFormat="false" ht="12.75" hidden="false" customHeight="false" outlineLevel="0" collapsed="false">
      <c r="A214" s="355"/>
      <c r="E214" s="365" t="str">
        <f aca="false">IF((G214&lt;&gt;0),"Enter Letter"," ")</f>
        <v> </v>
      </c>
      <c r="J214" s="334" t="str">
        <f aca="false">IF((E214="s"),G214," ")</f>
        <v> </v>
      </c>
      <c r="K214" s="334" t="str">
        <f aca="false">IF((E214="d"),G214," ")</f>
        <v> </v>
      </c>
      <c r="L214" s="334" t="str">
        <f aca="false">IF((E214="e"),G214," ")</f>
        <v> </v>
      </c>
      <c r="M214" s="334" t="str">
        <f aca="false">IF((E214="p"),G214," ")</f>
        <v> </v>
      </c>
      <c r="N214" s="334" t="str">
        <f aca="false">IF((E214="r"),G214," ")</f>
        <v> </v>
      </c>
      <c r="O214" s="334" t="str">
        <f aca="false">IF((E214="g"),G214," ")</f>
        <v> </v>
      </c>
      <c r="P214" s="334" t="str">
        <f aca="false">IF((E214="m"),G214," ")</f>
        <v> </v>
      </c>
      <c r="Q214" s="334" t="str">
        <f aca="false">IF((E214="t"),G214," ")</f>
        <v> </v>
      </c>
      <c r="R214" s="334" t="str">
        <f aca="false">IF((E214="a"),G214," ")</f>
        <v> </v>
      </c>
      <c r="S214" s="334" t="str">
        <f aca="false">IF((E214="l"),G214," ")</f>
        <v> </v>
      </c>
      <c r="T214" s="334" t="str">
        <f aca="false">IF((E214="b"),G214," ")</f>
        <v> </v>
      </c>
      <c r="U214" s="334" t="str">
        <f aca="false">IF((E214="i"),G214," ")</f>
        <v> </v>
      </c>
      <c r="V214" s="334" t="str">
        <f aca="false">IF((E214="o"),G214," ")</f>
        <v> </v>
      </c>
      <c r="W214" s="334" t="str">
        <f aca="false">IF((E214="f"),G214," ")</f>
        <v> </v>
      </c>
    </row>
    <row r="215" customFormat="false" ht="12.75" hidden="false" customHeight="false" outlineLevel="0" collapsed="false">
      <c r="A215" s="355"/>
      <c r="E215" s="365" t="str">
        <f aca="false">IF((G215&lt;&gt;0),"Enter Letter"," ")</f>
        <v> </v>
      </c>
      <c r="J215" s="334" t="str">
        <f aca="false">IF((E215="s"),G215," ")</f>
        <v> </v>
      </c>
      <c r="K215" s="334" t="str">
        <f aca="false">IF((E215="d"),G215," ")</f>
        <v> </v>
      </c>
      <c r="L215" s="334" t="str">
        <f aca="false">IF((E215="e"),G215," ")</f>
        <v> </v>
      </c>
      <c r="M215" s="334" t="str">
        <f aca="false">IF((E215="p"),G215," ")</f>
        <v> </v>
      </c>
      <c r="N215" s="334" t="str">
        <f aca="false">IF((E215="r"),G215," ")</f>
        <v> </v>
      </c>
      <c r="O215" s="334" t="str">
        <f aca="false">IF((E215="g"),G215," ")</f>
        <v> </v>
      </c>
      <c r="P215" s="334" t="str">
        <f aca="false">IF((E215="m"),G215," ")</f>
        <v> </v>
      </c>
      <c r="Q215" s="334" t="str">
        <f aca="false">IF((E215="t"),G215," ")</f>
        <v> </v>
      </c>
      <c r="R215" s="334" t="str">
        <f aca="false">IF((E215="a"),G215," ")</f>
        <v> </v>
      </c>
      <c r="S215" s="334" t="str">
        <f aca="false">IF((E215="l"),G215," ")</f>
        <v> </v>
      </c>
      <c r="T215" s="334" t="str">
        <f aca="false">IF((E215="b"),G215," ")</f>
        <v> </v>
      </c>
      <c r="U215" s="334" t="str">
        <f aca="false">IF((E215="i"),G215," ")</f>
        <v> </v>
      </c>
      <c r="V215" s="334" t="str">
        <f aca="false">IF((E215="o"),G215," ")</f>
        <v> </v>
      </c>
      <c r="W215" s="334" t="str">
        <f aca="false">IF((E215="f"),G215," ")</f>
        <v> </v>
      </c>
    </row>
    <row r="216" customFormat="false" ht="12.75" hidden="false" customHeight="false" outlineLevel="0" collapsed="false">
      <c r="A216" s="355"/>
      <c r="E216" s="365" t="str">
        <f aca="false">IF((G216&lt;&gt;0),"Enter Letter"," ")</f>
        <v> </v>
      </c>
      <c r="J216" s="334" t="str">
        <f aca="false">IF((E216="s"),G216," ")</f>
        <v> </v>
      </c>
      <c r="K216" s="334" t="str">
        <f aca="false">IF((E216="d"),G216," ")</f>
        <v> </v>
      </c>
      <c r="L216" s="334" t="str">
        <f aca="false">IF((E216="e"),G216," ")</f>
        <v> </v>
      </c>
      <c r="M216" s="334" t="str">
        <f aca="false">IF((E216="p"),G216," ")</f>
        <v> </v>
      </c>
      <c r="N216" s="334" t="str">
        <f aca="false">IF((E216="r"),G216," ")</f>
        <v> </v>
      </c>
      <c r="O216" s="334" t="str">
        <f aca="false">IF((E216="g"),G216," ")</f>
        <v> </v>
      </c>
      <c r="P216" s="334" t="str">
        <f aca="false">IF((E216="m"),G216," ")</f>
        <v> </v>
      </c>
      <c r="Q216" s="334" t="str">
        <f aca="false">IF((E216="t"),G216," ")</f>
        <v> </v>
      </c>
      <c r="R216" s="334" t="str">
        <f aca="false">IF((E216="a"),G216," ")</f>
        <v> </v>
      </c>
      <c r="S216" s="334" t="str">
        <f aca="false">IF((E216="l"),G216," ")</f>
        <v> </v>
      </c>
      <c r="T216" s="334" t="str">
        <f aca="false">IF((E216="b"),G216," ")</f>
        <v> </v>
      </c>
      <c r="U216" s="334" t="str">
        <f aca="false">IF((E216="i"),G216," ")</f>
        <v> </v>
      </c>
      <c r="V216" s="334" t="str">
        <f aca="false">IF((E216="o"),G216," ")</f>
        <v> </v>
      </c>
      <c r="W216" s="334" t="str">
        <f aca="false">IF((E216="f"),G216," ")</f>
        <v> </v>
      </c>
    </row>
    <row r="217" customFormat="false" ht="12.75" hidden="false" customHeight="false" outlineLevel="0" collapsed="false">
      <c r="A217" s="355"/>
      <c r="E217" s="365" t="str">
        <f aca="false">IF((G217&lt;&gt;0),"Enter Letter"," ")</f>
        <v> </v>
      </c>
      <c r="J217" s="334" t="str">
        <f aca="false">IF((E217="s"),G217," ")</f>
        <v> </v>
      </c>
      <c r="K217" s="334" t="str">
        <f aca="false">IF((E217="d"),G217," ")</f>
        <v> </v>
      </c>
      <c r="L217" s="334" t="str">
        <f aca="false">IF((E217="e"),G217," ")</f>
        <v> </v>
      </c>
      <c r="M217" s="334" t="str">
        <f aca="false">IF((E217="p"),G217," ")</f>
        <v> </v>
      </c>
      <c r="N217" s="334" t="str">
        <f aca="false">IF((E217="r"),G217," ")</f>
        <v> </v>
      </c>
      <c r="O217" s="334" t="str">
        <f aca="false">IF((E217="g"),G217," ")</f>
        <v> </v>
      </c>
      <c r="P217" s="334" t="str">
        <f aca="false">IF((E217="m"),G217," ")</f>
        <v> </v>
      </c>
      <c r="Q217" s="334" t="str">
        <f aca="false">IF((E217="t"),G217," ")</f>
        <v> </v>
      </c>
      <c r="R217" s="334" t="str">
        <f aca="false">IF((E217="a"),G217," ")</f>
        <v> </v>
      </c>
      <c r="S217" s="334" t="str">
        <f aca="false">IF((E217="l"),G217," ")</f>
        <v> </v>
      </c>
      <c r="T217" s="334" t="str">
        <f aca="false">IF((E217="b"),G217," ")</f>
        <v> </v>
      </c>
      <c r="U217" s="334" t="str">
        <f aca="false">IF((E217="i"),G217," ")</f>
        <v> </v>
      </c>
      <c r="V217" s="334" t="str">
        <f aca="false">IF((E217="o"),G217," ")</f>
        <v> </v>
      </c>
      <c r="W217" s="334" t="str">
        <f aca="false">IF((E217="f"),G217," ")</f>
        <v> </v>
      </c>
    </row>
    <row r="218" customFormat="false" ht="12.75" hidden="false" customHeight="false" outlineLevel="0" collapsed="false">
      <c r="A218" s="355"/>
      <c r="E218" s="365" t="str">
        <f aca="false">IF((G218&lt;&gt;0),"Enter Letter"," ")</f>
        <v> </v>
      </c>
      <c r="J218" s="334" t="str">
        <f aca="false">IF((E218="s"),G218," ")</f>
        <v> </v>
      </c>
      <c r="K218" s="334" t="str">
        <f aca="false">IF((E218="d"),G218," ")</f>
        <v> </v>
      </c>
      <c r="L218" s="334" t="str">
        <f aca="false">IF((E218="e"),G218," ")</f>
        <v> </v>
      </c>
      <c r="M218" s="334" t="str">
        <f aca="false">IF((E218="p"),G218," ")</f>
        <v> </v>
      </c>
      <c r="N218" s="334" t="str">
        <f aca="false">IF((E218="r"),G218," ")</f>
        <v> </v>
      </c>
      <c r="O218" s="334" t="str">
        <f aca="false">IF((E218="g"),G218," ")</f>
        <v> </v>
      </c>
      <c r="P218" s="334" t="str">
        <f aca="false">IF((E218="m"),G218," ")</f>
        <v> </v>
      </c>
      <c r="Q218" s="334" t="str">
        <f aca="false">IF((E218="t"),G218," ")</f>
        <v> </v>
      </c>
      <c r="R218" s="334" t="str">
        <f aca="false">IF((E218="a"),G218," ")</f>
        <v> </v>
      </c>
      <c r="S218" s="334" t="str">
        <f aca="false">IF((E218="l"),G218," ")</f>
        <v> </v>
      </c>
      <c r="T218" s="334" t="str">
        <f aca="false">IF((E218="b"),G218," ")</f>
        <v> </v>
      </c>
      <c r="U218" s="334" t="str">
        <f aca="false">IF((E218="i"),G218," ")</f>
        <v> </v>
      </c>
      <c r="V218" s="334" t="str">
        <f aca="false">IF((E218="o"),G218," ")</f>
        <v> </v>
      </c>
      <c r="W218" s="334" t="str">
        <f aca="false">IF((E218="f"),G218," ")</f>
        <v> </v>
      </c>
    </row>
    <row r="219" customFormat="false" ht="12.75" hidden="false" customHeight="false" outlineLevel="0" collapsed="false">
      <c r="A219" s="355"/>
      <c r="E219" s="365" t="str">
        <f aca="false">IF((G219&lt;&gt;0),"Enter Letter"," ")</f>
        <v> </v>
      </c>
      <c r="J219" s="334" t="str">
        <f aca="false">IF((E219="s"),G219," ")</f>
        <v> </v>
      </c>
      <c r="K219" s="334" t="str">
        <f aca="false">IF((E219="d"),G219," ")</f>
        <v> </v>
      </c>
      <c r="L219" s="334" t="str">
        <f aca="false">IF((E219="e"),G219," ")</f>
        <v> </v>
      </c>
      <c r="M219" s="334" t="str">
        <f aca="false">IF((E219="p"),G219," ")</f>
        <v> </v>
      </c>
      <c r="N219" s="334" t="str">
        <f aca="false">IF((E219="r"),G219," ")</f>
        <v> </v>
      </c>
      <c r="O219" s="334" t="str">
        <f aca="false">IF((E219="g"),G219," ")</f>
        <v> </v>
      </c>
      <c r="P219" s="334" t="str">
        <f aca="false">IF((E219="m"),G219," ")</f>
        <v> </v>
      </c>
      <c r="Q219" s="334" t="str">
        <f aca="false">IF((E219="t"),G219," ")</f>
        <v> </v>
      </c>
      <c r="R219" s="334" t="str">
        <f aca="false">IF((E219="a"),G219," ")</f>
        <v> </v>
      </c>
      <c r="S219" s="334" t="str">
        <f aca="false">IF((E219="l"),G219," ")</f>
        <v> </v>
      </c>
      <c r="T219" s="334" t="str">
        <f aca="false">IF((E219="b"),G219," ")</f>
        <v> </v>
      </c>
      <c r="U219" s="334" t="str">
        <f aca="false">IF((E219="i"),G219," ")</f>
        <v> </v>
      </c>
      <c r="V219" s="334" t="str">
        <f aca="false">IF((E219="o"),G219," ")</f>
        <v> </v>
      </c>
      <c r="W219" s="334" t="str">
        <f aca="false">IF((E219="f"),G219," ")</f>
        <v> </v>
      </c>
    </row>
    <row r="220" customFormat="false" ht="12.75" hidden="false" customHeight="false" outlineLevel="0" collapsed="false">
      <c r="A220" s="355"/>
      <c r="E220" s="365" t="str">
        <f aca="false">IF((G220&lt;&gt;0),"Enter Letter"," ")</f>
        <v> </v>
      </c>
      <c r="J220" s="334" t="str">
        <f aca="false">IF((E220="s"),G220," ")</f>
        <v> </v>
      </c>
      <c r="K220" s="334" t="str">
        <f aca="false">IF((E220="d"),G220," ")</f>
        <v> </v>
      </c>
      <c r="L220" s="334" t="str">
        <f aca="false">IF((E220="e"),G220," ")</f>
        <v> </v>
      </c>
      <c r="M220" s="334" t="str">
        <f aca="false">IF((E220="p"),G220," ")</f>
        <v> </v>
      </c>
      <c r="N220" s="334" t="str">
        <f aca="false">IF((E220="r"),G220," ")</f>
        <v> </v>
      </c>
      <c r="O220" s="334" t="str">
        <f aca="false">IF((E220="g"),G220," ")</f>
        <v> </v>
      </c>
      <c r="P220" s="334" t="str">
        <f aca="false">IF((E220="m"),G220," ")</f>
        <v> </v>
      </c>
      <c r="Q220" s="334" t="str">
        <f aca="false">IF((E220="t"),G220," ")</f>
        <v> </v>
      </c>
      <c r="R220" s="334" t="str">
        <f aca="false">IF((E220="a"),G220," ")</f>
        <v> </v>
      </c>
      <c r="S220" s="334" t="str">
        <f aca="false">IF((E220="l"),G220," ")</f>
        <v> </v>
      </c>
      <c r="T220" s="334" t="str">
        <f aca="false">IF((E220="b"),G220," ")</f>
        <v> </v>
      </c>
      <c r="U220" s="334" t="str">
        <f aca="false">IF((E220="i"),G220," ")</f>
        <v> </v>
      </c>
      <c r="V220" s="334" t="str">
        <f aca="false">IF((E220="o"),G220," ")</f>
        <v> </v>
      </c>
      <c r="W220" s="334" t="str">
        <f aca="false">IF((E220="f"),G220," ")</f>
        <v> </v>
      </c>
    </row>
    <row r="221" customFormat="false" ht="12.75" hidden="false" customHeight="false" outlineLevel="0" collapsed="false">
      <c r="A221" s="355"/>
      <c r="E221" s="365" t="str">
        <f aca="false">IF((G221&lt;&gt;0),"Enter Letter"," ")</f>
        <v> </v>
      </c>
      <c r="J221" s="334" t="str">
        <f aca="false">IF((E221="s"),G221," ")</f>
        <v> </v>
      </c>
      <c r="K221" s="334" t="str">
        <f aca="false">IF((E221="d"),G221," ")</f>
        <v> </v>
      </c>
      <c r="L221" s="334" t="str">
        <f aca="false">IF((E221="e"),G221," ")</f>
        <v> </v>
      </c>
      <c r="M221" s="334" t="str">
        <f aca="false">IF((E221="p"),G221," ")</f>
        <v> </v>
      </c>
      <c r="N221" s="334" t="str">
        <f aca="false">IF((E221="r"),G221," ")</f>
        <v> </v>
      </c>
      <c r="O221" s="334" t="str">
        <f aca="false">IF((E221="g"),G221," ")</f>
        <v> </v>
      </c>
      <c r="P221" s="334" t="str">
        <f aca="false">IF((E221="m"),G221," ")</f>
        <v> </v>
      </c>
      <c r="Q221" s="334" t="str">
        <f aca="false">IF((E221="t"),G221," ")</f>
        <v> </v>
      </c>
      <c r="R221" s="334" t="str">
        <f aca="false">IF((E221="a"),G221," ")</f>
        <v> </v>
      </c>
      <c r="S221" s="334" t="str">
        <f aca="false">IF((E221="l"),G221," ")</f>
        <v> </v>
      </c>
      <c r="T221" s="334" t="str">
        <f aca="false">IF((E221="b"),G221," ")</f>
        <v> </v>
      </c>
      <c r="U221" s="334" t="str">
        <f aca="false">IF((E221="i"),G221," ")</f>
        <v> </v>
      </c>
      <c r="V221" s="334" t="str">
        <f aca="false">IF((E221="o"),G221," ")</f>
        <v> </v>
      </c>
      <c r="W221" s="334" t="str">
        <f aca="false">IF((E221="f"),G221," ")</f>
        <v> </v>
      </c>
    </row>
    <row r="222" customFormat="false" ht="12.75" hidden="false" customHeight="false" outlineLevel="0" collapsed="false">
      <c r="A222" s="355"/>
      <c r="E222" s="365" t="str">
        <f aca="false">IF((G222&lt;&gt;0),"Enter Letter"," ")</f>
        <v> </v>
      </c>
      <c r="J222" s="334" t="str">
        <f aca="false">IF((E222="s"),G222," ")</f>
        <v> </v>
      </c>
      <c r="K222" s="334" t="str">
        <f aca="false">IF((E222="d"),G222," ")</f>
        <v> </v>
      </c>
      <c r="L222" s="334" t="str">
        <f aca="false">IF((E222="e"),G222," ")</f>
        <v> </v>
      </c>
      <c r="M222" s="334" t="str">
        <f aca="false">IF((E222="p"),G222," ")</f>
        <v> </v>
      </c>
      <c r="N222" s="334" t="str">
        <f aca="false">IF((E222="r"),G222," ")</f>
        <v> </v>
      </c>
      <c r="O222" s="334" t="str">
        <f aca="false">IF((E222="g"),G222," ")</f>
        <v> </v>
      </c>
      <c r="P222" s="334" t="str">
        <f aca="false">IF((E222="m"),G222," ")</f>
        <v> </v>
      </c>
      <c r="Q222" s="334" t="str">
        <f aca="false">IF((E222="t"),G222," ")</f>
        <v> </v>
      </c>
      <c r="R222" s="334" t="str">
        <f aca="false">IF((E222="a"),G222," ")</f>
        <v> </v>
      </c>
      <c r="S222" s="334" t="str">
        <f aca="false">IF((E222="l"),G222," ")</f>
        <v> </v>
      </c>
      <c r="T222" s="334" t="str">
        <f aca="false">IF((E222="b"),G222," ")</f>
        <v> </v>
      </c>
      <c r="U222" s="334" t="str">
        <f aca="false">IF((E222="i"),G222," ")</f>
        <v> </v>
      </c>
      <c r="V222" s="334" t="str">
        <f aca="false">IF((E222="o"),G222," ")</f>
        <v> </v>
      </c>
      <c r="W222" s="334" t="str">
        <f aca="false">IF((E222="f"),G222," ")</f>
        <v> </v>
      </c>
    </row>
    <row r="223" customFormat="false" ht="12.75" hidden="false" customHeight="false" outlineLevel="0" collapsed="false">
      <c r="A223" s="355"/>
      <c r="E223" s="365" t="str">
        <f aca="false">IF((G223&lt;&gt;0),"Enter Letter"," ")</f>
        <v> </v>
      </c>
      <c r="J223" s="334" t="str">
        <f aca="false">IF((E223="s"),G223," ")</f>
        <v> </v>
      </c>
      <c r="K223" s="334" t="str">
        <f aca="false">IF((E223="d"),G223," ")</f>
        <v> </v>
      </c>
      <c r="L223" s="334" t="str">
        <f aca="false">IF((E223="e"),G223," ")</f>
        <v> </v>
      </c>
      <c r="M223" s="334" t="str">
        <f aca="false">IF((E223="p"),G223," ")</f>
        <v> </v>
      </c>
      <c r="N223" s="334" t="str">
        <f aca="false">IF((E223="r"),G223," ")</f>
        <v> </v>
      </c>
      <c r="O223" s="334" t="str">
        <f aca="false">IF((E223="g"),G223," ")</f>
        <v> </v>
      </c>
      <c r="P223" s="334" t="str">
        <f aca="false">IF((E223="m"),G223," ")</f>
        <v> </v>
      </c>
      <c r="Q223" s="334" t="str">
        <f aca="false">IF((E223="t"),G223," ")</f>
        <v> </v>
      </c>
      <c r="R223" s="334" t="str">
        <f aca="false">IF((E223="a"),G223," ")</f>
        <v> </v>
      </c>
      <c r="S223" s="334" t="str">
        <f aca="false">IF((E223="l"),G223," ")</f>
        <v> </v>
      </c>
      <c r="T223" s="334" t="str">
        <f aca="false">IF((E223="b"),G223," ")</f>
        <v> </v>
      </c>
      <c r="U223" s="334" t="str">
        <f aca="false">IF((E223="i"),G223," ")</f>
        <v> </v>
      </c>
      <c r="V223" s="334" t="str">
        <f aca="false">IF((E223="o"),G223," ")</f>
        <v> </v>
      </c>
      <c r="W223" s="334" t="str">
        <f aca="false">IF((E223="f"),G223," ")</f>
        <v> </v>
      </c>
    </row>
    <row r="224" customFormat="false" ht="12.75" hidden="false" customHeight="false" outlineLevel="0" collapsed="false">
      <c r="A224" s="355"/>
      <c r="E224" s="365" t="str">
        <f aca="false">IF((G224&lt;&gt;0),"Enter Letter"," ")</f>
        <v> </v>
      </c>
      <c r="J224" s="334" t="str">
        <f aca="false">IF((E224="s"),G224," ")</f>
        <v> </v>
      </c>
      <c r="K224" s="334" t="str">
        <f aca="false">IF((E224="d"),G224," ")</f>
        <v> </v>
      </c>
      <c r="L224" s="334" t="str">
        <f aca="false">IF((E224="e"),G224," ")</f>
        <v> </v>
      </c>
      <c r="M224" s="334" t="str">
        <f aca="false">IF((E224="p"),G224," ")</f>
        <v> </v>
      </c>
      <c r="N224" s="334" t="str">
        <f aca="false">IF((E224="r"),G224," ")</f>
        <v> </v>
      </c>
      <c r="O224" s="334" t="str">
        <f aca="false">IF((E224="g"),G224," ")</f>
        <v> </v>
      </c>
      <c r="P224" s="334" t="str">
        <f aca="false">IF((E224="m"),G224," ")</f>
        <v> </v>
      </c>
      <c r="Q224" s="334" t="str">
        <f aca="false">IF((E224="t"),G224," ")</f>
        <v> </v>
      </c>
      <c r="R224" s="334" t="str">
        <f aca="false">IF((E224="a"),G224," ")</f>
        <v> </v>
      </c>
      <c r="S224" s="334" t="str">
        <f aca="false">IF((E224="l"),G224," ")</f>
        <v> </v>
      </c>
      <c r="T224" s="334" t="str">
        <f aca="false">IF((E224="b"),G224," ")</f>
        <v> </v>
      </c>
      <c r="U224" s="334" t="str">
        <f aca="false">IF((E224="i"),G224," ")</f>
        <v> </v>
      </c>
      <c r="V224" s="334" t="str">
        <f aca="false">IF((E224="o"),G224," ")</f>
        <v> </v>
      </c>
      <c r="W224" s="334" t="str">
        <f aca="false">IF((E224="f"),G224," ")</f>
        <v> </v>
      </c>
    </row>
    <row r="225" customFormat="false" ht="12.75" hidden="false" customHeight="false" outlineLevel="0" collapsed="false">
      <c r="A225" s="355"/>
      <c r="E225" s="365" t="str">
        <f aca="false">IF((G225&lt;&gt;0),"Enter Letter"," ")</f>
        <v> </v>
      </c>
      <c r="J225" s="334" t="str">
        <f aca="false">IF((E225="s"),G225," ")</f>
        <v> </v>
      </c>
      <c r="K225" s="334" t="str">
        <f aca="false">IF((E225="d"),G225," ")</f>
        <v> </v>
      </c>
      <c r="L225" s="334" t="str">
        <f aca="false">IF((E225="e"),G225," ")</f>
        <v> </v>
      </c>
      <c r="M225" s="334" t="str">
        <f aca="false">IF((E225="p"),G225," ")</f>
        <v> </v>
      </c>
      <c r="N225" s="334" t="str">
        <f aca="false">IF((E225="r"),G225," ")</f>
        <v> </v>
      </c>
      <c r="O225" s="334" t="str">
        <f aca="false">IF((E225="g"),G225," ")</f>
        <v> </v>
      </c>
      <c r="P225" s="334" t="str">
        <f aca="false">IF((E225="m"),G225," ")</f>
        <v> </v>
      </c>
      <c r="Q225" s="334" t="str">
        <f aca="false">IF((E225="t"),G225," ")</f>
        <v> </v>
      </c>
      <c r="R225" s="334" t="str">
        <f aca="false">IF((E225="a"),G225," ")</f>
        <v> </v>
      </c>
      <c r="S225" s="334" t="str">
        <f aca="false">IF((E225="l"),G225," ")</f>
        <v> </v>
      </c>
      <c r="T225" s="334" t="str">
        <f aca="false">IF((E225="b"),G225," ")</f>
        <v> </v>
      </c>
      <c r="U225" s="334" t="str">
        <f aca="false">IF((E225="i"),G225," ")</f>
        <v> </v>
      </c>
      <c r="V225" s="334" t="str">
        <f aca="false">IF((E225="o"),G225," ")</f>
        <v> </v>
      </c>
      <c r="W225" s="334" t="str">
        <f aca="false">IF((E225="f"),G225," ")</f>
        <v> </v>
      </c>
    </row>
    <row r="226" customFormat="false" ht="12.75" hidden="false" customHeight="false" outlineLevel="0" collapsed="false">
      <c r="A226" s="355"/>
      <c r="E226" s="365" t="str">
        <f aca="false">IF((G226&lt;&gt;0),"Enter Letter"," ")</f>
        <v> </v>
      </c>
      <c r="J226" s="334" t="str">
        <f aca="false">IF((E226="s"),G226," ")</f>
        <v> </v>
      </c>
      <c r="K226" s="334" t="str">
        <f aca="false">IF((E226="d"),G226," ")</f>
        <v> </v>
      </c>
      <c r="L226" s="334" t="str">
        <f aca="false">IF((E226="e"),G226," ")</f>
        <v> </v>
      </c>
      <c r="M226" s="334" t="str">
        <f aca="false">IF((E226="p"),G226," ")</f>
        <v> </v>
      </c>
      <c r="N226" s="334" t="str">
        <f aca="false">IF((E226="r"),G226," ")</f>
        <v> </v>
      </c>
      <c r="O226" s="334" t="str">
        <f aca="false">IF((E226="g"),G226," ")</f>
        <v> </v>
      </c>
      <c r="P226" s="334" t="str">
        <f aca="false">IF((E226="m"),G226," ")</f>
        <v> </v>
      </c>
      <c r="Q226" s="334" t="str">
        <f aca="false">IF((E226="t"),G226," ")</f>
        <v> </v>
      </c>
      <c r="R226" s="334" t="str">
        <f aca="false">IF((E226="a"),G226," ")</f>
        <v> </v>
      </c>
      <c r="S226" s="334" t="str">
        <f aca="false">IF((E226="l"),G226," ")</f>
        <v> </v>
      </c>
      <c r="T226" s="334" t="str">
        <f aca="false">IF((E226="b"),G226," ")</f>
        <v> </v>
      </c>
      <c r="U226" s="334" t="str">
        <f aca="false">IF((E226="i"),G226," ")</f>
        <v> </v>
      </c>
      <c r="V226" s="334" t="str">
        <f aca="false">IF((E226="o"),G226," ")</f>
        <v> </v>
      </c>
      <c r="W226" s="334" t="str">
        <f aca="false">IF((E226="f"),G226," ")</f>
        <v> </v>
      </c>
    </row>
    <row r="227" customFormat="false" ht="12.75" hidden="false" customHeight="false" outlineLevel="0" collapsed="false">
      <c r="A227" s="355"/>
      <c r="E227" s="365" t="str">
        <f aca="false">IF((G227&lt;&gt;0),"Enter Letter"," ")</f>
        <v> </v>
      </c>
      <c r="J227" s="334" t="str">
        <f aca="false">IF((E227="s"),G227," ")</f>
        <v> </v>
      </c>
      <c r="K227" s="334" t="str">
        <f aca="false">IF((E227="d"),G227," ")</f>
        <v> </v>
      </c>
      <c r="L227" s="334" t="str">
        <f aca="false">IF((E227="e"),G227," ")</f>
        <v> </v>
      </c>
      <c r="M227" s="334" t="str">
        <f aca="false">IF((E227="p"),G227," ")</f>
        <v> </v>
      </c>
      <c r="N227" s="334" t="str">
        <f aca="false">IF((E227="r"),G227," ")</f>
        <v> </v>
      </c>
      <c r="O227" s="334" t="str">
        <f aca="false">IF((E227="g"),G227," ")</f>
        <v> </v>
      </c>
      <c r="P227" s="334" t="str">
        <f aca="false">IF((E227="m"),G227," ")</f>
        <v> </v>
      </c>
      <c r="Q227" s="334" t="str">
        <f aca="false">IF((E227="t"),G227," ")</f>
        <v> </v>
      </c>
      <c r="R227" s="334" t="str">
        <f aca="false">IF((E227="a"),G227," ")</f>
        <v> </v>
      </c>
      <c r="S227" s="334" t="str">
        <f aca="false">IF((E227="l"),G227," ")</f>
        <v> </v>
      </c>
      <c r="T227" s="334" t="str">
        <f aca="false">IF((E227="b"),G227," ")</f>
        <v> </v>
      </c>
      <c r="U227" s="334" t="str">
        <f aca="false">IF((E227="i"),G227," ")</f>
        <v> </v>
      </c>
      <c r="V227" s="334" t="str">
        <f aca="false">IF((E227="o"),G227," ")</f>
        <v> </v>
      </c>
      <c r="W227" s="334" t="str">
        <f aca="false">IF((E227="f"),G227," ")</f>
        <v> </v>
      </c>
    </row>
    <row r="228" customFormat="false" ht="12.75" hidden="false" customHeight="false" outlineLevel="0" collapsed="false">
      <c r="A228" s="355"/>
      <c r="E228" s="365" t="str">
        <f aca="false">IF((G228&lt;&gt;0),"Enter Letter"," ")</f>
        <v> </v>
      </c>
      <c r="J228" s="334" t="str">
        <f aca="false">IF((E228="s"),G228," ")</f>
        <v> </v>
      </c>
      <c r="K228" s="334" t="str">
        <f aca="false">IF((E228="d"),G228," ")</f>
        <v> </v>
      </c>
      <c r="L228" s="334" t="str">
        <f aca="false">IF((E228="e"),G228," ")</f>
        <v> </v>
      </c>
      <c r="M228" s="334" t="str">
        <f aca="false">IF((E228="p"),G228," ")</f>
        <v> </v>
      </c>
      <c r="N228" s="334" t="str">
        <f aca="false">IF((E228="r"),G228," ")</f>
        <v> </v>
      </c>
      <c r="O228" s="334" t="str">
        <f aca="false">IF((E228="g"),G228," ")</f>
        <v> </v>
      </c>
      <c r="P228" s="334" t="str">
        <f aca="false">IF((E228="m"),G228," ")</f>
        <v> </v>
      </c>
      <c r="Q228" s="334" t="str">
        <f aca="false">IF((E228="t"),G228," ")</f>
        <v> </v>
      </c>
      <c r="R228" s="334" t="str">
        <f aca="false">IF((E228="a"),G228," ")</f>
        <v> </v>
      </c>
      <c r="S228" s="334" t="str">
        <f aca="false">IF((E228="l"),G228," ")</f>
        <v> </v>
      </c>
      <c r="T228" s="334" t="str">
        <f aca="false">IF((E228="b"),G228," ")</f>
        <v> </v>
      </c>
      <c r="U228" s="334" t="str">
        <f aca="false">IF((E228="i"),G228," ")</f>
        <v> </v>
      </c>
      <c r="V228" s="334" t="str">
        <f aca="false">IF((E228="o"),G228," ")</f>
        <v> </v>
      </c>
      <c r="W228" s="334" t="str">
        <f aca="false">IF((E228="f"),G228," ")</f>
        <v> </v>
      </c>
    </row>
    <row r="229" customFormat="false" ht="12.75" hidden="false" customHeight="false" outlineLevel="0" collapsed="false">
      <c r="A229" s="355"/>
      <c r="E229" s="365" t="str">
        <f aca="false">IF((G229&lt;&gt;0),"Enter Letter"," ")</f>
        <v> </v>
      </c>
      <c r="J229" s="334" t="str">
        <f aca="false">IF((E229="s"),G229," ")</f>
        <v> </v>
      </c>
      <c r="K229" s="334" t="str">
        <f aca="false">IF((E229="d"),G229," ")</f>
        <v> </v>
      </c>
      <c r="L229" s="334" t="str">
        <f aca="false">IF((E229="e"),G229," ")</f>
        <v> </v>
      </c>
      <c r="M229" s="334" t="str">
        <f aca="false">IF((E229="p"),G229," ")</f>
        <v> </v>
      </c>
      <c r="N229" s="334" t="str">
        <f aca="false">IF((E229="r"),G229," ")</f>
        <v> </v>
      </c>
      <c r="O229" s="334" t="str">
        <f aca="false">IF((E229="g"),G229," ")</f>
        <v> </v>
      </c>
      <c r="P229" s="334" t="str">
        <f aca="false">IF((E229="m"),G229," ")</f>
        <v> </v>
      </c>
      <c r="Q229" s="334" t="str">
        <f aca="false">IF((E229="t"),G229," ")</f>
        <v> </v>
      </c>
      <c r="R229" s="334" t="str">
        <f aca="false">IF((E229="a"),G229," ")</f>
        <v> </v>
      </c>
      <c r="S229" s="334" t="str">
        <f aca="false">IF((E229="l"),G229," ")</f>
        <v> </v>
      </c>
      <c r="T229" s="334" t="str">
        <f aca="false">IF((E229="b"),G229," ")</f>
        <v> </v>
      </c>
      <c r="U229" s="334" t="str">
        <f aca="false">IF((E229="i"),G229," ")</f>
        <v> </v>
      </c>
      <c r="V229" s="334" t="str">
        <f aca="false">IF((E229="o"),G229," ")</f>
        <v> </v>
      </c>
      <c r="W229" s="334" t="str">
        <f aca="false">IF((E229="f"),G229," ")</f>
        <v> </v>
      </c>
    </row>
    <row r="230" customFormat="false" ht="12.75" hidden="false" customHeight="false" outlineLevel="0" collapsed="false">
      <c r="A230" s="355"/>
      <c r="E230" s="365" t="str">
        <f aca="false">IF((G230&lt;&gt;0),"Enter Letter"," ")</f>
        <v> </v>
      </c>
      <c r="J230" s="334" t="str">
        <f aca="false">IF((E230="s"),G230," ")</f>
        <v> </v>
      </c>
      <c r="K230" s="334" t="str">
        <f aca="false">IF((E230="d"),G230," ")</f>
        <v> </v>
      </c>
      <c r="L230" s="334" t="str">
        <f aca="false">IF((E230="e"),G230," ")</f>
        <v> </v>
      </c>
      <c r="M230" s="334" t="str">
        <f aca="false">IF((E230="p"),G230," ")</f>
        <v> </v>
      </c>
      <c r="N230" s="334" t="str">
        <f aca="false">IF((E230="r"),G230," ")</f>
        <v> </v>
      </c>
      <c r="O230" s="334" t="str">
        <f aca="false">IF((E230="g"),G230," ")</f>
        <v> </v>
      </c>
      <c r="P230" s="334" t="str">
        <f aca="false">IF((E230="m"),G230," ")</f>
        <v> </v>
      </c>
      <c r="Q230" s="334" t="str">
        <f aca="false">IF((E230="t"),G230," ")</f>
        <v> </v>
      </c>
      <c r="R230" s="334" t="str">
        <f aca="false">IF((E230="a"),G230," ")</f>
        <v> </v>
      </c>
      <c r="S230" s="334" t="str">
        <f aca="false">IF((E230="l"),G230," ")</f>
        <v> </v>
      </c>
      <c r="T230" s="334" t="str">
        <f aca="false">IF((E230="b"),G230," ")</f>
        <v> </v>
      </c>
      <c r="U230" s="334" t="str">
        <f aca="false">IF((E230="i"),G230," ")</f>
        <v> </v>
      </c>
      <c r="V230" s="334" t="str">
        <f aca="false">IF((E230="o"),G230," ")</f>
        <v> </v>
      </c>
      <c r="W230" s="334" t="str">
        <f aca="false">IF((E230="f"),G230," ")</f>
        <v> </v>
      </c>
    </row>
    <row r="231" customFormat="false" ht="12.75" hidden="false" customHeight="false" outlineLevel="0" collapsed="false">
      <c r="A231" s="355"/>
      <c r="E231" s="365" t="str">
        <f aca="false">IF((G231&lt;&gt;0),"Enter Letter"," ")</f>
        <v> </v>
      </c>
      <c r="J231" s="334" t="str">
        <f aca="false">IF((E231="s"),G231," ")</f>
        <v> </v>
      </c>
      <c r="K231" s="334" t="str">
        <f aca="false">IF((E231="d"),G231," ")</f>
        <v> </v>
      </c>
      <c r="L231" s="334" t="str">
        <f aca="false">IF((E231="e"),G231," ")</f>
        <v> </v>
      </c>
      <c r="M231" s="334" t="str">
        <f aca="false">IF((E231="p"),G231," ")</f>
        <v> </v>
      </c>
      <c r="N231" s="334" t="str">
        <f aca="false">IF((E231="r"),G231," ")</f>
        <v> </v>
      </c>
      <c r="O231" s="334" t="str">
        <f aca="false">IF((E231="g"),G231," ")</f>
        <v> </v>
      </c>
      <c r="P231" s="334" t="str">
        <f aca="false">IF((E231="m"),G231," ")</f>
        <v> </v>
      </c>
      <c r="Q231" s="334" t="str">
        <f aca="false">IF((E231="t"),G231," ")</f>
        <v> </v>
      </c>
      <c r="R231" s="334" t="str">
        <f aca="false">IF((E231="a"),G231," ")</f>
        <v> </v>
      </c>
      <c r="S231" s="334" t="str">
        <f aca="false">IF((E231="l"),G231," ")</f>
        <v> </v>
      </c>
      <c r="T231" s="334" t="str">
        <f aca="false">IF((E231="b"),G231," ")</f>
        <v> </v>
      </c>
      <c r="U231" s="334" t="str">
        <f aca="false">IF((E231="i"),G231," ")</f>
        <v> </v>
      </c>
      <c r="V231" s="334" t="str">
        <f aca="false">IF((E231="o"),G231," ")</f>
        <v> </v>
      </c>
      <c r="W231" s="334" t="str">
        <f aca="false">IF((E231="f"),G231," ")</f>
        <v> </v>
      </c>
    </row>
    <row r="232" customFormat="false" ht="12.75" hidden="false" customHeight="false" outlineLevel="0" collapsed="false">
      <c r="A232" s="355"/>
      <c r="E232" s="365" t="str">
        <f aca="false">IF((G232&lt;&gt;0),"Enter Letter"," ")</f>
        <v> </v>
      </c>
      <c r="J232" s="334" t="str">
        <f aca="false">IF((E232="s"),G232," ")</f>
        <v> </v>
      </c>
      <c r="K232" s="334" t="str">
        <f aca="false">IF((E232="d"),G232," ")</f>
        <v> </v>
      </c>
      <c r="L232" s="334" t="str">
        <f aca="false">IF((E232="e"),G232," ")</f>
        <v> </v>
      </c>
      <c r="M232" s="334" t="str">
        <f aca="false">IF((E232="p"),G232," ")</f>
        <v> </v>
      </c>
      <c r="N232" s="334" t="str">
        <f aca="false">IF((E232="r"),G232," ")</f>
        <v> </v>
      </c>
      <c r="O232" s="334" t="str">
        <f aca="false">IF((E232="g"),G232," ")</f>
        <v> </v>
      </c>
      <c r="P232" s="334" t="str">
        <f aca="false">IF((E232="m"),G232," ")</f>
        <v> </v>
      </c>
      <c r="Q232" s="334" t="str">
        <f aca="false">IF((E232="t"),G232," ")</f>
        <v> </v>
      </c>
      <c r="R232" s="334" t="str">
        <f aca="false">IF((E232="a"),G232," ")</f>
        <v> </v>
      </c>
      <c r="S232" s="334" t="str">
        <f aca="false">IF((E232="l"),G232," ")</f>
        <v> </v>
      </c>
      <c r="T232" s="334" t="str">
        <f aca="false">IF((E232="b"),G232," ")</f>
        <v> </v>
      </c>
      <c r="U232" s="334" t="str">
        <f aca="false">IF((E232="i"),G232," ")</f>
        <v> </v>
      </c>
      <c r="V232" s="334" t="str">
        <f aca="false">IF((E232="o"),G232," ")</f>
        <v> </v>
      </c>
      <c r="W232" s="334" t="str">
        <f aca="false">IF((E232="f"),G232," ")</f>
        <v> </v>
      </c>
    </row>
    <row r="233" customFormat="false" ht="12.75" hidden="false" customHeight="false" outlineLevel="0" collapsed="false">
      <c r="A233" s="355"/>
      <c r="E233" s="365" t="str">
        <f aca="false">IF((G233&lt;&gt;0),"Enter Letter"," ")</f>
        <v> </v>
      </c>
      <c r="J233" s="334" t="str">
        <f aca="false">IF((E233="s"),G233," ")</f>
        <v> </v>
      </c>
      <c r="K233" s="334" t="str">
        <f aca="false">IF((E233="d"),G233," ")</f>
        <v> </v>
      </c>
      <c r="L233" s="334" t="str">
        <f aca="false">IF((E233="e"),G233," ")</f>
        <v> </v>
      </c>
      <c r="M233" s="334" t="str">
        <f aca="false">IF((E233="p"),G233," ")</f>
        <v> </v>
      </c>
      <c r="N233" s="334" t="str">
        <f aca="false">IF((E233="r"),G233," ")</f>
        <v> </v>
      </c>
      <c r="O233" s="334" t="str">
        <f aca="false">IF((E233="g"),G233," ")</f>
        <v> </v>
      </c>
      <c r="P233" s="334" t="str">
        <f aca="false">IF((E233="m"),G233," ")</f>
        <v> </v>
      </c>
      <c r="Q233" s="334" t="str">
        <f aca="false">IF((E233="t"),G233," ")</f>
        <v> </v>
      </c>
      <c r="R233" s="334" t="str">
        <f aca="false">IF((E233="a"),G233," ")</f>
        <v> </v>
      </c>
      <c r="S233" s="334" t="str">
        <f aca="false">IF((E233="l"),G233," ")</f>
        <v> </v>
      </c>
      <c r="T233" s="334" t="str">
        <f aca="false">IF((E233="b"),G233," ")</f>
        <v> </v>
      </c>
      <c r="U233" s="334" t="str">
        <f aca="false">IF((E233="i"),G233," ")</f>
        <v> </v>
      </c>
      <c r="V233" s="334" t="str">
        <f aca="false">IF((E233="o"),G233," ")</f>
        <v> </v>
      </c>
      <c r="W233" s="334" t="str">
        <f aca="false">IF((E233="f"),G233," ")</f>
        <v> </v>
      </c>
    </row>
    <row r="234" customFormat="false" ht="12.75" hidden="false" customHeight="false" outlineLevel="0" collapsed="false">
      <c r="A234" s="355"/>
      <c r="E234" s="365" t="str">
        <f aca="false">IF((G234&lt;&gt;0),"Enter Letter"," ")</f>
        <v> </v>
      </c>
      <c r="J234" s="334" t="str">
        <f aca="false">IF((E234="s"),G234," ")</f>
        <v> </v>
      </c>
      <c r="K234" s="334" t="str">
        <f aca="false">IF((E234="d"),G234," ")</f>
        <v> </v>
      </c>
      <c r="L234" s="334" t="str">
        <f aca="false">IF((E234="e"),G234," ")</f>
        <v> </v>
      </c>
      <c r="M234" s="334" t="str">
        <f aca="false">IF((E234="p"),G234," ")</f>
        <v> </v>
      </c>
      <c r="N234" s="334" t="str">
        <f aca="false">IF((E234="r"),G234," ")</f>
        <v> </v>
      </c>
      <c r="O234" s="334" t="str">
        <f aca="false">IF((E234="g"),G234," ")</f>
        <v> </v>
      </c>
      <c r="P234" s="334" t="str">
        <f aca="false">IF((E234="m"),G234," ")</f>
        <v> </v>
      </c>
      <c r="Q234" s="334" t="str">
        <f aca="false">IF((E234="t"),G234," ")</f>
        <v> </v>
      </c>
      <c r="R234" s="334" t="str">
        <f aca="false">IF((E234="a"),G234," ")</f>
        <v> </v>
      </c>
      <c r="S234" s="334" t="str">
        <f aca="false">IF((E234="l"),G234," ")</f>
        <v> </v>
      </c>
      <c r="T234" s="334" t="str">
        <f aca="false">IF((E234="b"),G234," ")</f>
        <v> </v>
      </c>
      <c r="U234" s="334" t="str">
        <f aca="false">IF((E234="i"),G234," ")</f>
        <v> </v>
      </c>
      <c r="V234" s="334" t="str">
        <f aca="false">IF((E234="o"),G234," ")</f>
        <v> </v>
      </c>
      <c r="W234" s="334" t="str">
        <f aca="false">IF((E234="f"),G234," ")</f>
        <v> </v>
      </c>
    </row>
    <row r="235" customFormat="false" ht="12.75" hidden="false" customHeight="false" outlineLevel="0" collapsed="false">
      <c r="A235" s="355"/>
      <c r="E235" s="365" t="str">
        <f aca="false">IF((G235&lt;&gt;0),"Enter Letter"," ")</f>
        <v> </v>
      </c>
      <c r="J235" s="334" t="str">
        <f aca="false">IF((E235="s"),G235," ")</f>
        <v> </v>
      </c>
      <c r="K235" s="334" t="str">
        <f aca="false">IF((E235="d"),G235," ")</f>
        <v> </v>
      </c>
      <c r="L235" s="334" t="str">
        <f aca="false">IF((E235="e"),G235," ")</f>
        <v> </v>
      </c>
      <c r="M235" s="334" t="str">
        <f aca="false">IF((E235="p"),G235," ")</f>
        <v> </v>
      </c>
      <c r="N235" s="334" t="str">
        <f aca="false">IF((E235="r"),G235," ")</f>
        <v> </v>
      </c>
      <c r="O235" s="334" t="str">
        <f aca="false">IF((E235="g"),G235," ")</f>
        <v> </v>
      </c>
      <c r="P235" s="334" t="str">
        <f aca="false">IF((E235="m"),G235," ")</f>
        <v> </v>
      </c>
      <c r="Q235" s="334" t="str">
        <f aca="false">IF((E235="t"),G235," ")</f>
        <v> </v>
      </c>
      <c r="R235" s="334" t="str">
        <f aca="false">IF((E235="a"),G235," ")</f>
        <v> </v>
      </c>
      <c r="S235" s="334" t="str">
        <f aca="false">IF((E235="l"),G235," ")</f>
        <v> </v>
      </c>
      <c r="T235" s="334" t="str">
        <f aca="false">IF((E235="b"),G235," ")</f>
        <v> </v>
      </c>
      <c r="U235" s="334" t="str">
        <f aca="false">IF((E235="i"),G235," ")</f>
        <v> </v>
      </c>
      <c r="V235" s="334" t="str">
        <f aca="false">IF((E235="o"),G235," ")</f>
        <v> </v>
      </c>
      <c r="W235" s="334" t="str">
        <f aca="false">IF((E235="f"),G235," ")</f>
        <v> </v>
      </c>
    </row>
    <row r="236" customFormat="false" ht="12.75" hidden="false" customHeight="false" outlineLevel="0" collapsed="false">
      <c r="A236" s="355"/>
      <c r="E236" s="365" t="str">
        <f aca="false">IF((G236&lt;&gt;0),"Enter Letter"," ")</f>
        <v> </v>
      </c>
      <c r="J236" s="334" t="str">
        <f aca="false">IF((E236="s"),G236," ")</f>
        <v> </v>
      </c>
      <c r="K236" s="334" t="str">
        <f aca="false">IF((E236="d"),G236," ")</f>
        <v> </v>
      </c>
      <c r="L236" s="334" t="str">
        <f aca="false">IF((E236="e"),G236," ")</f>
        <v> </v>
      </c>
      <c r="M236" s="334" t="str">
        <f aca="false">IF((E236="p"),G236," ")</f>
        <v> </v>
      </c>
      <c r="N236" s="334" t="str">
        <f aca="false">IF((E236="r"),G236," ")</f>
        <v> </v>
      </c>
      <c r="O236" s="334" t="str">
        <f aca="false">IF((E236="g"),G236," ")</f>
        <v> </v>
      </c>
      <c r="P236" s="334" t="str">
        <f aca="false">IF((E236="m"),G236," ")</f>
        <v> </v>
      </c>
      <c r="Q236" s="334" t="str">
        <f aca="false">IF((E236="t"),G236," ")</f>
        <v> </v>
      </c>
      <c r="R236" s="334" t="str">
        <f aca="false">IF((E236="a"),G236," ")</f>
        <v> </v>
      </c>
      <c r="S236" s="334" t="str">
        <f aca="false">IF((E236="l"),G236," ")</f>
        <v> </v>
      </c>
      <c r="T236" s="334" t="str">
        <f aca="false">IF((E236="b"),G236," ")</f>
        <v> </v>
      </c>
      <c r="U236" s="334" t="str">
        <f aca="false">IF((E236="i"),G236," ")</f>
        <v> </v>
      </c>
      <c r="V236" s="334" t="str">
        <f aca="false">IF((E236="o"),G236," ")</f>
        <v> </v>
      </c>
      <c r="W236" s="334" t="str">
        <f aca="false">IF((E236="f"),G236," ")</f>
        <v> </v>
      </c>
    </row>
    <row r="237" customFormat="false" ht="12.75" hidden="false" customHeight="false" outlineLevel="0" collapsed="false">
      <c r="A237" s="355"/>
      <c r="E237" s="365" t="str">
        <f aca="false">IF((G237&lt;&gt;0),"Enter Letter"," ")</f>
        <v> </v>
      </c>
      <c r="J237" s="334" t="str">
        <f aca="false">IF((E237="s"),G237," ")</f>
        <v> </v>
      </c>
      <c r="K237" s="334" t="str">
        <f aca="false">IF((E237="d"),G237," ")</f>
        <v> </v>
      </c>
      <c r="L237" s="334" t="str">
        <f aca="false">IF((E237="e"),G237," ")</f>
        <v> </v>
      </c>
      <c r="M237" s="334" t="str">
        <f aca="false">IF((E237="p"),G237," ")</f>
        <v> </v>
      </c>
      <c r="N237" s="334" t="str">
        <f aca="false">IF((E237="r"),G237," ")</f>
        <v> </v>
      </c>
      <c r="O237" s="334" t="str">
        <f aca="false">IF((E237="g"),G237," ")</f>
        <v> </v>
      </c>
      <c r="P237" s="334" t="str">
        <f aca="false">IF((E237="m"),G237," ")</f>
        <v> </v>
      </c>
      <c r="Q237" s="334" t="str">
        <f aca="false">IF((E237="t"),G237," ")</f>
        <v> </v>
      </c>
      <c r="R237" s="334" t="str">
        <f aca="false">IF((E237="a"),G237," ")</f>
        <v> </v>
      </c>
      <c r="S237" s="334" t="str">
        <f aca="false">IF((E237="l"),G237," ")</f>
        <v> </v>
      </c>
      <c r="T237" s="334" t="str">
        <f aca="false">IF((E237="b"),G237," ")</f>
        <v> </v>
      </c>
      <c r="U237" s="334" t="str">
        <f aca="false">IF((E237="i"),G237," ")</f>
        <v> </v>
      </c>
      <c r="V237" s="334" t="str">
        <f aca="false">IF((E237="o"),G237," ")</f>
        <v> </v>
      </c>
      <c r="W237" s="334" t="str">
        <f aca="false">IF((E237="f"),G237," ")</f>
        <v> </v>
      </c>
    </row>
    <row r="238" customFormat="false" ht="12.75" hidden="false" customHeight="false" outlineLevel="0" collapsed="false">
      <c r="A238" s="355"/>
      <c r="E238" s="365" t="str">
        <f aca="false">IF((G238&lt;&gt;0),"Enter Letter"," ")</f>
        <v> </v>
      </c>
      <c r="J238" s="334" t="str">
        <f aca="false">IF((E238="s"),G238," ")</f>
        <v> </v>
      </c>
      <c r="K238" s="334" t="str">
        <f aca="false">IF((E238="d"),G238," ")</f>
        <v> </v>
      </c>
      <c r="L238" s="334" t="str">
        <f aca="false">IF((E238="e"),G238," ")</f>
        <v> </v>
      </c>
      <c r="M238" s="334" t="str">
        <f aca="false">IF((E238="p"),G238," ")</f>
        <v> </v>
      </c>
      <c r="N238" s="334" t="str">
        <f aca="false">IF((E238="r"),G238," ")</f>
        <v> </v>
      </c>
      <c r="O238" s="334" t="str">
        <f aca="false">IF((E238="g"),G238," ")</f>
        <v> </v>
      </c>
      <c r="P238" s="334" t="str">
        <f aca="false">IF((E238="m"),G238," ")</f>
        <v> </v>
      </c>
      <c r="Q238" s="334" t="str">
        <f aca="false">IF((E238="t"),G238," ")</f>
        <v> </v>
      </c>
      <c r="R238" s="334" t="str">
        <f aca="false">IF((E238="a"),G238," ")</f>
        <v> </v>
      </c>
      <c r="S238" s="334" t="str">
        <f aca="false">IF((E238="l"),G238," ")</f>
        <v> </v>
      </c>
      <c r="T238" s="334" t="str">
        <f aca="false">IF((E238="b"),G238," ")</f>
        <v> </v>
      </c>
      <c r="U238" s="334" t="str">
        <f aca="false">IF((E238="i"),G238," ")</f>
        <v> </v>
      </c>
      <c r="V238" s="334" t="str">
        <f aca="false">IF((E238="o"),G238," ")</f>
        <v> </v>
      </c>
      <c r="W238" s="334" t="str">
        <f aca="false">IF((E238="f"),G238," ")</f>
        <v> </v>
      </c>
    </row>
    <row r="239" customFormat="false" ht="12.75" hidden="false" customHeight="false" outlineLevel="0" collapsed="false">
      <c r="A239" s="355"/>
      <c r="E239" s="365" t="str">
        <f aca="false">IF((G239&lt;&gt;0),"Enter Letter"," ")</f>
        <v> </v>
      </c>
      <c r="J239" s="334" t="str">
        <f aca="false">IF((E239="s"),G239," ")</f>
        <v> </v>
      </c>
      <c r="K239" s="334" t="str">
        <f aca="false">IF((E239="d"),G239," ")</f>
        <v> </v>
      </c>
      <c r="L239" s="334" t="str">
        <f aca="false">IF((E239="e"),G239," ")</f>
        <v> </v>
      </c>
      <c r="M239" s="334" t="str">
        <f aca="false">IF((E239="p"),G239," ")</f>
        <v> </v>
      </c>
      <c r="N239" s="334" t="str">
        <f aca="false">IF((E239="r"),G239," ")</f>
        <v> </v>
      </c>
      <c r="O239" s="334" t="str">
        <f aca="false">IF((E239="g"),G239," ")</f>
        <v> </v>
      </c>
      <c r="P239" s="334" t="str">
        <f aca="false">IF((E239="m"),G239," ")</f>
        <v> </v>
      </c>
      <c r="Q239" s="334" t="str">
        <f aca="false">IF((E239="t"),G239," ")</f>
        <v> </v>
      </c>
      <c r="R239" s="334" t="str">
        <f aca="false">IF((E239="a"),G239," ")</f>
        <v> </v>
      </c>
      <c r="S239" s="334" t="str">
        <f aca="false">IF((E239="l"),G239," ")</f>
        <v> </v>
      </c>
      <c r="T239" s="334" t="str">
        <f aca="false">IF((E239="b"),G239," ")</f>
        <v> </v>
      </c>
      <c r="U239" s="334" t="str">
        <f aca="false">IF((E239="i"),G239," ")</f>
        <v> </v>
      </c>
      <c r="V239" s="334" t="str">
        <f aca="false">IF((E239="o"),G239," ")</f>
        <v> </v>
      </c>
      <c r="W239" s="334" t="str">
        <f aca="false">IF((E239="f"),G239," ")</f>
        <v> </v>
      </c>
    </row>
    <row r="240" customFormat="false" ht="12.75" hidden="false" customHeight="false" outlineLevel="0" collapsed="false">
      <c r="A240" s="355"/>
      <c r="E240" s="365" t="str">
        <f aca="false">IF((G240&lt;&gt;0),"Enter Letter"," ")</f>
        <v> </v>
      </c>
      <c r="J240" s="334" t="str">
        <f aca="false">IF((E240="s"),G240," ")</f>
        <v> </v>
      </c>
      <c r="K240" s="334" t="str">
        <f aca="false">IF((E240="d"),G240," ")</f>
        <v> </v>
      </c>
      <c r="L240" s="334" t="str">
        <f aca="false">IF((E240="e"),G240," ")</f>
        <v> </v>
      </c>
      <c r="M240" s="334" t="str">
        <f aca="false">IF((E240="p"),G240," ")</f>
        <v> </v>
      </c>
      <c r="N240" s="334" t="str">
        <f aca="false">IF((E240="r"),G240," ")</f>
        <v> </v>
      </c>
      <c r="O240" s="334" t="str">
        <f aca="false">IF((E240="g"),G240," ")</f>
        <v> </v>
      </c>
      <c r="P240" s="334" t="str">
        <f aca="false">IF((E240="m"),G240," ")</f>
        <v> </v>
      </c>
      <c r="Q240" s="334" t="str">
        <f aca="false">IF((E240="t"),G240," ")</f>
        <v> </v>
      </c>
      <c r="R240" s="334" t="str">
        <f aca="false">IF((E240="a"),G240," ")</f>
        <v> </v>
      </c>
      <c r="S240" s="334" t="str">
        <f aca="false">IF((E240="l"),G240," ")</f>
        <v> </v>
      </c>
      <c r="T240" s="334" t="str">
        <f aca="false">IF((E240="b"),G240," ")</f>
        <v> </v>
      </c>
      <c r="U240" s="334" t="str">
        <f aca="false">IF((E240="i"),G240," ")</f>
        <v> </v>
      </c>
      <c r="V240" s="334" t="str">
        <f aca="false">IF((E240="o"),G240," ")</f>
        <v> </v>
      </c>
      <c r="W240" s="334" t="str">
        <f aca="false">IF((E240="f"),G240," ")</f>
        <v> </v>
      </c>
    </row>
    <row r="241" customFormat="false" ht="12.75" hidden="false" customHeight="false" outlineLevel="0" collapsed="false">
      <c r="A241" s="355"/>
      <c r="E241" s="365" t="str">
        <f aca="false">IF((G241&lt;&gt;0),"Enter Letter"," ")</f>
        <v> </v>
      </c>
      <c r="J241" s="334" t="str">
        <f aca="false">IF((E241="s"),G241," ")</f>
        <v> </v>
      </c>
      <c r="K241" s="334" t="str">
        <f aca="false">IF((E241="d"),G241," ")</f>
        <v> </v>
      </c>
      <c r="L241" s="334" t="str">
        <f aca="false">IF((E241="e"),G241," ")</f>
        <v> </v>
      </c>
      <c r="M241" s="334" t="str">
        <f aca="false">IF((E241="p"),G241," ")</f>
        <v> </v>
      </c>
      <c r="N241" s="334" t="str">
        <f aca="false">IF((E241="r"),G241," ")</f>
        <v> </v>
      </c>
      <c r="O241" s="334" t="str">
        <f aca="false">IF((E241="g"),G241," ")</f>
        <v> </v>
      </c>
      <c r="P241" s="334" t="str">
        <f aca="false">IF((E241="m"),G241," ")</f>
        <v> </v>
      </c>
      <c r="Q241" s="334" t="str">
        <f aca="false">IF((E241="t"),G241," ")</f>
        <v> </v>
      </c>
      <c r="R241" s="334" t="str">
        <f aca="false">IF((E241="a"),G241," ")</f>
        <v> </v>
      </c>
      <c r="S241" s="334" t="str">
        <f aca="false">IF((E241="l"),G241," ")</f>
        <v> </v>
      </c>
      <c r="T241" s="334" t="str">
        <f aca="false">IF((E241="b"),G241," ")</f>
        <v> </v>
      </c>
      <c r="U241" s="334" t="str">
        <f aca="false">IF((E241="i"),G241," ")</f>
        <v> </v>
      </c>
      <c r="V241" s="334" t="str">
        <f aca="false">IF((E241="o"),G241," ")</f>
        <v> </v>
      </c>
      <c r="W241" s="334" t="str">
        <f aca="false">IF((E241="f"),G241," ")</f>
        <v> </v>
      </c>
    </row>
    <row r="242" customFormat="false" ht="12.75" hidden="false" customHeight="false" outlineLevel="0" collapsed="false">
      <c r="A242" s="355"/>
      <c r="E242" s="365" t="str">
        <f aca="false">IF((G242&lt;&gt;0),"Enter Letter"," ")</f>
        <v> </v>
      </c>
      <c r="J242" s="334" t="str">
        <f aca="false">IF((E242="s"),G242," ")</f>
        <v> </v>
      </c>
      <c r="K242" s="334" t="str">
        <f aca="false">IF((E242="d"),G242," ")</f>
        <v> </v>
      </c>
      <c r="L242" s="334" t="str">
        <f aca="false">IF((E242="e"),G242," ")</f>
        <v> </v>
      </c>
      <c r="M242" s="334" t="str">
        <f aca="false">IF((E242="p"),G242," ")</f>
        <v> </v>
      </c>
      <c r="N242" s="334" t="str">
        <f aca="false">IF((E242="r"),G242," ")</f>
        <v> </v>
      </c>
      <c r="O242" s="334" t="str">
        <f aca="false">IF((E242="g"),G242," ")</f>
        <v> </v>
      </c>
      <c r="P242" s="334" t="str">
        <f aca="false">IF((E242="m"),G242," ")</f>
        <v> </v>
      </c>
      <c r="Q242" s="334" t="str">
        <f aca="false">IF((E242="t"),G242," ")</f>
        <v> </v>
      </c>
      <c r="R242" s="334" t="str">
        <f aca="false">IF((E242="a"),G242," ")</f>
        <v> </v>
      </c>
      <c r="S242" s="334" t="str">
        <f aca="false">IF((E242="l"),G242," ")</f>
        <v> </v>
      </c>
      <c r="T242" s="334" t="str">
        <f aca="false">IF((E242="b"),G242," ")</f>
        <v> </v>
      </c>
      <c r="U242" s="334" t="str">
        <f aca="false">IF((E242="i"),G242," ")</f>
        <v> </v>
      </c>
      <c r="V242" s="334" t="str">
        <f aca="false">IF((E242="o"),G242," ")</f>
        <v> </v>
      </c>
      <c r="W242" s="334" t="str">
        <f aca="false">IF((E242="f"),G242," ")</f>
        <v> </v>
      </c>
    </row>
    <row r="243" customFormat="false" ht="12.75" hidden="false" customHeight="false" outlineLevel="0" collapsed="false">
      <c r="A243" s="355"/>
      <c r="E243" s="365" t="str">
        <f aca="false">IF((G243&lt;&gt;0),"Enter Letter"," ")</f>
        <v> </v>
      </c>
      <c r="J243" s="334" t="str">
        <f aca="false">IF((E243="s"),G243," ")</f>
        <v> </v>
      </c>
      <c r="K243" s="334" t="str">
        <f aca="false">IF((E243="d"),G243," ")</f>
        <v> </v>
      </c>
      <c r="L243" s="334" t="str">
        <f aca="false">IF((E243="e"),G243," ")</f>
        <v> </v>
      </c>
      <c r="M243" s="334" t="str">
        <f aca="false">IF((E243="p"),G243," ")</f>
        <v> </v>
      </c>
      <c r="N243" s="334" t="str">
        <f aca="false">IF((E243="r"),G243," ")</f>
        <v> </v>
      </c>
      <c r="O243" s="334" t="str">
        <f aca="false">IF((E243="g"),G243," ")</f>
        <v> </v>
      </c>
      <c r="P243" s="334" t="str">
        <f aca="false">IF((E243="m"),G243," ")</f>
        <v> </v>
      </c>
      <c r="Q243" s="334" t="str">
        <f aca="false">IF((E243="t"),G243," ")</f>
        <v> </v>
      </c>
      <c r="R243" s="334" t="str">
        <f aca="false">IF((E243="a"),G243," ")</f>
        <v> </v>
      </c>
      <c r="S243" s="334" t="str">
        <f aca="false">IF((E243="l"),G243," ")</f>
        <v> </v>
      </c>
      <c r="T243" s="334" t="str">
        <f aca="false">IF((E243="b"),G243," ")</f>
        <v> </v>
      </c>
      <c r="U243" s="334" t="str">
        <f aca="false">IF((E243="i"),G243," ")</f>
        <v> </v>
      </c>
      <c r="V243" s="334" t="str">
        <f aca="false">IF((E243="o"),G243," ")</f>
        <v> </v>
      </c>
      <c r="W243" s="334" t="str">
        <f aca="false">IF((E243="f"),G243," ")</f>
        <v> </v>
      </c>
    </row>
    <row r="244" customFormat="false" ht="12.75" hidden="false" customHeight="false" outlineLevel="0" collapsed="false">
      <c r="A244" s="355"/>
      <c r="E244" s="365" t="str">
        <f aca="false">IF((G244&lt;&gt;0),"Enter Letter"," ")</f>
        <v> </v>
      </c>
      <c r="J244" s="334" t="str">
        <f aca="false">IF((E244="s"),G244," ")</f>
        <v> </v>
      </c>
      <c r="K244" s="334" t="str">
        <f aca="false">IF((E244="d"),G244," ")</f>
        <v> </v>
      </c>
      <c r="L244" s="334" t="str">
        <f aca="false">IF((E244="e"),G244," ")</f>
        <v> </v>
      </c>
      <c r="M244" s="334" t="str">
        <f aca="false">IF((E244="p"),G244," ")</f>
        <v> </v>
      </c>
      <c r="N244" s="334" t="str">
        <f aca="false">IF((E244="r"),G244," ")</f>
        <v> </v>
      </c>
      <c r="O244" s="334" t="str">
        <f aca="false">IF((E244="g"),G244," ")</f>
        <v> </v>
      </c>
      <c r="P244" s="334" t="str">
        <f aca="false">IF((E244="m"),G244," ")</f>
        <v> </v>
      </c>
      <c r="Q244" s="334" t="str">
        <f aca="false">IF((E244="t"),G244," ")</f>
        <v> </v>
      </c>
      <c r="R244" s="334" t="str">
        <f aca="false">IF((E244="a"),G244," ")</f>
        <v> </v>
      </c>
      <c r="S244" s="334" t="str">
        <f aca="false">IF((E244="l"),G244," ")</f>
        <v> </v>
      </c>
      <c r="T244" s="334" t="str">
        <f aca="false">IF((E244="b"),G244," ")</f>
        <v> </v>
      </c>
      <c r="U244" s="334" t="str">
        <f aca="false">IF((E244="i"),G244," ")</f>
        <v> </v>
      </c>
      <c r="V244" s="334" t="str">
        <f aca="false">IF((E244="o"),G244," ")</f>
        <v> </v>
      </c>
      <c r="W244" s="334" t="str">
        <f aca="false">IF((E244="f"),G244," ")</f>
        <v> </v>
      </c>
    </row>
    <row r="245" customFormat="false" ht="12.75" hidden="false" customHeight="false" outlineLevel="0" collapsed="false">
      <c r="A245" s="355"/>
      <c r="E245" s="365" t="str">
        <f aca="false">IF((G245&lt;&gt;0),"Enter Letter"," ")</f>
        <v> </v>
      </c>
      <c r="J245" s="334" t="str">
        <f aca="false">IF((E245="s"),G245," ")</f>
        <v> </v>
      </c>
      <c r="K245" s="334" t="str">
        <f aca="false">IF((E245="d"),G245," ")</f>
        <v> </v>
      </c>
      <c r="L245" s="334" t="str">
        <f aca="false">IF((E245="e"),G245," ")</f>
        <v> </v>
      </c>
      <c r="M245" s="334" t="str">
        <f aca="false">IF((E245="p"),G245," ")</f>
        <v> </v>
      </c>
      <c r="N245" s="334" t="str">
        <f aca="false">IF((E245="r"),G245," ")</f>
        <v> </v>
      </c>
      <c r="O245" s="334" t="str">
        <f aca="false">IF((E245="g"),G245," ")</f>
        <v> </v>
      </c>
      <c r="P245" s="334" t="str">
        <f aca="false">IF((E245="m"),G245," ")</f>
        <v> </v>
      </c>
      <c r="Q245" s="334" t="str">
        <f aca="false">IF((E245="t"),G245," ")</f>
        <v> </v>
      </c>
      <c r="R245" s="334" t="str">
        <f aca="false">IF((E245="a"),G245," ")</f>
        <v> </v>
      </c>
      <c r="S245" s="334" t="str">
        <f aca="false">IF((E245="l"),G245," ")</f>
        <v> </v>
      </c>
      <c r="T245" s="334" t="str">
        <f aca="false">IF((E245="b"),G245," ")</f>
        <v> </v>
      </c>
      <c r="U245" s="334" t="str">
        <f aca="false">IF((E245="i"),G245," ")</f>
        <v> </v>
      </c>
      <c r="V245" s="334" t="str">
        <f aca="false">IF((E245="o"),G245," ")</f>
        <v> </v>
      </c>
      <c r="W245" s="334" t="str">
        <f aca="false">IF((E245="f"),G245," ")</f>
        <v> </v>
      </c>
    </row>
    <row r="246" customFormat="false" ht="12.75" hidden="false" customHeight="false" outlineLevel="0" collapsed="false">
      <c r="A246" s="355"/>
      <c r="E246" s="365" t="str">
        <f aca="false">IF((G246&lt;&gt;0),"Enter Letter"," ")</f>
        <v> </v>
      </c>
      <c r="J246" s="334" t="str">
        <f aca="false">IF((E246="s"),G246," ")</f>
        <v> </v>
      </c>
      <c r="K246" s="334" t="str">
        <f aca="false">IF((E246="d"),G246," ")</f>
        <v> </v>
      </c>
      <c r="L246" s="334" t="str">
        <f aca="false">IF((E246="e"),G246," ")</f>
        <v> </v>
      </c>
      <c r="M246" s="334" t="str">
        <f aca="false">IF((E246="p"),G246," ")</f>
        <v> </v>
      </c>
      <c r="N246" s="334" t="str">
        <f aca="false">IF((E246="r"),G246," ")</f>
        <v> </v>
      </c>
      <c r="O246" s="334" t="str">
        <f aca="false">IF((E246="g"),G246," ")</f>
        <v> </v>
      </c>
      <c r="P246" s="334" t="str">
        <f aca="false">IF((E246="m"),G246," ")</f>
        <v> </v>
      </c>
      <c r="Q246" s="334" t="str">
        <f aca="false">IF((E246="t"),G246," ")</f>
        <v> </v>
      </c>
      <c r="R246" s="334" t="str">
        <f aca="false">IF((E246="a"),G246," ")</f>
        <v> </v>
      </c>
      <c r="S246" s="334" t="str">
        <f aca="false">IF((E246="l"),G246," ")</f>
        <v> </v>
      </c>
      <c r="T246" s="334" t="str">
        <f aca="false">IF((E246="b"),G246," ")</f>
        <v> </v>
      </c>
      <c r="U246" s="334" t="str">
        <f aca="false">IF((E246="i"),G246," ")</f>
        <v> </v>
      </c>
      <c r="V246" s="334" t="str">
        <f aca="false">IF((E246="o"),G246," ")</f>
        <v> </v>
      </c>
      <c r="W246" s="334" t="str">
        <f aca="false">IF((E246="f"),G246," ")</f>
        <v> </v>
      </c>
    </row>
    <row r="247" customFormat="false" ht="12.75" hidden="false" customHeight="false" outlineLevel="0" collapsed="false">
      <c r="A247" s="355"/>
      <c r="E247" s="365" t="str">
        <f aca="false">IF((G247&lt;&gt;0),"Enter Letter"," ")</f>
        <v> </v>
      </c>
      <c r="J247" s="334" t="str">
        <f aca="false">IF((E247="s"),G247," ")</f>
        <v> </v>
      </c>
      <c r="K247" s="334" t="str">
        <f aca="false">IF((E247="d"),G247," ")</f>
        <v> </v>
      </c>
      <c r="L247" s="334" t="str">
        <f aca="false">IF((E247="e"),G247," ")</f>
        <v> </v>
      </c>
      <c r="M247" s="334" t="str">
        <f aca="false">IF((E247="p"),G247," ")</f>
        <v> </v>
      </c>
      <c r="N247" s="334" t="str">
        <f aca="false">IF((E247="r"),G247," ")</f>
        <v> </v>
      </c>
      <c r="O247" s="334" t="str">
        <f aca="false">IF((E247="g"),G247," ")</f>
        <v> </v>
      </c>
      <c r="P247" s="334" t="str">
        <f aca="false">IF((E247="m"),G247," ")</f>
        <v> </v>
      </c>
      <c r="Q247" s="334" t="str">
        <f aca="false">IF((E247="t"),G247," ")</f>
        <v> </v>
      </c>
      <c r="R247" s="334" t="str">
        <f aca="false">IF((E247="a"),G247," ")</f>
        <v> </v>
      </c>
      <c r="S247" s="334" t="str">
        <f aca="false">IF((E247="l"),G247," ")</f>
        <v> </v>
      </c>
      <c r="T247" s="334" t="str">
        <f aca="false">IF((E247="b"),G247," ")</f>
        <v> </v>
      </c>
      <c r="U247" s="334" t="str">
        <f aca="false">IF((E247="i"),G247," ")</f>
        <v> </v>
      </c>
      <c r="V247" s="334" t="str">
        <f aca="false">IF((E247="o"),G247," ")</f>
        <v> </v>
      </c>
      <c r="W247" s="334" t="str">
        <f aca="false">IF((E247="f"),G247," ")</f>
        <v> </v>
      </c>
    </row>
    <row r="248" customFormat="false" ht="12.75" hidden="false" customHeight="false" outlineLevel="0" collapsed="false">
      <c r="A248" s="355"/>
      <c r="E248" s="365" t="str">
        <f aca="false">IF((G248&lt;&gt;0),"Enter Letter"," ")</f>
        <v> </v>
      </c>
      <c r="J248" s="334" t="str">
        <f aca="false">IF((E248="s"),G248," ")</f>
        <v> </v>
      </c>
      <c r="K248" s="334" t="str">
        <f aca="false">IF((E248="d"),G248," ")</f>
        <v> </v>
      </c>
      <c r="L248" s="334" t="str">
        <f aca="false">IF((E248="e"),G248," ")</f>
        <v> </v>
      </c>
      <c r="M248" s="334" t="str">
        <f aca="false">IF((E248="p"),G248," ")</f>
        <v> </v>
      </c>
      <c r="N248" s="334" t="str">
        <f aca="false">IF((E248="r"),G248," ")</f>
        <v> </v>
      </c>
      <c r="O248" s="334" t="str">
        <f aca="false">IF((E248="g"),G248," ")</f>
        <v> </v>
      </c>
      <c r="P248" s="334" t="str">
        <f aca="false">IF((E248="m"),G248," ")</f>
        <v> </v>
      </c>
      <c r="Q248" s="334" t="str">
        <f aca="false">IF((E248="t"),G248," ")</f>
        <v> </v>
      </c>
      <c r="R248" s="334" t="str">
        <f aca="false">IF((E248="a"),G248," ")</f>
        <v> </v>
      </c>
      <c r="S248" s="334" t="str">
        <f aca="false">IF((E248="l"),G248," ")</f>
        <v> </v>
      </c>
      <c r="T248" s="334" t="str">
        <f aca="false">IF((E248="b"),G248," ")</f>
        <v> </v>
      </c>
      <c r="U248" s="334" t="str">
        <f aca="false">IF((E248="i"),G248," ")</f>
        <v> </v>
      </c>
      <c r="V248" s="334" t="str">
        <f aca="false">IF((E248="o"),G248," ")</f>
        <v> </v>
      </c>
      <c r="W248" s="334" t="str">
        <f aca="false">IF((E248="f"),G248," ")</f>
        <v> </v>
      </c>
    </row>
    <row r="249" customFormat="false" ht="12.75" hidden="false" customHeight="false" outlineLevel="0" collapsed="false">
      <c r="A249" s="355"/>
      <c r="E249" s="365" t="str">
        <f aca="false">IF((G249&lt;&gt;0),"Enter Letter"," ")</f>
        <v> </v>
      </c>
      <c r="J249" s="334" t="str">
        <f aca="false">IF((E249="s"),G249," ")</f>
        <v> </v>
      </c>
      <c r="K249" s="334" t="str">
        <f aca="false">IF((E249="d"),G249," ")</f>
        <v> </v>
      </c>
      <c r="L249" s="334" t="str">
        <f aca="false">IF((E249="e"),G249," ")</f>
        <v> </v>
      </c>
      <c r="M249" s="334" t="str">
        <f aca="false">IF((E249="p"),G249," ")</f>
        <v> </v>
      </c>
      <c r="N249" s="334" t="str">
        <f aca="false">IF((E249="r"),G249," ")</f>
        <v> </v>
      </c>
      <c r="O249" s="334" t="str">
        <f aca="false">IF((E249="g"),G249," ")</f>
        <v> </v>
      </c>
      <c r="P249" s="334" t="str">
        <f aca="false">IF((E249="m"),G249," ")</f>
        <v> </v>
      </c>
      <c r="Q249" s="334" t="str">
        <f aca="false">IF((E249="t"),G249," ")</f>
        <v> </v>
      </c>
      <c r="R249" s="334" t="str">
        <f aca="false">IF((E249="a"),G249," ")</f>
        <v> </v>
      </c>
      <c r="S249" s="334" t="str">
        <f aca="false">IF((E249="l"),G249," ")</f>
        <v> </v>
      </c>
      <c r="T249" s="334" t="str">
        <f aca="false">IF((E249="b"),G249," ")</f>
        <v> </v>
      </c>
      <c r="U249" s="334" t="str">
        <f aca="false">IF((E249="i"),G249," ")</f>
        <v> </v>
      </c>
      <c r="V249" s="334" t="str">
        <f aca="false">IF((E249="o"),G249," ")</f>
        <v> </v>
      </c>
      <c r="W249" s="334" t="str">
        <f aca="false">IF((E249="f"),G249," ")</f>
        <v> </v>
      </c>
    </row>
    <row r="250" customFormat="false" ht="12.75" hidden="false" customHeight="false" outlineLevel="0" collapsed="false">
      <c r="A250" s="355"/>
      <c r="E250" s="365" t="str">
        <f aca="false">IF((G250&lt;&gt;0),"Enter Letter"," ")</f>
        <v> </v>
      </c>
      <c r="J250" s="334" t="str">
        <f aca="false">IF((E250="s"),G250," ")</f>
        <v> </v>
      </c>
      <c r="K250" s="334" t="str">
        <f aca="false">IF((E250="d"),G250," ")</f>
        <v> </v>
      </c>
      <c r="L250" s="334" t="str">
        <f aca="false">IF((E250="e"),G250," ")</f>
        <v> </v>
      </c>
      <c r="M250" s="334" t="str">
        <f aca="false">IF((E250="p"),G250," ")</f>
        <v> </v>
      </c>
      <c r="N250" s="334" t="str">
        <f aca="false">IF((E250="r"),G250," ")</f>
        <v> </v>
      </c>
      <c r="O250" s="334" t="str">
        <f aca="false">IF((E250="g"),G250," ")</f>
        <v> </v>
      </c>
      <c r="P250" s="334" t="str">
        <f aca="false">IF((E250="m"),G250," ")</f>
        <v> </v>
      </c>
      <c r="Q250" s="334" t="str">
        <f aca="false">IF((E250="t"),G250," ")</f>
        <v> </v>
      </c>
      <c r="R250" s="334" t="str">
        <f aca="false">IF((E250="a"),G250," ")</f>
        <v> </v>
      </c>
      <c r="S250" s="334" t="str">
        <f aca="false">IF((E250="l"),G250," ")</f>
        <v> </v>
      </c>
      <c r="T250" s="334" t="str">
        <f aca="false">IF((E250="b"),G250," ")</f>
        <v> </v>
      </c>
      <c r="U250" s="334" t="str">
        <f aca="false">IF((E250="i"),G250," ")</f>
        <v> </v>
      </c>
      <c r="V250" s="334" t="str">
        <f aca="false">IF((E250="o"),G250," ")</f>
        <v> </v>
      </c>
      <c r="W250" s="334" t="str">
        <f aca="false">IF((E250="f"),G250," ")</f>
        <v> </v>
      </c>
    </row>
    <row r="251" customFormat="false" ht="12.75" hidden="false" customHeight="false" outlineLevel="0" collapsed="false">
      <c r="A251" s="355"/>
      <c r="E251" s="365" t="str">
        <f aca="false">IF((G251&lt;&gt;0),"Enter Letter"," ")</f>
        <v> </v>
      </c>
      <c r="J251" s="334" t="str">
        <f aca="false">IF((E251="s"),G251," ")</f>
        <v> </v>
      </c>
      <c r="K251" s="334" t="str">
        <f aca="false">IF((E251="d"),G251," ")</f>
        <v> </v>
      </c>
      <c r="L251" s="334" t="str">
        <f aca="false">IF((E251="e"),G251," ")</f>
        <v> </v>
      </c>
      <c r="M251" s="334" t="str">
        <f aca="false">IF((E251="p"),G251," ")</f>
        <v> </v>
      </c>
      <c r="N251" s="334" t="str">
        <f aca="false">IF((E251="r"),G251," ")</f>
        <v> </v>
      </c>
      <c r="O251" s="334" t="str">
        <f aca="false">IF((E251="g"),G251," ")</f>
        <v> </v>
      </c>
      <c r="P251" s="334" t="str">
        <f aca="false">IF((E251="m"),G251," ")</f>
        <v> </v>
      </c>
      <c r="Q251" s="334" t="str">
        <f aca="false">IF((E251="t"),G251," ")</f>
        <v> </v>
      </c>
      <c r="R251" s="334" t="str">
        <f aca="false">IF((E251="a"),G251," ")</f>
        <v> </v>
      </c>
      <c r="S251" s="334" t="str">
        <f aca="false">IF((E251="l"),G251," ")</f>
        <v> </v>
      </c>
      <c r="T251" s="334" t="str">
        <f aca="false">IF((E251="b"),G251," ")</f>
        <v> </v>
      </c>
      <c r="U251" s="334" t="str">
        <f aca="false">IF((E251="i"),G251," ")</f>
        <v> </v>
      </c>
      <c r="V251" s="334" t="str">
        <f aca="false">IF((E251="o"),G251," ")</f>
        <v> </v>
      </c>
      <c r="W251" s="334" t="str">
        <f aca="false">IF((E251="f"),G251," ")</f>
        <v> </v>
      </c>
    </row>
    <row r="252" customFormat="false" ht="12.75" hidden="false" customHeight="false" outlineLevel="0" collapsed="false">
      <c r="A252" s="355"/>
      <c r="E252" s="365" t="str">
        <f aca="false">IF((G252&lt;&gt;0),"Enter Letter"," ")</f>
        <v> </v>
      </c>
      <c r="J252" s="334" t="str">
        <f aca="false">IF((E252="s"),G252," ")</f>
        <v> </v>
      </c>
      <c r="K252" s="334" t="str">
        <f aca="false">IF((E252="d"),G252," ")</f>
        <v> </v>
      </c>
      <c r="L252" s="334" t="str">
        <f aca="false">IF((E252="e"),G252," ")</f>
        <v> </v>
      </c>
      <c r="M252" s="334" t="str">
        <f aca="false">IF((E252="p"),G252," ")</f>
        <v> </v>
      </c>
      <c r="N252" s="334" t="str">
        <f aca="false">IF((E252="r"),G252," ")</f>
        <v> </v>
      </c>
      <c r="O252" s="334" t="str">
        <f aca="false">IF((E252="g"),G252," ")</f>
        <v> </v>
      </c>
      <c r="P252" s="334" t="str">
        <f aca="false">IF((E252="m"),G252," ")</f>
        <v> </v>
      </c>
      <c r="Q252" s="334" t="str">
        <f aca="false">IF((E252="t"),G252," ")</f>
        <v> </v>
      </c>
      <c r="R252" s="334" t="str">
        <f aca="false">IF((E252="a"),G252," ")</f>
        <v> </v>
      </c>
      <c r="S252" s="334" t="str">
        <f aca="false">IF((E252="l"),G252," ")</f>
        <v> </v>
      </c>
      <c r="T252" s="334" t="str">
        <f aca="false">IF((E252="b"),G252," ")</f>
        <v> </v>
      </c>
      <c r="U252" s="334" t="str">
        <f aca="false">IF((E252="i"),G252," ")</f>
        <v> </v>
      </c>
      <c r="V252" s="334" t="str">
        <f aca="false">IF((E252="o"),G252," ")</f>
        <v> </v>
      </c>
      <c r="W252" s="334" t="str">
        <f aca="false">IF((E252="f"),G252," ")</f>
        <v> </v>
      </c>
    </row>
    <row r="253" customFormat="false" ht="12.75" hidden="false" customHeight="false" outlineLevel="0" collapsed="false">
      <c r="A253" s="355"/>
      <c r="E253" s="365" t="str">
        <f aca="false">IF((G253&lt;&gt;0),"Enter Letter"," ")</f>
        <v> </v>
      </c>
      <c r="J253" s="334" t="str">
        <f aca="false">IF((E253="s"),G253," ")</f>
        <v> </v>
      </c>
      <c r="K253" s="334" t="str">
        <f aca="false">IF((E253="d"),G253," ")</f>
        <v> </v>
      </c>
      <c r="L253" s="334" t="str">
        <f aca="false">IF((E253="e"),G253," ")</f>
        <v> </v>
      </c>
      <c r="M253" s="334" t="str">
        <f aca="false">IF((E253="p"),G253," ")</f>
        <v> </v>
      </c>
      <c r="N253" s="334" t="str">
        <f aca="false">IF((E253="r"),G253," ")</f>
        <v> </v>
      </c>
      <c r="O253" s="334" t="str">
        <f aca="false">IF((E253="g"),G253," ")</f>
        <v> </v>
      </c>
      <c r="P253" s="334" t="str">
        <f aca="false">IF((E253="m"),G253," ")</f>
        <v> </v>
      </c>
      <c r="Q253" s="334" t="str">
        <f aca="false">IF((E253="t"),G253," ")</f>
        <v> </v>
      </c>
      <c r="R253" s="334" t="str">
        <f aca="false">IF((E253="a"),G253," ")</f>
        <v> </v>
      </c>
      <c r="S253" s="334" t="str">
        <f aca="false">IF((E253="l"),G253," ")</f>
        <v> </v>
      </c>
      <c r="T253" s="334" t="str">
        <f aca="false">IF((E253="b"),G253," ")</f>
        <v> </v>
      </c>
      <c r="U253" s="334" t="str">
        <f aca="false">IF((E253="i"),G253," ")</f>
        <v> </v>
      </c>
      <c r="V253" s="334" t="str">
        <f aca="false">IF((E253="o"),G253," ")</f>
        <v> </v>
      </c>
      <c r="W253" s="334" t="str">
        <f aca="false">IF((E253="f"),G253," ")</f>
        <v> </v>
      </c>
    </row>
    <row r="254" customFormat="false" ht="12.75" hidden="false" customHeight="false" outlineLevel="0" collapsed="false">
      <c r="A254" s="355"/>
      <c r="E254" s="365" t="str">
        <f aca="false">IF((G254&lt;&gt;0),"Enter Letter"," ")</f>
        <v> </v>
      </c>
      <c r="J254" s="334" t="str">
        <f aca="false">IF((E254="s"),G254," ")</f>
        <v> </v>
      </c>
      <c r="K254" s="334" t="str">
        <f aca="false">IF((E254="d"),G254," ")</f>
        <v> </v>
      </c>
      <c r="L254" s="334" t="str">
        <f aca="false">IF((E254="e"),G254," ")</f>
        <v> </v>
      </c>
      <c r="M254" s="334" t="str">
        <f aca="false">IF((E254="p"),G254," ")</f>
        <v> </v>
      </c>
      <c r="N254" s="334" t="str">
        <f aca="false">IF((E254="r"),G254," ")</f>
        <v> </v>
      </c>
      <c r="O254" s="334" t="str">
        <f aca="false">IF((E254="g"),G254," ")</f>
        <v> </v>
      </c>
      <c r="P254" s="334" t="str">
        <f aca="false">IF((E254="m"),G254," ")</f>
        <v> </v>
      </c>
      <c r="Q254" s="334" t="str">
        <f aca="false">IF((E254="t"),G254," ")</f>
        <v> </v>
      </c>
      <c r="R254" s="334" t="str">
        <f aca="false">IF((E254="a"),G254," ")</f>
        <v> </v>
      </c>
      <c r="S254" s="334" t="str">
        <f aca="false">IF((E254="l"),G254," ")</f>
        <v> </v>
      </c>
      <c r="T254" s="334" t="str">
        <f aca="false">IF((E254="b"),G254," ")</f>
        <v> </v>
      </c>
      <c r="U254" s="334" t="str">
        <f aca="false">IF((E254="i"),G254," ")</f>
        <v> </v>
      </c>
      <c r="V254" s="334" t="str">
        <f aca="false">IF((E254="o"),G254," ")</f>
        <v> </v>
      </c>
      <c r="W254" s="334" t="str">
        <f aca="false">IF((E254="f"),G254," ")</f>
        <v> </v>
      </c>
    </row>
    <row r="255" customFormat="false" ht="12.75" hidden="false" customHeight="false" outlineLevel="0" collapsed="false">
      <c r="A255" s="355"/>
      <c r="E255" s="365" t="str">
        <f aca="false">IF((G255&lt;&gt;0),"Enter Letter"," ")</f>
        <v> </v>
      </c>
      <c r="J255" s="334" t="str">
        <f aca="false">IF((E255="s"),G255," ")</f>
        <v> </v>
      </c>
      <c r="K255" s="334" t="str">
        <f aca="false">IF((E255="d"),G255," ")</f>
        <v> </v>
      </c>
      <c r="L255" s="334" t="str">
        <f aca="false">IF((E255="e"),G255," ")</f>
        <v> </v>
      </c>
      <c r="M255" s="334" t="str">
        <f aca="false">IF((E255="p"),G255," ")</f>
        <v> </v>
      </c>
      <c r="N255" s="334" t="str">
        <f aca="false">IF((E255="r"),G255," ")</f>
        <v> </v>
      </c>
      <c r="O255" s="334" t="str">
        <f aca="false">IF((E255="g"),G255," ")</f>
        <v> </v>
      </c>
      <c r="P255" s="334" t="str">
        <f aca="false">IF((E255="m"),G255," ")</f>
        <v> </v>
      </c>
      <c r="Q255" s="334" t="str">
        <f aca="false">IF((E255="t"),G255," ")</f>
        <v> </v>
      </c>
      <c r="R255" s="334" t="str">
        <f aca="false">IF((E255="a"),G255," ")</f>
        <v> </v>
      </c>
      <c r="S255" s="334" t="str">
        <f aca="false">IF((E255="l"),G255," ")</f>
        <v> </v>
      </c>
      <c r="T255" s="334" t="str">
        <f aca="false">IF((E255="b"),G255," ")</f>
        <v> </v>
      </c>
      <c r="U255" s="334" t="str">
        <f aca="false">IF((E255="i"),G255," ")</f>
        <v> </v>
      </c>
      <c r="V255" s="334" t="str">
        <f aca="false">IF((E255="o"),G255," ")</f>
        <v> </v>
      </c>
      <c r="W255" s="334" t="str">
        <f aca="false">IF((E255="f"),G255," ")</f>
        <v> </v>
      </c>
    </row>
    <row r="256" customFormat="false" ht="12.75" hidden="false" customHeight="false" outlineLevel="0" collapsed="false">
      <c r="A256" s="355"/>
      <c r="E256" s="365" t="str">
        <f aca="false">IF((G256&lt;&gt;0),"Enter Letter"," ")</f>
        <v> </v>
      </c>
      <c r="J256" s="334" t="str">
        <f aca="false">IF((E256="s"),G256," ")</f>
        <v> </v>
      </c>
      <c r="K256" s="334" t="str">
        <f aca="false">IF((E256="d"),G256," ")</f>
        <v> </v>
      </c>
      <c r="L256" s="334" t="str">
        <f aca="false">IF((E256="e"),G256," ")</f>
        <v> </v>
      </c>
      <c r="M256" s="334" t="str">
        <f aca="false">IF((E256="p"),G256," ")</f>
        <v> </v>
      </c>
      <c r="N256" s="334" t="str">
        <f aca="false">IF((E256="r"),G256," ")</f>
        <v> </v>
      </c>
      <c r="O256" s="334" t="str">
        <f aca="false">IF((E256="g"),G256," ")</f>
        <v> </v>
      </c>
      <c r="P256" s="334" t="str">
        <f aca="false">IF((E256="m"),G256," ")</f>
        <v> </v>
      </c>
      <c r="Q256" s="334" t="str">
        <f aca="false">IF((E256="t"),G256," ")</f>
        <v> </v>
      </c>
      <c r="R256" s="334" t="str">
        <f aca="false">IF((E256="a"),G256," ")</f>
        <v> </v>
      </c>
      <c r="S256" s="334" t="str">
        <f aca="false">IF((E256="l"),G256," ")</f>
        <v> </v>
      </c>
      <c r="T256" s="334" t="str">
        <f aca="false">IF((E256="b"),G256," ")</f>
        <v> </v>
      </c>
      <c r="U256" s="334" t="str">
        <f aca="false">IF((E256="i"),G256," ")</f>
        <v> </v>
      </c>
      <c r="V256" s="334" t="str">
        <f aca="false">IF((E256="o"),G256," ")</f>
        <v> </v>
      </c>
      <c r="W256" s="334" t="str">
        <f aca="false">IF((E256="f"),G256," ")</f>
        <v> </v>
      </c>
    </row>
    <row r="257" customFormat="false" ht="12.75" hidden="false" customHeight="false" outlineLevel="0" collapsed="false">
      <c r="A257" s="355"/>
      <c r="E257" s="365" t="str">
        <f aca="false">IF((G257&lt;&gt;0),"Enter Letter"," ")</f>
        <v> </v>
      </c>
      <c r="J257" s="334" t="str">
        <f aca="false">IF((E257="s"),G257," ")</f>
        <v> </v>
      </c>
      <c r="K257" s="334" t="str">
        <f aca="false">IF((E257="d"),G257," ")</f>
        <v> </v>
      </c>
      <c r="L257" s="334" t="str">
        <f aca="false">IF((E257="e"),G257," ")</f>
        <v> </v>
      </c>
      <c r="M257" s="334" t="str">
        <f aca="false">IF((E257="p"),G257," ")</f>
        <v> </v>
      </c>
      <c r="N257" s="334" t="str">
        <f aca="false">IF((E257="r"),G257," ")</f>
        <v> </v>
      </c>
      <c r="O257" s="334" t="str">
        <f aca="false">IF((E257="g"),G257," ")</f>
        <v> </v>
      </c>
      <c r="P257" s="334" t="str">
        <f aca="false">IF((E257="m"),G257," ")</f>
        <v> </v>
      </c>
      <c r="Q257" s="334" t="str">
        <f aca="false">IF((E257="t"),G257," ")</f>
        <v> </v>
      </c>
      <c r="R257" s="334" t="str">
        <f aca="false">IF((E257="a"),G257," ")</f>
        <v> </v>
      </c>
      <c r="S257" s="334" t="str">
        <f aca="false">IF((E257="l"),G257," ")</f>
        <v> </v>
      </c>
      <c r="T257" s="334" t="str">
        <f aca="false">IF((E257="b"),G257," ")</f>
        <v> </v>
      </c>
      <c r="U257" s="334" t="str">
        <f aca="false">IF((E257="i"),G257," ")</f>
        <v> </v>
      </c>
      <c r="V257" s="334" t="str">
        <f aca="false">IF((E257="o"),G257," ")</f>
        <v> </v>
      </c>
      <c r="W257" s="334" t="str">
        <f aca="false">IF((E257="f"),G257," ")</f>
        <v> </v>
      </c>
    </row>
    <row r="258" customFormat="false" ht="12.75" hidden="false" customHeight="false" outlineLevel="0" collapsed="false">
      <c r="A258" s="355"/>
      <c r="E258" s="365" t="str">
        <f aca="false">IF((G258&lt;&gt;0),"Enter Letter"," ")</f>
        <v> </v>
      </c>
      <c r="J258" s="334" t="str">
        <f aca="false">IF((E258="s"),G258," ")</f>
        <v> </v>
      </c>
      <c r="K258" s="334" t="str">
        <f aca="false">IF((E258="d"),G258," ")</f>
        <v> </v>
      </c>
      <c r="L258" s="334" t="str">
        <f aca="false">IF((E258="e"),G258," ")</f>
        <v> </v>
      </c>
      <c r="M258" s="334" t="str">
        <f aca="false">IF((E258="p"),G258," ")</f>
        <v> </v>
      </c>
      <c r="N258" s="334" t="str">
        <f aca="false">IF((E258="r"),G258," ")</f>
        <v> </v>
      </c>
      <c r="O258" s="334" t="str">
        <f aca="false">IF((E258="g"),G258," ")</f>
        <v> </v>
      </c>
      <c r="P258" s="334" t="str">
        <f aca="false">IF((E258="m"),G258," ")</f>
        <v> </v>
      </c>
      <c r="Q258" s="334" t="str">
        <f aca="false">IF((E258="t"),G258," ")</f>
        <v> </v>
      </c>
      <c r="R258" s="334" t="str">
        <f aca="false">IF((E258="a"),G258," ")</f>
        <v> </v>
      </c>
      <c r="S258" s="334" t="str">
        <f aca="false">IF((E258="l"),G258," ")</f>
        <v> </v>
      </c>
      <c r="T258" s="334" t="str">
        <f aca="false">IF((E258="b"),G258," ")</f>
        <v> </v>
      </c>
      <c r="U258" s="334" t="str">
        <f aca="false">IF((E258="i"),G258," ")</f>
        <v> </v>
      </c>
      <c r="V258" s="334" t="str">
        <f aca="false">IF((E258="o"),G258," ")</f>
        <v> </v>
      </c>
      <c r="W258" s="334" t="str">
        <f aca="false">IF((E258="f"),G258," ")</f>
        <v> </v>
      </c>
    </row>
    <row r="259" customFormat="false" ht="12.75" hidden="false" customHeight="false" outlineLevel="0" collapsed="false">
      <c r="A259" s="355"/>
      <c r="E259" s="365" t="str">
        <f aca="false">IF((G259&lt;&gt;0),"Enter Letter"," ")</f>
        <v> </v>
      </c>
      <c r="J259" s="334" t="str">
        <f aca="false">IF((E259="s"),G259," ")</f>
        <v> </v>
      </c>
      <c r="K259" s="334" t="str">
        <f aca="false">IF((E259="d"),G259," ")</f>
        <v> </v>
      </c>
      <c r="L259" s="334" t="str">
        <f aca="false">IF((E259="e"),G259," ")</f>
        <v> </v>
      </c>
      <c r="M259" s="334" t="str">
        <f aca="false">IF((E259="p"),G259," ")</f>
        <v> </v>
      </c>
      <c r="N259" s="334" t="str">
        <f aca="false">IF((E259="r"),G259," ")</f>
        <v> </v>
      </c>
      <c r="O259" s="334" t="str">
        <f aca="false">IF((E259="g"),G259," ")</f>
        <v> </v>
      </c>
      <c r="P259" s="334" t="str">
        <f aca="false">IF((E259="m"),G259," ")</f>
        <v> </v>
      </c>
      <c r="Q259" s="334" t="str">
        <f aca="false">IF((E259="t"),G259," ")</f>
        <v> </v>
      </c>
      <c r="R259" s="334" t="str">
        <f aca="false">IF((E259="a"),G259," ")</f>
        <v> </v>
      </c>
      <c r="S259" s="334" t="str">
        <f aca="false">IF((E259="l"),G259," ")</f>
        <v> </v>
      </c>
      <c r="T259" s="334" t="str">
        <f aca="false">IF((E259="b"),G259," ")</f>
        <v> </v>
      </c>
      <c r="U259" s="334" t="str">
        <f aca="false">IF((E259="i"),G259," ")</f>
        <v> </v>
      </c>
      <c r="V259" s="334" t="str">
        <f aca="false">IF((E259="o"),G259," ")</f>
        <v> </v>
      </c>
      <c r="W259" s="334" t="str">
        <f aca="false">IF((E259="f"),G259," ")</f>
        <v> </v>
      </c>
    </row>
    <row r="260" customFormat="false" ht="12.75" hidden="false" customHeight="false" outlineLevel="0" collapsed="false">
      <c r="A260" s="355"/>
      <c r="E260" s="365" t="str">
        <f aca="false">IF((G260&lt;&gt;0),"Enter Letter"," ")</f>
        <v> </v>
      </c>
      <c r="J260" s="334" t="str">
        <f aca="false">IF((E260="s"),G260," ")</f>
        <v> </v>
      </c>
      <c r="K260" s="334" t="str">
        <f aca="false">IF((E260="d"),G260," ")</f>
        <v> </v>
      </c>
      <c r="L260" s="334" t="str">
        <f aca="false">IF((E260="e"),G260," ")</f>
        <v> </v>
      </c>
      <c r="M260" s="334" t="str">
        <f aca="false">IF((E260="p"),G260," ")</f>
        <v> </v>
      </c>
      <c r="N260" s="334" t="str">
        <f aca="false">IF((E260="r"),G260," ")</f>
        <v> </v>
      </c>
      <c r="O260" s="334" t="str">
        <f aca="false">IF((E260="g"),G260," ")</f>
        <v> </v>
      </c>
      <c r="P260" s="334" t="str">
        <f aca="false">IF((E260="m"),G260," ")</f>
        <v> </v>
      </c>
      <c r="Q260" s="334" t="str">
        <f aca="false">IF((E260="t"),G260," ")</f>
        <v> </v>
      </c>
      <c r="R260" s="334" t="str">
        <f aca="false">IF((E260="a"),G260," ")</f>
        <v> </v>
      </c>
      <c r="S260" s="334" t="str">
        <f aca="false">IF((E260="l"),G260," ")</f>
        <v> </v>
      </c>
      <c r="T260" s="334" t="str">
        <f aca="false">IF((E260="b"),G260," ")</f>
        <v> </v>
      </c>
      <c r="U260" s="334" t="str">
        <f aca="false">IF((E260="i"),G260," ")</f>
        <v> </v>
      </c>
      <c r="V260" s="334" t="str">
        <f aca="false">IF((E260="o"),G260," ")</f>
        <v> </v>
      </c>
      <c r="W260" s="334" t="str">
        <f aca="false">IF((E260="f"),G260," ")</f>
        <v> </v>
      </c>
    </row>
    <row r="261" customFormat="false" ht="12.75" hidden="false" customHeight="false" outlineLevel="0" collapsed="false">
      <c r="A261" s="355"/>
      <c r="E261" s="365" t="str">
        <f aca="false">IF((G261&lt;&gt;0),"Enter Letter"," ")</f>
        <v> </v>
      </c>
      <c r="J261" s="334" t="str">
        <f aca="false">IF((E261="s"),G261," ")</f>
        <v> </v>
      </c>
      <c r="K261" s="334" t="str">
        <f aca="false">IF((E261="d"),G261," ")</f>
        <v> </v>
      </c>
      <c r="L261" s="334" t="str">
        <f aca="false">IF((E261="e"),G261," ")</f>
        <v> </v>
      </c>
      <c r="M261" s="334" t="str">
        <f aca="false">IF((E261="p"),G261," ")</f>
        <v> </v>
      </c>
      <c r="N261" s="334" t="str">
        <f aca="false">IF((E261="r"),G261," ")</f>
        <v> </v>
      </c>
      <c r="O261" s="334" t="str">
        <f aca="false">IF((E261="g"),G261," ")</f>
        <v> </v>
      </c>
      <c r="P261" s="334" t="str">
        <f aca="false">IF((E261="m"),G261," ")</f>
        <v> </v>
      </c>
      <c r="Q261" s="334" t="str">
        <f aca="false">IF((E261="t"),G261," ")</f>
        <v> </v>
      </c>
      <c r="R261" s="334" t="str">
        <f aca="false">IF((E261="a"),G261," ")</f>
        <v> </v>
      </c>
      <c r="S261" s="334" t="str">
        <f aca="false">IF((E261="l"),G261," ")</f>
        <v> </v>
      </c>
      <c r="T261" s="334" t="str">
        <f aca="false">IF((E261="b"),G261," ")</f>
        <v> </v>
      </c>
      <c r="U261" s="334" t="str">
        <f aca="false">IF((E261="i"),G261," ")</f>
        <v> </v>
      </c>
      <c r="V261" s="334" t="str">
        <f aca="false">IF((E261="o"),G261," ")</f>
        <v> </v>
      </c>
      <c r="W261" s="334" t="str">
        <f aca="false">IF((E261="f"),G261," ")</f>
        <v> </v>
      </c>
    </row>
    <row r="262" customFormat="false" ht="12.75" hidden="false" customHeight="false" outlineLevel="0" collapsed="false">
      <c r="A262" s="355"/>
      <c r="E262" s="365" t="str">
        <f aca="false">IF((G262&lt;&gt;0),"Enter Letter"," ")</f>
        <v> </v>
      </c>
      <c r="J262" s="334" t="str">
        <f aca="false">IF((E262="s"),G262," ")</f>
        <v> </v>
      </c>
      <c r="K262" s="334" t="str">
        <f aca="false">IF((E262="d"),G262," ")</f>
        <v> </v>
      </c>
      <c r="L262" s="334" t="str">
        <f aca="false">IF((E262="e"),G262," ")</f>
        <v> </v>
      </c>
      <c r="M262" s="334" t="str">
        <f aca="false">IF((E262="p"),G262," ")</f>
        <v> </v>
      </c>
      <c r="N262" s="334" t="str">
        <f aca="false">IF((E262="r"),G262," ")</f>
        <v> </v>
      </c>
      <c r="O262" s="334" t="str">
        <f aca="false">IF((E262="g"),G262," ")</f>
        <v> </v>
      </c>
      <c r="P262" s="334" t="str">
        <f aca="false">IF((E262="m"),G262," ")</f>
        <v> </v>
      </c>
      <c r="Q262" s="334" t="str">
        <f aca="false">IF((E262="t"),G262," ")</f>
        <v> </v>
      </c>
      <c r="R262" s="334" t="str">
        <f aca="false">IF((E262="a"),G262," ")</f>
        <v> </v>
      </c>
      <c r="S262" s="334" t="str">
        <f aca="false">IF((E262="l"),G262," ")</f>
        <v> </v>
      </c>
      <c r="T262" s="334" t="str">
        <f aca="false">IF((E262="b"),G262," ")</f>
        <v> </v>
      </c>
      <c r="U262" s="334" t="str">
        <f aca="false">IF((E262="i"),G262," ")</f>
        <v> </v>
      </c>
      <c r="V262" s="334" t="str">
        <f aca="false">IF((E262="o"),G262," ")</f>
        <v> </v>
      </c>
      <c r="W262" s="334" t="str">
        <f aca="false">IF((E262="f"),G262," ")</f>
        <v> </v>
      </c>
    </row>
    <row r="263" customFormat="false" ht="12.75" hidden="false" customHeight="false" outlineLevel="0" collapsed="false">
      <c r="A263" s="355"/>
      <c r="E263" s="365" t="str">
        <f aca="false">IF((G263&lt;&gt;0),"Enter Letter"," ")</f>
        <v> </v>
      </c>
      <c r="J263" s="334" t="str">
        <f aca="false">IF((E263="s"),G263," ")</f>
        <v> </v>
      </c>
      <c r="K263" s="334" t="str">
        <f aca="false">IF((E263="d"),G263," ")</f>
        <v> </v>
      </c>
      <c r="L263" s="334" t="str">
        <f aca="false">IF((E263="e"),G263," ")</f>
        <v> </v>
      </c>
      <c r="M263" s="334" t="str">
        <f aca="false">IF((E263="p"),G263," ")</f>
        <v> </v>
      </c>
      <c r="N263" s="334" t="str">
        <f aca="false">IF((E263="r"),G263," ")</f>
        <v> </v>
      </c>
      <c r="O263" s="334" t="str">
        <f aca="false">IF((E263="g"),G263," ")</f>
        <v> </v>
      </c>
      <c r="P263" s="334" t="str">
        <f aca="false">IF((E263="m"),G263," ")</f>
        <v> </v>
      </c>
      <c r="Q263" s="334" t="str">
        <f aca="false">IF((E263="t"),G263," ")</f>
        <v> </v>
      </c>
      <c r="R263" s="334" t="str">
        <f aca="false">IF((E263="a"),G263," ")</f>
        <v> </v>
      </c>
      <c r="S263" s="334" t="str">
        <f aca="false">IF((E263="l"),G263," ")</f>
        <v> </v>
      </c>
      <c r="T263" s="334" t="str">
        <f aca="false">IF((E263="b"),G263," ")</f>
        <v> </v>
      </c>
      <c r="U263" s="334" t="str">
        <f aca="false">IF((E263="i"),G263," ")</f>
        <v> </v>
      </c>
      <c r="V263" s="334" t="str">
        <f aca="false">IF((E263="o"),G263," ")</f>
        <v> </v>
      </c>
      <c r="W263" s="334" t="str">
        <f aca="false">IF((E263="f"),G263," ")</f>
        <v> </v>
      </c>
    </row>
    <row r="264" customFormat="false" ht="12.75" hidden="false" customHeight="false" outlineLevel="0" collapsed="false">
      <c r="A264" s="355"/>
      <c r="E264" s="365" t="str">
        <f aca="false">IF((G264&lt;&gt;0),"Enter Letter"," ")</f>
        <v> </v>
      </c>
      <c r="J264" s="334" t="str">
        <f aca="false">IF((E264="s"),G264," ")</f>
        <v> </v>
      </c>
      <c r="K264" s="334" t="str">
        <f aca="false">IF((E264="d"),G264," ")</f>
        <v> </v>
      </c>
      <c r="L264" s="334" t="str">
        <f aca="false">IF((E264="e"),G264," ")</f>
        <v> </v>
      </c>
      <c r="M264" s="334" t="str">
        <f aca="false">IF((E264="p"),G264," ")</f>
        <v> </v>
      </c>
      <c r="N264" s="334" t="str">
        <f aca="false">IF((E264="r"),G264," ")</f>
        <v> </v>
      </c>
      <c r="O264" s="334" t="str">
        <f aca="false">IF((E264="g"),G264," ")</f>
        <v> </v>
      </c>
      <c r="P264" s="334" t="str">
        <f aca="false">IF((E264="m"),G264," ")</f>
        <v> </v>
      </c>
      <c r="Q264" s="334" t="str">
        <f aca="false">IF((E264="t"),G264," ")</f>
        <v> </v>
      </c>
      <c r="R264" s="334" t="str">
        <f aca="false">IF((E264="a"),G264," ")</f>
        <v> </v>
      </c>
      <c r="S264" s="334" t="str">
        <f aca="false">IF((E264="l"),G264," ")</f>
        <v> </v>
      </c>
      <c r="T264" s="334" t="str">
        <f aca="false">IF((E264="b"),G264," ")</f>
        <v> </v>
      </c>
      <c r="U264" s="334" t="str">
        <f aca="false">IF((E264="i"),G264," ")</f>
        <v> </v>
      </c>
      <c r="V264" s="334" t="str">
        <f aca="false">IF((E264="o"),G264," ")</f>
        <v> </v>
      </c>
      <c r="W264" s="334" t="str">
        <f aca="false">IF((E264="f"),G264," ")</f>
        <v> </v>
      </c>
    </row>
    <row r="265" customFormat="false" ht="12.75" hidden="false" customHeight="false" outlineLevel="0" collapsed="false">
      <c r="A265" s="355"/>
      <c r="E265" s="365" t="str">
        <f aca="false">IF((G265&lt;&gt;0),"Enter Letter"," ")</f>
        <v> </v>
      </c>
      <c r="J265" s="334" t="str">
        <f aca="false">IF((E265="s"),G265," ")</f>
        <v> </v>
      </c>
      <c r="K265" s="334" t="str">
        <f aca="false">IF((E265="d"),G265," ")</f>
        <v> </v>
      </c>
      <c r="L265" s="334" t="str">
        <f aca="false">IF((E265="e"),G265," ")</f>
        <v> </v>
      </c>
      <c r="M265" s="334" t="str">
        <f aca="false">IF((E265="p"),G265," ")</f>
        <v> </v>
      </c>
      <c r="N265" s="334" t="str">
        <f aca="false">IF((E265="r"),G265," ")</f>
        <v> </v>
      </c>
      <c r="O265" s="334" t="str">
        <f aca="false">IF((E265="g"),G265," ")</f>
        <v> </v>
      </c>
      <c r="P265" s="334" t="str">
        <f aca="false">IF((E265="m"),G265," ")</f>
        <v> </v>
      </c>
      <c r="Q265" s="334" t="str">
        <f aca="false">IF((E265="t"),G265," ")</f>
        <v> </v>
      </c>
      <c r="R265" s="334" t="str">
        <f aca="false">IF((E265="a"),G265," ")</f>
        <v> </v>
      </c>
      <c r="S265" s="334" t="str">
        <f aca="false">IF((E265="l"),G265," ")</f>
        <v> </v>
      </c>
      <c r="T265" s="334" t="str">
        <f aca="false">IF((E265="b"),G265," ")</f>
        <v> </v>
      </c>
      <c r="U265" s="334" t="str">
        <f aca="false">IF((E265="i"),G265," ")</f>
        <v> </v>
      </c>
      <c r="V265" s="334" t="str">
        <f aca="false">IF((E265="o"),G265," ")</f>
        <v> </v>
      </c>
      <c r="W265" s="334" t="str">
        <f aca="false">IF((E265="f"),G265," ")</f>
        <v> </v>
      </c>
    </row>
    <row r="266" customFormat="false" ht="12.75" hidden="false" customHeight="false" outlineLevel="0" collapsed="false">
      <c r="A266" s="355"/>
      <c r="E266" s="365" t="str">
        <f aca="false">IF((G266&lt;&gt;0),"Enter Letter"," ")</f>
        <v> </v>
      </c>
      <c r="J266" s="334" t="str">
        <f aca="false">IF((E266="s"),G266," ")</f>
        <v> </v>
      </c>
      <c r="K266" s="334" t="str">
        <f aca="false">IF((E266="d"),G266," ")</f>
        <v> </v>
      </c>
      <c r="L266" s="334" t="str">
        <f aca="false">IF((E266="e"),G266," ")</f>
        <v> </v>
      </c>
      <c r="M266" s="334" t="str">
        <f aca="false">IF((E266="p"),G266," ")</f>
        <v> </v>
      </c>
      <c r="N266" s="334" t="str">
        <f aca="false">IF((E266="r"),G266," ")</f>
        <v> </v>
      </c>
      <c r="O266" s="334" t="str">
        <f aca="false">IF((E266="g"),G266," ")</f>
        <v> </v>
      </c>
      <c r="P266" s="334" t="str">
        <f aca="false">IF((E266="m"),G266," ")</f>
        <v> </v>
      </c>
      <c r="Q266" s="334" t="str">
        <f aca="false">IF((E266="t"),G266," ")</f>
        <v> </v>
      </c>
      <c r="R266" s="334" t="str">
        <f aca="false">IF((E266="a"),G266," ")</f>
        <v> </v>
      </c>
      <c r="S266" s="334" t="str">
        <f aca="false">IF((E266="l"),G266," ")</f>
        <v> </v>
      </c>
      <c r="T266" s="334" t="str">
        <f aca="false">IF((E266="b"),G266," ")</f>
        <v> </v>
      </c>
      <c r="U266" s="334" t="str">
        <f aca="false">IF((E266="i"),G266," ")</f>
        <v> </v>
      </c>
      <c r="V266" s="334" t="str">
        <f aca="false">IF((E266="o"),G266," ")</f>
        <v> </v>
      </c>
      <c r="W266" s="334" t="str">
        <f aca="false">IF((E266="f"),G266," ")</f>
        <v> </v>
      </c>
    </row>
    <row r="267" customFormat="false" ht="12.75" hidden="false" customHeight="false" outlineLevel="0" collapsed="false">
      <c r="A267" s="355"/>
      <c r="E267" s="365" t="str">
        <f aca="false">IF((G267&lt;&gt;0),"Enter Letter"," ")</f>
        <v> </v>
      </c>
      <c r="J267" s="334" t="str">
        <f aca="false">IF((E267="s"),G267," ")</f>
        <v> </v>
      </c>
      <c r="K267" s="334" t="str">
        <f aca="false">IF((E267="d"),G267," ")</f>
        <v> </v>
      </c>
      <c r="L267" s="334" t="str">
        <f aca="false">IF((E267="e"),G267," ")</f>
        <v> </v>
      </c>
      <c r="M267" s="334" t="str">
        <f aca="false">IF((E267="p"),G267," ")</f>
        <v> </v>
      </c>
      <c r="N267" s="334" t="str">
        <f aca="false">IF((E267="r"),G267," ")</f>
        <v> </v>
      </c>
      <c r="O267" s="334" t="str">
        <f aca="false">IF((E267="g"),G267," ")</f>
        <v> </v>
      </c>
      <c r="P267" s="334" t="str">
        <f aca="false">IF((E267="m"),G267," ")</f>
        <v> </v>
      </c>
      <c r="Q267" s="334" t="str">
        <f aca="false">IF((E267="t"),G267," ")</f>
        <v> </v>
      </c>
      <c r="R267" s="334" t="str">
        <f aca="false">IF((E267="a"),G267," ")</f>
        <v> </v>
      </c>
      <c r="S267" s="334" t="str">
        <f aca="false">IF((E267="l"),G267," ")</f>
        <v> </v>
      </c>
      <c r="T267" s="334" t="str">
        <f aca="false">IF((E267="b"),G267," ")</f>
        <v> </v>
      </c>
      <c r="U267" s="334" t="str">
        <f aca="false">IF((E267="i"),G267," ")</f>
        <v> </v>
      </c>
      <c r="V267" s="334" t="str">
        <f aca="false">IF((E267="o"),G267," ")</f>
        <v> </v>
      </c>
      <c r="W267" s="334" t="str">
        <f aca="false">IF((E267="f"),G267," ")</f>
        <v> </v>
      </c>
    </row>
    <row r="268" customFormat="false" ht="12.75" hidden="false" customHeight="false" outlineLevel="0" collapsed="false">
      <c r="A268" s="355"/>
      <c r="E268" s="365" t="str">
        <f aca="false">IF((G268&lt;&gt;0),"Enter Letter"," ")</f>
        <v> </v>
      </c>
      <c r="J268" s="334" t="str">
        <f aca="false">IF((E268="s"),G268," ")</f>
        <v> </v>
      </c>
      <c r="K268" s="334" t="str">
        <f aca="false">IF((E268="d"),G268," ")</f>
        <v> </v>
      </c>
      <c r="L268" s="334" t="str">
        <f aca="false">IF((E268="e"),G268," ")</f>
        <v> </v>
      </c>
      <c r="M268" s="334" t="str">
        <f aca="false">IF((E268="p"),G268," ")</f>
        <v> </v>
      </c>
      <c r="N268" s="334" t="str">
        <f aca="false">IF((E268="r"),G268," ")</f>
        <v> </v>
      </c>
      <c r="O268" s="334" t="str">
        <f aca="false">IF((E268="g"),G268," ")</f>
        <v> </v>
      </c>
      <c r="P268" s="334" t="str">
        <f aca="false">IF((E268="m"),G268," ")</f>
        <v> </v>
      </c>
      <c r="Q268" s="334" t="str">
        <f aca="false">IF((E268="t"),G268," ")</f>
        <v> </v>
      </c>
      <c r="R268" s="334" t="str">
        <f aca="false">IF((E268="a"),G268," ")</f>
        <v> </v>
      </c>
      <c r="S268" s="334" t="str">
        <f aca="false">IF((E268="l"),G268," ")</f>
        <v> </v>
      </c>
      <c r="T268" s="334" t="str">
        <f aca="false">IF((E268="b"),G268," ")</f>
        <v> </v>
      </c>
      <c r="U268" s="334" t="str">
        <f aca="false">IF((E268="i"),G268," ")</f>
        <v> </v>
      </c>
      <c r="V268" s="334" t="str">
        <f aca="false">IF((E268="o"),G268," ")</f>
        <v> </v>
      </c>
      <c r="W268" s="334" t="str">
        <f aca="false">IF((E268="f"),G268," ")</f>
        <v> </v>
      </c>
    </row>
    <row r="269" customFormat="false" ht="12.75" hidden="false" customHeight="false" outlineLevel="0" collapsed="false">
      <c r="A269" s="355"/>
      <c r="E269" s="365" t="str">
        <f aca="false">IF((G269&lt;&gt;0),"Enter Letter"," ")</f>
        <v> </v>
      </c>
      <c r="J269" s="334" t="str">
        <f aca="false">IF((E269="s"),G269," ")</f>
        <v> </v>
      </c>
      <c r="K269" s="334" t="str">
        <f aca="false">IF((E269="d"),G269," ")</f>
        <v> </v>
      </c>
      <c r="L269" s="334" t="str">
        <f aca="false">IF((E269="e"),G269," ")</f>
        <v> </v>
      </c>
      <c r="M269" s="334" t="str">
        <f aca="false">IF((E269="p"),G269," ")</f>
        <v> </v>
      </c>
      <c r="N269" s="334" t="str">
        <f aca="false">IF((E269="r"),G269," ")</f>
        <v> </v>
      </c>
      <c r="O269" s="334" t="str">
        <f aca="false">IF((E269="g"),G269," ")</f>
        <v> </v>
      </c>
      <c r="P269" s="334" t="str">
        <f aca="false">IF((E269="m"),G269," ")</f>
        <v> </v>
      </c>
      <c r="Q269" s="334" t="str">
        <f aca="false">IF((E269="t"),G269," ")</f>
        <v> </v>
      </c>
      <c r="R269" s="334" t="str">
        <f aca="false">IF((E269="a"),G269," ")</f>
        <v> </v>
      </c>
      <c r="S269" s="334" t="str">
        <f aca="false">IF((E269="l"),G269," ")</f>
        <v> </v>
      </c>
      <c r="T269" s="334" t="str">
        <f aca="false">IF((E269="b"),G269," ")</f>
        <v> </v>
      </c>
      <c r="U269" s="334" t="str">
        <f aca="false">IF((E269="i"),G269," ")</f>
        <v> </v>
      </c>
      <c r="V269" s="334" t="str">
        <f aca="false">IF((E269="o"),G269," ")</f>
        <v> </v>
      </c>
      <c r="W269" s="334" t="str">
        <f aca="false">IF((E269="f"),G269," ")</f>
        <v> </v>
      </c>
    </row>
    <row r="270" customFormat="false" ht="12.75" hidden="false" customHeight="false" outlineLevel="0" collapsed="false">
      <c r="A270" s="355"/>
      <c r="E270" s="365" t="str">
        <f aca="false">IF((G270&lt;&gt;0),"Enter Letter"," ")</f>
        <v> </v>
      </c>
      <c r="J270" s="334" t="str">
        <f aca="false">IF((E270="s"),G270," ")</f>
        <v> </v>
      </c>
      <c r="K270" s="334" t="str">
        <f aca="false">IF((E270="d"),G270," ")</f>
        <v> </v>
      </c>
      <c r="L270" s="334" t="str">
        <f aca="false">IF((E270="e"),G270," ")</f>
        <v> </v>
      </c>
      <c r="M270" s="334" t="str">
        <f aca="false">IF((E270="p"),G270," ")</f>
        <v> </v>
      </c>
      <c r="N270" s="334" t="str">
        <f aca="false">IF((E270="r"),G270," ")</f>
        <v> </v>
      </c>
      <c r="O270" s="334" t="str">
        <f aca="false">IF((E270="g"),G270," ")</f>
        <v> </v>
      </c>
      <c r="P270" s="334" t="str">
        <f aca="false">IF((E270="m"),G270," ")</f>
        <v> </v>
      </c>
      <c r="Q270" s="334" t="str">
        <f aca="false">IF((E270="t"),G270," ")</f>
        <v> </v>
      </c>
      <c r="R270" s="334" t="str">
        <f aca="false">IF((E270="a"),G270," ")</f>
        <v> </v>
      </c>
      <c r="S270" s="334" t="str">
        <f aca="false">IF((E270="l"),G270," ")</f>
        <v> </v>
      </c>
      <c r="T270" s="334" t="str">
        <f aca="false">IF((E270="b"),G270," ")</f>
        <v> </v>
      </c>
      <c r="U270" s="334" t="str">
        <f aca="false">IF((E270="i"),G270," ")</f>
        <v> </v>
      </c>
      <c r="V270" s="334" t="str">
        <f aca="false">IF((E270="o"),G270," ")</f>
        <v> </v>
      </c>
      <c r="W270" s="334" t="str">
        <f aca="false">IF((E270="f"),G270," ")</f>
        <v> </v>
      </c>
    </row>
    <row r="271" customFormat="false" ht="12.75" hidden="false" customHeight="false" outlineLevel="0" collapsed="false">
      <c r="A271" s="355"/>
      <c r="E271" s="365" t="str">
        <f aca="false">IF((G271&lt;&gt;0),"Enter Letter"," ")</f>
        <v> </v>
      </c>
      <c r="J271" s="334" t="str">
        <f aca="false">IF((E271="s"),G271," ")</f>
        <v> </v>
      </c>
      <c r="K271" s="334" t="str">
        <f aca="false">IF((E271="d"),G271," ")</f>
        <v> </v>
      </c>
      <c r="L271" s="334" t="str">
        <f aca="false">IF((E271="e"),G271," ")</f>
        <v> </v>
      </c>
      <c r="M271" s="334" t="str">
        <f aca="false">IF((E271="p"),G271," ")</f>
        <v> </v>
      </c>
      <c r="N271" s="334" t="str">
        <f aca="false">IF((E271="r"),G271," ")</f>
        <v> </v>
      </c>
      <c r="O271" s="334" t="str">
        <f aca="false">IF((E271="g"),G271," ")</f>
        <v> </v>
      </c>
      <c r="P271" s="334" t="str">
        <f aca="false">IF((E271="m"),G271," ")</f>
        <v> </v>
      </c>
      <c r="Q271" s="334" t="str">
        <f aca="false">IF((E271="t"),G271," ")</f>
        <v> </v>
      </c>
      <c r="R271" s="334" t="str">
        <f aca="false">IF((E271="a"),G271," ")</f>
        <v> </v>
      </c>
      <c r="S271" s="334" t="str">
        <f aca="false">IF((E271="l"),G271," ")</f>
        <v> </v>
      </c>
      <c r="T271" s="334" t="str">
        <f aca="false">IF((E271="b"),G271," ")</f>
        <v> </v>
      </c>
      <c r="U271" s="334" t="str">
        <f aca="false">IF((E271="i"),G271," ")</f>
        <v> </v>
      </c>
      <c r="V271" s="334" t="str">
        <f aca="false">IF((E271="o"),G271," ")</f>
        <v> </v>
      </c>
      <c r="W271" s="334" t="str">
        <f aca="false">IF((E271="f"),G271," ")</f>
        <v> </v>
      </c>
    </row>
    <row r="272" customFormat="false" ht="12.75" hidden="false" customHeight="false" outlineLevel="0" collapsed="false">
      <c r="A272" s="355"/>
      <c r="E272" s="365" t="str">
        <f aca="false">IF((G272&lt;&gt;0),"Enter Letter"," ")</f>
        <v> </v>
      </c>
      <c r="J272" s="334" t="str">
        <f aca="false">IF((E272="s"),G272," ")</f>
        <v> </v>
      </c>
      <c r="K272" s="334" t="str">
        <f aca="false">IF((E272="d"),G272," ")</f>
        <v> </v>
      </c>
      <c r="L272" s="334" t="str">
        <f aca="false">IF((E272="e"),G272," ")</f>
        <v> </v>
      </c>
      <c r="M272" s="334" t="str">
        <f aca="false">IF((E272="p"),G272," ")</f>
        <v> </v>
      </c>
      <c r="N272" s="334" t="str">
        <f aca="false">IF((E272="r"),G272," ")</f>
        <v> </v>
      </c>
      <c r="O272" s="334" t="str">
        <f aca="false">IF((E272="g"),G272," ")</f>
        <v> </v>
      </c>
      <c r="P272" s="334" t="str">
        <f aca="false">IF((E272="m"),G272," ")</f>
        <v> </v>
      </c>
      <c r="Q272" s="334" t="str">
        <f aca="false">IF((E272="t"),G272," ")</f>
        <v> </v>
      </c>
      <c r="R272" s="334" t="str">
        <f aca="false">IF((E272="a"),G272," ")</f>
        <v> </v>
      </c>
      <c r="S272" s="334" t="str">
        <f aca="false">IF((E272="l"),G272," ")</f>
        <v> </v>
      </c>
      <c r="T272" s="334" t="str">
        <f aca="false">IF((E272="b"),G272," ")</f>
        <v> </v>
      </c>
      <c r="U272" s="334" t="str">
        <f aca="false">IF((E272="i"),G272," ")</f>
        <v> </v>
      </c>
      <c r="V272" s="334" t="str">
        <f aca="false">IF((E272="o"),G272," ")</f>
        <v> </v>
      </c>
      <c r="W272" s="334" t="str">
        <f aca="false">IF((E272="f"),G272," ")</f>
        <v> </v>
      </c>
    </row>
    <row r="273" customFormat="false" ht="12.75" hidden="false" customHeight="false" outlineLevel="0" collapsed="false">
      <c r="A273" s="355"/>
      <c r="E273" s="365" t="str">
        <f aca="false">IF((G273&lt;&gt;0),"Enter Letter"," ")</f>
        <v> </v>
      </c>
      <c r="J273" s="334" t="str">
        <f aca="false">IF((E273="s"),G273," ")</f>
        <v> </v>
      </c>
      <c r="K273" s="334" t="str">
        <f aca="false">IF((E273="d"),G273," ")</f>
        <v> </v>
      </c>
      <c r="L273" s="334" t="str">
        <f aca="false">IF((E273="e"),G273," ")</f>
        <v> </v>
      </c>
      <c r="M273" s="334" t="str">
        <f aca="false">IF((E273="p"),G273," ")</f>
        <v> </v>
      </c>
      <c r="N273" s="334" t="str">
        <f aca="false">IF((E273="r"),G273," ")</f>
        <v> </v>
      </c>
      <c r="O273" s="334" t="str">
        <f aca="false">IF((E273="g"),G273," ")</f>
        <v> </v>
      </c>
      <c r="P273" s="334" t="str">
        <f aca="false">IF((E273="m"),G273," ")</f>
        <v> </v>
      </c>
      <c r="Q273" s="334" t="str">
        <f aca="false">IF((E273="t"),G273," ")</f>
        <v> </v>
      </c>
      <c r="R273" s="334" t="str">
        <f aca="false">IF((E273="a"),G273," ")</f>
        <v> </v>
      </c>
      <c r="S273" s="334" t="str">
        <f aca="false">IF((E273="l"),G273," ")</f>
        <v> </v>
      </c>
      <c r="T273" s="334" t="str">
        <f aca="false">IF((E273="b"),G273," ")</f>
        <v> </v>
      </c>
      <c r="U273" s="334" t="str">
        <f aca="false">IF((E273="i"),G273," ")</f>
        <v> </v>
      </c>
      <c r="V273" s="334" t="str">
        <f aca="false">IF((E273="o"),G273," ")</f>
        <v> </v>
      </c>
      <c r="W273" s="334" t="str">
        <f aca="false">IF((E273="f"),G273," ")</f>
        <v> </v>
      </c>
    </row>
    <row r="274" customFormat="false" ht="12.75" hidden="false" customHeight="false" outlineLevel="0" collapsed="false">
      <c r="A274" s="355"/>
      <c r="E274" s="365" t="str">
        <f aca="false">IF((G274&lt;&gt;0),"Enter Letter"," ")</f>
        <v> </v>
      </c>
      <c r="J274" s="334" t="str">
        <f aca="false">IF((E274="s"),G274," ")</f>
        <v> </v>
      </c>
      <c r="K274" s="334" t="str">
        <f aca="false">IF((E274="d"),G274," ")</f>
        <v> </v>
      </c>
      <c r="L274" s="334" t="str">
        <f aca="false">IF((E274="e"),G274," ")</f>
        <v> </v>
      </c>
      <c r="M274" s="334" t="str">
        <f aca="false">IF((E274="p"),G274," ")</f>
        <v> </v>
      </c>
      <c r="N274" s="334" t="str">
        <f aca="false">IF((E274="r"),G274," ")</f>
        <v> </v>
      </c>
      <c r="O274" s="334" t="str">
        <f aca="false">IF((E274="g"),G274," ")</f>
        <v> </v>
      </c>
      <c r="P274" s="334" t="str">
        <f aca="false">IF((E274="m"),G274," ")</f>
        <v> </v>
      </c>
      <c r="Q274" s="334" t="str">
        <f aca="false">IF((E274="t"),G274," ")</f>
        <v> </v>
      </c>
      <c r="R274" s="334" t="str">
        <f aca="false">IF((E274="a"),G274," ")</f>
        <v> </v>
      </c>
      <c r="S274" s="334" t="str">
        <f aca="false">IF((E274="l"),G274," ")</f>
        <v> </v>
      </c>
      <c r="T274" s="334" t="str">
        <f aca="false">IF((E274="b"),G274," ")</f>
        <v> </v>
      </c>
      <c r="U274" s="334" t="str">
        <f aca="false">IF((E274="i"),G274," ")</f>
        <v> </v>
      </c>
      <c r="V274" s="334" t="str">
        <f aca="false">IF((E274="o"),G274," ")</f>
        <v> </v>
      </c>
      <c r="W274" s="334" t="str">
        <f aca="false">IF((E274="f"),G274," ")</f>
        <v> </v>
      </c>
    </row>
    <row r="275" customFormat="false" ht="12.75" hidden="false" customHeight="false" outlineLevel="0" collapsed="false">
      <c r="A275" s="355"/>
      <c r="E275" s="365" t="str">
        <f aca="false">IF((G275&lt;&gt;0),"Enter Letter"," ")</f>
        <v> </v>
      </c>
      <c r="J275" s="334" t="str">
        <f aca="false">IF((E275="s"),G275," ")</f>
        <v> </v>
      </c>
      <c r="K275" s="334" t="str">
        <f aca="false">IF((E275="d"),G275," ")</f>
        <v> </v>
      </c>
      <c r="L275" s="334" t="str">
        <f aca="false">IF((E275="e"),G275," ")</f>
        <v> </v>
      </c>
      <c r="M275" s="334" t="str">
        <f aca="false">IF((E275="p"),G275," ")</f>
        <v> </v>
      </c>
      <c r="N275" s="334" t="str">
        <f aca="false">IF((E275="r"),G275," ")</f>
        <v> </v>
      </c>
      <c r="O275" s="334" t="str">
        <f aca="false">IF((E275="g"),G275," ")</f>
        <v> </v>
      </c>
      <c r="P275" s="334" t="str">
        <f aca="false">IF((E275="m"),G275," ")</f>
        <v> </v>
      </c>
      <c r="Q275" s="334" t="str">
        <f aca="false">IF((E275="t"),G275," ")</f>
        <v> </v>
      </c>
      <c r="R275" s="334" t="str">
        <f aca="false">IF((E275="a"),G275," ")</f>
        <v> </v>
      </c>
      <c r="S275" s="334" t="str">
        <f aca="false">IF((E275="l"),G275," ")</f>
        <v> </v>
      </c>
      <c r="T275" s="334" t="str">
        <f aca="false">IF((E275="b"),G275," ")</f>
        <v> </v>
      </c>
      <c r="U275" s="334" t="str">
        <f aca="false">IF((E275="i"),G275," ")</f>
        <v> </v>
      </c>
      <c r="V275" s="334" t="str">
        <f aca="false">IF((E275="o"),G275," ")</f>
        <v> </v>
      </c>
      <c r="W275" s="334" t="str">
        <f aca="false">IF((E275="f"),G275," ")</f>
        <v> </v>
      </c>
    </row>
    <row r="276" customFormat="false" ht="12.75" hidden="false" customHeight="false" outlineLevel="0" collapsed="false">
      <c r="A276" s="355"/>
      <c r="E276" s="365" t="str">
        <f aca="false">IF((G276&lt;&gt;0),"Enter Letter"," ")</f>
        <v> </v>
      </c>
      <c r="J276" s="334" t="str">
        <f aca="false">IF((E276="s"),G276," ")</f>
        <v> </v>
      </c>
      <c r="K276" s="334" t="str">
        <f aca="false">IF((E276="d"),G276," ")</f>
        <v> </v>
      </c>
      <c r="L276" s="334" t="str">
        <f aca="false">IF((E276="e"),G276," ")</f>
        <v> </v>
      </c>
      <c r="M276" s="334" t="str">
        <f aca="false">IF((E276="p"),G276," ")</f>
        <v> </v>
      </c>
      <c r="N276" s="334" t="str">
        <f aca="false">IF((E276="r"),G276," ")</f>
        <v> </v>
      </c>
      <c r="O276" s="334" t="str">
        <f aca="false">IF((E276="g"),G276," ")</f>
        <v> </v>
      </c>
      <c r="P276" s="334" t="str">
        <f aca="false">IF((E276="m"),G276," ")</f>
        <v> </v>
      </c>
      <c r="Q276" s="334" t="str">
        <f aca="false">IF((E276="t"),G276," ")</f>
        <v> </v>
      </c>
      <c r="R276" s="334" t="str">
        <f aca="false">IF((E276="a"),G276," ")</f>
        <v> </v>
      </c>
      <c r="S276" s="334" t="str">
        <f aca="false">IF((E276="l"),G276," ")</f>
        <v> </v>
      </c>
      <c r="T276" s="334" t="str">
        <f aca="false">IF((E276="b"),G276," ")</f>
        <v> </v>
      </c>
      <c r="U276" s="334" t="str">
        <f aca="false">IF((E276="i"),G276," ")</f>
        <v> </v>
      </c>
      <c r="V276" s="334" t="str">
        <f aca="false">IF((E276="o"),G276," ")</f>
        <v> </v>
      </c>
      <c r="W276" s="334" t="str">
        <f aca="false">IF((E276="f"),G276," ")</f>
        <v> </v>
      </c>
    </row>
    <row r="277" customFormat="false" ht="12.75" hidden="false" customHeight="false" outlineLevel="0" collapsed="false">
      <c r="A277" s="355"/>
      <c r="E277" s="365" t="str">
        <f aca="false">IF((G277&lt;&gt;0),"Enter Letter"," ")</f>
        <v> </v>
      </c>
      <c r="J277" s="334" t="str">
        <f aca="false">IF((E277="s"),G277," ")</f>
        <v> </v>
      </c>
      <c r="K277" s="334" t="str">
        <f aca="false">IF((E277="d"),G277," ")</f>
        <v> </v>
      </c>
      <c r="L277" s="334" t="str">
        <f aca="false">IF((E277="e"),G277," ")</f>
        <v> </v>
      </c>
      <c r="M277" s="334" t="str">
        <f aca="false">IF((E277="p"),G277," ")</f>
        <v> </v>
      </c>
      <c r="N277" s="334" t="str">
        <f aca="false">IF((E277="r"),G277," ")</f>
        <v> </v>
      </c>
      <c r="O277" s="334" t="str">
        <f aca="false">IF((E277="g"),G277," ")</f>
        <v> </v>
      </c>
      <c r="P277" s="334" t="str">
        <f aca="false">IF((E277="m"),G277," ")</f>
        <v> </v>
      </c>
      <c r="Q277" s="334" t="str">
        <f aca="false">IF((E277="t"),G277," ")</f>
        <v> </v>
      </c>
      <c r="R277" s="334" t="str">
        <f aca="false">IF((E277="a"),G277," ")</f>
        <v> </v>
      </c>
      <c r="S277" s="334" t="str">
        <f aca="false">IF((E277="l"),G277," ")</f>
        <v> </v>
      </c>
      <c r="T277" s="334" t="str">
        <f aca="false">IF((E277="b"),G277," ")</f>
        <v> </v>
      </c>
      <c r="U277" s="334" t="str">
        <f aca="false">IF((E277="i"),G277," ")</f>
        <v> </v>
      </c>
      <c r="V277" s="334" t="str">
        <f aca="false">IF((E277="o"),G277," ")</f>
        <v> </v>
      </c>
      <c r="W277" s="334" t="str">
        <f aca="false">IF((E277="f"),G277," ")</f>
        <v> </v>
      </c>
    </row>
    <row r="278" customFormat="false" ht="12.75" hidden="false" customHeight="false" outlineLevel="0" collapsed="false">
      <c r="A278" s="355"/>
      <c r="E278" s="365" t="str">
        <f aca="false">IF((G278&lt;&gt;0),"Enter Letter"," ")</f>
        <v> </v>
      </c>
      <c r="J278" s="334" t="str">
        <f aca="false">IF((E278="s"),G278," ")</f>
        <v> </v>
      </c>
      <c r="K278" s="334" t="str">
        <f aca="false">IF((E278="d"),G278," ")</f>
        <v> </v>
      </c>
      <c r="L278" s="334" t="str">
        <f aca="false">IF((E278="e"),G278," ")</f>
        <v> </v>
      </c>
      <c r="M278" s="334" t="str">
        <f aca="false">IF((E278="p"),G278," ")</f>
        <v> </v>
      </c>
      <c r="N278" s="334" t="str">
        <f aca="false">IF((E278="r"),G278," ")</f>
        <v> </v>
      </c>
      <c r="O278" s="334" t="str">
        <f aca="false">IF((E278="g"),G278," ")</f>
        <v> </v>
      </c>
      <c r="P278" s="334" t="str">
        <f aca="false">IF((E278="m"),G278," ")</f>
        <v> </v>
      </c>
      <c r="Q278" s="334" t="str">
        <f aca="false">IF((E278="t"),G278," ")</f>
        <v> </v>
      </c>
      <c r="R278" s="334" t="str">
        <f aca="false">IF((E278="a"),G278," ")</f>
        <v> </v>
      </c>
      <c r="S278" s="334" t="str">
        <f aca="false">IF((E278="l"),G278," ")</f>
        <v> </v>
      </c>
      <c r="T278" s="334" t="str">
        <f aca="false">IF((E278="b"),G278," ")</f>
        <v> </v>
      </c>
      <c r="U278" s="334" t="str">
        <f aca="false">IF((E278="i"),G278," ")</f>
        <v> </v>
      </c>
      <c r="V278" s="334" t="str">
        <f aca="false">IF((E278="o"),G278," ")</f>
        <v> </v>
      </c>
      <c r="W278" s="334" t="str">
        <f aca="false">IF((E278="f"),G278," ")</f>
        <v> </v>
      </c>
    </row>
    <row r="279" customFormat="false" ht="12.75" hidden="false" customHeight="false" outlineLevel="0" collapsed="false">
      <c r="A279" s="355"/>
      <c r="E279" s="365" t="str">
        <f aca="false">IF((G279&lt;&gt;0),"Enter Letter"," ")</f>
        <v> </v>
      </c>
      <c r="J279" s="334" t="str">
        <f aca="false">IF((E279="s"),G279," ")</f>
        <v> </v>
      </c>
      <c r="K279" s="334" t="str">
        <f aca="false">IF((E279="d"),G279," ")</f>
        <v> </v>
      </c>
      <c r="L279" s="334" t="str">
        <f aca="false">IF((E279="e"),G279," ")</f>
        <v> </v>
      </c>
      <c r="M279" s="334" t="str">
        <f aca="false">IF((E279="p"),G279," ")</f>
        <v> </v>
      </c>
      <c r="N279" s="334" t="str">
        <f aca="false">IF((E279="r"),G279," ")</f>
        <v> </v>
      </c>
      <c r="O279" s="334" t="str">
        <f aca="false">IF((E279="g"),G279," ")</f>
        <v> </v>
      </c>
      <c r="P279" s="334" t="str">
        <f aca="false">IF((E279="m"),G279," ")</f>
        <v> </v>
      </c>
      <c r="Q279" s="334" t="str">
        <f aca="false">IF((E279="t"),G279," ")</f>
        <v> </v>
      </c>
      <c r="R279" s="334" t="str">
        <f aca="false">IF((E279="a"),G279," ")</f>
        <v> </v>
      </c>
      <c r="S279" s="334" t="str">
        <f aca="false">IF((E279="l"),G279," ")</f>
        <v> </v>
      </c>
      <c r="T279" s="334" t="str">
        <f aca="false">IF((E279="b"),G279," ")</f>
        <v> </v>
      </c>
      <c r="U279" s="334" t="str">
        <f aca="false">IF((E279="i"),G279," ")</f>
        <v> </v>
      </c>
      <c r="V279" s="334" t="str">
        <f aca="false">IF((E279="o"),G279," ")</f>
        <v> </v>
      </c>
      <c r="W279" s="334" t="str">
        <f aca="false">IF((E279="f"),G279," ")</f>
        <v> </v>
      </c>
    </row>
    <row r="280" customFormat="false" ht="12.75" hidden="false" customHeight="false" outlineLevel="0" collapsed="false">
      <c r="A280" s="355"/>
      <c r="E280" s="365" t="str">
        <f aca="false">IF((G280&lt;&gt;0),"Enter Letter"," ")</f>
        <v> </v>
      </c>
      <c r="J280" s="334" t="str">
        <f aca="false">IF((E280="s"),G280," ")</f>
        <v> </v>
      </c>
      <c r="K280" s="334" t="str">
        <f aca="false">IF((E280="d"),G280," ")</f>
        <v> </v>
      </c>
      <c r="L280" s="334" t="str">
        <f aca="false">IF((E280="e"),G280," ")</f>
        <v> </v>
      </c>
      <c r="M280" s="334" t="str">
        <f aca="false">IF((E280="p"),G280," ")</f>
        <v> </v>
      </c>
      <c r="N280" s="334" t="str">
        <f aca="false">IF((E280="r"),G280," ")</f>
        <v> </v>
      </c>
      <c r="O280" s="334" t="str">
        <f aca="false">IF((E280="g"),G280," ")</f>
        <v> </v>
      </c>
      <c r="P280" s="334" t="str">
        <f aca="false">IF((E280="m"),G280," ")</f>
        <v> </v>
      </c>
      <c r="Q280" s="334" t="str">
        <f aca="false">IF((E280="t"),G280," ")</f>
        <v> </v>
      </c>
      <c r="R280" s="334" t="str">
        <f aca="false">IF((E280="a"),G280," ")</f>
        <v> </v>
      </c>
      <c r="S280" s="334" t="str">
        <f aca="false">IF((E280="l"),G280," ")</f>
        <v> </v>
      </c>
      <c r="T280" s="334" t="str">
        <f aca="false">IF((E280="b"),G280," ")</f>
        <v> </v>
      </c>
      <c r="U280" s="334" t="str">
        <f aca="false">IF((E280="i"),G280," ")</f>
        <v> </v>
      </c>
      <c r="V280" s="334" t="str">
        <f aca="false">IF((E280="o"),G280," ")</f>
        <v> </v>
      </c>
      <c r="W280" s="334" t="str">
        <f aca="false">IF((E280="f"),G280," ")</f>
        <v> </v>
      </c>
    </row>
    <row r="281" customFormat="false" ht="12.75" hidden="false" customHeight="false" outlineLevel="0" collapsed="false">
      <c r="A281" s="355"/>
      <c r="E281" s="365" t="str">
        <f aca="false">IF((G281&lt;&gt;0),"Enter Letter"," ")</f>
        <v> </v>
      </c>
      <c r="J281" s="334" t="str">
        <f aca="false">IF((E281="s"),G281," ")</f>
        <v> </v>
      </c>
      <c r="K281" s="334" t="str">
        <f aca="false">IF((E281="d"),G281," ")</f>
        <v> </v>
      </c>
      <c r="L281" s="334" t="str">
        <f aca="false">IF((E281="e"),G281," ")</f>
        <v> </v>
      </c>
      <c r="M281" s="334" t="str">
        <f aca="false">IF((E281="p"),G281," ")</f>
        <v> </v>
      </c>
      <c r="N281" s="334" t="str">
        <f aca="false">IF((E281="r"),G281," ")</f>
        <v> </v>
      </c>
      <c r="O281" s="334" t="str">
        <f aca="false">IF((E281="g"),G281," ")</f>
        <v> </v>
      </c>
      <c r="P281" s="334" t="str">
        <f aca="false">IF((E281="m"),G281," ")</f>
        <v> </v>
      </c>
      <c r="Q281" s="334" t="str">
        <f aca="false">IF((E281="t"),G281," ")</f>
        <v> </v>
      </c>
      <c r="R281" s="334" t="str">
        <f aca="false">IF((E281="a"),G281," ")</f>
        <v> </v>
      </c>
      <c r="S281" s="334" t="str">
        <f aca="false">IF((E281="l"),G281," ")</f>
        <v> </v>
      </c>
      <c r="T281" s="334" t="str">
        <f aca="false">IF((E281="b"),G281," ")</f>
        <v> </v>
      </c>
      <c r="U281" s="334" t="str">
        <f aca="false">IF((E281="i"),G281," ")</f>
        <v> </v>
      </c>
      <c r="V281" s="334" t="str">
        <f aca="false">IF((E281="o"),G281," ")</f>
        <v> </v>
      </c>
      <c r="W281" s="334" t="str">
        <f aca="false">IF((E281="f"),G281," ")</f>
        <v> </v>
      </c>
    </row>
    <row r="282" customFormat="false" ht="12.75" hidden="false" customHeight="false" outlineLevel="0" collapsed="false">
      <c r="A282" s="355"/>
      <c r="E282" s="365" t="str">
        <f aca="false">IF((G282&lt;&gt;0),"Enter Letter"," ")</f>
        <v> </v>
      </c>
      <c r="J282" s="334" t="str">
        <f aca="false">IF((E282="s"),G282," ")</f>
        <v> </v>
      </c>
      <c r="K282" s="334" t="str">
        <f aca="false">IF((E282="d"),G282," ")</f>
        <v> </v>
      </c>
      <c r="L282" s="334" t="str">
        <f aca="false">IF((E282="e"),G282," ")</f>
        <v> </v>
      </c>
      <c r="M282" s="334" t="str">
        <f aca="false">IF((E282="p"),G282," ")</f>
        <v> </v>
      </c>
      <c r="N282" s="334" t="str">
        <f aca="false">IF((E282="r"),G282," ")</f>
        <v> </v>
      </c>
      <c r="O282" s="334" t="str">
        <f aca="false">IF((E282="g"),G282," ")</f>
        <v> </v>
      </c>
      <c r="P282" s="334" t="str">
        <f aca="false">IF((E282="m"),G282," ")</f>
        <v> </v>
      </c>
      <c r="Q282" s="334" t="str">
        <f aca="false">IF((E282="t"),G282," ")</f>
        <v> </v>
      </c>
      <c r="R282" s="334" t="str">
        <f aca="false">IF((E282="a"),G282," ")</f>
        <v> </v>
      </c>
      <c r="S282" s="334" t="str">
        <f aca="false">IF((E282="l"),G282," ")</f>
        <v> </v>
      </c>
      <c r="T282" s="334" t="str">
        <f aca="false">IF((E282="b"),G282," ")</f>
        <v> </v>
      </c>
      <c r="U282" s="334" t="str">
        <f aca="false">IF((E282="i"),G282," ")</f>
        <v> </v>
      </c>
      <c r="V282" s="334" t="str">
        <f aca="false">IF((E282="o"),G282," ")</f>
        <v> </v>
      </c>
      <c r="W282" s="334" t="str">
        <f aca="false">IF((E282="f"),G282," ")</f>
        <v> </v>
      </c>
    </row>
    <row r="283" customFormat="false" ht="12.75" hidden="false" customHeight="false" outlineLevel="0" collapsed="false">
      <c r="A283" s="355"/>
      <c r="E283" s="365" t="str">
        <f aca="false">IF((G283&lt;&gt;0),"Enter Letter"," ")</f>
        <v> </v>
      </c>
      <c r="J283" s="334" t="str">
        <f aca="false">IF((E283="s"),G283," ")</f>
        <v> </v>
      </c>
      <c r="K283" s="334" t="str">
        <f aca="false">IF((E283="d"),G283," ")</f>
        <v> </v>
      </c>
      <c r="L283" s="334" t="str">
        <f aca="false">IF((E283="e"),G283," ")</f>
        <v> </v>
      </c>
      <c r="M283" s="334" t="str">
        <f aca="false">IF((E283="p"),G283," ")</f>
        <v> </v>
      </c>
      <c r="N283" s="334" t="str">
        <f aca="false">IF((E283="r"),G283," ")</f>
        <v> </v>
      </c>
      <c r="O283" s="334" t="str">
        <f aca="false">IF((E283="g"),G283," ")</f>
        <v> </v>
      </c>
      <c r="P283" s="334" t="str">
        <f aca="false">IF((E283="m"),G283," ")</f>
        <v> </v>
      </c>
      <c r="Q283" s="334" t="str">
        <f aca="false">IF((E283="t"),G283," ")</f>
        <v> </v>
      </c>
      <c r="R283" s="334" t="str">
        <f aca="false">IF((E283="a"),G283," ")</f>
        <v> </v>
      </c>
      <c r="S283" s="334" t="str">
        <f aca="false">IF((E283="l"),G283," ")</f>
        <v> </v>
      </c>
      <c r="T283" s="334" t="str">
        <f aca="false">IF((E283="b"),G283," ")</f>
        <v> </v>
      </c>
      <c r="U283" s="334" t="str">
        <f aca="false">IF((E283="i"),G283," ")</f>
        <v> </v>
      </c>
      <c r="V283" s="334" t="str">
        <f aca="false">IF((E283="o"),G283," ")</f>
        <v> </v>
      </c>
      <c r="W283" s="334" t="str">
        <f aca="false">IF((E283="f"),G283," ")</f>
        <v> </v>
      </c>
    </row>
    <row r="284" customFormat="false" ht="12.75" hidden="false" customHeight="false" outlineLevel="0" collapsed="false">
      <c r="A284" s="355"/>
      <c r="E284" s="365" t="str">
        <f aca="false">IF((G284&lt;&gt;0),"Enter Letter"," ")</f>
        <v> </v>
      </c>
      <c r="J284" s="334" t="str">
        <f aca="false">IF((E284="s"),G284," ")</f>
        <v> </v>
      </c>
      <c r="K284" s="334" t="str">
        <f aca="false">IF((E284="d"),G284," ")</f>
        <v> </v>
      </c>
      <c r="L284" s="334" t="str">
        <f aca="false">IF((E284="e"),G284," ")</f>
        <v> </v>
      </c>
      <c r="M284" s="334" t="str">
        <f aca="false">IF((E284="p"),G284," ")</f>
        <v> </v>
      </c>
      <c r="N284" s="334" t="str">
        <f aca="false">IF((E284="r"),G284," ")</f>
        <v> </v>
      </c>
      <c r="O284" s="334" t="str">
        <f aca="false">IF((E284="g"),G284," ")</f>
        <v> </v>
      </c>
      <c r="P284" s="334" t="str">
        <f aca="false">IF((E284="m"),G284," ")</f>
        <v> </v>
      </c>
      <c r="Q284" s="334" t="str">
        <f aca="false">IF((E284="t"),G284," ")</f>
        <v> </v>
      </c>
      <c r="R284" s="334" t="str">
        <f aca="false">IF((E284="a"),G284," ")</f>
        <v> </v>
      </c>
      <c r="S284" s="334" t="str">
        <f aca="false">IF((E284="l"),G284," ")</f>
        <v> </v>
      </c>
      <c r="T284" s="334" t="str">
        <f aca="false">IF((E284="b"),G284," ")</f>
        <v> </v>
      </c>
      <c r="U284" s="334" t="str">
        <f aca="false">IF((E284="i"),G284," ")</f>
        <v> </v>
      </c>
      <c r="V284" s="334" t="str">
        <f aca="false">IF((E284="o"),G284," ")</f>
        <v> </v>
      </c>
      <c r="W284" s="334" t="str">
        <f aca="false">IF((E284="f"),G284," ")</f>
        <v> </v>
      </c>
    </row>
    <row r="285" customFormat="false" ht="12.75" hidden="false" customHeight="false" outlineLevel="0" collapsed="false">
      <c r="A285" s="355"/>
      <c r="E285" s="365" t="str">
        <f aca="false">IF((G285&lt;&gt;0),"Enter Letter"," ")</f>
        <v> </v>
      </c>
      <c r="J285" s="334" t="str">
        <f aca="false">IF((E285="s"),G285," ")</f>
        <v> </v>
      </c>
      <c r="K285" s="334" t="str">
        <f aca="false">IF((E285="d"),G285," ")</f>
        <v> </v>
      </c>
      <c r="L285" s="334" t="str">
        <f aca="false">IF((E285="e"),G285," ")</f>
        <v> </v>
      </c>
      <c r="M285" s="334" t="str">
        <f aca="false">IF((E285="p"),G285," ")</f>
        <v> </v>
      </c>
      <c r="N285" s="334" t="str">
        <f aca="false">IF((E285="r"),G285," ")</f>
        <v> </v>
      </c>
      <c r="O285" s="334" t="str">
        <f aca="false">IF((E285="g"),G285," ")</f>
        <v> </v>
      </c>
      <c r="P285" s="334" t="str">
        <f aca="false">IF((E285="m"),G285," ")</f>
        <v> </v>
      </c>
      <c r="Q285" s="334" t="str">
        <f aca="false">IF((E285="t"),G285," ")</f>
        <v> </v>
      </c>
      <c r="R285" s="334" t="str">
        <f aca="false">IF((E285="a"),G285," ")</f>
        <v> </v>
      </c>
      <c r="S285" s="334" t="str">
        <f aca="false">IF((E285="l"),G285," ")</f>
        <v> </v>
      </c>
      <c r="T285" s="334" t="str">
        <f aca="false">IF((E285="b"),G285," ")</f>
        <v> </v>
      </c>
      <c r="U285" s="334" t="str">
        <f aca="false">IF((E285="i"),G285," ")</f>
        <v> </v>
      </c>
      <c r="V285" s="334" t="str">
        <f aca="false">IF((E285="o"),G285," ")</f>
        <v> </v>
      </c>
      <c r="W285" s="334" t="str">
        <f aca="false">IF((E285="f"),G285," ")</f>
        <v> </v>
      </c>
    </row>
    <row r="286" customFormat="false" ht="12.75" hidden="false" customHeight="false" outlineLevel="0" collapsed="false">
      <c r="A286" s="355"/>
      <c r="E286" s="365" t="str">
        <f aca="false">IF((G286&lt;&gt;0),"Enter Letter"," ")</f>
        <v> </v>
      </c>
      <c r="J286" s="334" t="str">
        <f aca="false">IF((E286="s"),G286," ")</f>
        <v> </v>
      </c>
      <c r="K286" s="334" t="str">
        <f aca="false">IF((E286="d"),G286," ")</f>
        <v> </v>
      </c>
      <c r="L286" s="334" t="str">
        <f aca="false">IF((E286="e"),G286," ")</f>
        <v> </v>
      </c>
      <c r="M286" s="334" t="str">
        <f aca="false">IF((E286="p"),G286," ")</f>
        <v> </v>
      </c>
      <c r="N286" s="334" t="str">
        <f aca="false">IF((E286="r"),G286," ")</f>
        <v> </v>
      </c>
      <c r="O286" s="334" t="str">
        <f aca="false">IF((E286="g"),G286," ")</f>
        <v> </v>
      </c>
      <c r="P286" s="334" t="str">
        <f aca="false">IF((E286="m"),G286," ")</f>
        <v> </v>
      </c>
      <c r="Q286" s="334" t="str">
        <f aca="false">IF((E286="t"),G286," ")</f>
        <v> </v>
      </c>
      <c r="R286" s="334" t="str">
        <f aca="false">IF((E286="a"),G286," ")</f>
        <v> </v>
      </c>
      <c r="S286" s="334" t="str">
        <f aca="false">IF((E286="l"),G286," ")</f>
        <v> </v>
      </c>
      <c r="T286" s="334" t="str">
        <f aca="false">IF((E286="b"),G286," ")</f>
        <v> </v>
      </c>
      <c r="U286" s="334" t="str">
        <f aca="false">IF((E286="i"),G286," ")</f>
        <v> </v>
      </c>
      <c r="V286" s="334" t="str">
        <f aca="false">IF((E286="o"),G286," ")</f>
        <v> </v>
      </c>
      <c r="W286" s="334" t="str">
        <f aca="false">IF((E286="f"),G286," ")</f>
        <v> </v>
      </c>
    </row>
    <row r="287" customFormat="false" ht="12.75" hidden="false" customHeight="false" outlineLevel="0" collapsed="false">
      <c r="A287" s="355"/>
      <c r="E287" s="365" t="str">
        <f aca="false">IF((G287&lt;&gt;0),"Enter Letter"," ")</f>
        <v> </v>
      </c>
      <c r="J287" s="334" t="str">
        <f aca="false">IF((E287="s"),G287," ")</f>
        <v> </v>
      </c>
      <c r="K287" s="334" t="str">
        <f aca="false">IF((E287="d"),G287," ")</f>
        <v> </v>
      </c>
      <c r="L287" s="334" t="str">
        <f aca="false">IF((E287="e"),G287," ")</f>
        <v> </v>
      </c>
      <c r="M287" s="334" t="str">
        <f aca="false">IF((E287="p"),G287," ")</f>
        <v> </v>
      </c>
      <c r="N287" s="334" t="str">
        <f aca="false">IF((E287="r"),G287," ")</f>
        <v> </v>
      </c>
      <c r="O287" s="334" t="str">
        <f aca="false">IF((E287="g"),G287," ")</f>
        <v> </v>
      </c>
      <c r="P287" s="334" t="str">
        <f aca="false">IF((E287="m"),G287," ")</f>
        <v> </v>
      </c>
      <c r="Q287" s="334" t="str">
        <f aca="false">IF((E287="t"),G287," ")</f>
        <v> </v>
      </c>
      <c r="R287" s="334" t="str">
        <f aca="false">IF((E287="a"),G287," ")</f>
        <v> </v>
      </c>
      <c r="S287" s="334" t="str">
        <f aca="false">IF((E287="l"),G287," ")</f>
        <v> </v>
      </c>
      <c r="T287" s="334" t="str">
        <f aca="false">IF((E287="b"),G287," ")</f>
        <v> </v>
      </c>
      <c r="U287" s="334" t="str">
        <f aca="false">IF((E287="i"),G287," ")</f>
        <v> </v>
      </c>
      <c r="V287" s="334" t="str">
        <f aca="false">IF((E287="o"),G287," ")</f>
        <v> </v>
      </c>
      <c r="W287" s="334" t="str">
        <f aca="false">IF((E287="f"),G287," ")</f>
        <v> </v>
      </c>
    </row>
    <row r="288" customFormat="false" ht="12.75" hidden="false" customHeight="false" outlineLevel="0" collapsed="false">
      <c r="A288" s="355"/>
      <c r="E288" s="365" t="str">
        <f aca="false">IF((G288&lt;&gt;0),"Enter Letter"," ")</f>
        <v> </v>
      </c>
      <c r="J288" s="334" t="str">
        <f aca="false">IF((E288="s"),G288," ")</f>
        <v> </v>
      </c>
      <c r="K288" s="334" t="str">
        <f aca="false">IF((E288="d"),G288," ")</f>
        <v> </v>
      </c>
      <c r="L288" s="334" t="str">
        <f aca="false">IF((E288="e"),G288," ")</f>
        <v> </v>
      </c>
      <c r="M288" s="334" t="str">
        <f aca="false">IF((E288="p"),G288," ")</f>
        <v> </v>
      </c>
      <c r="N288" s="334" t="str">
        <f aca="false">IF((E288="r"),G288," ")</f>
        <v> </v>
      </c>
      <c r="O288" s="334" t="str">
        <f aca="false">IF((E288="g"),G288," ")</f>
        <v> </v>
      </c>
      <c r="P288" s="334" t="str">
        <f aca="false">IF((E288="m"),G288," ")</f>
        <v> </v>
      </c>
      <c r="Q288" s="334" t="str">
        <f aca="false">IF((E288="t"),G288," ")</f>
        <v> </v>
      </c>
      <c r="R288" s="334" t="str">
        <f aca="false">IF((E288="a"),G288," ")</f>
        <v> </v>
      </c>
      <c r="S288" s="334" t="str">
        <f aca="false">IF((E288="l"),G288," ")</f>
        <v> </v>
      </c>
      <c r="T288" s="334" t="str">
        <f aca="false">IF((E288="b"),G288," ")</f>
        <v> </v>
      </c>
      <c r="U288" s="334" t="str">
        <f aca="false">IF((E288="i"),G288," ")</f>
        <v> </v>
      </c>
      <c r="V288" s="334" t="str">
        <f aca="false">IF((E288="o"),G288," ")</f>
        <v> </v>
      </c>
      <c r="W288" s="334" t="str">
        <f aca="false">IF((E288="f"),G288," ")</f>
        <v> </v>
      </c>
    </row>
    <row r="289" customFormat="false" ht="12.75" hidden="false" customHeight="false" outlineLevel="0" collapsed="false">
      <c r="A289" s="355"/>
      <c r="E289" s="365" t="str">
        <f aca="false">IF((G289&lt;&gt;0),"Enter Letter"," ")</f>
        <v> </v>
      </c>
      <c r="J289" s="334" t="str">
        <f aca="false">IF((E289="s"),G289," ")</f>
        <v> </v>
      </c>
      <c r="K289" s="334" t="str">
        <f aca="false">IF((E289="d"),G289," ")</f>
        <v> </v>
      </c>
      <c r="L289" s="334" t="str">
        <f aca="false">IF((E289="e"),G289," ")</f>
        <v> </v>
      </c>
      <c r="M289" s="334" t="str">
        <f aca="false">IF((E289="p"),G289," ")</f>
        <v> </v>
      </c>
      <c r="N289" s="334" t="str">
        <f aca="false">IF((E289="r"),G289," ")</f>
        <v> </v>
      </c>
      <c r="O289" s="334" t="str">
        <f aca="false">IF((E289="g"),G289," ")</f>
        <v> </v>
      </c>
      <c r="P289" s="334" t="str">
        <f aca="false">IF((E289="m"),G289," ")</f>
        <v> </v>
      </c>
      <c r="Q289" s="334" t="str">
        <f aca="false">IF((E289="t"),G289," ")</f>
        <v> </v>
      </c>
      <c r="R289" s="334" t="str">
        <f aca="false">IF((E289="a"),G289," ")</f>
        <v> </v>
      </c>
      <c r="S289" s="334" t="str">
        <f aca="false">IF((E289="l"),G289," ")</f>
        <v> </v>
      </c>
      <c r="T289" s="334" t="str">
        <f aca="false">IF((E289="b"),G289," ")</f>
        <v> </v>
      </c>
      <c r="U289" s="334" t="str">
        <f aca="false">IF((E289="i"),G289," ")</f>
        <v> </v>
      </c>
      <c r="V289" s="334" t="str">
        <f aca="false">IF((E289="o"),G289," ")</f>
        <v> </v>
      </c>
      <c r="W289" s="334" t="str">
        <f aca="false">IF((E289="f"),G289," ")</f>
        <v> </v>
      </c>
    </row>
    <row r="290" customFormat="false" ht="12.75" hidden="false" customHeight="false" outlineLevel="0" collapsed="false">
      <c r="A290" s="355"/>
      <c r="E290" s="365" t="str">
        <f aca="false">IF((G290&lt;&gt;0),"Enter Letter"," ")</f>
        <v> </v>
      </c>
      <c r="J290" s="334" t="str">
        <f aca="false">IF((E290="s"),G290," ")</f>
        <v> </v>
      </c>
      <c r="K290" s="334" t="str">
        <f aca="false">IF((E290="d"),G290," ")</f>
        <v> </v>
      </c>
      <c r="L290" s="334" t="str">
        <f aca="false">IF((E290="e"),G290," ")</f>
        <v> </v>
      </c>
      <c r="M290" s="334" t="str">
        <f aca="false">IF((E290="p"),G290," ")</f>
        <v> </v>
      </c>
      <c r="N290" s="334" t="str">
        <f aca="false">IF((E290="r"),G290," ")</f>
        <v> </v>
      </c>
      <c r="O290" s="334" t="str">
        <f aca="false">IF((E290="g"),G290," ")</f>
        <v> </v>
      </c>
      <c r="P290" s="334" t="str">
        <f aca="false">IF((E290="m"),G290," ")</f>
        <v> </v>
      </c>
      <c r="Q290" s="334" t="str">
        <f aca="false">IF((E290="t"),G290," ")</f>
        <v> </v>
      </c>
      <c r="R290" s="334" t="str">
        <f aca="false">IF((E290="a"),G290," ")</f>
        <v> </v>
      </c>
      <c r="S290" s="334" t="str">
        <f aca="false">IF((E290="l"),G290," ")</f>
        <v> </v>
      </c>
      <c r="T290" s="334" t="str">
        <f aca="false">IF((E290="b"),G290," ")</f>
        <v> </v>
      </c>
      <c r="U290" s="334" t="str">
        <f aca="false">IF((E290="i"),G290," ")</f>
        <v> </v>
      </c>
      <c r="V290" s="334" t="str">
        <f aca="false">IF((E290="o"),G290," ")</f>
        <v> </v>
      </c>
      <c r="W290" s="334" t="str">
        <f aca="false">IF((E290="f"),G290," ")</f>
        <v> </v>
      </c>
    </row>
    <row r="291" customFormat="false" ht="12.75" hidden="false" customHeight="false" outlineLevel="0" collapsed="false">
      <c r="A291" s="355"/>
      <c r="E291" s="365" t="str">
        <f aca="false">IF((G291&lt;&gt;0),"Enter Letter"," ")</f>
        <v> </v>
      </c>
      <c r="J291" s="334" t="str">
        <f aca="false">IF((E291="s"),G291," ")</f>
        <v> </v>
      </c>
      <c r="K291" s="334" t="str">
        <f aca="false">IF((E291="d"),G291," ")</f>
        <v> </v>
      </c>
      <c r="L291" s="334" t="str">
        <f aca="false">IF((E291="e"),G291," ")</f>
        <v> </v>
      </c>
      <c r="M291" s="334" t="str">
        <f aca="false">IF((E291="p"),G291," ")</f>
        <v> </v>
      </c>
      <c r="N291" s="334" t="str">
        <f aca="false">IF((E291="r"),G291," ")</f>
        <v> </v>
      </c>
      <c r="O291" s="334" t="str">
        <f aca="false">IF((E291="g"),G291," ")</f>
        <v> </v>
      </c>
      <c r="P291" s="334" t="str">
        <f aca="false">IF((E291="m"),G291," ")</f>
        <v> </v>
      </c>
      <c r="Q291" s="334" t="str">
        <f aca="false">IF((E291="t"),G291," ")</f>
        <v> </v>
      </c>
      <c r="R291" s="334" t="str">
        <f aca="false">IF((E291="a"),G291," ")</f>
        <v> </v>
      </c>
      <c r="S291" s="334" t="str">
        <f aca="false">IF((E291="l"),G291," ")</f>
        <v> </v>
      </c>
      <c r="T291" s="334" t="str">
        <f aca="false">IF((E291="b"),G291," ")</f>
        <v> </v>
      </c>
      <c r="U291" s="334" t="str">
        <f aca="false">IF((E291="i"),G291," ")</f>
        <v> </v>
      </c>
      <c r="V291" s="334" t="str">
        <f aca="false">IF((E291="o"),G291," ")</f>
        <v> </v>
      </c>
      <c r="W291" s="334" t="str">
        <f aca="false">IF((E291="f"),G291," ")</f>
        <v> </v>
      </c>
    </row>
    <row r="292" customFormat="false" ht="12.75" hidden="false" customHeight="false" outlineLevel="0" collapsed="false">
      <c r="A292" s="355"/>
      <c r="E292" s="365" t="str">
        <f aca="false">IF((G292&lt;&gt;0),"Enter Letter"," ")</f>
        <v> </v>
      </c>
      <c r="J292" s="334" t="str">
        <f aca="false">IF((E292="s"),G292," ")</f>
        <v> </v>
      </c>
      <c r="K292" s="334" t="str">
        <f aca="false">IF((E292="d"),G292," ")</f>
        <v> </v>
      </c>
      <c r="L292" s="334" t="str">
        <f aca="false">IF((E292="e"),G292," ")</f>
        <v> </v>
      </c>
      <c r="M292" s="334" t="str">
        <f aca="false">IF((E292="p"),G292," ")</f>
        <v> </v>
      </c>
      <c r="N292" s="334" t="str">
        <f aca="false">IF((E292="r"),G292," ")</f>
        <v> </v>
      </c>
      <c r="O292" s="334" t="str">
        <f aca="false">IF((E292="g"),G292," ")</f>
        <v> </v>
      </c>
      <c r="P292" s="334" t="str">
        <f aca="false">IF((E292="m"),G292," ")</f>
        <v> </v>
      </c>
      <c r="Q292" s="334" t="str">
        <f aca="false">IF((E292="t"),G292," ")</f>
        <v> </v>
      </c>
      <c r="R292" s="334" t="str">
        <f aca="false">IF((E292="a"),G292," ")</f>
        <v> </v>
      </c>
      <c r="S292" s="334" t="str">
        <f aca="false">IF((E292="l"),G292," ")</f>
        <v> </v>
      </c>
      <c r="T292" s="334" t="str">
        <f aca="false">IF((E292="b"),G292," ")</f>
        <v> </v>
      </c>
      <c r="U292" s="334" t="str">
        <f aca="false">IF((E292="i"),G292," ")</f>
        <v> </v>
      </c>
      <c r="V292" s="334" t="str">
        <f aca="false">IF((E292="o"),G292," ")</f>
        <v> </v>
      </c>
      <c r="W292" s="334" t="str">
        <f aca="false">IF((E292="f"),G292," ")</f>
        <v> </v>
      </c>
    </row>
    <row r="293" customFormat="false" ht="12.75" hidden="false" customHeight="false" outlineLevel="0" collapsed="false">
      <c r="A293" s="355"/>
      <c r="E293" s="365" t="str">
        <f aca="false">IF((G293&lt;&gt;0),"Enter Letter"," ")</f>
        <v> </v>
      </c>
      <c r="J293" s="334" t="str">
        <f aca="false">IF((E293="s"),G293," ")</f>
        <v> </v>
      </c>
      <c r="K293" s="334" t="str">
        <f aca="false">IF((E293="d"),G293," ")</f>
        <v> </v>
      </c>
      <c r="L293" s="334" t="str">
        <f aca="false">IF((E293="e"),G293," ")</f>
        <v> </v>
      </c>
      <c r="M293" s="334" t="str">
        <f aca="false">IF((E293="p"),G293," ")</f>
        <v> </v>
      </c>
      <c r="N293" s="334" t="str">
        <f aca="false">IF((E293="r"),G293," ")</f>
        <v> </v>
      </c>
      <c r="O293" s="334" t="str">
        <f aca="false">IF((E293="g"),G293," ")</f>
        <v> </v>
      </c>
      <c r="P293" s="334" t="str">
        <f aca="false">IF((E293="m"),G293," ")</f>
        <v> </v>
      </c>
      <c r="Q293" s="334" t="str">
        <f aca="false">IF((E293="t"),G293," ")</f>
        <v> </v>
      </c>
      <c r="R293" s="334" t="str">
        <f aca="false">IF((E293="a"),G293," ")</f>
        <v> </v>
      </c>
      <c r="S293" s="334" t="str">
        <f aca="false">IF((E293="l"),G293," ")</f>
        <v> </v>
      </c>
      <c r="T293" s="334" t="str">
        <f aca="false">IF((E293="b"),G293," ")</f>
        <v> </v>
      </c>
      <c r="U293" s="334" t="str">
        <f aca="false">IF((E293="i"),G293," ")</f>
        <v> </v>
      </c>
      <c r="V293" s="334" t="str">
        <f aca="false">IF((E293="o"),G293," ")</f>
        <v> </v>
      </c>
      <c r="W293" s="334" t="str">
        <f aca="false">IF((E293="f"),G293," ")</f>
        <v> </v>
      </c>
    </row>
    <row r="294" customFormat="false" ht="12.75" hidden="false" customHeight="false" outlineLevel="0" collapsed="false">
      <c r="A294" s="355"/>
      <c r="E294" s="365" t="str">
        <f aca="false">IF((G294&lt;&gt;0),"Enter Letter"," ")</f>
        <v> </v>
      </c>
      <c r="J294" s="334" t="str">
        <f aca="false">IF((E294="s"),G294," ")</f>
        <v> </v>
      </c>
      <c r="K294" s="334" t="str">
        <f aca="false">IF((E294="d"),G294," ")</f>
        <v> </v>
      </c>
      <c r="L294" s="334" t="str">
        <f aca="false">IF((E294="e"),G294," ")</f>
        <v> </v>
      </c>
      <c r="M294" s="334" t="str">
        <f aca="false">IF((E294="p"),G294," ")</f>
        <v> </v>
      </c>
      <c r="N294" s="334" t="str">
        <f aca="false">IF((E294="r"),G294," ")</f>
        <v> </v>
      </c>
      <c r="O294" s="334" t="str">
        <f aca="false">IF((E294="g"),G294," ")</f>
        <v> </v>
      </c>
      <c r="P294" s="334" t="str">
        <f aca="false">IF((E294="m"),G294," ")</f>
        <v> </v>
      </c>
      <c r="Q294" s="334" t="str">
        <f aca="false">IF((E294="t"),G294," ")</f>
        <v> </v>
      </c>
      <c r="R294" s="334" t="str">
        <f aca="false">IF((E294="a"),G294," ")</f>
        <v> </v>
      </c>
      <c r="S294" s="334" t="str">
        <f aca="false">IF((E294="l"),G294," ")</f>
        <v> </v>
      </c>
      <c r="T294" s="334" t="str">
        <f aca="false">IF((E294="b"),G294," ")</f>
        <v> </v>
      </c>
      <c r="U294" s="334" t="str">
        <f aca="false">IF((E294="i"),G294," ")</f>
        <v> </v>
      </c>
      <c r="V294" s="334" t="str">
        <f aca="false">IF((E294="o"),G294," ")</f>
        <v> </v>
      </c>
      <c r="W294" s="334" t="str">
        <f aca="false">IF((E294="f"),G294," ")</f>
        <v> </v>
      </c>
    </row>
    <row r="295" customFormat="false" ht="12.75" hidden="false" customHeight="false" outlineLevel="0" collapsed="false">
      <c r="A295" s="355"/>
      <c r="E295" s="365" t="str">
        <f aca="false">IF((G295&lt;&gt;0),"Enter Letter"," ")</f>
        <v> </v>
      </c>
      <c r="J295" s="334" t="str">
        <f aca="false">IF((E295="s"),G295," ")</f>
        <v> </v>
      </c>
      <c r="K295" s="334" t="str">
        <f aca="false">IF((E295="d"),G295," ")</f>
        <v> </v>
      </c>
      <c r="L295" s="334" t="str">
        <f aca="false">IF((E295="e"),G295," ")</f>
        <v> </v>
      </c>
      <c r="M295" s="334" t="str">
        <f aca="false">IF((E295="p"),G295," ")</f>
        <v> </v>
      </c>
      <c r="N295" s="334" t="str">
        <f aca="false">IF((E295="r"),G295," ")</f>
        <v> </v>
      </c>
      <c r="O295" s="334" t="str">
        <f aca="false">IF((E295="g"),G295," ")</f>
        <v> </v>
      </c>
      <c r="P295" s="334" t="str">
        <f aca="false">IF((E295="m"),G295," ")</f>
        <v> </v>
      </c>
      <c r="Q295" s="334" t="str">
        <f aca="false">IF((E295="t"),G295," ")</f>
        <v> </v>
      </c>
      <c r="R295" s="334" t="str">
        <f aca="false">IF((E295="a"),G295," ")</f>
        <v> </v>
      </c>
      <c r="S295" s="334" t="str">
        <f aca="false">IF((E295="l"),G295," ")</f>
        <v> </v>
      </c>
      <c r="T295" s="334" t="str">
        <f aca="false">IF((E295="b"),G295," ")</f>
        <v> </v>
      </c>
      <c r="U295" s="334" t="str">
        <f aca="false">IF((E295="i"),G295," ")</f>
        <v> </v>
      </c>
      <c r="V295" s="334" t="str">
        <f aca="false">IF((E295="o"),G295," ")</f>
        <v> </v>
      </c>
      <c r="W295" s="334" t="str">
        <f aca="false">IF((E295="f"),G295," ")</f>
        <v> </v>
      </c>
    </row>
    <row r="296" customFormat="false" ht="12.75" hidden="false" customHeight="false" outlineLevel="0" collapsed="false">
      <c r="A296" s="355"/>
      <c r="E296" s="365" t="str">
        <f aca="false">IF((G296&lt;&gt;0),"Enter Letter"," ")</f>
        <v> </v>
      </c>
      <c r="J296" s="334" t="str">
        <f aca="false">IF((E296="s"),G296," ")</f>
        <v> </v>
      </c>
      <c r="K296" s="334" t="str">
        <f aca="false">IF((E296="d"),G296," ")</f>
        <v> </v>
      </c>
      <c r="L296" s="334" t="str">
        <f aca="false">IF((E296="e"),G296," ")</f>
        <v> </v>
      </c>
      <c r="M296" s="334" t="str">
        <f aca="false">IF((E296="p"),G296," ")</f>
        <v> </v>
      </c>
      <c r="N296" s="334" t="str">
        <f aca="false">IF((E296="r"),G296," ")</f>
        <v> </v>
      </c>
      <c r="O296" s="334" t="str">
        <f aca="false">IF((E296="g"),G296," ")</f>
        <v> </v>
      </c>
      <c r="P296" s="334" t="str">
        <f aca="false">IF((E296="m"),G296," ")</f>
        <v> </v>
      </c>
      <c r="Q296" s="334" t="str">
        <f aca="false">IF((E296="t"),G296," ")</f>
        <v> </v>
      </c>
      <c r="R296" s="334" t="str">
        <f aca="false">IF((E296="a"),G296," ")</f>
        <v> </v>
      </c>
      <c r="S296" s="334" t="str">
        <f aca="false">IF((E296="l"),G296," ")</f>
        <v> </v>
      </c>
      <c r="T296" s="334" t="str">
        <f aca="false">IF((E296="b"),G296," ")</f>
        <v> </v>
      </c>
      <c r="U296" s="334" t="str">
        <f aca="false">IF((E296="i"),G296," ")</f>
        <v> </v>
      </c>
      <c r="V296" s="334" t="str">
        <f aca="false">IF((E296="o"),G296," ")</f>
        <v> </v>
      </c>
      <c r="W296" s="334" t="str">
        <f aca="false">IF((E296="f"),G296," ")</f>
        <v> </v>
      </c>
    </row>
    <row r="297" customFormat="false" ht="12.75" hidden="false" customHeight="false" outlineLevel="0" collapsed="false">
      <c r="A297" s="355"/>
      <c r="E297" s="365" t="str">
        <f aca="false">IF((G297&lt;&gt;0),"Enter Letter"," ")</f>
        <v> </v>
      </c>
      <c r="J297" s="334" t="str">
        <f aca="false">IF((E297="s"),G297," ")</f>
        <v> </v>
      </c>
      <c r="K297" s="334" t="str">
        <f aca="false">IF((E297="d"),G297," ")</f>
        <v> </v>
      </c>
      <c r="L297" s="334" t="str">
        <f aca="false">IF((E297="e"),G297," ")</f>
        <v> </v>
      </c>
      <c r="M297" s="334" t="str">
        <f aca="false">IF((E297="p"),G297," ")</f>
        <v> </v>
      </c>
      <c r="N297" s="334" t="str">
        <f aca="false">IF((E297="r"),G297," ")</f>
        <v> </v>
      </c>
      <c r="O297" s="334" t="str">
        <f aca="false">IF((E297="g"),G297," ")</f>
        <v> </v>
      </c>
      <c r="P297" s="334" t="str">
        <f aca="false">IF((E297="m"),G297," ")</f>
        <v> </v>
      </c>
      <c r="Q297" s="334" t="str">
        <f aca="false">IF((E297="t"),G297," ")</f>
        <v> </v>
      </c>
      <c r="R297" s="334" t="str">
        <f aca="false">IF((E297="a"),G297," ")</f>
        <v> </v>
      </c>
      <c r="S297" s="334" t="str">
        <f aca="false">IF((E297="l"),G297," ")</f>
        <v> </v>
      </c>
      <c r="T297" s="334" t="str">
        <f aca="false">IF((E297="b"),G297," ")</f>
        <v> </v>
      </c>
      <c r="U297" s="334" t="str">
        <f aca="false">IF((E297="i"),G297," ")</f>
        <v> </v>
      </c>
      <c r="V297" s="334" t="str">
        <f aca="false">IF((E297="o"),G297," ")</f>
        <v> </v>
      </c>
      <c r="W297" s="334" t="str">
        <f aca="false">IF((E297="f"),G297," ")</f>
        <v> </v>
      </c>
    </row>
    <row r="298" customFormat="false" ht="12.75" hidden="false" customHeight="false" outlineLevel="0" collapsed="false">
      <c r="A298" s="355"/>
      <c r="E298" s="365" t="str">
        <f aca="false">IF((G298&lt;&gt;0),"Enter Letter"," ")</f>
        <v> </v>
      </c>
      <c r="J298" s="334" t="str">
        <f aca="false">IF((E298="s"),G298," ")</f>
        <v> </v>
      </c>
      <c r="K298" s="334" t="str">
        <f aca="false">IF((E298="d"),G298," ")</f>
        <v> </v>
      </c>
      <c r="L298" s="334" t="str">
        <f aca="false">IF((E298="e"),G298," ")</f>
        <v> </v>
      </c>
      <c r="M298" s="334" t="str">
        <f aca="false">IF((E298="p"),G298," ")</f>
        <v> </v>
      </c>
      <c r="N298" s="334" t="str">
        <f aca="false">IF((E298="r"),G298," ")</f>
        <v> </v>
      </c>
      <c r="O298" s="334" t="str">
        <f aca="false">IF((E298="g"),G298," ")</f>
        <v> </v>
      </c>
      <c r="P298" s="334" t="str">
        <f aca="false">IF((E298="m"),G298," ")</f>
        <v> </v>
      </c>
      <c r="Q298" s="334" t="str">
        <f aca="false">IF((E298="t"),G298," ")</f>
        <v> </v>
      </c>
      <c r="R298" s="334" t="str">
        <f aca="false">IF((E298="a"),G298," ")</f>
        <v> </v>
      </c>
      <c r="S298" s="334" t="str">
        <f aca="false">IF((E298="l"),G298," ")</f>
        <v> </v>
      </c>
      <c r="T298" s="334" t="str">
        <f aca="false">IF((E298="b"),G298," ")</f>
        <v> </v>
      </c>
      <c r="U298" s="334" t="str">
        <f aca="false">IF((E298="i"),G298," ")</f>
        <v> </v>
      </c>
      <c r="V298" s="334" t="str">
        <f aca="false">IF((E298="o"),G298," ")</f>
        <v> </v>
      </c>
      <c r="W298" s="334" t="str">
        <f aca="false">IF((E298="f"),G298," ")</f>
        <v> </v>
      </c>
    </row>
    <row r="299" customFormat="false" ht="12.75" hidden="false" customHeight="false" outlineLevel="0" collapsed="false">
      <c r="A299" s="355"/>
      <c r="E299" s="365" t="str">
        <f aca="false">IF((G299&lt;&gt;0),"Enter Letter"," ")</f>
        <v> </v>
      </c>
      <c r="J299" s="334" t="str">
        <f aca="false">IF((E299="s"),G299," ")</f>
        <v> </v>
      </c>
      <c r="K299" s="334" t="str">
        <f aca="false">IF((E299="d"),G299," ")</f>
        <v> </v>
      </c>
      <c r="L299" s="334" t="str">
        <f aca="false">IF((E299="e"),G299," ")</f>
        <v> </v>
      </c>
      <c r="M299" s="334" t="str">
        <f aca="false">IF((E299="p"),G299," ")</f>
        <v> </v>
      </c>
      <c r="N299" s="334" t="str">
        <f aca="false">IF((E299="r"),G299," ")</f>
        <v> </v>
      </c>
      <c r="O299" s="334" t="str">
        <f aca="false">IF((E299="g"),G299," ")</f>
        <v> </v>
      </c>
      <c r="P299" s="334" t="str">
        <f aca="false">IF((E299="m"),G299," ")</f>
        <v> </v>
      </c>
      <c r="Q299" s="334" t="str">
        <f aca="false">IF((E299="t"),G299," ")</f>
        <v> </v>
      </c>
      <c r="R299" s="334" t="str">
        <f aca="false">IF((E299="a"),G299," ")</f>
        <v> </v>
      </c>
      <c r="S299" s="334" t="str">
        <f aca="false">IF((E299="l"),G299," ")</f>
        <v> </v>
      </c>
      <c r="T299" s="334" t="str">
        <f aca="false">IF((E299="b"),G299," ")</f>
        <v> </v>
      </c>
      <c r="U299" s="334" t="str">
        <f aca="false">IF((E299="i"),G299," ")</f>
        <v> </v>
      </c>
      <c r="V299" s="334" t="str">
        <f aca="false">IF((E299="o"),G299," ")</f>
        <v> </v>
      </c>
      <c r="W299" s="334" t="str">
        <f aca="false">IF((E299="f"),G299," ")</f>
        <v> </v>
      </c>
    </row>
    <row r="300" customFormat="false" ht="12.75" hidden="false" customHeight="false" outlineLevel="0" collapsed="false">
      <c r="A300" s="355"/>
      <c r="B300" s="393"/>
      <c r="C300" s="393"/>
      <c r="D300" s="394"/>
      <c r="E300" s="395" t="str">
        <f aca="false">IF((G300&lt;&gt;0),"Enter Letter"," ")</f>
        <v> </v>
      </c>
      <c r="F300" s="396"/>
      <c r="G300" s="397"/>
      <c r="H300" s="360"/>
      <c r="I300" s="398"/>
      <c r="J300" s="356" t="str">
        <f aca="false">IF((E300="s"),G300," ")</f>
        <v> </v>
      </c>
      <c r="K300" s="356" t="str">
        <f aca="false">IF((E300="d"),G300," ")</f>
        <v> </v>
      </c>
      <c r="L300" s="356" t="str">
        <f aca="false">IF((E300="e"),G300," ")</f>
        <v> </v>
      </c>
      <c r="M300" s="356" t="str">
        <f aca="false">IF((E300="p"),G300," ")</f>
        <v> </v>
      </c>
      <c r="N300" s="356" t="str">
        <f aca="false">IF((E300="r"),G300," ")</f>
        <v> </v>
      </c>
      <c r="O300" s="356" t="str">
        <f aca="false">IF((E300="g"),G300," ")</f>
        <v> </v>
      </c>
      <c r="P300" s="356" t="str">
        <f aca="false">IF((E300="m"),G300," ")</f>
        <v> </v>
      </c>
      <c r="Q300" s="356" t="str">
        <f aca="false">IF((E300="t"),G300," ")</f>
        <v> </v>
      </c>
      <c r="R300" s="356" t="str">
        <f aca="false">IF((E300="a"),G300," ")</f>
        <v> </v>
      </c>
      <c r="S300" s="356" t="str">
        <f aca="false">IF((E300="l"),G300," ")</f>
        <v> </v>
      </c>
      <c r="T300" s="356" t="str">
        <f aca="false">IF((E300="b"),G300," ")</f>
        <v> </v>
      </c>
      <c r="U300" s="356" t="str">
        <f aca="false">IF((E300="i"),G300," ")</f>
        <v> </v>
      </c>
      <c r="V300" s="356" t="str">
        <f aca="false">IF((E300="o"),G300," ")</f>
        <v> </v>
      </c>
      <c r="W300" s="356" t="str">
        <f aca="false">IF((E300="f"),G300," ")</f>
        <v> </v>
      </c>
    </row>
  </sheetData>
  <mergeCells count="25">
    <mergeCell ref="A2:A4"/>
    <mergeCell ref="B2:B4"/>
    <mergeCell ref="C2:C4"/>
    <mergeCell ref="D2:D4"/>
    <mergeCell ref="E2:E3"/>
    <mergeCell ref="F2:F4"/>
    <mergeCell ref="G2:G3"/>
    <mergeCell ref="H2:H4"/>
    <mergeCell ref="I2:I4"/>
    <mergeCell ref="J2:J3"/>
    <mergeCell ref="K2:K3"/>
    <mergeCell ref="L2:L3"/>
    <mergeCell ref="M2:M3"/>
    <mergeCell ref="N2:N3"/>
    <mergeCell ref="O2:O3"/>
    <mergeCell ref="Q2:Q3"/>
    <mergeCell ref="R2:R3"/>
    <mergeCell ref="S2:S3"/>
    <mergeCell ref="T2:T3"/>
    <mergeCell ref="U2:U3"/>
    <mergeCell ref="V2:V3"/>
    <mergeCell ref="W2:W3"/>
    <mergeCell ref="X2:X4"/>
    <mergeCell ref="Y2:Z2"/>
    <mergeCell ref="Y3:Z3"/>
  </mergeCells>
  <dataValidations count="3">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5:A300" type="date">
      <formula1>38353</formula1>
      <formula2>53327</formula2>
    </dataValidation>
    <dataValidation allowBlank="true" errorStyle="stop" operator="between" prompt="An amount in this cell shows the total purchases in cell G1 does not agree with the totals in the analysis columns cells J1 to W&#10;&#10;CHECK all expense code letters have been entered correctly or any manual entries in the analysis correct&#10;" promptTitle="ERROR ALERT" showDropDown="false" showErrorMessage="true" showInputMessage="true" sqref="E1" type="none">
      <formula1>0</formula1>
      <formula2>0</formula2>
    </dataValidation>
    <dataValidation allowBlank="true" errorStyle="stop" operator="between" showDropDown="false" showErrorMessage="true" showInputMessage="false" sqref="E5:E300" type="list">
      <formula1>$J$4:$W$4</formula1>
      <formula2>0</formula2>
    </dataValidation>
  </dataValidations>
  <printOptions headings="false" gridLines="true" gridLinesSet="true" horizontalCentered="false" verticalCentered="false"/>
  <pageMargins left="0.315277777777778" right="0.472222222222222"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2" manualBreakCount="2">
    <brk id="9" man="true" max="65535" min="0"/>
    <brk id="22" man="true" max="65535" min="0"/>
  </colBreak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false" hidden="false" outlineLevel="0" max="1" min="1" style="333" width="9.15"/>
    <col collapsed="false" customWidth="true" hidden="false" outlineLevel="0" max="2" min="2" style="334" width="17.66"/>
    <col collapsed="false" customWidth="true" hidden="false" outlineLevel="0" max="3" min="3" style="335" width="11.32"/>
    <col collapsed="false" customWidth="true" hidden="false" outlineLevel="0" max="4" min="4" style="336" width="14.49"/>
    <col collapsed="false" customWidth="true" hidden="false" outlineLevel="0" max="5" min="5" style="337" width="7.66"/>
    <col collapsed="false" customWidth="true" hidden="false" outlineLevel="0" max="7" min="6" style="334" width="9.66"/>
    <col collapsed="false" customWidth="true" hidden="false" outlineLevel="0" max="8" min="8" style="338" width="9.66"/>
    <col collapsed="false" customWidth="true" hidden="false" outlineLevel="0" max="9" min="9" style="339" width="10.5"/>
    <col collapsed="false" customWidth="false" hidden="false" outlineLevel="0" max="257" min="10" style="334" width="9.15"/>
  </cols>
  <sheetData>
    <row r="1" s="348" customFormat="true" ht="12.75" hidden="false" customHeight="true" outlineLevel="0" collapsed="false">
      <c r="A1" s="340" t="s">
        <v>246</v>
      </c>
      <c r="B1" s="341" t="s">
        <v>247</v>
      </c>
      <c r="C1" s="342"/>
      <c r="D1" s="343" t="s">
        <v>248</v>
      </c>
      <c r="E1" s="344" t="n">
        <f aca="false">SUM(E4:E300)</f>
        <v>0</v>
      </c>
      <c r="F1" s="343" t="n">
        <f aca="false">SUM(F4:F300)</f>
        <v>33760</v>
      </c>
      <c r="G1" s="343" t="n">
        <f aca="false">SUM(G4:G300)</f>
        <v>0</v>
      </c>
      <c r="H1" s="345" t="n">
        <f aca="false">SUM(H4:H300)</f>
        <v>0</v>
      </c>
      <c r="I1" s="346" t="n">
        <f aca="true">TODAY()</f>
        <v>46138</v>
      </c>
      <c r="J1" s="343" t="n">
        <f aca="false">SUM(J4:J300)</f>
        <v>0</v>
      </c>
      <c r="K1" s="347" t="n">
        <f aca="false">J1+SalesAug!K1</f>
        <v>0</v>
      </c>
    </row>
    <row r="2" s="348" customFormat="true" ht="12.75" hidden="false" customHeight="true" outlineLevel="0" collapsed="false">
      <c r="A2" s="340"/>
      <c r="B2" s="341"/>
      <c r="C2" s="349" t="s">
        <v>249</v>
      </c>
      <c r="D2" s="350" t="s">
        <v>250</v>
      </c>
      <c r="E2" s="351" t="s">
        <v>251</v>
      </c>
      <c r="F2" s="341" t="s">
        <v>252</v>
      </c>
      <c r="G2" s="341" t="s">
        <v>253</v>
      </c>
      <c r="H2" s="352" t="s">
        <v>254</v>
      </c>
      <c r="I2" s="353" t="s">
        <v>255</v>
      </c>
      <c r="J2" s="341" t="s">
        <v>256</v>
      </c>
      <c r="K2" s="341"/>
    </row>
    <row r="3" s="354" customFormat="true" ht="38.25" hidden="false" customHeight="true" outlineLevel="0" collapsed="false">
      <c r="A3" s="340"/>
      <c r="B3" s="341"/>
      <c r="C3" s="349"/>
      <c r="D3" s="350"/>
      <c r="E3" s="351"/>
      <c r="F3" s="351"/>
      <c r="G3" s="351"/>
      <c r="H3" s="352"/>
      <c r="I3" s="353"/>
      <c r="J3" s="341" t="s">
        <v>257</v>
      </c>
      <c r="K3" s="341" t="s">
        <v>258</v>
      </c>
    </row>
    <row r="4" customFormat="false" ht="12.75" hidden="false" customHeight="false" outlineLevel="0" collapsed="false">
      <c r="A4" s="355" t="n">
        <v>45903</v>
      </c>
      <c r="B4" s="334" t="s">
        <v>259</v>
      </c>
      <c r="F4" s="334" t="n">
        <v>360</v>
      </c>
      <c r="I4" s="339" t="n">
        <f aca="false">IF((F4&lt;&gt;0),IF((D4&gt;0)," ",(I$1-A4))," ")</f>
        <v>235</v>
      </c>
    </row>
    <row r="5" customFormat="false" ht="12.75" hidden="false" customHeight="false" outlineLevel="0" collapsed="false">
      <c r="A5" s="355" t="n">
        <v>45905</v>
      </c>
      <c r="B5" s="334" t="s">
        <v>260</v>
      </c>
      <c r="F5" s="334" t="n">
        <v>600</v>
      </c>
      <c r="I5" s="339" t="n">
        <f aca="false">IF((F5&lt;&gt;0),IF((D5&gt;0)," ",(I$1-A5))," ")</f>
        <v>233</v>
      </c>
    </row>
    <row r="6" customFormat="false" ht="12.75" hidden="false" customHeight="false" outlineLevel="0" collapsed="false">
      <c r="A6" s="355" t="n">
        <v>45908</v>
      </c>
      <c r="B6" s="334" t="s">
        <v>261</v>
      </c>
      <c r="F6" s="334" t="n">
        <v>480</v>
      </c>
      <c r="I6" s="339" t="n">
        <f aca="false">IF((F6&lt;&gt;0),IF((D6&gt;0)," ",(I$1-A6))," ")</f>
        <v>230</v>
      </c>
    </row>
    <row r="7" customFormat="false" ht="12.75" hidden="false" customHeight="false" outlineLevel="0" collapsed="false">
      <c r="A7" s="355" t="n">
        <v>45910</v>
      </c>
      <c r="B7" s="334" t="s">
        <v>262</v>
      </c>
      <c r="F7" s="334" t="n">
        <v>720</v>
      </c>
      <c r="I7" s="339" t="n">
        <f aca="false">IF((F7&lt;&gt;0),IF((D7&gt;0)," ",(I$1-A7))," ")</f>
        <v>228</v>
      </c>
    </row>
    <row r="8" customFormat="false" ht="12.75" hidden="false" customHeight="false" outlineLevel="0" collapsed="false">
      <c r="A8" s="355" t="n">
        <v>45915</v>
      </c>
      <c r="B8" s="334" t="s">
        <v>235</v>
      </c>
      <c r="F8" s="334" t="n">
        <v>25000</v>
      </c>
      <c r="I8" s="339" t="n">
        <f aca="false">IF((F8&lt;&gt;0),IF((D8&gt;0)," ",(I$1-A8))," ")</f>
        <v>223</v>
      </c>
    </row>
    <row r="9" customFormat="false" ht="12.75" hidden="false" customHeight="false" outlineLevel="0" collapsed="false">
      <c r="A9" s="355" t="n">
        <v>45916</v>
      </c>
      <c r="B9" s="334" t="s">
        <v>342</v>
      </c>
      <c r="F9" s="334" t="n">
        <v>1200</v>
      </c>
      <c r="I9" s="339" t="n">
        <f aca="false">IF((F9&lt;&gt;0),IF((D9&gt;0)," ",(I$1-A9))," ")</f>
        <v>222</v>
      </c>
    </row>
    <row r="10" customFormat="false" ht="12.75" hidden="false" customHeight="false" outlineLevel="0" collapsed="false">
      <c r="A10" s="355" t="n">
        <v>45918</v>
      </c>
      <c r="B10" s="334" t="s">
        <v>237</v>
      </c>
      <c r="F10" s="334" t="n">
        <v>2400</v>
      </c>
      <c r="I10" s="339" t="n">
        <f aca="false">IF((F10&lt;&gt;0),IF((D10&gt;0)," ",(I$1-A10))," ")</f>
        <v>220</v>
      </c>
    </row>
    <row r="11" customFormat="false" ht="12.75" hidden="false" customHeight="false" outlineLevel="0" collapsed="false">
      <c r="A11" s="355" t="n">
        <v>45920</v>
      </c>
      <c r="B11" s="334" t="s">
        <v>375</v>
      </c>
      <c r="F11" s="334" t="n">
        <v>960</v>
      </c>
      <c r="I11" s="339" t="n">
        <f aca="false">IF((F11&lt;&gt;0),IF((D11&gt;0)," ",(I$1-A11))," ")</f>
        <v>218</v>
      </c>
    </row>
    <row r="12" customFormat="false" ht="12.75" hidden="false" customHeight="false" outlineLevel="0" collapsed="false">
      <c r="A12" s="355" t="n">
        <v>45922</v>
      </c>
      <c r="B12" s="334" t="s">
        <v>356</v>
      </c>
      <c r="F12" s="334" t="n">
        <v>1440</v>
      </c>
      <c r="I12" s="339" t="n">
        <f aca="false">IF((F12&lt;&gt;0),IF((D12&gt;0)," ",(I$1-A12))," ")</f>
        <v>216</v>
      </c>
    </row>
    <row r="13" customFormat="false" ht="12.75" hidden="false" customHeight="false" outlineLevel="0" collapsed="false">
      <c r="A13" s="355" t="n">
        <v>45925</v>
      </c>
      <c r="B13" s="334" t="s">
        <v>376</v>
      </c>
      <c r="F13" s="334" t="n">
        <v>600</v>
      </c>
      <c r="I13" s="339" t="n">
        <f aca="false">IF((F13&lt;&gt;0),IF((D13&gt;0)," ",(I$1-A13))," ")</f>
        <v>213</v>
      </c>
    </row>
    <row r="14" customFormat="false" ht="12.75" hidden="false" customHeight="false" outlineLevel="0" collapsed="false">
      <c r="A14" s="355"/>
      <c r="I14" s="339" t="str">
        <f aca="false">IF((F14&lt;&gt;0),IF((D14&gt;0)," ",(I$1-A14))," ")</f>
        <v> </v>
      </c>
    </row>
    <row r="15" customFormat="false" ht="12.75" hidden="false" customHeight="false" outlineLevel="0" collapsed="false">
      <c r="A15" s="355"/>
      <c r="I15" s="339" t="str">
        <f aca="false">IF((F15&lt;&gt;0),IF((D15&gt;0)," ",(I$1-A15))," ")</f>
        <v> </v>
      </c>
    </row>
    <row r="16" customFormat="false" ht="12.75" hidden="false" customHeight="false" outlineLevel="0" collapsed="false">
      <c r="A16" s="355"/>
      <c r="I16" s="339" t="str">
        <f aca="false">IF((F16&lt;&gt;0),IF((D16&gt;0)," ",(I$1-A16))," ")</f>
        <v> </v>
      </c>
    </row>
    <row r="17" customFormat="false" ht="12.75" hidden="false" customHeight="false" outlineLevel="0" collapsed="false">
      <c r="A17" s="355"/>
      <c r="I17" s="339" t="str">
        <f aca="false">IF((F17&lt;&gt;0),IF((D17&gt;0)," ",(I$1-A17))," ")</f>
        <v> </v>
      </c>
    </row>
    <row r="18" customFormat="false" ht="12.75" hidden="false" customHeight="false" outlineLevel="0" collapsed="false">
      <c r="A18" s="355"/>
      <c r="I18" s="339" t="str">
        <f aca="false">IF((F18&lt;&gt;0),IF((D18&gt;0)," ",(I$1-A18))," ")</f>
        <v> </v>
      </c>
    </row>
    <row r="19" customFormat="false" ht="12.75" hidden="false" customHeight="false" outlineLevel="0" collapsed="false">
      <c r="A19" s="355"/>
      <c r="I19" s="339" t="str">
        <f aca="false">IF((F19&lt;&gt;0),IF((D19&gt;0)," ",(I$1-A19))," ")</f>
        <v> </v>
      </c>
    </row>
    <row r="20" customFormat="false" ht="12.75" hidden="false" customHeight="false" outlineLevel="0" collapsed="false">
      <c r="A20" s="355"/>
      <c r="I20" s="339" t="str">
        <f aca="false">IF((F20&lt;&gt;0),IF((D20&gt;0)," ",(I$1-A20))," ")</f>
        <v> </v>
      </c>
    </row>
    <row r="21" customFormat="false" ht="12.75" hidden="false" customHeight="false" outlineLevel="0" collapsed="false">
      <c r="A21" s="355"/>
      <c r="I21" s="339" t="str">
        <f aca="false">IF((F21&lt;&gt;0),IF((D21&gt;0)," ",(I$1-A21))," ")</f>
        <v> </v>
      </c>
    </row>
    <row r="22" customFormat="false" ht="12.75" hidden="false" customHeight="false" outlineLevel="0" collapsed="false">
      <c r="A22" s="355"/>
      <c r="I22" s="339" t="str">
        <f aca="false">IF((F22&lt;&gt;0),IF((D22&gt;0)," ",(I$1-A22))," ")</f>
        <v> </v>
      </c>
    </row>
    <row r="23" customFormat="false" ht="12.75" hidden="false" customHeight="false" outlineLevel="0" collapsed="false">
      <c r="A23" s="355"/>
      <c r="I23" s="339" t="str">
        <f aca="false">IF((F23&lt;&gt;0),IF((D23&gt;0)," ",(I$1-A23))," ")</f>
        <v> </v>
      </c>
    </row>
    <row r="24" customFormat="false" ht="12.75" hidden="false" customHeight="false" outlineLevel="0" collapsed="false">
      <c r="A24" s="355"/>
      <c r="I24" s="339" t="str">
        <f aca="false">IF((F24&lt;&gt;0),IF((D24&gt;0)," ",(I$1-A24))," ")</f>
        <v> </v>
      </c>
    </row>
    <row r="25" customFormat="false" ht="12.75" hidden="false" customHeight="false" outlineLevel="0" collapsed="false">
      <c r="A25" s="355"/>
      <c r="I25" s="339" t="str">
        <f aca="false">IF((F25&lt;&gt;0),IF((D25&gt;0)," ",(I$1-A25))," ")</f>
        <v> </v>
      </c>
    </row>
    <row r="26" customFormat="false" ht="12.75" hidden="false" customHeight="false" outlineLevel="0" collapsed="false">
      <c r="A26" s="355"/>
      <c r="I26" s="339" t="str">
        <f aca="false">IF((F26&lt;&gt;0),IF((D26&gt;0)," ",(I$1-A26))," ")</f>
        <v> </v>
      </c>
    </row>
    <row r="27" customFormat="false" ht="12.75" hidden="false" customHeight="false" outlineLevel="0" collapsed="false">
      <c r="A27" s="355"/>
      <c r="I27" s="339" t="str">
        <f aca="false">IF((F27&lt;&gt;0),IF((D27&gt;0)," ",(I$1-A27))," ")</f>
        <v> </v>
      </c>
    </row>
    <row r="28" customFormat="false" ht="12.75" hidden="false" customHeight="false" outlineLevel="0" collapsed="false">
      <c r="A28" s="355"/>
      <c r="I28" s="339" t="str">
        <f aca="false">IF((F28&lt;&gt;0),IF((D28&gt;0)," ",(I$1-A28))," ")</f>
        <v> </v>
      </c>
    </row>
    <row r="29" customFormat="false" ht="12.75" hidden="false" customHeight="false" outlineLevel="0" collapsed="false">
      <c r="A29" s="355"/>
      <c r="I29" s="339" t="str">
        <f aca="false">IF((F29&lt;&gt;0),IF((D29&gt;0)," ",(I$1-A29))," ")</f>
        <v> </v>
      </c>
    </row>
    <row r="30" customFormat="false" ht="12.75" hidden="false" customHeight="false" outlineLevel="0" collapsed="false">
      <c r="A30" s="355"/>
      <c r="I30" s="339" t="str">
        <f aca="false">IF((F30&lt;&gt;0),IF((D30&gt;0)," ",(I$1-A30))," ")</f>
        <v> </v>
      </c>
    </row>
    <row r="31" customFormat="false" ht="12.75" hidden="false" customHeight="false" outlineLevel="0" collapsed="false">
      <c r="A31" s="355"/>
      <c r="I31" s="339" t="str">
        <f aca="false">IF((F31&lt;&gt;0),IF((D31&gt;0)," ",(I$1-A31))," ")</f>
        <v> </v>
      </c>
    </row>
    <row r="32" customFormat="false" ht="12.75" hidden="false" customHeight="false" outlineLevel="0" collapsed="false">
      <c r="A32" s="355"/>
      <c r="I32" s="339" t="str">
        <f aca="false">IF((F32&lt;&gt;0),IF((D32&gt;0)," ",(I$1-A32))," ")</f>
        <v> </v>
      </c>
    </row>
    <row r="33" customFormat="false" ht="12.75" hidden="false" customHeight="false" outlineLevel="0" collapsed="false">
      <c r="A33" s="355"/>
      <c r="I33" s="339" t="str">
        <f aca="false">IF((F33&lt;&gt;0),IF((D33&gt;0)," ",(I$1-A33))," ")</f>
        <v> </v>
      </c>
    </row>
    <row r="34" customFormat="false" ht="12.75" hidden="false" customHeight="false" outlineLevel="0" collapsed="false">
      <c r="A34" s="355"/>
      <c r="I34" s="339" t="str">
        <f aca="false">IF((F34&lt;&gt;0),IF((D34&gt;0)," ",(I$1-A34))," ")</f>
        <v> </v>
      </c>
    </row>
    <row r="35" customFormat="false" ht="12.75" hidden="false" customHeight="false" outlineLevel="0" collapsed="false">
      <c r="A35" s="355"/>
      <c r="I35" s="339" t="str">
        <f aca="false">IF((F35&lt;&gt;0),IF((D35&gt;0)," ",(I$1-A35))," ")</f>
        <v> </v>
      </c>
    </row>
    <row r="36" customFormat="false" ht="12.75" hidden="false" customHeight="false" outlineLevel="0" collapsed="false">
      <c r="A36" s="355"/>
      <c r="I36" s="339" t="str">
        <f aca="false">IF((F36&lt;&gt;0),IF((D36&gt;0)," ",(I$1-A36))," ")</f>
        <v> </v>
      </c>
    </row>
    <row r="37" customFormat="false" ht="12.75" hidden="false" customHeight="false" outlineLevel="0" collapsed="false">
      <c r="A37" s="355"/>
      <c r="I37" s="339" t="str">
        <f aca="false">IF((F37&lt;&gt;0),IF((D37&gt;0)," ",(I$1-A37))," ")</f>
        <v> </v>
      </c>
    </row>
    <row r="38" customFormat="false" ht="12.75" hidden="false" customHeight="false" outlineLevel="0" collapsed="false">
      <c r="A38" s="355"/>
      <c r="I38" s="339" t="str">
        <f aca="false">IF((F38&lt;&gt;0),IF((D38&gt;0)," ",(I$1-A38))," ")</f>
        <v> </v>
      </c>
    </row>
    <row r="39" customFormat="false" ht="12.75" hidden="false" customHeight="false" outlineLevel="0" collapsed="false">
      <c r="A39" s="355"/>
      <c r="I39" s="339" t="str">
        <f aca="false">IF((F39&lt;&gt;0),IF((D39&gt;0)," ",(I$1-A39))," ")</f>
        <v> </v>
      </c>
    </row>
    <row r="40" customFormat="false" ht="12.75" hidden="false" customHeight="false" outlineLevel="0" collapsed="false">
      <c r="A40" s="355"/>
      <c r="I40" s="339" t="str">
        <f aca="false">IF((F40&lt;&gt;0),IF((D40&gt;0)," ",(I$1-A40))," ")</f>
        <v> </v>
      </c>
    </row>
    <row r="41" customFormat="false" ht="12.75" hidden="false" customHeight="false" outlineLevel="0" collapsed="false">
      <c r="A41" s="355"/>
      <c r="I41" s="339" t="str">
        <f aca="false">IF((F41&lt;&gt;0),IF((D41&gt;0)," ",(I$1-A41))," ")</f>
        <v> </v>
      </c>
    </row>
    <row r="42" customFormat="false" ht="12.75" hidden="false" customHeight="false" outlineLevel="0" collapsed="false">
      <c r="A42" s="355"/>
      <c r="I42" s="339" t="str">
        <f aca="false">IF((F42&lt;&gt;0),IF((D42&gt;0)," ",(I$1-A42))," ")</f>
        <v> </v>
      </c>
    </row>
    <row r="43" customFormat="false" ht="12.75" hidden="false" customHeight="false" outlineLevel="0" collapsed="false">
      <c r="A43" s="355"/>
      <c r="I43" s="339" t="str">
        <f aca="false">IF((F43&lt;&gt;0),IF((D43&gt;0)," ",(I$1-A43))," ")</f>
        <v> </v>
      </c>
    </row>
    <row r="44" customFormat="false" ht="12.75" hidden="false" customHeight="false" outlineLevel="0" collapsed="false">
      <c r="A44" s="355"/>
      <c r="I44" s="339" t="str">
        <f aca="false">IF((F44&lt;&gt;0),IF((D44&gt;0)," ",(I$1-A44))," ")</f>
        <v> </v>
      </c>
    </row>
    <row r="45" customFormat="false" ht="12.75" hidden="false" customHeight="false" outlineLevel="0" collapsed="false">
      <c r="A45" s="355"/>
      <c r="I45" s="339" t="str">
        <f aca="false">IF((F45&lt;&gt;0),IF((D45&gt;0)," ",(I$1-A45))," ")</f>
        <v> </v>
      </c>
    </row>
    <row r="46" customFormat="false" ht="12.75" hidden="false" customHeight="false" outlineLevel="0" collapsed="false">
      <c r="A46" s="355"/>
      <c r="I46" s="339" t="str">
        <f aca="false">IF((F46&lt;&gt;0),IF((D46&gt;0)," ",(I$1-A46))," ")</f>
        <v> </v>
      </c>
    </row>
    <row r="47" customFormat="false" ht="12.75" hidden="false" customHeight="false" outlineLevel="0" collapsed="false">
      <c r="A47" s="355"/>
      <c r="I47" s="339" t="str">
        <f aca="false">IF((F47&lt;&gt;0),IF((D47&gt;0)," ",(I$1-A47))," ")</f>
        <v> </v>
      </c>
    </row>
    <row r="48" customFormat="false" ht="12.75" hidden="false" customHeight="false" outlineLevel="0" collapsed="false">
      <c r="A48" s="355"/>
      <c r="I48" s="339" t="str">
        <f aca="false">IF((F48&lt;&gt;0),IF((D48&gt;0)," ",(I$1-A48))," ")</f>
        <v> </v>
      </c>
    </row>
    <row r="49" customFormat="false" ht="12.75" hidden="false" customHeight="false" outlineLevel="0" collapsed="false">
      <c r="A49" s="355"/>
      <c r="I49" s="339" t="str">
        <f aca="false">IF((F49&lt;&gt;0),IF((D49&gt;0)," ",(I$1-A49))," ")</f>
        <v> </v>
      </c>
    </row>
    <row r="50" customFormat="false" ht="12.75" hidden="false" customHeight="false" outlineLevel="0" collapsed="false">
      <c r="A50" s="355"/>
      <c r="I50" s="339" t="str">
        <f aca="false">IF((F50&lt;&gt;0),IF((D50&gt;0)," ",(I$1-A50))," ")</f>
        <v> </v>
      </c>
    </row>
    <row r="51" customFormat="false" ht="12.75" hidden="false" customHeight="false" outlineLevel="0" collapsed="false">
      <c r="A51" s="355"/>
      <c r="I51" s="339" t="str">
        <f aca="false">IF((F51&lt;&gt;0),IF((D51&gt;0)," ",(I$1-A51))," ")</f>
        <v> </v>
      </c>
    </row>
    <row r="52" customFormat="false" ht="12.75" hidden="false" customHeight="false" outlineLevel="0" collapsed="false">
      <c r="A52" s="355"/>
      <c r="I52" s="339" t="str">
        <f aca="false">IF((F52&lt;&gt;0),IF((D52&gt;0)," ",(I$1-A52))," ")</f>
        <v> </v>
      </c>
    </row>
    <row r="53" customFormat="false" ht="12.75" hidden="false" customHeight="false" outlineLevel="0" collapsed="false">
      <c r="A53" s="355"/>
      <c r="I53" s="339" t="str">
        <f aca="false">IF((F53&lt;&gt;0),IF((D53&gt;0)," ",(I$1-A53))," ")</f>
        <v> </v>
      </c>
    </row>
    <row r="54" customFormat="false" ht="12.75" hidden="false" customHeight="false" outlineLevel="0" collapsed="false">
      <c r="A54" s="355"/>
      <c r="I54" s="339" t="str">
        <f aca="false">IF((F54&lt;&gt;0),IF((D54&gt;0)," ",(I$1-A54))," ")</f>
        <v> </v>
      </c>
    </row>
    <row r="55" customFormat="false" ht="12.75" hidden="false" customHeight="false" outlineLevel="0" collapsed="false">
      <c r="A55" s="355"/>
      <c r="I55" s="339" t="str">
        <f aca="false">IF((F55&lt;&gt;0),IF((D55&gt;0)," ",(I$1-A55))," ")</f>
        <v> </v>
      </c>
    </row>
    <row r="56" customFormat="false" ht="12.75" hidden="false" customHeight="false" outlineLevel="0" collapsed="false">
      <c r="A56" s="355"/>
      <c r="I56" s="339" t="str">
        <f aca="false">IF((F56&lt;&gt;0),IF((D56&gt;0)," ",(I$1-A56))," ")</f>
        <v> </v>
      </c>
    </row>
    <row r="57" customFormat="false" ht="12.75" hidden="false" customHeight="false" outlineLevel="0" collapsed="false">
      <c r="A57" s="355"/>
      <c r="I57" s="339" t="str">
        <f aca="false">IF((F57&lt;&gt;0),IF((D57&gt;0)," ",(I$1-A57))," ")</f>
        <v> </v>
      </c>
    </row>
    <row r="58" customFormat="false" ht="12.75" hidden="false" customHeight="false" outlineLevel="0" collapsed="false">
      <c r="A58" s="355"/>
      <c r="I58" s="339" t="str">
        <f aca="false">IF((F58&lt;&gt;0),IF((D58&gt;0)," ",(I$1-A58))," ")</f>
        <v> </v>
      </c>
    </row>
    <row r="59" customFormat="false" ht="12.75" hidden="false" customHeight="false" outlineLevel="0" collapsed="false">
      <c r="A59" s="355"/>
      <c r="I59" s="339" t="str">
        <f aca="false">IF((F59&lt;&gt;0),IF((D59&gt;0)," ",(I$1-A59))," ")</f>
        <v> </v>
      </c>
    </row>
    <row r="60" customFormat="false" ht="12.75" hidden="false" customHeight="false" outlineLevel="0" collapsed="false">
      <c r="A60" s="355"/>
      <c r="I60" s="339" t="str">
        <f aca="false">IF((F60&lt;&gt;0),IF((D60&gt;0)," ",(I$1-A60))," ")</f>
        <v> </v>
      </c>
    </row>
    <row r="61" customFormat="false" ht="12.75" hidden="false" customHeight="false" outlineLevel="0" collapsed="false">
      <c r="A61" s="355"/>
      <c r="I61" s="339" t="str">
        <f aca="false">IF((F61&lt;&gt;0),IF((D61&gt;0)," ",(I$1-A61))," ")</f>
        <v> </v>
      </c>
    </row>
    <row r="62" customFormat="false" ht="12.75" hidden="false" customHeight="false" outlineLevel="0" collapsed="false">
      <c r="A62" s="355"/>
      <c r="I62" s="339" t="str">
        <f aca="false">IF((F62&lt;&gt;0),IF((D62&gt;0)," ",(I$1-A62))," ")</f>
        <v> </v>
      </c>
    </row>
    <row r="63" customFormat="false" ht="12.75" hidden="false" customHeight="false" outlineLevel="0" collapsed="false">
      <c r="A63" s="355"/>
      <c r="I63" s="339" t="str">
        <f aca="false">IF((F63&lt;&gt;0),IF((D63&gt;0)," ",(I$1-A63))," ")</f>
        <v> </v>
      </c>
    </row>
    <row r="64" customFormat="false" ht="12.75" hidden="false" customHeight="false" outlineLevel="0" collapsed="false">
      <c r="A64" s="355"/>
      <c r="I64" s="339" t="str">
        <f aca="false">IF((F64&lt;&gt;0),IF((D64&gt;0)," ",(I$1-A64))," ")</f>
        <v> </v>
      </c>
    </row>
    <row r="65" customFormat="false" ht="12.75" hidden="false" customHeight="false" outlineLevel="0" collapsed="false">
      <c r="A65" s="355"/>
      <c r="I65" s="339" t="str">
        <f aca="false">IF((F65&lt;&gt;0),IF((D65&gt;0)," ",(I$1-A65))," ")</f>
        <v> </v>
      </c>
    </row>
    <row r="66" customFormat="false" ht="12.75" hidden="false" customHeight="false" outlineLevel="0" collapsed="false">
      <c r="A66" s="355"/>
      <c r="I66" s="339" t="str">
        <f aca="false">IF((F66&lt;&gt;0),IF((D66&gt;0)," ",(I$1-A66))," ")</f>
        <v> </v>
      </c>
    </row>
    <row r="67" customFormat="false" ht="12.75" hidden="false" customHeight="false" outlineLevel="0" collapsed="false">
      <c r="A67" s="355"/>
      <c r="I67" s="339" t="str">
        <f aca="false">IF((F67&lt;&gt;0),IF((D67&gt;0)," ",(I$1-A67))," ")</f>
        <v> </v>
      </c>
    </row>
    <row r="68" customFormat="false" ht="12.75" hidden="false" customHeight="false" outlineLevel="0" collapsed="false">
      <c r="A68" s="355"/>
      <c r="H68" s="338" t="str">
        <f aca="false">IF((F68&lt;&gt;0),IF((D68&gt;0)," ",F68)," ")</f>
        <v> </v>
      </c>
      <c r="I68" s="339" t="str">
        <f aca="false">IF((F68&lt;&gt;0),IF((D68&gt;0)," ",(I$1-A68))," ")</f>
        <v> </v>
      </c>
    </row>
    <row r="69" customFormat="false" ht="12.75" hidden="false" customHeight="false" outlineLevel="0" collapsed="false">
      <c r="A69" s="355"/>
      <c r="H69" s="338" t="str">
        <f aca="false">IF((F69&lt;&gt;0),IF((D69&gt;0)," ",F69)," ")</f>
        <v> </v>
      </c>
      <c r="I69" s="339" t="str">
        <f aca="false">IF((F69&lt;&gt;0),IF((D69&gt;0)," ",(I$1-A69))," ")</f>
        <v> </v>
      </c>
    </row>
    <row r="70" customFormat="false" ht="12.75" hidden="false" customHeight="false" outlineLevel="0" collapsed="false">
      <c r="A70" s="355"/>
      <c r="H70" s="338" t="str">
        <f aca="false">IF((F70&lt;&gt;0),IF((D70&gt;0)," ",F70)," ")</f>
        <v> </v>
      </c>
      <c r="I70" s="339" t="str">
        <f aca="false">IF((F70&lt;&gt;0),IF((D70&gt;0)," ",(I$1-A70))," ")</f>
        <v> </v>
      </c>
    </row>
    <row r="71" customFormat="false" ht="12.75" hidden="false" customHeight="false" outlineLevel="0" collapsed="false">
      <c r="A71" s="355"/>
      <c r="H71" s="338" t="str">
        <f aca="false">IF((F71&lt;&gt;0),IF((D71&gt;0)," ",F71)," ")</f>
        <v> </v>
      </c>
      <c r="I71" s="339" t="str">
        <f aca="false">IF((F71&lt;&gt;0),IF((D71&gt;0)," ",(I$1-A71))," ")</f>
        <v> </v>
      </c>
    </row>
    <row r="72" customFormat="false" ht="12.75" hidden="false" customHeight="false" outlineLevel="0" collapsed="false">
      <c r="A72" s="355"/>
      <c r="H72" s="338" t="str">
        <f aca="false">IF((F72&lt;&gt;0),IF((D72&gt;0)," ",F72)," ")</f>
        <v> </v>
      </c>
      <c r="I72" s="339" t="str">
        <f aca="false">IF((F72&lt;&gt;0),IF((D72&gt;0)," ",(I$1-A72))," ")</f>
        <v> </v>
      </c>
    </row>
    <row r="73" customFormat="false" ht="12.75" hidden="false" customHeight="false" outlineLevel="0" collapsed="false">
      <c r="A73" s="355"/>
      <c r="H73" s="338" t="str">
        <f aca="false">IF((F73&lt;&gt;0),IF((D73&gt;0)," ",F73)," ")</f>
        <v> </v>
      </c>
      <c r="I73" s="339" t="str">
        <f aca="false">IF((F73&lt;&gt;0),IF((D73&gt;0)," ",(I$1-A73))," ")</f>
        <v> </v>
      </c>
    </row>
    <row r="74" customFormat="false" ht="12.75" hidden="false" customHeight="false" outlineLevel="0" collapsed="false">
      <c r="A74" s="355"/>
      <c r="H74" s="338" t="str">
        <f aca="false">IF((F74&lt;&gt;0),IF((D74&gt;0)," ",F74)," ")</f>
        <v> </v>
      </c>
      <c r="I74" s="339" t="str">
        <f aca="false">IF((F74&lt;&gt;0),IF((D74&gt;0)," ",(I$1-A74))," ")</f>
        <v> </v>
      </c>
    </row>
    <row r="75" customFormat="false" ht="12.75" hidden="false" customHeight="false" outlineLevel="0" collapsed="false">
      <c r="A75" s="355"/>
      <c r="H75" s="338" t="str">
        <f aca="false">IF((F75&lt;&gt;0),IF((D75&gt;0)," ",F75)," ")</f>
        <v> </v>
      </c>
      <c r="I75" s="339" t="str">
        <f aca="false">IF((F75&lt;&gt;0),IF((D75&gt;0)," ",(I$1-A75))," ")</f>
        <v> </v>
      </c>
    </row>
    <row r="76" customFormat="false" ht="12.75" hidden="false" customHeight="false" outlineLevel="0" collapsed="false">
      <c r="A76" s="355"/>
      <c r="H76" s="338" t="str">
        <f aca="false">IF((F76&lt;&gt;0),IF((D76&gt;0)," ",F76)," ")</f>
        <v> </v>
      </c>
      <c r="I76" s="339" t="str">
        <f aca="false">IF((F76&lt;&gt;0),IF((D76&gt;0)," ",(I$1-A76))," ")</f>
        <v> </v>
      </c>
    </row>
    <row r="77" customFormat="false" ht="12.75" hidden="false" customHeight="false" outlineLevel="0" collapsed="false">
      <c r="A77" s="355"/>
      <c r="H77" s="338" t="str">
        <f aca="false">IF((F77&lt;&gt;0),IF((D77&gt;0)," ",F77)," ")</f>
        <v> </v>
      </c>
      <c r="I77" s="339" t="str">
        <f aca="false">IF((F77&lt;&gt;0),IF((D77&gt;0)," ",(I$1-A77))," ")</f>
        <v> </v>
      </c>
    </row>
    <row r="78" customFormat="false" ht="12.75" hidden="false" customHeight="false" outlineLevel="0" collapsed="false">
      <c r="A78" s="355"/>
      <c r="H78" s="338" t="str">
        <f aca="false">IF((F78&lt;&gt;0),IF((D78&gt;0)," ",F78)," ")</f>
        <v> </v>
      </c>
      <c r="I78" s="339" t="str">
        <f aca="false">IF((F78&lt;&gt;0),IF((D78&gt;0)," ",(I$1-A78))," ")</f>
        <v> </v>
      </c>
    </row>
    <row r="79" customFormat="false" ht="12.75" hidden="false" customHeight="false" outlineLevel="0" collapsed="false">
      <c r="A79" s="355"/>
      <c r="H79" s="338" t="str">
        <f aca="false">IF((F79&lt;&gt;0),IF((D79&gt;0)," ",F79)," ")</f>
        <v> </v>
      </c>
      <c r="I79" s="339" t="str">
        <f aca="false">IF((F79&lt;&gt;0),IF((D79&gt;0)," ",(I$1-A79))," ")</f>
        <v> </v>
      </c>
    </row>
    <row r="80" customFormat="false" ht="12.75" hidden="false" customHeight="false" outlineLevel="0" collapsed="false">
      <c r="A80" s="355"/>
      <c r="H80" s="338" t="str">
        <f aca="false">IF((F80&lt;&gt;0),IF((D80&gt;0)," ",F80)," ")</f>
        <v> </v>
      </c>
      <c r="I80" s="339" t="str">
        <f aca="false">IF((F80&lt;&gt;0),IF((D80&gt;0)," ",(I$1-A80))," ")</f>
        <v> </v>
      </c>
    </row>
    <row r="81" customFormat="false" ht="12.75" hidden="false" customHeight="false" outlineLevel="0" collapsed="false">
      <c r="A81" s="355"/>
      <c r="H81" s="338" t="str">
        <f aca="false">IF((F81&lt;&gt;0),IF((D81&gt;0)," ",F81)," ")</f>
        <v> </v>
      </c>
      <c r="I81" s="339" t="str">
        <f aca="false">IF((F81&lt;&gt;0),IF((D81&gt;0)," ",(I$1-A81))," ")</f>
        <v> </v>
      </c>
    </row>
    <row r="82" customFormat="false" ht="12.75" hidden="false" customHeight="false" outlineLevel="0" collapsed="false">
      <c r="A82" s="355"/>
      <c r="H82" s="338" t="str">
        <f aca="false">IF((F82&lt;&gt;0),IF((D82&gt;0)," ",F82)," ")</f>
        <v> </v>
      </c>
      <c r="I82" s="339" t="str">
        <f aca="false">IF((F82&lt;&gt;0),IF((D82&gt;0)," ",(I$1-A82))," ")</f>
        <v> </v>
      </c>
    </row>
    <row r="83" customFormat="false" ht="12.75" hidden="false" customHeight="false" outlineLevel="0" collapsed="false">
      <c r="A83" s="355"/>
      <c r="H83" s="338" t="str">
        <f aca="false">IF((F83&lt;&gt;0),IF((D83&gt;0)," ",F83)," ")</f>
        <v> </v>
      </c>
      <c r="I83" s="339" t="str">
        <f aca="false">IF((F83&lt;&gt;0),IF((D83&gt;0)," ",(I$1-A83))," ")</f>
        <v> </v>
      </c>
    </row>
    <row r="84" customFormat="false" ht="12.75" hidden="false" customHeight="false" outlineLevel="0" collapsed="false">
      <c r="A84" s="355"/>
      <c r="H84" s="338" t="str">
        <f aca="false">IF((F84&lt;&gt;0),IF((D84&gt;0)," ",F84)," ")</f>
        <v> </v>
      </c>
      <c r="I84" s="339" t="str">
        <f aca="false">IF((F84&lt;&gt;0),IF((D84&gt;0)," ",(I$1-A84))," ")</f>
        <v> </v>
      </c>
    </row>
    <row r="85" customFormat="false" ht="12.75" hidden="false" customHeight="false" outlineLevel="0" collapsed="false">
      <c r="A85" s="355"/>
      <c r="H85" s="338" t="str">
        <f aca="false">IF((F85&lt;&gt;0),IF((D85&gt;0)," ",F85)," ")</f>
        <v> </v>
      </c>
      <c r="I85" s="339" t="str">
        <f aca="false">IF((F85&lt;&gt;0),IF((D85&gt;0)," ",(I$1-A85))," ")</f>
        <v> </v>
      </c>
    </row>
    <row r="86" customFormat="false" ht="12.75" hidden="false" customHeight="false" outlineLevel="0" collapsed="false">
      <c r="A86" s="355"/>
      <c r="H86" s="338" t="str">
        <f aca="false">IF((F86&lt;&gt;0),IF((D86&gt;0)," ",F86)," ")</f>
        <v> </v>
      </c>
      <c r="I86" s="339" t="str">
        <f aca="false">IF((F86&lt;&gt;0),IF((D86&gt;0)," ",(I$1-A86))," ")</f>
        <v> </v>
      </c>
    </row>
    <row r="87" customFormat="false" ht="12.75" hidden="false" customHeight="false" outlineLevel="0" collapsed="false">
      <c r="A87" s="355"/>
      <c r="H87" s="338" t="str">
        <f aca="false">IF((F87&lt;&gt;0),IF((D87&gt;0)," ",F87)," ")</f>
        <v> </v>
      </c>
      <c r="I87" s="339" t="str">
        <f aca="false">IF((F87&lt;&gt;0),IF((D87&gt;0)," ",(I$1-A87))," ")</f>
        <v> </v>
      </c>
    </row>
    <row r="88" customFormat="false" ht="12.75" hidden="false" customHeight="false" outlineLevel="0" collapsed="false">
      <c r="A88" s="355"/>
      <c r="H88" s="338" t="str">
        <f aca="false">IF((F88&lt;&gt;0),IF((D88&gt;0)," ",F88)," ")</f>
        <v> </v>
      </c>
      <c r="I88" s="339" t="str">
        <f aca="false">IF((F88&lt;&gt;0),IF((D88&gt;0)," ",(I$1-A88))," ")</f>
        <v> </v>
      </c>
    </row>
    <row r="89" customFormat="false" ht="12.75" hidden="false" customHeight="false" outlineLevel="0" collapsed="false">
      <c r="A89" s="355"/>
      <c r="H89" s="338" t="str">
        <f aca="false">IF((F89&lt;&gt;0),IF((D89&gt;0)," ",F89)," ")</f>
        <v> </v>
      </c>
      <c r="I89" s="339" t="str">
        <f aca="false">IF((F89&lt;&gt;0),IF((D89&gt;0)," ",(I$1-A89))," ")</f>
        <v> </v>
      </c>
    </row>
    <row r="90" customFormat="false" ht="12.75" hidden="false" customHeight="false" outlineLevel="0" collapsed="false">
      <c r="A90" s="355"/>
      <c r="H90" s="338" t="str">
        <f aca="false">IF((F90&lt;&gt;0),IF((D90&gt;0)," ",F90)," ")</f>
        <v> </v>
      </c>
      <c r="I90" s="339" t="str">
        <f aca="false">IF((F90&lt;&gt;0),IF((D90&gt;0)," ",(I$1-A90))," ")</f>
        <v> </v>
      </c>
    </row>
    <row r="91" customFormat="false" ht="12.75" hidden="false" customHeight="false" outlineLevel="0" collapsed="false">
      <c r="A91" s="355"/>
      <c r="H91" s="338" t="str">
        <f aca="false">IF((F91&lt;&gt;0),IF((D91&gt;0)," ",F91)," ")</f>
        <v> </v>
      </c>
      <c r="I91" s="339" t="str">
        <f aca="false">IF((F91&lt;&gt;0),IF((D91&gt;0)," ",(I$1-A91))," ")</f>
        <v> </v>
      </c>
    </row>
    <row r="92" customFormat="false" ht="12.75" hidden="false" customHeight="false" outlineLevel="0" collapsed="false">
      <c r="A92" s="355"/>
      <c r="H92" s="338" t="str">
        <f aca="false">IF((F92&lt;&gt;0),IF((D92&gt;0)," ",F92)," ")</f>
        <v> </v>
      </c>
      <c r="I92" s="339" t="str">
        <f aca="false">IF((F92&lt;&gt;0),IF((D92&gt;0)," ",(I$1-A92))," ")</f>
        <v> </v>
      </c>
    </row>
    <row r="93" customFormat="false" ht="12.75" hidden="false" customHeight="false" outlineLevel="0" collapsed="false">
      <c r="A93" s="355"/>
      <c r="H93" s="338" t="str">
        <f aca="false">IF((F93&lt;&gt;0),IF((D93&gt;0)," ",F93)," ")</f>
        <v> </v>
      </c>
      <c r="I93" s="339" t="str">
        <f aca="false">IF((F93&lt;&gt;0),IF((D93&gt;0)," ",(I$1-A93))," ")</f>
        <v> </v>
      </c>
    </row>
    <row r="94" customFormat="false" ht="12.75" hidden="false" customHeight="false" outlineLevel="0" collapsed="false">
      <c r="A94" s="355"/>
      <c r="H94" s="338" t="str">
        <f aca="false">IF((F94&lt;&gt;0),IF((D94&gt;0)," ",F94)," ")</f>
        <v> </v>
      </c>
      <c r="I94" s="339" t="str">
        <f aca="false">IF((F94&lt;&gt;0),IF((D94&gt;0)," ",(I$1-A94))," ")</f>
        <v> </v>
      </c>
    </row>
    <row r="95" customFormat="false" ht="12.75" hidden="false" customHeight="false" outlineLevel="0" collapsed="false">
      <c r="A95" s="355"/>
      <c r="H95" s="338" t="str">
        <f aca="false">IF((F95&lt;&gt;0),IF((D95&gt;0)," ",F95)," ")</f>
        <v> </v>
      </c>
      <c r="I95" s="339" t="str">
        <f aca="false">IF((F95&lt;&gt;0),IF((D95&gt;0)," ",(I$1-A95))," ")</f>
        <v> </v>
      </c>
    </row>
    <row r="96" customFormat="false" ht="12.75" hidden="false" customHeight="false" outlineLevel="0" collapsed="false">
      <c r="A96" s="355"/>
      <c r="H96" s="338" t="str">
        <f aca="false">IF((F96&lt;&gt;0),IF((D96&gt;0)," ",F96)," ")</f>
        <v> </v>
      </c>
      <c r="I96" s="339" t="str">
        <f aca="false">IF((F96&lt;&gt;0),IF((D96&gt;0)," ",(I$1-A96))," ")</f>
        <v> </v>
      </c>
    </row>
    <row r="97" customFormat="false" ht="12.75" hidden="false" customHeight="false" outlineLevel="0" collapsed="false">
      <c r="A97" s="355"/>
      <c r="H97" s="338" t="str">
        <f aca="false">IF((F97&lt;&gt;0),IF((D97&gt;0)," ",F97)," ")</f>
        <v> </v>
      </c>
      <c r="I97" s="339" t="str">
        <f aca="false">IF((F97&lt;&gt;0),IF((D97&gt;0)," ",(I$1-A97))," ")</f>
        <v> </v>
      </c>
    </row>
    <row r="98" customFormat="false" ht="12.75" hidden="false" customHeight="false" outlineLevel="0" collapsed="false">
      <c r="A98" s="355"/>
      <c r="H98" s="338" t="str">
        <f aca="false">IF((F98&lt;&gt;0),IF((D98&gt;0)," ",F98)," ")</f>
        <v> </v>
      </c>
      <c r="I98" s="339" t="str">
        <f aca="false">IF((F98&lt;&gt;0),IF((D98&gt;0)," ",(I$1-A98))," ")</f>
        <v> </v>
      </c>
    </row>
    <row r="99" customFormat="false" ht="12.75" hidden="false" customHeight="false" outlineLevel="0" collapsed="false">
      <c r="A99" s="355"/>
      <c r="H99" s="338" t="str">
        <f aca="false">IF((F99&lt;&gt;0),IF((D99&gt;0)," ",F99)," ")</f>
        <v> </v>
      </c>
      <c r="I99" s="339" t="str">
        <f aca="false">IF((F99&lt;&gt;0),IF((D99&gt;0)," ",(I$1-A99))," ")</f>
        <v> </v>
      </c>
    </row>
    <row r="100" customFormat="false" ht="12.75" hidden="false" customHeight="false" outlineLevel="0" collapsed="false">
      <c r="A100" s="355"/>
      <c r="H100" s="338" t="str">
        <f aca="false">IF((F100&lt;&gt;0),IF((D100&gt;0)," ",F100)," ")</f>
        <v> </v>
      </c>
      <c r="I100" s="339" t="str">
        <f aca="false">IF((F100&lt;&gt;0),IF((D100&gt;0)," ",(I$1-A100))," ")</f>
        <v> </v>
      </c>
    </row>
    <row r="101" customFormat="false" ht="12.75" hidden="false" customHeight="false" outlineLevel="0" collapsed="false">
      <c r="A101" s="355"/>
      <c r="H101" s="338" t="str">
        <f aca="false">IF((F101&lt;&gt;0),IF((D101&gt;0)," ",F101)," ")</f>
        <v> </v>
      </c>
      <c r="I101" s="339" t="str">
        <f aca="false">IF((F101&lt;&gt;0),IF((D101&gt;0)," ",(I$1-A101))," ")</f>
        <v> </v>
      </c>
    </row>
    <row r="102" customFormat="false" ht="12.75" hidden="false" customHeight="false" outlineLevel="0" collapsed="false">
      <c r="A102" s="355"/>
      <c r="H102" s="338" t="str">
        <f aca="false">IF((F102&lt;&gt;0),IF((D102&gt;0)," ",F102)," ")</f>
        <v> </v>
      </c>
      <c r="I102" s="339" t="str">
        <f aca="false">IF((F102&lt;&gt;0),IF((D102&gt;0)," ",(I$1-A102))," ")</f>
        <v> </v>
      </c>
    </row>
    <row r="103" customFormat="false" ht="12.75" hidden="false" customHeight="false" outlineLevel="0" collapsed="false">
      <c r="A103" s="355"/>
      <c r="H103" s="338" t="str">
        <f aca="false">IF((F103&lt;&gt;0),IF((D103&gt;0)," ",F103)," ")</f>
        <v> </v>
      </c>
      <c r="I103" s="339" t="str">
        <f aca="false">IF((F103&lt;&gt;0),IF((D103&gt;0)," ",(I$1-A103))," ")</f>
        <v> </v>
      </c>
    </row>
    <row r="104" customFormat="false" ht="12.75" hidden="false" customHeight="false" outlineLevel="0" collapsed="false">
      <c r="A104" s="355"/>
      <c r="H104" s="338" t="str">
        <f aca="false">IF((F104&lt;&gt;0),IF((D104&gt;0)," ",F104)," ")</f>
        <v> </v>
      </c>
      <c r="I104" s="339" t="str">
        <f aca="false">IF((F104&lt;&gt;0),IF((D104&gt;0)," ",(I$1-A104))," ")</f>
        <v> </v>
      </c>
    </row>
    <row r="105" customFormat="false" ht="12.75" hidden="false" customHeight="false" outlineLevel="0" collapsed="false">
      <c r="A105" s="355"/>
      <c r="H105" s="338" t="str">
        <f aca="false">IF((F105&lt;&gt;0),IF((D105&gt;0)," ",F105)," ")</f>
        <v> </v>
      </c>
      <c r="I105" s="339" t="str">
        <f aca="false">IF((F105&lt;&gt;0),IF((D105&gt;0)," ",(I$1-A105))," ")</f>
        <v> </v>
      </c>
    </row>
    <row r="106" customFormat="false" ht="12.75" hidden="false" customHeight="false" outlineLevel="0" collapsed="false">
      <c r="A106" s="355"/>
      <c r="H106" s="338" t="str">
        <f aca="false">IF((F106&lt;&gt;0),IF((D106&gt;0)," ",F106)," ")</f>
        <v> </v>
      </c>
      <c r="I106" s="339" t="str">
        <f aca="false">IF((F106&lt;&gt;0),IF((D106&gt;0)," ",(I$1-A106))," ")</f>
        <v> </v>
      </c>
    </row>
    <row r="107" customFormat="false" ht="12.75" hidden="false" customHeight="false" outlineLevel="0" collapsed="false">
      <c r="A107" s="355"/>
      <c r="H107" s="338" t="str">
        <f aca="false">IF((F107&lt;&gt;0),IF((D107&gt;0)," ",F107)," ")</f>
        <v> </v>
      </c>
      <c r="I107" s="339" t="str">
        <f aca="false">IF((F107&lt;&gt;0),IF((D107&gt;0)," ",(I$1-A107))," ")</f>
        <v> </v>
      </c>
    </row>
    <row r="108" customFormat="false" ht="12.75" hidden="false" customHeight="false" outlineLevel="0" collapsed="false">
      <c r="A108" s="355"/>
      <c r="H108" s="338" t="str">
        <f aca="false">IF((F108&lt;&gt;0),IF((D108&gt;0)," ",F108)," ")</f>
        <v> </v>
      </c>
      <c r="I108" s="339" t="str">
        <f aca="false">IF((F108&lt;&gt;0),IF((D108&gt;0)," ",(I$1-A108))," ")</f>
        <v> </v>
      </c>
    </row>
    <row r="109" customFormat="false" ht="12.75" hidden="false" customHeight="false" outlineLevel="0" collapsed="false">
      <c r="A109" s="355"/>
      <c r="H109" s="338" t="str">
        <f aca="false">IF((F109&lt;&gt;0),IF((D109&gt;0)," ",F109)," ")</f>
        <v> </v>
      </c>
      <c r="I109" s="339" t="str">
        <f aca="false">IF((F109&lt;&gt;0),IF((D109&gt;0)," ",(I$1-A109))," ")</f>
        <v> </v>
      </c>
    </row>
    <row r="110" customFormat="false" ht="12.75" hidden="false" customHeight="false" outlineLevel="0" collapsed="false">
      <c r="A110" s="355"/>
      <c r="H110" s="338" t="str">
        <f aca="false">IF((F110&lt;&gt;0),IF((D110&gt;0)," ",F110)," ")</f>
        <v> </v>
      </c>
      <c r="I110" s="339" t="str">
        <f aca="false">IF((F110&lt;&gt;0),IF((D110&gt;0)," ",(I$1-A110))," ")</f>
        <v> </v>
      </c>
    </row>
    <row r="111" customFormat="false" ht="12.75" hidden="false" customHeight="false" outlineLevel="0" collapsed="false">
      <c r="A111" s="355"/>
      <c r="H111" s="338" t="str">
        <f aca="false">IF((F111&lt;&gt;0),IF((D111&gt;0)," ",F111)," ")</f>
        <v> </v>
      </c>
      <c r="I111" s="339" t="str">
        <f aca="false">IF((F111&lt;&gt;0),IF((D111&gt;0)," ",(I$1-A111))," ")</f>
        <v> </v>
      </c>
    </row>
    <row r="112" customFormat="false" ht="12.75" hidden="false" customHeight="false" outlineLevel="0" collapsed="false">
      <c r="A112" s="355"/>
      <c r="H112" s="338" t="str">
        <f aca="false">IF((F112&lt;&gt;0),IF((D112&gt;0)," ",F112)," ")</f>
        <v> </v>
      </c>
      <c r="I112" s="339" t="str">
        <f aca="false">IF((F112&lt;&gt;0),IF((D112&gt;0)," ",(I$1-A112))," ")</f>
        <v> </v>
      </c>
    </row>
    <row r="113" customFormat="false" ht="12.75" hidden="false" customHeight="false" outlineLevel="0" collapsed="false">
      <c r="A113" s="355"/>
      <c r="H113" s="338" t="str">
        <f aca="false">IF((F113&lt;&gt;0),IF((D113&gt;0)," ",F113)," ")</f>
        <v> </v>
      </c>
      <c r="I113" s="339" t="str">
        <f aca="false">IF((F113&lt;&gt;0),IF((D113&gt;0)," ",(I$1-A113))," ")</f>
        <v> </v>
      </c>
    </row>
    <row r="114" customFormat="false" ht="12.75" hidden="false" customHeight="false" outlineLevel="0" collapsed="false">
      <c r="A114" s="355"/>
      <c r="H114" s="338" t="str">
        <f aca="false">IF((F114&lt;&gt;0),IF((D114&gt;0)," ",F114)," ")</f>
        <v> </v>
      </c>
      <c r="I114" s="339" t="str">
        <f aca="false">IF((F114&lt;&gt;0),IF((D114&gt;0)," ",(I$1-A114))," ")</f>
        <v> </v>
      </c>
    </row>
    <row r="115" customFormat="false" ht="12.75" hidden="false" customHeight="false" outlineLevel="0" collapsed="false">
      <c r="A115" s="355"/>
      <c r="H115" s="338" t="str">
        <f aca="false">IF((F115&lt;&gt;0),IF((D115&gt;0)," ",F115)," ")</f>
        <v> </v>
      </c>
      <c r="I115" s="339" t="str">
        <f aca="false">IF((F115&lt;&gt;0),IF((D115&gt;0)," ",(I$1-A115))," ")</f>
        <v> </v>
      </c>
    </row>
    <row r="116" customFormat="false" ht="12.75" hidden="false" customHeight="false" outlineLevel="0" collapsed="false">
      <c r="A116" s="355"/>
      <c r="H116" s="338" t="str">
        <f aca="false">IF((F116&lt;&gt;0),IF((D116&gt;0)," ",F116)," ")</f>
        <v> </v>
      </c>
      <c r="I116" s="339" t="str">
        <f aca="false">IF((F116&lt;&gt;0),IF((D116&gt;0)," ",(I$1-A116))," ")</f>
        <v> </v>
      </c>
    </row>
    <row r="117" customFormat="false" ht="12.75" hidden="false" customHeight="false" outlineLevel="0" collapsed="false">
      <c r="A117" s="355"/>
      <c r="H117" s="338" t="str">
        <f aca="false">IF((F117&lt;&gt;0),IF((D117&gt;0)," ",F117)," ")</f>
        <v> </v>
      </c>
      <c r="I117" s="339" t="str">
        <f aca="false">IF((F117&lt;&gt;0),IF((D117&gt;0)," ",(I$1-A117))," ")</f>
        <v> </v>
      </c>
    </row>
    <row r="118" customFormat="false" ht="12.75" hidden="false" customHeight="false" outlineLevel="0" collapsed="false">
      <c r="A118" s="355"/>
      <c r="H118" s="338" t="str">
        <f aca="false">IF((F118&lt;&gt;0),IF((D118&gt;0)," ",F118)," ")</f>
        <v> </v>
      </c>
      <c r="I118" s="339" t="str">
        <f aca="false">IF((F118&lt;&gt;0),IF((D118&gt;0)," ",(I$1-A118))," ")</f>
        <v> </v>
      </c>
    </row>
    <row r="119" customFormat="false" ht="12.75" hidden="false" customHeight="false" outlineLevel="0" collapsed="false">
      <c r="A119" s="355"/>
      <c r="H119" s="338" t="str">
        <f aca="false">IF((F119&lt;&gt;0),IF((D119&gt;0)," ",F119)," ")</f>
        <v> </v>
      </c>
      <c r="I119" s="339" t="str">
        <f aca="false">IF((F119&lt;&gt;0),IF((D119&gt;0)," ",(I$1-A119))," ")</f>
        <v> </v>
      </c>
    </row>
    <row r="120" customFormat="false" ht="12.75" hidden="false" customHeight="false" outlineLevel="0" collapsed="false">
      <c r="A120" s="355"/>
      <c r="H120" s="338" t="str">
        <f aca="false">IF((F120&lt;&gt;0),IF((D120&gt;0)," ",F120)," ")</f>
        <v> </v>
      </c>
      <c r="I120" s="339" t="str">
        <f aca="false">IF((F120&lt;&gt;0),IF((D120&gt;0)," ",(I$1-A120))," ")</f>
        <v> </v>
      </c>
    </row>
    <row r="121" customFormat="false" ht="12.75" hidden="false" customHeight="false" outlineLevel="0" collapsed="false">
      <c r="A121" s="355"/>
      <c r="H121" s="338" t="str">
        <f aca="false">IF((F121&lt;&gt;0),IF((D121&gt;0)," ",F121)," ")</f>
        <v> </v>
      </c>
      <c r="I121" s="339" t="str">
        <f aca="false">IF((F121&lt;&gt;0),IF((D121&gt;0)," ",(I$1-A121))," ")</f>
        <v> </v>
      </c>
    </row>
    <row r="122" customFormat="false" ht="12.75" hidden="false" customHeight="false" outlineLevel="0" collapsed="false">
      <c r="A122" s="355"/>
      <c r="H122" s="338" t="str">
        <f aca="false">IF((F122&lt;&gt;0),IF((D122&gt;0)," ",F122)," ")</f>
        <v> </v>
      </c>
      <c r="I122" s="339" t="str">
        <f aca="false">IF((F122&lt;&gt;0),IF((D122&gt;0)," ",(I$1-A122))," ")</f>
        <v> </v>
      </c>
    </row>
    <row r="123" customFormat="false" ht="12.75" hidden="false" customHeight="false" outlineLevel="0" collapsed="false">
      <c r="A123" s="355"/>
      <c r="H123" s="338" t="str">
        <f aca="false">IF((F123&lt;&gt;0),IF((D123&gt;0)," ",F123)," ")</f>
        <v> </v>
      </c>
      <c r="I123" s="339" t="str">
        <f aca="false">IF((F123&lt;&gt;0),IF((D123&gt;0)," ",(I$1-A123))," ")</f>
        <v> </v>
      </c>
    </row>
    <row r="124" customFormat="false" ht="12.75" hidden="false" customHeight="false" outlineLevel="0" collapsed="false">
      <c r="A124" s="355"/>
      <c r="H124" s="338" t="str">
        <f aca="false">IF((F124&lt;&gt;0),IF((D124&gt;0)," ",F124)," ")</f>
        <v> </v>
      </c>
      <c r="I124" s="339" t="str">
        <f aca="false">IF((F124&lt;&gt;0),IF((D124&gt;0)," ",(I$1-A124))," ")</f>
        <v> </v>
      </c>
    </row>
    <row r="125" customFormat="false" ht="12.75" hidden="false" customHeight="false" outlineLevel="0" collapsed="false">
      <c r="A125" s="355"/>
      <c r="H125" s="338" t="str">
        <f aca="false">IF((F125&lt;&gt;0),IF((D125&gt;0)," ",F125)," ")</f>
        <v> </v>
      </c>
      <c r="I125" s="339" t="str">
        <f aca="false">IF((F125&lt;&gt;0),IF((D125&gt;0)," ",(I$1-A125))," ")</f>
        <v> </v>
      </c>
    </row>
    <row r="126" customFormat="false" ht="12.75" hidden="false" customHeight="false" outlineLevel="0" collapsed="false">
      <c r="A126" s="355"/>
      <c r="H126" s="338" t="str">
        <f aca="false">IF((F126&lt;&gt;0),IF((D126&gt;0)," ",F126)," ")</f>
        <v> </v>
      </c>
      <c r="I126" s="339" t="str">
        <f aca="false">IF((F126&lt;&gt;0),IF((D126&gt;0)," ",(I$1-A126))," ")</f>
        <v> </v>
      </c>
    </row>
    <row r="127" customFormat="false" ht="12.75" hidden="false" customHeight="false" outlineLevel="0" collapsed="false">
      <c r="A127" s="355"/>
      <c r="H127" s="338" t="str">
        <f aca="false">IF((F127&lt;&gt;0),IF((D127&gt;0)," ",F127)," ")</f>
        <v> </v>
      </c>
      <c r="I127" s="339" t="str">
        <f aca="false">IF((F127&lt;&gt;0),IF((D127&gt;0)," ",(I$1-A127))," ")</f>
        <v> </v>
      </c>
    </row>
    <row r="128" customFormat="false" ht="12.75" hidden="false" customHeight="false" outlineLevel="0" collapsed="false">
      <c r="A128" s="355"/>
      <c r="H128" s="338" t="str">
        <f aca="false">IF((F128&lt;&gt;0),IF((D128&gt;0)," ",F128)," ")</f>
        <v> </v>
      </c>
      <c r="I128" s="339" t="str">
        <f aca="false">IF((F128&lt;&gt;0),IF((D128&gt;0)," ",(I$1-A128))," ")</f>
        <v> </v>
      </c>
    </row>
    <row r="129" customFormat="false" ht="12.75" hidden="false" customHeight="false" outlineLevel="0" collapsed="false">
      <c r="A129" s="355"/>
      <c r="H129" s="338" t="str">
        <f aca="false">IF((F129&lt;&gt;0),IF((D129&gt;0)," ",F129)," ")</f>
        <v> </v>
      </c>
      <c r="I129" s="339" t="str">
        <f aca="false">IF((F129&lt;&gt;0),IF((D129&gt;0)," ",(I$1-A129))," ")</f>
        <v> </v>
      </c>
    </row>
    <row r="130" customFormat="false" ht="12.75" hidden="false" customHeight="false" outlineLevel="0" collapsed="false">
      <c r="A130" s="355"/>
      <c r="H130" s="338" t="str">
        <f aca="false">IF((F130&lt;&gt;0),IF((D130&gt;0)," ",F130)," ")</f>
        <v> </v>
      </c>
      <c r="I130" s="339" t="str">
        <f aca="false">IF((F130&lt;&gt;0),IF((D130&gt;0)," ",(I$1-A130))," ")</f>
        <v> </v>
      </c>
    </row>
    <row r="131" customFormat="false" ht="12.75" hidden="false" customHeight="false" outlineLevel="0" collapsed="false">
      <c r="A131" s="355"/>
      <c r="H131" s="338" t="str">
        <f aca="false">IF((F131&lt;&gt;0),IF((D131&gt;0)," ",F131)," ")</f>
        <v> </v>
      </c>
      <c r="I131" s="339" t="str">
        <f aca="false">IF((F131&lt;&gt;0),IF((D131&gt;0)," ",(I$1-A131))," ")</f>
        <v> </v>
      </c>
    </row>
    <row r="132" customFormat="false" ht="12.75" hidden="false" customHeight="false" outlineLevel="0" collapsed="false">
      <c r="A132" s="355"/>
      <c r="H132" s="338" t="str">
        <f aca="false">IF((F132&lt;&gt;0),IF((D132&gt;0)," ",F132)," ")</f>
        <v> </v>
      </c>
      <c r="I132" s="339" t="str">
        <f aca="false">IF((F132&lt;&gt;0),IF((D132&gt;0)," ",(I$1-A132))," ")</f>
        <v> </v>
      </c>
    </row>
    <row r="133" customFormat="false" ht="12.75" hidden="false" customHeight="false" outlineLevel="0" collapsed="false">
      <c r="A133" s="355"/>
      <c r="H133" s="338" t="str">
        <f aca="false">IF((F133&lt;&gt;0),IF((D133&gt;0)," ",F133)," ")</f>
        <v> </v>
      </c>
      <c r="I133" s="339" t="str">
        <f aca="false">IF((F133&lt;&gt;0),IF((D133&gt;0)," ",(I$1-A133))," ")</f>
        <v> </v>
      </c>
    </row>
    <row r="134" customFormat="false" ht="12.75" hidden="false" customHeight="false" outlineLevel="0" collapsed="false">
      <c r="A134" s="355"/>
      <c r="H134" s="338" t="str">
        <f aca="false">IF((F134&lt;&gt;0),IF((D134&gt;0)," ",F134)," ")</f>
        <v> </v>
      </c>
      <c r="I134" s="339" t="str">
        <f aca="false">IF((F134&lt;&gt;0),IF((D134&gt;0)," ",(I$1-A134))," ")</f>
        <v> </v>
      </c>
    </row>
    <row r="135" customFormat="false" ht="12.75" hidden="false" customHeight="false" outlineLevel="0" collapsed="false">
      <c r="A135" s="355"/>
      <c r="H135" s="338" t="str">
        <f aca="false">IF((F135&lt;&gt;0),IF((D135&gt;0)," ",F135)," ")</f>
        <v> </v>
      </c>
      <c r="I135" s="339" t="str">
        <f aca="false">IF((F135&lt;&gt;0),IF((D135&gt;0)," ",(I$1-A135))," ")</f>
        <v> </v>
      </c>
    </row>
    <row r="136" customFormat="false" ht="12.75" hidden="false" customHeight="false" outlineLevel="0" collapsed="false">
      <c r="A136" s="355"/>
      <c r="H136" s="338" t="str">
        <f aca="false">IF((F136&lt;&gt;0),IF((D136&gt;0)," ",F136)," ")</f>
        <v> </v>
      </c>
      <c r="I136" s="339" t="str">
        <f aca="false">IF((F136&lt;&gt;0),IF((D136&gt;0)," ",(I$1-A136))," ")</f>
        <v> </v>
      </c>
    </row>
    <row r="137" customFormat="false" ht="12.75" hidden="false" customHeight="false" outlineLevel="0" collapsed="false">
      <c r="A137" s="355"/>
      <c r="H137" s="338" t="str">
        <f aca="false">IF((F137&lt;&gt;0),IF((D137&gt;0)," ",F137)," ")</f>
        <v> </v>
      </c>
      <c r="I137" s="339" t="str">
        <f aca="false">IF((F137&lt;&gt;0),IF((D137&gt;0)," ",(I$1-A137))," ")</f>
        <v> </v>
      </c>
    </row>
    <row r="138" customFormat="false" ht="12.75" hidden="false" customHeight="false" outlineLevel="0" collapsed="false">
      <c r="A138" s="355"/>
      <c r="H138" s="338" t="str">
        <f aca="false">IF((F138&lt;&gt;0),IF((D138&gt;0)," ",F138)," ")</f>
        <v> </v>
      </c>
      <c r="I138" s="339" t="str">
        <f aca="false">IF((F138&lt;&gt;0),IF((D138&gt;0)," ",(I$1-A138))," ")</f>
        <v> </v>
      </c>
    </row>
    <row r="139" customFormat="false" ht="12.75" hidden="false" customHeight="false" outlineLevel="0" collapsed="false">
      <c r="A139" s="355"/>
      <c r="H139" s="338" t="str">
        <f aca="false">IF((F139&lt;&gt;0),IF((D139&gt;0)," ",F139)," ")</f>
        <v> </v>
      </c>
      <c r="I139" s="339" t="str">
        <f aca="false">IF((F139&lt;&gt;0),IF((D139&gt;0)," ",(I$1-A139))," ")</f>
        <v> </v>
      </c>
    </row>
    <row r="140" customFormat="false" ht="12.75" hidden="false" customHeight="false" outlineLevel="0" collapsed="false">
      <c r="A140" s="355"/>
      <c r="H140" s="338" t="str">
        <f aca="false">IF((F140&lt;&gt;0),IF((D140&gt;0)," ",F140)," ")</f>
        <v> </v>
      </c>
      <c r="I140" s="339" t="str">
        <f aca="false">IF((F140&lt;&gt;0),IF((D140&gt;0)," ",(I$1-A140))," ")</f>
        <v> </v>
      </c>
    </row>
    <row r="141" customFormat="false" ht="12.75" hidden="false" customHeight="false" outlineLevel="0" collapsed="false">
      <c r="A141" s="355"/>
      <c r="H141" s="338" t="str">
        <f aca="false">IF((F141&lt;&gt;0),IF((D141&gt;0)," ",F141)," ")</f>
        <v> </v>
      </c>
      <c r="I141" s="339" t="str">
        <f aca="false">IF((F141&lt;&gt;0),IF((D141&gt;0)," ",(I$1-A141))," ")</f>
        <v> </v>
      </c>
    </row>
    <row r="142" customFormat="false" ht="12.75" hidden="false" customHeight="false" outlineLevel="0" collapsed="false">
      <c r="A142" s="355"/>
      <c r="H142" s="338" t="str">
        <f aca="false">IF((F142&lt;&gt;0),IF((D142&gt;0)," ",F142)," ")</f>
        <v> </v>
      </c>
      <c r="I142" s="339" t="str">
        <f aca="false">IF((F142&lt;&gt;0),IF((D142&gt;0)," ",(I$1-A142))," ")</f>
        <v> </v>
      </c>
    </row>
    <row r="143" customFormat="false" ht="12.75" hidden="false" customHeight="false" outlineLevel="0" collapsed="false">
      <c r="A143" s="355"/>
      <c r="H143" s="338" t="str">
        <f aca="false">IF((F143&lt;&gt;0),IF((D143&gt;0)," ",F143)," ")</f>
        <v> </v>
      </c>
      <c r="I143" s="339" t="str">
        <f aca="false">IF((F143&lt;&gt;0),IF((D143&gt;0)," ",(I$1-A143))," ")</f>
        <v> </v>
      </c>
    </row>
    <row r="144" customFormat="false" ht="12.75" hidden="false" customHeight="false" outlineLevel="0" collapsed="false">
      <c r="A144" s="355"/>
      <c r="H144" s="338" t="str">
        <f aca="false">IF((F144&lt;&gt;0),IF((D144&gt;0)," ",F144)," ")</f>
        <v> </v>
      </c>
      <c r="I144" s="339" t="str">
        <f aca="false">IF((F144&lt;&gt;0),IF((D144&gt;0)," ",(I$1-A144))," ")</f>
        <v> </v>
      </c>
    </row>
    <row r="145" customFormat="false" ht="12.75" hidden="false" customHeight="false" outlineLevel="0" collapsed="false">
      <c r="A145" s="355"/>
      <c r="H145" s="338" t="str">
        <f aca="false">IF((F145&lt;&gt;0),IF((D145&gt;0)," ",F145)," ")</f>
        <v> </v>
      </c>
      <c r="I145" s="339" t="str">
        <f aca="false">IF((F145&lt;&gt;0),IF((D145&gt;0)," ",(I$1-A145))," ")</f>
        <v> </v>
      </c>
    </row>
    <row r="146" customFormat="false" ht="12.75" hidden="false" customHeight="false" outlineLevel="0" collapsed="false">
      <c r="A146" s="355"/>
      <c r="H146" s="338" t="str">
        <f aca="false">IF((F146&lt;&gt;0),IF((D146&gt;0)," ",F146)," ")</f>
        <v> </v>
      </c>
      <c r="I146" s="339" t="str">
        <f aca="false">IF((F146&lt;&gt;0),IF((D146&gt;0)," ",(I$1-A146))," ")</f>
        <v> </v>
      </c>
    </row>
    <row r="147" customFormat="false" ht="12.75" hidden="false" customHeight="false" outlineLevel="0" collapsed="false">
      <c r="A147" s="355"/>
      <c r="H147" s="338" t="str">
        <f aca="false">IF((F147&lt;&gt;0),IF((D147&gt;0)," ",F147)," ")</f>
        <v> </v>
      </c>
      <c r="I147" s="339" t="str">
        <f aca="false">IF((F147&lt;&gt;0),IF((D147&gt;0)," ",(I$1-A147))," ")</f>
        <v> </v>
      </c>
    </row>
    <row r="148" customFormat="false" ht="12.75" hidden="false" customHeight="false" outlineLevel="0" collapsed="false">
      <c r="A148" s="355"/>
      <c r="H148" s="338" t="str">
        <f aca="false">IF((F148&lt;&gt;0),IF((D148&gt;0)," ",F148)," ")</f>
        <v> </v>
      </c>
      <c r="I148" s="339" t="str">
        <f aca="false">IF((F148&lt;&gt;0),IF((D148&gt;0)," ",(I$1-A148))," ")</f>
        <v> </v>
      </c>
    </row>
    <row r="149" customFormat="false" ht="12.75" hidden="false" customHeight="false" outlineLevel="0" collapsed="false">
      <c r="A149" s="355"/>
      <c r="H149" s="338" t="str">
        <f aca="false">IF((F149&lt;&gt;0),IF((D149&gt;0)," ",F149)," ")</f>
        <v> </v>
      </c>
      <c r="I149" s="339" t="str">
        <f aca="false">IF((F149&lt;&gt;0),IF((D149&gt;0)," ",(I$1-A149))," ")</f>
        <v> </v>
      </c>
    </row>
    <row r="150" customFormat="false" ht="12.75" hidden="false" customHeight="false" outlineLevel="0" collapsed="false">
      <c r="A150" s="355"/>
      <c r="H150" s="338" t="str">
        <f aca="false">IF((F150&lt;&gt;0),IF((D150&gt;0)," ",F150)," ")</f>
        <v> </v>
      </c>
      <c r="I150" s="339" t="str">
        <f aca="false">IF((F150&lt;&gt;0),IF((D150&gt;0)," ",(I$1-A150))," ")</f>
        <v> </v>
      </c>
    </row>
    <row r="151" customFormat="false" ht="12.75" hidden="false" customHeight="false" outlineLevel="0" collapsed="false">
      <c r="A151" s="355"/>
      <c r="H151" s="338" t="str">
        <f aca="false">IF((F151&lt;&gt;0),IF((D151&gt;0)," ",F151)," ")</f>
        <v> </v>
      </c>
      <c r="I151" s="339" t="str">
        <f aca="false">IF((F151&lt;&gt;0),IF((D151&gt;0)," ",(I$1-A151))," ")</f>
        <v> </v>
      </c>
    </row>
    <row r="152" customFormat="false" ht="12.75" hidden="false" customHeight="false" outlineLevel="0" collapsed="false">
      <c r="A152" s="355"/>
      <c r="H152" s="338" t="str">
        <f aca="false">IF((F152&lt;&gt;0),IF((D152&gt;0)," ",F152)," ")</f>
        <v> </v>
      </c>
      <c r="I152" s="339" t="str">
        <f aca="false">IF((F152&lt;&gt;0),IF((D152&gt;0)," ",(I$1-A152))," ")</f>
        <v> </v>
      </c>
    </row>
    <row r="153" customFormat="false" ht="12.75" hidden="false" customHeight="false" outlineLevel="0" collapsed="false">
      <c r="A153" s="355"/>
      <c r="H153" s="338" t="str">
        <f aca="false">IF((F153&lt;&gt;0),IF((D153&gt;0)," ",F153)," ")</f>
        <v> </v>
      </c>
      <c r="I153" s="339" t="str">
        <f aca="false">IF((F153&lt;&gt;0),IF((D153&gt;0)," ",(I$1-A153))," ")</f>
        <v> </v>
      </c>
    </row>
    <row r="154" customFormat="false" ht="12.75" hidden="false" customHeight="false" outlineLevel="0" collapsed="false">
      <c r="A154" s="355"/>
      <c r="H154" s="338" t="str">
        <f aca="false">IF((F154&lt;&gt;0),IF((D154&gt;0)," ",F154)," ")</f>
        <v> </v>
      </c>
      <c r="I154" s="339" t="str">
        <f aca="false">IF((F154&lt;&gt;0),IF((D154&gt;0)," ",(I$1-A154))," ")</f>
        <v> </v>
      </c>
    </row>
    <row r="155" customFormat="false" ht="12.75" hidden="false" customHeight="false" outlineLevel="0" collapsed="false">
      <c r="A155" s="355"/>
      <c r="H155" s="338" t="str">
        <f aca="false">IF((F155&lt;&gt;0),IF((D155&gt;0)," ",F155)," ")</f>
        <v> </v>
      </c>
      <c r="I155" s="339" t="str">
        <f aca="false">IF((F155&lt;&gt;0),IF((D155&gt;0)," ",(I$1-A155))," ")</f>
        <v> </v>
      </c>
    </row>
    <row r="156" customFormat="false" ht="12.75" hidden="false" customHeight="false" outlineLevel="0" collapsed="false">
      <c r="A156" s="355"/>
      <c r="H156" s="338" t="str">
        <f aca="false">IF((F156&lt;&gt;0),IF((D156&gt;0)," ",F156)," ")</f>
        <v> </v>
      </c>
      <c r="I156" s="339" t="str">
        <f aca="false">IF((F156&lt;&gt;0),IF((D156&gt;0)," ",(I$1-A156))," ")</f>
        <v> </v>
      </c>
    </row>
    <row r="157" customFormat="false" ht="12.75" hidden="false" customHeight="false" outlineLevel="0" collapsed="false">
      <c r="A157" s="355"/>
      <c r="H157" s="338" t="str">
        <f aca="false">IF((F157&lt;&gt;0),IF((D157&gt;0)," ",F157)," ")</f>
        <v> </v>
      </c>
      <c r="I157" s="339" t="str">
        <f aca="false">IF((F157&lt;&gt;0),IF((D157&gt;0)," ",(I$1-A157))," ")</f>
        <v> </v>
      </c>
    </row>
    <row r="158" customFormat="false" ht="12.75" hidden="false" customHeight="false" outlineLevel="0" collapsed="false">
      <c r="A158" s="355"/>
      <c r="H158" s="338" t="str">
        <f aca="false">IF((F158&lt;&gt;0),IF((D158&gt;0)," ",F158)," ")</f>
        <v> </v>
      </c>
      <c r="I158" s="339" t="str">
        <f aca="false">IF((F158&lt;&gt;0),IF((D158&gt;0)," ",(I$1-A158))," ")</f>
        <v> </v>
      </c>
    </row>
    <row r="159" customFormat="false" ht="12.75" hidden="false" customHeight="false" outlineLevel="0" collapsed="false">
      <c r="A159" s="355"/>
      <c r="H159" s="338" t="str">
        <f aca="false">IF((F159&lt;&gt;0),IF((D159&gt;0)," ",F159)," ")</f>
        <v> </v>
      </c>
      <c r="I159" s="339" t="str">
        <f aca="false">IF((F159&lt;&gt;0),IF((D159&gt;0)," ",(I$1-A159))," ")</f>
        <v> </v>
      </c>
    </row>
    <row r="160" customFormat="false" ht="12.75" hidden="false" customHeight="false" outlineLevel="0" collapsed="false">
      <c r="A160" s="355"/>
      <c r="H160" s="338" t="str">
        <f aca="false">IF((F160&lt;&gt;0),IF((D160&gt;0)," ",F160)," ")</f>
        <v> </v>
      </c>
      <c r="I160" s="339" t="str">
        <f aca="false">IF((F160&lt;&gt;0),IF((D160&gt;0)," ",(I$1-A160))," ")</f>
        <v> </v>
      </c>
    </row>
    <row r="161" customFormat="false" ht="12.75" hidden="false" customHeight="false" outlineLevel="0" collapsed="false">
      <c r="A161" s="355"/>
      <c r="H161" s="338" t="str">
        <f aca="false">IF((F161&lt;&gt;0),IF((D161&gt;0)," ",F161)," ")</f>
        <v> </v>
      </c>
      <c r="I161" s="339" t="str">
        <f aca="false">IF((F161&lt;&gt;0),IF((D161&gt;0)," ",(I$1-A161))," ")</f>
        <v> </v>
      </c>
    </row>
    <row r="162" customFormat="false" ht="12.75" hidden="false" customHeight="false" outlineLevel="0" collapsed="false">
      <c r="A162" s="355"/>
      <c r="H162" s="338" t="str">
        <f aca="false">IF((F162&lt;&gt;0),IF((D162&gt;0)," ",F162)," ")</f>
        <v> </v>
      </c>
      <c r="I162" s="339" t="str">
        <f aca="false">IF((F162&lt;&gt;0),IF((D162&gt;0)," ",(I$1-A162))," ")</f>
        <v> </v>
      </c>
    </row>
    <row r="163" customFormat="false" ht="12.75" hidden="false" customHeight="false" outlineLevel="0" collapsed="false">
      <c r="A163" s="355"/>
      <c r="H163" s="338" t="str">
        <f aca="false">IF((F163&lt;&gt;0),IF((D163&gt;0)," ",F163)," ")</f>
        <v> </v>
      </c>
      <c r="I163" s="339" t="str">
        <f aca="false">IF((F163&lt;&gt;0),IF((D163&gt;0)," ",(I$1-A163))," ")</f>
        <v> </v>
      </c>
    </row>
    <row r="164" customFormat="false" ht="12.75" hidden="false" customHeight="false" outlineLevel="0" collapsed="false">
      <c r="A164" s="355"/>
      <c r="H164" s="338" t="str">
        <f aca="false">IF((F164&lt;&gt;0),IF((D164&gt;0)," ",F164)," ")</f>
        <v> </v>
      </c>
      <c r="I164" s="339" t="str">
        <f aca="false">IF((F164&lt;&gt;0),IF((D164&gt;0)," ",(I$1-A164))," ")</f>
        <v> </v>
      </c>
    </row>
    <row r="165" customFormat="false" ht="12.75" hidden="false" customHeight="false" outlineLevel="0" collapsed="false">
      <c r="A165" s="355"/>
      <c r="H165" s="338" t="str">
        <f aca="false">IF((F165&lt;&gt;0),IF((D165&gt;0)," ",F165)," ")</f>
        <v> </v>
      </c>
      <c r="I165" s="339" t="str">
        <f aca="false">IF((F165&lt;&gt;0),IF((D165&gt;0)," ",(I$1-A165))," ")</f>
        <v> </v>
      </c>
    </row>
    <row r="166" customFormat="false" ht="12.75" hidden="false" customHeight="false" outlineLevel="0" collapsed="false">
      <c r="A166" s="355"/>
      <c r="H166" s="338" t="str">
        <f aca="false">IF((F166&lt;&gt;0),IF((D166&gt;0)," ",F166)," ")</f>
        <v> </v>
      </c>
      <c r="I166" s="339" t="str">
        <f aca="false">IF((F166&lt;&gt;0),IF((D166&gt;0)," ",(I$1-A166))," ")</f>
        <v> </v>
      </c>
    </row>
    <row r="167" customFormat="false" ht="12.75" hidden="false" customHeight="false" outlineLevel="0" collapsed="false">
      <c r="A167" s="355"/>
      <c r="H167" s="338" t="str">
        <f aca="false">IF((F167&lt;&gt;0),IF((D167&gt;0)," ",F167)," ")</f>
        <v> </v>
      </c>
      <c r="I167" s="339" t="str">
        <f aca="false">IF((F167&lt;&gt;0),IF((D167&gt;0)," ",(I$1-A167))," ")</f>
        <v> </v>
      </c>
    </row>
    <row r="168" customFormat="false" ht="12.75" hidden="false" customHeight="false" outlineLevel="0" collapsed="false">
      <c r="A168" s="355"/>
      <c r="H168" s="338" t="str">
        <f aca="false">IF((F168&lt;&gt;0),IF((D168&gt;0)," ",F168)," ")</f>
        <v> </v>
      </c>
      <c r="I168" s="339" t="str">
        <f aca="false">IF((F168&lt;&gt;0),IF((D168&gt;0)," ",(I$1-A168))," ")</f>
        <v> </v>
      </c>
    </row>
    <row r="169" customFormat="false" ht="12.75" hidden="false" customHeight="false" outlineLevel="0" collapsed="false">
      <c r="A169" s="355"/>
      <c r="H169" s="338" t="str">
        <f aca="false">IF((F169&lt;&gt;0),IF((D169&gt;0)," ",F169)," ")</f>
        <v> </v>
      </c>
      <c r="I169" s="339" t="str">
        <f aca="false">IF((F169&lt;&gt;0),IF((D169&gt;0)," ",(I$1-A169))," ")</f>
        <v> </v>
      </c>
    </row>
    <row r="170" customFormat="false" ht="12.75" hidden="false" customHeight="false" outlineLevel="0" collapsed="false">
      <c r="A170" s="355"/>
      <c r="H170" s="338" t="str">
        <f aca="false">IF((F170&lt;&gt;0),IF((D170&gt;0)," ",F170)," ")</f>
        <v> </v>
      </c>
      <c r="I170" s="339" t="str">
        <f aca="false">IF((F170&lt;&gt;0),IF((D170&gt;0)," ",(I$1-A170))," ")</f>
        <v> </v>
      </c>
    </row>
    <row r="171" customFormat="false" ht="12.75" hidden="false" customHeight="false" outlineLevel="0" collapsed="false">
      <c r="A171" s="355"/>
      <c r="H171" s="338" t="str">
        <f aca="false">IF((F171&lt;&gt;0),IF((D171&gt;0)," ",F171)," ")</f>
        <v> </v>
      </c>
      <c r="I171" s="339" t="str">
        <f aca="false">IF((F171&lt;&gt;0),IF((D171&gt;0)," ",(I$1-A171))," ")</f>
        <v> </v>
      </c>
    </row>
    <row r="172" customFormat="false" ht="12.75" hidden="false" customHeight="false" outlineLevel="0" collapsed="false">
      <c r="A172" s="355"/>
      <c r="H172" s="338" t="str">
        <f aca="false">IF((F172&lt;&gt;0),IF((D172&gt;0)," ",F172)," ")</f>
        <v> </v>
      </c>
      <c r="I172" s="339" t="str">
        <f aca="false">IF((F172&lt;&gt;0),IF((D172&gt;0)," ",(I$1-A172))," ")</f>
        <v> </v>
      </c>
    </row>
    <row r="173" customFormat="false" ht="12.75" hidden="false" customHeight="false" outlineLevel="0" collapsed="false">
      <c r="A173" s="355"/>
      <c r="H173" s="338" t="str">
        <f aca="false">IF((F173&lt;&gt;0),IF((D173&gt;0)," ",F173)," ")</f>
        <v> </v>
      </c>
      <c r="I173" s="339" t="str">
        <f aca="false">IF((F173&lt;&gt;0),IF((D173&gt;0)," ",(I$1-A173))," ")</f>
        <v> </v>
      </c>
    </row>
    <row r="174" customFormat="false" ht="12.75" hidden="false" customHeight="false" outlineLevel="0" collapsed="false">
      <c r="A174" s="355"/>
      <c r="H174" s="338" t="str">
        <f aca="false">IF((F174&lt;&gt;0),IF((D174&gt;0)," ",F174)," ")</f>
        <v> </v>
      </c>
      <c r="I174" s="339" t="str">
        <f aca="false">IF((F174&lt;&gt;0),IF((D174&gt;0)," ",(I$1-A174))," ")</f>
        <v> </v>
      </c>
    </row>
    <row r="175" customFormat="false" ht="12.75" hidden="false" customHeight="false" outlineLevel="0" collapsed="false">
      <c r="A175" s="355"/>
      <c r="H175" s="338" t="str">
        <f aca="false">IF((F175&lt;&gt;0),IF((D175&gt;0)," ",F175)," ")</f>
        <v> </v>
      </c>
      <c r="I175" s="339" t="str">
        <f aca="false">IF((F175&lt;&gt;0),IF((D175&gt;0)," ",(I$1-A175))," ")</f>
        <v> </v>
      </c>
    </row>
    <row r="176" customFormat="false" ht="12.75" hidden="false" customHeight="false" outlineLevel="0" collapsed="false">
      <c r="A176" s="355"/>
      <c r="H176" s="338" t="str">
        <f aca="false">IF((F176&lt;&gt;0),IF((D176&gt;0)," ",F176)," ")</f>
        <v> </v>
      </c>
      <c r="I176" s="339" t="str">
        <f aca="false">IF((F176&lt;&gt;0),IF((D176&gt;0)," ",(I$1-A176))," ")</f>
        <v> </v>
      </c>
    </row>
    <row r="177" customFormat="false" ht="12.75" hidden="false" customHeight="false" outlineLevel="0" collapsed="false">
      <c r="A177" s="355"/>
      <c r="H177" s="338" t="str">
        <f aca="false">IF((F177&lt;&gt;0),IF((D177&gt;0)," ",F177)," ")</f>
        <v> </v>
      </c>
      <c r="I177" s="339" t="str">
        <f aca="false">IF((F177&lt;&gt;0),IF((D177&gt;0)," ",(I$1-A177))," ")</f>
        <v> </v>
      </c>
    </row>
    <row r="178" customFormat="false" ht="12.75" hidden="false" customHeight="false" outlineLevel="0" collapsed="false">
      <c r="A178" s="355"/>
      <c r="H178" s="338" t="str">
        <f aca="false">IF((F178&lt;&gt;0),IF((D178&gt;0)," ",F178)," ")</f>
        <v> </v>
      </c>
      <c r="I178" s="339" t="str">
        <f aca="false">IF((F178&lt;&gt;0),IF((D178&gt;0)," ",(I$1-A178))," ")</f>
        <v> </v>
      </c>
    </row>
    <row r="179" customFormat="false" ht="12.75" hidden="false" customHeight="false" outlineLevel="0" collapsed="false">
      <c r="A179" s="355"/>
      <c r="H179" s="338" t="str">
        <f aca="false">IF((F179&lt;&gt;0),IF((D179&gt;0)," ",F179)," ")</f>
        <v> </v>
      </c>
      <c r="I179" s="339" t="str">
        <f aca="false">IF((F179&lt;&gt;0),IF((D179&gt;0)," ",(I$1-A179))," ")</f>
        <v> </v>
      </c>
    </row>
    <row r="180" customFormat="false" ht="12.75" hidden="false" customHeight="false" outlineLevel="0" collapsed="false">
      <c r="A180" s="355"/>
      <c r="H180" s="338" t="str">
        <f aca="false">IF((F180&lt;&gt;0),IF((D180&gt;0)," ",F180)," ")</f>
        <v> </v>
      </c>
      <c r="I180" s="339" t="str">
        <f aca="false">IF((F180&lt;&gt;0),IF((D180&gt;0)," ",(I$1-A180))," ")</f>
        <v> </v>
      </c>
    </row>
    <row r="181" customFormat="false" ht="12.75" hidden="false" customHeight="false" outlineLevel="0" collapsed="false">
      <c r="A181" s="355"/>
      <c r="H181" s="338" t="str">
        <f aca="false">IF((F181&lt;&gt;0),IF((D181&gt;0)," ",F181)," ")</f>
        <v> </v>
      </c>
      <c r="I181" s="339" t="str">
        <f aca="false">IF((F181&lt;&gt;0),IF((D181&gt;0)," ",(I$1-A181))," ")</f>
        <v> </v>
      </c>
    </row>
    <row r="182" customFormat="false" ht="12.75" hidden="false" customHeight="false" outlineLevel="0" collapsed="false">
      <c r="A182" s="355"/>
      <c r="H182" s="338" t="str">
        <f aca="false">IF((F182&lt;&gt;0),IF((D182&gt;0)," ",F182)," ")</f>
        <v> </v>
      </c>
      <c r="I182" s="339" t="str">
        <f aca="false">IF((F182&lt;&gt;0),IF((D182&gt;0)," ",(I$1-A182))," ")</f>
        <v> </v>
      </c>
    </row>
    <row r="183" customFormat="false" ht="12.75" hidden="false" customHeight="false" outlineLevel="0" collapsed="false">
      <c r="A183" s="355"/>
      <c r="H183" s="338" t="str">
        <f aca="false">IF((F183&lt;&gt;0),IF((D183&gt;0)," ",F183)," ")</f>
        <v> </v>
      </c>
      <c r="I183" s="339" t="str">
        <f aca="false">IF((F183&lt;&gt;0),IF((D183&gt;0)," ",(I$1-A183))," ")</f>
        <v> </v>
      </c>
    </row>
    <row r="184" customFormat="false" ht="12.75" hidden="false" customHeight="false" outlineLevel="0" collapsed="false">
      <c r="A184" s="355"/>
      <c r="H184" s="338" t="str">
        <f aca="false">IF((F184&lt;&gt;0),IF((D184&gt;0)," ",F184)," ")</f>
        <v> </v>
      </c>
      <c r="I184" s="339" t="str">
        <f aca="false">IF((F184&lt;&gt;0),IF((D184&gt;0)," ",(I$1-A184))," ")</f>
        <v> </v>
      </c>
    </row>
    <row r="185" customFormat="false" ht="12.75" hidden="false" customHeight="false" outlineLevel="0" collapsed="false">
      <c r="A185" s="355"/>
      <c r="H185" s="338" t="str">
        <f aca="false">IF((F185&lt;&gt;0),IF((D185&gt;0)," ",F185)," ")</f>
        <v> </v>
      </c>
      <c r="I185" s="339" t="str">
        <f aca="false">IF((F185&lt;&gt;0),IF((D185&gt;0)," ",(I$1-A185))," ")</f>
        <v> </v>
      </c>
    </row>
    <row r="186" customFormat="false" ht="12.75" hidden="false" customHeight="false" outlineLevel="0" collapsed="false">
      <c r="A186" s="355"/>
      <c r="H186" s="338" t="str">
        <f aca="false">IF((F186&lt;&gt;0),IF((D186&gt;0)," ",F186)," ")</f>
        <v> </v>
      </c>
      <c r="I186" s="339" t="str">
        <f aca="false">IF((F186&lt;&gt;0),IF((D186&gt;0)," ",(I$1-A186))," ")</f>
        <v> </v>
      </c>
    </row>
    <row r="187" customFormat="false" ht="12.75" hidden="false" customHeight="false" outlineLevel="0" collapsed="false">
      <c r="A187" s="355"/>
      <c r="H187" s="338" t="str">
        <f aca="false">IF((F187&lt;&gt;0),IF((D187&gt;0)," ",F187)," ")</f>
        <v> </v>
      </c>
      <c r="I187" s="339" t="str">
        <f aca="false">IF((F187&lt;&gt;0),IF((D187&gt;0)," ",(I$1-A187))," ")</f>
        <v> </v>
      </c>
    </row>
    <row r="188" customFormat="false" ht="12.75" hidden="false" customHeight="false" outlineLevel="0" collapsed="false">
      <c r="A188" s="355"/>
      <c r="H188" s="338" t="str">
        <f aca="false">IF((F188&lt;&gt;0),IF((D188&gt;0)," ",F188)," ")</f>
        <v> </v>
      </c>
      <c r="I188" s="339" t="str">
        <f aca="false">IF((F188&lt;&gt;0),IF((D188&gt;0)," ",(I$1-A188))," ")</f>
        <v> </v>
      </c>
    </row>
    <row r="189" customFormat="false" ht="12.75" hidden="false" customHeight="false" outlineLevel="0" collapsed="false">
      <c r="A189" s="355"/>
      <c r="H189" s="338" t="str">
        <f aca="false">IF((F189&lt;&gt;0),IF((D189&gt;0)," ",F189)," ")</f>
        <v> </v>
      </c>
      <c r="I189" s="339" t="str">
        <f aca="false">IF((F189&lt;&gt;0),IF((D189&gt;0)," ",(I$1-A189))," ")</f>
        <v> </v>
      </c>
    </row>
    <row r="190" customFormat="false" ht="12.75" hidden="false" customHeight="false" outlineLevel="0" collapsed="false">
      <c r="A190" s="355"/>
      <c r="H190" s="338" t="str">
        <f aca="false">IF((F190&lt;&gt;0),IF((D190&gt;0)," ",F190)," ")</f>
        <v> </v>
      </c>
      <c r="I190" s="339" t="str">
        <f aca="false">IF((F190&lt;&gt;0),IF((D190&gt;0)," ",(I$1-A190))," ")</f>
        <v> </v>
      </c>
    </row>
    <row r="191" customFormat="false" ht="12.75" hidden="false" customHeight="false" outlineLevel="0" collapsed="false">
      <c r="A191" s="355"/>
      <c r="H191" s="338" t="str">
        <f aca="false">IF((F191&lt;&gt;0),IF((D191&gt;0)," ",F191)," ")</f>
        <v> </v>
      </c>
      <c r="I191" s="339" t="str">
        <f aca="false">IF((F191&lt;&gt;0),IF((D191&gt;0)," ",(I$1-A191))," ")</f>
        <v> </v>
      </c>
    </row>
    <row r="192" customFormat="false" ht="12.75" hidden="false" customHeight="false" outlineLevel="0" collapsed="false">
      <c r="A192" s="355"/>
      <c r="H192" s="338" t="str">
        <f aca="false">IF((F192&lt;&gt;0),IF((D192&gt;0)," ",F192)," ")</f>
        <v> </v>
      </c>
      <c r="I192" s="339" t="str">
        <f aca="false">IF((F192&lt;&gt;0),IF((D192&gt;0)," ",(I$1-A192))," ")</f>
        <v> </v>
      </c>
    </row>
    <row r="193" customFormat="false" ht="12.75" hidden="false" customHeight="false" outlineLevel="0" collapsed="false">
      <c r="A193" s="355"/>
      <c r="H193" s="338" t="str">
        <f aca="false">IF((F193&lt;&gt;0),IF((D193&gt;0)," ",F193)," ")</f>
        <v> </v>
      </c>
      <c r="I193" s="339" t="str">
        <f aca="false">IF((F193&lt;&gt;0),IF((D193&gt;0)," ",(I$1-A193))," ")</f>
        <v> </v>
      </c>
    </row>
    <row r="194" customFormat="false" ht="12.75" hidden="false" customHeight="false" outlineLevel="0" collapsed="false">
      <c r="A194" s="355"/>
      <c r="H194" s="338" t="str">
        <f aca="false">IF((F194&lt;&gt;0),IF((D194&gt;0)," ",F194)," ")</f>
        <v> </v>
      </c>
      <c r="I194" s="339" t="str">
        <f aca="false">IF((F194&lt;&gt;0),IF((D194&gt;0)," ",(I$1-A194))," ")</f>
        <v> </v>
      </c>
    </row>
    <row r="195" customFormat="false" ht="12.75" hidden="false" customHeight="false" outlineLevel="0" collapsed="false">
      <c r="A195" s="355"/>
      <c r="H195" s="338" t="str">
        <f aca="false">IF((F195&lt;&gt;0),IF((D195&gt;0)," ",F195)," ")</f>
        <v> </v>
      </c>
      <c r="I195" s="339" t="str">
        <f aca="false">IF((F195&lt;&gt;0),IF((D195&gt;0)," ",(I$1-A195))," ")</f>
        <v> </v>
      </c>
    </row>
    <row r="196" customFormat="false" ht="12.75" hidden="false" customHeight="false" outlineLevel="0" collapsed="false">
      <c r="A196" s="355"/>
      <c r="H196" s="338" t="str">
        <f aca="false">IF((F196&lt;&gt;0),IF((D196&gt;0)," ",F196)," ")</f>
        <v> </v>
      </c>
      <c r="I196" s="339" t="str">
        <f aca="false">IF((F196&lt;&gt;0),IF((D196&gt;0)," ",(I$1-A196))," ")</f>
        <v> </v>
      </c>
    </row>
    <row r="197" customFormat="false" ht="12.75" hidden="false" customHeight="false" outlineLevel="0" collapsed="false">
      <c r="A197" s="355"/>
      <c r="H197" s="338" t="str">
        <f aca="false">IF((F197&lt;&gt;0),IF((D197&gt;0)," ",F197)," ")</f>
        <v> </v>
      </c>
      <c r="I197" s="339" t="str">
        <f aca="false">IF((F197&lt;&gt;0),IF((D197&gt;0)," ",(I$1-A197))," ")</f>
        <v> </v>
      </c>
    </row>
    <row r="198" customFormat="false" ht="12.75" hidden="false" customHeight="false" outlineLevel="0" collapsed="false">
      <c r="A198" s="355"/>
      <c r="H198" s="338" t="str">
        <f aca="false">IF((F198&lt;&gt;0),IF((D198&gt;0)," ",F198)," ")</f>
        <v> </v>
      </c>
      <c r="I198" s="339" t="str">
        <f aca="false">IF((F198&lt;&gt;0),IF((D198&gt;0)," ",(I$1-A198))," ")</f>
        <v> </v>
      </c>
    </row>
    <row r="199" customFormat="false" ht="12.75" hidden="false" customHeight="false" outlineLevel="0" collapsed="false">
      <c r="A199" s="355"/>
      <c r="H199" s="338" t="str">
        <f aca="false">IF((F199&lt;&gt;0),IF((D199&gt;0)," ",F199)," ")</f>
        <v> </v>
      </c>
      <c r="I199" s="339" t="str">
        <f aca="false">IF((F199&lt;&gt;0),IF((D199&gt;0)," ",(I$1-A199))," ")</f>
        <v> </v>
      </c>
    </row>
    <row r="200" customFormat="false" ht="12.75" hidden="false" customHeight="false" outlineLevel="0" collapsed="false">
      <c r="A200" s="355"/>
      <c r="H200" s="338" t="str">
        <f aca="false">IF((F200&lt;&gt;0),IF((D200&gt;0)," ",F200)," ")</f>
        <v> </v>
      </c>
      <c r="I200" s="339" t="str">
        <f aca="false">IF((F200&lt;&gt;0),IF((D200&gt;0)," ",(I$1-A200))," ")</f>
        <v> </v>
      </c>
    </row>
    <row r="201" customFormat="false" ht="12.75" hidden="false" customHeight="false" outlineLevel="0" collapsed="false">
      <c r="A201" s="355"/>
      <c r="H201" s="338" t="str">
        <f aca="false">IF((F201&lt;&gt;0),IF((D201&gt;0)," ",F201)," ")</f>
        <v> </v>
      </c>
      <c r="I201" s="339" t="str">
        <f aca="false">IF((F201&lt;&gt;0),IF((D201&gt;0)," ",(I$1-A201))," ")</f>
        <v> </v>
      </c>
    </row>
    <row r="202" customFormat="false" ht="12.75" hidden="false" customHeight="false" outlineLevel="0" collapsed="false">
      <c r="A202" s="355"/>
      <c r="H202" s="338" t="str">
        <f aca="false">IF((F202&lt;&gt;0),IF((D202&gt;0)," ",F202)," ")</f>
        <v> </v>
      </c>
      <c r="I202" s="339" t="str">
        <f aca="false">IF((F202&lt;&gt;0),IF((D202&gt;0)," ",(I$1-A202))," ")</f>
        <v> </v>
      </c>
    </row>
    <row r="203" customFormat="false" ht="12.75" hidden="false" customHeight="false" outlineLevel="0" collapsed="false">
      <c r="A203" s="355"/>
      <c r="H203" s="338" t="str">
        <f aca="false">IF((F203&lt;&gt;0),IF((D203&gt;0)," ",F203)," ")</f>
        <v> </v>
      </c>
      <c r="I203" s="339" t="str">
        <f aca="false">IF((F203&lt;&gt;0),IF((D203&gt;0)," ",(I$1-A203))," ")</f>
        <v> </v>
      </c>
    </row>
    <row r="204" customFormat="false" ht="12.75" hidden="false" customHeight="false" outlineLevel="0" collapsed="false">
      <c r="A204" s="355"/>
      <c r="H204" s="338" t="str">
        <f aca="false">IF((F204&lt;&gt;0),IF((D204&gt;0)," ",F204)," ")</f>
        <v> </v>
      </c>
      <c r="I204" s="339" t="str">
        <f aca="false">IF((F204&lt;&gt;0),IF((D204&gt;0)," ",(I$1-A204))," ")</f>
        <v> </v>
      </c>
    </row>
    <row r="205" customFormat="false" ht="12.75" hidden="false" customHeight="false" outlineLevel="0" collapsed="false">
      <c r="A205" s="355"/>
    </row>
    <row r="206" customFormat="false" ht="12.75" hidden="false" customHeight="false" outlineLevel="0" collapsed="false">
      <c r="A206" s="355"/>
    </row>
    <row r="207" customFormat="false" ht="12.75" hidden="false" customHeight="false" outlineLevel="0" collapsed="false">
      <c r="A207" s="355"/>
    </row>
    <row r="208" customFormat="false" ht="12.75" hidden="false" customHeight="false" outlineLevel="0" collapsed="false">
      <c r="A208" s="355"/>
    </row>
    <row r="209" customFormat="false" ht="12.75" hidden="false" customHeight="false" outlineLevel="0" collapsed="false">
      <c r="A209" s="355"/>
    </row>
    <row r="210" customFormat="false" ht="12.75" hidden="false" customHeight="false" outlineLevel="0" collapsed="false">
      <c r="A210" s="355"/>
    </row>
    <row r="211" customFormat="false" ht="12.75" hidden="false" customHeight="false" outlineLevel="0" collapsed="false">
      <c r="A211" s="355"/>
    </row>
    <row r="212" customFormat="false" ht="12.75" hidden="false" customHeight="false" outlineLevel="0" collapsed="false">
      <c r="A212" s="355"/>
    </row>
    <row r="213" customFormat="false" ht="12.75" hidden="false" customHeight="false" outlineLevel="0" collapsed="false">
      <c r="A213" s="355"/>
    </row>
    <row r="214" customFormat="false" ht="12.75" hidden="false" customHeight="false" outlineLevel="0" collapsed="false">
      <c r="A214" s="355"/>
    </row>
    <row r="215" customFormat="false" ht="12.75" hidden="false" customHeight="false" outlineLevel="0" collapsed="false">
      <c r="A215" s="355"/>
    </row>
    <row r="216" customFormat="false" ht="12.75" hidden="false" customHeight="false" outlineLevel="0" collapsed="false">
      <c r="A216" s="355"/>
    </row>
    <row r="217" customFormat="false" ht="12.75" hidden="false" customHeight="false" outlineLevel="0" collapsed="false">
      <c r="A217" s="355"/>
    </row>
    <row r="218" customFormat="false" ht="12.75" hidden="false" customHeight="false" outlineLevel="0" collapsed="false">
      <c r="A218" s="355"/>
    </row>
    <row r="219" customFormat="false" ht="12.75" hidden="false" customHeight="false" outlineLevel="0" collapsed="false">
      <c r="A219" s="355"/>
    </row>
    <row r="220" customFormat="false" ht="12.75" hidden="false" customHeight="false" outlineLevel="0" collapsed="false">
      <c r="A220" s="355"/>
    </row>
    <row r="221" customFormat="false" ht="12.75" hidden="false" customHeight="false" outlineLevel="0" collapsed="false">
      <c r="A221" s="355"/>
    </row>
    <row r="222" customFormat="false" ht="12.75" hidden="false" customHeight="false" outlineLevel="0" collapsed="false">
      <c r="A222" s="355"/>
    </row>
    <row r="223" customFormat="false" ht="12.75" hidden="false" customHeight="false" outlineLevel="0" collapsed="false">
      <c r="A223" s="355"/>
    </row>
    <row r="224" customFormat="false" ht="12.75" hidden="false" customHeight="false" outlineLevel="0" collapsed="false">
      <c r="A224" s="355"/>
    </row>
    <row r="225" customFormat="false" ht="12.75" hidden="false" customHeight="false" outlineLevel="0" collapsed="false">
      <c r="A225" s="355"/>
    </row>
    <row r="226" customFormat="false" ht="12.75" hidden="false" customHeight="false" outlineLevel="0" collapsed="false">
      <c r="A226" s="355"/>
    </row>
    <row r="227" customFormat="false" ht="12.75" hidden="false" customHeight="false" outlineLevel="0" collapsed="false">
      <c r="A227" s="355"/>
    </row>
    <row r="228" customFormat="false" ht="12.75" hidden="false" customHeight="false" outlineLevel="0" collapsed="false">
      <c r="A228" s="355"/>
    </row>
    <row r="229" customFormat="false" ht="12.75" hidden="false" customHeight="false" outlineLevel="0" collapsed="false">
      <c r="A229" s="355"/>
    </row>
    <row r="230" customFormat="false" ht="12.75" hidden="false" customHeight="false" outlineLevel="0" collapsed="false">
      <c r="A230" s="355"/>
    </row>
    <row r="231" customFormat="false" ht="12.75" hidden="false" customHeight="false" outlineLevel="0" collapsed="false">
      <c r="A231" s="355"/>
    </row>
    <row r="232" customFormat="false" ht="12.75" hidden="false" customHeight="false" outlineLevel="0" collapsed="false">
      <c r="A232" s="355"/>
    </row>
    <row r="233" customFormat="false" ht="12.75" hidden="false" customHeight="false" outlineLevel="0" collapsed="false">
      <c r="A233" s="355"/>
    </row>
    <row r="234" customFormat="false" ht="12.75" hidden="false" customHeight="false" outlineLevel="0" collapsed="false">
      <c r="A234" s="355"/>
    </row>
    <row r="235" customFormat="false" ht="12.75" hidden="false" customHeight="false" outlineLevel="0" collapsed="false">
      <c r="A235" s="355"/>
    </row>
    <row r="236" customFormat="false" ht="12.75" hidden="false" customHeight="false" outlineLevel="0" collapsed="false">
      <c r="A236" s="355"/>
    </row>
    <row r="237" customFormat="false" ht="12.75" hidden="false" customHeight="false" outlineLevel="0" collapsed="false">
      <c r="A237" s="355"/>
    </row>
    <row r="238" customFormat="false" ht="12.75" hidden="false" customHeight="false" outlineLevel="0" collapsed="false">
      <c r="A238" s="355"/>
    </row>
    <row r="239" customFormat="false" ht="12.75" hidden="false" customHeight="false" outlineLevel="0" collapsed="false">
      <c r="A239" s="355"/>
    </row>
    <row r="240" customFormat="false" ht="12.75" hidden="false" customHeight="false" outlineLevel="0" collapsed="false">
      <c r="A240" s="355"/>
    </row>
    <row r="241" customFormat="false" ht="12.75" hidden="false" customHeight="false" outlineLevel="0" collapsed="false">
      <c r="A241" s="355"/>
    </row>
    <row r="242" customFormat="false" ht="12.75" hidden="false" customHeight="false" outlineLevel="0" collapsed="false">
      <c r="A242" s="355"/>
    </row>
    <row r="243" customFormat="false" ht="12.75" hidden="false" customHeight="false" outlineLevel="0" collapsed="false">
      <c r="A243" s="355"/>
    </row>
    <row r="244" customFormat="false" ht="12.75" hidden="false" customHeight="false" outlineLevel="0" collapsed="false">
      <c r="A244" s="355"/>
    </row>
    <row r="245" customFormat="false" ht="12.75" hidden="false" customHeight="false" outlineLevel="0" collapsed="false">
      <c r="A245" s="355"/>
    </row>
    <row r="246" customFormat="false" ht="12.75" hidden="false" customHeight="false" outlineLevel="0" collapsed="false">
      <c r="A246" s="355"/>
    </row>
    <row r="247" customFormat="false" ht="12.75" hidden="false" customHeight="false" outlineLevel="0" collapsed="false">
      <c r="A247" s="355"/>
    </row>
    <row r="248" customFormat="false" ht="12.75" hidden="false" customHeight="false" outlineLevel="0" collapsed="false">
      <c r="A248" s="355"/>
    </row>
    <row r="249" customFormat="false" ht="12.75" hidden="false" customHeight="false" outlineLevel="0" collapsed="false">
      <c r="A249" s="355"/>
    </row>
    <row r="250" customFormat="false" ht="12.75" hidden="false" customHeight="false" outlineLevel="0" collapsed="false">
      <c r="A250" s="355"/>
    </row>
    <row r="251" customFormat="false" ht="12.75" hidden="false" customHeight="false" outlineLevel="0" collapsed="false">
      <c r="A251" s="355"/>
    </row>
    <row r="252" customFormat="false" ht="12.75" hidden="false" customHeight="false" outlineLevel="0" collapsed="false">
      <c r="A252" s="355"/>
    </row>
    <row r="253" customFormat="false" ht="12.75" hidden="false" customHeight="false" outlineLevel="0" collapsed="false">
      <c r="A253" s="355"/>
    </row>
    <row r="254" customFormat="false" ht="12.75" hidden="false" customHeight="false" outlineLevel="0" collapsed="false">
      <c r="A254" s="355"/>
    </row>
    <row r="255" customFormat="false" ht="12.75" hidden="false" customHeight="false" outlineLevel="0" collapsed="false">
      <c r="A255" s="355"/>
    </row>
    <row r="256" customFormat="false" ht="12.75" hidden="false" customHeight="false" outlineLevel="0" collapsed="false">
      <c r="A256" s="355"/>
    </row>
    <row r="257" customFormat="false" ht="12.75" hidden="false" customHeight="false" outlineLevel="0" collapsed="false">
      <c r="A257" s="355"/>
    </row>
    <row r="258" customFormat="false" ht="12.75" hidden="false" customHeight="false" outlineLevel="0" collapsed="false">
      <c r="A258" s="355"/>
    </row>
    <row r="259" customFormat="false" ht="12.75" hidden="false" customHeight="false" outlineLevel="0" collapsed="false">
      <c r="A259" s="355"/>
    </row>
    <row r="260" customFormat="false" ht="12.75" hidden="false" customHeight="false" outlineLevel="0" collapsed="false">
      <c r="A260" s="355"/>
    </row>
    <row r="261" customFormat="false" ht="12.75" hidden="false" customHeight="false" outlineLevel="0" collapsed="false">
      <c r="A261" s="355"/>
    </row>
    <row r="262" customFormat="false" ht="12.75" hidden="false" customHeight="false" outlineLevel="0" collapsed="false">
      <c r="A262" s="355"/>
    </row>
    <row r="263" customFormat="false" ht="12.75" hidden="false" customHeight="false" outlineLevel="0" collapsed="false">
      <c r="A263" s="355"/>
    </row>
    <row r="264" customFormat="false" ht="12.75" hidden="false" customHeight="false" outlineLevel="0" collapsed="false">
      <c r="A264" s="355"/>
    </row>
    <row r="265" customFormat="false" ht="12.75" hidden="false" customHeight="false" outlineLevel="0" collapsed="false">
      <c r="A265" s="355"/>
    </row>
    <row r="266" customFormat="false" ht="12.75" hidden="false" customHeight="false" outlineLevel="0" collapsed="false">
      <c r="A266" s="355"/>
    </row>
    <row r="267" customFormat="false" ht="12.75" hidden="false" customHeight="false" outlineLevel="0" collapsed="false">
      <c r="A267" s="355"/>
    </row>
    <row r="268" customFormat="false" ht="12.75" hidden="false" customHeight="false" outlineLevel="0" collapsed="false">
      <c r="A268" s="355"/>
    </row>
    <row r="269" customFormat="false" ht="12.75" hidden="false" customHeight="false" outlineLevel="0" collapsed="false">
      <c r="A269" s="355"/>
    </row>
    <row r="270" customFormat="false" ht="12.75" hidden="false" customHeight="false" outlineLevel="0" collapsed="false">
      <c r="A270" s="355"/>
    </row>
    <row r="271" customFormat="false" ht="12.75" hidden="false" customHeight="false" outlineLevel="0" collapsed="false">
      <c r="A271" s="355"/>
    </row>
    <row r="272" customFormat="false" ht="12.75" hidden="false" customHeight="false" outlineLevel="0" collapsed="false">
      <c r="A272" s="355"/>
    </row>
    <row r="273" customFormat="false" ht="12.75" hidden="false" customHeight="false" outlineLevel="0" collapsed="false">
      <c r="A273" s="355"/>
    </row>
    <row r="274" customFormat="false" ht="12.75" hidden="false" customHeight="false" outlineLevel="0" collapsed="false">
      <c r="A274" s="355"/>
    </row>
    <row r="275" customFormat="false" ht="12.75" hidden="false" customHeight="false" outlineLevel="0" collapsed="false">
      <c r="A275" s="355"/>
    </row>
    <row r="276" customFormat="false" ht="12.75" hidden="false" customHeight="false" outlineLevel="0" collapsed="false">
      <c r="A276" s="355"/>
    </row>
    <row r="277" customFormat="false" ht="12.75" hidden="false" customHeight="false" outlineLevel="0" collapsed="false">
      <c r="A277" s="355"/>
    </row>
    <row r="278" customFormat="false" ht="12.75" hidden="false" customHeight="false" outlineLevel="0" collapsed="false">
      <c r="A278" s="355"/>
    </row>
    <row r="279" customFormat="false" ht="12.75" hidden="false" customHeight="false" outlineLevel="0" collapsed="false">
      <c r="A279" s="355"/>
    </row>
    <row r="280" customFormat="false" ht="12.75" hidden="false" customHeight="false" outlineLevel="0" collapsed="false">
      <c r="A280" s="355"/>
    </row>
    <row r="281" customFormat="false" ht="12.75" hidden="false" customHeight="false" outlineLevel="0" collapsed="false">
      <c r="A281" s="355"/>
    </row>
    <row r="282" customFormat="false" ht="12.75" hidden="false" customHeight="false" outlineLevel="0" collapsed="false">
      <c r="A282" s="355"/>
    </row>
    <row r="283" customFormat="false" ht="12.75" hidden="false" customHeight="false" outlineLevel="0" collapsed="false">
      <c r="A283" s="355"/>
    </row>
    <row r="284" customFormat="false" ht="12.75" hidden="false" customHeight="false" outlineLevel="0" collapsed="false">
      <c r="A284" s="355"/>
    </row>
    <row r="285" customFormat="false" ht="12.75" hidden="false" customHeight="false" outlineLevel="0" collapsed="false">
      <c r="A285" s="355"/>
    </row>
    <row r="286" customFormat="false" ht="12.75" hidden="false" customHeight="false" outlineLevel="0" collapsed="false">
      <c r="A286" s="355"/>
    </row>
    <row r="287" customFormat="false" ht="12.75" hidden="false" customHeight="false" outlineLevel="0" collapsed="false">
      <c r="A287" s="355"/>
    </row>
    <row r="288" customFormat="false" ht="12.75" hidden="false" customHeight="false" outlineLevel="0" collapsed="false">
      <c r="A288" s="355"/>
    </row>
    <row r="289" customFormat="false" ht="12.75" hidden="false" customHeight="false" outlineLevel="0" collapsed="false">
      <c r="A289" s="355"/>
    </row>
    <row r="290" customFormat="false" ht="12.75" hidden="false" customHeight="false" outlineLevel="0" collapsed="false">
      <c r="A290" s="355"/>
    </row>
    <row r="291" customFormat="false" ht="12.75" hidden="false" customHeight="false" outlineLevel="0" collapsed="false">
      <c r="A291" s="355"/>
    </row>
    <row r="292" customFormat="false" ht="12.75" hidden="false" customHeight="false" outlineLevel="0" collapsed="false">
      <c r="A292" s="355"/>
    </row>
    <row r="293" customFormat="false" ht="12.75" hidden="false" customHeight="false" outlineLevel="0" collapsed="false">
      <c r="A293" s="355"/>
    </row>
    <row r="294" customFormat="false" ht="12.75" hidden="false" customHeight="false" outlineLevel="0" collapsed="false">
      <c r="A294" s="355"/>
    </row>
    <row r="295" customFormat="false" ht="12.75" hidden="false" customHeight="false" outlineLevel="0" collapsed="false">
      <c r="A295" s="355"/>
    </row>
    <row r="296" customFormat="false" ht="12.75" hidden="false" customHeight="false" outlineLevel="0" collapsed="false">
      <c r="A296" s="355"/>
    </row>
    <row r="297" customFormat="false" ht="12.75" hidden="false" customHeight="false" outlineLevel="0" collapsed="false">
      <c r="A297" s="355"/>
    </row>
    <row r="298" customFormat="false" ht="12.75" hidden="false" customHeight="false" outlineLevel="0" collapsed="false">
      <c r="A298" s="355"/>
    </row>
    <row r="299" customFormat="false" ht="12.75" hidden="false" customHeight="false" outlineLevel="0" collapsed="false">
      <c r="A299" s="355"/>
    </row>
    <row r="300" customFormat="false" ht="12.75" hidden="false" customHeight="false" outlineLevel="0" collapsed="false">
      <c r="A300" s="355"/>
      <c r="B300" s="356"/>
      <c r="C300" s="357"/>
      <c r="D300" s="358"/>
      <c r="E300" s="359"/>
      <c r="F300" s="356"/>
      <c r="G300" s="356"/>
      <c r="H300" s="360"/>
      <c r="I300" s="361"/>
      <c r="J300" s="356"/>
    </row>
    <row r="301" customFormat="false" ht="12.75" hidden="false" customHeight="false" outlineLevel="0" collapsed="false">
      <c r="A301" s="333" t="s">
        <v>265</v>
      </c>
    </row>
  </sheetData>
  <mergeCells count="10">
    <mergeCell ref="A1:A3"/>
    <mergeCell ref="B1:B3"/>
    <mergeCell ref="C2:C3"/>
    <mergeCell ref="D2:D3"/>
    <mergeCell ref="E2:E3"/>
    <mergeCell ref="F2:F3"/>
    <mergeCell ref="G2:G3"/>
    <mergeCell ref="H2:H3"/>
    <mergeCell ref="I2:I3"/>
    <mergeCell ref="J2:K2"/>
  </mergeCells>
  <dataValidations count="1">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4:A300" type="date">
      <formula1>38353</formula1>
      <formula2>53327</formula2>
    </dataValidation>
  </dataValidations>
  <printOptions headings="false" gridLines="true" gridLinesSet="true" horizontalCentered="false" verticalCentered="false"/>
  <pageMargins left="0.196527777777778" right="0.39375" top="0.590972222222222" bottom="0.590972222222222"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&amp;C&amp;"Arial,Bold"&amp;11Sales Turnover</oddHeader>
    <oddFooter>&amp;L&amp;D  &amp;T&amp;C&amp;P  of  &amp;N&amp;R&amp;F  &amp;A</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62" width="9.66"/>
    <col collapsed="false" customWidth="true" hidden="false" outlineLevel="0" max="2" min="2" style="363" width="23.99"/>
    <col collapsed="false" customWidth="true" hidden="false" outlineLevel="0" max="3" min="3" style="363" width="15.99"/>
    <col collapsed="false" customWidth="true" hidden="false" outlineLevel="0" max="4" min="4" style="364" width="16.15"/>
    <col collapsed="false" customWidth="true" hidden="false" outlineLevel="0" max="5" min="5" style="365" width="9.49"/>
    <col collapsed="false" customWidth="true" hidden="false" outlineLevel="0" max="6" min="6" style="365" width="8.66"/>
    <col collapsed="false" customWidth="true" hidden="false" outlineLevel="0" max="7" min="7" style="366" width="12.66"/>
    <col collapsed="false" customWidth="true" hidden="false" outlineLevel="0" max="8" min="8" style="338" width="11.5"/>
    <col collapsed="false" customWidth="true" hidden="false" outlineLevel="0" max="9" min="9" style="367" width="10.5"/>
    <col collapsed="false" customWidth="true" hidden="false" outlineLevel="0" max="19" min="10" style="334" width="9.66"/>
    <col collapsed="false" customWidth="true" hidden="false" outlineLevel="0" max="22" min="20" style="334" width="7.66"/>
    <col collapsed="false" customWidth="true" hidden="false" outlineLevel="0" max="23" min="23" style="334" width="9.66"/>
    <col collapsed="false" customWidth="true" hidden="false" outlineLevel="0" max="24" min="24" style="363" width="24.66"/>
    <col collapsed="false" customWidth="false" hidden="false" outlineLevel="0" max="25" min="25" style="368" width="9.15"/>
    <col collapsed="false" customWidth="true" hidden="false" outlineLevel="0" max="26" min="26" style="368" width="12.66"/>
    <col collapsed="false" customWidth="false" hidden="false" outlineLevel="0" max="257" min="27" style="363" width="9.15"/>
  </cols>
  <sheetData>
    <row r="1" s="334" customFormat="true" ht="13.5" hidden="false" customHeight="true" outlineLevel="0" collapsed="false">
      <c r="A1" s="369" t="n">
        <f aca="false">G4+PurchasesAug!A1</f>
        <v>0</v>
      </c>
      <c r="B1" s="370" t="s">
        <v>266</v>
      </c>
      <c r="C1" s="344" t="n">
        <f aca="false">PurchasesAug!C1+PurchasesSep!F1+SalesSep!$E$1</f>
        <v>0</v>
      </c>
      <c r="D1" s="369" t="s">
        <v>248</v>
      </c>
      <c r="E1" s="371" t="str">
        <f aca="false">IF((G1-SUM(J1:W1)&lt;&gt;0),(G1-SUM(J1:W1))," ")</f>
        <v> </v>
      </c>
      <c r="F1" s="344" t="n">
        <f aca="false">SUM(F5:F300)</f>
        <v>0</v>
      </c>
      <c r="G1" s="343" t="n">
        <f aca="false">SUM(G4:G300)</f>
        <v>4975</v>
      </c>
      <c r="H1" s="372" t="n">
        <f aca="false">SUM(H5:H300)</f>
        <v>4975</v>
      </c>
      <c r="I1" s="373" t="n">
        <f aca="true">TODAY()</f>
        <v>46138</v>
      </c>
      <c r="J1" s="343" t="n">
        <f aca="false">SUM(J5:J300)</f>
        <v>240</v>
      </c>
      <c r="K1" s="343" t="n">
        <f aca="false">SUM(K5:K300)</f>
        <v>0</v>
      </c>
      <c r="L1" s="343" t="n">
        <f aca="false">SUM(L5:L300)</f>
        <v>0</v>
      </c>
      <c r="M1" s="343" t="n">
        <f aca="false">SUM(M5:M300)</f>
        <v>1500</v>
      </c>
      <c r="N1" s="343" t="n">
        <f aca="false">SUM(N5:N300)</f>
        <v>0</v>
      </c>
      <c r="O1" s="343" t="n">
        <f aca="false">SUM(O5:O300)</f>
        <v>147</v>
      </c>
      <c r="P1" s="343" t="n">
        <f aca="false">SUM(P3:P300)</f>
        <v>708</v>
      </c>
      <c r="Q1" s="343" t="n">
        <f aca="false">SUM(Q5:Q300)</f>
        <v>92</v>
      </c>
      <c r="R1" s="343" t="n">
        <f aca="false">SUM(R5:R300)</f>
        <v>0</v>
      </c>
      <c r="S1" s="343" t="n">
        <f aca="false">SUM(S5:S300)</f>
        <v>1260</v>
      </c>
      <c r="T1" s="343" t="n">
        <f aca="false">SUM(T5:T300)</f>
        <v>0</v>
      </c>
      <c r="U1" s="343" t="n">
        <f aca="false">SUM(U5:U300)</f>
        <v>208</v>
      </c>
      <c r="V1" s="343" t="n">
        <f aca="false">SUM(V5:V300)</f>
        <v>820</v>
      </c>
      <c r="W1" s="345" t="n">
        <f aca="false">SUM(W5:W300)</f>
        <v>0</v>
      </c>
      <c r="X1" s="374" t="n">
        <f aca="false">W1+PurchasesAug!X1</f>
        <v>3000</v>
      </c>
      <c r="Y1" s="375" t="n">
        <f aca="false">SUM(Y5:Y200)</f>
        <v>0</v>
      </c>
      <c r="Z1" s="376" t="n">
        <f aca="false">Y1+PurchasesAug!Z1</f>
        <v>0</v>
      </c>
    </row>
    <row r="2" s="384" customFormat="true" ht="24" hidden="false" customHeight="true" outlineLevel="0" collapsed="false">
      <c r="A2" s="377" t="s">
        <v>267</v>
      </c>
      <c r="B2" s="378" t="str">
        <f aca="false">IF((G1-SUM(J1:W1)&lt;&gt;0),"COMPLETE EXPENSE ANALYSIS by inserting expense letter in col E","Supplier")</f>
        <v>Supplier</v>
      </c>
      <c r="C2" s="379" t="s">
        <v>268</v>
      </c>
      <c r="D2" s="379" t="s">
        <v>269</v>
      </c>
      <c r="E2" s="379" t="s">
        <v>270</v>
      </c>
      <c r="F2" s="379" t="s">
        <v>344</v>
      </c>
      <c r="G2" s="380" t="s">
        <v>272</v>
      </c>
      <c r="H2" s="381" t="s">
        <v>273</v>
      </c>
      <c r="I2" s="382" t="s">
        <v>274</v>
      </c>
      <c r="J2" s="380" t="s">
        <v>275</v>
      </c>
      <c r="K2" s="380" t="s">
        <v>276</v>
      </c>
      <c r="L2" s="380" t="s">
        <v>277</v>
      </c>
      <c r="M2" s="380" t="s">
        <v>278</v>
      </c>
      <c r="N2" s="380" t="s">
        <v>279</v>
      </c>
      <c r="O2" s="380" t="s">
        <v>280</v>
      </c>
      <c r="P2" s="380" t="s">
        <v>281</v>
      </c>
      <c r="Q2" s="380" t="s">
        <v>282</v>
      </c>
      <c r="R2" s="380" t="s">
        <v>283</v>
      </c>
      <c r="S2" s="380" t="s">
        <v>284</v>
      </c>
      <c r="T2" s="380" t="s">
        <v>285</v>
      </c>
      <c r="U2" s="380" t="s">
        <v>286</v>
      </c>
      <c r="V2" s="380" t="s">
        <v>287</v>
      </c>
      <c r="W2" s="381" t="s">
        <v>288</v>
      </c>
      <c r="X2" s="383" t="str">
        <f aca="false">IF(X1&gt;('Fixed Assets'!$E$110),"FIXED ASSETS requires updating with new additions","Fixed Assets Description  (Vehicles: make, model, date reg. and reg. mark)")</f>
        <v>FIXED ASSETS requires updating with new additions</v>
      </c>
      <c r="Y2" s="380" t="s">
        <v>289</v>
      </c>
      <c r="Z2" s="380"/>
    </row>
    <row r="3" s="386" customFormat="true" ht="12" hidden="false" customHeight="true" outlineLevel="0" collapsed="false">
      <c r="A3" s="377"/>
      <c r="B3" s="377"/>
      <c r="C3" s="377"/>
      <c r="D3" s="377"/>
      <c r="E3" s="379"/>
      <c r="F3" s="379"/>
      <c r="G3" s="380"/>
      <c r="H3" s="381"/>
      <c r="I3" s="381"/>
      <c r="J3" s="380"/>
      <c r="K3" s="380"/>
      <c r="L3" s="380"/>
      <c r="M3" s="380"/>
      <c r="N3" s="380"/>
      <c r="O3" s="380"/>
      <c r="P3" s="385" t="n">
        <f aca="false">IF((E$4="m"),G$4," ")</f>
        <v>0</v>
      </c>
      <c r="Q3" s="380"/>
      <c r="R3" s="380"/>
      <c r="S3" s="380"/>
      <c r="T3" s="380"/>
      <c r="U3" s="380"/>
      <c r="V3" s="380"/>
      <c r="W3" s="381"/>
      <c r="X3" s="383"/>
      <c r="Y3" s="380" t="s">
        <v>290</v>
      </c>
      <c r="Z3" s="380"/>
    </row>
    <row r="4" s="365" customFormat="true" ht="12.75" hidden="false" customHeight="false" outlineLevel="0" collapsed="false">
      <c r="A4" s="377"/>
      <c r="B4" s="377"/>
      <c r="C4" s="377"/>
      <c r="D4" s="377"/>
      <c r="E4" s="387" t="s">
        <v>291</v>
      </c>
      <c r="F4" s="379"/>
      <c r="G4" s="400" t="n">
        <f aca="false">IF((C1&lt;Admin!$F$22),((C1-PurchasesAug!C1)*Admin!$G$21),(C1*Admin!$G$21-(C1-Admin!$F$21)*(Admin!$G$21-Admin!$G$22)-PurchasesAug!A1))</f>
        <v>0</v>
      </c>
      <c r="H4" s="381"/>
      <c r="I4" s="381"/>
      <c r="J4" s="389" t="s">
        <v>292</v>
      </c>
      <c r="K4" s="390" t="s">
        <v>293</v>
      </c>
      <c r="L4" s="390" t="s">
        <v>294</v>
      </c>
      <c r="M4" s="390" t="s">
        <v>295</v>
      </c>
      <c r="N4" s="390" t="s">
        <v>296</v>
      </c>
      <c r="O4" s="390" t="s">
        <v>297</v>
      </c>
      <c r="P4" s="391" t="s">
        <v>298</v>
      </c>
      <c r="Q4" s="390" t="s">
        <v>299</v>
      </c>
      <c r="R4" s="390" t="s">
        <v>300</v>
      </c>
      <c r="S4" s="390" t="s">
        <v>301</v>
      </c>
      <c r="T4" s="390" t="s">
        <v>302</v>
      </c>
      <c r="U4" s="390" t="s">
        <v>303</v>
      </c>
      <c r="V4" s="390" t="s">
        <v>304</v>
      </c>
      <c r="W4" s="392" t="s">
        <v>305</v>
      </c>
      <c r="X4" s="383"/>
      <c r="Y4" s="380" t="s">
        <v>306</v>
      </c>
      <c r="Z4" s="380" t="s">
        <v>307</v>
      </c>
    </row>
    <row r="5" customFormat="false" ht="12.75" hidden="false" customHeight="false" outlineLevel="0" collapsed="false">
      <c r="A5" s="355" t="n">
        <v>45901</v>
      </c>
      <c r="B5" s="363" t="s">
        <v>239</v>
      </c>
      <c r="E5" s="365" t="s">
        <v>308</v>
      </c>
      <c r="G5" s="366" t="n">
        <v>1200</v>
      </c>
      <c r="H5" s="338" t="n">
        <f aca="false">IF((G5&lt;&gt;0),IF((D5&gt;0)," ",G5)," ")</f>
        <v>1200</v>
      </c>
      <c r="I5" s="367" t="n">
        <f aca="false">IF((G5&lt;&gt;0),IF((D5&gt;0)," ",(I$1-A5))," ")</f>
        <v>237</v>
      </c>
      <c r="J5" s="334" t="str">
        <f aca="false">IF((E5="s"),G5," ")</f>
        <v> </v>
      </c>
      <c r="K5" s="334" t="str">
        <f aca="false">IF((E5="d"),G5," ")</f>
        <v> </v>
      </c>
      <c r="L5" s="334" t="str">
        <f aca="false">IF((E5="e"),G5," ")</f>
        <v> </v>
      </c>
      <c r="M5" s="334" t="n">
        <f aca="false">IF((E5="p"),G5," ")</f>
        <v>1200</v>
      </c>
      <c r="N5" s="334" t="str">
        <f aca="false">IF((E5="r"),G5," ")</f>
        <v> </v>
      </c>
      <c r="O5" s="334" t="str">
        <f aca="false">IF((E5="g"),G5," ")</f>
        <v> </v>
      </c>
      <c r="P5" s="334" t="str">
        <f aca="false">IF((E5="m"),G5," ")</f>
        <v> </v>
      </c>
      <c r="Q5" s="334" t="str">
        <f aca="false">IF((E5="t"),G5," ")</f>
        <v> </v>
      </c>
      <c r="R5" s="334" t="str">
        <f aca="false">IF((E5="a"),G5," ")</f>
        <v> </v>
      </c>
      <c r="S5" s="334" t="str">
        <f aca="false">IF((E5="l"),G5," ")</f>
        <v> </v>
      </c>
      <c r="T5" s="334" t="str">
        <f aca="false">IF((E5="b"),G5," ")</f>
        <v> </v>
      </c>
      <c r="U5" s="334" t="str">
        <f aca="false">IF((E5="i"),G5," ")</f>
        <v> </v>
      </c>
      <c r="V5" s="334" t="str">
        <f aca="false">IF((E5="o"),G5," ")</f>
        <v> </v>
      </c>
      <c r="W5" s="334" t="str">
        <f aca="false">IF((E5="f"),G5," ")</f>
        <v> </v>
      </c>
    </row>
    <row r="6" customFormat="false" ht="12.75" hidden="false" customHeight="false" outlineLevel="0" collapsed="false">
      <c r="A6" s="355" t="n">
        <v>45901</v>
      </c>
      <c r="B6" s="363" t="s">
        <v>309</v>
      </c>
      <c r="E6" s="365" t="s">
        <v>310</v>
      </c>
      <c r="G6" s="366" t="n">
        <v>30</v>
      </c>
      <c r="H6" s="338" t="n">
        <f aca="false">IF((G6&lt;&gt;0),IF((D6&gt;0)," ",G6)," ")</f>
        <v>30</v>
      </c>
      <c r="I6" s="367" t="n">
        <f aca="false">IF((G6&lt;&gt;0),IF((D6&gt;0)," ",(I$1-A6))," ")</f>
        <v>237</v>
      </c>
      <c r="J6" s="334" t="str">
        <f aca="false">IF((E6="s"),G6," ")</f>
        <v> </v>
      </c>
      <c r="K6" s="334" t="str">
        <f aca="false">IF((E6="d"),G6," ")</f>
        <v> </v>
      </c>
      <c r="L6" s="334" t="str">
        <f aca="false">IF((E6="e"),G6," ")</f>
        <v> </v>
      </c>
      <c r="M6" s="334" t="str">
        <f aca="false">IF((E6="p"),G6," ")</f>
        <v> </v>
      </c>
      <c r="N6" s="334" t="str">
        <f aca="false">IF((E6="r"),G6," ")</f>
        <v> </v>
      </c>
      <c r="O6" s="334" t="n">
        <f aca="false">IF((E6="g"),G6," ")</f>
        <v>30</v>
      </c>
      <c r="P6" s="334" t="str">
        <f aca="false">IF((E6="m"),G6," ")</f>
        <v> </v>
      </c>
      <c r="Q6" s="334" t="str">
        <f aca="false">IF((E6="t"),G6," ")</f>
        <v> </v>
      </c>
      <c r="R6" s="334" t="str">
        <f aca="false">IF((E6="a"),G6," ")</f>
        <v> </v>
      </c>
      <c r="S6" s="334" t="str">
        <f aca="false">IF((E6="l"),G6," ")</f>
        <v> </v>
      </c>
      <c r="T6" s="334" t="str">
        <f aca="false">IF((E6="b"),G6," ")</f>
        <v> </v>
      </c>
      <c r="U6" s="334" t="str">
        <f aca="false">IF((E6="i"),G6," ")</f>
        <v> </v>
      </c>
      <c r="V6" s="334" t="str">
        <f aca="false">IF((E6="o"),G6," ")</f>
        <v> </v>
      </c>
      <c r="W6" s="334" t="str">
        <f aca="false">IF((E6="f"),G6," ")</f>
        <v> </v>
      </c>
    </row>
    <row r="7" customFormat="false" ht="12.75" hidden="false" customHeight="false" outlineLevel="0" collapsed="false">
      <c r="A7" s="355" t="n">
        <v>45901</v>
      </c>
      <c r="B7" s="363" t="s">
        <v>311</v>
      </c>
      <c r="E7" s="365" t="s">
        <v>310</v>
      </c>
      <c r="G7" s="366" t="n">
        <v>15</v>
      </c>
      <c r="H7" s="338" t="n">
        <f aca="false">IF((G7&lt;&gt;0),IF((D7&gt;0)," ",G7)," ")</f>
        <v>15</v>
      </c>
      <c r="I7" s="367" t="n">
        <f aca="false">IF((G7&lt;&gt;0),IF((D7&gt;0)," ",(I$1-A7))," ")</f>
        <v>237</v>
      </c>
      <c r="J7" s="334" t="str">
        <f aca="false">IF((E7="s"),G7," ")</f>
        <v> </v>
      </c>
      <c r="K7" s="334" t="str">
        <f aca="false">IF((E7="d"),G7," ")</f>
        <v> </v>
      </c>
      <c r="L7" s="334" t="str">
        <f aca="false">IF((E7="e"),G7," ")</f>
        <v> </v>
      </c>
      <c r="M7" s="334" t="str">
        <f aca="false">IF((E7="p"),G7," ")</f>
        <v> </v>
      </c>
      <c r="N7" s="334" t="str">
        <f aca="false">IF((E7="r"),G7," ")</f>
        <v> </v>
      </c>
      <c r="O7" s="334" t="n">
        <f aca="false">IF((E7="g"),G7," ")</f>
        <v>15</v>
      </c>
      <c r="P7" s="334" t="str">
        <f aca="false">IF((E7="m"),G7," ")</f>
        <v> </v>
      </c>
      <c r="Q7" s="334" t="str">
        <f aca="false">IF((E7="t"),G7," ")</f>
        <v> </v>
      </c>
      <c r="R7" s="334" t="str">
        <f aca="false">IF((E7="a"),G7," ")</f>
        <v> </v>
      </c>
      <c r="S7" s="334" t="str">
        <f aca="false">IF((E7="l"),G7," ")</f>
        <v> </v>
      </c>
      <c r="T7" s="334" t="str">
        <f aca="false">IF((E7="b"),G7," ")</f>
        <v> </v>
      </c>
      <c r="U7" s="334" t="str">
        <f aca="false">IF((E7="i"),G7," ")</f>
        <v> </v>
      </c>
      <c r="V7" s="334" t="str">
        <f aca="false">IF((E7="o"),G7," ")</f>
        <v> </v>
      </c>
      <c r="W7" s="334" t="str">
        <f aca="false">IF((E7="f"),G7," ")</f>
        <v> </v>
      </c>
    </row>
    <row r="8" customFormat="false" ht="12.75" hidden="false" customHeight="false" outlineLevel="0" collapsed="false">
      <c r="A8" s="355" t="n">
        <v>45901</v>
      </c>
      <c r="B8" s="363" t="s">
        <v>312</v>
      </c>
      <c r="E8" s="365" t="s">
        <v>313</v>
      </c>
      <c r="G8" s="366" t="n">
        <v>45</v>
      </c>
      <c r="H8" s="338" t="n">
        <f aca="false">IF((G8&lt;&gt;0),IF((D8&gt;0)," ",G8)," ")</f>
        <v>45</v>
      </c>
      <c r="I8" s="367" t="n">
        <f aca="false">IF((G8&lt;&gt;0),IF((D8&gt;0)," ",(I$1-A8))," ")</f>
        <v>237</v>
      </c>
      <c r="J8" s="334" t="str">
        <f aca="false">IF((E8="s"),G8," ")</f>
        <v> </v>
      </c>
      <c r="K8" s="334" t="str">
        <f aca="false">IF((E8="d"),G8," ")</f>
        <v> </v>
      </c>
      <c r="L8" s="334" t="str">
        <f aca="false">IF((E8="e"),G8," ")</f>
        <v> </v>
      </c>
      <c r="M8" s="334" t="str">
        <f aca="false">IF((E8="p"),G8," ")</f>
        <v> </v>
      </c>
      <c r="N8" s="334" t="str">
        <f aca="false">IF((E8="r"),G8," ")</f>
        <v> </v>
      </c>
      <c r="O8" s="334" t="str">
        <f aca="false">IF((E8="g"),G8," ")</f>
        <v> </v>
      </c>
      <c r="P8" s="334" t="str">
        <f aca="false">IF((E8="m"),G8," ")</f>
        <v> </v>
      </c>
      <c r="Q8" s="334" t="str">
        <f aca="false">IF((E8="t"),G8," ")</f>
        <v> </v>
      </c>
      <c r="R8" s="334" t="str">
        <f aca="false">IF((E8="a"),G8," ")</f>
        <v> </v>
      </c>
      <c r="S8" s="334" t="str">
        <f aca="false">IF((E8="l"),G8," ")</f>
        <v> </v>
      </c>
      <c r="T8" s="334" t="str">
        <f aca="false">IF((E8="b"),G8," ")</f>
        <v> </v>
      </c>
      <c r="U8" s="334" t="str">
        <f aca="false">IF((E8="i"),G8," ")</f>
        <v> </v>
      </c>
      <c r="V8" s="334" t="n">
        <f aca="false">IF((E8="o"),G8," ")</f>
        <v>45</v>
      </c>
      <c r="W8" s="334" t="str">
        <f aca="false">IF((E8="f"),G8," ")</f>
        <v> </v>
      </c>
    </row>
    <row r="9" customFormat="false" ht="12.75" hidden="false" customHeight="false" outlineLevel="0" collapsed="false">
      <c r="A9" s="355" t="n">
        <v>45901</v>
      </c>
      <c r="B9" s="363" t="s">
        <v>315</v>
      </c>
      <c r="E9" s="365" t="s">
        <v>313</v>
      </c>
      <c r="G9" s="366" t="n">
        <v>24</v>
      </c>
      <c r="H9" s="338" t="n">
        <f aca="false">IF((G9&lt;&gt;0),IF((D9&gt;0)," ",G9)," ")</f>
        <v>24</v>
      </c>
      <c r="I9" s="367" t="n">
        <f aca="false">IF((G9&lt;&gt;0),IF((D9&gt;0)," ",(I$1-A9))," ")</f>
        <v>237</v>
      </c>
      <c r="J9" s="334" t="str">
        <f aca="false">IF((E9="s"),G9," ")</f>
        <v> </v>
      </c>
      <c r="K9" s="334" t="str">
        <f aca="false">IF((E9="d"),G9," ")</f>
        <v> </v>
      </c>
      <c r="L9" s="334" t="str">
        <f aca="false">IF((E9="e"),G9," ")</f>
        <v> </v>
      </c>
      <c r="M9" s="334" t="str">
        <f aca="false">IF((E9="p"),G9," ")</f>
        <v> </v>
      </c>
      <c r="N9" s="334" t="str">
        <f aca="false">IF((E9="r"),G9," ")</f>
        <v> </v>
      </c>
      <c r="O9" s="334" t="str">
        <f aca="false">IF((E9="g"),G9," ")</f>
        <v> </v>
      </c>
      <c r="P9" s="334" t="str">
        <f aca="false">IF((E9="m"),G9," ")</f>
        <v> </v>
      </c>
      <c r="Q9" s="334" t="str">
        <f aca="false">IF((E9="t"),G9," ")</f>
        <v> </v>
      </c>
      <c r="R9" s="334" t="str">
        <f aca="false">IF((E9="a"),G9," ")</f>
        <v> </v>
      </c>
      <c r="S9" s="334" t="str">
        <f aca="false">IF((E9="l"),G9," ")</f>
        <v> </v>
      </c>
      <c r="T9" s="334" t="str">
        <f aca="false">IF((E9="b"),G9," ")</f>
        <v> </v>
      </c>
      <c r="U9" s="334" t="str">
        <f aca="false">IF((E9="i"),G9," ")</f>
        <v> </v>
      </c>
      <c r="V9" s="334" t="n">
        <f aca="false">IF((E9="o"),G9," ")</f>
        <v>24</v>
      </c>
      <c r="W9" s="334" t="str">
        <f aca="false">IF((E9="f"),G9," ")</f>
        <v> </v>
      </c>
    </row>
    <row r="10" customFormat="false" ht="12.75" hidden="false" customHeight="false" outlineLevel="0" collapsed="false">
      <c r="A10" s="355" t="n">
        <v>45901</v>
      </c>
      <c r="B10" s="363" t="s">
        <v>316</v>
      </c>
      <c r="E10" s="365" t="s">
        <v>310</v>
      </c>
      <c r="G10" s="366" t="n">
        <v>18</v>
      </c>
      <c r="H10" s="338" t="n">
        <f aca="false">IF((G10&lt;&gt;0),IF((D10&gt;0)," ",G10)," ")</f>
        <v>18</v>
      </c>
      <c r="I10" s="367" t="n">
        <f aca="false">IF((G10&lt;&gt;0),IF((D10&gt;0)," ",(I$1-A10))," ")</f>
        <v>237</v>
      </c>
      <c r="J10" s="334" t="str">
        <f aca="false">IF((E10="s"),G10," ")</f>
        <v> </v>
      </c>
      <c r="K10" s="334" t="str">
        <f aca="false">IF((E10="d"),G10," ")</f>
        <v> </v>
      </c>
      <c r="L10" s="334" t="str">
        <f aca="false">IF((E10="e"),G10," ")</f>
        <v> </v>
      </c>
      <c r="M10" s="334" t="str">
        <f aca="false">IF((E10="p"),G10," ")</f>
        <v> </v>
      </c>
      <c r="N10" s="334" t="str">
        <f aca="false">IF((E10="r"),G10," ")</f>
        <v> </v>
      </c>
      <c r="O10" s="334" t="n">
        <f aca="false">IF((E10="g"),G10," ")</f>
        <v>18</v>
      </c>
      <c r="P10" s="334" t="str">
        <f aca="false">IF((E10="m"),G10," ")</f>
        <v> </v>
      </c>
      <c r="Q10" s="334" t="str">
        <f aca="false">IF((E10="t"),G10," ")</f>
        <v> </v>
      </c>
      <c r="R10" s="334" t="str">
        <f aca="false">IF((E10="a"),G10," ")</f>
        <v> </v>
      </c>
      <c r="S10" s="334" t="str">
        <f aca="false">IF((E10="l"),G10," ")</f>
        <v> </v>
      </c>
      <c r="T10" s="334" t="str">
        <f aca="false">IF((E10="b"),G10," ")</f>
        <v> </v>
      </c>
      <c r="U10" s="334" t="str">
        <f aca="false">IF((E10="i"),G10," ")</f>
        <v> </v>
      </c>
      <c r="V10" s="334" t="str">
        <f aca="false">IF((E10="o"),G10," ")</f>
        <v> </v>
      </c>
      <c r="W10" s="334" t="str">
        <f aca="false">IF((E10="f"),G10," ")</f>
        <v> </v>
      </c>
    </row>
    <row r="11" customFormat="false" ht="12.75" hidden="false" customHeight="false" outlineLevel="0" collapsed="false">
      <c r="A11" s="355" t="n">
        <v>45903</v>
      </c>
      <c r="B11" s="363" t="s">
        <v>317</v>
      </c>
      <c r="E11" s="365" t="s">
        <v>313</v>
      </c>
      <c r="G11" s="366" t="n">
        <v>180</v>
      </c>
      <c r="H11" s="338" t="n">
        <f aca="false">IF((G11&lt;&gt;0),IF((D11&gt;0)," ",G11)," ")</f>
        <v>180</v>
      </c>
      <c r="I11" s="367" t="n">
        <f aca="false">IF((G11&lt;&gt;0),IF((D11&gt;0)," ",(I$1-A11))," ")</f>
        <v>235</v>
      </c>
      <c r="J11" s="334" t="str">
        <f aca="false">IF((E11="s"),G11," ")</f>
        <v> </v>
      </c>
      <c r="K11" s="334" t="str">
        <f aca="false">IF((E11="d"),G11," ")</f>
        <v> </v>
      </c>
      <c r="L11" s="334" t="str">
        <f aca="false">IF((E11="e"),G11," ")</f>
        <v> </v>
      </c>
      <c r="M11" s="334" t="str">
        <f aca="false">IF((E11="p"),G11," ")</f>
        <v> </v>
      </c>
      <c r="N11" s="334" t="str">
        <f aca="false">IF((E11="r"),G11," ")</f>
        <v> </v>
      </c>
      <c r="O11" s="334" t="str">
        <f aca="false">IF((E11="g"),G11," ")</f>
        <v> </v>
      </c>
      <c r="P11" s="334" t="str">
        <f aca="false">IF((E11="m"),G11," ")</f>
        <v> </v>
      </c>
      <c r="Q11" s="334" t="str">
        <f aca="false">IF((E11="t"),G11," ")</f>
        <v> </v>
      </c>
      <c r="R11" s="334" t="str">
        <f aca="false">IF((E11="a"),G11," ")</f>
        <v> </v>
      </c>
      <c r="S11" s="334" t="str">
        <f aca="false">IF((E11="l"),G11," ")</f>
        <v> </v>
      </c>
      <c r="T11" s="334" t="str">
        <f aca="false">IF((E11="b"),G11," ")</f>
        <v> </v>
      </c>
      <c r="U11" s="334" t="str">
        <f aca="false">IF((E11="i"),G11," ")</f>
        <v> </v>
      </c>
      <c r="V11" s="334" t="n">
        <f aca="false">IF((E11="o"),G11," ")</f>
        <v>180</v>
      </c>
      <c r="W11" s="334" t="str">
        <f aca="false">IF((E11="f"),G11," ")</f>
        <v> </v>
      </c>
    </row>
    <row r="12" customFormat="false" ht="12.75" hidden="false" customHeight="false" outlineLevel="0" collapsed="false">
      <c r="A12" s="355" t="n">
        <v>45903</v>
      </c>
      <c r="B12" s="363" t="s">
        <v>318</v>
      </c>
      <c r="E12" s="365" t="s">
        <v>313</v>
      </c>
      <c r="G12" s="366" t="n">
        <v>22</v>
      </c>
      <c r="H12" s="338" t="n">
        <f aca="false">IF((G12&lt;&gt;0),IF((D12&gt;0)," ",G12)," ")</f>
        <v>22</v>
      </c>
      <c r="I12" s="367" t="n">
        <f aca="false">IF((G12&lt;&gt;0),IF((D12&gt;0)," ",(I$1-A12))," ")</f>
        <v>235</v>
      </c>
      <c r="J12" s="334" t="str">
        <f aca="false">IF((E12="s"),G12," ")</f>
        <v> </v>
      </c>
      <c r="K12" s="334" t="str">
        <f aca="false">IF((E12="d"),G12," ")</f>
        <v> </v>
      </c>
      <c r="L12" s="334" t="str">
        <f aca="false">IF((E12="e"),G12," ")</f>
        <v> </v>
      </c>
      <c r="M12" s="334" t="str">
        <f aca="false">IF((E12="p"),G12," ")</f>
        <v> </v>
      </c>
      <c r="N12" s="334" t="str">
        <f aca="false">IF((E12="r"),G12," ")</f>
        <v> </v>
      </c>
      <c r="O12" s="334" t="str">
        <f aca="false">IF((E12="g"),G12," ")</f>
        <v> </v>
      </c>
      <c r="P12" s="334" t="str">
        <f aca="false">IF((E12="m"),G12," ")</f>
        <v> </v>
      </c>
      <c r="Q12" s="334" t="str">
        <f aca="false">IF((E12="t"),G12," ")</f>
        <v> </v>
      </c>
      <c r="R12" s="334" t="str">
        <f aca="false">IF((E12="a"),G12," ")</f>
        <v> </v>
      </c>
      <c r="S12" s="334" t="str">
        <f aca="false">IF((E12="l"),G12," ")</f>
        <v> </v>
      </c>
      <c r="T12" s="334" t="str">
        <f aca="false">IF((E12="b"),G12," ")</f>
        <v> </v>
      </c>
      <c r="U12" s="334" t="str">
        <f aca="false">IF((E12="i"),G12," ")</f>
        <v> </v>
      </c>
      <c r="V12" s="334" t="n">
        <f aca="false">IF((E12="o"),G12," ")</f>
        <v>22</v>
      </c>
      <c r="W12" s="334" t="str">
        <f aca="false">IF((E12="f"),G12," ")</f>
        <v> </v>
      </c>
    </row>
    <row r="13" customFormat="false" ht="12.75" hidden="false" customHeight="false" outlineLevel="0" collapsed="false">
      <c r="A13" s="355" t="n">
        <v>45905</v>
      </c>
      <c r="B13" s="363" t="s">
        <v>319</v>
      </c>
      <c r="E13" s="365" t="s">
        <v>313</v>
      </c>
      <c r="G13" s="366" t="n">
        <v>24</v>
      </c>
      <c r="H13" s="338" t="n">
        <f aca="false">IF((G13&lt;&gt;0),IF((D13&gt;0)," ",G13)," ")</f>
        <v>24</v>
      </c>
      <c r="I13" s="367" t="n">
        <f aca="false">IF((G13&lt;&gt;0),IF((D13&gt;0)," ",(I$1-A13))," ")</f>
        <v>233</v>
      </c>
      <c r="J13" s="334" t="str">
        <f aca="false">IF((E13="s"),G13," ")</f>
        <v> </v>
      </c>
      <c r="K13" s="334" t="str">
        <f aca="false">IF((E13="d"),G13," ")</f>
        <v> </v>
      </c>
      <c r="L13" s="334" t="str">
        <f aca="false">IF((E13="e"),G13," ")</f>
        <v> </v>
      </c>
      <c r="M13" s="334" t="str">
        <f aca="false">IF((E13="p"),G13," ")</f>
        <v> </v>
      </c>
      <c r="N13" s="334" t="str">
        <f aca="false">IF((E13="r"),G13," ")</f>
        <v> </v>
      </c>
      <c r="O13" s="334" t="str">
        <f aca="false">IF((E13="g"),G13," ")</f>
        <v> </v>
      </c>
      <c r="P13" s="334" t="str">
        <f aca="false">IF((E13="m"),G13," ")</f>
        <v> </v>
      </c>
      <c r="Q13" s="334" t="str">
        <f aca="false">IF((E13="t"),G13," ")</f>
        <v> </v>
      </c>
      <c r="R13" s="334" t="str">
        <f aca="false">IF((E13="a"),G13," ")</f>
        <v> </v>
      </c>
      <c r="S13" s="334" t="str">
        <f aca="false">IF((E13="l"),G13," ")</f>
        <v> </v>
      </c>
      <c r="T13" s="334" t="str">
        <f aca="false">IF((E13="b"),G13," ")</f>
        <v> </v>
      </c>
      <c r="U13" s="334" t="str">
        <f aca="false">IF((E13="i"),G13," ")</f>
        <v> </v>
      </c>
      <c r="V13" s="334" t="n">
        <f aca="false">IF((E13="o"),G13," ")</f>
        <v>24</v>
      </c>
      <c r="W13" s="334" t="str">
        <f aca="false">IF((E13="f"),G13," ")</f>
        <v> </v>
      </c>
    </row>
    <row r="14" customFormat="false" ht="12.75" hidden="false" customHeight="false" outlineLevel="0" collapsed="false">
      <c r="A14" s="355" t="n">
        <v>45905</v>
      </c>
      <c r="B14" s="363" t="s">
        <v>320</v>
      </c>
      <c r="E14" s="365" t="s">
        <v>291</v>
      </c>
      <c r="G14" s="366" t="n">
        <v>180</v>
      </c>
      <c r="H14" s="338" t="n">
        <f aca="false">IF((G14&lt;&gt;0),IF((D14&gt;0)," ",G14)," ")</f>
        <v>180</v>
      </c>
      <c r="I14" s="367" t="n">
        <f aca="false">IF((G14&lt;&gt;0),IF((D14&gt;0)," ",(I$1-A14))," ")</f>
        <v>233</v>
      </c>
      <c r="J14" s="334" t="str">
        <f aca="false">IF((E14="s"),G14," ")</f>
        <v> </v>
      </c>
      <c r="K14" s="334" t="str">
        <f aca="false">IF((E14="d"),G14," ")</f>
        <v> </v>
      </c>
      <c r="L14" s="334" t="str">
        <f aca="false">IF((E14="e"),G14," ")</f>
        <v> </v>
      </c>
      <c r="M14" s="334" t="str">
        <f aca="false">IF((E14="p"),G14," ")</f>
        <v> </v>
      </c>
      <c r="N14" s="334" t="str">
        <f aca="false">IF((E14="r"),G14," ")</f>
        <v> </v>
      </c>
      <c r="O14" s="334" t="str">
        <f aca="false">IF((E14="g"),G14," ")</f>
        <v> </v>
      </c>
      <c r="P14" s="334" t="n">
        <f aca="false">IF((E14="m"),G14," ")</f>
        <v>180</v>
      </c>
      <c r="Q14" s="334" t="str">
        <f aca="false">IF((E14="t"),G14," ")</f>
        <v> </v>
      </c>
      <c r="R14" s="334" t="str">
        <f aca="false">IF((E14="a"),G14," ")</f>
        <v> </v>
      </c>
      <c r="S14" s="334" t="str">
        <f aca="false">IF((E14="l"),G14," ")</f>
        <v> </v>
      </c>
      <c r="T14" s="334" t="str">
        <f aca="false">IF((E14="b"),G14," ")</f>
        <v> </v>
      </c>
      <c r="U14" s="334" t="str">
        <f aca="false">IF((E14="i"),G14," ")</f>
        <v> </v>
      </c>
      <c r="V14" s="334" t="str">
        <f aca="false">IF((E14="o"),G14," ")</f>
        <v> </v>
      </c>
      <c r="W14" s="334" t="str">
        <f aca="false">IF((E14="f"),G14," ")</f>
        <v> </v>
      </c>
    </row>
    <row r="15" customFormat="false" ht="12.75" hidden="false" customHeight="false" outlineLevel="0" collapsed="false">
      <c r="A15" s="355" t="n">
        <v>45908</v>
      </c>
      <c r="B15" s="363" t="s">
        <v>322</v>
      </c>
      <c r="E15" s="365" t="s">
        <v>323</v>
      </c>
      <c r="G15" s="366" t="n">
        <v>48</v>
      </c>
      <c r="H15" s="338" t="n">
        <f aca="false">IF((G15&lt;&gt;0),IF((D15&gt;0)," ",G15)," ")</f>
        <v>48</v>
      </c>
      <c r="I15" s="367" t="n">
        <f aca="false">IF((G15&lt;&gt;0),IF((D15&gt;0)," ",(I$1-A15))," ")</f>
        <v>230</v>
      </c>
      <c r="J15" s="334" t="str">
        <f aca="false">IF((E15="s"),G15," ")</f>
        <v> </v>
      </c>
      <c r="K15" s="334" t="str">
        <f aca="false">IF((E15="d"),G15," ")</f>
        <v> </v>
      </c>
      <c r="L15" s="334" t="str">
        <f aca="false">IF((E15="e"),G15," ")</f>
        <v> </v>
      </c>
      <c r="M15" s="334" t="str">
        <f aca="false">IF((E15="p"),G15," ")</f>
        <v> </v>
      </c>
      <c r="N15" s="334" t="str">
        <f aca="false">IF((E15="r"),G15," ")</f>
        <v> </v>
      </c>
      <c r="O15" s="334" t="str">
        <f aca="false">IF((E15="g"),G15," ")</f>
        <v> </v>
      </c>
      <c r="P15" s="334" t="str">
        <f aca="false">IF((E15="m"),G15," ")</f>
        <v> </v>
      </c>
      <c r="Q15" s="334" t="n">
        <f aca="false">IF((E15="t"),G15," ")</f>
        <v>48</v>
      </c>
      <c r="R15" s="334" t="str">
        <f aca="false">IF((E15="a"),G15," ")</f>
        <v> </v>
      </c>
      <c r="S15" s="334" t="str">
        <f aca="false">IF((E15="l"),G15," ")</f>
        <v> </v>
      </c>
      <c r="T15" s="334" t="str">
        <f aca="false">IF((E15="b"),G15," ")</f>
        <v> </v>
      </c>
      <c r="U15" s="334" t="str">
        <f aca="false">IF((E15="i"),G15," ")</f>
        <v> </v>
      </c>
      <c r="V15" s="334" t="str">
        <f aca="false">IF((E15="o"),G15," ")</f>
        <v> </v>
      </c>
      <c r="W15" s="334" t="str">
        <f aca="false">IF((E15="f"),G15," ")</f>
        <v> </v>
      </c>
    </row>
    <row r="16" customFormat="false" ht="12.75" hidden="false" customHeight="false" outlineLevel="0" collapsed="false">
      <c r="A16" s="355" t="n">
        <v>45908</v>
      </c>
      <c r="B16" s="363" t="s">
        <v>346</v>
      </c>
      <c r="E16" s="365" t="s">
        <v>313</v>
      </c>
      <c r="G16" s="366" t="n">
        <v>360</v>
      </c>
      <c r="H16" s="338" t="n">
        <f aca="false">IF((G16&lt;&gt;0),IF((D16&gt;0)," ",G16)," ")</f>
        <v>360</v>
      </c>
      <c r="I16" s="367" t="n">
        <f aca="false">IF((G16&lt;&gt;0),IF((D16&gt;0)," ",(I$1-A16))," ")</f>
        <v>230</v>
      </c>
      <c r="J16" s="334" t="str">
        <f aca="false">IF((E16="s"),G16," ")</f>
        <v> </v>
      </c>
      <c r="K16" s="334" t="str">
        <f aca="false">IF((E16="d"),G16," ")</f>
        <v> </v>
      </c>
      <c r="L16" s="334" t="str">
        <f aca="false">IF((E16="e"),G16," ")</f>
        <v> </v>
      </c>
      <c r="M16" s="334" t="str">
        <f aca="false">IF((E16="p"),G16," ")</f>
        <v> </v>
      </c>
      <c r="N16" s="334" t="str">
        <f aca="false">IF((E16="r"),G16," ")</f>
        <v> </v>
      </c>
      <c r="O16" s="334" t="str">
        <f aca="false">IF((E16="g"),G16," ")</f>
        <v> </v>
      </c>
      <c r="P16" s="334" t="str">
        <f aca="false">IF((E16="m"),G16," ")</f>
        <v> </v>
      </c>
      <c r="Q16" s="334" t="str">
        <f aca="false">IF((E16="t"),G16," ")</f>
        <v> </v>
      </c>
      <c r="R16" s="334" t="str">
        <f aca="false">IF((E16="a"),G16," ")</f>
        <v> </v>
      </c>
      <c r="S16" s="334" t="str">
        <f aca="false">IF((E16="l"),G16," ")</f>
        <v> </v>
      </c>
      <c r="T16" s="334" t="str">
        <f aca="false">IF((E16="b"),G16," ")</f>
        <v> </v>
      </c>
      <c r="U16" s="334" t="str">
        <f aca="false">IF((E16="i"),G16," ")</f>
        <v> </v>
      </c>
      <c r="V16" s="334" t="n">
        <f aca="false">IF((E16="o"),G16," ")</f>
        <v>360</v>
      </c>
      <c r="W16" s="334" t="str">
        <f aca="false">IF((E16="f"),G16," ")</f>
        <v> </v>
      </c>
    </row>
    <row r="17" customFormat="false" ht="12.75" hidden="false" customHeight="false" outlineLevel="0" collapsed="false">
      <c r="A17" s="355" t="n">
        <v>45910</v>
      </c>
      <c r="B17" s="363" t="s">
        <v>324</v>
      </c>
      <c r="E17" s="365" t="s">
        <v>313</v>
      </c>
      <c r="G17" s="366" t="n">
        <v>36</v>
      </c>
      <c r="H17" s="338" t="n">
        <f aca="false">IF((G17&lt;&gt;0),IF((D17&gt;0)," ",G17)," ")</f>
        <v>36</v>
      </c>
      <c r="I17" s="367" t="n">
        <f aca="false">IF((G17&lt;&gt;0),IF((D17&gt;0)," ",(I$1-A17))," ")</f>
        <v>228</v>
      </c>
      <c r="J17" s="334" t="str">
        <f aca="false">IF((E17="s"),G17," ")</f>
        <v> </v>
      </c>
      <c r="K17" s="334" t="str">
        <f aca="false">IF((E17="d"),G17," ")</f>
        <v> </v>
      </c>
      <c r="L17" s="334" t="str">
        <f aca="false">IF((E17="e"),G17," ")</f>
        <v> </v>
      </c>
      <c r="M17" s="334" t="str">
        <f aca="false">IF((E17="p"),G17," ")</f>
        <v> </v>
      </c>
      <c r="N17" s="334" t="str">
        <f aca="false">IF((E17="r"),G17," ")</f>
        <v> </v>
      </c>
      <c r="O17" s="334" t="str">
        <f aca="false">IF((E17="g"),G17," ")</f>
        <v> </v>
      </c>
      <c r="P17" s="334" t="str">
        <f aca="false">IF((E17="m"),G17," ")</f>
        <v> </v>
      </c>
      <c r="Q17" s="334" t="str">
        <f aca="false">IF((E17="t"),G17," ")</f>
        <v> </v>
      </c>
      <c r="R17" s="334" t="str">
        <f aca="false">IF((E17="a"),G17," ")</f>
        <v> </v>
      </c>
      <c r="S17" s="334" t="str">
        <f aca="false">IF((E17="l"),G17," ")</f>
        <v> </v>
      </c>
      <c r="T17" s="334" t="str">
        <f aca="false">IF((E17="b"),G17," ")</f>
        <v> </v>
      </c>
      <c r="U17" s="334" t="str">
        <f aca="false">IF((E17="i"),G17," ")</f>
        <v> </v>
      </c>
      <c r="V17" s="334" t="n">
        <f aca="false">IF((E17="o"),G17," ")</f>
        <v>36</v>
      </c>
      <c r="W17" s="334" t="str">
        <f aca="false">IF((E17="f"),G17," ")</f>
        <v> </v>
      </c>
    </row>
    <row r="18" customFormat="false" ht="12.75" hidden="false" customHeight="false" outlineLevel="0" collapsed="false">
      <c r="A18" s="355" t="n">
        <v>45910</v>
      </c>
      <c r="B18" s="363" t="s">
        <v>332</v>
      </c>
      <c r="E18" s="365" t="s">
        <v>313</v>
      </c>
      <c r="G18" s="366" t="n">
        <v>96</v>
      </c>
      <c r="H18" s="338" t="n">
        <f aca="false">IF((G18&lt;&gt;0),IF((D18&gt;0)," ",G18)," ")</f>
        <v>96</v>
      </c>
      <c r="I18" s="367" t="n">
        <f aca="false">IF((G18&lt;&gt;0),IF((D18&gt;0)," ",(I$1-A18))," ")</f>
        <v>228</v>
      </c>
      <c r="J18" s="334" t="str">
        <f aca="false">IF((E18="s"),G18," ")</f>
        <v> </v>
      </c>
      <c r="K18" s="334" t="str">
        <f aca="false">IF((E18="d"),G18," ")</f>
        <v> </v>
      </c>
      <c r="L18" s="334" t="str">
        <f aca="false">IF((E18="e"),G18," ")</f>
        <v> </v>
      </c>
      <c r="M18" s="334" t="str">
        <f aca="false">IF((E18="p"),G18," ")</f>
        <v> </v>
      </c>
      <c r="N18" s="334" t="str">
        <f aca="false">IF((E18="r"),G18," ")</f>
        <v> </v>
      </c>
      <c r="O18" s="334" t="str">
        <f aca="false">IF((E18="g"),G18," ")</f>
        <v> </v>
      </c>
      <c r="P18" s="334" t="str">
        <f aca="false">IF((E18="m"),G18," ")</f>
        <v> </v>
      </c>
      <c r="Q18" s="334" t="str">
        <f aca="false">IF((E18="t"),G18," ")</f>
        <v> </v>
      </c>
      <c r="R18" s="334" t="str">
        <f aca="false">IF((E18="a"),G18," ")</f>
        <v> </v>
      </c>
      <c r="S18" s="334" t="str">
        <f aca="false">IF((E18="l"),G18," ")</f>
        <v> </v>
      </c>
      <c r="T18" s="334" t="str">
        <f aca="false">IF((E18="b"),G18," ")</f>
        <v> </v>
      </c>
      <c r="U18" s="334" t="str">
        <f aca="false">IF((E18="i"),G18," ")</f>
        <v> </v>
      </c>
      <c r="V18" s="334" t="n">
        <f aca="false">IF((E18="o"),G18," ")</f>
        <v>96</v>
      </c>
      <c r="W18" s="334" t="str">
        <f aca="false">IF((E18="f"),G18," ")</f>
        <v> </v>
      </c>
    </row>
    <row r="19" customFormat="false" ht="12.75" hidden="false" customHeight="false" outlineLevel="0" collapsed="false">
      <c r="A19" s="355" t="n">
        <v>45912</v>
      </c>
      <c r="B19" s="363" t="s">
        <v>328</v>
      </c>
      <c r="E19" s="365" t="s">
        <v>291</v>
      </c>
      <c r="G19" s="366" t="n">
        <v>18</v>
      </c>
      <c r="H19" s="338" t="n">
        <f aca="false">IF((G19&lt;&gt;0),IF((D19&gt;0)," ",G19)," ")</f>
        <v>18</v>
      </c>
      <c r="I19" s="367" t="n">
        <f aca="false">IF((G19&lt;&gt;0),IF((D19&gt;0)," ",(I$1-A19))," ")</f>
        <v>226</v>
      </c>
      <c r="J19" s="334" t="str">
        <f aca="false">IF((E19="s"),G19," ")</f>
        <v> </v>
      </c>
      <c r="K19" s="334" t="str">
        <f aca="false">IF((E19="d"),G19," ")</f>
        <v> </v>
      </c>
      <c r="L19" s="334" t="str">
        <f aca="false">IF((E19="e"),G19," ")</f>
        <v> </v>
      </c>
      <c r="M19" s="334" t="str">
        <f aca="false">IF((E19="p"),G19," ")</f>
        <v> </v>
      </c>
      <c r="N19" s="334" t="str">
        <f aca="false">IF((E19="r"),G19," ")</f>
        <v> </v>
      </c>
      <c r="O19" s="334" t="str">
        <f aca="false">IF((E19="g"),G19," ")</f>
        <v> </v>
      </c>
      <c r="P19" s="334" t="n">
        <f aca="false">IF((E19="m"),G19," ")</f>
        <v>18</v>
      </c>
      <c r="Q19" s="334" t="str">
        <f aca="false">IF((E19="t"),G19," ")</f>
        <v> </v>
      </c>
      <c r="R19" s="334" t="str">
        <f aca="false">IF((E19="a"),G19," ")</f>
        <v> </v>
      </c>
      <c r="S19" s="334" t="str">
        <f aca="false">IF((E19="l"),G19," ")</f>
        <v> </v>
      </c>
      <c r="T19" s="334" t="str">
        <f aca="false">IF((E19="b"),G19," ")</f>
        <v> </v>
      </c>
      <c r="U19" s="334" t="str">
        <f aca="false">IF((E19="i"),G19," ")</f>
        <v> </v>
      </c>
      <c r="V19" s="334" t="str">
        <f aca="false">IF((E19="o"),G19," ")</f>
        <v> </v>
      </c>
      <c r="W19" s="334" t="str">
        <f aca="false">IF((E19="f"),G19," ")</f>
        <v> </v>
      </c>
    </row>
    <row r="20" customFormat="false" ht="12.75" hidden="false" customHeight="false" outlineLevel="0" collapsed="false">
      <c r="A20" s="355" t="n">
        <v>45914</v>
      </c>
      <c r="B20" s="363" t="s">
        <v>330</v>
      </c>
      <c r="E20" s="365" t="s">
        <v>323</v>
      </c>
      <c r="G20" s="366" t="n">
        <v>24</v>
      </c>
      <c r="H20" s="338" t="n">
        <f aca="false">IF((G20&lt;&gt;0),IF((D20&gt;0)," ",G20)," ")</f>
        <v>24</v>
      </c>
      <c r="I20" s="367" t="n">
        <f aca="false">IF((G20&lt;&gt;0),IF((D20&gt;0)," ",(I$1-A20))," ")</f>
        <v>224</v>
      </c>
      <c r="J20" s="334" t="str">
        <f aca="false">IF((E20="s"),G20," ")</f>
        <v> </v>
      </c>
      <c r="K20" s="334" t="str">
        <f aca="false">IF((E20="d"),G20," ")</f>
        <v> </v>
      </c>
      <c r="L20" s="334" t="str">
        <f aca="false">IF((E20="e"),G20," ")</f>
        <v> </v>
      </c>
      <c r="M20" s="334" t="str">
        <f aca="false">IF((E20="p"),G20," ")</f>
        <v> </v>
      </c>
      <c r="N20" s="334" t="str">
        <f aca="false">IF((E20="r"),G20," ")</f>
        <v> </v>
      </c>
      <c r="O20" s="334" t="str">
        <f aca="false">IF((E20="g"),G20," ")</f>
        <v> </v>
      </c>
      <c r="P20" s="334" t="str">
        <f aca="false">IF((E20="m"),G20," ")</f>
        <v> </v>
      </c>
      <c r="Q20" s="334" t="n">
        <f aca="false">IF((E20="t"),G20," ")</f>
        <v>24</v>
      </c>
      <c r="R20" s="334" t="str">
        <f aca="false">IF((E20="a"),G20," ")</f>
        <v> </v>
      </c>
      <c r="S20" s="334" t="str">
        <f aca="false">IF((E20="l"),G20," ")</f>
        <v> </v>
      </c>
      <c r="T20" s="334" t="str">
        <f aca="false">IF((E20="b"),G20," ")</f>
        <v> </v>
      </c>
      <c r="U20" s="334" t="str">
        <f aca="false">IF((E20="i"),G20," ")</f>
        <v> </v>
      </c>
      <c r="V20" s="334" t="str">
        <f aca="false">IF((E20="o"),G20," ")</f>
        <v> </v>
      </c>
      <c r="W20" s="334" t="str">
        <f aca="false">IF((E20="f"),G20," ")</f>
        <v> </v>
      </c>
    </row>
    <row r="21" customFormat="false" ht="12.75" hidden="false" customHeight="false" outlineLevel="0" collapsed="false">
      <c r="A21" s="355" t="n">
        <v>45914</v>
      </c>
      <c r="B21" s="363" t="s">
        <v>331</v>
      </c>
      <c r="E21" s="365" t="s">
        <v>323</v>
      </c>
      <c r="G21" s="366" t="n">
        <v>12</v>
      </c>
      <c r="H21" s="338" t="n">
        <f aca="false">IF((G21&lt;&gt;0),IF((D21&gt;0)," ",G21)," ")</f>
        <v>12</v>
      </c>
      <c r="I21" s="367" t="n">
        <f aca="false">IF((G21&lt;&gt;0),IF((D21&gt;0)," ",(I$1-A21))," ")</f>
        <v>224</v>
      </c>
      <c r="J21" s="334" t="str">
        <f aca="false">IF((E21="s"),G21," ")</f>
        <v> </v>
      </c>
      <c r="K21" s="334" t="str">
        <f aca="false">IF((E21="d"),G21," ")</f>
        <v> </v>
      </c>
      <c r="L21" s="334" t="str">
        <f aca="false">IF((E21="e"),G21," ")</f>
        <v> </v>
      </c>
      <c r="M21" s="334" t="str">
        <f aca="false">IF((E21="p"),G21," ")</f>
        <v> </v>
      </c>
      <c r="N21" s="334" t="str">
        <f aca="false">IF((E21="r"),G21," ")</f>
        <v> </v>
      </c>
      <c r="O21" s="334" t="str">
        <f aca="false">IF((E21="g"),G21," ")</f>
        <v> </v>
      </c>
      <c r="P21" s="334" t="str">
        <f aca="false">IF((E21="m"),G21," ")</f>
        <v> </v>
      </c>
      <c r="Q21" s="334" t="n">
        <f aca="false">IF((E21="t"),G21," ")</f>
        <v>12</v>
      </c>
      <c r="R21" s="334" t="str">
        <f aca="false">IF((E21="a"),G21," ")</f>
        <v> </v>
      </c>
      <c r="S21" s="334" t="str">
        <f aca="false">IF((E21="l"),G21," ")</f>
        <v> </v>
      </c>
      <c r="T21" s="334" t="str">
        <f aca="false">IF((E21="b"),G21," ")</f>
        <v> </v>
      </c>
      <c r="U21" s="334" t="str">
        <f aca="false">IF((E21="i"),G21," ")</f>
        <v> </v>
      </c>
      <c r="V21" s="334" t="str">
        <f aca="false">IF((E21="o"),G21," ")</f>
        <v> </v>
      </c>
      <c r="W21" s="334" t="str">
        <f aca="false">IF((E21="f"),G21," ")</f>
        <v> </v>
      </c>
    </row>
    <row r="22" customFormat="false" ht="12.75" hidden="false" customHeight="false" outlineLevel="0" collapsed="false">
      <c r="A22" s="355" t="n">
        <v>45915</v>
      </c>
      <c r="B22" s="363" t="s">
        <v>243</v>
      </c>
      <c r="E22" s="365" t="s">
        <v>291</v>
      </c>
      <c r="G22" s="366" t="n">
        <v>150</v>
      </c>
      <c r="H22" s="338" t="n">
        <f aca="false">IF((G22&lt;&gt;0),IF((D22&gt;0)," ",G22)," ")</f>
        <v>150</v>
      </c>
      <c r="I22" s="367" t="n">
        <f aca="false">IF((G22&lt;&gt;0),IF((D22&gt;0)," ",(I$1-A22))," ")</f>
        <v>223</v>
      </c>
      <c r="J22" s="334" t="str">
        <f aca="false">IF((E22="s"),G22," ")</f>
        <v> </v>
      </c>
      <c r="K22" s="334" t="str">
        <f aca="false">IF((E22="d"),G22," ")</f>
        <v> </v>
      </c>
      <c r="L22" s="334" t="str">
        <f aca="false">IF((E22="e"),G22," ")</f>
        <v> </v>
      </c>
      <c r="M22" s="334" t="str">
        <f aca="false">IF((E22="p"),G22," ")</f>
        <v> </v>
      </c>
      <c r="N22" s="334" t="str">
        <f aca="false">IF((E22="r"),G22," ")</f>
        <v> </v>
      </c>
      <c r="O22" s="334" t="str">
        <f aca="false">IF((E22="g"),G22," ")</f>
        <v> </v>
      </c>
      <c r="P22" s="334" t="n">
        <f aca="false">IF((E22="m"),G22," ")</f>
        <v>150</v>
      </c>
      <c r="Q22" s="334" t="str">
        <f aca="false">IF((E22="t"),G22," ")</f>
        <v> </v>
      </c>
      <c r="R22" s="334" t="str">
        <f aca="false">IF((E22="a"),G22," ")</f>
        <v> </v>
      </c>
      <c r="S22" s="334" t="str">
        <f aca="false">IF((E22="l"),G22," ")</f>
        <v> </v>
      </c>
      <c r="T22" s="334" t="str">
        <f aca="false">IF((E22="b"),G22," ")</f>
        <v> </v>
      </c>
      <c r="U22" s="334" t="str">
        <f aca="false">IF((E22="i"),G22," ")</f>
        <v> </v>
      </c>
      <c r="V22" s="334" t="str">
        <f aca="false">IF((E22="o"),G22," ")</f>
        <v> </v>
      </c>
      <c r="W22" s="334" t="str">
        <f aca="false">IF((E22="f"),G22," ")</f>
        <v> </v>
      </c>
    </row>
    <row r="23" customFormat="false" ht="12.75" hidden="false" customHeight="false" outlineLevel="0" collapsed="false">
      <c r="A23" s="355" t="n">
        <v>45915</v>
      </c>
      <c r="B23" s="363" t="s">
        <v>332</v>
      </c>
      <c r="E23" s="365" t="s">
        <v>310</v>
      </c>
      <c r="G23" s="366" t="n">
        <v>12</v>
      </c>
      <c r="H23" s="338" t="n">
        <f aca="false">IF((G23&lt;&gt;0),IF((D23&gt;0)," ",G23)," ")</f>
        <v>12</v>
      </c>
      <c r="I23" s="367" t="n">
        <f aca="false">IF((G23&lt;&gt;0),IF((D23&gt;0)," ",(I$1-A23))," ")</f>
        <v>223</v>
      </c>
      <c r="J23" s="334" t="str">
        <f aca="false">IF((E23="s"),G23," ")</f>
        <v> </v>
      </c>
      <c r="K23" s="334" t="str">
        <f aca="false">IF((E23="d"),G23," ")</f>
        <v> </v>
      </c>
      <c r="L23" s="334" t="str">
        <f aca="false">IF((E23="e"),G23," ")</f>
        <v> </v>
      </c>
      <c r="M23" s="334" t="str">
        <f aca="false">IF((E23="p"),G23," ")</f>
        <v> </v>
      </c>
      <c r="N23" s="334" t="str">
        <f aca="false">IF((E23="r"),G23," ")</f>
        <v> </v>
      </c>
      <c r="O23" s="334" t="n">
        <f aca="false">IF((E23="g"),G23," ")</f>
        <v>12</v>
      </c>
      <c r="P23" s="334" t="str">
        <f aca="false">IF((E23="m"),G23," ")</f>
        <v> </v>
      </c>
      <c r="Q23" s="334" t="str">
        <f aca="false">IF((E23="t"),G23," ")</f>
        <v> </v>
      </c>
      <c r="R23" s="334" t="str">
        <f aca="false">IF((E23="a"),G23," ")</f>
        <v> </v>
      </c>
      <c r="S23" s="334" t="str">
        <f aca="false">IF((E23="l"),G23," ")</f>
        <v> </v>
      </c>
      <c r="T23" s="334" t="str">
        <f aca="false">IF((E23="b"),G23," ")</f>
        <v> </v>
      </c>
      <c r="U23" s="334" t="str">
        <f aca="false">IF((E23="i"),G23," ")</f>
        <v> </v>
      </c>
      <c r="V23" s="334" t="str">
        <f aca="false">IF((E23="o"),G23," ")</f>
        <v> </v>
      </c>
      <c r="W23" s="334" t="str">
        <f aca="false">IF((E23="f"),G23," ")</f>
        <v> </v>
      </c>
    </row>
    <row r="24" customFormat="false" ht="12.75" hidden="false" customHeight="false" outlineLevel="0" collapsed="false">
      <c r="A24" s="355" t="n">
        <v>45915</v>
      </c>
      <c r="B24" s="363" t="s">
        <v>377</v>
      </c>
      <c r="E24" s="365" t="s">
        <v>340</v>
      </c>
      <c r="G24" s="366" t="n">
        <v>960</v>
      </c>
      <c r="H24" s="338" t="n">
        <f aca="false">IF((G24&lt;&gt;0),IF((D24&gt;0)," ",G24)," ")</f>
        <v>960</v>
      </c>
      <c r="I24" s="367" t="n">
        <f aca="false">IF((G24&lt;&gt;0),IF((D24&gt;0)," ",(I$1-A24))," ")</f>
        <v>223</v>
      </c>
      <c r="J24" s="334" t="str">
        <f aca="false">IF((E24="s"),G24," ")</f>
        <v> </v>
      </c>
      <c r="K24" s="334" t="str">
        <f aca="false">IF((E24="d"),G24," ")</f>
        <v> </v>
      </c>
      <c r="L24" s="334" t="str">
        <f aca="false">IF((E24="e"),G24," ")</f>
        <v> </v>
      </c>
      <c r="M24" s="334" t="str">
        <f aca="false">IF((E24="p"),G24," ")</f>
        <v> </v>
      </c>
      <c r="N24" s="334" t="str">
        <f aca="false">IF((E24="r"),G24," ")</f>
        <v> </v>
      </c>
      <c r="O24" s="334" t="str">
        <f aca="false">IF((E24="g"),G24," ")</f>
        <v> </v>
      </c>
      <c r="P24" s="334" t="str">
        <f aca="false">IF((E24="m"),G24," ")</f>
        <v> </v>
      </c>
      <c r="Q24" s="334" t="str">
        <f aca="false">IF((E24="t"),G24," ")</f>
        <v> </v>
      </c>
      <c r="R24" s="334" t="str">
        <f aca="false">IF((E24="a"),G24," ")</f>
        <v> </v>
      </c>
      <c r="S24" s="334" t="n">
        <f aca="false">IF((E24="l"),G24," ")</f>
        <v>960</v>
      </c>
      <c r="T24" s="334" t="str">
        <f aca="false">IF((E24="b"),G24," ")</f>
        <v> </v>
      </c>
      <c r="U24" s="334" t="str">
        <f aca="false">IF((E24="i"),G24," ")</f>
        <v> </v>
      </c>
      <c r="V24" s="334" t="str">
        <f aca="false">IF((E24="o"),G24," ")</f>
        <v> </v>
      </c>
      <c r="W24" s="334" t="str">
        <f aca="false">IF((E24="f"),G24," ")</f>
        <v> </v>
      </c>
    </row>
    <row r="25" customFormat="false" ht="12.75" hidden="false" customHeight="false" outlineLevel="0" collapsed="false">
      <c r="A25" s="355" t="n">
        <v>45916</v>
      </c>
      <c r="B25" s="363" t="s">
        <v>352</v>
      </c>
      <c r="E25" s="365" t="s">
        <v>310</v>
      </c>
      <c r="G25" s="366" t="n">
        <v>12</v>
      </c>
      <c r="H25" s="338" t="n">
        <f aca="false">IF((G25&lt;&gt;0),IF((D25&gt;0)," ",G25)," ")</f>
        <v>12</v>
      </c>
      <c r="I25" s="367" t="n">
        <f aca="false">IF((G25&lt;&gt;0),IF((D25&gt;0)," ",(I$1-A25))," ")</f>
        <v>222</v>
      </c>
      <c r="J25" s="334" t="str">
        <f aca="false">IF((E25="s"),G25," ")</f>
        <v> </v>
      </c>
      <c r="K25" s="334" t="str">
        <f aca="false">IF((E25="d"),G25," ")</f>
        <v> </v>
      </c>
      <c r="L25" s="334" t="str">
        <f aca="false">IF((E25="e"),G25," ")</f>
        <v> </v>
      </c>
      <c r="M25" s="334" t="str">
        <f aca="false">IF((E25="p"),G25," ")</f>
        <v> </v>
      </c>
      <c r="N25" s="334" t="str">
        <f aca="false">IF((E25="r"),G25," ")</f>
        <v> </v>
      </c>
      <c r="O25" s="334" t="n">
        <f aca="false">IF((E25="g"),G25," ")</f>
        <v>12</v>
      </c>
      <c r="P25" s="334" t="str">
        <f aca="false">IF((E25="m"),G25," ")</f>
        <v> </v>
      </c>
      <c r="Q25" s="334" t="str">
        <f aca="false">IF((E25="t"),G25," ")</f>
        <v> </v>
      </c>
      <c r="R25" s="334" t="str">
        <f aca="false">IF((E25="a"),G25," ")</f>
        <v> </v>
      </c>
      <c r="S25" s="334" t="str">
        <f aca="false">IF((E25="l"),G25," ")</f>
        <v> </v>
      </c>
      <c r="T25" s="334" t="str">
        <f aca="false">IF((E25="b"),G25," ")</f>
        <v> </v>
      </c>
      <c r="U25" s="334" t="str">
        <f aca="false">IF((E25="i"),G25," ")</f>
        <v> </v>
      </c>
      <c r="V25" s="334" t="str">
        <f aca="false">IF((E25="o"),G25," ")</f>
        <v> </v>
      </c>
      <c r="W25" s="334" t="str">
        <f aca="false">IF((E25="f"),G25," ")</f>
        <v> </v>
      </c>
    </row>
    <row r="26" customFormat="false" ht="12.75" hidden="false" customHeight="false" outlineLevel="0" collapsed="false">
      <c r="A26" s="355" t="n">
        <v>45918</v>
      </c>
      <c r="B26" s="363" t="s">
        <v>361</v>
      </c>
      <c r="E26" s="365" t="s">
        <v>327</v>
      </c>
      <c r="G26" s="366" t="n">
        <v>240</v>
      </c>
      <c r="H26" s="338" t="n">
        <f aca="false">IF((G26&lt;&gt;0),IF((D26&gt;0)," ",G26)," ")</f>
        <v>240</v>
      </c>
      <c r="I26" s="367" t="n">
        <f aca="false">IF((G26&lt;&gt;0),IF((D26&gt;0)," ",(I$1-A26))," ")</f>
        <v>220</v>
      </c>
      <c r="J26" s="334" t="n">
        <f aca="false">IF((E26="s"),G26," ")</f>
        <v>240</v>
      </c>
      <c r="K26" s="334" t="str">
        <f aca="false">IF((E26="d"),G26," ")</f>
        <v> </v>
      </c>
      <c r="L26" s="334" t="str">
        <f aca="false">IF((E26="e"),G26," ")</f>
        <v> </v>
      </c>
      <c r="M26" s="334" t="str">
        <f aca="false">IF((E26="p"),G26," ")</f>
        <v> </v>
      </c>
      <c r="N26" s="334" t="str">
        <f aca="false">IF((E26="r"),G26," ")</f>
        <v> </v>
      </c>
      <c r="O26" s="334" t="str">
        <f aca="false">IF((E26="g"),G26," ")</f>
        <v> </v>
      </c>
      <c r="P26" s="334" t="str">
        <f aca="false">IF((E26="m"),G26," ")</f>
        <v> </v>
      </c>
      <c r="Q26" s="334" t="str">
        <f aca="false">IF((E26="t"),G26," ")</f>
        <v> </v>
      </c>
      <c r="R26" s="334" t="str">
        <f aca="false">IF((E26="a"),G26," ")</f>
        <v> </v>
      </c>
      <c r="S26" s="334" t="str">
        <f aca="false">IF((E26="l"),G26," ")</f>
        <v> </v>
      </c>
      <c r="T26" s="334" t="str">
        <f aca="false">IF((E26="b"),G26," ")</f>
        <v> </v>
      </c>
      <c r="U26" s="334" t="str">
        <f aca="false">IF((E26="i"),G26," ")</f>
        <v> </v>
      </c>
      <c r="V26" s="334" t="str">
        <f aca="false">IF((E26="o"),G26," ")</f>
        <v> </v>
      </c>
      <c r="W26" s="334" t="str">
        <f aca="false">IF((E26="f"),G26," ")</f>
        <v> </v>
      </c>
    </row>
    <row r="27" customFormat="false" ht="12.75" hidden="false" customHeight="false" outlineLevel="0" collapsed="false">
      <c r="A27" s="355" t="n">
        <v>45918</v>
      </c>
      <c r="B27" s="363" t="s">
        <v>333</v>
      </c>
      <c r="E27" s="365" t="s">
        <v>291</v>
      </c>
      <c r="G27" s="366" t="n">
        <v>96</v>
      </c>
      <c r="H27" s="338" t="n">
        <f aca="false">IF((G27&lt;&gt;0),IF((D27&gt;0)," ",G27)," ")</f>
        <v>96</v>
      </c>
      <c r="I27" s="367" t="n">
        <f aca="false">IF((G27&lt;&gt;0),IF((D27&gt;0)," ",(I$1-A27))," ")</f>
        <v>220</v>
      </c>
      <c r="J27" s="334" t="str">
        <f aca="false">IF((E27="s"),G27," ")</f>
        <v> </v>
      </c>
      <c r="K27" s="334" t="str">
        <f aca="false">IF((E27="d"),G27," ")</f>
        <v> </v>
      </c>
      <c r="L27" s="334" t="str">
        <f aca="false">IF((E27="e"),G27," ")</f>
        <v> </v>
      </c>
      <c r="M27" s="334" t="str">
        <f aca="false">IF((E27="p"),G27," ")</f>
        <v> </v>
      </c>
      <c r="N27" s="334" t="str">
        <f aca="false">IF((E27="r"),G27," ")</f>
        <v> </v>
      </c>
      <c r="O27" s="334" t="str">
        <f aca="false">IF((E27="g"),G27," ")</f>
        <v> </v>
      </c>
      <c r="P27" s="334" t="n">
        <f aca="false">IF((E27="m"),G27," ")</f>
        <v>96</v>
      </c>
      <c r="Q27" s="334" t="str">
        <f aca="false">IF((E27="t"),G27," ")</f>
        <v> </v>
      </c>
      <c r="R27" s="334" t="str">
        <f aca="false">IF((E27="a"),G27," ")</f>
        <v> </v>
      </c>
      <c r="S27" s="334" t="str">
        <f aca="false">IF((E27="l"),G27," ")</f>
        <v> </v>
      </c>
      <c r="T27" s="334" t="str">
        <f aca="false">IF((E27="b"),G27," ")</f>
        <v> </v>
      </c>
      <c r="U27" s="334" t="str">
        <f aca="false">IF((E27="i"),G27," ")</f>
        <v> </v>
      </c>
      <c r="V27" s="334" t="str">
        <f aca="false">IF((E27="o"),G27," ")</f>
        <v> </v>
      </c>
      <c r="W27" s="334" t="str">
        <f aca="false">IF((E27="f"),G27," ")</f>
        <v> </v>
      </c>
    </row>
    <row r="28" customFormat="false" ht="12.75" hidden="false" customHeight="false" outlineLevel="0" collapsed="false">
      <c r="A28" s="355" t="n">
        <v>45920</v>
      </c>
      <c r="B28" s="363" t="s">
        <v>242</v>
      </c>
      <c r="E28" s="365" t="s">
        <v>310</v>
      </c>
      <c r="G28" s="366" t="n">
        <v>60</v>
      </c>
      <c r="H28" s="338" t="n">
        <f aca="false">IF((G28&lt;&gt;0),IF((D28&gt;0)," ",G28)," ")</f>
        <v>60</v>
      </c>
      <c r="I28" s="367" t="n">
        <f aca="false">IF((G28&lt;&gt;0),IF((D28&gt;0)," ",(I$1-A28))," ")</f>
        <v>218</v>
      </c>
      <c r="J28" s="334" t="str">
        <f aca="false">IF((E28="s"),G28," ")</f>
        <v> </v>
      </c>
      <c r="K28" s="334" t="str">
        <f aca="false">IF((E28="d"),G28," ")</f>
        <v> </v>
      </c>
      <c r="L28" s="334" t="str">
        <f aca="false">IF((E28="e"),G28," ")</f>
        <v> </v>
      </c>
      <c r="M28" s="334" t="str">
        <f aca="false">IF((E28="p"),G28," ")</f>
        <v> </v>
      </c>
      <c r="N28" s="334" t="str">
        <f aca="false">IF((E28="r"),G28," ")</f>
        <v> </v>
      </c>
      <c r="O28" s="334" t="n">
        <f aca="false">IF((E28="g"),G28," ")</f>
        <v>60</v>
      </c>
      <c r="P28" s="334" t="str">
        <f aca="false">IF((E28="m"),G28," ")</f>
        <v> </v>
      </c>
      <c r="Q28" s="334" t="str">
        <f aca="false">IF((E28="t"),G28," ")</f>
        <v> </v>
      </c>
      <c r="R28" s="334" t="str">
        <f aca="false">IF((E28="a"),G28," ")</f>
        <v> </v>
      </c>
      <c r="S28" s="334" t="str">
        <f aca="false">IF((E28="l"),G28," ")</f>
        <v> </v>
      </c>
      <c r="T28" s="334" t="str">
        <f aca="false">IF((E28="b"),G28," ")</f>
        <v> </v>
      </c>
      <c r="U28" s="334" t="str">
        <f aca="false">IF((E28="i"),G28," ")</f>
        <v> </v>
      </c>
      <c r="V28" s="334" t="str">
        <f aca="false">IF((E28="o"),G28," ")</f>
        <v> </v>
      </c>
      <c r="W28" s="334" t="str">
        <f aca="false">IF((E28="f"),G28," ")</f>
        <v> </v>
      </c>
    </row>
    <row r="29" customFormat="false" ht="12.75" hidden="false" customHeight="false" outlineLevel="0" collapsed="false">
      <c r="A29" s="355" t="n">
        <v>45921</v>
      </c>
      <c r="B29" s="363" t="s">
        <v>336</v>
      </c>
      <c r="E29" s="365" t="s">
        <v>323</v>
      </c>
      <c r="G29" s="366" t="n">
        <v>8</v>
      </c>
      <c r="H29" s="338" t="n">
        <f aca="false">IF((G29&lt;&gt;0),IF((D29&gt;0)," ",G29)," ")</f>
        <v>8</v>
      </c>
      <c r="I29" s="367" t="n">
        <f aca="false">IF((G29&lt;&gt;0),IF((D29&gt;0)," ",(I$1-A29))," ")</f>
        <v>217</v>
      </c>
      <c r="J29" s="334" t="str">
        <f aca="false">IF((E29="s"),G29," ")</f>
        <v> </v>
      </c>
      <c r="K29" s="334" t="str">
        <f aca="false">IF((E29="d"),G29," ")</f>
        <v> </v>
      </c>
      <c r="L29" s="334" t="str">
        <f aca="false">IF((E29="e"),G29," ")</f>
        <v> </v>
      </c>
      <c r="M29" s="334" t="str">
        <f aca="false">IF((E29="p"),G29," ")</f>
        <v> </v>
      </c>
      <c r="N29" s="334" t="str">
        <f aca="false">IF((E29="r"),G29," ")</f>
        <v> </v>
      </c>
      <c r="O29" s="334" t="str">
        <f aca="false">IF((E29="g"),G29," ")</f>
        <v> </v>
      </c>
      <c r="P29" s="334" t="str">
        <f aca="false">IF((E29="m"),G29," ")</f>
        <v> </v>
      </c>
      <c r="Q29" s="334" t="n">
        <f aca="false">IF((E29="t"),G29," ")</f>
        <v>8</v>
      </c>
      <c r="R29" s="334" t="str">
        <f aca="false">IF((E29="a"),G29," ")</f>
        <v> </v>
      </c>
      <c r="S29" s="334" t="str">
        <f aca="false">IF((E29="l"),G29," ")</f>
        <v> </v>
      </c>
      <c r="T29" s="334" t="str">
        <f aca="false">IF((E29="b"),G29," ")</f>
        <v> </v>
      </c>
      <c r="U29" s="334" t="str">
        <f aca="false">IF((E29="i"),G29," ")</f>
        <v> </v>
      </c>
      <c r="V29" s="334" t="str">
        <f aca="false">IF((E29="o"),G29," ")</f>
        <v> </v>
      </c>
      <c r="W29" s="334" t="str">
        <f aca="false">IF((E29="f"),G29," ")</f>
        <v> </v>
      </c>
    </row>
    <row r="30" customFormat="false" ht="12.75" hidden="false" customHeight="false" outlineLevel="0" collapsed="false">
      <c r="A30" s="355" t="n">
        <v>45922</v>
      </c>
      <c r="B30" s="363" t="s">
        <v>337</v>
      </c>
      <c r="E30" s="365" t="s">
        <v>313</v>
      </c>
      <c r="G30" s="366" t="n">
        <v>18</v>
      </c>
      <c r="H30" s="338" t="n">
        <f aca="false">IF((G30&lt;&gt;0),IF((D30&gt;0)," ",G30)," ")</f>
        <v>18</v>
      </c>
      <c r="I30" s="367" t="n">
        <f aca="false">IF((G30&lt;&gt;0),IF((D30&gt;0)," ",(I$1-A30))," ")</f>
        <v>216</v>
      </c>
      <c r="J30" s="334" t="str">
        <f aca="false">IF((E30="s"),G30," ")</f>
        <v> </v>
      </c>
      <c r="K30" s="334" t="str">
        <f aca="false">IF((E30="d"),G30," ")</f>
        <v> </v>
      </c>
      <c r="L30" s="334" t="str">
        <f aca="false">IF((E30="e"),G30," ")</f>
        <v> </v>
      </c>
      <c r="M30" s="334" t="str">
        <f aca="false">IF((E30="p"),G30," ")</f>
        <v> </v>
      </c>
      <c r="N30" s="334" t="str">
        <f aca="false">IF((E30="r"),G30," ")</f>
        <v> </v>
      </c>
      <c r="O30" s="334" t="str">
        <f aca="false">IF((E30="g"),G30," ")</f>
        <v> </v>
      </c>
      <c r="P30" s="334" t="str">
        <f aca="false">IF((E30="m"),G30," ")</f>
        <v> </v>
      </c>
      <c r="Q30" s="334" t="str">
        <f aca="false">IF((E30="t"),G30," ")</f>
        <v> </v>
      </c>
      <c r="R30" s="334" t="str">
        <f aca="false">IF((E30="a"),G30," ")</f>
        <v> </v>
      </c>
      <c r="S30" s="334" t="str">
        <f aca="false">IF((E30="l"),G30," ")</f>
        <v> </v>
      </c>
      <c r="T30" s="334" t="str">
        <f aca="false">IF((E30="b"),G30," ")</f>
        <v> </v>
      </c>
      <c r="U30" s="334" t="str">
        <f aca="false">IF((E30="i"),G30," ")</f>
        <v> </v>
      </c>
      <c r="V30" s="334" t="n">
        <f aca="false">IF((E30="o"),G30," ")</f>
        <v>18</v>
      </c>
      <c r="W30" s="334" t="str">
        <f aca="false">IF((E30="f"),G30," ")</f>
        <v> </v>
      </c>
    </row>
    <row r="31" customFormat="false" ht="12.75" hidden="false" customHeight="false" outlineLevel="0" collapsed="false">
      <c r="A31" s="355" t="n">
        <v>45922</v>
      </c>
      <c r="B31" s="363" t="s">
        <v>355</v>
      </c>
      <c r="E31" s="365" t="s">
        <v>291</v>
      </c>
      <c r="G31" s="366" t="n">
        <v>72</v>
      </c>
      <c r="H31" s="338" t="n">
        <f aca="false">IF((G31&lt;&gt;0),IF((D31&gt;0)," ",G31)," ")</f>
        <v>72</v>
      </c>
      <c r="I31" s="367" t="n">
        <f aca="false">IF((G31&lt;&gt;0),IF((D31&gt;0)," ",(I$1-A31))," ")</f>
        <v>216</v>
      </c>
      <c r="J31" s="334" t="str">
        <f aca="false">IF((E31="s"),G31," ")</f>
        <v> </v>
      </c>
      <c r="K31" s="334" t="str">
        <f aca="false">IF((E31="d"),G31," ")</f>
        <v> </v>
      </c>
      <c r="L31" s="334" t="str">
        <f aca="false">IF((E31="e"),G31," ")</f>
        <v> </v>
      </c>
      <c r="M31" s="334" t="str">
        <f aca="false">IF((E31="p"),G31," ")</f>
        <v> </v>
      </c>
      <c r="N31" s="334" t="str">
        <f aca="false">IF((E31="r"),G31," ")</f>
        <v> </v>
      </c>
      <c r="O31" s="334" t="str">
        <f aca="false">IF((E31="g"),G31," ")</f>
        <v> </v>
      </c>
      <c r="P31" s="334" t="n">
        <f aca="false">IF((E31="m"),G31," ")</f>
        <v>72</v>
      </c>
      <c r="Q31" s="334" t="str">
        <f aca="false">IF((E31="t"),G31," ")</f>
        <v> </v>
      </c>
      <c r="R31" s="334" t="str">
        <f aca="false">IF((E31="a"),G31," ")</f>
        <v> </v>
      </c>
      <c r="S31" s="334" t="str">
        <f aca="false">IF((E31="l"),G31," ")</f>
        <v> </v>
      </c>
      <c r="T31" s="334" t="str">
        <f aca="false">IF((E31="b"),G31," ")</f>
        <v> </v>
      </c>
      <c r="U31" s="334" t="str">
        <f aca="false">IF((E31="i"),G31," ")</f>
        <v> </v>
      </c>
      <c r="V31" s="334" t="str">
        <f aca="false">IF((E31="o"),G31," ")</f>
        <v> </v>
      </c>
      <c r="W31" s="334" t="str">
        <f aca="false">IF((E31="f"),G31," ")</f>
        <v> </v>
      </c>
    </row>
    <row r="32" customFormat="false" ht="12.75" hidden="false" customHeight="false" outlineLevel="0" collapsed="false">
      <c r="A32" s="355" t="n">
        <v>45925</v>
      </c>
      <c r="B32" s="363" t="s">
        <v>362</v>
      </c>
      <c r="E32" s="365" t="s">
        <v>308</v>
      </c>
      <c r="G32" s="366" t="n">
        <v>300</v>
      </c>
      <c r="H32" s="338" t="n">
        <f aca="false">IF((G32&lt;&gt;0),IF((D32&gt;0)," ",G32)," ")</f>
        <v>300</v>
      </c>
      <c r="I32" s="367" t="n">
        <f aca="false">IF((G32&lt;&gt;0),IF((D32&gt;0)," ",(I$1-A32))," ")</f>
        <v>213</v>
      </c>
      <c r="J32" s="334" t="str">
        <f aca="false">IF((E32="s"),G32," ")</f>
        <v> </v>
      </c>
      <c r="K32" s="334" t="str">
        <f aca="false">IF((E32="d"),G32," ")</f>
        <v> </v>
      </c>
      <c r="L32" s="334" t="str">
        <f aca="false">IF((E32="e"),G32," ")</f>
        <v> </v>
      </c>
      <c r="M32" s="334" t="n">
        <f aca="false">IF((E32="p"),G32," ")</f>
        <v>300</v>
      </c>
      <c r="N32" s="334" t="str">
        <f aca="false">IF((E32="r"),G32," ")</f>
        <v> </v>
      </c>
      <c r="O32" s="334" t="str">
        <f aca="false">IF((E32="g"),G32," ")</f>
        <v> </v>
      </c>
      <c r="P32" s="334" t="str">
        <f aca="false">IF((E32="m"),G32," ")</f>
        <v> </v>
      </c>
      <c r="Q32" s="334" t="str">
        <f aca="false">IF((E32="t"),G32," ")</f>
        <v> </v>
      </c>
      <c r="R32" s="334" t="str">
        <f aca="false">IF((E32="a"),G32," ")</f>
        <v> </v>
      </c>
      <c r="S32" s="334" t="str">
        <f aca="false">IF((E32="l"),G32," ")</f>
        <v> </v>
      </c>
      <c r="T32" s="334" t="str">
        <f aca="false">IF((E32="b"),G32," ")</f>
        <v> </v>
      </c>
      <c r="U32" s="334" t="str">
        <f aca="false">IF((E32="i"),G32," ")</f>
        <v> </v>
      </c>
      <c r="V32" s="334" t="str">
        <f aca="false">IF((E32="o"),G32," ")</f>
        <v> </v>
      </c>
      <c r="W32" s="334" t="str">
        <f aca="false">IF((E32="f"),G32," ")</f>
        <v> </v>
      </c>
    </row>
    <row r="33" customFormat="false" ht="12.75" hidden="false" customHeight="false" outlineLevel="0" collapsed="false">
      <c r="A33" s="355" t="n">
        <v>45925</v>
      </c>
      <c r="B33" s="363" t="s">
        <v>338</v>
      </c>
      <c r="E33" s="365" t="s">
        <v>313</v>
      </c>
      <c r="G33" s="366" t="n">
        <v>15</v>
      </c>
      <c r="H33" s="338" t="n">
        <f aca="false">IF((G33&lt;&gt;0),IF((D33&gt;0)," ",G33)," ")</f>
        <v>15</v>
      </c>
      <c r="I33" s="367" t="n">
        <f aca="false">IF((G33&lt;&gt;0),IF((D33&gt;0)," ",(I$1-A33))," ")</f>
        <v>213</v>
      </c>
      <c r="J33" s="334" t="str">
        <f aca="false">IF((E33="s"),G33," ")</f>
        <v> </v>
      </c>
      <c r="K33" s="334" t="str">
        <f aca="false">IF((E33="d"),G33," ")</f>
        <v> </v>
      </c>
      <c r="L33" s="334" t="str">
        <f aca="false">IF((E33="e"),G33," ")</f>
        <v> </v>
      </c>
      <c r="M33" s="334" t="str">
        <f aca="false">IF((E33="p"),G33," ")</f>
        <v> </v>
      </c>
      <c r="N33" s="334" t="str">
        <f aca="false">IF((E33="r"),G33," ")</f>
        <v> </v>
      </c>
      <c r="O33" s="334" t="str">
        <f aca="false">IF((E33="g"),G33," ")</f>
        <v> </v>
      </c>
      <c r="P33" s="334" t="str">
        <f aca="false">IF((E33="m"),G33," ")</f>
        <v> </v>
      </c>
      <c r="Q33" s="334" t="str">
        <f aca="false">IF((E33="t"),G33," ")</f>
        <v> </v>
      </c>
      <c r="R33" s="334" t="str">
        <f aca="false">IF((E33="a"),G33," ")</f>
        <v> </v>
      </c>
      <c r="S33" s="334" t="str">
        <f aca="false">IF((E33="l"),G33," ")</f>
        <v> </v>
      </c>
      <c r="T33" s="334" t="str">
        <f aca="false">IF((E33="b"),G33," ")</f>
        <v> </v>
      </c>
      <c r="U33" s="334" t="str">
        <f aca="false">IF((E33="i"),G33," ")</f>
        <v> </v>
      </c>
      <c r="V33" s="334" t="n">
        <f aca="false">IF((E33="o"),G33," ")</f>
        <v>15</v>
      </c>
      <c r="W33" s="334" t="str">
        <f aca="false">IF((E33="f"),G33," ")</f>
        <v> </v>
      </c>
    </row>
    <row r="34" customFormat="false" ht="12.75" hidden="false" customHeight="false" outlineLevel="0" collapsed="false">
      <c r="A34" s="355" t="n">
        <v>45925</v>
      </c>
      <c r="B34" s="363" t="s">
        <v>339</v>
      </c>
      <c r="E34" s="365" t="s">
        <v>291</v>
      </c>
      <c r="G34" s="366" t="n">
        <v>72</v>
      </c>
      <c r="H34" s="338" t="n">
        <f aca="false">IF((G34&lt;&gt;0),IF((D34&gt;0)," ",G34)," ")</f>
        <v>72</v>
      </c>
      <c r="I34" s="367" t="n">
        <f aca="false">IF((G34&lt;&gt;0),IF((D34&gt;0)," ",(I$1-A34))," ")</f>
        <v>213</v>
      </c>
      <c r="J34" s="334" t="str">
        <f aca="false">IF((E34="s"),G34," ")</f>
        <v> </v>
      </c>
      <c r="K34" s="334" t="str">
        <f aca="false">IF((E34="d"),G34," ")</f>
        <v> </v>
      </c>
      <c r="L34" s="334" t="str">
        <f aca="false">IF((E34="e"),G34," ")</f>
        <v> </v>
      </c>
      <c r="M34" s="334" t="str">
        <f aca="false">IF((E34="p"),G34," ")</f>
        <v> </v>
      </c>
      <c r="N34" s="334" t="str">
        <f aca="false">IF((E34="r"),G34," ")</f>
        <v> </v>
      </c>
      <c r="O34" s="334" t="str">
        <f aca="false">IF((E34="g"),G34," ")</f>
        <v> </v>
      </c>
      <c r="P34" s="334" t="n">
        <f aca="false">IF((E34="m"),G34," ")</f>
        <v>72</v>
      </c>
      <c r="Q34" s="334" t="str">
        <f aca="false">IF((E34="t"),G34," ")</f>
        <v> </v>
      </c>
      <c r="R34" s="334" t="str">
        <f aca="false">IF((E34="a"),G34," ")</f>
        <v> </v>
      </c>
      <c r="S34" s="334" t="str">
        <f aca="false">IF((E34="l"),G34," ")</f>
        <v> </v>
      </c>
      <c r="T34" s="334" t="str">
        <f aca="false">IF((E34="b"),G34," ")</f>
        <v> </v>
      </c>
      <c r="U34" s="334" t="str">
        <f aca="false">IF((E34="i"),G34," ")</f>
        <v> </v>
      </c>
      <c r="V34" s="334" t="str">
        <f aca="false">IF((E34="o"),G34," ")</f>
        <v> </v>
      </c>
      <c r="W34" s="334" t="str">
        <f aca="false">IF((E34="f"),G34," ")</f>
        <v> </v>
      </c>
    </row>
    <row r="35" customFormat="false" ht="12.75" hidden="false" customHeight="false" outlineLevel="0" collapsed="false">
      <c r="A35" s="355" t="n">
        <v>45928</v>
      </c>
      <c r="B35" s="363" t="s">
        <v>243</v>
      </c>
      <c r="E35" s="365" t="s">
        <v>291</v>
      </c>
      <c r="G35" s="366" t="n">
        <v>120</v>
      </c>
      <c r="H35" s="338" t="n">
        <f aca="false">IF((G35&lt;&gt;0),IF((D35&gt;0)," ",G35)," ")</f>
        <v>120</v>
      </c>
      <c r="I35" s="367" t="n">
        <f aca="false">IF((G35&lt;&gt;0),IF((D35&gt;0)," ",(I$1-A35))," ")</f>
        <v>210</v>
      </c>
      <c r="J35" s="334" t="str">
        <f aca="false">IF((E35="s"),G35," ")</f>
        <v> </v>
      </c>
      <c r="K35" s="334" t="str">
        <f aca="false">IF((E35="d"),G35," ")</f>
        <v> </v>
      </c>
      <c r="L35" s="334" t="str">
        <f aca="false">IF((E35="e"),G35," ")</f>
        <v> </v>
      </c>
      <c r="M35" s="334" t="str">
        <f aca="false">IF((E35="p"),G35," ")</f>
        <v> </v>
      </c>
      <c r="N35" s="334" t="str">
        <f aca="false">IF((E35="r"),G35," ")</f>
        <v> </v>
      </c>
      <c r="O35" s="334" t="str">
        <f aca="false">IF((E35="g"),G35," ")</f>
        <v> </v>
      </c>
      <c r="P35" s="334" t="n">
        <f aca="false">IF((E35="m"),G35," ")</f>
        <v>120</v>
      </c>
      <c r="Q35" s="334" t="str">
        <f aca="false">IF((E35="t"),G35," ")</f>
        <v> </v>
      </c>
      <c r="R35" s="334" t="str">
        <f aca="false">IF((E35="a"),G35," ")</f>
        <v> </v>
      </c>
      <c r="S35" s="334" t="str">
        <f aca="false">IF((E35="l"),G35," ")</f>
        <v> </v>
      </c>
      <c r="T35" s="334" t="str">
        <f aca="false">IF((E35="b"),G35," ")</f>
        <v> </v>
      </c>
      <c r="U35" s="334" t="str">
        <f aca="false">IF((E35="i"),G35," ")</f>
        <v> </v>
      </c>
      <c r="V35" s="334" t="str">
        <f aca="false">IF((E35="o"),G35," ")</f>
        <v> </v>
      </c>
      <c r="W35" s="334" t="str">
        <f aca="false">IF((E35="f"),G35," ")</f>
        <v> </v>
      </c>
    </row>
    <row r="36" customFormat="false" ht="12.75" hidden="false" customHeight="false" outlineLevel="0" collapsed="false">
      <c r="A36" s="355" t="n">
        <v>45930</v>
      </c>
      <c r="B36" s="363" t="s">
        <v>240</v>
      </c>
      <c r="E36" s="365" t="s">
        <v>340</v>
      </c>
      <c r="G36" s="366" t="n">
        <v>300</v>
      </c>
      <c r="H36" s="338" t="n">
        <f aca="false">IF((G36&lt;&gt;0),IF((D36&gt;0)," ",G36)," ")</f>
        <v>300</v>
      </c>
      <c r="I36" s="367" t="n">
        <f aca="false">IF((G36&lt;&gt;0),IF((D36&gt;0)," ",(I$1-A36))," ")</f>
        <v>208</v>
      </c>
      <c r="J36" s="334" t="str">
        <f aca="false">IF((E36="s"),G36," ")</f>
        <v> </v>
      </c>
      <c r="K36" s="334" t="str">
        <f aca="false">IF((E36="d"),G36," ")</f>
        <v> </v>
      </c>
      <c r="L36" s="334" t="str">
        <f aca="false">IF((E36="e"),G36," ")</f>
        <v> </v>
      </c>
      <c r="M36" s="334" t="str">
        <f aca="false">IF((E36="p"),G36," ")</f>
        <v> </v>
      </c>
      <c r="N36" s="334" t="str">
        <f aca="false">IF((E36="r"),G36," ")</f>
        <v> </v>
      </c>
      <c r="O36" s="334" t="str">
        <f aca="false">IF((E36="g"),G36," ")</f>
        <v> </v>
      </c>
      <c r="P36" s="334" t="str">
        <f aca="false">IF((E36="m"),G36," ")</f>
        <v> </v>
      </c>
      <c r="Q36" s="334" t="str">
        <f aca="false">IF((E36="t"),G36," ")</f>
        <v> </v>
      </c>
      <c r="R36" s="334" t="str">
        <f aca="false">IF((E36="a"),G36," ")</f>
        <v> </v>
      </c>
      <c r="S36" s="334" t="n">
        <f aca="false">IF((E36="l"),G36," ")</f>
        <v>300</v>
      </c>
      <c r="T36" s="334" t="str">
        <f aca="false">IF((E36="b"),G36," ")</f>
        <v> </v>
      </c>
      <c r="U36" s="334" t="str">
        <f aca="false">IF((E36="i"),G36," ")</f>
        <v> </v>
      </c>
      <c r="V36" s="334" t="str">
        <f aca="false">IF((E36="o"),G36," ")</f>
        <v> </v>
      </c>
      <c r="W36" s="334" t="str">
        <f aca="false">IF((E36="f"),G36," ")</f>
        <v> </v>
      </c>
    </row>
    <row r="37" customFormat="false" ht="12.75" hidden="false" customHeight="false" outlineLevel="0" collapsed="false">
      <c r="A37" s="355" t="n">
        <v>45930</v>
      </c>
      <c r="B37" s="363" t="s">
        <v>363</v>
      </c>
      <c r="E37" s="365" t="s">
        <v>364</v>
      </c>
      <c r="G37" s="366" t="n">
        <v>208</v>
      </c>
      <c r="H37" s="338" t="n">
        <f aca="false">IF((G37&lt;&gt;0),IF((D37&gt;0)," ",G37)," ")</f>
        <v>208</v>
      </c>
      <c r="I37" s="367" t="n">
        <f aca="false">IF((G37&lt;&gt;0),IF((D37&gt;0)," ",(I$1-A37))," ")</f>
        <v>208</v>
      </c>
      <c r="J37" s="334" t="str">
        <f aca="false">IF((E37="s"),G37," ")</f>
        <v> </v>
      </c>
      <c r="K37" s="334" t="str">
        <f aca="false">IF((E37="d"),G37," ")</f>
        <v> </v>
      </c>
      <c r="L37" s="334" t="str">
        <f aca="false">IF((E37="e"),G37," ")</f>
        <v> </v>
      </c>
      <c r="M37" s="334" t="str">
        <f aca="false">IF((E37="p"),G37," ")</f>
        <v> </v>
      </c>
      <c r="N37" s="334" t="str">
        <f aca="false">IF((E37="r"),G37," ")</f>
        <v> </v>
      </c>
      <c r="O37" s="334" t="str">
        <f aca="false">IF((E37="g"),G37," ")</f>
        <v> </v>
      </c>
      <c r="P37" s="334" t="str">
        <f aca="false">IF((E37="m"),G37," ")</f>
        <v> </v>
      </c>
      <c r="Q37" s="334" t="str">
        <f aca="false">IF((E37="t"),G37," ")</f>
        <v> </v>
      </c>
      <c r="R37" s="334" t="str">
        <f aca="false">IF((E37="a"),G37," ")</f>
        <v> </v>
      </c>
      <c r="S37" s="334" t="str">
        <f aca="false">IF((E37="l"),G37," ")</f>
        <v> </v>
      </c>
      <c r="T37" s="334" t="str">
        <f aca="false">IF((E37="b"),G37," ")</f>
        <v> </v>
      </c>
      <c r="U37" s="334" t="n">
        <f aca="false">IF((E37="i"),G37," ")</f>
        <v>208</v>
      </c>
      <c r="V37" s="334" t="str">
        <f aca="false">IF((E37="o"),G37," ")</f>
        <v> </v>
      </c>
      <c r="W37" s="334" t="str">
        <f aca="false">IF((E37="f"),G37," ")</f>
        <v> </v>
      </c>
    </row>
    <row r="38" customFormat="false" ht="12.75" hidden="false" customHeight="false" outlineLevel="0" collapsed="false">
      <c r="A38" s="355"/>
      <c r="H38" s="338" t="str">
        <f aca="false">IF((G38&lt;&gt;0),IF((D38&gt;0)," ",G38)," ")</f>
        <v> </v>
      </c>
      <c r="I38" s="367" t="str">
        <f aca="false">IF((G38&lt;&gt;0),IF((D38&gt;0)," ",(I$1-A38))," ")</f>
        <v> </v>
      </c>
      <c r="J38" s="334" t="str">
        <f aca="false">IF((E38="s"),G38," ")</f>
        <v> </v>
      </c>
      <c r="K38" s="334" t="str">
        <f aca="false">IF((E38="d"),G38," ")</f>
        <v> </v>
      </c>
      <c r="L38" s="334" t="str">
        <f aca="false">IF((E38="e"),G38," ")</f>
        <v> </v>
      </c>
      <c r="M38" s="334" t="str">
        <f aca="false">IF((E38="p"),G38," ")</f>
        <v> </v>
      </c>
      <c r="N38" s="334" t="str">
        <f aca="false">IF((E38="r"),G38," ")</f>
        <v> </v>
      </c>
      <c r="O38" s="334" t="str">
        <f aca="false">IF((E38="g"),G38," ")</f>
        <v> </v>
      </c>
      <c r="P38" s="334" t="str">
        <f aca="false">IF((E38="m"),G38," ")</f>
        <v> </v>
      </c>
      <c r="Q38" s="334" t="str">
        <f aca="false">IF((E38="t"),G38," ")</f>
        <v> </v>
      </c>
      <c r="R38" s="334" t="str">
        <f aca="false">IF((E38="a"),G38," ")</f>
        <v> </v>
      </c>
      <c r="S38" s="334" t="str">
        <f aca="false">IF((E38="l"),G38," ")</f>
        <v> </v>
      </c>
      <c r="T38" s="334" t="str">
        <f aca="false">IF((E38="b"),G38," ")</f>
        <v> </v>
      </c>
      <c r="U38" s="334" t="str">
        <f aca="false">IF((E38="i"),G38," ")</f>
        <v> </v>
      </c>
      <c r="V38" s="334" t="str">
        <f aca="false">IF((E38="o"),G38," ")</f>
        <v> </v>
      </c>
      <c r="W38" s="334" t="str">
        <f aca="false">IF((E38="f"),G38," ")</f>
        <v> </v>
      </c>
    </row>
    <row r="39" customFormat="false" ht="12.75" hidden="false" customHeight="false" outlineLevel="0" collapsed="false">
      <c r="A39" s="355"/>
      <c r="H39" s="338" t="str">
        <f aca="false">IF((G39&lt;&gt;0),IF((D39&gt;0)," ",G39)," ")</f>
        <v> </v>
      </c>
      <c r="I39" s="367" t="str">
        <f aca="false">IF((G39&lt;&gt;0),IF((D39&gt;0)," ",(I$1-A39))," ")</f>
        <v> </v>
      </c>
      <c r="J39" s="334" t="str">
        <f aca="false">IF((E39="s"),G39," ")</f>
        <v> </v>
      </c>
      <c r="K39" s="334" t="str">
        <f aca="false">IF((E39="d"),G39," ")</f>
        <v> </v>
      </c>
      <c r="L39" s="334" t="str">
        <f aca="false">IF((E39="e"),G39," ")</f>
        <v> </v>
      </c>
      <c r="M39" s="334" t="str">
        <f aca="false">IF((E39="p"),G39," ")</f>
        <v> </v>
      </c>
      <c r="N39" s="334" t="str">
        <f aca="false">IF((E39="r"),G39," ")</f>
        <v> </v>
      </c>
      <c r="O39" s="334" t="str">
        <f aca="false">IF((E39="g"),G39," ")</f>
        <v> </v>
      </c>
      <c r="P39" s="334" t="str">
        <f aca="false">IF((E39="m"),G39," ")</f>
        <v> </v>
      </c>
      <c r="Q39" s="334" t="str">
        <f aca="false">IF((E39="t"),G39," ")</f>
        <v> </v>
      </c>
      <c r="R39" s="334" t="str">
        <f aca="false">IF((E39="a"),G39," ")</f>
        <v> </v>
      </c>
      <c r="S39" s="334" t="str">
        <f aca="false">IF((E39="l"),G39," ")</f>
        <v> </v>
      </c>
      <c r="T39" s="334" t="str">
        <f aca="false">IF((E39="b"),G39," ")</f>
        <v> </v>
      </c>
      <c r="U39" s="334" t="str">
        <f aca="false">IF((E39="i"),G39," ")</f>
        <v> </v>
      </c>
      <c r="V39" s="334" t="str">
        <f aca="false">IF((E39="o"),G39," ")</f>
        <v> </v>
      </c>
      <c r="W39" s="334" t="str">
        <f aca="false">IF((E39="f"),G39," ")</f>
        <v> </v>
      </c>
    </row>
    <row r="40" customFormat="false" ht="12.75" hidden="false" customHeight="false" outlineLevel="0" collapsed="false">
      <c r="A40" s="355"/>
      <c r="H40" s="338" t="str">
        <f aca="false">IF((G40&lt;&gt;0),IF((D40&gt;0)," ",G40)," ")</f>
        <v> </v>
      </c>
      <c r="I40" s="367" t="str">
        <f aca="false">IF((G40&lt;&gt;0),IF((D40&gt;0)," ",(I$1-A40))," ")</f>
        <v> </v>
      </c>
      <c r="J40" s="334" t="str">
        <f aca="false">IF((E40="s"),G40," ")</f>
        <v> </v>
      </c>
      <c r="K40" s="334" t="str">
        <f aca="false">IF((E40="d"),G40," ")</f>
        <v> </v>
      </c>
      <c r="L40" s="334" t="str">
        <f aca="false">IF((E40="e"),G40," ")</f>
        <v> </v>
      </c>
      <c r="M40" s="334" t="str">
        <f aca="false">IF((E40="p"),G40," ")</f>
        <v> </v>
      </c>
      <c r="N40" s="334" t="str">
        <f aca="false">IF((E40="r"),G40," ")</f>
        <v> </v>
      </c>
      <c r="O40" s="334" t="str">
        <f aca="false">IF((E40="g"),G40," ")</f>
        <v> </v>
      </c>
      <c r="P40" s="334" t="str">
        <f aca="false">IF((E40="m"),G40," ")</f>
        <v> </v>
      </c>
      <c r="Q40" s="334" t="str">
        <f aca="false">IF((E40="t"),G40," ")</f>
        <v> </v>
      </c>
      <c r="R40" s="334" t="str">
        <f aca="false">IF((E40="a"),G40," ")</f>
        <v> </v>
      </c>
      <c r="S40" s="334" t="str">
        <f aca="false">IF((E40="l"),G40," ")</f>
        <v> </v>
      </c>
      <c r="T40" s="334" t="str">
        <f aca="false">IF((E40="b"),G40," ")</f>
        <v> </v>
      </c>
      <c r="U40" s="334" t="str">
        <f aca="false">IF((E40="i"),G40," ")</f>
        <v> </v>
      </c>
      <c r="V40" s="334" t="str">
        <f aca="false">IF((E40="o"),G40," ")</f>
        <v> </v>
      </c>
      <c r="W40" s="334" t="str">
        <f aca="false">IF((E40="f"),G40," ")</f>
        <v> </v>
      </c>
    </row>
    <row r="41" customFormat="false" ht="12.75" hidden="false" customHeight="false" outlineLevel="0" collapsed="false">
      <c r="A41" s="355"/>
      <c r="H41" s="338" t="str">
        <f aca="false">IF((G41&lt;&gt;0),IF((D41&gt;0)," ",G41)," ")</f>
        <v> </v>
      </c>
      <c r="I41" s="367" t="str">
        <f aca="false">IF((G41&lt;&gt;0),IF((D41&gt;0)," ",(I$1-A41))," ")</f>
        <v> </v>
      </c>
      <c r="J41" s="334" t="str">
        <f aca="false">IF((E41="s"),G41," ")</f>
        <v> </v>
      </c>
      <c r="K41" s="334" t="str">
        <f aca="false">IF((E41="d"),G41," ")</f>
        <v> </v>
      </c>
      <c r="L41" s="334" t="str">
        <f aca="false">IF((E41="e"),G41," ")</f>
        <v> </v>
      </c>
      <c r="M41" s="334" t="str">
        <f aca="false">IF((E41="p"),G41," ")</f>
        <v> </v>
      </c>
      <c r="N41" s="334" t="str">
        <f aca="false">IF((E41="r"),G41," ")</f>
        <v> </v>
      </c>
      <c r="O41" s="334" t="str">
        <f aca="false">IF((E41="g"),G41," ")</f>
        <v> </v>
      </c>
      <c r="P41" s="334" t="str">
        <f aca="false">IF((E41="m"),G41," ")</f>
        <v> </v>
      </c>
      <c r="Q41" s="334" t="str">
        <f aca="false">IF((E41="t"),G41," ")</f>
        <v> </v>
      </c>
      <c r="R41" s="334" t="str">
        <f aca="false">IF((E41="a"),G41," ")</f>
        <v> </v>
      </c>
      <c r="S41" s="334" t="str">
        <f aca="false">IF((E41="l"),G41," ")</f>
        <v> </v>
      </c>
      <c r="T41" s="334" t="str">
        <f aca="false">IF((E41="b"),G41," ")</f>
        <v> </v>
      </c>
      <c r="U41" s="334" t="str">
        <f aca="false">IF((E41="i"),G41," ")</f>
        <v> </v>
      </c>
      <c r="V41" s="334" t="str">
        <f aca="false">IF((E41="o"),G41," ")</f>
        <v> </v>
      </c>
      <c r="W41" s="334" t="str">
        <f aca="false">IF((E41="f"),G41," ")</f>
        <v> </v>
      </c>
    </row>
    <row r="42" customFormat="false" ht="12.75" hidden="false" customHeight="false" outlineLevel="0" collapsed="false">
      <c r="A42" s="355"/>
      <c r="H42" s="338" t="str">
        <f aca="false">IF((G42&lt;&gt;0),IF((D42&gt;0)," ",G42)," ")</f>
        <v> </v>
      </c>
      <c r="I42" s="367" t="str">
        <f aca="false">IF((G42&lt;&gt;0),IF((D42&gt;0)," ",(I$1-A42))," ")</f>
        <v> </v>
      </c>
      <c r="J42" s="334" t="str">
        <f aca="false">IF((E42="s"),G42," ")</f>
        <v> </v>
      </c>
      <c r="K42" s="334" t="str">
        <f aca="false">IF((E42="d"),G42," ")</f>
        <v> </v>
      </c>
      <c r="L42" s="334" t="str">
        <f aca="false">IF((E42="e"),G42," ")</f>
        <v> </v>
      </c>
      <c r="M42" s="334" t="str">
        <f aca="false">IF((E42="p"),G42," ")</f>
        <v> </v>
      </c>
      <c r="N42" s="334" t="str">
        <f aca="false">IF((E42="r"),G42," ")</f>
        <v> </v>
      </c>
      <c r="O42" s="334" t="str">
        <f aca="false">IF((E42="g"),G42," ")</f>
        <v> </v>
      </c>
      <c r="P42" s="334" t="str">
        <f aca="false">IF((E42="m"),G42," ")</f>
        <v> </v>
      </c>
      <c r="Q42" s="334" t="str">
        <f aca="false">IF((E42="t"),G42," ")</f>
        <v> </v>
      </c>
      <c r="R42" s="334" t="str">
        <f aca="false">IF((E42="a"),G42," ")</f>
        <v> </v>
      </c>
      <c r="S42" s="334" t="str">
        <f aca="false">IF((E42="l"),G42," ")</f>
        <v> </v>
      </c>
      <c r="T42" s="334" t="str">
        <f aca="false">IF((E42="b"),G42," ")</f>
        <v> </v>
      </c>
      <c r="U42" s="334" t="str">
        <f aca="false">IF((E42="i"),G42," ")</f>
        <v> </v>
      </c>
      <c r="V42" s="334" t="str">
        <f aca="false">IF((E42="o"),G42," ")</f>
        <v> </v>
      </c>
      <c r="W42" s="334" t="str">
        <f aca="false">IF((E42="f"),G42," ")</f>
        <v> </v>
      </c>
    </row>
    <row r="43" customFormat="false" ht="12.75" hidden="false" customHeight="false" outlineLevel="0" collapsed="false">
      <c r="A43" s="355"/>
      <c r="H43" s="338" t="str">
        <f aca="false">IF((G43&lt;&gt;0),IF((D43&gt;0)," ",G43)," ")</f>
        <v> </v>
      </c>
      <c r="I43" s="367" t="str">
        <f aca="false">IF((G43&lt;&gt;0),IF((D43&gt;0)," ",(I$1-A43))," ")</f>
        <v> </v>
      </c>
      <c r="J43" s="334" t="str">
        <f aca="false">IF((E43="s"),G43," ")</f>
        <v> </v>
      </c>
      <c r="K43" s="334" t="str">
        <f aca="false">IF((E43="d"),G43," ")</f>
        <v> </v>
      </c>
      <c r="L43" s="334" t="str">
        <f aca="false">IF((E43="e"),G43," ")</f>
        <v> </v>
      </c>
      <c r="M43" s="334" t="str">
        <f aca="false">IF((E43="p"),G43," ")</f>
        <v> </v>
      </c>
      <c r="N43" s="334" t="str">
        <f aca="false">IF((E43="r"),G43," ")</f>
        <v> </v>
      </c>
      <c r="O43" s="334" t="str">
        <f aca="false">IF((E43="g"),G43," ")</f>
        <v> </v>
      </c>
      <c r="P43" s="334" t="str">
        <f aca="false">IF((E43="m"),G43," ")</f>
        <v> </v>
      </c>
      <c r="Q43" s="334" t="str">
        <f aca="false">IF((E43="t"),G43," ")</f>
        <v> </v>
      </c>
      <c r="R43" s="334" t="str">
        <f aca="false">IF((E43="a"),G43," ")</f>
        <v> </v>
      </c>
      <c r="S43" s="334" t="str">
        <f aca="false">IF((E43="l"),G43," ")</f>
        <v> </v>
      </c>
      <c r="T43" s="334" t="str">
        <f aca="false">IF((E43="b"),G43," ")</f>
        <v> </v>
      </c>
      <c r="U43" s="334" t="str">
        <f aca="false">IF((E43="i"),G43," ")</f>
        <v> </v>
      </c>
      <c r="V43" s="334" t="str">
        <f aca="false">IF((E43="o"),G43," ")</f>
        <v> </v>
      </c>
      <c r="W43" s="334" t="str">
        <f aca="false">IF((E43="f"),G43," ")</f>
        <v> </v>
      </c>
    </row>
    <row r="44" customFormat="false" ht="12.75" hidden="false" customHeight="false" outlineLevel="0" collapsed="false">
      <c r="A44" s="355"/>
      <c r="H44" s="338" t="str">
        <f aca="false">IF((G44&lt;&gt;0),IF((D44&gt;0)," ",G44)," ")</f>
        <v> </v>
      </c>
      <c r="I44" s="367" t="str">
        <f aca="false">IF((G44&lt;&gt;0),IF((D44&gt;0)," ",(I$1-A44))," ")</f>
        <v> </v>
      </c>
      <c r="J44" s="334" t="str">
        <f aca="false">IF((E44="s"),G44," ")</f>
        <v> </v>
      </c>
      <c r="K44" s="334" t="str">
        <f aca="false">IF((E44="d"),G44," ")</f>
        <v> </v>
      </c>
      <c r="L44" s="334" t="str">
        <f aca="false">IF((E44="e"),G44," ")</f>
        <v> </v>
      </c>
      <c r="M44" s="334" t="str">
        <f aca="false">IF((E44="p"),G44," ")</f>
        <v> </v>
      </c>
      <c r="N44" s="334" t="str">
        <f aca="false">IF((E44="r"),G44," ")</f>
        <v> </v>
      </c>
      <c r="O44" s="334" t="str">
        <f aca="false">IF((E44="g"),G44," ")</f>
        <v> </v>
      </c>
      <c r="P44" s="334" t="str">
        <f aca="false">IF((E44="m"),G44," ")</f>
        <v> </v>
      </c>
      <c r="Q44" s="334" t="str">
        <f aca="false">IF((E44="t"),G44," ")</f>
        <v> </v>
      </c>
      <c r="R44" s="334" t="str">
        <f aca="false">IF((E44="a"),G44," ")</f>
        <v> </v>
      </c>
      <c r="S44" s="334" t="str">
        <f aca="false">IF((E44="l"),G44," ")</f>
        <v> </v>
      </c>
      <c r="T44" s="334" t="str">
        <f aca="false">IF((E44="b"),G44," ")</f>
        <v> </v>
      </c>
      <c r="U44" s="334" t="str">
        <f aca="false">IF((E44="i"),G44," ")</f>
        <v> </v>
      </c>
      <c r="V44" s="334" t="str">
        <f aca="false">IF((E44="o"),G44," ")</f>
        <v> </v>
      </c>
      <c r="W44" s="334" t="str">
        <f aca="false">IF((E44="f"),G44," ")</f>
        <v> </v>
      </c>
    </row>
    <row r="45" customFormat="false" ht="12.75" hidden="false" customHeight="false" outlineLevel="0" collapsed="false">
      <c r="A45" s="355"/>
      <c r="H45" s="338" t="str">
        <f aca="false">IF((G45&lt;&gt;0),IF((D45&gt;0)," ",G45)," ")</f>
        <v> </v>
      </c>
      <c r="I45" s="367" t="str">
        <f aca="false">IF((G45&lt;&gt;0),IF((D45&gt;0)," ",(I$1-A45))," ")</f>
        <v> </v>
      </c>
      <c r="J45" s="334" t="str">
        <f aca="false">IF((E45="s"),G45," ")</f>
        <v> </v>
      </c>
      <c r="K45" s="334" t="str">
        <f aca="false">IF((E45="d"),G45," ")</f>
        <v> </v>
      </c>
      <c r="L45" s="334" t="str">
        <f aca="false">IF((E45="e"),G45," ")</f>
        <v> </v>
      </c>
      <c r="M45" s="334" t="str">
        <f aca="false">IF((E45="p"),G45," ")</f>
        <v> </v>
      </c>
      <c r="N45" s="334" t="str">
        <f aca="false">IF((E45="r"),G45," ")</f>
        <v> </v>
      </c>
      <c r="O45" s="334" t="str">
        <f aca="false">IF((E45="g"),G45," ")</f>
        <v> </v>
      </c>
      <c r="P45" s="334" t="str">
        <f aca="false">IF((E45="m"),G45," ")</f>
        <v> </v>
      </c>
      <c r="Q45" s="334" t="str">
        <f aca="false">IF((E45="t"),G45," ")</f>
        <v> </v>
      </c>
      <c r="R45" s="334" t="str">
        <f aca="false">IF((E45="a"),G45," ")</f>
        <v> </v>
      </c>
      <c r="S45" s="334" t="str">
        <f aca="false">IF((E45="l"),G45," ")</f>
        <v> </v>
      </c>
      <c r="T45" s="334" t="str">
        <f aca="false">IF((E45="b"),G45," ")</f>
        <v> </v>
      </c>
      <c r="U45" s="334" t="str">
        <f aca="false">IF((E45="i"),G45," ")</f>
        <v> </v>
      </c>
      <c r="V45" s="334" t="str">
        <f aca="false">IF((E45="o"),G45," ")</f>
        <v> </v>
      </c>
      <c r="W45" s="334" t="str">
        <f aca="false">IF((E45="f"),G45," ")</f>
        <v> </v>
      </c>
    </row>
    <row r="46" customFormat="false" ht="12.75" hidden="false" customHeight="false" outlineLevel="0" collapsed="false">
      <c r="A46" s="355"/>
      <c r="H46" s="338" t="str">
        <f aca="false">IF((G46&lt;&gt;0),IF((D46&gt;0)," ",G46)," ")</f>
        <v> </v>
      </c>
      <c r="I46" s="367" t="str">
        <f aca="false">IF((G46&lt;&gt;0),IF((D46&gt;0)," ",(I$1-A46))," ")</f>
        <v> </v>
      </c>
      <c r="J46" s="334" t="str">
        <f aca="false">IF((E46="s"),G46," ")</f>
        <v> </v>
      </c>
      <c r="K46" s="334" t="str">
        <f aca="false">IF((E46="d"),G46," ")</f>
        <v> </v>
      </c>
      <c r="L46" s="334" t="str">
        <f aca="false">IF((E46="e"),G46," ")</f>
        <v> </v>
      </c>
      <c r="M46" s="334" t="str">
        <f aca="false">IF((E46="p"),G46," ")</f>
        <v> </v>
      </c>
      <c r="N46" s="334" t="str">
        <f aca="false">IF((E46="r"),G46," ")</f>
        <v> </v>
      </c>
      <c r="O46" s="334" t="str">
        <f aca="false">IF((E46="g"),G46," ")</f>
        <v> </v>
      </c>
      <c r="P46" s="334" t="str">
        <f aca="false">IF((E46="m"),G46," ")</f>
        <v> </v>
      </c>
      <c r="Q46" s="334" t="str">
        <f aca="false">IF((E46="t"),G46," ")</f>
        <v> </v>
      </c>
      <c r="R46" s="334" t="str">
        <f aca="false">IF((E46="a"),G46," ")</f>
        <v> </v>
      </c>
      <c r="S46" s="334" t="str">
        <f aca="false">IF((E46="l"),G46," ")</f>
        <v> </v>
      </c>
      <c r="T46" s="334" t="str">
        <f aca="false">IF((E46="b"),G46," ")</f>
        <v> </v>
      </c>
      <c r="U46" s="334" t="str">
        <f aca="false">IF((E46="i"),G46," ")</f>
        <v> </v>
      </c>
      <c r="V46" s="334" t="str">
        <f aca="false">IF((E46="o"),G46," ")</f>
        <v> </v>
      </c>
      <c r="W46" s="334" t="str">
        <f aca="false">IF((E46="f"),G46," ")</f>
        <v> </v>
      </c>
    </row>
    <row r="47" customFormat="false" ht="12.75" hidden="false" customHeight="false" outlineLevel="0" collapsed="false">
      <c r="A47" s="355"/>
      <c r="H47" s="338" t="str">
        <f aca="false">IF((G47&lt;&gt;0),IF((D47&gt;0)," ",G47)," ")</f>
        <v> </v>
      </c>
      <c r="I47" s="367" t="str">
        <f aca="false">IF((G47&lt;&gt;0),IF((D47&gt;0)," ",(I$1-A47))," ")</f>
        <v> </v>
      </c>
      <c r="J47" s="334" t="str">
        <f aca="false">IF((E47="s"),G47," ")</f>
        <v> </v>
      </c>
      <c r="K47" s="334" t="str">
        <f aca="false">IF((E47="d"),G47," ")</f>
        <v> </v>
      </c>
      <c r="L47" s="334" t="str">
        <f aca="false">IF((E47="e"),G47," ")</f>
        <v> </v>
      </c>
      <c r="M47" s="334" t="str">
        <f aca="false">IF((E47="p"),G47," ")</f>
        <v> </v>
      </c>
      <c r="N47" s="334" t="str">
        <f aca="false">IF((E47="r"),G47," ")</f>
        <v> </v>
      </c>
      <c r="O47" s="334" t="str">
        <f aca="false">IF((E47="g"),G47," ")</f>
        <v> </v>
      </c>
      <c r="P47" s="334" t="str">
        <f aca="false">IF((E47="m"),G47," ")</f>
        <v> </v>
      </c>
      <c r="Q47" s="334" t="str">
        <f aca="false">IF((E47="t"),G47," ")</f>
        <v> </v>
      </c>
      <c r="R47" s="334" t="str">
        <f aca="false">IF((E47="a"),G47," ")</f>
        <v> </v>
      </c>
      <c r="S47" s="334" t="str">
        <f aca="false">IF((E47="l"),G47," ")</f>
        <v> </v>
      </c>
      <c r="T47" s="334" t="str">
        <f aca="false">IF((E47="b"),G47," ")</f>
        <v> </v>
      </c>
      <c r="U47" s="334" t="str">
        <f aca="false">IF((E47="i"),G47," ")</f>
        <v> </v>
      </c>
      <c r="V47" s="334" t="str">
        <f aca="false">IF((E47="o"),G47," ")</f>
        <v> </v>
      </c>
      <c r="W47" s="334" t="str">
        <f aca="false">IF((E47="f"),G47," ")</f>
        <v> </v>
      </c>
    </row>
    <row r="48" customFormat="false" ht="12.75" hidden="false" customHeight="false" outlineLevel="0" collapsed="false">
      <c r="A48" s="355"/>
      <c r="H48" s="338" t="str">
        <f aca="false">IF((G48&lt;&gt;0),IF((D48&gt;0)," ",G48)," ")</f>
        <v> </v>
      </c>
      <c r="I48" s="367" t="str">
        <f aca="false">IF((G48&lt;&gt;0),IF((D48&gt;0)," ",(I$1-A48))," ")</f>
        <v> </v>
      </c>
      <c r="J48" s="334" t="str">
        <f aca="false">IF((E48="s"),G48," ")</f>
        <v> </v>
      </c>
      <c r="K48" s="334" t="str">
        <f aca="false">IF((E48="d"),G48," ")</f>
        <v> </v>
      </c>
      <c r="L48" s="334" t="str">
        <f aca="false">IF((E48="e"),G48," ")</f>
        <v> </v>
      </c>
      <c r="M48" s="334" t="str">
        <f aca="false">IF((E48="p"),G48," ")</f>
        <v> </v>
      </c>
      <c r="N48" s="334" t="str">
        <f aca="false">IF((E48="r"),G48," ")</f>
        <v> </v>
      </c>
      <c r="O48" s="334" t="str">
        <f aca="false">IF((E48="g"),G48," ")</f>
        <v> </v>
      </c>
      <c r="P48" s="334" t="str">
        <f aca="false">IF((E48="m"),G48," ")</f>
        <v> </v>
      </c>
      <c r="Q48" s="334" t="str">
        <f aca="false">IF((E48="t"),G48," ")</f>
        <v> </v>
      </c>
      <c r="R48" s="334" t="str">
        <f aca="false">IF((E48="a"),G48," ")</f>
        <v> </v>
      </c>
      <c r="S48" s="334" t="str">
        <f aca="false">IF((E48="l"),G48," ")</f>
        <v> </v>
      </c>
      <c r="T48" s="334" t="str">
        <f aca="false">IF((E48="b"),G48," ")</f>
        <v> </v>
      </c>
      <c r="U48" s="334" t="str">
        <f aca="false">IF((E48="i"),G48," ")</f>
        <v> </v>
      </c>
      <c r="V48" s="334" t="str">
        <f aca="false">IF((E48="o"),G48," ")</f>
        <v> </v>
      </c>
      <c r="W48" s="334" t="str">
        <f aca="false">IF((E48="f"),G48," ")</f>
        <v> </v>
      </c>
    </row>
    <row r="49" customFormat="false" ht="12.75" hidden="false" customHeight="false" outlineLevel="0" collapsed="false">
      <c r="A49" s="355"/>
      <c r="H49" s="338" t="str">
        <f aca="false">IF((G49&lt;&gt;0),IF((D49&gt;0)," ",G49)," ")</f>
        <v> </v>
      </c>
      <c r="I49" s="367" t="str">
        <f aca="false">IF((G49&lt;&gt;0),IF((D49&gt;0)," ",(I$1-A49))," ")</f>
        <v> </v>
      </c>
      <c r="J49" s="334" t="str">
        <f aca="false">IF((E49="s"),G49," ")</f>
        <v> </v>
      </c>
      <c r="K49" s="334" t="str">
        <f aca="false">IF((E49="d"),G49," ")</f>
        <v> </v>
      </c>
      <c r="L49" s="334" t="str">
        <f aca="false">IF((E49="e"),G49," ")</f>
        <v> </v>
      </c>
      <c r="M49" s="334" t="str">
        <f aca="false">IF((E49="p"),G49," ")</f>
        <v> </v>
      </c>
      <c r="N49" s="334" t="str">
        <f aca="false">IF((E49="r"),G49," ")</f>
        <v> </v>
      </c>
      <c r="O49" s="334" t="str">
        <f aca="false">IF((E49="g"),G49," ")</f>
        <v> </v>
      </c>
      <c r="P49" s="334" t="str">
        <f aca="false">IF((E49="m"),G49," ")</f>
        <v> </v>
      </c>
      <c r="Q49" s="334" t="str">
        <f aca="false">IF((E49="t"),G49," ")</f>
        <v> </v>
      </c>
      <c r="R49" s="334" t="str">
        <f aca="false">IF((E49="a"),G49," ")</f>
        <v> </v>
      </c>
      <c r="S49" s="334" t="str">
        <f aca="false">IF((E49="l"),G49," ")</f>
        <v> </v>
      </c>
      <c r="T49" s="334" t="str">
        <f aca="false">IF((E49="b"),G49," ")</f>
        <v> </v>
      </c>
      <c r="U49" s="334" t="str">
        <f aca="false">IF((E49="i"),G49," ")</f>
        <v> </v>
      </c>
      <c r="V49" s="334" t="str">
        <f aca="false">IF((E49="o"),G49," ")</f>
        <v> </v>
      </c>
      <c r="W49" s="334" t="str">
        <f aca="false">IF((E49="f"),G49," ")</f>
        <v> </v>
      </c>
    </row>
    <row r="50" customFormat="false" ht="12.75" hidden="false" customHeight="false" outlineLevel="0" collapsed="false">
      <c r="A50" s="355"/>
      <c r="H50" s="338" t="str">
        <f aca="false">IF((G50&lt;&gt;0),IF((D50&gt;0)," ",G50)," ")</f>
        <v> </v>
      </c>
      <c r="I50" s="367" t="str">
        <f aca="false">IF((G50&lt;&gt;0),IF((D50&gt;0)," ",(I$1-A50))," ")</f>
        <v> </v>
      </c>
      <c r="J50" s="334" t="str">
        <f aca="false">IF((E50="s"),G50," ")</f>
        <v> </v>
      </c>
      <c r="K50" s="334" t="str">
        <f aca="false">IF((E50="d"),G50," ")</f>
        <v> </v>
      </c>
      <c r="L50" s="334" t="str">
        <f aca="false">IF((E50="e"),G50," ")</f>
        <v> </v>
      </c>
      <c r="M50" s="334" t="str">
        <f aca="false">IF((E50="p"),G50," ")</f>
        <v> </v>
      </c>
      <c r="N50" s="334" t="str">
        <f aca="false">IF((E50="r"),G50," ")</f>
        <v> </v>
      </c>
      <c r="O50" s="334" t="str">
        <f aca="false">IF((E50="g"),G50," ")</f>
        <v> </v>
      </c>
      <c r="P50" s="334" t="str">
        <f aca="false">IF((E50="m"),G50," ")</f>
        <v> </v>
      </c>
      <c r="Q50" s="334" t="str">
        <f aca="false">IF((E50="t"),G50," ")</f>
        <v> </v>
      </c>
      <c r="R50" s="334" t="str">
        <f aca="false">IF((E50="a"),G50," ")</f>
        <v> </v>
      </c>
      <c r="S50" s="334" t="str">
        <f aca="false">IF((E50="l"),G50," ")</f>
        <v> </v>
      </c>
      <c r="T50" s="334" t="str">
        <f aca="false">IF((E50="b"),G50," ")</f>
        <v> </v>
      </c>
      <c r="U50" s="334" t="str">
        <f aca="false">IF((E50="i"),G50," ")</f>
        <v> </v>
      </c>
      <c r="V50" s="334" t="str">
        <f aca="false">IF((E50="o"),G50," ")</f>
        <v> </v>
      </c>
      <c r="W50" s="334" t="str">
        <f aca="false">IF((E50="f"),G50," ")</f>
        <v> </v>
      </c>
    </row>
    <row r="51" customFormat="false" ht="12.75" hidden="false" customHeight="false" outlineLevel="0" collapsed="false">
      <c r="A51" s="355"/>
      <c r="H51" s="338" t="str">
        <f aca="false">IF((G51&lt;&gt;0),IF((D51&gt;0)," ",G51)," ")</f>
        <v> </v>
      </c>
      <c r="I51" s="367" t="str">
        <f aca="false">IF((G51&lt;&gt;0),IF((D51&gt;0)," ",(I$1-A51))," ")</f>
        <v> </v>
      </c>
      <c r="J51" s="334" t="str">
        <f aca="false">IF((E51="s"),G51," ")</f>
        <v> </v>
      </c>
      <c r="K51" s="334" t="str">
        <f aca="false">IF((E51="d"),G51," ")</f>
        <v> </v>
      </c>
      <c r="L51" s="334" t="str">
        <f aca="false">IF((E51="e"),G51," ")</f>
        <v> </v>
      </c>
      <c r="M51" s="334" t="str">
        <f aca="false">IF((E51="p"),G51," ")</f>
        <v> </v>
      </c>
      <c r="N51" s="334" t="str">
        <f aca="false">IF((E51="r"),G51," ")</f>
        <v> </v>
      </c>
      <c r="O51" s="334" t="str">
        <f aca="false">IF((E51="g"),G51," ")</f>
        <v> </v>
      </c>
      <c r="P51" s="334" t="str">
        <f aca="false">IF((E51="m"),G51," ")</f>
        <v> </v>
      </c>
      <c r="Q51" s="334" t="str">
        <f aca="false">IF((E51="t"),G51," ")</f>
        <v> </v>
      </c>
      <c r="R51" s="334" t="str">
        <f aca="false">IF((E51="a"),G51," ")</f>
        <v> </v>
      </c>
      <c r="S51" s="334" t="str">
        <f aca="false">IF((E51="l"),G51," ")</f>
        <v> </v>
      </c>
      <c r="T51" s="334" t="str">
        <f aca="false">IF((E51="b"),G51," ")</f>
        <v> </v>
      </c>
      <c r="U51" s="334" t="str">
        <f aca="false">IF((E51="i"),G51," ")</f>
        <v> </v>
      </c>
      <c r="V51" s="334" t="str">
        <f aca="false">IF((E51="o"),G51," ")</f>
        <v> </v>
      </c>
      <c r="W51" s="334" t="str">
        <f aca="false">IF((E51="f"),G51," ")</f>
        <v> </v>
      </c>
    </row>
    <row r="52" customFormat="false" ht="12.75" hidden="false" customHeight="false" outlineLevel="0" collapsed="false">
      <c r="A52" s="355"/>
      <c r="H52" s="338" t="str">
        <f aca="false">IF((G52&lt;&gt;0),IF((D52&gt;0)," ",G52)," ")</f>
        <v> </v>
      </c>
      <c r="I52" s="367" t="str">
        <f aca="false">IF((G52&lt;&gt;0),IF((D52&gt;0)," ",(I$1-A52))," ")</f>
        <v> </v>
      </c>
      <c r="J52" s="334" t="str">
        <f aca="false">IF((E52="s"),G52," ")</f>
        <v> </v>
      </c>
      <c r="K52" s="334" t="str">
        <f aca="false">IF((E52="d"),G52," ")</f>
        <v> </v>
      </c>
      <c r="L52" s="334" t="str">
        <f aca="false">IF((E52="e"),G52," ")</f>
        <v> </v>
      </c>
      <c r="M52" s="334" t="str">
        <f aca="false">IF((E52="p"),G52," ")</f>
        <v> </v>
      </c>
      <c r="N52" s="334" t="str">
        <f aca="false">IF((E52="r"),G52," ")</f>
        <v> </v>
      </c>
      <c r="O52" s="334" t="str">
        <f aca="false">IF((E52="g"),G52," ")</f>
        <v> </v>
      </c>
      <c r="P52" s="334" t="str">
        <f aca="false">IF((E52="m"),G52," ")</f>
        <v> </v>
      </c>
      <c r="Q52" s="334" t="str">
        <f aca="false">IF((E52="t"),G52," ")</f>
        <v> </v>
      </c>
      <c r="R52" s="334" t="str">
        <f aca="false">IF((E52="a"),G52," ")</f>
        <v> </v>
      </c>
      <c r="S52" s="334" t="str">
        <f aca="false">IF((E52="l"),G52," ")</f>
        <v> </v>
      </c>
      <c r="T52" s="334" t="str">
        <f aca="false">IF((E52="b"),G52," ")</f>
        <v> </v>
      </c>
      <c r="U52" s="334" t="str">
        <f aca="false">IF((E52="i"),G52," ")</f>
        <v> </v>
      </c>
      <c r="V52" s="334" t="str">
        <f aca="false">IF((E52="o"),G52," ")</f>
        <v> </v>
      </c>
      <c r="W52" s="334" t="str">
        <f aca="false">IF((E52="f"),G52," ")</f>
        <v> </v>
      </c>
    </row>
    <row r="53" customFormat="false" ht="12.75" hidden="false" customHeight="false" outlineLevel="0" collapsed="false">
      <c r="A53" s="355"/>
      <c r="H53" s="338" t="str">
        <f aca="false">IF((G53&lt;&gt;0),IF((D53&gt;0)," ",G53)," ")</f>
        <v> </v>
      </c>
      <c r="I53" s="367" t="str">
        <f aca="false">IF((G53&lt;&gt;0),IF((D53&gt;0)," ",(I$1-A53))," ")</f>
        <v> </v>
      </c>
      <c r="J53" s="334" t="str">
        <f aca="false">IF((E53="s"),G53," ")</f>
        <v> </v>
      </c>
      <c r="K53" s="334" t="str">
        <f aca="false">IF((E53="d"),G53," ")</f>
        <v> </v>
      </c>
      <c r="L53" s="334" t="str">
        <f aca="false">IF((E53="e"),G53," ")</f>
        <v> </v>
      </c>
      <c r="M53" s="334" t="str">
        <f aca="false">IF((E53="p"),G53," ")</f>
        <v> </v>
      </c>
      <c r="N53" s="334" t="str">
        <f aca="false">IF((E53="r"),G53," ")</f>
        <v> </v>
      </c>
      <c r="O53" s="334" t="str">
        <f aca="false">IF((E53="g"),G53," ")</f>
        <v> </v>
      </c>
      <c r="P53" s="334" t="str">
        <f aca="false">IF((E53="m"),G53," ")</f>
        <v> </v>
      </c>
      <c r="Q53" s="334" t="str">
        <f aca="false">IF((E53="t"),G53," ")</f>
        <v> </v>
      </c>
      <c r="R53" s="334" t="str">
        <f aca="false">IF((E53="a"),G53," ")</f>
        <v> </v>
      </c>
      <c r="S53" s="334" t="str">
        <f aca="false">IF((E53="l"),G53," ")</f>
        <v> </v>
      </c>
      <c r="T53" s="334" t="str">
        <f aca="false">IF((E53="b"),G53," ")</f>
        <v> </v>
      </c>
      <c r="U53" s="334" t="str">
        <f aca="false">IF((E53="i"),G53," ")</f>
        <v> </v>
      </c>
      <c r="V53" s="334" t="str">
        <f aca="false">IF((E53="o"),G53," ")</f>
        <v> </v>
      </c>
      <c r="W53" s="334" t="str">
        <f aca="false">IF((E53="f"),G53," ")</f>
        <v> </v>
      </c>
    </row>
    <row r="54" customFormat="false" ht="12.75" hidden="false" customHeight="false" outlineLevel="0" collapsed="false">
      <c r="A54" s="355"/>
      <c r="H54" s="338" t="str">
        <f aca="false">IF((G54&lt;&gt;0),IF((D54&gt;0)," ",G54)," ")</f>
        <v> </v>
      </c>
      <c r="I54" s="367" t="str">
        <f aca="false">IF((G54&lt;&gt;0),IF((D54&gt;0)," ",(I$1-A54))," ")</f>
        <v> </v>
      </c>
      <c r="J54" s="334" t="str">
        <f aca="false">IF((E54="s"),G54," ")</f>
        <v> </v>
      </c>
      <c r="K54" s="334" t="str">
        <f aca="false">IF((E54="d"),G54," ")</f>
        <v> </v>
      </c>
      <c r="L54" s="334" t="str">
        <f aca="false">IF((E54="e"),G54," ")</f>
        <v> </v>
      </c>
      <c r="M54" s="334" t="str">
        <f aca="false">IF((E54="p"),G54," ")</f>
        <v> </v>
      </c>
      <c r="N54" s="334" t="str">
        <f aca="false">IF((E54="r"),G54," ")</f>
        <v> </v>
      </c>
      <c r="O54" s="334" t="str">
        <f aca="false">IF((E54="g"),G54," ")</f>
        <v> </v>
      </c>
      <c r="P54" s="334" t="str">
        <f aca="false">IF((E54="m"),G54," ")</f>
        <v> </v>
      </c>
      <c r="Q54" s="334" t="str">
        <f aca="false">IF((E54="t"),G54," ")</f>
        <v> </v>
      </c>
      <c r="R54" s="334" t="str">
        <f aca="false">IF((E54="a"),G54," ")</f>
        <v> </v>
      </c>
      <c r="S54" s="334" t="str">
        <f aca="false">IF((E54="l"),G54," ")</f>
        <v> </v>
      </c>
      <c r="T54" s="334" t="str">
        <f aca="false">IF((E54="b"),G54," ")</f>
        <v> </v>
      </c>
      <c r="U54" s="334" t="str">
        <f aca="false">IF((E54="i"),G54," ")</f>
        <v> </v>
      </c>
      <c r="V54" s="334" t="str">
        <f aca="false">IF((E54="o"),G54," ")</f>
        <v> </v>
      </c>
      <c r="W54" s="334" t="str">
        <f aca="false">IF((E54="f"),G54," ")</f>
        <v> </v>
      </c>
    </row>
    <row r="55" customFormat="false" ht="12.75" hidden="false" customHeight="false" outlineLevel="0" collapsed="false">
      <c r="A55" s="355"/>
      <c r="H55" s="338" t="str">
        <f aca="false">IF((G55&lt;&gt;0),IF((D55&gt;0)," ",G55)," ")</f>
        <v> </v>
      </c>
      <c r="I55" s="367" t="str">
        <f aca="false">IF((G55&lt;&gt;0),IF((D55&gt;0)," ",(I$1-A55))," ")</f>
        <v> </v>
      </c>
      <c r="J55" s="334" t="str">
        <f aca="false">IF((E55="s"),G55," ")</f>
        <v> </v>
      </c>
      <c r="K55" s="334" t="str">
        <f aca="false">IF((E55="d"),G55," ")</f>
        <v> </v>
      </c>
      <c r="L55" s="334" t="str">
        <f aca="false">IF((E55="e"),G55," ")</f>
        <v> </v>
      </c>
      <c r="M55" s="334" t="str">
        <f aca="false">IF((E55="p"),G55," ")</f>
        <v> </v>
      </c>
      <c r="N55" s="334" t="str">
        <f aca="false">IF((E55="r"),G55," ")</f>
        <v> </v>
      </c>
      <c r="O55" s="334" t="str">
        <f aca="false">IF((E55="g"),G55," ")</f>
        <v> </v>
      </c>
      <c r="P55" s="334" t="str">
        <f aca="false">IF((E55="m"),G55," ")</f>
        <v> </v>
      </c>
      <c r="Q55" s="334" t="str">
        <f aca="false">IF((E55="t"),G55," ")</f>
        <v> </v>
      </c>
      <c r="R55" s="334" t="str">
        <f aca="false">IF((E55="a"),G55," ")</f>
        <v> </v>
      </c>
      <c r="S55" s="334" t="str">
        <f aca="false">IF((E55="l"),G55," ")</f>
        <v> </v>
      </c>
      <c r="T55" s="334" t="str">
        <f aca="false">IF((E55="b"),G55," ")</f>
        <v> </v>
      </c>
      <c r="U55" s="334" t="str">
        <f aca="false">IF((E55="i"),G55," ")</f>
        <v> </v>
      </c>
      <c r="V55" s="334" t="str">
        <f aca="false">IF((E55="o"),G55," ")</f>
        <v> </v>
      </c>
      <c r="W55" s="334" t="str">
        <f aca="false">IF((E55="f"),G55," ")</f>
        <v> </v>
      </c>
    </row>
    <row r="56" customFormat="false" ht="12.75" hidden="false" customHeight="false" outlineLevel="0" collapsed="false">
      <c r="A56" s="355"/>
      <c r="H56" s="338" t="str">
        <f aca="false">IF((G56&lt;&gt;0),IF((D56&gt;0)," ",G56)," ")</f>
        <v> </v>
      </c>
      <c r="I56" s="367" t="str">
        <f aca="false">IF((G56&lt;&gt;0),IF((D56&gt;0)," ",(I$1-A56))," ")</f>
        <v> </v>
      </c>
      <c r="J56" s="334" t="str">
        <f aca="false">IF((E56="s"),G56," ")</f>
        <v> </v>
      </c>
      <c r="K56" s="334" t="str">
        <f aca="false">IF((E56="d"),G56," ")</f>
        <v> </v>
      </c>
      <c r="L56" s="334" t="str">
        <f aca="false">IF((E56="e"),G56," ")</f>
        <v> </v>
      </c>
      <c r="M56" s="334" t="str">
        <f aca="false">IF((E56="p"),G56," ")</f>
        <v> </v>
      </c>
      <c r="N56" s="334" t="str">
        <f aca="false">IF((E56="r"),G56," ")</f>
        <v> </v>
      </c>
      <c r="O56" s="334" t="str">
        <f aca="false">IF((E56="g"),G56," ")</f>
        <v> </v>
      </c>
      <c r="P56" s="334" t="str">
        <f aca="false">IF((E56="m"),G56," ")</f>
        <v> </v>
      </c>
      <c r="Q56" s="334" t="str">
        <f aca="false">IF((E56="t"),G56," ")</f>
        <v> </v>
      </c>
      <c r="R56" s="334" t="str">
        <f aca="false">IF((E56="a"),G56," ")</f>
        <v> </v>
      </c>
      <c r="S56" s="334" t="str">
        <f aca="false">IF((E56="l"),G56," ")</f>
        <v> </v>
      </c>
      <c r="T56" s="334" t="str">
        <f aca="false">IF((E56="b"),G56," ")</f>
        <v> </v>
      </c>
      <c r="U56" s="334" t="str">
        <f aca="false">IF((E56="i"),G56," ")</f>
        <v> </v>
      </c>
      <c r="V56" s="334" t="str">
        <f aca="false">IF((E56="o"),G56," ")</f>
        <v> </v>
      </c>
      <c r="W56" s="334" t="str">
        <f aca="false">IF((E56="f"),G56," ")</f>
        <v> </v>
      </c>
    </row>
    <row r="57" customFormat="false" ht="12.75" hidden="false" customHeight="false" outlineLevel="0" collapsed="false">
      <c r="A57" s="355"/>
      <c r="H57" s="338" t="str">
        <f aca="false">IF((G57&lt;&gt;0),IF((D57&gt;0)," ",G57)," ")</f>
        <v> </v>
      </c>
      <c r="I57" s="367" t="str">
        <f aca="false">IF((G57&lt;&gt;0),IF((D57&gt;0)," ",(I$1-A57))," ")</f>
        <v> </v>
      </c>
      <c r="J57" s="334" t="str">
        <f aca="false">IF((E57="s"),G57," ")</f>
        <v> </v>
      </c>
      <c r="K57" s="334" t="str">
        <f aca="false">IF((E57="d"),G57," ")</f>
        <v> </v>
      </c>
      <c r="L57" s="334" t="str">
        <f aca="false">IF((E57="e"),G57," ")</f>
        <v> </v>
      </c>
      <c r="M57" s="334" t="str">
        <f aca="false">IF((E57="p"),G57," ")</f>
        <v> </v>
      </c>
      <c r="N57" s="334" t="str">
        <f aca="false">IF((E57="r"),G57," ")</f>
        <v> </v>
      </c>
      <c r="O57" s="334" t="str">
        <f aca="false">IF((E57="g"),G57," ")</f>
        <v> </v>
      </c>
      <c r="P57" s="334" t="str">
        <f aca="false">IF((E57="m"),G57," ")</f>
        <v> </v>
      </c>
      <c r="Q57" s="334" t="str">
        <f aca="false">IF((E57="t"),G57," ")</f>
        <v> </v>
      </c>
      <c r="R57" s="334" t="str">
        <f aca="false">IF((E57="a"),G57," ")</f>
        <v> </v>
      </c>
      <c r="S57" s="334" t="str">
        <f aca="false">IF((E57="l"),G57," ")</f>
        <v> </v>
      </c>
      <c r="T57" s="334" t="str">
        <f aca="false">IF((E57="b"),G57," ")</f>
        <v> </v>
      </c>
      <c r="U57" s="334" t="str">
        <f aca="false">IF((E57="i"),G57," ")</f>
        <v> </v>
      </c>
      <c r="V57" s="334" t="str">
        <f aca="false">IF((E57="o"),G57," ")</f>
        <v> </v>
      </c>
      <c r="W57" s="334" t="str">
        <f aca="false">IF((E57="f"),G57," ")</f>
        <v> </v>
      </c>
    </row>
    <row r="58" customFormat="false" ht="12.75" hidden="false" customHeight="false" outlineLevel="0" collapsed="false">
      <c r="A58" s="355"/>
      <c r="H58" s="338" t="str">
        <f aca="false">IF((G58&lt;&gt;0),IF((D58&gt;0)," ",G58)," ")</f>
        <v> </v>
      </c>
      <c r="I58" s="367" t="str">
        <f aca="false">IF((G58&lt;&gt;0),IF((D58&gt;0)," ",(I$1-A58))," ")</f>
        <v> </v>
      </c>
      <c r="J58" s="334" t="str">
        <f aca="false">IF((E58="s"),G58," ")</f>
        <v> </v>
      </c>
      <c r="K58" s="334" t="str">
        <f aca="false">IF((E58="d"),G58," ")</f>
        <v> </v>
      </c>
      <c r="L58" s="334" t="str">
        <f aca="false">IF((E58="e"),G58," ")</f>
        <v> </v>
      </c>
      <c r="M58" s="334" t="str">
        <f aca="false">IF((E58="p"),G58," ")</f>
        <v> </v>
      </c>
      <c r="N58" s="334" t="str">
        <f aca="false">IF((E58="r"),G58," ")</f>
        <v> </v>
      </c>
      <c r="O58" s="334" t="str">
        <f aca="false">IF((E58="g"),G58," ")</f>
        <v> </v>
      </c>
      <c r="P58" s="334" t="str">
        <f aca="false">IF((E58="m"),G58," ")</f>
        <v> </v>
      </c>
      <c r="Q58" s="334" t="str">
        <f aca="false">IF((E58="t"),G58," ")</f>
        <v> </v>
      </c>
      <c r="R58" s="334" t="str">
        <f aca="false">IF((E58="a"),G58," ")</f>
        <v> </v>
      </c>
      <c r="S58" s="334" t="str">
        <f aca="false">IF((E58="l"),G58," ")</f>
        <v> </v>
      </c>
      <c r="T58" s="334" t="str">
        <f aca="false">IF((E58="b"),G58," ")</f>
        <v> </v>
      </c>
      <c r="U58" s="334" t="str">
        <f aca="false">IF((E58="i"),G58," ")</f>
        <v> </v>
      </c>
      <c r="V58" s="334" t="str">
        <f aca="false">IF((E58="o"),G58," ")</f>
        <v> </v>
      </c>
      <c r="W58" s="334" t="str">
        <f aca="false">IF((E58="f"),G58," ")</f>
        <v> </v>
      </c>
    </row>
    <row r="59" customFormat="false" ht="12.75" hidden="false" customHeight="false" outlineLevel="0" collapsed="false">
      <c r="A59" s="355"/>
      <c r="H59" s="338" t="str">
        <f aca="false">IF((G59&lt;&gt;0),IF((D59&gt;0)," ",G59)," ")</f>
        <v> </v>
      </c>
      <c r="I59" s="367" t="str">
        <f aca="false">IF((G59&lt;&gt;0),IF((D59&gt;0)," ",(I$1-A59))," ")</f>
        <v> </v>
      </c>
      <c r="J59" s="334" t="str">
        <f aca="false">IF((E59="s"),G59," ")</f>
        <v> </v>
      </c>
      <c r="K59" s="334" t="str">
        <f aca="false">IF((E59="d"),G59," ")</f>
        <v> </v>
      </c>
      <c r="L59" s="334" t="str">
        <f aca="false">IF((E59="e"),G59," ")</f>
        <v> </v>
      </c>
      <c r="M59" s="334" t="str">
        <f aca="false">IF((E59="p"),G59," ")</f>
        <v> </v>
      </c>
      <c r="N59" s="334" t="str">
        <f aca="false">IF((E59="r"),G59," ")</f>
        <v> </v>
      </c>
      <c r="O59" s="334" t="str">
        <f aca="false">IF((E59="g"),G59," ")</f>
        <v> </v>
      </c>
      <c r="P59" s="334" t="str">
        <f aca="false">IF((E59="m"),G59," ")</f>
        <v> </v>
      </c>
      <c r="Q59" s="334" t="str">
        <f aca="false">IF((E59="t"),G59," ")</f>
        <v> </v>
      </c>
      <c r="R59" s="334" t="str">
        <f aca="false">IF((E59="a"),G59," ")</f>
        <v> </v>
      </c>
      <c r="S59" s="334" t="str">
        <f aca="false">IF((E59="l"),G59," ")</f>
        <v> </v>
      </c>
      <c r="T59" s="334" t="str">
        <f aca="false">IF((E59="b"),G59," ")</f>
        <v> </v>
      </c>
      <c r="U59" s="334" t="str">
        <f aca="false">IF((E59="i"),G59," ")</f>
        <v> </v>
      </c>
      <c r="V59" s="334" t="str">
        <f aca="false">IF((E59="o"),G59," ")</f>
        <v> </v>
      </c>
      <c r="W59" s="334" t="str">
        <f aca="false">IF((E59="f"),G59," ")</f>
        <v> </v>
      </c>
    </row>
    <row r="60" customFormat="false" ht="12.75" hidden="false" customHeight="false" outlineLevel="0" collapsed="false">
      <c r="A60" s="355"/>
      <c r="H60" s="338" t="str">
        <f aca="false">IF((G60&lt;&gt;0),IF((D60&gt;0)," ",G60)," ")</f>
        <v> </v>
      </c>
      <c r="I60" s="367" t="str">
        <f aca="false">IF((G60&lt;&gt;0),IF((D60&gt;0)," ",(I$1-A60))," ")</f>
        <v> </v>
      </c>
      <c r="J60" s="334" t="str">
        <f aca="false">IF((E60="s"),G60," ")</f>
        <v> </v>
      </c>
      <c r="K60" s="334" t="str">
        <f aca="false">IF((E60="d"),G60," ")</f>
        <v> </v>
      </c>
      <c r="L60" s="334" t="str">
        <f aca="false">IF((E60="e"),G60," ")</f>
        <v> </v>
      </c>
      <c r="M60" s="334" t="str">
        <f aca="false">IF((E60="p"),G60," ")</f>
        <v> </v>
      </c>
      <c r="N60" s="334" t="str">
        <f aca="false">IF((E60="r"),G60," ")</f>
        <v> </v>
      </c>
      <c r="O60" s="334" t="str">
        <f aca="false">IF((E60="g"),G60," ")</f>
        <v> </v>
      </c>
      <c r="P60" s="334" t="str">
        <f aca="false">IF((E60="m"),G60," ")</f>
        <v> </v>
      </c>
      <c r="Q60" s="334" t="str">
        <f aca="false">IF((E60="t"),G60," ")</f>
        <v> </v>
      </c>
      <c r="R60" s="334" t="str">
        <f aca="false">IF((E60="a"),G60," ")</f>
        <v> </v>
      </c>
      <c r="S60" s="334" t="str">
        <f aca="false">IF((E60="l"),G60," ")</f>
        <v> </v>
      </c>
      <c r="T60" s="334" t="str">
        <f aca="false">IF((E60="b"),G60," ")</f>
        <v> </v>
      </c>
      <c r="U60" s="334" t="str">
        <f aca="false">IF((E60="i"),G60," ")</f>
        <v> </v>
      </c>
      <c r="V60" s="334" t="str">
        <f aca="false">IF((E60="o"),G60," ")</f>
        <v> </v>
      </c>
      <c r="W60" s="334" t="str">
        <f aca="false">IF((E60="f"),G60," ")</f>
        <v> </v>
      </c>
    </row>
    <row r="61" customFormat="false" ht="12.75" hidden="false" customHeight="false" outlineLevel="0" collapsed="false">
      <c r="A61" s="355"/>
      <c r="H61" s="338" t="str">
        <f aca="false">IF((G61&lt;&gt;0),IF((D61&gt;0)," ",G61)," ")</f>
        <v> </v>
      </c>
      <c r="I61" s="367" t="str">
        <f aca="false">IF((G61&lt;&gt;0),IF((D61&gt;0)," ",(I$1-A61))," ")</f>
        <v> </v>
      </c>
      <c r="J61" s="334" t="str">
        <f aca="false">IF((E61="s"),G61," ")</f>
        <v> </v>
      </c>
      <c r="K61" s="334" t="str">
        <f aca="false">IF((E61="d"),G61," ")</f>
        <v> </v>
      </c>
      <c r="L61" s="334" t="str">
        <f aca="false">IF((E61="e"),G61," ")</f>
        <v> </v>
      </c>
      <c r="M61" s="334" t="str">
        <f aca="false">IF((E61="p"),G61," ")</f>
        <v> </v>
      </c>
      <c r="N61" s="334" t="str">
        <f aca="false">IF((E61="r"),G61," ")</f>
        <v> </v>
      </c>
      <c r="O61" s="334" t="str">
        <f aca="false">IF((E61="g"),G61," ")</f>
        <v> </v>
      </c>
      <c r="P61" s="334" t="str">
        <f aca="false">IF((E61="m"),G61," ")</f>
        <v> </v>
      </c>
      <c r="Q61" s="334" t="str">
        <f aca="false">IF((E61="t"),G61," ")</f>
        <v> </v>
      </c>
      <c r="R61" s="334" t="str">
        <f aca="false">IF((E61="a"),G61," ")</f>
        <v> </v>
      </c>
      <c r="S61" s="334" t="str">
        <f aca="false">IF((E61="l"),G61," ")</f>
        <v> </v>
      </c>
      <c r="T61" s="334" t="str">
        <f aca="false">IF((E61="b"),G61," ")</f>
        <v> </v>
      </c>
      <c r="U61" s="334" t="str">
        <f aca="false">IF((E61="i"),G61," ")</f>
        <v> </v>
      </c>
      <c r="V61" s="334" t="str">
        <f aca="false">IF((E61="o"),G61," ")</f>
        <v> </v>
      </c>
      <c r="W61" s="334" t="str">
        <f aca="false">IF((E61="f"),G61," ")</f>
        <v> </v>
      </c>
    </row>
    <row r="62" customFormat="false" ht="12.75" hidden="false" customHeight="false" outlineLevel="0" collapsed="false">
      <c r="A62" s="355"/>
      <c r="H62" s="338" t="str">
        <f aca="false">IF((G62&lt;&gt;0),IF((D62&gt;0)," ",G62)," ")</f>
        <v> </v>
      </c>
      <c r="I62" s="367" t="str">
        <f aca="false">IF((G62&lt;&gt;0),IF((D62&gt;0)," ",(I$1-A62))," ")</f>
        <v> </v>
      </c>
      <c r="J62" s="334" t="str">
        <f aca="false">IF((E62="s"),G62," ")</f>
        <v> </v>
      </c>
      <c r="K62" s="334" t="str">
        <f aca="false">IF((E62="d"),G62," ")</f>
        <v> </v>
      </c>
      <c r="L62" s="334" t="str">
        <f aca="false">IF((E62="e"),G62," ")</f>
        <v> </v>
      </c>
      <c r="M62" s="334" t="str">
        <f aca="false">IF((E62="p"),G62," ")</f>
        <v> </v>
      </c>
      <c r="N62" s="334" t="str">
        <f aca="false">IF((E62="r"),G62," ")</f>
        <v> </v>
      </c>
      <c r="O62" s="334" t="str">
        <f aca="false">IF((E62="g"),G62," ")</f>
        <v> </v>
      </c>
      <c r="P62" s="334" t="str">
        <f aca="false">IF((E62="m"),G62," ")</f>
        <v> </v>
      </c>
      <c r="Q62" s="334" t="str">
        <f aca="false">IF((E62="t"),G62," ")</f>
        <v> </v>
      </c>
      <c r="R62" s="334" t="str">
        <f aca="false">IF((E62="a"),G62," ")</f>
        <v> </v>
      </c>
      <c r="S62" s="334" t="str">
        <f aca="false">IF((E62="l"),G62," ")</f>
        <v> </v>
      </c>
      <c r="T62" s="334" t="str">
        <f aca="false">IF((E62="b"),G62," ")</f>
        <v> </v>
      </c>
      <c r="U62" s="334" t="str">
        <f aca="false">IF((E62="i"),G62," ")</f>
        <v> </v>
      </c>
      <c r="V62" s="334" t="str">
        <f aca="false">IF((E62="o"),G62," ")</f>
        <v> </v>
      </c>
      <c r="W62" s="334" t="str">
        <f aca="false">IF((E62="f"),G62," ")</f>
        <v> </v>
      </c>
    </row>
    <row r="63" customFormat="false" ht="12.75" hidden="false" customHeight="false" outlineLevel="0" collapsed="false">
      <c r="A63" s="355"/>
      <c r="H63" s="338" t="str">
        <f aca="false">IF((G63&lt;&gt;0),IF((D63&gt;0)," ",G63)," ")</f>
        <v> </v>
      </c>
      <c r="I63" s="367" t="str">
        <f aca="false">IF((G63&lt;&gt;0),IF((D63&gt;0)," ",(I$1-A63))," ")</f>
        <v> </v>
      </c>
      <c r="J63" s="334" t="str">
        <f aca="false">IF((E63="s"),G63," ")</f>
        <v> </v>
      </c>
      <c r="K63" s="334" t="str">
        <f aca="false">IF((E63="d"),G63," ")</f>
        <v> </v>
      </c>
      <c r="L63" s="334" t="str">
        <f aca="false">IF((E63="e"),G63," ")</f>
        <v> </v>
      </c>
      <c r="M63" s="334" t="str">
        <f aca="false">IF((E63="p"),G63," ")</f>
        <v> </v>
      </c>
      <c r="N63" s="334" t="str">
        <f aca="false">IF((E63="r"),G63," ")</f>
        <v> </v>
      </c>
      <c r="O63" s="334" t="str">
        <f aca="false">IF((E63="g"),G63," ")</f>
        <v> </v>
      </c>
      <c r="P63" s="334" t="str">
        <f aca="false">IF((E63="m"),G63," ")</f>
        <v> </v>
      </c>
      <c r="Q63" s="334" t="str">
        <f aca="false">IF((E63="t"),G63," ")</f>
        <v> </v>
      </c>
      <c r="R63" s="334" t="str">
        <f aca="false">IF((E63="a"),G63," ")</f>
        <v> </v>
      </c>
      <c r="S63" s="334" t="str">
        <f aca="false">IF((E63="l"),G63," ")</f>
        <v> </v>
      </c>
      <c r="T63" s="334" t="str">
        <f aca="false">IF((E63="b"),G63," ")</f>
        <v> </v>
      </c>
      <c r="U63" s="334" t="str">
        <f aca="false">IF((E63="i"),G63," ")</f>
        <v> </v>
      </c>
      <c r="V63" s="334" t="str">
        <f aca="false">IF((E63="o"),G63," ")</f>
        <v> </v>
      </c>
      <c r="W63" s="334" t="str">
        <f aca="false">IF((E63="f"),G63," ")</f>
        <v> </v>
      </c>
    </row>
    <row r="64" customFormat="false" ht="12.75" hidden="false" customHeight="false" outlineLevel="0" collapsed="false">
      <c r="A64" s="355"/>
      <c r="H64" s="338" t="str">
        <f aca="false">IF((G64&lt;&gt;0),IF((D64&gt;0)," ",G64)," ")</f>
        <v> </v>
      </c>
      <c r="I64" s="367" t="str">
        <f aca="false">IF((G64&lt;&gt;0),IF((D64&gt;0)," ",(I$1-A64))," ")</f>
        <v> </v>
      </c>
      <c r="J64" s="334" t="str">
        <f aca="false">IF((E64="s"),G64," ")</f>
        <v> </v>
      </c>
      <c r="K64" s="334" t="str">
        <f aca="false">IF((E64="d"),G64," ")</f>
        <v> </v>
      </c>
      <c r="L64" s="334" t="str">
        <f aca="false">IF((E64="e"),G64," ")</f>
        <v> </v>
      </c>
      <c r="M64" s="334" t="str">
        <f aca="false">IF((E64="p"),G64," ")</f>
        <v> </v>
      </c>
      <c r="N64" s="334" t="str">
        <f aca="false">IF((E64="r"),G64," ")</f>
        <v> </v>
      </c>
      <c r="O64" s="334" t="str">
        <f aca="false">IF((E64="g"),G64," ")</f>
        <v> </v>
      </c>
      <c r="P64" s="334" t="str">
        <f aca="false">IF((E64="m"),G64," ")</f>
        <v> </v>
      </c>
      <c r="Q64" s="334" t="str">
        <f aca="false">IF((E64="t"),G64," ")</f>
        <v> </v>
      </c>
      <c r="R64" s="334" t="str">
        <f aca="false">IF((E64="a"),G64," ")</f>
        <v> </v>
      </c>
      <c r="S64" s="334" t="str">
        <f aca="false">IF((E64="l"),G64," ")</f>
        <v> </v>
      </c>
      <c r="T64" s="334" t="str">
        <f aca="false">IF((E64="b"),G64," ")</f>
        <v> </v>
      </c>
      <c r="U64" s="334" t="str">
        <f aca="false">IF((E64="i"),G64," ")</f>
        <v> </v>
      </c>
      <c r="V64" s="334" t="str">
        <f aca="false">IF((E64="o"),G64," ")</f>
        <v> </v>
      </c>
      <c r="W64" s="334" t="str">
        <f aca="false">IF((E64="f"),G64," ")</f>
        <v> </v>
      </c>
    </row>
    <row r="65" customFormat="false" ht="12.75" hidden="false" customHeight="false" outlineLevel="0" collapsed="false">
      <c r="A65" s="355"/>
      <c r="H65" s="338" t="str">
        <f aca="false">IF((G65&lt;&gt;0),IF((D65&gt;0)," ",G65)," ")</f>
        <v> </v>
      </c>
      <c r="I65" s="367" t="str">
        <f aca="false">IF((G65&lt;&gt;0),IF((D65&gt;0)," ",(I$1-A65))," ")</f>
        <v> </v>
      </c>
      <c r="J65" s="334" t="str">
        <f aca="false">IF((E65="s"),G65," ")</f>
        <v> </v>
      </c>
      <c r="K65" s="334" t="str">
        <f aca="false">IF((E65="d"),G65," ")</f>
        <v> </v>
      </c>
      <c r="L65" s="334" t="str">
        <f aca="false">IF((E65="e"),G65," ")</f>
        <v> </v>
      </c>
      <c r="M65" s="334" t="str">
        <f aca="false">IF((E65="p"),G65," ")</f>
        <v> </v>
      </c>
      <c r="N65" s="334" t="str">
        <f aca="false">IF((E65="r"),G65," ")</f>
        <v> </v>
      </c>
      <c r="O65" s="334" t="str">
        <f aca="false">IF((E65="g"),G65," ")</f>
        <v> </v>
      </c>
      <c r="P65" s="334" t="str">
        <f aca="false">IF((E65="m"),G65," ")</f>
        <v> </v>
      </c>
      <c r="Q65" s="334" t="str">
        <f aca="false">IF((E65="t"),G65," ")</f>
        <v> </v>
      </c>
      <c r="R65" s="334" t="str">
        <f aca="false">IF((E65="a"),G65," ")</f>
        <v> </v>
      </c>
      <c r="S65" s="334" t="str">
        <f aca="false">IF((E65="l"),G65," ")</f>
        <v> </v>
      </c>
      <c r="T65" s="334" t="str">
        <f aca="false">IF((E65="b"),G65," ")</f>
        <v> </v>
      </c>
      <c r="U65" s="334" t="str">
        <f aca="false">IF((E65="i"),G65," ")</f>
        <v> </v>
      </c>
      <c r="V65" s="334" t="str">
        <f aca="false">IF((E65="o"),G65," ")</f>
        <v> </v>
      </c>
      <c r="W65" s="334" t="str">
        <f aca="false">IF((E65="f"),G65," ")</f>
        <v> </v>
      </c>
    </row>
    <row r="66" customFormat="false" ht="12.75" hidden="false" customHeight="false" outlineLevel="0" collapsed="false">
      <c r="A66" s="355"/>
      <c r="H66" s="338" t="str">
        <f aca="false">IF((G66&lt;&gt;0),IF((D66&gt;0)," ",G66)," ")</f>
        <v> </v>
      </c>
      <c r="I66" s="367" t="str">
        <f aca="false">IF((G66&lt;&gt;0),IF((D66&gt;0)," ",(I$1-A66))," ")</f>
        <v> </v>
      </c>
      <c r="J66" s="334" t="str">
        <f aca="false">IF((E66="s"),G66," ")</f>
        <v> </v>
      </c>
      <c r="K66" s="334" t="str">
        <f aca="false">IF((E66="d"),G66," ")</f>
        <v> </v>
      </c>
      <c r="L66" s="334" t="str">
        <f aca="false">IF((E66="e"),G66," ")</f>
        <v> </v>
      </c>
      <c r="M66" s="334" t="str">
        <f aca="false">IF((E66="p"),G66," ")</f>
        <v> </v>
      </c>
      <c r="N66" s="334" t="str">
        <f aca="false">IF((E66="r"),G66," ")</f>
        <v> </v>
      </c>
      <c r="O66" s="334" t="str">
        <f aca="false">IF((E66="g"),G66," ")</f>
        <v> </v>
      </c>
      <c r="P66" s="334" t="str">
        <f aca="false">IF((E66="m"),G66," ")</f>
        <v> </v>
      </c>
      <c r="Q66" s="334" t="str">
        <f aca="false">IF((E66="t"),G66," ")</f>
        <v> </v>
      </c>
      <c r="R66" s="334" t="str">
        <f aca="false">IF((E66="a"),G66," ")</f>
        <v> </v>
      </c>
      <c r="S66" s="334" t="str">
        <f aca="false">IF((E66="l"),G66," ")</f>
        <v> </v>
      </c>
      <c r="T66" s="334" t="str">
        <f aca="false">IF((E66="b"),G66," ")</f>
        <v> </v>
      </c>
      <c r="U66" s="334" t="str">
        <f aca="false">IF((E66="i"),G66," ")</f>
        <v> </v>
      </c>
      <c r="V66" s="334" t="str">
        <f aca="false">IF((E66="o"),G66," ")</f>
        <v> </v>
      </c>
      <c r="W66" s="334" t="str">
        <f aca="false">IF((E66="f"),G66," ")</f>
        <v> </v>
      </c>
    </row>
    <row r="67" customFormat="false" ht="12.75" hidden="false" customHeight="false" outlineLevel="0" collapsed="false">
      <c r="A67" s="355"/>
      <c r="H67" s="338" t="str">
        <f aca="false">IF((G67&lt;&gt;0),IF((D67&gt;0)," ",G67)," ")</f>
        <v> </v>
      </c>
      <c r="I67" s="367" t="str">
        <f aca="false">IF((G67&lt;&gt;0),IF((D67&gt;0)," ",(I$1-A67))," ")</f>
        <v> </v>
      </c>
      <c r="J67" s="334" t="str">
        <f aca="false">IF((E67="s"),G67," ")</f>
        <v> </v>
      </c>
      <c r="K67" s="334" t="str">
        <f aca="false">IF((E67="d"),G67," ")</f>
        <v> </v>
      </c>
      <c r="L67" s="334" t="str">
        <f aca="false">IF((E67="e"),G67," ")</f>
        <v> </v>
      </c>
      <c r="M67" s="334" t="str">
        <f aca="false">IF((E67="p"),G67," ")</f>
        <v> </v>
      </c>
      <c r="N67" s="334" t="str">
        <f aca="false">IF((E67="r"),G67," ")</f>
        <v> </v>
      </c>
      <c r="O67" s="334" t="str">
        <f aca="false">IF((E67="g"),G67," ")</f>
        <v> </v>
      </c>
      <c r="P67" s="334" t="str">
        <f aca="false">IF((E67="m"),G67," ")</f>
        <v> </v>
      </c>
      <c r="Q67" s="334" t="str">
        <f aca="false">IF((E67="t"),G67," ")</f>
        <v> </v>
      </c>
      <c r="R67" s="334" t="str">
        <f aca="false">IF((E67="a"),G67," ")</f>
        <v> </v>
      </c>
      <c r="S67" s="334" t="str">
        <f aca="false">IF((E67="l"),G67," ")</f>
        <v> </v>
      </c>
      <c r="T67" s="334" t="str">
        <f aca="false">IF((E67="b"),G67," ")</f>
        <v> </v>
      </c>
      <c r="U67" s="334" t="str">
        <f aca="false">IF((E67="i"),G67," ")</f>
        <v> </v>
      </c>
      <c r="V67" s="334" t="str">
        <f aca="false">IF((E67="o"),G67," ")</f>
        <v> </v>
      </c>
      <c r="W67" s="334" t="str">
        <f aca="false">IF((E67="f"),G67," ")</f>
        <v> </v>
      </c>
    </row>
    <row r="68" customFormat="false" ht="12.75" hidden="false" customHeight="false" outlineLevel="0" collapsed="false">
      <c r="A68" s="355"/>
      <c r="H68" s="338" t="str">
        <f aca="false">IF((G68&lt;&gt;0),IF((D68&gt;0)," ",G68)," ")</f>
        <v> </v>
      </c>
      <c r="I68" s="367" t="str">
        <f aca="false">IF((G68&lt;&gt;0),IF((D68&gt;0)," ",(I$1-A68))," ")</f>
        <v> </v>
      </c>
      <c r="J68" s="334" t="str">
        <f aca="false">IF((E68="s"),G68," ")</f>
        <v> </v>
      </c>
      <c r="K68" s="334" t="str">
        <f aca="false">IF((E68="d"),G68," ")</f>
        <v> </v>
      </c>
      <c r="L68" s="334" t="str">
        <f aca="false">IF((E68="e"),G68," ")</f>
        <v> </v>
      </c>
      <c r="M68" s="334" t="str">
        <f aca="false">IF((E68="p"),G68," ")</f>
        <v> </v>
      </c>
      <c r="N68" s="334" t="str">
        <f aca="false">IF((E68="r"),G68," ")</f>
        <v> </v>
      </c>
      <c r="O68" s="334" t="str">
        <f aca="false">IF((E68="g"),G68," ")</f>
        <v> </v>
      </c>
      <c r="P68" s="334" t="str">
        <f aca="false">IF((E68="m"),G68," ")</f>
        <v> </v>
      </c>
      <c r="Q68" s="334" t="str">
        <f aca="false">IF((E68="t"),G68," ")</f>
        <v> </v>
      </c>
      <c r="R68" s="334" t="str">
        <f aca="false">IF((E68="a"),G68," ")</f>
        <v> </v>
      </c>
      <c r="S68" s="334" t="str">
        <f aca="false">IF((E68="l"),G68," ")</f>
        <v> </v>
      </c>
      <c r="T68" s="334" t="str">
        <f aca="false">IF((E68="b"),G68," ")</f>
        <v> </v>
      </c>
      <c r="U68" s="334" t="str">
        <f aca="false">IF((E68="i"),G68," ")</f>
        <v> </v>
      </c>
      <c r="V68" s="334" t="str">
        <f aca="false">IF((E68="o"),G68," ")</f>
        <v> </v>
      </c>
      <c r="W68" s="334" t="str">
        <f aca="false">IF((E68="f"),G68," ")</f>
        <v> </v>
      </c>
    </row>
    <row r="69" customFormat="false" ht="12.75" hidden="false" customHeight="false" outlineLevel="0" collapsed="false">
      <c r="A69" s="355"/>
      <c r="E69" s="365" t="str">
        <f aca="false">IF((G69&lt;&gt;0),"Enter Letter"," ")</f>
        <v> </v>
      </c>
      <c r="H69" s="338" t="str">
        <f aca="false">IF((G69&lt;&gt;0),IF((D69&gt;0)," ",G69)," ")</f>
        <v> </v>
      </c>
      <c r="I69" s="367" t="str">
        <f aca="false">IF((G69&lt;&gt;0),IF((D69&gt;0)," ",(I$1-A69))," ")</f>
        <v> </v>
      </c>
      <c r="J69" s="334" t="str">
        <f aca="false">IF((E69="s"),G69," ")</f>
        <v> </v>
      </c>
      <c r="K69" s="334" t="str">
        <f aca="false">IF((E69="d"),G69," ")</f>
        <v> </v>
      </c>
      <c r="L69" s="334" t="str">
        <f aca="false">IF((E69="e"),G69," ")</f>
        <v> </v>
      </c>
      <c r="M69" s="334" t="str">
        <f aca="false">IF((E69="p"),G69," ")</f>
        <v> </v>
      </c>
      <c r="N69" s="334" t="str">
        <f aca="false">IF((E69="r"),G69," ")</f>
        <v> </v>
      </c>
      <c r="O69" s="334" t="str">
        <f aca="false">IF((E69="g"),G69," ")</f>
        <v> </v>
      </c>
      <c r="P69" s="334" t="str">
        <f aca="false">IF((E69="m"),G69," ")</f>
        <v> </v>
      </c>
      <c r="Q69" s="334" t="str">
        <f aca="false">IF((E69="t"),G69," ")</f>
        <v> </v>
      </c>
      <c r="R69" s="334" t="str">
        <f aca="false">IF((E69="a"),G69," ")</f>
        <v> </v>
      </c>
      <c r="S69" s="334" t="str">
        <f aca="false">IF((E69="l"),G69," ")</f>
        <v> </v>
      </c>
      <c r="T69" s="334" t="str">
        <f aca="false">IF((E69="b"),G69," ")</f>
        <v> </v>
      </c>
      <c r="U69" s="334" t="str">
        <f aca="false">IF((E69="i"),G69," ")</f>
        <v> </v>
      </c>
      <c r="V69" s="334" t="str">
        <f aca="false">IF((E69="o"),G69," ")</f>
        <v> </v>
      </c>
      <c r="W69" s="334" t="str">
        <f aca="false">IF((E69="f"),G69," ")</f>
        <v> </v>
      </c>
    </row>
    <row r="70" customFormat="false" ht="12.75" hidden="false" customHeight="false" outlineLevel="0" collapsed="false">
      <c r="A70" s="355"/>
      <c r="E70" s="365" t="str">
        <f aca="false">IF((G70&lt;&gt;0),"Enter Letter"," ")</f>
        <v> </v>
      </c>
      <c r="H70" s="338" t="str">
        <f aca="false">IF((G70&lt;&gt;0),IF((D70&gt;0)," ",G70)," ")</f>
        <v> </v>
      </c>
      <c r="I70" s="367" t="str">
        <f aca="false">IF((G70&lt;&gt;0),IF((D70&gt;0)," ",(I$1-A70))," ")</f>
        <v> </v>
      </c>
      <c r="J70" s="334" t="str">
        <f aca="false">IF((E70="s"),G70," ")</f>
        <v> </v>
      </c>
      <c r="K70" s="334" t="str">
        <f aca="false">IF((E70="d"),G70," ")</f>
        <v> </v>
      </c>
      <c r="L70" s="334" t="str">
        <f aca="false">IF((E70="e"),G70," ")</f>
        <v> </v>
      </c>
      <c r="M70" s="334" t="str">
        <f aca="false">IF((E70="p"),G70," ")</f>
        <v> </v>
      </c>
      <c r="N70" s="334" t="str">
        <f aca="false">IF((E70="r"),G70," ")</f>
        <v> </v>
      </c>
      <c r="O70" s="334" t="str">
        <f aca="false">IF((E70="g"),G70," ")</f>
        <v> </v>
      </c>
      <c r="P70" s="334" t="str">
        <f aca="false">IF((E70="m"),G70," ")</f>
        <v> </v>
      </c>
      <c r="Q70" s="334" t="str">
        <f aca="false">IF((E70="t"),G70," ")</f>
        <v> </v>
      </c>
      <c r="R70" s="334" t="str">
        <f aca="false">IF((E70="a"),G70," ")</f>
        <v> </v>
      </c>
      <c r="S70" s="334" t="str">
        <f aca="false">IF((E70="l"),G70," ")</f>
        <v> </v>
      </c>
      <c r="T70" s="334" t="str">
        <f aca="false">IF((E70="b"),G70," ")</f>
        <v> </v>
      </c>
      <c r="U70" s="334" t="str">
        <f aca="false">IF((E70="i"),G70," ")</f>
        <v> </v>
      </c>
      <c r="V70" s="334" t="str">
        <f aca="false">IF((E70="o"),G70," ")</f>
        <v> </v>
      </c>
      <c r="W70" s="334" t="str">
        <f aca="false">IF((E70="f"),G70," ")</f>
        <v> </v>
      </c>
    </row>
    <row r="71" customFormat="false" ht="12.75" hidden="false" customHeight="false" outlineLevel="0" collapsed="false">
      <c r="A71" s="355"/>
      <c r="E71" s="365" t="str">
        <f aca="false">IF((G71&lt;&gt;0),"Enter Letter"," ")</f>
        <v> </v>
      </c>
      <c r="H71" s="338" t="str">
        <f aca="false">IF((G71&lt;&gt;0),IF((D71&gt;0)," ",G71)," ")</f>
        <v> </v>
      </c>
      <c r="I71" s="367" t="str">
        <f aca="false">IF((G71&lt;&gt;0),IF((D71&gt;0)," ",(I$1-A71))," ")</f>
        <v> </v>
      </c>
      <c r="J71" s="334" t="str">
        <f aca="false">IF((E71="s"),G71," ")</f>
        <v> </v>
      </c>
      <c r="K71" s="334" t="str">
        <f aca="false">IF((E71="d"),G71," ")</f>
        <v> </v>
      </c>
      <c r="L71" s="334" t="str">
        <f aca="false">IF((E71="e"),G71," ")</f>
        <v> </v>
      </c>
      <c r="M71" s="334" t="str">
        <f aca="false">IF((E71="p"),G71," ")</f>
        <v> </v>
      </c>
      <c r="N71" s="334" t="str">
        <f aca="false">IF((E71="r"),G71," ")</f>
        <v> </v>
      </c>
      <c r="O71" s="334" t="str">
        <f aca="false">IF((E71="g"),G71," ")</f>
        <v> </v>
      </c>
      <c r="P71" s="334" t="str">
        <f aca="false">IF((E71="m"),G71," ")</f>
        <v> </v>
      </c>
      <c r="Q71" s="334" t="str">
        <f aca="false">IF((E71="t"),G71," ")</f>
        <v> </v>
      </c>
      <c r="R71" s="334" t="str">
        <f aca="false">IF((E71="a"),G71," ")</f>
        <v> </v>
      </c>
      <c r="S71" s="334" t="str">
        <f aca="false">IF((E71="l"),G71," ")</f>
        <v> </v>
      </c>
      <c r="T71" s="334" t="str">
        <f aca="false">IF((E71="b"),G71," ")</f>
        <v> </v>
      </c>
      <c r="U71" s="334" t="str">
        <f aca="false">IF((E71="i"),G71," ")</f>
        <v> </v>
      </c>
      <c r="V71" s="334" t="str">
        <f aca="false">IF((E71="o"),G71," ")</f>
        <v> </v>
      </c>
      <c r="W71" s="334" t="str">
        <f aca="false">IF((E71="f"),G71," ")</f>
        <v> </v>
      </c>
    </row>
    <row r="72" customFormat="false" ht="12.75" hidden="false" customHeight="false" outlineLevel="0" collapsed="false">
      <c r="A72" s="355"/>
      <c r="E72" s="365" t="str">
        <f aca="false">IF((G72&lt;&gt;0),"Enter Letter"," ")</f>
        <v> </v>
      </c>
      <c r="H72" s="338" t="str">
        <f aca="false">IF((G72&lt;&gt;0),IF((D72&gt;0)," ",G72)," ")</f>
        <v> </v>
      </c>
      <c r="I72" s="367" t="str">
        <f aca="false">IF((G72&lt;&gt;0),IF((D72&gt;0)," ",(I$1-A72))," ")</f>
        <v> </v>
      </c>
      <c r="J72" s="334" t="str">
        <f aca="false">IF((E72="s"),G72," ")</f>
        <v> </v>
      </c>
      <c r="K72" s="334" t="str">
        <f aca="false">IF((E72="d"),G72," ")</f>
        <v> </v>
      </c>
      <c r="L72" s="334" t="str">
        <f aca="false">IF((E72="e"),G72," ")</f>
        <v> </v>
      </c>
      <c r="M72" s="334" t="str">
        <f aca="false">IF((E72="p"),G72," ")</f>
        <v> </v>
      </c>
      <c r="N72" s="334" t="str">
        <f aca="false">IF((E72="r"),G72," ")</f>
        <v> </v>
      </c>
      <c r="O72" s="334" t="str">
        <f aca="false">IF((E72="g"),G72," ")</f>
        <v> </v>
      </c>
      <c r="P72" s="334" t="str">
        <f aca="false">IF((E72="m"),G72," ")</f>
        <v> </v>
      </c>
      <c r="Q72" s="334" t="str">
        <f aca="false">IF((E72="t"),G72," ")</f>
        <v> </v>
      </c>
      <c r="R72" s="334" t="str">
        <f aca="false">IF((E72="a"),G72," ")</f>
        <v> </v>
      </c>
      <c r="S72" s="334" t="str">
        <f aca="false">IF((E72="l"),G72," ")</f>
        <v> </v>
      </c>
      <c r="T72" s="334" t="str">
        <f aca="false">IF((E72="b"),G72," ")</f>
        <v> </v>
      </c>
      <c r="U72" s="334" t="str">
        <f aca="false">IF((E72="i"),G72," ")</f>
        <v> </v>
      </c>
      <c r="V72" s="334" t="str">
        <f aca="false">IF((E72="o"),G72," ")</f>
        <v> </v>
      </c>
      <c r="W72" s="334" t="str">
        <f aca="false">IF((E72="f"),G72," ")</f>
        <v> </v>
      </c>
    </row>
    <row r="73" customFormat="false" ht="12.75" hidden="false" customHeight="false" outlineLevel="0" collapsed="false">
      <c r="A73" s="355"/>
      <c r="E73" s="365" t="str">
        <f aca="false">IF((G73&lt;&gt;0),"Enter Letter"," ")</f>
        <v> </v>
      </c>
      <c r="H73" s="338" t="str">
        <f aca="false">IF((G73&lt;&gt;0),IF((D73&gt;0)," ",G73)," ")</f>
        <v> </v>
      </c>
      <c r="I73" s="367" t="str">
        <f aca="false">IF((G73&lt;&gt;0),IF((D73&gt;0)," ",(I$1-A73))," ")</f>
        <v> </v>
      </c>
      <c r="J73" s="334" t="str">
        <f aca="false">IF((E73="s"),G73," ")</f>
        <v> </v>
      </c>
      <c r="K73" s="334" t="str">
        <f aca="false">IF((E73="d"),G73," ")</f>
        <v> </v>
      </c>
      <c r="L73" s="334" t="str">
        <f aca="false">IF((E73="e"),G73," ")</f>
        <v> </v>
      </c>
      <c r="M73" s="334" t="str">
        <f aca="false">IF((E73="p"),G73," ")</f>
        <v> </v>
      </c>
      <c r="N73" s="334" t="str">
        <f aca="false">IF((E73="r"),G73," ")</f>
        <v> </v>
      </c>
      <c r="O73" s="334" t="str">
        <f aca="false">IF((E73="g"),G73," ")</f>
        <v> </v>
      </c>
      <c r="P73" s="334" t="str">
        <f aca="false">IF((E73="m"),G73," ")</f>
        <v> </v>
      </c>
      <c r="Q73" s="334" t="str">
        <f aca="false">IF((E73="t"),G73," ")</f>
        <v> </v>
      </c>
      <c r="R73" s="334" t="str">
        <f aca="false">IF((E73="a"),G73," ")</f>
        <v> </v>
      </c>
      <c r="S73" s="334" t="str">
        <f aca="false">IF((E73="l"),G73," ")</f>
        <v> </v>
      </c>
      <c r="T73" s="334" t="str">
        <f aca="false">IF((E73="b"),G73," ")</f>
        <v> </v>
      </c>
      <c r="U73" s="334" t="str">
        <f aca="false">IF((E73="i"),G73," ")</f>
        <v> </v>
      </c>
      <c r="V73" s="334" t="str">
        <f aca="false">IF((E73="o"),G73," ")</f>
        <v> </v>
      </c>
      <c r="W73" s="334" t="str">
        <f aca="false">IF((E73="f"),G73," ")</f>
        <v> </v>
      </c>
    </row>
    <row r="74" customFormat="false" ht="12.75" hidden="false" customHeight="false" outlineLevel="0" collapsed="false">
      <c r="A74" s="355"/>
      <c r="E74" s="365" t="str">
        <f aca="false">IF((G74&lt;&gt;0),"Enter Letter"," ")</f>
        <v> </v>
      </c>
      <c r="H74" s="338" t="str">
        <f aca="false">IF((G74&lt;&gt;0),IF((D74&gt;0)," ",G74)," ")</f>
        <v> </v>
      </c>
      <c r="I74" s="367" t="str">
        <f aca="false">IF((G74&lt;&gt;0),IF((D74&gt;0)," ",(I$1-A74))," ")</f>
        <v> </v>
      </c>
      <c r="J74" s="334" t="str">
        <f aca="false">IF((E74="s"),G74," ")</f>
        <v> </v>
      </c>
      <c r="K74" s="334" t="str">
        <f aca="false">IF((E74="d"),G74," ")</f>
        <v> </v>
      </c>
      <c r="L74" s="334" t="str">
        <f aca="false">IF((E74="e"),G74," ")</f>
        <v> </v>
      </c>
      <c r="M74" s="334" t="str">
        <f aca="false">IF((E74="p"),G74," ")</f>
        <v> </v>
      </c>
      <c r="N74" s="334" t="str">
        <f aca="false">IF((E74="r"),G74," ")</f>
        <v> </v>
      </c>
      <c r="O74" s="334" t="str">
        <f aca="false">IF((E74="g"),G74," ")</f>
        <v> </v>
      </c>
      <c r="P74" s="334" t="str">
        <f aca="false">IF((E74="m"),G74," ")</f>
        <v> </v>
      </c>
      <c r="Q74" s="334" t="str">
        <f aca="false">IF((E74="t"),G74," ")</f>
        <v> </v>
      </c>
      <c r="R74" s="334" t="str">
        <f aca="false">IF((E74="a"),G74," ")</f>
        <v> </v>
      </c>
      <c r="S74" s="334" t="str">
        <f aca="false">IF((E74="l"),G74," ")</f>
        <v> </v>
      </c>
      <c r="T74" s="334" t="str">
        <f aca="false">IF((E74="b"),G74," ")</f>
        <v> </v>
      </c>
      <c r="U74" s="334" t="str">
        <f aca="false">IF((E74="i"),G74," ")</f>
        <v> </v>
      </c>
      <c r="V74" s="334" t="str">
        <f aca="false">IF((E74="o"),G74," ")</f>
        <v> </v>
      </c>
      <c r="W74" s="334" t="str">
        <f aca="false">IF((E74="f"),G74," ")</f>
        <v> </v>
      </c>
    </row>
    <row r="75" customFormat="false" ht="12.75" hidden="false" customHeight="false" outlineLevel="0" collapsed="false">
      <c r="A75" s="355"/>
      <c r="E75" s="365" t="str">
        <f aca="false">IF((G75&lt;&gt;0),"Enter Letter"," ")</f>
        <v> </v>
      </c>
      <c r="H75" s="338" t="str">
        <f aca="false">IF((G75&lt;&gt;0),IF((D75&gt;0)," ",G75)," ")</f>
        <v> </v>
      </c>
      <c r="I75" s="367" t="str">
        <f aca="false">IF((G75&lt;&gt;0),IF((D75&gt;0)," ",(I$1-A75))," ")</f>
        <v> </v>
      </c>
      <c r="J75" s="334" t="str">
        <f aca="false">IF((E75="s"),G75," ")</f>
        <v> </v>
      </c>
      <c r="K75" s="334" t="str">
        <f aca="false">IF((E75="d"),G75," ")</f>
        <v> </v>
      </c>
      <c r="L75" s="334" t="str">
        <f aca="false">IF((E75="e"),G75," ")</f>
        <v> </v>
      </c>
      <c r="M75" s="334" t="str">
        <f aca="false">IF((E75="p"),G75," ")</f>
        <v> </v>
      </c>
      <c r="N75" s="334" t="str">
        <f aca="false">IF((E75="r"),G75," ")</f>
        <v> </v>
      </c>
      <c r="O75" s="334" t="str">
        <f aca="false">IF((E75="g"),G75," ")</f>
        <v> </v>
      </c>
      <c r="P75" s="334" t="str">
        <f aca="false">IF((E75="m"),G75," ")</f>
        <v> </v>
      </c>
      <c r="Q75" s="334" t="str">
        <f aca="false">IF((E75="t"),G75," ")</f>
        <v> </v>
      </c>
      <c r="R75" s="334" t="str">
        <f aca="false">IF((E75="a"),G75," ")</f>
        <v> </v>
      </c>
      <c r="S75" s="334" t="str">
        <f aca="false">IF((E75="l"),G75," ")</f>
        <v> </v>
      </c>
      <c r="T75" s="334" t="str">
        <f aca="false">IF((E75="b"),G75," ")</f>
        <v> </v>
      </c>
      <c r="U75" s="334" t="str">
        <f aca="false">IF((E75="i"),G75," ")</f>
        <v> </v>
      </c>
      <c r="V75" s="334" t="str">
        <f aca="false">IF((E75="o"),G75," ")</f>
        <v> </v>
      </c>
      <c r="W75" s="334" t="str">
        <f aca="false">IF((E75="f"),G75," ")</f>
        <v> </v>
      </c>
    </row>
    <row r="76" customFormat="false" ht="12.75" hidden="false" customHeight="false" outlineLevel="0" collapsed="false">
      <c r="A76" s="355"/>
      <c r="E76" s="365" t="str">
        <f aca="false">IF((G76&lt;&gt;0),"Enter Letter"," ")</f>
        <v> </v>
      </c>
      <c r="H76" s="338" t="str">
        <f aca="false">IF((G76&lt;&gt;0),IF((D76&gt;0)," ",G76)," ")</f>
        <v> </v>
      </c>
      <c r="I76" s="367" t="str">
        <f aca="false">IF((G76&lt;&gt;0),IF((D76&gt;0)," ",(I$1-A76))," ")</f>
        <v> </v>
      </c>
      <c r="J76" s="334" t="str">
        <f aca="false">IF((E76="s"),G76," ")</f>
        <v> </v>
      </c>
      <c r="K76" s="334" t="str">
        <f aca="false">IF((E76="d"),G76," ")</f>
        <v> </v>
      </c>
      <c r="L76" s="334" t="str">
        <f aca="false">IF((E76="e"),G76," ")</f>
        <v> </v>
      </c>
      <c r="M76" s="334" t="str">
        <f aca="false">IF((E76="p"),G76," ")</f>
        <v> </v>
      </c>
      <c r="N76" s="334" t="str">
        <f aca="false">IF((E76="r"),G76," ")</f>
        <v> </v>
      </c>
      <c r="O76" s="334" t="str">
        <f aca="false">IF((E76="g"),G76," ")</f>
        <v> </v>
      </c>
      <c r="P76" s="334" t="str">
        <f aca="false">IF((E76="m"),G76," ")</f>
        <v> </v>
      </c>
      <c r="Q76" s="334" t="str">
        <f aca="false">IF((E76="t"),G76," ")</f>
        <v> </v>
      </c>
      <c r="R76" s="334" t="str">
        <f aca="false">IF((E76="a"),G76," ")</f>
        <v> </v>
      </c>
      <c r="S76" s="334" t="str">
        <f aca="false">IF((E76="l"),G76," ")</f>
        <v> </v>
      </c>
      <c r="T76" s="334" t="str">
        <f aca="false">IF((E76="b"),G76," ")</f>
        <v> </v>
      </c>
      <c r="U76" s="334" t="str">
        <f aca="false">IF((E76="i"),G76," ")</f>
        <v> </v>
      </c>
      <c r="V76" s="334" t="str">
        <f aca="false">IF((E76="o"),G76," ")</f>
        <v> </v>
      </c>
      <c r="W76" s="334" t="str">
        <f aca="false">IF((E76="f"),G76," ")</f>
        <v> </v>
      </c>
    </row>
    <row r="77" customFormat="false" ht="12.75" hidden="false" customHeight="false" outlineLevel="0" collapsed="false">
      <c r="A77" s="355"/>
      <c r="E77" s="365" t="str">
        <f aca="false">IF((G77&lt;&gt;0),"Enter Letter"," ")</f>
        <v> </v>
      </c>
      <c r="H77" s="338" t="str">
        <f aca="false">IF((G77&lt;&gt;0),IF((D77&gt;0)," ",G77)," ")</f>
        <v> </v>
      </c>
      <c r="I77" s="367" t="str">
        <f aca="false">IF((G77&lt;&gt;0),IF((D77&gt;0)," ",(I$1-A77))," ")</f>
        <v> </v>
      </c>
      <c r="J77" s="334" t="str">
        <f aca="false">IF((E77="s"),G77," ")</f>
        <v> </v>
      </c>
      <c r="K77" s="334" t="str">
        <f aca="false">IF((E77="d"),G77," ")</f>
        <v> </v>
      </c>
      <c r="L77" s="334" t="str">
        <f aca="false">IF((E77="e"),G77," ")</f>
        <v> </v>
      </c>
      <c r="M77" s="334" t="str">
        <f aca="false">IF((E77="p"),G77," ")</f>
        <v> </v>
      </c>
      <c r="N77" s="334" t="str">
        <f aca="false">IF((E77="r"),G77," ")</f>
        <v> </v>
      </c>
      <c r="O77" s="334" t="str">
        <f aca="false">IF((E77="g"),G77," ")</f>
        <v> </v>
      </c>
      <c r="P77" s="334" t="str">
        <f aca="false">IF((E77="m"),G77," ")</f>
        <v> </v>
      </c>
      <c r="Q77" s="334" t="str">
        <f aca="false">IF((E77="t"),G77," ")</f>
        <v> </v>
      </c>
      <c r="R77" s="334" t="str">
        <f aca="false">IF((E77="a"),G77," ")</f>
        <v> </v>
      </c>
      <c r="S77" s="334" t="str">
        <f aca="false">IF((E77="l"),G77," ")</f>
        <v> </v>
      </c>
      <c r="T77" s="334" t="str">
        <f aca="false">IF((E77="b"),G77," ")</f>
        <v> </v>
      </c>
      <c r="U77" s="334" t="str">
        <f aca="false">IF((E77="i"),G77," ")</f>
        <v> </v>
      </c>
      <c r="V77" s="334" t="str">
        <f aca="false">IF((E77="o"),G77," ")</f>
        <v> </v>
      </c>
      <c r="W77" s="334" t="str">
        <f aca="false">IF((E77="f"),G77," ")</f>
        <v> </v>
      </c>
    </row>
    <row r="78" customFormat="false" ht="12.75" hidden="false" customHeight="false" outlineLevel="0" collapsed="false">
      <c r="A78" s="355"/>
      <c r="E78" s="365" t="str">
        <f aca="false">IF((G78&lt;&gt;0),"Enter Letter"," ")</f>
        <v> </v>
      </c>
      <c r="H78" s="338" t="str">
        <f aca="false">IF((G78&lt;&gt;0),IF((D78&gt;0)," ",G78)," ")</f>
        <v> </v>
      </c>
      <c r="I78" s="367" t="str">
        <f aca="false">IF((G78&lt;&gt;0),IF((D78&gt;0)," ",(I$1-A78))," ")</f>
        <v> </v>
      </c>
      <c r="J78" s="334" t="str">
        <f aca="false">IF((E78="s"),G78," ")</f>
        <v> </v>
      </c>
      <c r="K78" s="334" t="str">
        <f aca="false">IF((E78="d"),G78," ")</f>
        <v> </v>
      </c>
      <c r="L78" s="334" t="str">
        <f aca="false">IF((E78="e"),G78," ")</f>
        <v> </v>
      </c>
      <c r="M78" s="334" t="str">
        <f aca="false">IF((E78="p"),G78," ")</f>
        <v> </v>
      </c>
      <c r="N78" s="334" t="str">
        <f aca="false">IF((E78="r"),G78," ")</f>
        <v> </v>
      </c>
      <c r="O78" s="334" t="str">
        <f aca="false">IF((E78="g"),G78," ")</f>
        <v> </v>
      </c>
      <c r="P78" s="334" t="str">
        <f aca="false">IF((E78="m"),G78," ")</f>
        <v> </v>
      </c>
      <c r="Q78" s="334" t="str">
        <f aca="false">IF((E78="t"),G78," ")</f>
        <v> </v>
      </c>
      <c r="R78" s="334" t="str">
        <f aca="false">IF((E78="a"),G78," ")</f>
        <v> </v>
      </c>
      <c r="S78" s="334" t="str">
        <f aca="false">IF((E78="l"),G78," ")</f>
        <v> </v>
      </c>
      <c r="T78" s="334" t="str">
        <f aca="false">IF((E78="b"),G78," ")</f>
        <v> </v>
      </c>
      <c r="U78" s="334" t="str">
        <f aca="false">IF((E78="i"),G78," ")</f>
        <v> </v>
      </c>
      <c r="V78" s="334" t="str">
        <f aca="false">IF((E78="o"),G78," ")</f>
        <v> </v>
      </c>
      <c r="W78" s="334" t="str">
        <f aca="false">IF((E78="f"),G78," ")</f>
        <v> </v>
      </c>
    </row>
    <row r="79" customFormat="false" ht="12.75" hidden="false" customHeight="false" outlineLevel="0" collapsed="false">
      <c r="A79" s="355"/>
      <c r="E79" s="365" t="str">
        <f aca="false">IF((G79&lt;&gt;0),"Enter Letter"," ")</f>
        <v> </v>
      </c>
      <c r="H79" s="338" t="str">
        <f aca="false">IF((G79&lt;&gt;0),IF((D79&gt;0)," ",G79)," ")</f>
        <v> </v>
      </c>
      <c r="I79" s="367" t="str">
        <f aca="false">IF((G79&lt;&gt;0),IF((D79&gt;0)," ",(I$1-A79))," ")</f>
        <v> </v>
      </c>
      <c r="J79" s="334" t="str">
        <f aca="false">IF((E79="s"),G79," ")</f>
        <v> </v>
      </c>
      <c r="K79" s="334" t="str">
        <f aca="false">IF((E79="d"),G79," ")</f>
        <v> </v>
      </c>
      <c r="L79" s="334" t="str">
        <f aca="false">IF((E79="e"),G79," ")</f>
        <v> </v>
      </c>
      <c r="M79" s="334" t="str">
        <f aca="false">IF((E79="p"),G79," ")</f>
        <v> </v>
      </c>
      <c r="N79" s="334" t="str">
        <f aca="false">IF((E79="r"),G79," ")</f>
        <v> </v>
      </c>
      <c r="O79" s="334" t="str">
        <f aca="false">IF((E79="g"),G79," ")</f>
        <v> </v>
      </c>
      <c r="P79" s="334" t="str">
        <f aca="false">IF((E79="m"),G79," ")</f>
        <v> </v>
      </c>
      <c r="Q79" s="334" t="str">
        <f aca="false">IF((E79="t"),G79," ")</f>
        <v> </v>
      </c>
      <c r="R79" s="334" t="str">
        <f aca="false">IF((E79="a"),G79," ")</f>
        <v> </v>
      </c>
      <c r="S79" s="334" t="str">
        <f aca="false">IF((E79="l"),G79," ")</f>
        <v> </v>
      </c>
      <c r="T79" s="334" t="str">
        <f aca="false">IF((E79="b"),G79," ")</f>
        <v> </v>
      </c>
      <c r="U79" s="334" t="str">
        <f aca="false">IF((E79="i"),G79," ")</f>
        <v> </v>
      </c>
      <c r="V79" s="334" t="str">
        <f aca="false">IF((E79="o"),G79," ")</f>
        <v> </v>
      </c>
      <c r="W79" s="334" t="str">
        <f aca="false">IF((E79="f"),G79," ")</f>
        <v> </v>
      </c>
    </row>
    <row r="80" customFormat="false" ht="12.75" hidden="false" customHeight="false" outlineLevel="0" collapsed="false">
      <c r="A80" s="355"/>
      <c r="E80" s="365" t="str">
        <f aca="false">IF((G80&lt;&gt;0),"Enter Letter"," ")</f>
        <v> </v>
      </c>
      <c r="H80" s="338" t="str">
        <f aca="false">IF((G80&lt;&gt;0),IF((D80&gt;0)," ",G80)," ")</f>
        <v> </v>
      </c>
      <c r="I80" s="367" t="str">
        <f aca="false">IF((G80&lt;&gt;0),IF((D80&gt;0)," ",(I$1-A80))," ")</f>
        <v> </v>
      </c>
      <c r="J80" s="334" t="str">
        <f aca="false">IF((E80="s"),G80," ")</f>
        <v> </v>
      </c>
      <c r="K80" s="334" t="str">
        <f aca="false">IF((E80="d"),G80," ")</f>
        <v> </v>
      </c>
      <c r="L80" s="334" t="str">
        <f aca="false">IF((E80="e"),G80," ")</f>
        <v> </v>
      </c>
      <c r="M80" s="334" t="str">
        <f aca="false">IF((E80="p"),G80," ")</f>
        <v> </v>
      </c>
      <c r="N80" s="334" t="str">
        <f aca="false">IF((E80="r"),G80," ")</f>
        <v> </v>
      </c>
      <c r="O80" s="334" t="str">
        <f aca="false">IF((E80="g"),G80," ")</f>
        <v> </v>
      </c>
      <c r="P80" s="334" t="str">
        <f aca="false">IF((E80="m"),G80," ")</f>
        <v> </v>
      </c>
      <c r="Q80" s="334" t="str">
        <f aca="false">IF((E80="t"),G80," ")</f>
        <v> </v>
      </c>
      <c r="R80" s="334" t="str">
        <f aca="false">IF((E80="a"),G80," ")</f>
        <v> </v>
      </c>
      <c r="S80" s="334" t="str">
        <f aca="false">IF((E80="l"),G80," ")</f>
        <v> </v>
      </c>
      <c r="T80" s="334" t="str">
        <f aca="false">IF((E80="b"),G80," ")</f>
        <v> </v>
      </c>
      <c r="U80" s="334" t="str">
        <f aca="false">IF((E80="i"),G80," ")</f>
        <v> </v>
      </c>
      <c r="V80" s="334" t="str">
        <f aca="false">IF((E80="o"),G80," ")</f>
        <v> </v>
      </c>
      <c r="W80" s="334" t="str">
        <f aca="false">IF((E80="f"),G80," ")</f>
        <v> </v>
      </c>
    </row>
    <row r="81" customFormat="false" ht="12.75" hidden="false" customHeight="false" outlineLevel="0" collapsed="false">
      <c r="A81" s="355"/>
      <c r="E81" s="365" t="str">
        <f aca="false">IF((G81&lt;&gt;0),"Enter Letter"," ")</f>
        <v> </v>
      </c>
      <c r="H81" s="338" t="str">
        <f aca="false">IF((G81&lt;&gt;0),IF((D81&gt;0)," ",G81)," ")</f>
        <v> </v>
      </c>
      <c r="I81" s="367" t="str">
        <f aca="false">IF((G81&lt;&gt;0),IF((D81&gt;0)," ",(I$1-A81))," ")</f>
        <v> </v>
      </c>
      <c r="J81" s="334" t="str">
        <f aca="false">IF((E81="s"),G81," ")</f>
        <v> </v>
      </c>
      <c r="K81" s="334" t="str">
        <f aca="false">IF((E81="d"),G81," ")</f>
        <v> </v>
      </c>
      <c r="L81" s="334" t="str">
        <f aca="false">IF((E81="e"),G81," ")</f>
        <v> </v>
      </c>
      <c r="M81" s="334" t="str">
        <f aca="false">IF((E81="p"),G81," ")</f>
        <v> </v>
      </c>
      <c r="N81" s="334" t="str">
        <f aca="false">IF((E81="r"),G81," ")</f>
        <v> </v>
      </c>
      <c r="O81" s="334" t="str">
        <f aca="false">IF((E81="g"),G81," ")</f>
        <v> </v>
      </c>
      <c r="P81" s="334" t="str">
        <f aca="false">IF((E81="m"),G81," ")</f>
        <v> </v>
      </c>
      <c r="Q81" s="334" t="str">
        <f aca="false">IF((E81="t"),G81," ")</f>
        <v> </v>
      </c>
      <c r="R81" s="334" t="str">
        <f aca="false">IF((E81="a"),G81," ")</f>
        <v> </v>
      </c>
      <c r="S81" s="334" t="str">
        <f aca="false">IF((E81="l"),G81," ")</f>
        <v> </v>
      </c>
      <c r="T81" s="334" t="str">
        <f aca="false">IF((E81="b"),G81," ")</f>
        <v> </v>
      </c>
      <c r="U81" s="334" t="str">
        <f aca="false">IF((E81="i"),G81," ")</f>
        <v> </v>
      </c>
      <c r="V81" s="334" t="str">
        <f aca="false">IF((E81="o"),G81," ")</f>
        <v> </v>
      </c>
      <c r="W81" s="334" t="str">
        <f aca="false">IF((E81="f"),G81," ")</f>
        <v> </v>
      </c>
    </row>
    <row r="82" customFormat="false" ht="12.75" hidden="false" customHeight="false" outlineLevel="0" collapsed="false">
      <c r="A82" s="355"/>
      <c r="E82" s="365" t="str">
        <f aca="false">IF((G82&lt;&gt;0),"Enter Letter"," ")</f>
        <v> </v>
      </c>
      <c r="H82" s="338" t="str">
        <f aca="false">IF((G82&lt;&gt;0),IF((D82&gt;0)," ",G82)," ")</f>
        <v> </v>
      </c>
      <c r="I82" s="367" t="str">
        <f aca="false">IF((G82&lt;&gt;0),IF((D82&gt;0)," ",(I$1-A82))," ")</f>
        <v> </v>
      </c>
      <c r="J82" s="334" t="str">
        <f aca="false">IF((E82="s"),G82," ")</f>
        <v> </v>
      </c>
      <c r="K82" s="334" t="str">
        <f aca="false">IF((E82="d"),G82," ")</f>
        <v> </v>
      </c>
      <c r="L82" s="334" t="str">
        <f aca="false">IF((E82="e"),G82," ")</f>
        <v> </v>
      </c>
      <c r="M82" s="334" t="str">
        <f aca="false">IF((E82="p"),G82," ")</f>
        <v> </v>
      </c>
      <c r="N82" s="334" t="str">
        <f aca="false">IF((E82="r"),G82," ")</f>
        <v> </v>
      </c>
      <c r="O82" s="334" t="str">
        <f aca="false">IF((E82="g"),G82," ")</f>
        <v> </v>
      </c>
      <c r="P82" s="334" t="str">
        <f aca="false">IF((E82="m"),G82," ")</f>
        <v> </v>
      </c>
      <c r="Q82" s="334" t="str">
        <f aca="false">IF((E82="t"),G82," ")</f>
        <v> </v>
      </c>
      <c r="R82" s="334" t="str">
        <f aca="false">IF((E82="a"),G82," ")</f>
        <v> </v>
      </c>
      <c r="S82" s="334" t="str">
        <f aca="false">IF((E82="l"),G82," ")</f>
        <v> </v>
      </c>
      <c r="T82" s="334" t="str">
        <f aca="false">IF((E82="b"),G82," ")</f>
        <v> </v>
      </c>
      <c r="U82" s="334" t="str">
        <f aca="false">IF((E82="i"),G82," ")</f>
        <v> </v>
      </c>
      <c r="V82" s="334" t="str">
        <f aca="false">IF((E82="o"),G82," ")</f>
        <v> </v>
      </c>
      <c r="W82" s="334" t="str">
        <f aca="false">IF((E82="f"),G82," ")</f>
        <v> </v>
      </c>
    </row>
    <row r="83" customFormat="false" ht="12.75" hidden="false" customHeight="false" outlineLevel="0" collapsed="false">
      <c r="A83" s="355"/>
      <c r="E83" s="365" t="str">
        <f aca="false">IF((G83&lt;&gt;0),"Enter Letter"," ")</f>
        <v> </v>
      </c>
      <c r="H83" s="338" t="str">
        <f aca="false">IF((G83&lt;&gt;0),IF((D83&gt;0)," ",G83)," ")</f>
        <v> </v>
      </c>
      <c r="I83" s="367" t="str">
        <f aca="false">IF((G83&lt;&gt;0),IF((D83&gt;0)," ",(I$1-A83))," ")</f>
        <v> </v>
      </c>
      <c r="J83" s="334" t="str">
        <f aca="false">IF((E83="s"),G83," ")</f>
        <v> </v>
      </c>
      <c r="K83" s="334" t="str">
        <f aca="false">IF((E83="d"),G83," ")</f>
        <v> </v>
      </c>
      <c r="L83" s="334" t="str">
        <f aca="false">IF((E83="e"),G83," ")</f>
        <v> </v>
      </c>
      <c r="M83" s="334" t="str">
        <f aca="false">IF((E83="p"),G83," ")</f>
        <v> </v>
      </c>
      <c r="N83" s="334" t="str">
        <f aca="false">IF((E83="r"),G83," ")</f>
        <v> </v>
      </c>
      <c r="O83" s="334" t="str">
        <f aca="false">IF((E83="g"),G83," ")</f>
        <v> </v>
      </c>
      <c r="P83" s="334" t="str">
        <f aca="false">IF((E83="m"),G83," ")</f>
        <v> </v>
      </c>
      <c r="Q83" s="334" t="str">
        <f aca="false">IF((E83="t"),G83," ")</f>
        <v> </v>
      </c>
      <c r="R83" s="334" t="str">
        <f aca="false">IF((E83="a"),G83," ")</f>
        <v> </v>
      </c>
      <c r="S83" s="334" t="str">
        <f aca="false">IF((E83="l"),G83," ")</f>
        <v> </v>
      </c>
      <c r="T83" s="334" t="str">
        <f aca="false">IF((E83="b"),G83," ")</f>
        <v> </v>
      </c>
      <c r="U83" s="334" t="str">
        <f aca="false">IF((E83="i"),G83," ")</f>
        <v> </v>
      </c>
      <c r="V83" s="334" t="str">
        <f aca="false">IF((E83="o"),G83," ")</f>
        <v> </v>
      </c>
      <c r="W83" s="334" t="str">
        <f aca="false">IF((E83="f"),G83," ")</f>
        <v> </v>
      </c>
    </row>
    <row r="84" customFormat="false" ht="12.75" hidden="false" customHeight="false" outlineLevel="0" collapsed="false">
      <c r="A84" s="355"/>
      <c r="E84" s="365" t="str">
        <f aca="false">IF((G84&lt;&gt;0),"Enter Letter"," ")</f>
        <v> </v>
      </c>
      <c r="H84" s="338" t="str">
        <f aca="false">IF((G84&lt;&gt;0),IF((D84&gt;0)," ",G84)," ")</f>
        <v> </v>
      </c>
      <c r="I84" s="367" t="str">
        <f aca="false">IF((G84&lt;&gt;0),IF((D84&gt;0)," ",(I$1-A84))," ")</f>
        <v> </v>
      </c>
      <c r="J84" s="334" t="str">
        <f aca="false">IF((E84="s"),G84," ")</f>
        <v> </v>
      </c>
      <c r="K84" s="334" t="str">
        <f aca="false">IF((E84="d"),G84," ")</f>
        <v> </v>
      </c>
      <c r="L84" s="334" t="str">
        <f aca="false">IF((E84="e"),G84," ")</f>
        <v> </v>
      </c>
      <c r="M84" s="334" t="str">
        <f aca="false">IF((E84="p"),G84," ")</f>
        <v> </v>
      </c>
      <c r="N84" s="334" t="str">
        <f aca="false">IF((E84="r"),G84," ")</f>
        <v> </v>
      </c>
      <c r="O84" s="334" t="str">
        <f aca="false">IF((E84="g"),G84," ")</f>
        <v> </v>
      </c>
      <c r="P84" s="334" t="str">
        <f aca="false">IF((E84="m"),G84," ")</f>
        <v> </v>
      </c>
      <c r="Q84" s="334" t="str">
        <f aca="false">IF((E84="t"),G84," ")</f>
        <v> </v>
      </c>
      <c r="R84" s="334" t="str">
        <f aca="false">IF((E84="a"),G84," ")</f>
        <v> </v>
      </c>
      <c r="S84" s="334" t="str">
        <f aca="false">IF((E84="l"),G84," ")</f>
        <v> </v>
      </c>
      <c r="T84" s="334" t="str">
        <f aca="false">IF((E84="b"),G84," ")</f>
        <v> </v>
      </c>
      <c r="U84" s="334" t="str">
        <f aca="false">IF((E84="i"),G84," ")</f>
        <v> </v>
      </c>
      <c r="V84" s="334" t="str">
        <f aca="false">IF((E84="o"),G84," ")</f>
        <v> </v>
      </c>
      <c r="W84" s="334" t="str">
        <f aca="false">IF((E84="f"),G84," ")</f>
        <v> </v>
      </c>
    </row>
    <row r="85" customFormat="false" ht="12.75" hidden="false" customHeight="false" outlineLevel="0" collapsed="false">
      <c r="A85" s="355"/>
      <c r="E85" s="365" t="str">
        <f aca="false">IF((G85&lt;&gt;0),"Enter Letter"," ")</f>
        <v> </v>
      </c>
      <c r="H85" s="338" t="str">
        <f aca="false">IF((G85&lt;&gt;0),IF((D85&gt;0)," ",G85)," ")</f>
        <v> </v>
      </c>
      <c r="I85" s="367" t="str">
        <f aca="false">IF((G85&lt;&gt;0),IF((D85&gt;0)," ",(I$1-A85))," ")</f>
        <v> </v>
      </c>
      <c r="J85" s="334" t="str">
        <f aca="false">IF((E85="s"),G85," ")</f>
        <v> </v>
      </c>
      <c r="K85" s="334" t="str">
        <f aca="false">IF((E85="d"),G85," ")</f>
        <v> </v>
      </c>
      <c r="L85" s="334" t="str">
        <f aca="false">IF((E85="e"),G85," ")</f>
        <v> </v>
      </c>
      <c r="M85" s="334" t="str">
        <f aca="false">IF((E85="p"),G85," ")</f>
        <v> </v>
      </c>
      <c r="N85" s="334" t="str">
        <f aca="false">IF((E85="r"),G85," ")</f>
        <v> </v>
      </c>
      <c r="O85" s="334" t="str">
        <f aca="false">IF((E85="g"),G85," ")</f>
        <v> </v>
      </c>
      <c r="P85" s="334" t="str">
        <f aca="false">IF((E85="m"),G85," ")</f>
        <v> </v>
      </c>
      <c r="Q85" s="334" t="str">
        <f aca="false">IF((E85="t"),G85," ")</f>
        <v> </v>
      </c>
      <c r="R85" s="334" t="str">
        <f aca="false">IF((E85="a"),G85," ")</f>
        <v> </v>
      </c>
      <c r="S85" s="334" t="str">
        <f aca="false">IF((E85="l"),G85," ")</f>
        <v> </v>
      </c>
      <c r="T85" s="334" t="str">
        <f aca="false">IF((E85="b"),G85," ")</f>
        <v> </v>
      </c>
      <c r="U85" s="334" t="str">
        <f aca="false">IF((E85="i"),G85," ")</f>
        <v> </v>
      </c>
      <c r="V85" s="334" t="str">
        <f aca="false">IF((E85="o"),G85," ")</f>
        <v> </v>
      </c>
      <c r="W85" s="334" t="str">
        <f aca="false">IF((E85="f"),G85," ")</f>
        <v> </v>
      </c>
    </row>
    <row r="86" customFormat="false" ht="12.75" hidden="false" customHeight="false" outlineLevel="0" collapsed="false">
      <c r="A86" s="355"/>
      <c r="E86" s="365" t="str">
        <f aca="false">IF((G86&lt;&gt;0),"Enter Letter"," ")</f>
        <v> </v>
      </c>
      <c r="H86" s="338" t="str">
        <f aca="false">IF((G86&lt;&gt;0),IF((D86&gt;0)," ",G86)," ")</f>
        <v> </v>
      </c>
      <c r="I86" s="367" t="str">
        <f aca="false">IF((G86&lt;&gt;0),IF((D86&gt;0)," ",(I$1-A86))," ")</f>
        <v> </v>
      </c>
      <c r="J86" s="334" t="str">
        <f aca="false">IF((E86="s"),G86," ")</f>
        <v> </v>
      </c>
      <c r="K86" s="334" t="str">
        <f aca="false">IF((E86="d"),G86," ")</f>
        <v> </v>
      </c>
      <c r="L86" s="334" t="str">
        <f aca="false">IF((E86="e"),G86," ")</f>
        <v> </v>
      </c>
      <c r="M86" s="334" t="str">
        <f aca="false">IF((E86="p"),G86," ")</f>
        <v> </v>
      </c>
      <c r="N86" s="334" t="str">
        <f aca="false">IF((E86="r"),G86," ")</f>
        <v> </v>
      </c>
      <c r="O86" s="334" t="str">
        <f aca="false">IF((E86="g"),G86," ")</f>
        <v> </v>
      </c>
      <c r="P86" s="334" t="str">
        <f aca="false">IF((E86="m"),G86," ")</f>
        <v> </v>
      </c>
      <c r="Q86" s="334" t="str">
        <f aca="false">IF((E86="t"),G86," ")</f>
        <v> </v>
      </c>
      <c r="R86" s="334" t="str">
        <f aca="false">IF((E86="a"),G86," ")</f>
        <v> </v>
      </c>
      <c r="S86" s="334" t="str">
        <f aca="false">IF((E86="l"),G86," ")</f>
        <v> </v>
      </c>
      <c r="T86" s="334" t="str">
        <f aca="false">IF((E86="b"),G86," ")</f>
        <v> </v>
      </c>
      <c r="U86" s="334" t="str">
        <f aca="false">IF((E86="i"),G86," ")</f>
        <v> </v>
      </c>
      <c r="V86" s="334" t="str">
        <f aca="false">IF((E86="o"),G86," ")</f>
        <v> </v>
      </c>
      <c r="W86" s="334" t="str">
        <f aca="false">IF((E86="f"),G86," ")</f>
        <v> </v>
      </c>
    </row>
    <row r="87" customFormat="false" ht="12.75" hidden="false" customHeight="false" outlineLevel="0" collapsed="false">
      <c r="A87" s="355"/>
      <c r="E87" s="365" t="str">
        <f aca="false">IF((G87&lt;&gt;0),"Enter Letter"," ")</f>
        <v> </v>
      </c>
      <c r="H87" s="338" t="str">
        <f aca="false">IF((G87&lt;&gt;0),IF((D87&gt;0)," ",G87)," ")</f>
        <v> </v>
      </c>
      <c r="I87" s="367" t="str">
        <f aca="false">IF((G87&lt;&gt;0),IF((D87&gt;0)," ",(I$1-A87))," ")</f>
        <v> </v>
      </c>
      <c r="J87" s="334" t="str">
        <f aca="false">IF((E87="s"),G87," ")</f>
        <v> </v>
      </c>
      <c r="K87" s="334" t="str">
        <f aca="false">IF((E87="d"),G87," ")</f>
        <v> </v>
      </c>
      <c r="L87" s="334" t="str">
        <f aca="false">IF((E87="e"),G87," ")</f>
        <v> </v>
      </c>
      <c r="M87" s="334" t="str">
        <f aca="false">IF((E87="p"),G87," ")</f>
        <v> </v>
      </c>
      <c r="N87" s="334" t="str">
        <f aca="false">IF((E87="r"),G87," ")</f>
        <v> </v>
      </c>
      <c r="O87" s="334" t="str">
        <f aca="false">IF((E87="g"),G87," ")</f>
        <v> </v>
      </c>
      <c r="P87" s="334" t="str">
        <f aca="false">IF((E87="m"),G87," ")</f>
        <v> </v>
      </c>
      <c r="Q87" s="334" t="str">
        <f aca="false">IF((E87="t"),G87," ")</f>
        <v> </v>
      </c>
      <c r="R87" s="334" t="str">
        <f aca="false">IF((E87="a"),G87," ")</f>
        <v> </v>
      </c>
      <c r="S87" s="334" t="str">
        <f aca="false">IF((E87="l"),G87," ")</f>
        <v> </v>
      </c>
      <c r="T87" s="334" t="str">
        <f aca="false">IF((E87="b"),G87," ")</f>
        <v> </v>
      </c>
      <c r="U87" s="334" t="str">
        <f aca="false">IF((E87="i"),G87," ")</f>
        <v> </v>
      </c>
      <c r="V87" s="334" t="str">
        <f aca="false">IF((E87="o"),G87," ")</f>
        <v> </v>
      </c>
      <c r="W87" s="334" t="str">
        <f aca="false">IF((E87="f"),G87," ")</f>
        <v> </v>
      </c>
    </row>
    <row r="88" customFormat="false" ht="12.75" hidden="false" customHeight="false" outlineLevel="0" collapsed="false">
      <c r="A88" s="355"/>
      <c r="E88" s="365" t="str">
        <f aca="false">IF((G88&lt;&gt;0),"Enter Letter"," ")</f>
        <v> </v>
      </c>
      <c r="H88" s="338" t="str">
        <f aca="false">IF((G88&lt;&gt;0),IF((D88&gt;0)," ",G88)," ")</f>
        <v> </v>
      </c>
      <c r="I88" s="367" t="str">
        <f aca="false">IF((G88&lt;&gt;0),IF((D88&gt;0)," ",(I$1-A88))," ")</f>
        <v> </v>
      </c>
      <c r="J88" s="334" t="str">
        <f aca="false">IF((E88="s"),G88," ")</f>
        <v> </v>
      </c>
      <c r="K88" s="334" t="str">
        <f aca="false">IF((E88="d"),G88," ")</f>
        <v> </v>
      </c>
      <c r="L88" s="334" t="str">
        <f aca="false">IF((E88="e"),G88," ")</f>
        <v> </v>
      </c>
      <c r="M88" s="334" t="str">
        <f aca="false">IF((E88="p"),G88," ")</f>
        <v> </v>
      </c>
      <c r="N88" s="334" t="str">
        <f aca="false">IF((E88="r"),G88," ")</f>
        <v> </v>
      </c>
      <c r="O88" s="334" t="str">
        <f aca="false">IF((E88="g"),G88," ")</f>
        <v> </v>
      </c>
      <c r="P88" s="334" t="str">
        <f aca="false">IF((E88="m"),G88," ")</f>
        <v> </v>
      </c>
      <c r="Q88" s="334" t="str">
        <f aca="false">IF((E88="t"),G88," ")</f>
        <v> </v>
      </c>
      <c r="R88" s="334" t="str">
        <f aca="false">IF((E88="a"),G88," ")</f>
        <v> </v>
      </c>
      <c r="S88" s="334" t="str">
        <f aca="false">IF((E88="l"),G88," ")</f>
        <v> </v>
      </c>
      <c r="T88" s="334" t="str">
        <f aca="false">IF((E88="b"),G88," ")</f>
        <v> </v>
      </c>
      <c r="U88" s="334" t="str">
        <f aca="false">IF((E88="i"),G88," ")</f>
        <v> </v>
      </c>
      <c r="V88" s="334" t="str">
        <f aca="false">IF((E88="o"),G88," ")</f>
        <v> </v>
      </c>
      <c r="W88" s="334" t="str">
        <f aca="false">IF((E88="f"),G88," ")</f>
        <v> </v>
      </c>
    </row>
    <row r="89" customFormat="false" ht="12.75" hidden="false" customHeight="false" outlineLevel="0" collapsed="false">
      <c r="A89" s="355"/>
      <c r="E89" s="365" t="str">
        <f aca="false">IF((G89&lt;&gt;0),"Enter Letter"," ")</f>
        <v> </v>
      </c>
      <c r="H89" s="338" t="str">
        <f aca="false">IF((G89&lt;&gt;0),IF((D89&gt;0)," ",G89)," ")</f>
        <v> </v>
      </c>
      <c r="I89" s="367" t="str">
        <f aca="false">IF((G89&lt;&gt;0),IF((D89&gt;0)," ",(I$1-A89))," ")</f>
        <v> </v>
      </c>
      <c r="J89" s="334" t="str">
        <f aca="false">IF((E89="s"),G89," ")</f>
        <v> </v>
      </c>
      <c r="K89" s="334" t="str">
        <f aca="false">IF((E89="d"),G89," ")</f>
        <v> </v>
      </c>
      <c r="L89" s="334" t="str">
        <f aca="false">IF((E89="e"),G89," ")</f>
        <v> </v>
      </c>
      <c r="M89" s="334" t="str">
        <f aca="false">IF((E89="p"),G89," ")</f>
        <v> </v>
      </c>
      <c r="N89" s="334" t="str">
        <f aca="false">IF((E89="r"),G89," ")</f>
        <v> </v>
      </c>
      <c r="O89" s="334" t="str">
        <f aca="false">IF((E89="g"),G89," ")</f>
        <v> </v>
      </c>
      <c r="P89" s="334" t="str">
        <f aca="false">IF((E89="m"),G89," ")</f>
        <v> </v>
      </c>
      <c r="Q89" s="334" t="str">
        <f aca="false">IF((E89="t"),G89," ")</f>
        <v> </v>
      </c>
      <c r="R89" s="334" t="str">
        <f aca="false">IF((E89="a"),G89," ")</f>
        <v> </v>
      </c>
      <c r="S89" s="334" t="str">
        <f aca="false">IF((E89="l"),G89," ")</f>
        <v> </v>
      </c>
      <c r="T89" s="334" t="str">
        <f aca="false">IF((E89="b"),G89," ")</f>
        <v> </v>
      </c>
      <c r="U89" s="334" t="str">
        <f aca="false">IF((E89="i"),G89," ")</f>
        <v> </v>
      </c>
      <c r="V89" s="334" t="str">
        <f aca="false">IF((E89="o"),G89," ")</f>
        <v> </v>
      </c>
      <c r="W89" s="334" t="str">
        <f aca="false">IF((E89="f"),G89," ")</f>
        <v> </v>
      </c>
    </row>
    <row r="90" customFormat="false" ht="12.75" hidden="false" customHeight="false" outlineLevel="0" collapsed="false">
      <c r="A90" s="355"/>
      <c r="E90" s="365" t="str">
        <f aca="false">IF((G90&lt;&gt;0),"Enter Letter"," ")</f>
        <v> </v>
      </c>
      <c r="H90" s="338" t="str">
        <f aca="false">IF((G90&lt;&gt;0),IF((D90&gt;0)," ",G90)," ")</f>
        <v> </v>
      </c>
      <c r="I90" s="367" t="str">
        <f aca="false">IF((G90&lt;&gt;0),IF((D90&gt;0)," ",(I$1-A90))," ")</f>
        <v> </v>
      </c>
      <c r="J90" s="334" t="str">
        <f aca="false">IF((E90="s"),G90," ")</f>
        <v> </v>
      </c>
      <c r="K90" s="334" t="str">
        <f aca="false">IF((E90="d"),G90," ")</f>
        <v> </v>
      </c>
      <c r="L90" s="334" t="str">
        <f aca="false">IF((E90="e"),G90," ")</f>
        <v> </v>
      </c>
      <c r="M90" s="334" t="str">
        <f aca="false">IF((E90="p"),G90," ")</f>
        <v> </v>
      </c>
      <c r="N90" s="334" t="str">
        <f aca="false">IF((E90="r"),G90," ")</f>
        <v> </v>
      </c>
      <c r="O90" s="334" t="str">
        <f aca="false">IF((E90="g"),G90," ")</f>
        <v> </v>
      </c>
      <c r="P90" s="334" t="str">
        <f aca="false">IF((E90="m"),G90," ")</f>
        <v> </v>
      </c>
      <c r="Q90" s="334" t="str">
        <f aca="false">IF((E90="t"),G90," ")</f>
        <v> </v>
      </c>
      <c r="R90" s="334" t="str">
        <f aca="false">IF((E90="a"),G90," ")</f>
        <v> </v>
      </c>
      <c r="S90" s="334" t="str">
        <f aca="false">IF((E90="l"),G90," ")</f>
        <v> </v>
      </c>
      <c r="T90" s="334" t="str">
        <f aca="false">IF((E90="b"),G90," ")</f>
        <v> </v>
      </c>
      <c r="U90" s="334" t="str">
        <f aca="false">IF((E90="i"),G90," ")</f>
        <v> </v>
      </c>
      <c r="V90" s="334" t="str">
        <f aca="false">IF((E90="o"),G90," ")</f>
        <v> </v>
      </c>
      <c r="W90" s="334" t="str">
        <f aca="false">IF((E90="f"),G90," ")</f>
        <v> </v>
      </c>
    </row>
    <row r="91" customFormat="false" ht="12.75" hidden="false" customHeight="false" outlineLevel="0" collapsed="false">
      <c r="A91" s="355"/>
      <c r="E91" s="365" t="str">
        <f aca="false">IF((G91&lt;&gt;0),"Enter Letter"," ")</f>
        <v> </v>
      </c>
      <c r="H91" s="338" t="str">
        <f aca="false">IF((G91&lt;&gt;0),IF((D91&gt;0)," ",G91)," ")</f>
        <v> </v>
      </c>
      <c r="I91" s="367" t="str">
        <f aca="false">IF((G91&lt;&gt;0),IF((D91&gt;0)," ",(I$1-A91))," ")</f>
        <v> </v>
      </c>
      <c r="J91" s="334" t="str">
        <f aca="false">IF((E91="s"),G91," ")</f>
        <v> </v>
      </c>
      <c r="K91" s="334" t="str">
        <f aca="false">IF((E91="d"),G91," ")</f>
        <v> </v>
      </c>
      <c r="L91" s="334" t="str">
        <f aca="false">IF((E91="e"),G91," ")</f>
        <v> </v>
      </c>
      <c r="M91" s="334" t="str">
        <f aca="false">IF((E91="p"),G91," ")</f>
        <v> </v>
      </c>
      <c r="N91" s="334" t="str">
        <f aca="false">IF((E91="r"),G91," ")</f>
        <v> </v>
      </c>
      <c r="O91" s="334" t="str">
        <f aca="false">IF((E91="g"),G91," ")</f>
        <v> </v>
      </c>
      <c r="P91" s="334" t="str">
        <f aca="false">IF((E91="m"),G91," ")</f>
        <v> </v>
      </c>
      <c r="Q91" s="334" t="str">
        <f aca="false">IF((E91="t"),G91," ")</f>
        <v> </v>
      </c>
      <c r="R91" s="334" t="str">
        <f aca="false">IF((E91="a"),G91," ")</f>
        <v> </v>
      </c>
      <c r="S91" s="334" t="str">
        <f aca="false">IF((E91="l"),G91," ")</f>
        <v> </v>
      </c>
      <c r="T91" s="334" t="str">
        <f aca="false">IF((E91="b"),G91," ")</f>
        <v> </v>
      </c>
      <c r="U91" s="334" t="str">
        <f aca="false">IF((E91="i"),G91," ")</f>
        <v> </v>
      </c>
      <c r="V91" s="334" t="str">
        <f aca="false">IF((E91="o"),G91," ")</f>
        <v> </v>
      </c>
      <c r="W91" s="334" t="str">
        <f aca="false">IF((E91="f"),G91," ")</f>
        <v> </v>
      </c>
    </row>
    <row r="92" customFormat="false" ht="12.75" hidden="false" customHeight="false" outlineLevel="0" collapsed="false">
      <c r="A92" s="355"/>
      <c r="E92" s="365" t="str">
        <f aca="false">IF((G92&lt;&gt;0),"Enter Letter"," ")</f>
        <v> </v>
      </c>
      <c r="H92" s="338" t="str">
        <f aca="false">IF((G92&lt;&gt;0),IF((D92&gt;0)," ",G92)," ")</f>
        <v> </v>
      </c>
      <c r="I92" s="367" t="str">
        <f aca="false">IF((G92&lt;&gt;0),IF((D92&gt;0)," ",(I$1-A92))," ")</f>
        <v> </v>
      </c>
      <c r="J92" s="334" t="str">
        <f aca="false">IF((E92="s"),G92," ")</f>
        <v> </v>
      </c>
      <c r="K92" s="334" t="str">
        <f aca="false">IF((E92="d"),G92," ")</f>
        <v> </v>
      </c>
      <c r="L92" s="334" t="str">
        <f aca="false">IF((E92="e"),G92," ")</f>
        <v> </v>
      </c>
      <c r="M92" s="334" t="str">
        <f aca="false">IF((E92="p"),G92," ")</f>
        <v> </v>
      </c>
      <c r="N92" s="334" t="str">
        <f aca="false">IF((E92="r"),G92," ")</f>
        <v> </v>
      </c>
      <c r="O92" s="334" t="str">
        <f aca="false">IF((E92="g"),G92," ")</f>
        <v> </v>
      </c>
      <c r="P92" s="334" t="str">
        <f aca="false">IF((E92="m"),G92," ")</f>
        <v> </v>
      </c>
      <c r="Q92" s="334" t="str">
        <f aca="false">IF((E92="t"),G92," ")</f>
        <v> </v>
      </c>
      <c r="R92" s="334" t="str">
        <f aca="false">IF((E92="a"),G92," ")</f>
        <v> </v>
      </c>
      <c r="S92" s="334" t="str">
        <f aca="false">IF((E92="l"),G92," ")</f>
        <v> </v>
      </c>
      <c r="T92" s="334" t="str">
        <f aca="false">IF((E92="b"),G92," ")</f>
        <v> </v>
      </c>
      <c r="U92" s="334" t="str">
        <f aca="false">IF((E92="i"),G92," ")</f>
        <v> </v>
      </c>
      <c r="V92" s="334" t="str">
        <f aca="false">IF((E92="o"),G92," ")</f>
        <v> </v>
      </c>
      <c r="W92" s="334" t="str">
        <f aca="false">IF((E92="f"),G92," ")</f>
        <v> </v>
      </c>
    </row>
    <row r="93" customFormat="false" ht="12.75" hidden="false" customHeight="false" outlineLevel="0" collapsed="false">
      <c r="A93" s="355"/>
      <c r="E93" s="365" t="str">
        <f aca="false">IF((G93&lt;&gt;0),"Enter Letter"," ")</f>
        <v> </v>
      </c>
      <c r="H93" s="338" t="str">
        <f aca="false">IF((G93&lt;&gt;0),IF((D93&gt;0)," ",G93)," ")</f>
        <v> </v>
      </c>
      <c r="I93" s="367" t="str">
        <f aca="false">IF((G93&lt;&gt;0),IF((D93&gt;0)," ",(I$1-A93))," ")</f>
        <v> </v>
      </c>
      <c r="J93" s="334" t="str">
        <f aca="false">IF((E93="s"),G93," ")</f>
        <v> </v>
      </c>
      <c r="K93" s="334" t="str">
        <f aca="false">IF((E93="d"),G93," ")</f>
        <v> </v>
      </c>
      <c r="L93" s="334" t="str">
        <f aca="false">IF((E93="e"),G93," ")</f>
        <v> </v>
      </c>
      <c r="M93" s="334" t="str">
        <f aca="false">IF((E93="p"),G93," ")</f>
        <v> </v>
      </c>
      <c r="N93" s="334" t="str">
        <f aca="false">IF((E93="r"),G93," ")</f>
        <v> </v>
      </c>
      <c r="O93" s="334" t="str">
        <f aca="false">IF((E93="g"),G93," ")</f>
        <v> </v>
      </c>
      <c r="P93" s="334" t="str">
        <f aca="false">IF((E93="m"),G93," ")</f>
        <v> </v>
      </c>
      <c r="Q93" s="334" t="str">
        <f aca="false">IF((E93="t"),G93," ")</f>
        <v> </v>
      </c>
      <c r="R93" s="334" t="str">
        <f aca="false">IF((E93="a"),G93," ")</f>
        <v> </v>
      </c>
      <c r="S93" s="334" t="str">
        <f aca="false">IF((E93="l"),G93," ")</f>
        <v> </v>
      </c>
      <c r="T93" s="334" t="str">
        <f aca="false">IF((E93="b"),G93," ")</f>
        <v> </v>
      </c>
      <c r="U93" s="334" t="str">
        <f aca="false">IF((E93="i"),G93," ")</f>
        <v> </v>
      </c>
      <c r="V93" s="334" t="str">
        <f aca="false">IF((E93="o"),G93," ")</f>
        <v> </v>
      </c>
      <c r="W93" s="334" t="str">
        <f aca="false">IF((E93="f"),G93," ")</f>
        <v> </v>
      </c>
    </row>
    <row r="94" customFormat="false" ht="12.75" hidden="false" customHeight="false" outlineLevel="0" collapsed="false">
      <c r="A94" s="355"/>
      <c r="E94" s="365" t="str">
        <f aca="false">IF((G94&lt;&gt;0),"Enter Letter"," ")</f>
        <v> </v>
      </c>
      <c r="H94" s="338" t="str">
        <f aca="false">IF((G94&lt;&gt;0),IF((D94&gt;0)," ",G94)," ")</f>
        <v> </v>
      </c>
      <c r="I94" s="367" t="str">
        <f aca="false">IF((G94&lt;&gt;0),IF((D94&gt;0)," ",(I$1-A94))," ")</f>
        <v> </v>
      </c>
      <c r="J94" s="334" t="str">
        <f aca="false">IF((E94="s"),G94," ")</f>
        <v> </v>
      </c>
      <c r="K94" s="334" t="str">
        <f aca="false">IF((E94="d"),G94," ")</f>
        <v> </v>
      </c>
      <c r="L94" s="334" t="str">
        <f aca="false">IF((E94="e"),G94," ")</f>
        <v> </v>
      </c>
      <c r="M94" s="334" t="str">
        <f aca="false">IF((E94="p"),G94," ")</f>
        <v> </v>
      </c>
      <c r="N94" s="334" t="str">
        <f aca="false">IF((E94="r"),G94," ")</f>
        <v> </v>
      </c>
      <c r="O94" s="334" t="str">
        <f aca="false">IF((E94="g"),G94," ")</f>
        <v> </v>
      </c>
      <c r="P94" s="334" t="str">
        <f aca="false">IF((E94="m"),G94," ")</f>
        <v> </v>
      </c>
      <c r="Q94" s="334" t="str">
        <f aca="false">IF((E94="t"),G94," ")</f>
        <v> </v>
      </c>
      <c r="R94" s="334" t="str">
        <f aca="false">IF((E94="a"),G94," ")</f>
        <v> </v>
      </c>
      <c r="S94" s="334" t="str">
        <f aca="false">IF((E94="l"),G94," ")</f>
        <v> </v>
      </c>
      <c r="T94" s="334" t="str">
        <f aca="false">IF((E94="b"),G94," ")</f>
        <v> </v>
      </c>
      <c r="U94" s="334" t="str">
        <f aca="false">IF((E94="i"),G94," ")</f>
        <v> </v>
      </c>
      <c r="V94" s="334" t="str">
        <f aca="false">IF((E94="o"),G94," ")</f>
        <v> </v>
      </c>
      <c r="W94" s="334" t="str">
        <f aca="false">IF((E94="f"),G94," ")</f>
        <v> </v>
      </c>
    </row>
    <row r="95" customFormat="false" ht="12.75" hidden="false" customHeight="false" outlineLevel="0" collapsed="false">
      <c r="A95" s="355"/>
      <c r="E95" s="365" t="str">
        <f aca="false">IF((G95&lt;&gt;0),"Enter Letter"," ")</f>
        <v> </v>
      </c>
      <c r="H95" s="338" t="str">
        <f aca="false">IF((G95&lt;&gt;0),IF((D95&gt;0)," ",G95)," ")</f>
        <v> </v>
      </c>
      <c r="I95" s="367" t="str">
        <f aca="false">IF((G95&lt;&gt;0),IF((D95&gt;0)," ",(I$1-A95))," ")</f>
        <v> </v>
      </c>
      <c r="J95" s="334" t="str">
        <f aca="false">IF((E95="s"),G95," ")</f>
        <v> </v>
      </c>
      <c r="K95" s="334" t="str">
        <f aca="false">IF((E95="d"),G95," ")</f>
        <v> </v>
      </c>
      <c r="L95" s="334" t="str">
        <f aca="false">IF((E95="e"),G95," ")</f>
        <v> </v>
      </c>
      <c r="M95" s="334" t="str">
        <f aca="false">IF((E95="p"),G95," ")</f>
        <v> </v>
      </c>
      <c r="N95" s="334" t="str">
        <f aca="false">IF((E95="r"),G95," ")</f>
        <v> </v>
      </c>
      <c r="O95" s="334" t="str">
        <f aca="false">IF((E95="g"),G95," ")</f>
        <v> </v>
      </c>
      <c r="P95" s="334" t="str">
        <f aca="false">IF((E95="m"),G95," ")</f>
        <v> </v>
      </c>
      <c r="Q95" s="334" t="str">
        <f aca="false">IF((E95="t"),G95," ")</f>
        <v> </v>
      </c>
      <c r="R95" s="334" t="str">
        <f aca="false">IF((E95="a"),G95," ")</f>
        <v> </v>
      </c>
      <c r="S95" s="334" t="str">
        <f aca="false">IF((E95="l"),G95," ")</f>
        <v> </v>
      </c>
      <c r="T95" s="334" t="str">
        <f aca="false">IF((E95="b"),G95," ")</f>
        <v> </v>
      </c>
      <c r="U95" s="334" t="str">
        <f aca="false">IF((E95="i"),G95," ")</f>
        <v> </v>
      </c>
      <c r="V95" s="334" t="str">
        <f aca="false">IF((E95="o"),G95," ")</f>
        <v> </v>
      </c>
      <c r="W95" s="334" t="str">
        <f aca="false">IF((E95="f"),G95," ")</f>
        <v> </v>
      </c>
    </row>
    <row r="96" customFormat="false" ht="12.75" hidden="false" customHeight="false" outlineLevel="0" collapsed="false">
      <c r="A96" s="355"/>
      <c r="E96" s="365" t="str">
        <f aca="false">IF((G96&lt;&gt;0),"Enter Letter"," ")</f>
        <v> </v>
      </c>
      <c r="H96" s="338" t="str">
        <f aca="false">IF((G96&lt;&gt;0),IF((D96&gt;0)," ",G96)," ")</f>
        <v> </v>
      </c>
      <c r="I96" s="367" t="str">
        <f aca="false">IF((G96&lt;&gt;0),IF((D96&gt;0)," ",(I$1-A96))," ")</f>
        <v> </v>
      </c>
      <c r="J96" s="334" t="str">
        <f aca="false">IF((E96="s"),G96," ")</f>
        <v> </v>
      </c>
      <c r="K96" s="334" t="str">
        <f aca="false">IF((E96="d"),G96," ")</f>
        <v> </v>
      </c>
      <c r="L96" s="334" t="str">
        <f aca="false">IF((E96="e"),G96," ")</f>
        <v> </v>
      </c>
      <c r="M96" s="334" t="str">
        <f aca="false">IF((E96="p"),G96," ")</f>
        <v> </v>
      </c>
      <c r="N96" s="334" t="str">
        <f aca="false">IF((E96="r"),G96," ")</f>
        <v> </v>
      </c>
      <c r="O96" s="334" t="str">
        <f aca="false">IF((E96="g"),G96," ")</f>
        <v> </v>
      </c>
      <c r="P96" s="334" t="str">
        <f aca="false">IF((E96="m"),G96," ")</f>
        <v> </v>
      </c>
      <c r="Q96" s="334" t="str">
        <f aca="false">IF((E96="t"),G96," ")</f>
        <v> </v>
      </c>
      <c r="R96" s="334" t="str">
        <f aca="false">IF((E96="a"),G96," ")</f>
        <v> </v>
      </c>
      <c r="S96" s="334" t="str">
        <f aca="false">IF((E96="l"),G96," ")</f>
        <v> </v>
      </c>
      <c r="T96" s="334" t="str">
        <f aca="false">IF((E96="b"),G96," ")</f>
        <v> </v>
      </c>
      <c r="U96" s="334" t="str">
        <f aca="false">IF((E96="i"),G96," ")</f>
        <v> </v>
      </c>
      <c r="V96" s="334" t="str">
        <f aca="false">IF((E96="o"),G96," ")</f>
        <v> </v>
      </c>
      <c r="W96" s="334" t="str">
        <f aca="false">IF((E96="f"),G96," ")</f>
        <v> </v>
      </c>
    </row>
    <row r="97" customFormat="false" ht="12.75" hidden="false" customHeight="false" outlineLevel="0" collapsed="false">
      <c r="A97" s="355"/>
      <c r="E97" s="365" t="str">
        <f aca="false">IF((G97&lt;&gt;0),"Enter Letter"," ")</f>
        <v> </v>
      </c>
      <c r="H97" s="338" t="str">
        <f aca="false">IF((G97&lt;&gt;0),IF((D97&gt;0)," ",G97)," ")</f>
        <v> </v>
      </c>
      <c r="I97" s="367" t="str">
        <f aca="false">IF((G97&lt;&gt;0),IF((D97&gt;0)," ",(I$1-A97))," ")</f>
        <v> </v>
      </c>
      <c r="J97" s="334" t="str">
        <f aca="false">IF((E97="s"),G97," ")</f>
        <v> </v>
      </c>
      <c r="K97" s="334" t="str">
        <f aca="false">IF((E97="d"),G97," ")</f>
        <v> </v>
      </c>
      <c r="L97" s="334" t="str">
        <f aca="false">IF((E97="e"),G97," ")</f>
        <v> </v>
      </c>
      <c r="M97" s="334" t="str">
        <f aca="false">IF((E97="p"),G97," ")</f>
        <v> </v>
      </c>
      <c r="N97" s="334" t="str">
        <f aca="false">IF((E97="r"),G97," ")</f>
        <v> </v>
      </c>
      <c r="O97" s="334" t="str">
        <f aca="false">IF((E97="g"),G97," ")</f>
        <v> </v>
      </c>
      <c r="P97" s="334" t="str">
        <f aca="false">IF((E97="m"),G97," ")</f>
        <v> </v>
      </c>
      <c r="Q97" s="334" t="str">
        <f aca="false">IF((E97="t"),G97," ")</f>
        <v> </v>
      </c>
      <c r="R97" s="334" t="str">
        <f aca="false">IF((E97="a"),G97," ")</f>
        <v> </v>
      </c>
      <c r="S97" s="334" t="str">
        <f aca="false">IF((E97="l"),G97," ")</f>
        <v> </v>
      </c>
      <c r="T97" s="334" t="str">
        <f aca="false">IF((E97="b"),G97," ")</f>
        <v> </v>
      </c>
      <c r="U97" s="334" t="str">
        <f aca="false">IF((E97="i"),G97," ")</f>
        <v> </v>
      </c>
      <c r="V97" s="334" t="str">
        <f aca="false">IF((E97="o"),G97," ")</f>
        <v> </v>
      </c>
      <c r="W97" s="334" t="str">
        <f aca="false">IF((E97="f"),G97," ")</f>
        <v> </v>
      </c>
    </row>
    <row r="98" customFormat="false" ht="12.75" hidden="false" customHeight="false" outlineLevel="0" collapsed="false">
      <c r="A98" s="355"/>
      <c r="E98" s="365" t="str">
        <f aca="false">IF((G98&lt;&gt;0),"Enter Letter"," ")</f>
        <v> </v>
      </c>
      <c r="H98" s="338" t="str">
        <f aca="false">IF((G98&lt;&gt;0),IF((D98&gt;0)," ",G98)," ")</f>
        <v> </v>
      </c>
      <c r="I98" s="367" t="str">
        <f aca="false">IF((G98&lt;&gt;0),IF((D98&gt;0)," ",(I$1-A98))," ")</f>
        <v> </v>
      </c>
      <c r="J98" s="334" t="str">
        <f aca="false">IF((E98="s"),G98," ")</f>
        <v> </v>
      </c>
      <c r="K98" s="334" t="str">
        <f aca="false">IF((E98="d"),G98," ")</f>
        <v> </v>
      </c>
      <c r="L98" s="334" t="str">
        <f aca="false">IF((E98="e"),G98," ")</f>
        <v> </v>
      </c>
      <c r="M98" s="334" t="str">
        <f aca="false">IF((E98="p"),G98," ")</f>
        <v> </v>
      </c>
      <c r="N98" s="334" t="str">
        <f aca="false">IF((E98="r"),G98," ")</f>
        <v> </v>
      </c>
      <c r="O98" s="334" t="str">
        <f aca="false">IF((E98="g"),G98," ")</f>
        <v> </v>
      </c>
      <c r="P98" s="334" t="str">
        <f aca="false">IF((E98="m"),G98," ")</f>
        <v> </v>
      </c>
      <c r="Q98" s="334" t="str">
        <f aca="false">IF((E98="t"),G98," ")</f>
        <v> </v>
      </c>
      <c r="R98" s="334" t="str">
        <f aca="false">IF((E98="a"),G98," ")</f>
        <v> </v>
      </c>
      <c r="S98" s="334" t="str">
        <f aca="false">IF((E98="l"),G98," ")</f>
        <v> </v>
      </c>
      <c r="T98" s="334" t="str">
        <f aca="false">IF((E98="b"),G98," ")</f>
        <v> </v>
      </c>
      <c r="U98" s="334" t="str">
        <f aca="false">IF((E98="i"),G98," ")</f>
        <v> </v>
      </c>
      <c r="V98" s="334" t="str">
        <f aca="false">IF((E98="o"),G98," ")</f>
        <v> </v>
      </c>
      <c r="W98" s="334" t="str">
        <f aca="false">IF((E98="f"),G98," ")</f>
        <v> </v>
      </c>
    </row>
    <row r="99" customFormat="false" ht="12.75" hidden="false" customHeight="false" outlineLevel="0" collapsed="false">
      <c r="A99" s="355"/>
      <c r="E99" s="365" t="str">
        <f aca="false">IF((G99&lt;&gt;0),"Enter Letter"," ")</f>
        <v> </v>
      </c>
      <c r="H99" s="338" t="str">
        <f aca="false">IF((G99&lt;&gt;0),IF((D99&gt;0)," ",G99)," ")</f>
        <v> </v>
      </c>
      <c r="I99" s="367" t="str">
        <f aca="false">IF((G99&lt;&gt;0),IF((D99&gt;0)," ",(I$1-A99))," ")</f>
        <v> </v>
      </c>
      <c r="J99" s="334" t="str">
        <f aca="false">IF((E99="s"),G99," ")</f>
        <v> </v>
      </c>
      <c r="K99" s="334" t="str">
        <f aca="false">IF((E99="d"),G99," ")</f>
        <v> </v>
      </c>
      <c r="L99" s="334" t="str">
        <f aca="false">IF((E99="e"),G99," ")</f>
        <v> </v>
      </c>
      <c r="M99" s="334" t="str">
        <f aca="false">IF((E99="p"),G99," ")</f>
        <v> </v>
      </c>
      <c r="N99" s="334" t="str">
        <f aca="false">IF((E99="r"),G99," ")</f>
        <v> </v>
      </c>
      <c r="O99" s="334" t="str">
        <f aca="false">IF((E99="g"),G99," ")</f>
        <v> </v>
      </c>
      <c r="P99" s="334" t="str">
        <f aca="false">IF((E99="m"),G99," ")</f>
        <v> </v>
      </c>
      <c r="Q99" s="334" t="str">
        <f aca="false">IF((E99="t"),G99," ")</f>
        <v> </v>
      </c>
      <c r="R99" s="334" t="str">
        <f aca="false">IF((E99="a"),G99," ")</f>
        <v> </v>
      </c>
      <c r="S99" s="334" t="str">
        <f aca="false">IF((E99="l"),G99," ")</f>
        <v> </v>
      </c>
      <c r="T99" s="334" t="str">
        <f aca="false">IF((E99="b"),G99," ")</f>
        <v> </v>
      </c>
      <c r="U99" s="334" t="str">
        <f aca="false">IF((E99="i"),G99," ")</f>
        <v> </v>
      </c>
      <c r="V99" s="334" t="str">
        <f aca="false">IF((E99="o"),G99," ")</f>
        <v> </v>
      </c>
      <c r="W99" s="334" t="str">
        <f aca="false">IF((E99="f"),G99," ")</f>
        <v> </v>
      </c>
    </row>
    <row r="100" customFormat="false" ht="12.75" hidden="false" customHeight="false" outlineLevel="0" collapsed="false">
      <c r="A100" s="355"/>
      <c r="E100" s="365" t="str">
        <f aca="false">IF((G100&lt;&gt;0),"Enter Letter"," ")</f>
        <v> </v>
      </c>
      <c r="H100" s="338" t="str">
        <f aca="false">IF((G100&lt;&gt;0),IF((D100&gt;0)," ",G100)," ")</f>
        <v> </v>
      </c>
      <c r="I100" s="367" t="str">
        <f aca="false">IF((G100&lt;&gt;0),IF((D100&gt;0)," ",(I$1-A100))," ")</f>
        <v> </v>
      </c>
      <c r="J100" s="334" t="str">
        <f aca="false">IF((E100="s"),G100," ")</f>
        <v> </v>
      </c>
      <c r="K100" s="334" t="str">
        <f aca="false">IF((E100="d"),G100," ")</f>
        <v> </v>
      </c>
      <c r="L100" s="334" t="str">
        <f aca="false">IF((E100="e"),G100," ")</f>
        <v> </v>
      </c>
      <c r="M100" s="334" t="str">
        <f aca="false">IF((E100="p"),G100," ")</f>
        <v> </v>
      </c>
      <c r="N100" s="334" t="str">
        <f aca="false">IF((E100="r"),G100," ")</f>
        <v> </v>
      </c>
      <c r="O100" s="334" t="str">
        <f aca="false">IF((E100="g"),G100," ")</f>
        <v> </v>
      </c>
      <c r="P100" s="334" t="str">
        <f aca="false">IF((E100="m"),G100," ")</f>
        <v> </v>
      </c>
      <c r="Q100" s="334" t="str">
        <f aca="false">IF((E100="t"),G100," ")</f>
        <v> </v>
      </c>
      <c r="R100" s="334" t="str">
        <f aca="false">IF((E100="a"),G100," ")</f>
        <v> </v>
      </c>
      <c r="S100" s="334" t="str">
        <f aca="false">IF((E100="l"),G100," ")</f>
        <v> </v>
      </c>
      <c r="T100" s="334" t="str">
        <f aca="false">IF((E100="b"),G100," ")</f>
        <v> </v>
      </c>
      <c r="U100" s="334" t="str">
        <f aca="false">IF((E100="i"),G100," ")</f>
        <v> </v>
      </c>
      <c r="V100" s="334" t="str">
        <f aca="false">IF((E100="o"),G100," ")</f>
        <v> </v>
      </c>
      <c r="W100" s="334" t="str">
        <f aca="false">IF((E100="f"),G100," ")</f>
        <v> </v>
      </c>
    </row>
    <row r="101" customFormat="false" ht="12.75" hidden="false" customHeight="false" outlineLevel="0" collapsed="false">
      <c r="A101" s="355"/>
      <c r="E101" s="365" t="str">
        <f aca="false">IF((G101&lt;&gt;0),"Enter Letter"," ")</f>
        <v> </v>
      </c>
      <c r="H101" s="338" t="str">
        <f aca="false">IF((G101&lt;&gt;0),IF((D101&gt;0)," ",G101)," ")</f>
        <v> </v>
      </c>
      <c r="I101" s="367" t="str">
        <f aca="false">IF((G101&lt;&gt;0),IF((D101&gt;0)," ",(I$1-A101))," ")</f>
        <v> </v>
      </c>
      <c r="J101" s="334" t="str">
        <f aca="false">IF((E101="s"),G101," ")</f>
        <v> </v>
      </c>
      <c r="K101" s="334" t="str">
        <f aca="false">IF((E101="d"),G101," ")</f>
        <v> </v>
      </c>
      <c r="L101" s="334" t="str">
        <f aca="false">IF((E101="e"),G101," ")</f>
        <v> </v>
      </c>
      <c r="M101" s="334" t="str">
        <f aca="false">IF((E101="p"),G101," ")</f>
        <v> </v>
      </c>
      <c r="N101" s="334" t="str">
        <f aca="false">IF((E101="r"),G101," ")</f>
        <v> </v>
      </c>
      <c r="O101" s="334" t="str">
        <f aca="false">IF((E101="g"),G101," ")</f>
        <v> </v>
      </c>
      <c r="P101" s="334" t="str">
        <f aca="false">IF((E101="m"),G101," ")</f>
        <v> </v>
      </c>
      <c r="Q101" s="334" t="str">
        <f aca="false">IF((E101="t"),G101," ")</f>
        <v> </v>
      </c>
      <c r="R101" s="334" t="str">
        <f aca="false">IF((E101="a"),G101," ")</f>
        <v> </v>
      </c>
      <c r="S101" s="334" t="str">
        <f aca="false">IF((E101="l"),G101," ")</f>
        <v> </v>
      </c>
      <c r="T101" s="334" t="str">
        <f aca="false">IF((E101="b"),G101," ")</f>
        <v> </v>
      </c>
      <c r="U101" s="334" t="str">
        <f aca="false">IF((E101="i"),G101," ")</f>
        <v> </v>
      </c>
      <c r="V101" s="334" t="str">
        <f aca="false">IF((E101="o"),G101," ")</f>
        <v> </v>
      </c>
      <c r="W101" s="334" t="str">
        <f aca="false">IF((E101="f"),G101," ")</f>
        <v> </v>
      </c>
    </row>
    <row r="102" customFormat="false" ht="12.75" hidden="false" customHeight="false" outlineLevel="0" collapsed="false">
      <c r="A102" s="355"/>
      <c r="E102" s="365" t="str">
        <f aca="false">IF((G102&lt;&gt;0),"Enter Letter"," ")</f>
        <v> </v>
      </c>
      <c r="H102" s="338" t="str">
        <f aca="false">IF((G102&lt;&gt;0),IF((D102&gt;0)," ",G102)," ")</f>
        <v> </v>
      </c>
      <c r="I102" s="367" t="str">
        <f aca="false">IF((G102&lt;&gt;0),IF((D102&gt;0)," ",(I$1-A102))," ")</f>
        <v> </v>
      </c>
      <c r="J102" s="334" t="str">
        <f aca="false">IF((E102="s"),G102," ")</f>
        <v> </v>
      </c>
      <c r="K102" s="334" t="str">
        <f aca="false">IF((E102="d"),G102," ")</f>
        <v> </v>
      </c>
      <c r="L102" s="334" t="str">
        <f aca="false">IF((E102="e"),G102," ")</f>
        <v> </v>
      </c>
      <c r="M102" s="334" t="str">
        <f aca="false">IF((E102="p"),G102," ")</f>
        <v> </v>
      </c>
      <c r="N102" s="334" t="str">
        <f aca="false">IF((E102="r"),G102," ")</f>
        <v> </v>
      </c>
      <c r="O102" s="334" t="str">
        <f aca="false">IF((E102="g"),G102," ")</f>
        <v> </v>
      </c>
      <c r="P102" s="334" t="str">
        <f aca="false">IF((E102="m"),G102," ")</f>
        <v> </v>
      </c>
      <c r="Q102" s="334" t="str">
        <f aca="false">IF((E102="t"),G102," ")</f>
        <v> </v>
      </c>
      <c r="R102" s="334" t="str">
        <f aca="false">IF((E102="a"),G102," ")</f>
        <v> </v>
      </c>
      <c r="S102" s="334" t="str">
        <f aca="false">IF((E102="l"),G102," ")</f>
        <v> </v>
      </c>
      <c r="T102" s="334" t="str">
        <f aca="false">IF((E102="b"),G102," ")</f>
        <v> </v>
      </c>
      <c r="U102" s="334" t="str">
        <f aca="false">IF((E102="i"),G102," ")</f>
        <v> </v>
      </c>
      <c r="V102" s="334" t="str">
        <f aca="false">IF((E102="o"),G102," ")</f>
        <v> </v>
      </c>
      <c r="W102" s="334" t="str">
        <f aca="false">IF((E102="f"),G102," ")</f>
        <v> </v>
      </c>
    </row>
    <row r="103" customFormat="false" ht="12.75" hidden="false" customHeight="false" outlineLevel="0" collapsed="false">
      <c r="A103" s="355"/>
      <c r="E103" s="365" t="str">
        <f aca="false">IF((G103&lt;&gt;0),"Enter Letter"," ")</f>
        <v> </v>
      </c>
      <c r="H103" s="338" t="str">
        <f aca="false">IF((G103&lt;&gt;0),IF((D103&gt;0)," ",G103)," ")</f>
        <v> </v>
      </c>
      <c r="I103" s="367" t="str">
        <f aca="false">IF((G103&lt;&gt;0),IF((D103&gt;0)," ",(I$1-A103))," ")</f>
        <v> </v>
      </c>
      <c r="J103" s="334" t="str">
        <f aca="false">IF((E103="s"),G103," ")</f>
        <v> </v>
      </c>
      <c r="K103" s="334" t="str">
        <f aca="false">IF((E103="d"),G103," ")</f>
        <v> </v>
      </c>
      <c r="L103" s="334" t="str">
        <f aca="false">IF((E103="e"),G103," ")</f>
        <v> </v>
      </c>
      <c r="M103" s="334" t="str">
        <f aca="false">IF((E103="p"),G103," ")</f>
        <v> </v>
      </c>
      <c r="N103" s="334" t="str">
        <f aca="false">IF((E103="r"),G103," ")</f>
        <v> </v>
      </c>
      <c r="O103" s="334" t="str">
        <f aca="false">IF((E103="g"),G103," ")</f>
        <v> </v>
      </c>
      <c r="P103" s="334" t="str">
        <f aca="false">IF((E103="m"),G103," ")</f>
        <v> </v>
      </c>
      <c r="Q103" s="334" t="str">
        <f aca="false">IF((E103="t"),G103," ")</f>
        <v> </v>
      </c>
      <c r="R103" s="334" t="str">
        <f aca="false">IF((E103="a"),G103," ")</f>
        <v> </v>
      </c>
      <c r="S103" s="334" t="str">
        <f aca="false">IF((E103="l"),G103," ")</f>
        <v> </v>
      </c>
      <c r="T103" s="334" t="str">
        <f aca="false">IF((E103="b"),G103," ")</f>
        <v> </v>
      </c>
      <c r="U103" s="334" t="str">
        <f aca="false">IF((E103="i"),G103," ")</f>
        <v> </v>
      </c>
      <c r="V103" s="334" t="str">
        <f aca="false">IF((E103="o"),G103," ")</f>
        <v> </v>
      </c>
      <c r="W103" s="334" t="str">
        <f aca="false">IF((E103="f"),G103," ")</f>
        <v> </v>
      </c>
    </row>
    <row r="104" customFormat="false" ht="12.75" hidden="false" customHeight="false" outlineLevel="0" collapsed="false">
      <c r="A104" s="355"/>
      <c r="E104" s="365" t="str">
        <f aca="false">IF((G104&lt;&gt;0),"Enter Letter"," ")</f>
        <v> </v>
      </c>
      <c r="H104" s="338" t="str">
        <f aca="false">IF((G104&lt;&gt;0),IF((D104&gt;0)," ",G104)," ")</f>
        <v> </v>
      </c>
      <c r="I104" s="367" t="str">
        <f aca="false">IF((G104&lt;&gt;0),IF((D104&gt;0)," ",(I$1-A104))," ")</f>
        <v> </v>
      </c>
      <c r="J104" s="334" t="str">
        <f aca="false">IF((E104="s"),G104," ")</f>
        <v> </v>
      </c>
      <c r="K104" s="334" t="str">
        <f aca="false">IF((E104="d"),G104," ")</f>
        <v> </v>
      </c>
      <c r="L104" s="334" t="str">
        <f aca="false">IF((E104="e"),G104," ")</f>
        <v> </v>
      </c>
      <c r="M104" s="334" t="str">
        <f aca="false">IF((E104="p"),G104," ")</f>
        <v> </v>
      </c>
      <c r="N104" s="334" t="str">
        <f aca="false">IF((E104="r"),G104," ")</f>
        <v> </v>
      </c>
      <c r="O104" s="334" t="str">
        <f aca="false">IF((E104="g"),G104," ")</f>
        <v> </v>
      </c>
      <c r="P104" s="334" t="str">
        <f aca="false">IF((E104="m"),G104," ")</f>
        <v> </v>
      </c>
      <c r="Q104" s="334" t="str">
        <f aca="false">IF((E104="t"),G104," ")</f>
        <v> </v>
      </c>
      <c r="R104" s="334" t="str">
        <f aca="false">IF((E104="a"),G104," ")</f>
        <v> </v>
      </c>
      <c r="S104" s="334" t="str">
        <f aca="false">IF((E104="l"),G104," ")</f>
        <v> </v>
      </c>
      <c r="T104" s="334" t="str">
        <f aca="false">IF((E104="b"),G104," ")</f>
        <v> </v>
      </c>
      <c r="U104" s="334" t="str">
        <f aca="false">IF((E104="i"),G104," ")</f>
        <v> </v>
      </c>
      <c r="V104" s="334" t="str">
        <f aca="false">IF((E104="o"),G104," ")</f>
        <v> </v>
      </c>
      <c r="W104" s="334" t="str">
        <f aca="false">IF((E104="f"),G104," ")</f>
        <v> </v>
      </c>
    </row>
    <row r="105" customFormat="false" ht="12.75" hidden="false" customHeight="false" outlineLevel="0" collapsed="false">
      <c r="A105" s="355"/>
      <c r="E105" s="365" t="str">
        <f aca="false">IF((G105&lt;&gt;0),"Enter Letter"," ")</f>
        <v> </v>
      </c>
      <c r="H105" s="338" t="str">
        <f aca="false">IF((G105&lt;&gt;0),IF((D105&gt;0)," ",G105)," ")</f>
        <v> </v>
      </c>
      <c r="I105" s="367" t="str">
        <f aca="false">IF((G105&lt;&gt;0),IF((D105&gt;0)," ",(I$1-A105))," ")</f>
        <v> </v>
      </c>
      <c r="J105" s="334" t="str">
        <f aca="false">IF((E105="s"),G105," ")</f>
        <v> </v>
      </c>
      <c r="K105" s="334" t="str">
        <f aca="false">IF((E105="d"),G105," ")</f>
        <v> </v>
      </c>
      <c r="L105" s="334" t="str">
        <f aca="false">IF((E105="e"),G105," ")</f>
        <v> </v>
      </c>
      <c r="M105" s="334" t="str">
        <f aca="false">IF((E105="p"),G105," ")</f>
        <v> </v>
      </c>
      <c r="N105" s="334" t="str">
        <f aca="false">IF((E105="r"),G105," ")</f>
        <v> </v>
      </c>
      <c r="O105" s="334" t="str">
        <f aca="false">IF((E105="g"),G105," ")</f>
        <v> </v>
      </c>
      <c r="P105" s="334" t="str">
        <f aca="false">IF((E105="m"),G105," ")</f>
        <v> </v>
      </c>
      <c r="Q105" s="334" t="str">
        <f aca="false">IF((E105="t"),G105," ")</f>
        <v> </v>
      </c>
      <c r="R105" s="334" t="str">
        <f aca="false">IF((E105="a"),G105," ")</f>
        <v> </v>
      </c>
      <c r="S105" s="334" t="str">
        <f aca="false">IF((E105="l"),G105," ")</f>
        <v> </v>
      </c>
      <c r="T105" s="334" t="str">
        <f aca="false">IF((E105="b"),G105," ")</f>
        <v> </v>
      </c>
      <c r="U105" s="334" t="str">
        <f aca="false">IF((E105="i"),G105," ")</f>
        <v> </v>
      </c>
      <c r="V105" s="334" t="str">
        <f aca="false">IF((E105="o"),G105," ")</f>
        <v> </v>
      </c>
      <c r="W105" s="334" t="str">
        <f aca="false">IF((E105="f"),G105," ")</f>
        <v> </v>
      </c>
    </row>
    <row r="106" customFormat="false" ht="12.75" hidden="false" customHeight="false" outlineLevel="0" collapsed="false">
      <c r="A106" s="355"/>
      <c r="E106" s="365" t="str">
        <f aca="false">IF((G106&lt;&gt;0),"Enter Letter"," ")</f>
        <v> </v>
      </c>
      <c r="H106" s="338" t="str">
        <f aca="false">IF((G106&lt;&gt;0),IF((D106&gt;0)," ",G106)," ")</f>
        <v> </v>
      </c>
      <c r="I106" s="367" t="str">
        <f aca="false">IF((G106&lt;&gt;0),IF((D106&gt;0)," ",(I$1-A106))," ")</f>
        <v> </v>
      </c>
      <c r="J106" s="334" t="str">
        <f aca="false">IF((E106="s"),G106," ")</f>
        <v> </v>
      </c>
      <c r="K106" s="334" t="str">
        <f aca="false">IF((E106="d"),G106," ")</f>
        <v> </v>
      </c>
      <c r="L106" s="334" t="str">
        <f aca="false">IF((E106="e"),G106," ")</f>
        <v> </v>
      </c>
      <c r="M106" s="334" t="str">
        <f aca="false">IF((E106="p"),G106," ")</f>
        <v> </v>
      </c>
      <c r="N106" s="334" t="str">
        <f aca="false">IF((E106="r"),G106," ")</f>
        <v> </v>
      </c>
      <c r="O106" s="334" t="str">
        <f aca="false">IF((E106="g"),G106," ")</f>
        <v> </v>
      </c>
      <c r="P106" s="334" t="str">
        <f aca="false">IF((E106="m"),G106," ")</f>
        <v> </v>
      </c>
      <c r="Q106" s="334" t="str">
        <f aca="false">IF((E106="t"),G106," ")</f>
        <v> </v>
      </c>
      <c r="R106" s="334" t="str">
        <f aca="false">IF((E106="a"),G106," ")</f>
        <v> </v>
      </c>
      <c r="S106" s="334" t="str">
        <f aca="false">IF((E106="l"),G106," ")</f>
        <v> </v>
      </c>
      <c r="T106" s="334" t="str">
        <f aca="false">IF((E106="b"),G106," ")</f>
        <v> </v>
      </c>
      <c r="U106" s="334" t="str">
        <f aca="false">IF((E106="i"),G106," ")</f>
        <v> </v>
      </c>
      <c r="V106" s="334" t="str">
        <f aca="false">IF((E106="o"),G106," ")</f>
        <v> </v>
      </c>
      <c r="W106" s="334" t="str">
        <f aca="false">IF((E106="f"),G106," ")</f>
        <v> </v>
      </c>
    </row>
    <row r="107" customFormat="false" ht="12.75" hidden="false" customHeight="false" outlineLevel="0" collapsed="false">
      <c r="A107" s="355"/>
      <c r="E107" s="365" t="str">
        <f aca="false">IF((G107&lt;&gt;0),"Enter Letter"," ")</f>
        <v> </v>
      </c>
      <c r="H107" s="338" t="str">
        <f aca="false">IF((G107&lt;&gt;0),IF((D107&gt;0)," ",G107)," ")</f>
        <v> </v>
      </c>
      <c r="I107" s="367" t="str">
        <f aca="false">IF((G107&lt;&gt;0),IF((D107&gt;0)," ",(I$1-A107))," ")</f>
        <v> </v>
      </c>
      <c r="J107" s="334" t="str">
        <f aca="false">IF((E107="s"),G107," ")</f>
        <v> </v>
      </c>
      <c r="K107" s="334" t="str">
        <f aca="false">IF((E107="d"),G107," ")</f>
        <v> </v>
      </c>
      <c r="L107" s="334" t="str">
        <f aca="false">IF((E107="e"),G107," ")</f>
        <v> </v>
      </c>
      <c r="M107" s="334" t="str">
        <f aca="false">IF((E107="p"),G107," ")</f>
        <v> </v>
      </c>
      <c r="N107" s="334" t="str">
        <f aca="false">IF((E107="r"),G107," ")</f>
        <v> </v>
      </c>
      <c r="O107" s="334" t="str">
        <f aca="false">IF((E107="g"),G107," ")</f>
        <v> </v>
      </c>
      <c r="P107" s="334" t="str">
        <f aca="false">IF((E107="m"),G107," ")</f>
        <v> </v>
      </c>
      <c r="Q107" s="334" t="str">
        <f aca="false">IF((E107="t"),G107," ")</f>
        <v> </v>
      </c>
      <c r="R107" s="334" t="str">
        <f aca="false">IF((E107="a"),G107," ")</f>
        <v> </v>
      </c>
      <c r="S107" s="334" t="str">
        <f aca="false">IF((E107="l"),G107," ")</f>
        <v> </v>
      </c>
      <c r="T107" s="334" t="str">
        <f aca="false">IF((E107="b"),G107," ")</f>
        <v> </v>
      </c>
      <c r="U107" s="334" t="str">
        <f aca="false">IF((E107="i"),G107," ")</f>
        <v> </v>
      </c>
      <c r="V107" s="334" t="str">
        <f aca="false">IF((E107="o"),G107," ")</f>
        <v> </v>
      </c>
      <c r="W107" s="334" t="str">
        <f aca="false">IF((E107="f"),G107," ")</f>
        <v> </v>
      </c>
    </row>
    <row r="108" customFormat="false" ht="12.75" hidden="false" customHeight="false" outlineLevel="0" collapsed="false">
      <c r="A108" s="355"/>
      <c r="E108" s="365" t="str">
        <f aca="false">IF((G108&lt;&gt;0),"Enter Letter"," ")</f>
        <v> </v>
      </c>
      <c r="H108" s="338" t="str">
        <f aca="false">IF((G108&lt;&gt;0),IF((D108&gt;0)," ",G108)," ")</f>
        <v> </v>
      </c>
      <c r="I108" s="367" t="str">
        <f aca="false">IF((G108&lt;&gt;0),IF((D108&gt;0)," ",(I$1-A108))," ")</f>
        <v> </v>
      </c>
      <c r="J108" s="334" t="str">
        <f aca="false">IF((E108="s"),G108," ")</f>
        <v> </v>
      </c>
      <c r="K108" s="334" t="str">
        <f aca="false">IF((E108="d"),G108," ")</f>
        <v> </v>
      </c>
      <c r="L108" s="334" t="str">
        <f aca="false">IF((E108="e"),G108," ")</f>
        <v> </v>
      </c>
      <c r="M108" s="334" t="str">
        <f aca="false">IF((E108="p"),G108," ")</f>
        <v> </v>
      </c>
      <c r="N108" s="334" t="str">
        <f aca="false">IF((E108="r"),G108," ")</f>
        <v> </v>
      </c>
      <c r="O108" s="334" t="str">
        <f aca="false">IF((E108="g"),G108," ")</f>
        <v> </v>
      </c>
      <c r="P108" s="334" t="str">
        <f aca="false">IF((E108="m"),G108," ")</f>
        <v> </v>
      </c>
      <c r="Q108" s="334" t="str">
        <f aca="false">IF((E108="t"),G108," ")</f>
        <v> </v>
      </c>
      <c r="R108" s="334" t="str">
        <f aca="false">IF((E108="a"),G108," ")</f>
        <v> </v>
      </c>
      <c r="S108" s="334" t="str">
        <f aca="false">IF((E108="l"),G108," ")</f>
        <v> </v>
      </c>
      <c r="T108" s="334" t="str">
        <f aca="false">IF((E108="b"),G108," ")</f>
        <v> </v>
      </c>
      <c r="U108" s="334" t="str">
        <f aca="false">IF((E108="i"),G108," ")</f>
        <v> </v>
      </c>
      <c r="V108" s="334" t="str">
        <f aca="false">IF((E108="o"),G108," ")</f>
        <v> </v>
      </c>
      <c r="W108" s="334" t="str">
        <f aca="false">IF((E108="f"),G108," ")</f>
        <v> </v>
      </c>
    </row>
    <row r="109" customFormat="false" ht="12.75" hidden="false" customHeight="false" outlineLevel="0" collapsed="false">
      <c r="A109" s="355"/>
      <c r="E109" s="365" t="str">
        <f aca="false">IF((G109&lt;&gt;0),"Enter Letter"," ")</f>
        <v> </v>
      </c>
      <c r="H109" s="338" t="str">
        <f aca="false">IF((G109&lt;&gt;0),IF((D109&gt;0)," ",G109)," ")</f>
        <v> </v>
      </c>
      <c r="I109" s="367" t="str">
        <f aca="false">IF((G109&lt;&gt;0),IF((D109&gt;0)," ",(I$1-A109))," ")</f>
        <v> </v>
      </c>
      <c r="J109" s="334" t="str">
        <f aca="false">IF((E109="s"),G109," ")</f>
        <v> </v>
      </c>
      <c r="K109" s="334" t="str">
        <f aca="false">IF((E109="d"),G109," ")</f>
        <v> </v>
      </c>
      <c r="L109" s="334" t="str">
        <f aca="false">IF((E109="e"),G109," ")</f>
        <v> </v>
      </c>
      <c r="M109" s="334" t="str">
        <f aca="false">IF((E109="p"),G109," ")</f>
        <v> </v>
      </c>
      <c r="N109" s="334" t="str">
        <f aca="false">IF((E109="r"),G109," ")</f>
        <v> </v>
      </c>
      <c r="O109" s="334" t="str">
        <f aca="false">IF((E109="g"),G109," ")</f>
        <v> </v>
      </c>
      <c r="P109" s="334" t="str">
        <f aca="false">IF((E109="m"),G109," ")</f>
        <v> </v>
      </c>
      <c r="Q109" s="334" t="str">
        <f aca="false">IF((E109="t"),G109," ")</f>
        <v> </v>
      </c>
      <c r="R109" s="334" t="str">
        <f aca="false">IF((E109="a"),G109," ")</f>
        <v> </v>
      </c>
      <c r="S109" s="334" t="str">
        <f aca="false">IF((E109="l"),G109," ")</f>
        <v> </v>
      </c>
      <c r="T109" s="334" t="str">
        <f aca="false">IF((E109="b"),G109," ")</f>
        <v> </v>
      </c>
      <c r="U109" s="334" t="str">
        <f aca="false">IF((E109="i"),G109," ")</f>
        <v> </v>
      </c>
      <c r="V109" s="334" t="str">
        <f aca="false">IF((E109="o"),G109," ")</f>
        <v> </v>
      </c>
      <c r="W109" s="334" t="str">
        <f aca="false">IF((E109="f"),G109," ")</f>
        <v> </v>
      </c>
    </row>
    <row r="110" customFormat="false" ht="12.75" hidden="false" customHeight="false" outlineLevel="0" collapsed="false">
      <c r="A110" s="355"/>
      <c r="E110" s="365" t="str">
        <f aca="false">IF((G110&lt;&gt;0),"Enter Letter"," ")</f>
        <v> </v>
      </c>
      <c r="H110" s="338" t="str">
        <f aca="false">IF((G110&lt;&gt;0),IF((D110&gt;0)," ",G110)," ")</f>
        <v> </v>
      </c>
      <c r="I110" s="367" t="str">
        <f aca="false">IF((G110&lt;&gt;0),IF((D110&gt;0)," ",(I$1-A110))," ")</f>
        <v> </v>
      </c>
      <c r="J110" s="334" t="str">
        <f aca="false">IF((E110="s"),G110," ")</f>
        <v> </v>
      </c>
      <c r="K110" s="334" t="str">
        <f aca="false">IF((E110="d"),G110," ")</f>
        <v> </v>
      </c>
      <c r="L110" s="334" t="str">
        <f aca="false">IF((E110="e"),G110," ")</f>
        <v> </v>
      </c>
      <c r="M110" s="334" t="str">
        <f aca="false">IF((E110="p"),G110," ")</f>
        <v> </v>
      </c>
      <c r="N110" s="334" t="str">
        <f aca="false">IF((E110="r"),G110," ")</f>
        <v> </v>
      </c>
      <c r="O110" s="334" t="str">
        <f aca="false">IF((E110="g"),G110," ")</f>
        <v> </v>
      </c>
      <c r="P110" s="334" t="str">
        <f aca="false">IF((E110="m"),G110," ")</f>
        <v> </v>
      </c>
      <c r="Q110" s="334" t="str">
        <f aca="false">IF((E110="t"),G110," ")</f>
        <v> </v>
      </c>
      <c r="R110" s="334" t="str">
        <f aca="false">IF((E110="a"),G110," ")</f>
        <v> </v>
      </c>
      <c r="S110" s="334" t="str">
        <f aca="false">IF((E110="l"),G110," ")</f>
        <v> </v>
      </c>
      <c r="T110" s="334" t="str">
        <f aca="false">IF((E110="b"),G110," ")</f>
        <v> </v>
      </c>
      <c r="U110" s="334" t="str">
        <f aca="false">IF((E110="i"),G110," ")</f>
        <v> </v>
      </c>
      <c r="V110" s="334" t="str">
        <f aca="false">IF((E110="o"),G110," ")</f>
        <v> </v>
      </c>
      <c r="W110" s="334" t="str">
        <f aca="false">IF((E110="f"),G110," ")</f>
        <v> </v>
      </c>
    </row>
    <row r="111" customFormat="false" ht="12.75" hidden="false" customHeight="false" outlineLevel="0" collapsed="false">
      <c r="A111" s="355"/>
      <c r="E111" s="365" t="str">
        <f aca="false">IF((G111&lt;&gt;0),"Enter Letter"," ")</f>
        <v> </v>
      </c>
      <c r="H111" s="338" t="str">
        <f aca="false">IF((G111&lt;&gt;0),IF((D111&gt;0)," ",G111)," ")</f>
        <v> </v>
      </c>
      <c r="I111" s="367" t="str">
        <f aca="false">IF((G111&lt;&gt;0),IF((D111&gt;0)," ",(I$1-A111))," ")</f>
        <v> </v>
      </c>
      <c r="J111" s="334" t="str">
        <f aca="false">IF((E111="s"),G111," ")</f>
        <v> </v>
      </c>
      <c r="K111" s="334" t="str">
        <f aca="false">IF((E111="d"),G111," ")</f>
        <v> </v>
      </c>
      <c r="L111" s="334" t="str">
        <f aca="false">IF((E111="e"),G111," ")</f>
        <v> </v>
      </c>
      <c r="M111" s="334" t="str">
        <f aca="false">IF((E111="p"),G111," ")</f>
        <v> </v>
      </c>
      <c r="N111" s="334" t="str">
        <f aca="false">IF((E111="r"),G111," ")</f>
        <v> </v>
      </c>
      <c r="O111" s="334" t="str">
        <f aca="false">IF((E111="g"),G111," ")</f>
        <v> </v>
      </c>
      <c r="P111" s="334" t="str">
        <f aca="false">IF((E111="m"),G111," ")</f>
        <v> </v>
      </c>
      <c r="Q111" s="334" t="str">
        <f aca="false">IF((E111="t"),G111," ")</f>
        <v> </v>
      </c>
      <c r="R111" s="334" t="str">
        <f aca="false">IF((E111="a"),G111," ")</f>
        <v> </v>
      </c>
      <c r="S111" s="334" t="str">
        <f aca="false">IF((E111="l"),G111," ")</f>
        <v> </v>
      </c>
      <c r="T111" s="334" t="str">
        <f aca="false">IF((E111="b"),G111," ")</f>
        <v> </v>
      </c>
      <c r="U111" s="334" t="str">
        <f aca="false">IF((E111="i"),G111," ")</f>
        <v> </v>
      </c>
      <c r="V111" s="334" t="str">
        <f aca="false">IF((E111="o"),G111," ")</f>
        <v> </v>
      </c>
      <c r="W111" s="334" t="str">
        <f aca="false">IF((E111="f"),G111," ")</f>
        <v> </v>
      </c>
    </row>
    <row r="112" customFormat="false" ht="12.75" hidden="false" customHeight="false" outlineLevel="0" collapsed="false">
      <c r="A112" s="355"/>
      <c r="E112" s="365" t="str">
        <f aca="false">IF((G112&lt;&gt;0),"Enter Letter"," ")</f>
        <v> </v>
      </c>
      <c r="H112" s="338" t="str">
        <f aca="false">IF((G112&lt;&gt;0),IF((D112&gt;0)," ",G112)," ")</f>
        <v> </v>
      </c>
      <c r="I112" s="367" t="str">
        <f aca="false">IF((G112&lt;&gt;0),IF((D112&gt;0)," ",(I$1-A112))," ")</f>
        <v> </v>
      </c>
      <c r="J112" s="334" t="str">
        <f aca="false">IF((E112="s"),G112," ")</f>
        <v> </v>
      </c>
      <c r="K112" s="334" t="str">
        <f aca="false">IF((E112="d"),G112," ")</f>
        <v> </v>
      </c>
      <c r="L112" s="334" t="str">
        <f aca="false">IF((E112="e"),G112," ")</f>
        <v> </v>
      </c>
      <c r="M112" s="334" t="str">
        <f aca="false">IF((E112="p"),G112," ")</f>
        <v> </v>
      </c>
      <c r="N112" s="334" t="str">
        <f aca="false">IF((E112="r"),G112," ")</f>
        <v> </v>
      </c>
      <c r="O112" s="334" t="str">
        <f aca="false">IF((E112="g"),G112," ")</f>
        <v> </v>
      </c>
      <c r="P112" s="334" t="str">
        <f aca="false">IF((E112="m"),G112," ")</f>
        <v> </v>
      </c>
      <c r="Q112" s="334" t="str">
        <f aca="false">IF((E112="t"),G112," ")</f>
        <v> </v>
      </c>
      <c r="R112" s="334" t="str">
        <f aca="false">IF((E112="a"),G112," ")</f>
        <v> </v>
      </c>
      <c r="S112" s="334" t="str">
        <f aca="false">IF((E112="l"),G112," ")</f>
        <v> </v>
      </c>
      <c r="T112" s="334" t="str">
        <f aca="false">IF((E112="b"),G112," ")</f>
        <v> </v>
      </c>
      <c r="U112" s="334" t="str">
        <f aca="false">IF((E112="i"),G112," ")</f>
        <v> </v>
      </c>
      <c r="V112" s="334" t="str">
        <f aca="false">IF((E112="o"),G112," ")</f>
        <v> </v>
      </c>
      <c r="W112" s="334" t="str">
        <f aca="false">IF((E112="f"),G112," ")</f>
        <v> </v>
      </c>
    </row>
    <row r="113" customFormat="false" ht="12.75" hidden="false" customHeight="false" outlineLevel="0" collapsed="false">
      <c r="A113" s="355"/>
      <c r="E113" s="365" t="str">
        <f aca="false">IF((G113&lt;&gt;0),"Enter Letter"," ")</f>
        <v> </v>
      </c>
      <c r="H113" s="338" t="str">
        <f aca="false">IF((G113&lt;&gt;0),IF((D113&gt;0)," ",G113)," ")</f>
        <v> </v>
      </c>
      <c r="I113" s="367" t="str">
        <f aca="false">IF((G113&lt;&gt;0),IF((D113&gt;0)," ",(I$1-A113))," ")</f>
        <v> </v>
      </c>
      <c r="J113" s="334" t="str">
        <f aca="false">IF((E113="s"),G113," ")</f>
        <v> </v>
      </c>
      <c r="K113" s="334" t="str">
        <f aca="false">IF((E113="d"),G113," ")</f>
        <v> </v>
      </c>
      <c r="L113" s="334" t="str">
        <f aca="false">IF((E113="e"),G113," ")</f>
        <v> </v>
      </c>
      <c r="M113" s="334" t="str">
        <f aca="false">IF((E113="p"),G113," ")</f>
        <v> </v>
      </c>
      <c r="N113" s="334" t="str">
        <f aca="false">IF((E113="r"),G113," ")</f>
        <v> </v>
      </c>
      <c r="O113" s="334" t="str">
        <f aca="false">IF((E113="g"),G113," ")</f>
        <v> </v>
      </c>
      <c r="P113" s="334" t="str">
        <f aca="false">IF((E113="m"),G113," ")</f>
        <v> </v>
      </c>
      <c r="Q113" s="334" t="str">
        <f aca="false">IF((E113="t"),G113," ")</f>
        <v> </v>
      </c>
      <c r="R113" s="334" t="str">
        <f aca="false">IF((E113="a"),G113," ")</f>
        <v> </v>
      </c>
      <c r="S113" s="334" t="str">
        <f aca="false">IF((E113="l"),G113," ")</f>
        <v> </v>
      </c>
      <c r="T113" s="334" t="str">
        <f aca="false">IF((E113="b"),G113," ")</f>
        <v> </v>
      </c>
      <c r="U113" s="334" t="str">
        <f aca="false">IF((E113="i"),G113," ")</f>
        <v> </v>
      </c>
      <c r="V113" s="334" t="str">
        <f aca="false">IF((E113="o"),G113," ")</f>
        <v> </v>
      </c>
      <c r="W113" s="334" t="str">
        <f aca="false">IF((E113="f"),G113," ")</f>
        <v> </v>
      </c>
    </row>
    <row r="114" customFormat="false" ht="12.75" hidden="false" customHeight="false" outlineLevel="0" collapsed="false">
      <c r="A114" s="355"/>
      <c r="E114" s="365" t="str">
        <f aca="false">IF((G114&lt;&gt;0),"Enter Letter"," ")</f>
        <v> </v>
      </c>
      <c r="H114" s="338" t="str">
        <f aca="false">IF((G114&lt;&gt;0),IF((D114&gt;0)," ",G114)," ")</f>
        <v> </v>
      </c>
      <c r="I114" s="367" t="str">
        <f aca="false">IF((G114&lt;&gt;0),IF((D114&gt;0)," ",(I$1-A114))," ")</f>
        <v> </v>
      </c>
      <c r="J114" s="334" t="str">
        <f aca="false">IF((E114="s"),G114," ")</f>
        <v> </v>
      </c>
      <c r="K114" s="334" t="str">
        <f aca="false">IF((E114="d"),G114," ")</f>
        <v> </v>
      </c>
      <c r="L114" s="334" t="str">
        <f aca="false">IF((E114="e"),G114," ")</f>
        <v> </v>
      </c>
      <c r="M114" s="334" t="str">
        <f aca="false">IF((E114="p"),G114," ")</f>
        <v> </v>
      </c>
      <c r="N114" s="334" t="str">
        <f aca="false">IF((E114="r"),G114," ")</f>
        <v> </v>
      </c>
      <c r="O114" s="334" t="str">
        <f aca="false">IF((E114="g"),G114," ")</f>
        <v> </v>
      </c>
      <c r="P114" s="334" t="str">
        <f aca="false">IF((E114="m"),G114," ")</f>
        <v> </v>
      </c>
      <c r="Q114" s="334" t="str">
        <f aca="false">IF((E114="t"),G114," ")</f>
        <v> </v>
      </c>
      <c r="R114" s="334" t="str">
        <f aca="false">IF((E114="a"),G114," ")</f>
        <v> </v>
      </c>
      <c r="S114" s="334" t="str">
        <f aca="false">IF((E114="l"),G114," ")</f>
        <v> </v>
      </c>
      <c r="T114" s="334" t="str">
        <f aca="false">IF((E114="b"),G114," ")</f>
        <v> </v>
      </c>
      <c r="U114" s="334" t="str">
        <f aca="false">IF((E114="i"),G114," ")</f>
        <v> </v>
      </c>
      <c r="V114" s="334" t="str">
        <f aca="false">IF((E114="o"),G114," ")</f>
        <v> </v>
      </c>
      <c r="W114" s="334" t="str">
        <f aca="false">IF((E114="f"),G114," ")</f>
        <v> </v>
      </c>
    </row>
    <row r="115" customFormat="false" ht="12.75" hidden="false" customHeight="false" outlineLevel="0" collapsed="false">
      <c r="A115" s="355"/>
      <c r="E115" s="365" t="str">
        <f aca="false">IF((G115&lt;&gt;0),"Enter Letter"," ")</f>
        <v> </v>
      </c>
      <c r="H115" s="338" t="str">
        <f aca="false">IF((G115&lt;&gt;0),IF((D115&gt;0)," ",G115)," ")</f>
        <v> </v>
      </c>
      <c r="I115" s="367" t="str">
        <f aca="false">IF((G115&lt;&gt;0),IF((D115&gt;0)," ",(I$1-A115))," ")</f>
        <v> </v>
      </c>
      <c r="J115" s="334" t="str">
        <f aca="false">IF((E115="s"),G115," ")</f>
        <v> </v>
      </c>
      <c r="K115" s="334" t="str">
        <f aca="false">IF((E115="d"),G115," ")</f>
        <v> </v>
      </c>
      <c r="L115" s="334" t="str">
        <f aca="false">IF((E115="e"),G115," ")</f>
        <v> </v>
      </c>
      <c r="M115" s="334" t="str">
        <f aca="false">IF((E115="p"),G115," ")</f>
        <v> </v>
      </c>
      <c r="N115" s="334" t="str">
        <f aca="false">IF((E115="r"),G115," ")</f>
        <v> </v>
      </c>
      <c r="O115" s="334" t="str">
        <f aca="false">IF((E115="g"),G115," ")</f>
        <v> </v>
      </c>
      <c r="P115" s="334" t="str">
        <f aca="false">IF((E115="m"),G115," ")</f>
        <v> </v>
      </c>
      <c r="Q115" s="334" t="str">
        <f aca="false">IF((E115="t"),G115," ")</f>
        <v> </v>
      </c>
      <c r="R115" s="334" t="str">
        <f aca="false">IF((E115="a"),G115," ")</f>
        <v> </v>
      </c>
      <c r="S115" s="334" t="str">
        <f aca="false">IF((E115="l"),G115," ")</f>
        <v> </v>
      </c>
      <c r="T115" s="334" t="str">
        <f aca="false">IF((E115="b"),G115," ")</f>
        <v> </v>
      </c>
      <c r="U115" s="334" t="str">
        <f aca="false">IF((E115="i"),G115," ")</f>
        <v> </v>
      </c>
      <c r="V115" s="334" t="str">
        <f aca="false">IF((E115="o"),G115," ")</f>
        <v> </v>
      </c>
      <c r="W115" s="334" t="str">
        <f aca="false">IF((E115="f"),G115," ")</f>
        <v> </v>
      </c>
    </row>
    <row r="116" customFormat="false" ht="12.75" hidden="false" customHeight="false" outlineLevel="0" collapsed="false">
      <c r="A116" s="355"/>
      <c r="E116" s="365" t="str">
        <f aca="false">IF((G116&lt;&gt;0),"Enter Letter"," ")</f>
        <v> </v>
      </c>
      <c r="H116" s="338" t="str">
        <f aca="false">IF((G116&lt;&gt;0),IF((D116&gt;0)," ",G116)," ")</f>
        <v> </v>
      </c>
      <c r="I116" s="367" t="str">
        <f aca="false">IF((G116&lt;&gt;0),IF((D116&gt;0)," ",(I$1-A116))," ")</f>
        <v> </v>
      </c>
      <c r="J116" s="334" t="str">
        <f aca="false">IF((E116="s"),G116," ")</f>
        <v> </v>
      </c>
      <c r="K116" s="334" t="str">
        <f aca="false">IF((E116="d"),G116," ")</f>
        <v> </v>
      </c>
      <c r="L116" s="334" t="str">
        <f aca="false">IF((E116="e"),G116," ")</f>
        <v> </v>
      </c>
      <c r="M116" s="334" t="str">
        <f aca="false">IF((E116="p"),G116," ")</f>
        <v> </v>
      </c>
      <c r="N116" s="334" t="str">
        <f aca="false">IF((E116="r"),G116," ")</f>
        <v> </v>
      </c>
      <c r="O116" s="334" t="str">
        <f aca="false">IF((E116="g"),G116," ")</f>
        <v> </v>
      </c>
      <c r="P116" s="334" t="str">
        <f aca="false">IF((E116="m"),G116," ")</f>
        <v> </v>
      </c>
      <c r="Q116" s="334" t="str">
        <f aca="false">IF((E116="t"),G116," ")</f>
        <v> </v>
      </c>
      <c r="R116" s="334" t="str">
        <f aca="false">IF((E116="a"),G116," ")</f>
        <v> </v>
      </c>
      <c r="S116" s="334" t="str">
        <f aca="false">IF((E116="l"),G116," ")</f>
        <v> </v>
      </c>
      <c r="T116" s="334" t="str">
        <f aca="false">IF((E116="b"),G116," ")</f>
        <v> </v>
      </c>
      <c r="U116" s="334" t="str">
        <f aca="false">IF((E116="i"),G116," ")</f>
        <v> </v>
      </c>
      <c r="V116" s="334" t="str">
        <f aca="false">IF((E116="o"),G116," ")</f>
        <v> </v>
      </c>
      <c r="W116" s="334" t="str">
        <f aca="false">IF((E116="f"),G116," ")</f>
        <v> </v>
      </c>
    </row>
    <row r="117" customFormat="false" ht="12.75" hidden="false" customHeight="false" outlineLevel="0" collapsed="false">
      <c r="A117" s="355"/>
      <c r="E117" s="365" t="str">
        <f aca="false">IF((G117&lt;&gt;0),"Enter Letter"," ")</f>
        <v> </v>
      </c>
      <c r="H117" s="338" t="str">
        <f aca="false">IF((G117&lt;&gt;0),IF((D117&gt;0)," ",G117)," ")</f>
        <v> </v>
      </c>
      <c r="I117" s="367" t="str">
        <f aca="false">IF((G117&lt;&gt;0),IF((D117&gt;0)," ",(I$1-A117))," ")</f>
        <v> </v>
      </c>
      <c r="J117" s="334" t="str">
        <f aca="false">IF((E117="s"),G117," ")</f>
        <v> </v>
      </c>
      <c r="K117" s="334" t="str">
        <f aca="false">IF((E117="d"),G117," ")</f>
        <v> </v>
      </c>
      <c r="L117" s="334" t="str">
        <f aca="false">IF((E117="e"),G117," ")</f>
        <v> </v>
      </c>
      <c r="M117" s="334" t="str">
        <f aca="false">IF((E117="p"),G117," ")</f>
        <v> </v>
      </c>
      <c r="N117" s="334" t="str">
        <f aca="false">IF((E117="r"),G117," ")</f>
        <v> </v>
      </c>
      <c r="O117" s="334" t="str">
        <f aca="false">IF((E117="g"),G117," ")</f>
        <v> </v>
      </c>
      <c r="P117" s="334" t="str">
        <f aca="false">IF((E117="m"),G117," ")</f>
        <v> </v>
      </c>
      <c r="Q117" s="334" t="str">
        <f aca="false">IF((E117="t"),G117," ")</f>
        <v> </v>
      </c>
      <c r="R117" s="334" t="str">
        <f aca="false">IF((E117="a"),G117," ")</f>
        <v> </v>
      </c>
      <c r="S117" s="334" t="str">
        <f aca="false">IF((E117="l"),G117," ")</f>
        <v> </v>
      </c>
      <c r="T117" s="334" t="str">
        <f aca="false">IF((E117="b"),G117," ")</f>
        <v> </v>
      </c>
      <c r="U117" s="334" t="str">
        <f aca="false">IF((E117="i"),G117," ")</f>
        <v> </v>
      </c>
      <c r="V117" s="334" t="str">
        <f aca="false">IF((E117="o"),G117," ")</f>
        <v> </v>
      </c>
      <c r="W117" s="334" t="str">
        <f aca="false">IF((E117="f"),G117," ")</f>
        <v> </v>
      </c>
    </row>
    <row r="118" customFormat="false" ht="12.75" hidden="false" customHeight="false" outlineLevel="0" collapsed="false">
      <c r="A118" s="355"/>
      <c r="E118" s="365" t="str">
        <f aca="false">IF((G118&lt;&gt;0),"Enter Letter"," ")</f>
        <v> </v>
      </c>
      <c r="H118" s="338" t="str">
        <f aca="false">IF((G118&lt;&gt;0),IF((D118&gt;0)," ",G118)," ")</f>
        <v> </v>
      </c>
      <c r="I118" s="367" t="str">
        <f aca="false">IF((G118&lt;&gt;0),IF((D118&gt;0)," ",(I$1-A118))," ")</f>
        <v> </v>
      </c>
      <c r="J118" s="334" t="str">
        <f aca="false">IF((E118="s"),G118," ")</f>
        <v> </v>
      </c>
      <c r="K118" s="334" t="str">
        <f aca="false">IF((E118="d"),G118," ")</f>
        <v> </v>
      </c>
      <c r="L118" s="334" t="str">
        <f aca="false">IF((E118="e"),G118," ")</f>
        <v> </v>
      </c>
      <c r="M118" s="334" t="str">
        <f aca="false">IF((E118="p"),G118," ")</f>
        <v> </v>
      </c>
      <c r="N118" s="334" t="str">
        <f aca="false">IF((E118="r"),G118," ")</f>
        <v> </v>
      </c>
      <c r="O118" s="334" t="str">
        <f aca="false">IF((E118="g"),G118," ")</f>
        <v> </v>
      </c>
      <c r="P118" s="334" t="str">
        <f aca="false">IF((E118="m"),G118," ")</f>
        <v> </v>
      </c>
      <c r="Q118" s="334" t="str">
        <f aca="false">IF((E118="t"),G118," ")</f>
        <v> </v>
      </c>
      <c r="R118" s="334" t="str">
        <f aca="false">IF((E118="a"),G118," ")</f>
        <v> </v>
      </c>
      <c r="S118" s="334" t="str">
        <f aca="false">IF((E118="l"),G118," ")</f>
        <v> </v>
      </c>
      <c r="T118" s="334" t="str">
        <f aca="false">IF((E118="b"),G118," ")</f>
        <v> </v>
      </c>
      <c r="U118" s="334" t="str">
        <f aca="false">IF((E118="i"),G118," ")</f>
        <v> </v>
      </c>
      <c r="V118" s="334" t="str">
        <f aca="false">IF((E118="o"),G118," ")</f>
        <v> </v>
      </c>
      <c r="W118" s="334" t="str">
        <f aca="false">IF((E118="f"),G118," ")</f>
        <v> </v>
      </c>
    </row>
    <row r="119" customFormat="false" ht="12.75" hidden="false" customHeight="false" outlineLevel="0" collapsed="false">
      <c r="A119" s="355"/>
      <c r="E119" s="365" t="str">
        <f aca="false">IF((G119&lt;&gt;0),"Enter Letter"," ")</f>
        <v> </v>
      </c>
      <c r="H119" s="338" t="str">
        <f aca="false">IF((G119&lt;&gt;0),IF((D119&gt;0)," ",G119)," ")</f>
        <v> </v>
      </c>
      <c r="I119" s="367" t="str">
        <f aca="false">IF((G119&lt;&gt;0),IF((D119&gt;0)," ",(I$1-A119))," ")</f>
        <v> </v>
      </c>
      <c r="J119" s="334" t="str">
        <f aca="false">IF((E119="s"),G119," ")</f>
        <v> </v>
      </c>
      <c r="K119" s="334" t="str">
        <f aca="false">IF((E119="d"),G119," ")</f>
        <v> </v>
      </c>
      <c r="L119" s="334" t="str">
        <f aca="false">IF((E119="e"),G119," ")</f>
        <v> </v>
      </c>
      <c r="M119" s="334" t="str">
        <f aca="false">IF((E119="p"),G119," ")</f>
        <v> </v>
      </c>
      <c r="N119" s="334" t="str">
        <f aca="false">IF((E119="r"),G119," ")</f>
        <v> </v>
      </c>
      <c r="O119" s="334" t="str">
        <f aca="false">IF((E119="g"),G119," ")</f>
        <v> </v>
      </c>
      <c r="P119" s="334" t="str">
        <f aca="false">IF((E119="m"),G119," ")</f>
        <v> </v>
      </c>
      <c r="Q119" s="334" t="str">
        <f aca="false">IF((E119="t"),G119," ")</f>
        <v> </v>
      </c>
      <c r="R119" s="334" t="str">
        <f aca="false">IF((E119="a"),G119," ")</f>
        <v> </v>
      </c>
      <c r="S119" s="334" t="str">
        <f aca="false">IF((E119="l"),G119," ")</f>
        <v> </v>
      </c>
      <c r="T119" s="334" t="str">
        <f aca="false">IF((E119="b"),G119," ")</f>
        <v> </v>
      </c>
      <c r="U119" s="334" t="str">
        <f aca="false">IF((E119="i"),G119," ")</f>
        <v> </v>
      </c>
      <c r="V119" s="334" t="str">
        <f aca="false">IF((E119="o"),G119," ")</f>
        <v> </v>
      </c>
      <c r="W119" s="334" t="str">
        <f aca="false">IF((E119="f"),G119," ")</f>
        <v> </v>
      </c>
    </row>
    <row r="120" customFormat="false" ht="12.75" hidden="false" customHeight="false" outlineLevel="0" collapsed="false">
      <c r="A120" s="355"/>
      <c r="E120" s="365" t="str">
        <f aca="false">IF((G120&lt;&gt;0),"Enter Letter"," ")</f>
        <v> </v>
      </c>
      <c r="H120" s="338" t="str">
        <f aca="false">IF((G120&lt;&gt;0),IF((D120&gt;0)," ",G120)," ")</f>
        <v> </v>
      </c>
      <c r="I120" s="367" t="str">
        <f aca="false">IF((G120&lt;&gt;0),IF((D120&gt;0)," ",(I$1-A120))," ")</f>
        <v> </v>
      </c>
      <c r="J120" s="334" t="str">
        <f aca="false">IF((E120="s"),G120," ")</f>
        <v> </v>
      </c>
      <c r="K120" s="334" t="str">
        <f aca="false">IF((E120="d"),G120," ")</f>
        <v> </v>
      </c>
      <c r="L120" s="334" t="str">
        <f aca="false">IF((E120="e"),G120," ")</f>
        <v> </v>
      </c>
      <c r="M120" s="334" t="str">
        <f aca="false">IF((E120="p"),G120," ")</f>
        <v> </v>
      </c>
      <c r="N120" s="334" t="str">
        <f aca="false">IF((E120="r"),G120," ")</f>
        <v> </v>
      </c>
      <c r="O120" s="334" t="str">
        <f aca="false">IF((E120="g"),G120," ")</f>
        <v> </v>
      </c>
      <c r="P120" s="334" t="str">
        <f aca="false">IF((E120="m"),G120," ")</f>
        <v> </v>
      </c>
      <c r="Q120" s="334" t="str">
        <f aca="false">IF((E120="t"),G120," ")</f>
        <v> </v>
      </c>
      <c r="R120" s="334" t="str">
        <f aca="false">IF((E120="a"),G120," ")</f>
        <v> </v>
      </c>
      <c r="S120" s="334" t="str">
        <f aca="false">IF((E120="l"),G120," ")</f>
        <v> </v>
      </c>
      <c r="T120" s="334" t="str">
        <f aca="false">IF((E120="b"),G120," ")</f>
        <v> </v>
      </c>
      <c r="U120" s="334" t="str">
        <f aca="false">IF((E120="i"),G120," ")</f>
        <v> </v>
      </c>
      <c r="V120" s="334" t="str">
        <f aca="false">IF((E120="o"),G120," ")</f>
        <v> </v>
      </c>
      <c r="W120" s="334" t="str">
        <f aca="false">IF((E120="f"),G120," ")</f>
        <v> </v>
      </c>
    </row>
    <row r="121" customFormat="false" ht="12.75" hidden="false" customHeight="false" outlineLevel="0" collapsed="false">
      <c r="A121" s="355"/>
      <c r="E121" s="365" t="str">
        <f aca="false">IF((G121&lt;&gt;0),"Enter Letter"," ")</f>
        <v> </v>
      </c>
      <c r="H121" s="338" t="str">
        <f aca="false">IF((G121&lt;&gt;0),IF((D121&gt;0)," ",G121)," ")</f>
        <v> </v>
      </c>
      <c r="I121" s="367" t="str">
        <f aca="false">IF((G121&lt;&gt;0),IF((D121&gt;0)," ",(I$1-A121))," ")</f>
        <v> </v>
      </c>
      <c r="J121" s="334" t="str">
        <f aca="false">IF((E121="s"),G121," ")</f>
        <v> </v>
      </c>
      <c r="K121" s="334" t="str">
        <f aca="false">IF((E121="d"),G121," ")</f>
        <v> </v>
      </c>
      <c r="L121" s="334" t="str">
        <f aca="false">IF((E121="e"),G121," ")</f>
        <v> </v>
      </c>
      <c r="M121" s="334" t="str">
        <f aca="false">IF((E121="p"),G121," ")</f>
        <v> </v>
      </c>
      <c r="N121" s="334" t="str">
        <f aca="false">IF((E121="r"),G121," ")</f>
        <v> </v>
      </c>
      <c r="O121" s="334" t="str">
        <f aca="false">IF((E121="g"),G121," ")</f>
        <v> </v>
      </c>
      <c r="P121" s="334" t="str">
        <f aca="false">IF((E121="m"),G121," ")</f>
        <v> </v>
      </c>
      <c r="Q121" s="334" t="str">
        <f aca="false">IF((E121="t"),G121," ")</f>
        <v> </v>
      </c>
      <c r="R121" s="334" t="str">
        <f aca="false">IF((E121="a"),G121," ")</f>
        <v> </v>
      </c>
      <c r="S121" s="334" t="str">
        <f aca="false">IF((E121="l"),G121," ")</f>
        <v> </v>
      </c>
      <c r="T121" s="334" t="str">
        <f aca="false">IF((E121="b"),G121," ")</f>
        <v> </v>
      </c>
      <c r="U121" s="334" t="str">
        <f aca="false">IF((E121="i"),G121," ")</f>
        <v> </v>
      </c>
      <c r="V121" s="334" t="str">
        <f aca="false">IF((E121="o"),G121," ")</f>
        <v> </v>
      </c>
      <c r="W121" s="334" t="str">
        <f aca="false">IF((E121="f"),G121," ")</f>
        <v> </v>
      </c>
    </row>
    <row r="122" customFormat="false" ht="12.75" hidden="false" customHeight="false" outlineLevel="0" collapsed="false">
      <c r="A122" s="355"/>
      <c r="E122" s="365" t="str">
        <f aca="false">IF((G122&lt;&gt;0),"Enter Letter"," ")</f>
        <v> </v>
      </c>
      <c r="H122" s="338" t="str">
        <f aca="false">IF((G122&lt;&gt;0),IF((D122&gt;0)," ",G122)," ")</f>
        <v> </v>
      </c>
      <c r="I122" s="367" t="str">
        <f aca="false">IF((G122&lt;&gt;0),IF((D122&gt;0)," ",(I$1-A122))," ")</f>
        <v> </v>
      </c>
      <c r="J122" s="334" t="str">
        <f aca="false">IF((E122="s"),G122," ")</f>
        <v> </v>
      </c>
      <c r="K122" s="334" t="str">
        <f aca="false">IF((E122="d"),G122," ")</f>
        <v> </v>
      </c>
      <c r="L122" s="334" t="str">
        <f aca="false">IF((E122="e"),G122," ")</f>
        <v> </v>
      </c>
      <c r="M122" s="334" t="str">
        <f aca="false">IF((E122="p"),G122," ")</f>
        <v> </v>
      </c>
      <c r="N122" s="334" t="str">
        <f aca="false">IF((E122="r"),G122," ")</f>
        <v> </v>
      </c>
      <c r="O122" s="334" t="str">
        <f aca="false">IF((E122="g"),G122," ")</f>
        <v> </v>
      </c>
      <c r="P122" s="334" t="str">
        <f aca="false">IF((E122="m"),G122," ")</f>
        <v> </v>
      </c>
      <c r="Q122" s="334" t="str">
        <f aca="false">IF((E122="t"),G122," ")</f>
        <v> </v>
      </c>
      <c r="R122" s="334" t="str">
        <f aca="false">IF((E122="a"),G122," ")</f>
        <v> </v>
      </c>
      <c r="S122" s="334" t="str">
        <f aca="false">IF((E122="l"),G122," ")</f>
        <v> </v>
      </c>
      <c r="T122" s="334" t="str">
        <f aca="false">IF((E122="b"),G122," ")</f>
        <v> </v>
      </c>
      <c r="U122" s="334" t="str">
        <f aca="false">IF((E122="i"),G122," ")</f>
        <v> </v>
      </c>
      <c r="V122" s="334" t="str">
        <f aca="false">IF((E122="o"),G122," ")</f>
        <v> </v>
      </c>
      <c r="W122" s="334" t="str">
        <f aca="false">IF((E122="f"),G122," ")</f>
        <v> </v>
      </c>
    </row>
    <row r="123" customFormat="false" ht="12.75" hidden="false" customHeight="false" outlineLevel="0" collapsed="false">
      <c r="A123" s="355"/>
      <c r="E123" s="365" t="str">
        <f aca="false">IF((G123&lt;&gt;0),"Enter Letter"," ")</f>
        <v> </v>
      </c>
      <c r="H123" s="338" t="str">
        <f aca="false">IF((G123&lt;&gt;0),IF((D123&gt;0)," ",G123)," ")</f>
        <v> </v>
      </c>
      <c r="I123" s="367" t="str">
        <f aca="false">IF((G123&lt;&gt;0),IF((D123&gt;0)," ",(I$1-A123))," ")</f>
        <v> </v>
      </c>
      <c r="J123" s="334" t="str">
        <f aca="false">IF((E123="s"),G123," ")</f>
        <v> </v>
      </c>
      <c r="K123" s="334" t="str">
        <f aca="false">IF((E123="d"),G123," ")</f>
        <v> </v>
      </c>
      <c r="L123" s="334" t="str">
        <f aca="false">IF((E123="e"),G123," ")</f>
        <v> </v>
      </c>
      <c r="M123" s="334" t="str">
        <f aca="false">IF((E123="p"),G123," ")</f>
        <v> </v>
      </c>
      <c r="N123" s="334" t="str">
        <f aca="false">IF((E123="r"),G123," ")</f>
        <v> </v>
      </c>
      <c r="O123" s="334" t="str">
        <f aca="false">IF((E123="g"),G123," ")</f>
        <v> </v>
      </c>
      <c r="P123" s="334" t="str">
        <f aca="false">IF((E123="m"),G123," ")</f>
        <v> </v>
      </c>
      <c r="Q123" s="334" t="str">
        <f aca="false">IF((E123="t"),G123," ")</f>
        <v> </v>
      </c>
      <c r="R123" s="334" t="str">
        <f aca="false">IF((E123="a"),G123," ")</f>
        <v> </v>
      </c>
      <c r="S123" s="334" t="str">
        <f aca="false">IF((E123="l"),G123," ")</f>
        <v> </v>
      </c>
      <c r="T123" s="334" t="str">
        <f aca="false">IF((E123="b"),G123," ")</f>
        <v> </v>
      </c>
      <c r="U123" s="334" t="str">
        <f aca="false">IF((E123="i"),G123," ")</f>
        <v> </v>
      </c>
      <c r="V123" s="334" t="str">
        <f aca="false">IF((E123="o"),G123," ")</f>
        <v> </v>
      </c>
      <c r="W123" s="334" t="str">
        <f aca="false">IF((E123="f"),G123," ")</f>
        <v> </v>
      </c>
    </row>
    <row r="124" customFormat="false" ht="12.75" hidden="false" customHeight="false" outlineLevel="0" collapsed="false">
      <c r="A124" s="355"/>
      <c r="E124" s="365" t="str">
        <f aca="false">IF((G124&lt;&gt;0),"Enter Letter"," ")</f>
        <v> </v>
      </c>
      <c r="H124" s="338" t="str">
        <f aca="false">IF((G124&lt;&gt;0),IF((D124&gt;0)," ",G124)," ")</f>
        <v> </v>
      </c>
      <c r="I124" s="367" t="str">
        <f aca="false">IF((G124&lt;&gt;0),IF((D124&gt;0)," ",(I$1-A124))," ")</f>
        <v> </v>
      </c>
      <c r="J124" s="334" t="str">
        <f aca="false">IF((E124="s"),G124," ")</f>
        <v> </v>
      </c>
      <c r="K124" s="334" t="str">
        <f aca="false">IF((E124="d"),G124," ")</f>
        <v> </v>
      </c>
      <c r="L124" s="334" t="str">
        <f aca="false">IF((E124="e"),G124," ")</f>
        <v> </v>
      </c>
      <c r="M124" s="334" t="str">
        <f aca="false">IF((E124="p"),G124," ")</f>
        <v> </v>
      </c>
      <c r="N124" s="334" t="str">
        <f aca="false">IF((E124="r"),G124," ")</f>
        <v> </v>
      </c>
      <c r="O124" s="334" t="str">
        <f aca="false">IF((E124="g"),G124," ")</f>
        <v> </v>
      </c>
      <c r="P124" s="334" t="str">
        <f aca="false">IF((E124="m"),G124," ")</f>
        <v> </v>
      </c>
      <c r="Q124" s="334" t="str">
        <f aca="false">IF((E124="t"),G124," ")</f>
        <v> </v>
      </c>
      <c r="R124" s="334" t="str">
        <f aca="false">IF((E124="a"),G124," ")</f>
        <v> </v>
      </c>
      <c r="S124" s="334" t="str">
        <f aca="false">IF((E124="l"),G124," ")</f>
        <v> </v>
      </c>
      <c r="T124" s="334" t="str">
        <f aca="false">IF((E124="b"),G124," ")</f>
        <v> </v>
      </c>
      <c r="U124" s="334" t="str">
        <f aca="false">IF((E124="i"),G124," ")</f>
        <v> </v>
      </c>
      <c r="V124" s="334" t="str">
        <f aca="false">IF((E124="o"),G124," ")</f>
        <v> </v>
      </c>
      <c r="W124" s="334" t="str">
        <f aca="false">IF((E124="f"),G124," ")</f>
        <v> </v>
      </c>
    </row>
    <row r="125" customFormat="false" ht="12.75" hidden="false" customHeight="false" outlineLevel="0" collapsed="false">
      <c r="A125" s="355"/>
      <c r="E125" s="365" t="str">
        <f aca="false">IF((G125&lt;&gt;0),"Enter Letter"," ")</f>
        <v> </v>
      </c>
      <c r="H125" s="338" t="str">
        <f aca="false">IF((G125&lt;&gt;0),IF((D125&gt;0)," ",G125)," ")</f>
        <v> </v>
      </c>
      <c r="I125" s="367" t="str">
        <f aca="false">IF((G125&lt;&gt;0),IF((D125&gt;0)," ",(I$1-A125))," ")</f>
        <v> </v>
      </c>
      <c r="J125" s="334" t="str">
        <f aca="false">IF((E125="s"),G125," ")</f>
        <v> </v>
      </c>
      <c r="K125" s="334" t="str">
        <f aca="false">IF((E125="d"),G125," ")</f>
        <v> </v>
      </c>
      <c r="L125" s="334" t="str">
        <f aca="false">IF((E125="e"),G125," ")</f>
        <v> </v>
      </c>
      <c r="M125" s="334" t="str">
        <f aca="false">IF((E125="p"),G125," ")</f>
        <v> </v>
      </c>
      <c r="N125" s="334" t="str">
        <f aca="false">IF((E125="r"),G125," ")</f>
        <v> </v>
      </c>
      <c r="O125" s="334" t="str">
        <f aca="false">IF((E125="g"),G125," ")</f>
        <v> </v>
      </c>
      <c r="P125" s="334" t="str">
        <f aca="false">IF((E125="m"),G125," ")</f>
        <v> </v>
      </c>
      <c r="Q125" s="334" t="str">
        <f aca="false">IF((E125="t"),G125," ")</f>
        <v> </v>
      </c>
      <c r="R125" s="334" t="str">
        <f aca="false">IF((E125="a"),G125," ")</f>
        <v> </v>
      </c>
      <c r="S125" s="334" t="str">
        <f aca="false">IF((E125="l"),G125," ")</f>
        <v> </v>
      </c>
      <c r="T125" s="334" t="str">
        <f aca="false">IF((E125="b"),G125," ")</f>
        <v> </v>
      </c>
      <c r="U125" s="334" t="str">
        <f aca="false">IF((E125="i"),G125," ")</f>
        <v> </v>
      </c>
      <c r="V125" s="334" t="str">
        <f aca="false">IF((E125="o"),G125," ")</f>
        <v> </v>
      </c>
      <c r="W125" s="334" t="str">
        <f aca="false">IF((E125="f"),G125," ")</f>
        <v> </v>
      </c>
    </row>
    <row r="126" customFormat="false" ht="12.75" hidden="false" customHeight="false" outlineLevel="0" collapsed="false">
      <c r="A126" s="355"/>
      <c r="E126" s="365" t="str">
        <f aca="false">IF((G126&lt;&gt;0),"Enter Letter"," ")</f>
        <v> </v>
      </c>
      <c r="H126" s="338" t="str">
        <f aca="false">IF((G126&lt;&gt;0),IF((D126&gt;0)," ",G126)," ")</f>
        <v> </v>
      </c>
      <c r="I126" s="367" t="str">
        <f aca="false">IF((G126&lt;&gt;0),IF((D126&gt;0)," ",(I$1-A126))," ")</f>
        <v> </v>
      </c>
      <c r="J126" s="334" t="str">
        <f aca="false">IF((E126="s"),G126," ")</f>
        <v> </v>
      </c>
      <c r="K126" s="334" t="str">
        <f aca="false">IF((E126="d"),G126," ")</f>
        <v> </v>
      </c>
      <c r="L126" s="334" t="str">
        <f aca="false">IF((E126="e"),G126," ")</f>
        <v> </v>
      </c>
      <c r="M126" s="334" t="str">
        <f aca="false">IF((E126="p"),G126," ")</f>
        <v> </v>
      </c>
      <c r="N126" s="334" t="str">
        <f aca="false">IF((E126="r"),G126," ")</f>
        <v> </v>
      </c>
      <c r="O126" s="334" t="str">
        <f aca="false">IF((E126="g"),G126," ")</f>
        <v> </v>
      </c>
      <c r="P126" s="334" t="str">
        <f aca="false">IF((E126="m"),G126," ")</f>
        <v> </v>
      </c>
      <c r="Q126" s="334" t="str">
        <f aca="false">IF((E126="t"),G126," ")</f>
        <v> </v>
      </c>
      <c r="R126" s="334" t="str">
        <f aca="false">IF((E126="a"),G126," ")</f>
        <v> </v>
      </c>
      <c r="S126" s="334" t="str">
        <f aca="false">IF((E126="l"),G126," ")</f>
        <v> </v>
      </c>
      <c r="T126" s="334" t="str">
        <f aca="false">IF((E126="b"),G126," ")</f>
        <v> </v>
      </c>
      <c r="U126" s="334" t="str">
        <f aca="false">IF((E126="i"),G126," ")</f>
        <v> </v>
      </c>
      <c r="V126" s="334" t="str">
        <f aca="false">IF((E126="o"),G126," ")</f>
        <v> </v>
      </c>
      <c r="W126" s="334" t="str">
        <f aca="false">IF((E126="f"),G126," ")</f>
        <v> </v>
      </c>
    </row>
    <row r="127" customFormat="false" ht="12.75" hidden="false" customHeight="false" outlineLevel="0" collapsed="false">
      <c r="A127" s="355"/>
      <c r="E127" s="365" t="str">
        <f aca="false">IF((G127&lt;&gt;0),"Enter Letter"," ")</f>
        <v> </v>
      </c>
      <c r="H127" s="338" t="str">
        <f aca="false">IF((G127&lt;&gt;0),IF((D127&gt;0)," ",G127)," ")</f>
        <v> </v>
      </c>
      <c r="I127" s="367" t="str">
        <f aca="false">IF((G127&lt;&gt;0),IF((D127&gt;0)," ",(I$1-A127))," ")</f>
        <v> </v>
      </c>
      <c r="J127" s="334" t="str">
        <f aca="false">IF((E127="s"),G127," ")</f>
        <v> </v>
      </c>
      <c r="K127" s="334" t="str">
        <f aca="false">IF((E127="d"),G127," ")</f>
        <v> </v>
      </c>
      <c r="L127" s="334" t="str">
        <f aca="false">IF((E127="e"),G127," ")</f>
        <v> </v>
      </c>
      <c r="M127" s="334" t="str">
        <f aca="false">IF((E127="p"),G127," ")</f>
        <v> </v>
      </c>
      <c r="N127" s="334" t="str">
        <f aca="false">IF((E127="r"),G127," ")</f>
        <v> </v>
      </c>
      <c r="O127" s="334" t="str">
        <f aca="false">IF((E127="g"),G127," ")</f>
        <v> </v>
      </c>
      <c r="P127" s="334" t="str">
        <f aca="false">IF((E127="m"),G127," ")</f>
        <v> </v>
      </c>
      <c r="Q127" s="334" t="str">
        <f aca="false">IF((E127="t"),G127," ")</f>
        <v> </v>
      </c>
      <c r="R127" s="334" t="str">
        <f aca="false">IF((E127="a"),G127," ")</f>
        <v> </v>
      </c>
      <c r="S127" s="334" t="str">
        <f aca="false">IF((E127="l"),G127," ")</f>
        <v> </v>
      </c>
      <c r="T127" s="334" t="str">
        <f aca="false">IF((E127="b"),G127," ")</f>
        <v> </v>
      </c>
      <c r="U127" s="334" t="str">
        <f aca="false">IF((E127="i"),G127," ")</f>
        <v> </v>
      </c>
      <c r="V127" s="334" t="str">
        <f aca="false">IF((E127="o"),G127," ")</f>
        <v> </v>
      </c>
      <c r="W127" s="334" t="str">
        <f aca="false">IF((E127="f"),G127," ")</f>
        <v> </v>
      </c>
    </row>
    <row r="128" customFormat="false" ht="12.75" hidden="false" customHeight="false" outlineLevel="0" collapsed="false">
      <c r="A128" s="355"/>
      <c r="E128" s="365" t="str">
        <f aca="false">IF((G128&lt;&gt;0),"Enter Letter"," ")</f>
        <v> </v>
      </c>
      <c r="H128" s="338" t="str">
        <f aca="false">IF((G128&lt;&gt;0),IF((D128&gt;0)," ",G128)," ")</f>
        <v> </v>
      </c>
      <c r="I128" s="367" t="str">
        <f aca="false">IF((G128&lt;&gt;0),IF((D128&gt;0)," ",(I$1-A128))," ")</f>
        <v> </v>
      </c>
      <c r="J128" s="334" t="str">
        <f aca="false">IF((E128="s"),G128," ")</f>
        <v> </v>
      </c>
      <c r="K128" s="334" t="str">
        <f aca="false">IF((E128="d"),G128," ")</f>
        <v> </v>
      </c>
      <c r="L128" s="334" t="str">
        <f aca="false">IF((E128="e"),G128," ")</f>
        <v> </v>
      </c>
      <c r="M128" s="334" t="str">
        <f aca="false">IF((E128="p"),G128," ")</f>
        <v> </v>
      </c>
      <c r="N128" s="334" t="str">
        <f aca="false">IF((E128="r"),G128," ")</f>
        <v> </v>
      </c>
      <c r="O128" s="334" t="str">
        <f aca="false">IF((E128="g"),G128," ")</f>
        <v> </v>
      </c>
      <c r="P128" s="334" t="str">
        <f aca="false">IF((E128="m"),G128," ")</f>
        <v> </v>
      </c>
      <c r="Q128" s="334" t="str">
        <f aca="false">IF((E128="t"),G128," ")</f>
        <v> </v>
      </c>
      <c r="R128" s="334" t="str">
        <f aca="false">IF((E128="a"),G128," ")</f>
        <v> </v>
      </c>
      <c r="S128" s="334" t="str">
        <f aca="false">IF((E128="l"),G128," ")</f>
        <v> </v>
      </c>
      <c r="T128" s="334" t="str">
        <f aca="false">IF((E128="b"),G128," ")</f>
        <v> </v>
      </c>
      <c r="U128" s="334" t="str">
        <f aca="false">IF((E128="i"),G128," ")</f>
        <v> </v>
      </c>
      <c r="V128" s="334" t="str">
        <f aca="false">IF((E128="o"),G128," ")</f>
        <v> </v>
      </c>
      <c r="W128" s="334" t="str">
        <f aca="false">IF((E128="f"),G128," ")</f>
        <v> </v>
      </c>
    </row>
    <row r="129" customFormat="false" ht="12.75" hidden="false" customHeight="false" outlineLevel="0" collapsed="false">
      <c r="A129" s="355"/>
      <c r="E129" s="365" t="str">
        <f aca="false">IF((G129&lt;&gt;0),"Enter Letter"," ")</f>
        <v> </v>
      </c>
      <c r="H129" s="338" t="str">
        <f aca="false">IF((G129&lt;&gt;0),IF((D129&gt;0)," ",G129)," ")</f>
        <v> </v>
      </c>
      <c r="I129" s="367" t="str">
        <f aca="false">IF((G129&lt;&gt;0),IF((D129&gt;0)," ",(I$1-A129))," ")</f>
        <v> </v>
      </c>
      <c r="J129" s="334" t="str">
        <f aca="false">IF((E129="s"),G129," ")</f>
        <v> </v>
      </c>
      <c r="K129" s="334" t="str">
        <f aca="false">IF((E129="d"),G129," ")</f>
        <v> </v>
      </c>
      <c r="L129" s="334" t="str">
        <f aca="false">IF((E129="e"),G129," ")</f>
        <v> </v>
      </c>
      <c r="M129" s="334" t="str">
        <f aca="false">IF((E129="p"),G129," ")</f>
        <v> </v>
      </c>
      <c r="N129" s="334" t="str">
        <f aca="false">IF((E129="r"),G129," ")</f>
        <v> </v>
      </c>
      <c r="O129" s="334" t="str">
        <f aca="false">IF((E129="g"),G129," ")</f>
        <v> </v>
      </c>
      <c r="P129" s="334" t="str">
        <f aca="false">IF((E129="m"),G129," ")</f>
        <v> </v>
      </c>
      <c r="Q129" s="334" t="str">
        <f aca="false">IF((E129="t"),G129," ")</f>
        <v> </v>
      </c>
      <c r="R129" s="334" t="str">
        <f aca="false">IF((E129="a"),G129," ")</f>
        <v> </v>
      </c>
      <c r="S129" s="334" t="str">
        <f aca="false">IF((E129="l"),G129," ")</f>
        <v> </v>
      </c>
      <c r="T129" s="334" t="str">
        <f aca="false">IF((E129="b"),G129," ")</f>
        <v> </v>
      </c>
      <c r="U129" s="334" t="str">
        <f aca="false">IF((E129="i"),G129," ")</f>
        <v> </v>
      </c>
      <c r="V129" s="334" t="str">
        <f aca="false">IF((E129="o"),G129," ")</f>
        <v> </v>
      </c>
      <c r="W129" s="334" t="str">
        <f aca="false">IF((E129="f"),G129," ")</f>
        <v> </v>
      </c>
    </row>
    <row r="130" customFormat="false" ht="12.75" hidden="false" customHeight="false" outlineLevel="0" collapsed="false">
      <c r="A130" s="355"/>
      <c r="E130" s="365" t="str">
        <f aca="false">IF((G130&lt;&gt;0),"Enter Letter"," ")</f>
        <v> </v>
      </c>
      <c r="H130" s="338" t="str">
        <f aca="false">IF((G130&lt;&gt;0),IF((D130&gt;0)," ",G130)," ")</f>
        <v> </v>
      </c>
      <c r="I130" s="367" t="str">
        <f aca="false">IF((G130&lt;&gt;0),IF((D130&gt;0)," ",(I$1-A130))," ")</f>
        <v> </v>
      </c>
      <c r="J130" s="334" t="str">
        <f aca="false">IF((E130="s"),G130," ")</f>
        <v> </v>
      </c>
      <c r="K130" s="334" t="str">
        <f aca="false">IF((E130="d"),G130," ")</f>
        <v> </v>
      </c>
      <c r="L130" s="334" t="str">
        <f aca="false">IF((E130="e"),G130," ")</f>
        <v> </v>
      </c>
      <c r="M130" s="334" t="str">
        <f aca="false">IF((E130="p"),G130," ")</f>
        <v> </v>
      </c>
      <c r="N130" s="334" t="str">
        <f aca="false">IF((E130="r"),G130," ")</f>
        <v> </v>
      </c>
      <c r="O130" s="334" t="str">
        <f aca="false">IF((E130="g"),G130," ")</f>
        <v> </v>
      </c>
      <c r="P130" s="334" t="str">
        <f aca="false">IF((E130="m"),G130," ")</f>
        <v> </v>
      </c>
      <c r="Q130" s="334" t="str">
        <f aca="false">IF((E130="t"),G130," ")</f>
        <v> </v>
      </c>
      <c r="R130" s="334" t="str">
        <f aca="false">IF((E130="a"),G130," ")</f>
        <v> </v>
      </c>
      <c r="S130" s="334" t="str">
        <f aca="false">IF((E130="l"),G130," ")</f>
        <v> </v>
      </c>
      <c r="T130" s="334" t="str">
        <f aca="false">IF((E130="b"),G130," ")</f>
        <v> </v>
      </c>
      <c r="U130" s="334" t="str">
        <f aca="false">IF((E130="i"),G130," ")</f>
        <v> </v>
      </c>
      <c r="V130" s="334" t="str">
        <f aca="false">IF((E130="o"),G130," ")</f>
        <v> </v>
      </c>
      <c r="W130" s="334" t="str">
        <f aca="false">IF((E130="f"),G130," ")</f>
        <v> </v>
      </c>
    </row>
    <row r="131" customFormat="false" ht="12.75" hidden="false" customHeight="false" outlineLevel="0" collapsed="false">
      <c r="A131" s="355"/>
      <c r="E131" s="365" t="str">
        <f aca="false">IF((G131&lt;&gt;0),"Enter Letter"," ")</f>
        <v> </v>
      </c>
      <c r="H131" s="338" t="str">
        <f aca="false">IF((G131&lt;&gt;0),IF((D131&gt;0)," ",G131)," ")</f>
        <v> </v>
      </c>
      <c r="I131" s="367" t="str">
        <f aca="false">IF((G131&lt;&gt;0),IF((D131&gt;0)," ",(I$1-A131))," ")</f>
        <v> </v>
      </c>
      <c r="J131" s="334" t="str">
        <f aca="false">IF((E131="s"),G131," ")</f>
        <v> </v>
      </c>
      <c r="K131" s="334" t="str">
        <f aca="false">IF((E131="d"),G131," ")</f>
        <v> </v>
      </c>
      <c r="L131" s="334" t="str">
        <f aca="false">IF((E131="e"),G131," ")</f>
        <v> </v>
      </c>
      <c r="M131" s="334" t="str">
        <f aca="false">IF((E131="p"),G131," ")</f>
        <v> </v>
      </c>
      <c r="N131" s="334" t="str">
        <f aca="false">IF((E131="r"),G131," ")</f>
        <v> </v>
      </c>
      <c r="O131" s="334" t="str">
        <f aca="false">IF((E131="g"),G131," ")</f>
        <v> </v>
      </c>
      <c r="P131" s="334" t="str">
        <f aca="false">IF((E131="m"),G131," ")</f>
        <v> </v>
      </c>
      <c r="Q131" s="334" t="str">
        <f aca="false">IF((E131="t"),G131," ")</f>
        <v> </v>
      </c>
      <c r="R131" s="334" t="str">
        <f aca="false">IF((E131="a"),G131," ")</f>
        <v> </v>
      </c>
      <c r="S131" s="334" t="str">
        <f aca="false">IF((E131="l"),G131," ")</f>
        <v> </v>
      </c>
      <c r="T131" s="334" t="str">
        <f aca="false">IF((E131="b"),G131," ")</f>
        <v> </v>
      </c>
      <c r="U131" s="334" t="str">
        <f aca="false">IF((E131="i"),G131," ")</f>
        <v> </v>
      </c>
      <c r="V131" s="334" t="str">
        <f aca="false">IF((E131="o"),G131," ")</f>
        <v> </v>
      </c>
      <c r="W131" s="334" t="str">
        <f aca="false">IF((E131="f"),G131," ")</f>
        <v> </v>
      </c>
    </row>
    <row r="132" customFormat="false" ht="12.75" hidden="false" customHeight="false" outlineLevel="0" collapsed="false">
      <c r="A132" s="355"/>
      <c r="E132" s="365" t="str">
        <f aca="false">IF((G132&lt;&gt;0),"Enter Letter"," ")</f>
        <v> </v>
      </c>
      <c r="H132" s="338" t="str">
        <f aca="false">IF((G132&lt;&gt;0),IF((D132&gt;0)," ",G132)," ")</f>
        <v> </v>
      </c>
      <c r="I132" s="367" t="str">
        <f aca="false">IF((G132&lt;&gt;0),IF((D132&gt;0)," ",(I$1-A132))," ")</f>
        <v> </v>
      </c>
      <c r="J132" s="334" t="str">
        <f aca="false">IF((E132="s"),G132," ")</f>
        <v> </v>
      </c>
      <c r="K132" s="334" t="str">
        <f aca="false">IF((E132="d"),G132," ")</f>
        <v> </v>
      </c>
      <c r="L132" s="334" t="str">
        <f aca="false">IF((E132="e"),G132," ")</f>
        <v> </v>
      </c>
      <c r="M132" s="334" t="str">
        <f aca="false">IF((E132="p"),G132," ")</f>
        <v> </v>
      </c>
      <c r="N132" s="334" t="str">
        <f aca="false">IF((E132="r"),G132," ")</f>
        <v> </v>
      </c>
      <c r="O132" s="334" t="str">
        <f aca="false">IF((E132="g"),G132," ")</f>
        <v> </v>
      </c>
      <c r="P132" s="334" t="str">
        <f aca="false">IF((E132="m"),G132," ")</f>
        <v> </v>
      </c>
      <c r="Q132" s="334" t="str">
        <f aca="false">IF((E132="t"),G132," ")</f>
        <v> </v>
      </c>
      <c r="R132" s="334" t="str">
        <f aca="false">IF((E132="a"),G132," ")</f>
        <v> </v>
      </c>
      <c r="S132" s="334" t="str">
        <f aca="false">IF((E132="l"),G132," ")</f>
        <v> </v>
      </c>
      <c r="T132" s="334" t="str">
        <f aca="false">IF((E132="b"),G132," ")</f>
        <v> </v>
      </c>
      <c r="U132" s="334" t="str">
        <f aca="false">IF((E132="i"),G132," ")</f>
        <v> </v>
      </c>
      <c r="V132" s="334" t="str">
        <f aca="false">IF((E132="o"),G132," ")</f>
        <v> </v>
      </c>
      <c r="W132" s="334" t="str">
        <f aca="false">IF((E132="f"),G132," ")</f>
        <v> </v>
      </c>
    </row>
    <row r="133" customFormat="false" ht="12.75" hidden="false" customHeight="false" outlineLevel="0" collapsed="false">
      <c r="A133" s="355"/>
      <c r="E133" s="365" t="str">
        <f aca="false">IF((G133&lt;&gt;0),"Enter Letter"," ")</f>
        <v> </v>
      </c>
      <c r="H133" s="338" t="str">
        <f aca="false">IF((G133&lt;&gt;0),IF((D133&gt;0)," ",G133)," ")</f>
        <v> </v>
      </c>
      <c r="I133" s="367" t="str">
        <f aca="false">IF((G133&lt;&gt;0),IF((D133&gt;0)," ",(I$1-A133))," ")</f>
        <v> </v>
      </c>
      <c r="J133" s="334" t="str">
        <f aca="false">IF((E133="s"),G133," ")</f>
        <v> </v>
      </c>
      <c r="K133" s="334" t="str">
        <f aca="false">IF((E133="d"),G133," ")</f>
        <v> </v>
      </c>
      <c r="L133" s="334" t="str">
        <f aca="false">IF((E133="e"),G133," ")</f>
        <v> </v>
      </c>
      <c r="M133" s="334" t="str">
        <f aca="false">IF((E133="p"),G133," ")</f>
        <v> </v>
      </c>
      <c r="N133" s="334" t="str">
        <f aca="false">IF((E133="r"),G133," ")</f>
        <v> </v>
      </c>
      <c r="O133" s="334" t="str">
        <f aca="false">IF((E133="g"),G133," ")</f>
        <v> </v>
      </c>
      <c r="P133" s="334" t="str">
        <f aca="false">IF((E133="m"),G133," ")</f>
        <v> </v>
      </c>
      <c r="Q133" s="334" t="str">
        <f aca="false">IF((E133="t"),G133," ")</f>
        <v> </v>
      </c>
      <c r="R133" s="334" t="str">
        <f aca="false">IF((E133="a"),G133," ")</f>
        <v> </v>
      </c>
      <c r="S133" s="334" t="str">
        <f aca="false">IF((E133="l"),G133," ")</f>
        <v> </v>
      </c>
      <c r="T133" s="334" t="str">
        <f aca="false">IF((E133="b"),G133," ")</f>
        <v> </v>
      </c>
      <c r="U133" s="334" t="str">
        <f aca="false">IF((E133="i"),G133," ")</f>
        <v> </v>
      </c>
      <c r="V133" s="334" t="str">
        <f aca="false">IF((E133="o"),G133," ")</f>
        <v> </v>
      </c>
      <c r="W133" s="334" t="str">
        <f aca="false">IF((E133="f"),G133," ")</f>
        <v> </v>
      </c>
    </row>
    <row r="134" customFormat="false" ht="12.75" hidden="false" customHeight="false" outlineLevel="0" collapsed="false">
      <c r="A134" s="355"/>
      <c r="E134" s="365" t="str">
        <f aca="false">IF((G134&lt;&gt;0),"Enter Letter"," ")</f>
        <v> </v>
      </c>
      <c r="H134" s="338" t="str">
        <f aca="false">IF((G134&lt;&gt;0),IF((D134&gt;0)," ",G134)," ")</f>
        <v> </v>
      </c>
      <c r="I134" s="367" t="str">
        <f aca="false">IF((G134&lt;&gt;0),IF((D134&gt;0)," ",(I$1-A134))," ")</f>
        <v> </v>
      </c>
      <c r="J134" s="334" t="str">
        <f aca="false">IF((E134="s"),G134," ")</f>
        <v> </v>
      </c>
      <c r="K134" s="334" t="str">
        <f aca="false">IF((E134="d"),G134," ")</f>
        <v> </v>
      </c>
      <c r="L134" s="334" t="str">
        <f aca="false">IF((E134="e"),G134," ")</f>
        <v> </v>
      </c>
      <c r="M134" s="334" t="str">
        <f aca="false">IF((E134="p"),G134," ")</f>
        <v> </v>
      </c>
      <c r="N134" s="334" t="str">
        <f aca="false">IF((E134="r"),G134," ")</f>
        <v> </v>
      </c>
      <c r="O134" s="334" t="str">
        <f aca="false">IF((E134="g"),G134," ")</f>
        <v> </v>
      </c>
      <c r="P134" s="334" t="str">
        <f aca="false">IF((E134="m"),G134," ")</f>
        <v> </v>
      </c>
      <c r="Q134" s="334" t="str">
        <f aca="false">IF((E134="t"),G134," ")</f>
        <v> </v>
      </c>
      <c r="R134" s="334" t="str">
        <f aca="false">IF((E134="a"),G134," ")</f>
        <v> </v>
      </c>
      <c r="S134" s="334" t="str">
        <f aca="false">IF((E134="l"),G134," ")</f>
        <v> </v>
      </c>
      <c r="T134" s="334" t="str">
        <f aca="false">IF((E134="b"),G134," ")</f>
        <v> </v>
      </c>
      <c r="U134" s="334" t="str">
        <f aca="false">IF((E134="i"),G134," ")</f>
        <v> </v>
      </c>
      <c r="V134" s="334" t="str">
        <f aca="false">IF((E134="o"),G134," ")</f>
        <v> </v>
      </c>
      <c r="W134" s="334" t="str">
        <f aca="false">IF((E134="f"),G134," ")</f>
        <v> </v>
      </c>
    </row>
    <row r="135" customFormat="false" ht="12.75" hidden="false" customHeight="false" outlineLevel="0" collapsed="false">
      <c r="A135" s="355"/>
      <c r="E135" s="365" t="str">
        <f aca="false">IF((G135&lt;&gt;0),"Enter Letter"," ")</f>
        <v> </v>
      </c>
      <c r="H135" s="338" t="str">
        <f aca="false">IF((G135&lt;&gt;0),IF((D135&gt;0)," ",G135)," ")</f>
        <v> </v>
      </c>
      <c r="I135" s="367" t="str">
        <f aca="false">IF((G135&lt;&gt;0),IF((D135&gt;0)," ",(I$1-A135))," ")</f>
        <v> </v>
      </c>
      <c r="J135" s="334" t="str">
        <f aca="false">IF((E135="s"),G135," ")</f>
        <v> </v>
      </c>
      <c r="K135" s="334" t="str">
        <f aca="false">IF((E135="d"),G135," ")</f>
        <v> </v>
      </c>
      <c r="L135" s="334" t="str">
        <f aca="false">IF((E135="e"),G135," ")</f>
        <v> </v>
      </c>
      <c r="M135" s="334" t="str">
        <f aca="false">IF((E135="p"),G135," ")</f>
        <v> </v>
      </c>
      <c r="N135" s="334" t="str">
        <f aca="false">IF((E135="r"),G135," ")</f>
        <v> </v>
      </c>
      <c r="O135" s="334" t="str">
        <f aca="false">IF((E135="g"),G135," ")</f>
        <v> </v>
      </c>
      <c r="P135" s="334" t="str">
        <f aca="false">IF((E135="m"),G135," ")</f>
        <v> </v>
      </c>
      <c r="Q135" s="334" t="str">
        <f aca="false">IF((E135="t"),G135," ")</f>
        <v> </v>
      </c>
      <c r="R135" s="334" t="str">
        <f aca="false">IF((E135="a"),G135," ")</f>
        <v> </v>
      </c>
      <c r="S135" s="334" t="str">
        <f aca="false">IF((E135="l"),G135," ")</f>
        <v> </v>
      </c>
      <c r="T135" s="334" t="str">
        <f aca="false">IF((E135="b"),G135," ")</f>
        <v> </v>
      </c>
      <c r="U135" s="334" t="str">
        <f aca="false">IF((E135="i"),G135," ")</f>
        <v> </v>
      </c>
      <c r="V135" s="334" t="str">
        <f aca="false">IF((E135="o"),G135," ")</f>
        <v> </v>
      </c>
      <c r="W135" s="334" t="str">
        <f aca="false">IF((E135="f"),G135," ")</f>
        <v> </v>
      </c>
    </row>
    <row r="136" customFormat="false" ht="12.75" hidden="false" customHeight="false" outlineLevel="0" collapsed="false">
      <c r="A136" s="355"/>
      <c r="E136" s="365" t="str">
        <f aca="false">IF((G136&lt;&gt;0),"Enter Letter"," ")</f>
        <v> </v>
      </c>
      <c r="H136" s="338" t="str">
        <f aca="false">IF((G136&lt;&gt;0),IF((D136&gt;0)," ",G136)," ")</f>
        <v> </v>
      </c>
      <c r="I136" s="367" t="str">
        <f aca="false">IF((G136&lt;&gt;0),IF((D136&gt;0)," ",(I$1-A136))," ")</f>
        <v> </v>
      </c>
      <c r="J136" s="334" t="str">
        <f aca="false">IF((E136="s"),G136," ")</f>
        <v> </v>
      </c>
      <c r="K136" s="334" t="str">
        <f aca="false">IF((E136="d"),G136," ")</f>
        <v> </v>
      </c>
      <c r="L136" s="334" t="str">
        <f aca="false">IF((E136="e"),G136," ")</f>
        <v> </v>
      </c>
      <c r="M136" s="334" t="str">
        <f aca="false">IF((E136="p"),G136," ")</f>
        <v> </v>
      </c>
      <c r="N136" s="334" t="str">
        <f aca="false">IF((E136="r"),G136," ")</f>
        <v> </v>
      </c>
      <c r="O136" s="334" t="str">
        <f aca="false">IF((E136="g"),G136," ")</f>
        <v> </v>
      </c>
      <c r="P136" s="334" t="str">
        <f aca="false">IF((E136="m"),G136," ")</f>
        <v> </v>
      </c>
      <c r="Q136" s="334" t="str">
        <f aca="false">IF((E136="t"),G136," ")</f>
        <v> </v>
      </c>
      <c r="R136" s="334" t="str">
        <f aca="false">IF((E136="a"),G136," ")</f>
        <v> </v>
      </c>
      <c r="S136" s="334" t="str">
        <f aca="false">IF((E136="l"),G136," ")</f>
        <v> </v>
      </c>
      <c r="T136" s="334" t="str">
        <f aca="false">IF((E136="b"),G136," ")</f>
        <v> </v>
      </c>
      <c r="U136" s="334" t="str">
        <f aca="false">IF((E136="i"),G136," ")</f>
        <v> </v>
      </c>
      <c r="V136" s="334" t="str">
        <f aca="false">IF((E136="o"),G136," ")</f>
        <v> </v>
      </c>
      <c r="W136" s="334" t="str">
        <f aca="false">IF((E136="f"),G136," ")</f>
        <v> </v>
      </c>
    </row>
    <row r="137" customFormat="false" ht="12.75" hidden="false" customHeight="false" outlineLevel="0" collapsed="false">
      <c r="A137" s="355"/>
      <c r="E137" s="365" t="str">
        <f aca="false">IF((G137&lt;&gt;0),"Enter Letter"," ")</f>
        <v> </v>
      </c>
      <c r="H137" s="338" t="str">
        <f aca="false">IF((G137&lt;&gt;0),IF((D137&gt;0)," ",G137)," ")</f>
        <v> </v>
      </c>
      <c r="I137" s="367" t="str">
        <f aca="false">IF((G137&lt;&gt;0),IF((D137&gt;0)," ",(I$1-A137))," ")</f>
        <v> </v>
      </c>
      <c r="J137" s="334" t="str">
        <f aca="false">IF((E137="s"),G137," ")</f>
        <v> </v>
      </c>
      <c r="K137" s="334" t="str">
        <f aca="false">IF((E137="d"),G137," ")</f>
        <v> </v>
      </c>
      <c r="L137" s="334" t="str">
        <f aca="false">IF((E137="e"),G137," ")</f>
        <v> </v>
      </c>
      <c r="M137" s="334" t="str">
        <f aca="false">IF((E137="p"),G137," ")</f>
        <v> </v>
      </c>
      <c r="N137" s="334" t="str">
        <f aca="false">IF((E137="r"),G137," ")</f>
        <v> </v>
      </c>
      <c r="O137" s="334" t="str">
        <f aca="false">IF((E137="g"),G137," ")</f>
        <v> </v>
      </c>
      <c r="P137" s="334" t="str">
        <f aca="false">IF((E137="m"),G137," ")</f>
        <v> </v>
      </c>
      <c r="Q137" s="334" t="str">
        <f aca="false">IF((E137="t"),G137," ")</f>
        <v> </v>
      </c>
      <c r="R137" s="334" t="str">
        <f aca="false">IF((E137="a"),G137," ")</f>
        <v> </v>
      </c>
      <c r="S137" s="334" t="str">
        <f aca="false">IF((E137="l"),G137," ")</f>
        <v> </v>
      </c>
      <c r="T137" s="334" t="str">
        <f aca="false">IF((E137="b"),G137," ")</f>
        <v> </v>
      </c>
      <c r="U137" s="334" t="str">
        <f aca="false">IF((E137="i"),G137," ")</f>
        <v> </v>
      </c>
      <c r="V137" s="334" t="str">
        <f aca="false">IF((E137="o"),G137," ")</f>
        <v> </v>
      </c>
      <c r="W137" s="334" t="str">
        <f aca="false">IF((E137="f"),G137," ")</f>
        <v> </v>
      </c>
    </row>
    <row r="138" customFormat="false" ht="12.75" hidden="false" customHeight="false" outlineLevel="0" collapsed="false">
      <c r="A138" s="355"/>
      <c r="E138" s="365" t="str">
        <f aca="false">IF((G138&lt;&gt;0),"Enter Letter"," ")</f>
        <v> </v>
      </c>
      <c r="H138" s="338" t="str">
        <f aca="false">IF((G138&lt;&gt;0),IF((D138&gt;0)," ",G138)," ")</f>
        <v> </v>
      </c>
      <c r="I138" s="367" t="str">
        <f aca="false">IF((G138&lt;&gt;0),IF((D138&gt;0)," ",(I$1-A138))," ")</f>
        <v> </v>
      </c>
      <c r="J138" s="334" t="str">
        <f aca="false">IF((E138="s"),G138," ")</f>
        <v> </v>
      </c>
      <c r="K138" s="334" t="str">
        <f aca="false">IF((E138="d"),G138," ")</f>
        <v> </v>
      </c>
      <c r="L138" s="334" t="str">
        <f aca="false">IF((E138="e"),G138," ")</f>
        <v> </v>
      </c>
      <c r="M138" s="334" t="str">
        <f aca="false">IF((E138="p"),G138," ")</f>
        <v> </v>
      </c>
      <c r="N138" s="334" t="str">
        <f aca="false">IF((E138="r"),G138," ")</f>
        <v> </v>
      </c>
      <c r="O138" s="334" t="str">
        <f aca="false">IF((E138="g"),G138," ")</f>
        <v> </v>
      </c>
      <c r="P138" s="334" t="str">
        <f aca="false">IF((E138="m"),G138," ")</f>
        <v> </v>
      </c>
      <c r="Q138" s="334" t="str">
        <f aca="false">IF((E138="t"),G138," ")</f>
        <v> </v>
      </c>
      <c r="R138" s="334" t="str">
        <f aca="false">IF((E138="a"),G138," ")</f>
        <v> </v>
      </c>
      <c r="S138" s="334" t="str">
        <f aca="false">IF((E138="l"),G138," ")</f>
        <v> </v>
      </c>
      <c r="T138" s="334" t="str">
        <f aca="false">IF((E138="b"),G138," ")</f>
        <v> </v>
      </c>
      <c r="U138" s="334" t="str">
        <f aca="false">IF((E138="i"),G138," ")</f>
        <v> </v>
      </c>
      <c r="V138" s="334" t="str">
        <f aca="false">IF((E138="o"),G138," ")</f>
        <v> </v>
      </c>
      <c r="W138" s="334" t="str">
        <f aca="false">IF((E138="f"),G138," ")</f>
        <v> </v>
      </c>
    </row>
    <row r="139" customFormat="false" ht="12.75" hidden="false" customHeight="false" outlineLevel="0" collapsed="false">
      <c r="A139" s="355"/>
      <c r="E139" s="365" t="str">
        <f aca="false">IF((G139&lt;&gt;0),"Enter Letter"," ")</f>
        <v> </v>
      </c>
      <c r="H139" s="338" t="str">
        <f aca="false">IF((G139&lt;&gt;0),IF((D139&gt;0)," ",G139)," ")</f>
        <v> </v>
      </c>
      <c r="I139" s="367" t="str">
        <f aca="false">IF((G139&lt;&gt;0),IF((D139&gt;0)," ",(I$1-A139))," ")</f>
        <v> </v>
      </c>
      <c r="J139" s="334" t="str">
        <f aca="false">IF((E139="s"),G139," ")</f>
        <v> </v>
      </c>
      <c r="K139" s="334" t="str">
        <f aca="false">IF((E139="d"),G139," ")</f>
        <v> </v>
      </c>
      <c r="L139" s="334" t="str">
        <f aca="false">IF((E139="e"),G139," ")</f>
        <v> </v>
      </c>
      <c r="M139" s="334" t="str">
        <f aca="false">IF((E139="p"),G139," ")</f>
        <v> </v>
      </c>
      <c r="N139" s="334" t="str">
        <f aca="false">IF((E139="r"),G139," ")</f>
        <v> </v>
      </c>
      <c r="O139" s="334" t="str">
        <f aca="false">IF((E139="g"),G139," ")</f>
        <v> </v>
      </c>
      <c r="P139" s="334" t="str">
        <f aca="false">IF((E139="m"),G139," ")</f>
        <v> </v>
      </c>
      <c r="Q139" s="334" t="str">
        <f aca="false">IF((E139="t"),G139," ")</f>
        <v> </v>
      </c>
      <c r="R139" s="334" t="str">
        <f aca="false">IF((E139="a"),G139," ")</f>
        <v> </v>
      </c>
      <c r="S139" s="334" t="str">
        <f aca="false">IF((E139="l"),G139," ")</f>
        <v> </v>
      </c>
      <c r="T139" s="334" t="str">
        <f aca="false">IF((E139="b"),G139," ")</f>
        <v> </v>
      </c>
      <c r="U139" s="334" t="str">
        <f aca="false">IF((E139="i"),G139," ")</f>
        <v> </v>
      </c>
      <c r="V139" s="334" t="str">
        <f aca="false">IF((E139="o"),G139," ")</f>
        <v> </v>
      </c>
      <c r="W139" s="334" t="str">
        <f aca="false">IF((E139="f"),G139," ")</f>
        <v> </v>
      </c>
    </row>
    <row r="140" customFormat="false" ht="12.75" hidden="false" customHeight="false" outlineLevel="0" collapsed="false">
      <c r="A140" s="355"/>
      <c r="E140" s="365" t="str">
        <f aca="false">IF((G140&lt;&gt;0),"Enter Letter"," ")</f>
        <v> </v>
      </c>
      <c r="H140" s="338" t="str">
        <f aca="false">IF((G140&lt;&gt;0),IF((D140&gt;0)," ",G140)," ")</f>
        <v> </v>
      </c>
      <c r="I140" s="367" t="str">
        <f aca="false">IF((G140&lt;&gt;0),IF((D140&gt;0)," ",(I$1-A140))," ")</f>
        <v> </v>
      </c>
      <c r="J140" s="334" t="str">
        <f aca="false">IF((E140="s"),G140," ")</f>
        <v> </v>
      </c>
      <c r="K140" s="334" t="str">
        <f aca="false">IF((E140="d"),G140," ")</f>
        <v> </v>
      </c>
      <c r="L140" s="334" t="str">
        <f aca="false">IF((E140="e"),G140," ")</f>
        <v> </v>
      </c>
      <c r="M140" s="334" t="str">
        <f aca="false">IF((E140="p"),G140," ")</f>
        <v> </v>
      </c>
      <c r="N140" s="334" t="str">
        <f aca="false">IF((E140="r"),G140," ")</f>
        <v> </v>
      </c>
      <c r="O140" s="334" t="str">
        <f aca="false">IF((E140="g"),G140," ")</f>
        <v> </v>
      </c>
      <c r="P140" s="334" t="str">
        <f aca="false">IF((E140="m"),G140," ")</f>
        <v> </v>
      </c>
      <c r="Q140" s="334" t="str">
        <f aca="false">IF((E140="t"),G140," ")</f>
        <v> </v>
      </c>
      <c r="R140" s="334" t="str">
        <f aca="false">IF((E140="a"),G140," ")</f>
        <v> </v>
      </c>
      <c r="S140" s="334" t="str">
        <f aca="false">IF((E140="l"),G140," ")</f>
        <v> </v>
      </c>
      <c r="T140" s="334" t="str">
        <f aca="false">IF((E140="b"),G140," ")</f>
        <v> </v>
      </c>
      <c r="U140" s="334" t="str">
        <f aca="false">IF((E140="i"),G140," ")</f>
        <v> </v>
      </c>
      <c r="V140" s="334" t="str">
        <f aca="false">IF((E140="o"),G140," ")</f>
        <v> </v>
      </c>
      <c r="W140" s="334" t="str">
        <f aca="false">IF((E140="f"),G140," ")</f>
        <v> </v>
      </c>
    </row>
    <row r="141" customFormat="false" ht="12.75" hidden="false" customHeight="false" outlineLevel="0" collapsed="false">
      <c r="A141" s="355"/>
      <c r="E141" s="365" t="str">
        <f aca="false">IF((G141&lt;&gt;0),"Enter Letter"," ")</f>
        <v> </v>
      </c>
      <c r="H141" s="338" t="str">
        <f aca="false">IF((G141&lt;&gt;0),IF((D141&gt;0)," ",G141)," ")</f>
        <v> </v>
      </c>
      <c r="I141" s="367" t="str">
        <f aca="false">IF((G141&lt;&gt;0),IF((D141&gt;0)," ",(I$1-A141))," ")</f>
        <v> </v>
      </c>
      <c r="J141" s="334" t="str">
        <f aca="false">IF((E141="s"),G141," ")</f>
        <v> </v>
      </c>
      <c r="K141" s="334" t="str">
        <f aca="false">IF((E141="d"),G141," ")</f>
        <v> </v>
      </c>
      <c r="L141" s="334" t="str">
        <f aca="false">IF((E141="e"),G141," ")</f>
        <v> </v>
      </c>
      <c r="M141" s="334" t="str">
        <f aca="false">IF((E141="p"),G141," ")</f>
        <v> </v>
      </c>
      <c r="N141" s="334" t="str">
        <f aca="false">IF((E141="r"),G141," ")</f>
        <v> </v>
      </c>
      <c r="O141" s="334" t="str">
        <f aca="false">IF((E141="g"),G141," ")</f>
        <v> </v>
      </c>
      <c r="P141" s="334" t="str">
        <f aca="false">IF((E141="m"),G141," ")</f>
        <v> </v>
      </c>
      <c r="Q141" s="334" t="str">
        <f aca="false">IF((E141="t"),G141," ")</f>
        <v> </v>
      </c>
      <c r="R141" s="334" t="str">
        <f aca="false">IF((E141="a"),G141," ")</f>
        <v> </v>
      </c>
      <c r="S141" s="334" t="str">
        <f aca="false">IF((E141="l"),G141," ")</f>
        <v> </v>
      </c>
      <c r="T141" s="334" t="str">
        <f aca="false">IF((E141="b"),G141," ")</f>
        <v> </v>
      </c>
      <c r="U141" s="334" t="str">
        <f aca="false">IF((E141="i"),G141," ")</f>
        <v> </v>
      </c>
      <c r="V141" s="334" t="str">
        <f aca="false">IF((E141="o"),G141," ")</f>
        <v> </v>
      </c>
      <c r="W141" s="334" t="str">
        <f aca="false">IF((E141="f"),G141," ")</f>
        <v> </v>
      </c>
    </row>
    <row r="142" customFormat="false" ht="12.75" hidden="false" customHeight="false" outlineLevel="0" collapsed="false">
      <c r="A142" s="355"/>
      <c r="E142" s="365" t="str">
        <f aca="false">IF((G142&lt;&gt;0),"Enter Letter"," ")</f>
        <v> </v>
      </c>
      <c r="H142" s="338" t="str">
        <f aca="false">IF((G142&lt;&gt;0),IF((D142&gt;0)," ",G142)," ")</f>
        <v> </v>
      </c>
      <c r="I142" s="367" t="str">
        <f aca="false">IF((G142&lt;&gt;0),IF((D142&gt;0)," ",(I$1-A142))," ")</f>
        <v> </v>
      </c>
      <c r="J142" s="334" t="str">
        <f aca="false">IF((E142="s"),G142," ")</f>
        <v> </v>
      </c>
      <c r="K142" s="334" t="str">
        <f aca="false">IF((E142="d"),G142," ")</f>
        <v> </v>
      </c>
      <c r="L142" s="334" t="str">
        <f aca="false">IF((E142="e"),G142," ")</f>
        <v> </v>
      </c>
      <c r="M142" s="334" t="str">
        <f aca="false">IF((E142="p"),G142," ")</f>
        <v> </v>
      </c>
      <c r="N142" s="334" t="str">
        <f aca="false">IF((E142="r"),G142," ")</f>
        <v> </v>
      </c>
      <c r="O142" s="334" t="str">
        <f aca="false">IF((E142="g"),G142," ")</f>
        <v> </v>
      </c>
      <c r="P142" s="334" t="str">
        <f aca="false">IF((E142="m"),G142," ")</f>
        <v> </v>
      </c>
      <c r="Q142" s="334" t="str">
        <f aca="false">IF((E142="t"),G142," ")</f>
        <v> </v>
      </c>
      <c r="R142" s="334" t="str">
        <f aca="false">IF((E142="a"),G142," ")</f>
        <v> </v>
      </c>
      <c r="S142" s="334" t="str">
        <f aca="false">IF((E142="l"),G142," ")</f>
        <v> </v>
      </c>
      <c r="T142" s="334" t="str">
        <f aca="false">IF((E142="b"),G142," ")</f>
        <v> </v>
      </c>
      <c r="U142" s="334" t="str">
        <f aca="false">IF((E142="i"),G142," ")</f>
        <v> </v>
      </c>
      <c r="V142" s="334" t="str">
        <f aca="false">IF((E142="o"),G142," ")</f>
        <v> </v>
      </c>
      <c r="W142" s="334" t="str">
        <f aca="false">IF((E142="f"),G142," ")</f>
        <v> </v>
      </c>
    </row>
    <row r="143" customFormat="false" ht="12.75" hidden="false" customHeight="false" outlineLevel="0" collapsed="false">
      <c r="A143" s="355"/>
      <c r="E143" s="365" t="str">
        <f aca="false">IF((G143&lt;&gt;0),"Enter Letter"," ")</f>
        <v> </v>
      </c>
      <c r="H143" s="338" t="str">
        <f aca="false">IF((G143&lt;&gt;0),IF((D143&gt;0)," ",G143)," ")</f>
        <v> </v>
      </c>
      <c r="I143" s="367" t="str">
        <f aca="false">IF((G143&lt;&gt;0),IF((D143&gt;0)," ",(I$1-A143))," ")</f>
        <v> </v>
      </c>
      <c r="J143" s="334" t="str">
        <f aca="false">IF((E143="s"),G143," ")</f>
        <v> </v>
      </c>
      <c r="K143" s="334" t="str">
        <f aca="false">IF((E143="d"),G143," ")</f>
        <v> </v>
      </c>
      <c r="L143" s="334" t="str">
        <f aca="false">IF((E143="e"),G143," ")</f>
        <v> </v>
      </c>
      <c r="M143" s="334" t="str">
        <f aca="false">IF((E143="p"),G143," ")</f>
        <v> </v>
      </c>
      <c r="N143" s="334" t="str">
        <f aca="false">IF((E143="r"),G143," ")</f>
        <v> </v>
      </c>
      <c r="O143" s="334" t="str">
        <f aca="false">IF((E143="g"),G143," ")</f>
        <v> </v>
      </c>
      <c r="P143" s="334" t="str">
        <f aca="false">IF((E143="m"),G143," ")</f>
        <v> </v>
      </c>
      <c r="Q143" s="334" t="str">
        <f aca="false">IF((E143="t"),G143," ")</f>
        <v> </v>
      </c>
      <c r="R143" s="334" t="str">
        <f aca="false">IF((E143="a"),G143," ")</f>
        <v> </v>
      </c>
      <c r="S143" s="334" t="str">
        <f aca="false">IF((E143="l"),G143," ")</f>
        <v> </v>
      </c>
      <c r="T143" s="334" t="str">
        <f aca="false">IF((E143="b"),G143," ")</f>
        <v> </v>
      </c>
      <c r="U143" s="334" t="str">
        <f aca="false">IF((E143="i"),G143," ")</f>
        <v> </v>
      </c>
      <c r="V143" s="334" t="str">
        <f aca="false">IF((E143="o"),G143," ")</f>
        <v> </v>
      </c>
      <c r="W143" s="334" t="str">
        <f aca="false">IF((E143="f"),G143," ")</f>
        <v> </v>
      </c>
    </row>
    <row r="144" customFormat="false" ht="12.75" hidden="false" customHeight="false" outlineLevel="0" collapsed="false">
      <c r="A144" s="355"/>
      <c r="E144" s="365" t="str">
        <f aca="false">IF((G144&lt;&gt;0),"Enter Letter"," ")</f>
        <v> </v>
      </c>
      <c r="H144" s="338" t="str">
        <f aca="false">IF((G144&lt;&gt;0),IF((D144&gt;0)," ",G144)," ")</f>
        <v> </v>
      </c>
      <c r="I144" s="367" t="str">
        <f aca="false">IF((G144&lt;&gt;0),IF((D144&gt;0)," ",(I$1-A144))," ")</f>
        <v> </v>
      </c>
      <c r="J144" s="334" t="str">
        <f aca="false">IF((E144="s"),G144," ")</f>
        <v> </v>
      </c>
      <c r="K144" s="334" t="str">
        <f aca="false">IF((E144="d"),G144," ")</f>
        <v> </v>
      </c>
      <c r="L144" s="334" t="str">
        <f aca="false">IF((E144="e"),G144," ")</f>
        <v> </v>
      </c>
      <c r="M144" s="334" t="str">
        <f aca="false">IF((E144="p"),G144," ")</f>
        <v> </v>
      </c>
      <c r="N144" s="334" t="str">
        <f aca="false">IF((E144="r"),G144," ")</f>
        <v> </v>
      </c>
      <c r="O144" s="334" t="str">
        <f aca="false">IF((E144="g"),G144," ")</f>
        <v> </v>
      </c>
      <c r="P144" s="334" t="str">
        <f aca="false">IF((E144="m"),G144," ")</f>
        <v> </v>
      </c>
      <c r="Q144" s="334" t="str">
        <f aca="false">IF((E144="t"),G144," ")</f>
        <v> </v>
      </c>
      <c r="R144" s="334" t="str">
        <f aca="false">IF((E144="a"),G144," ")</f>
        <v> </v>
      </c>
      <c r="S144" s="334" t="str">
        <f aca="false">IF((E144="l"),G144," ")</f>
        <v> </v>
      </c>
      <c r="T144" s="334" t="str">
        <f aca="false">IF((E144="b"),G144," ")</f>
        <v> </v>
      </c>
      <c r="U144" s="334" t="str">
        <f aca="false">IF((E144="i"),G144," ")</f>
        <v> </v>
      </c>
      <c r="V144" s="334" t="str">
        <f aca="false">IF((E144="o"),G144," ")</f>
        <v> </v>
      </c>
      <c r="W144" s="334" t="str">
        <f aca="false">IF((E144="f"),G144," ")</f>
        <v> </v>
      </c>
    </row>
    <row r="145" customFormat="false" ht="12.75" hidden="false" customHeight="false" outlineLevel="0" collapsed="false">
      <c r="A145" s="355"/>
      <c r="E145" s="365" t="str">
        <f aca="false">IF((G145&lt;&gt;0),"Enter Letter"," ")</f>
        <v> </v>
      </c>
      <c r="H145" s="338" t="str">
        <f aca="false">IF((G145&lt;&gt;0),IF((D145&gt;0)," ",G145)," ")</f>
        <v> </v>
      </c>
      <c r="I145" s="367" t="str">
        <f aca="false">IF((G145&lt;&gt;0),IF((D145&gt;0)," ",(I$1-A145))," ")</f>
        <v> </v>
      </c>
      <c r="J145" s="334" t="str">
        <f aca="false">IF((E145="s"),G145," ")</f>
        <v> </v>
      </c>
      <c r="K145" s="334" t="str">
        <f aca="false">IF((E145="d"),G145," ")</f>
        <v> </v>
      </c>
      <c r="L145" s="334" t="str">
        <f aca="false">IF((E145="e"),G145," ")</f>
        <v> </v>
      </c>
      <c r="M145" s="334" t="str">
        <f aca="false">IF((E145="p"),G145," ")</f>
        <v> </v>
      </c>
      <c r="N145" s="334" t="str">
        <f aca="false">IF((E145="r"),G145," ")</f>
        <v> </v>
      </c>
      <c r="O145" s="334" t="str">
        <f aca="false">IF((E145="g"),G145," ")</f>
        <v> </v>
      </c>
      <c r="P145" s="334" t="str">
        <f aca="false">IF((E145="m"),G145," ")</f>
        <v> </v>
      </c>
      <c r="Q145" s="334" t="str">
        <f aca="false">IF((E145="t"),G145," ")</f>
        <v> </v>
      </c>
      <c r="R145" s="334" t="str">
        <f aca="false">IF((E145="a"),G145," ")</f>
        <v> </v>
      </c>
      <c r="S145" s="334" t="str">
        <f aca="false">IF((E145="l"),G145," ")</f>
        <v> </v>
      </c>
      <c r="T145" s="334" t="str">
        <f aca="false">IF((E145="b"),G145," ")</f>
        <v> </v>
      </c>
      <c r="U145" s="334" t="str">
        <f aca="false">IF((E145="i"),G145," ")</f>
        <v> </v>
      </c>
      <c r="V145" s="334" t="str">
        <f aca="false">IF((E145="o"),G145," ")</f>
        <v> </v>
      </c>
      <c r="W145" s="334" t="str">
        <f aca="false">IF((E145="f"),G145," ")</f>
        <v> </v>
      </c>
    </row>
    <row r="146" customFormat="false" ht="12.75" hidden="false" customHeight="false" outlineLevel="0" collapsed="false">
      <c r="A146" s="355"/>
      <c r="E146" s="365" t="str">
        <f aca="false">IF((G146&lt;&gt;0),"Enter Letter"," ")</f>
        <v> </v>
      </c>
      <c r="H146" s="338" t="str">
        <f aca="false">IF((G146&lt;&gt;0),IF((D146&gt;0)," ",G146)," ")</f>
        <v> </v>
      </c>
      <c r="I146" s="367" t="str">
        <f aca="false">IF((G146&lt;&gt;0),IF((D146&gt;0)," ",(I$1-A146))," ")</f>
        <v> </v>
      </c>
      <c r="J146" s="334" t="str">
        <f aca="false">IF((E146="s"),G146," ")</f>
        <v> </v>
      </c>
      <c r="K146" s="334" t="str">
        <f aca="false">IF((E146="d"),G146," ")</f>
        <v> </v>
      </c>
      <c r="L146" s="334" t="str">
        <f aca="false">IF((E146="e"),G146," ")</f>
        <v> </v>
      </c>
      <c r="M146" s="334" t="str">
        <f aca="false">IF((E146="p"),G146," ")</f>
        <v> </v>
      </c>
      <c r="N146" s="334" t="str">
        <f aca="false">IF((E146="r"),G146," ")</f>
        <v> </v>
      </c>
      <c r="O146" s="334" t="str">
        <f aca="false">IF((E146="g"),G146," ")</f>
        <v> </v>
      </c>
      <c r="P146" s="334" t="str">
        <f aca="false">IF((E146="m"),G146," ")</f>
        <v> </v>
      </c>
      <c r="Q146" s="334" t="str">
        <f aca="false">IF((E146="t"),G146," ")</f>
        <v> </v>
      </c>
      <c r="R146" s="334" t="str">
        <f aca="false">IF((E146="a"),G146," ")</f>
        <v> </v>
      </c>
      <c r="S146" s="334" t="str">
        <f aca="false">IF((E146="l"),G146," ")</f>
        <v> </v>
      </c>
      <c r="T146" s="334" t="str">
        <f aca="false">IF((E146="b"),G146," ")</f>
        <v> </v>
      </c>
      <c r="U146" s="334" t="str">
        <f aca="false">IF((E146="i"),G146," ")</f>
        <v> </v>
      </c>
      <c r="V146" s="334" t="str">
        <f aca="false">IF((E146="o"),G146," ")</f>
        <v> </v>
      </c>
      <c r="W146" s="334" t="str">
        <f aca="false">IF((E146="f"),G146," ")</f>
        <v> </v>
      </c>
    </row>
    <row r="147" customFormat="false" ht="12.75" hidden="false" customHeight="false" outlineLevel="0" collapsed="false">
      <c r="A147" s="355"/>
      <c r="E147" s="365" t="str">
        <f aca="false">IF((G147&lt;&gt;0),"Enter Letter"," ")</f>
        <v> </v>
      </c>
      <c r="H147" s="338" t="str">
        <f aca="false">IF((G147&lt;&gt;0),IF((D147&gt;0)," ",G147)," ")</f>
        <v> </v>
      </c>
      <c r="I147" s="367" t="str">
        <f aca="false">IF((G147&lt;&gt;0),IF((D147&gt;0)," ",(I$1-A147))," ")</f>
        <v> </v>
      </c>
      <c r="J147" s="334" t="str">
        <f aca="false">IF((E147="s"),G147," ")</f>
        <v> </v>
      </c>
      <c r="K147" s="334" t="str">
        <f aca="false">IF((E147="d"),G147," ")</f>
        <v> </v>
      </c>
      <c r="L147" s="334" t="str">
        <f aca="false">IF((E147="e"),G147," ")</f>
        <v> </v>
      </c>
      <c r="M147" s="334" t="str">
        <f aca="false">IF((E147="p"),G147," ")</f>
        <v> </v>
      </c>
      <c r="N147" s="334" t="str">
        <f aca="false">IF((E147="r"),G147," ")</f>
        <v> </v>
      </c>
      <c r="O147" s="334" t="str">
        <f aca="false">IF((E147="g"),G147," ")</f>
        <v> </v>
      </c>
      <c r="P147" s="334" t="str">
        <f aca="false">IF((E147="m"),G147," ")</f>
        <v> </v>
      </c>
      <c r="Q147" s="334" t="str">
        <f aca="false">IF((E147="t"),G147," ")</f>
        <v> </v>
      </c>
      <c r="R147" s="334" t="str">
        <f aca="false">IF((E147="a"),G147," ")</f>
        <v> </v>
      </c>
      <c r="S147" s="334" t="str">
        <f aca="false">IF((E147="l"),G147," ")</f>
        <v> </v>
      </c>
      <c r="T147" s="334" t="str">
        <f aca="false">IF((E147="b"),G147," ")</f>
        <v> </v>
      </c>
      <c r="U147" s="334" t="str">
        <f aca="false">IF((E147="i"),G147," ")</f>
        <v> </v>
      </c>
      <c r="V147" s="334" t="str">
        <f aca="false">IF((E147="o"),G147," ")</f>
        <v> </v>
      </c>
      <c r="W147" s="334" t="str">
        <f aca="false">IF((E147="f"),G147," ")</f>
        <v> </v>
      </c>
    </row>
    <row r="148" customFormat="false" ht="12.75" hidden="false" customHeight="false" outlineLevel="0" collapsed="false">
      <c r="A148" s="355"/>
      <c r="E148" s="365" t="str">
        <f aca="false">IF((G148&lt;&gt;0),"Enter Letter"," ")</f>
        <v> </v>
      </c>
      <c r="H148" s="338" t="str">
        <f aca="false">IF((G148&lt;&gt;0),IF((D148&gt;0)," ",G148)," ")</f>
        <v> </v>
      </c>
      <c r="I148" s="367" t="str">
        <f aca="false">IF((G148&lt;&gt;0),IF((D148&gt;0)," ",(I$1-A148))," ")</f>
        <v> </v>
      </c>
      <c r="J148" s="334" t="str">
        <f aca="false">IF((E148="s"),G148," ")</f>
        <v> </v>
      </c>
      <c r="K148" s="334" t="str">
        <f aca="false">IF((E148="d"),G148," ")</f>
        <v> </v>
      </c>
      <c r="L148" s="334" t="str">
        <f aca="false">IF((E148="e"),G148," ")</f>
        <v> </v>
      </c>
      <c r="M148" s="334" t="str">
        <f aca="false">IF((E148="p"),G148," ")</f>
        <v> </v>
      </c>
      <c r="N148" s="334" t="str">
        <f aca="false">IF((E148="r"),G148," ")</f>
        <v> </v>
      </c>
      <c r="O148" s="334" t="str">
        <f aca="false">IF((E148="g"),G148," ")</f>
        <v> </v>
      </c>
      <c r="P148" s="334" t="str">
        <f aca="false">IF((E148="m"),G148," ")</f>
        <v> </v>
      </c>
      <c r="Q148" s="334" t="str">
        <f aca="false">IF((E148="t"),G148," ")</f>
        <v> </v>
      </c>
      <c r="R148" s="334" t="str">
        <f aca="false">IF((E148="a"),G148," ")</f>
        <v> </v>
      </c>
      <c r="S148" s="334" t="str">
        <f aca="false">IF((E148="l"),G148," ")</f>
        <v> </v>
      </c>
      <c r="T148" s="334" t="str">
        <f aca="false">IF((E148="b"),G148," ")</f>
        <v> </v>
      </c>
      <c r="U148" s="334" t="str">
        <f aca="false">IF((E148="i"),G148," ")</f>
        <v> </v>
      </c>
      <c r="V148" s="334" t="str">
        <f aca="false">IF((E148="o"),G148," ")</f>
        <v> </v>
      </c>
      <c r="W148" s="334" t="str">
        <f aca="false">IF((E148="f"),G148," ")</f>
        <v> </v>
      </c>
    </row>
    <row r="149" customFormat="false" ht="12.75" hidden="false" customHeight="false" outlineLevel="0" collapsed="false">
      <c r="A149" s="355"/>
      <c r="E149" s="365" t="str">
        <f aca="false">IF((G149&lt;&gt;0),"Enter Letter"," ")</f>
        <v> </v>
      </c>
      <c r="H149" s="338" t="str">
        <f aca="false">IF((G149&lt;&gt;0),IF((D149&gt;0)," ",G149)," ")</f>
        <v> </v>
      </c>
      <c r="I149" s="367" t="str">
        <f aca="false">IF((G149&lt;&gt;0),IF((D149&gt;0)," ",(I$1-A149))," ")</f>
        <v> </v>
      </c>
      <c r="J149" s="334" t="str">
        <f aca="false">IF((E149="s"),G149," ")</f>
        <v> </v>
      </c>
      <c r="K149" s="334" t="str">
        <f aca="false">IF((E149="d"),G149," ")</f>
        <v> </v>
      </c>
      <c r="L149" s="334" t="str">
        <f aca="false">IF((E149="e"),G149," ")</f>
        <v> </v>
      </c>
      <c r="M149" s="334" t="str">
        <f aca="false">IF((E149="p"),G149," ")</f>
        <v> </v>
      </c>
      <c r="N149" s="334" t="str">
        <f aca="false">IF((E149="r"),G149," ")</f>
        <v> </v>
      </c>
      <c r="O149" s="334" t="str">
        <f aca="false">IF((E149="g"),G149," ")</f>
        <v> </v>
      </c>
      <c r="P149" s="334" t="str">
        <f aca="false">IF((E149="m"),G149," ")</f>
        <v> </v>
      </c>
      <c r="Q149" s="334" t="str">
        <f aca="false">IF((E149="t"),G149," ")</f>
        <v> </v>
      </c>
      <c r="R149" s="334" t="str">
        <f aca="false">IF((E149="a"),G149," ")</f>
        <v> </v>
      </c>
      <c r="S149" s="334" t="str">
        <f aca="false">IF((E149="l"),G149," ")</f>
        <v> </v>
      </c>
      <c r="T149" s="334" t="str">
        <f aca="false">IF((E149="b"),G149," ")</f>
        <v> </v>
      </c>
      <c r="U149" s="334" t="str">
        <f aca="false">IF((E149="i"),G149," ")</f>
        <v> </v>
      </c>
      <c r="V149" s="334" t="str">
        <f aca="false">IF((E149="o"),G149," ")</f>
        <v> </v>
      </c>
      <c r="W149" s="334" t="str">
        <f aca="false">IF((E149="f"),G149," ")</f>
        <v> </v>
      </c>
    </row>
    <row r="150" customFormat="false" ht="12.75" hidden="false" customHeight="false" outlineLevel="0" collapsed="false">
      <c r="A150" s="355"/>
      <c r="E150" s="365" t="str">
        <f aca="false">IF((G150&lt;&gt;0),"Enter Letter"," ")</f>
        <v> </v>
      </c>
      <c r="H150" s="338" t="str">
        <f aca="false">IF((G150&lt;&gt;0),IF((D150&gt;0)," ",G150)," ")</f>
        <v> </v>
      </c>
      <c r="I150" s="367" t="str">
        <f aca="false">IF((G150&lt;&gt;0),IF((D150&gt;0)," ",(I$1-A150))," ")</f>
        <v> </v>
      </c>
      <c r="J150" s="334" t="str">
        <f aca="false">IF((E150="s"),G150," ")</f>
        <v> </v>
      </c>
      <c r="K150" s="334" t="str">
        <f aca="false">IF((E150="d"),G150," ")</f>
        <v> </v>
      </c>
      <c r="L150" s="334" t="str">
        <f aca="false">IF((E150="e"),G150," ")</f>
        <v> </v>
      </c>
      <c r="M150" s="334" t="str">
        <f aca="false">IF((E150="p"),G150," ")</f>
        <v> </v>
      </c>
      <c r="N150" s="334" t="str">
        <f aca="false">IF((E150="r"),G150," ")</f>
        <v> </v>
      </c>
      <c r="O150" s="334" t="str">
        <f aca="false">IF((E150="g"),G150," ")</f>
        <v> </v>
      </c>
      <c r="P150" s="334" t="str">
        <f aca="false">IF((E150="m"),G150," ")</f>
        <v> </v>
      </c>
      <c r="Q150" s="334" t="str">
        <f aca="false">IF((E150="t"),G150," ")</f>
        <v> </v>
      </c>
      <c r="R150" s="334" t="str">
        <f aca="false">IF((E150="a"),G150," ")</f>
        <v> </v>
      </c>
      <c r="S150" s="334" t="str">
        <f aca="false">IF((E150="l"),G150," ")</f>
        <v> </v>
      </c>
      <c r="T150" s="334" t="str">
        <f aca="false">IF((E150="b"),G150," ")</f>
        <v> </v>
      </c>
      <c r="U150" s="334" t="str">
        <f aca="false">IF((E150="i"),G150," ")</f>
        <v> </v>
      </c>
      <c r="V150" s="334" t="str">
        <f aca="false">IF((E150="o"),G150," ")</f>
        <v> </v>
      </c>
      <c r="W150" s="334" t="str">
        <f aca="false">IF((E150="f"),G150," ")</f>
        <v> </v>
      </c>
    </row>
    <row r="151" customFormat="false" ht="12.75" hidden="false" customHeight="false" outlineLevel="0" collapsed="false">
      <c r="A151" s="355"/>
      <c r="E151" s="365" t="str">
        <f aca="false">IF((G151&lt;&gt;0),"Enter Letter"," ")</f>
        <v> </v>
      </c>
      <c r="H151" s="338" t="str">
        <f aca="false">IF((G151&lt;&gt;0),IF((D151&gt;0)," ",G151)," ")</f>
        <v> </v>
      </c>
      <c r="I151" s="367" t="str">
        <f aca="false">IF((G151&lt;&gt;0),IF((D151&gt;0)," ",(I$1-A151))," ")</f>
        <v> </v>
      </c>
      <c r="J151" s="334" t="str">
        <f aca="false">IF((E151="s"),G151," ")</f>
        <v> </v>
      </c>
      <c r="K151" s="334" t="str">
        <f aca="false">IF((E151="d"),G151," ")</f>
        <v> </v>
      </c>
      <c r="L151" s="334" t="str">
        <f aca="false">IF((E151="e"),G151," ")</f>
        <v> </v>
      </c>
      <c r="M151" s="334" t="str">
        <f aca="false">IF((E151="p"),G151," ")</f>
        <v> </v>
      </c>
      <c r="N151" s="334" t="str">
        <f aca="false">IF((E151="r"),G151," ")</f>
        <v> </v>
      </c>
      <c r="O151" s="334" t="str">
        <f aca="false">IF((E151="g"),G151," ")</f>
        <v> </v>
      </c>
      <c r="P151" s="334" t="str">
        <f aca="false">IF((E151="m"),G151," ")</f>
        <v> </v>
      </c>
      <c r="Q151" s="334" t="str">
        <f aca="false">IF((E151="t"),G151," ")</f>
        <v> </v>
      </c>
      <c r="R151" s="334" t="str">
        <f aca="false">IF((E151="a"),G151," ")</f>
        <v> </v>
      </c>
      <c r="S151" s="334" t="str">
        <f aca="false">IF((E151="l"),G151," ")</f>
        <v> </v>
      </c>
      <c r="T151" s="334" t="str">
        <f aca="false">IF((E151="b"),G151," ")</f>
        <v> </v>
      </c>
      <c r="U151" s="334" t="str">
        <f aca="false">IF((E151="i"),G151," ")</f>
        <v> </v>
      </c>
      <c r="V151" s="334" t="str">
        <f aca="false">IF((E151="o"),G151," ")</f>
        <v> </v>
      </c>
      <c r="W151" s="334" t="str">
        <f aca="false">IF((E151="f"),G151," ")</f>
        <v> </v>
      </c>
    </row>
    <row r="152" customFormat="false" ht="12.75" hidden="false" customHeight="false" outlineLevel="0" collapsed="false">
      <c r="A152" s="355"/>
      <c r="E152" s="365" t="str">
        <f aca="false">IF((G152&lt;&gt;0),"Enter Letter"," ")</f>
        <v> </v>
      </c>
      <c r="H152" s="338" t="str">
        <f aca="false">IF((G152&lt;&gt;0),IF((D152&gt;0)," ",G152)," ")</f>
        <v> </v>
      </c>
      <c r="I152" s="367" t="str">
        <f aca="false">IF((G152&lt;&gt;0),IF((D152&gt;0)," ",(I$1-A152))," ")</f>
        <v> </v>
      </c>
      <c r="J152" s="334" t="str">
        <f aca="false">IF((E152="s"),G152," ")</f>
        <v> </v>
      </c>
      <c r="K152" s="334" t="str">
        <f aca="false">IF((E152="d"),G152," ")</f>
        <v> </v>
      </c>
      <c r="L152" s="334" t="str">
        <f aca="false">IF((E152="e"),G152," ")</f>
        <v> </v>
      </c>
      <c r="M152" s="334" t="str">
        <f aca="false">IF((E152="p"),G152," ")</f>
        <v> </v>
      </c>
      <c r="N152" s="334" t="str">
        <f aca="false">IF((E152="r"),G152," ")</f>
        <v> </v>
      </c>
      <c r="O152" s="334" t="str">
        <f aca="false">IF((E152="g"),G152," ")</f>
        <v> </v>
      </c>
      <c r="P152" s="334" t="str">
        <f aca="false">IF((E152="m"),G152," ")</f>
        <v> </v>
      </c>
      <c r="Q152" s="334" t="str">
        <f aca="false">IF((E152="t"),G152," ")</f>
        <v> </v>
      </c>
      <c r="R152" s="334" t="str">
        <f aca="false">IF((E152="a"),G152," ")</f>
        <v> </v>
      </c>
      <c r="S152" s="334" t="str">
        <f aca="false">IF((E152="l"),G152," ")</f>
        <v> </v>
      </c>
      <c r="T152" s="334" t="str">
        <f aca="false">IF((E152="b"),G152," ")</f>
        <v> </v>
      </c>
      <c r="U152" s="334" t="str">
        <f aca="false">IF((E152="i"),G152," ")</f>
        <v> </v>
      </c>
      <c r="V152" s="334" t="str">
        <f aca="false">IF((E152="o"),G152," ")</f>
        <v> </v>
      </c>
      <c r="W152" s="334" t="str">
        <f aca="false">IF((E152="f"),G152," ")</f>
        <v> </v>
      </c>
    </row>
    <row r="153" customFormat="false" ht="12.75" hidden="false" customHeight="false" outlineLevel="0" collapsed="false">
      <c r="A153" s="355"/>
      <c r="E153" s="365" t="str">
        <f aca="false">IF((G153&lt;&gt;0),"Enter Letter"," ")</f>
        <v> </v>
      </c>
      <c r="H153" s="338" t="str">
        <f aca="false">IF((G153&lt;&gt;0),IF((D153&gt;0)," ",G153)," ")</f>
        <v> </v>
      </c>
      <c r="I153" s="367" t="str">
        <f aca="false">IF((G153&lt;&gt;0),IF((D153&gt;0)," ",(I$1-A153))," ")</f>
        <v> </v>
      </c>
      <c r="J153" s="334" t="str">
        <f aca="false">IF((E153="s"),G153," ")</f>
        <v> </v>
      </c>
      <c r="K153" s="334" t="str">
        <f aca="false">IF((E153="d"),G153," ")</f>
        <v> </v>
      </c>
      <c r="L153" s="334" t="str">
        <f aca="false">IF((E153="e"),G153," ")</f>
        <v> </v>
      </c>
      <c r="M153" s="334" t="str">
        <f aca="false">IF((E153="p"),G153," ")</f>
        <v> </v>
      </c>
      <c r="N153" s="334" t="str">
        <f aca="false">IF((E153="r"),G153," ")</f>
        <v> </v>
      </c>
      <c r="O153" s="334" t="str">
        <f aca="false">IF((E153="g"),G153," ")</f>
        <v> </v>
      </c>
      <c r="P153" s="334" t="str">
        <f aca="false">IF((E153="m"),G153," ")</f>
        <v> </v>
      </c>
      <c r="Q153" s="334" t="str">
        <f aca="false">IF((E153="t"),G153," ")</f>
        <v> </v>
      </c>
      <c r="R153" s="334" t="str">
        <f aca="false">IF((E153="a"),G153," ")</f>
        <v> </v>
      </c>
      <c r="S153" s="334" t="str">
        <f aca="false">IF((E153="l"),G153," ")</f>
        <v> </v>
      </c>
      <c r="T153" s="334" t="str">
        <f aca="false">IF((E153="b"),G153," ")</f>
        <v> </v>
      </c>
      <c r="U153" s="334" t="str">
        <f aca="false">IF((E153="i"),G153," ")</f>
        <v> </v>
      </c>
      <c r="V153" s="334" t="str">
        <f aca="false">IF((E153="o"),G153," ")</f>
        <v> </v>
      </c>
      <c r="W153" s="334" t="str">
        <f aca="false">IF((E153="f"),G153," ")</f>
        <v> </v>
      </c>
    </row>
    <row r="154" customFormat="false" ht="12.75" hidden="false" customHeight="false" outlineLevel="0" collapsed="false">
      <c r="A154" s="355"/>
      <c r="E154" s="365" t="str">
        <f aca="false">IF((G154&lt;&gt;0),"Enter Letter"," ")</f>
        <v> </v>
      </c>
      <c r="H154" s="338" t="str">
        <f aca="false">IF((G154&lt;&gt;0),IF((D154&gt;0)," ",G154)," ")</f>
        <v> </v>
      </c>
      <c r="I154" s="367" t="str">
        <f aca="false">IF((G154&lt;&gt;0),IF((D154&gt;0)," ",(I$1-A154))," ")</f>
        <v> </v>
      </c>
      <c r="J154" s="334" t="str">
        <f aca="false">IF((E154="s"),G154," ")</f>
        <v> </v>
      </c>
      <c r="K154" s="334" t="str">
        <f aca="false">IF((E154="d"),G154," ")</f>
        <v> </v>
      </c>
      <c r="L154" s="334" t="str">
        <f aca="false">IF((E154="e"),G154," ")</f>
        <v> </v>
      </c>
      <c r="M154" s="334" t="str">
        <f aca="false">IF((E154="p"),G154," ")</f>
        <v> </v>
      </c>
      <c r="N154" s="334" t="str">
        <f aca="false">IF((E154="r"),G154," ")</f>
        <v> </v>
      </c>
      <c r="O154" s="334" t="str">
        <f aca="false">IF((E154="g"),G154," ")</f>
        <v> </v>
      </c>
      <c r="P154" s="334" t="str">
        <f aca="false">IF((E154="m"),G154," ")</f>
        <v> </v>
      </c>
      <c r="Q154" s="334" t="str">
        <f aca="false">IF((E154="t"),G154," ")</f>
        <v> </v>
      </c>
      <c r="R154" s="334" t="str">
        <f aca="false">IF((E154="a"),G154," ")</f>
        <v> </v>
      </c>
      <c r="S154" s="334" t="str">
        <f aca="false">IF((E154="l"),G154," ")</f>
        <v> </v>
      </c>
      <c r="T154" s="334" t="str">
        <f aca="false">IF((E154="b"),G154," ")</f>
        <v> </v>
      </c>
      <c r="U154" s="334" t="str">
        <f aca="false">IF((E154="i"),G154," ")</f>
        <v> </v>
      </c>
      <c r="V154" s="334" t="str">
        <f aca="false">IF((E154="o"),G154," ")</f>
        <v> </v>
      </c>
      <c r="W154" s="334" t="str">
        <f aca="false">IF((E154="f"),G154," ")</f>
        <v> </v>
      </c>
    </row>
    <row r="155" customFormat="false" ht="12.75" hidden="false" customHeight="false" outlineLevel="0" collapsed="false">
      <c r="A155" s="355"/>
      <c r="E155" s="365" t="str">
        <f aca="false">IF((G155&lt;&gt;0),"Enter Letter"," ")</f>
        <v> </v>
      </c>
      <c r="H155" s="338" t="str">
        <f aca="false">IF((G155&lt;&gt;0),IF((D155&gt;0)," ",G155)," ")</f>
        <v> </v>
      </c>
      <c r="I155" s="367" t="str">
        <f aca="false">IF((G155&lt;&gt;0),IF((D155&gt;0)," ",(I$1-A155))," ")</f>
        <v> </v>
      </c>
      <c r="J155" s="334" t="str">
        <f aca="false">IF((E155="s"),G155," ")</f>
        <v> </v>
      </c>
      <c r="K155" s="334" t="str">
        <f aca="false">IF((E155="d"),G155," ")</f>
        <v> </v>
      </c>
      <c r="L155" s="334" t="str">
        <f aca="false">IF((E155="e"),G155," ")</f>
        <v> </v>
      </c>
      <c r="M155" s="334" t="str">
        <f aca="false">IF((E155="p"),G155," ")</f>
        <v> </v>
      </c>
      <c r="N155" s="334" t="str">
        <f aca="false">IF((E155="r"),G155," ")</f>
        <v> </v>
      </c>
      <c r="O155" s="334" t="str">
        <f aca="false">IF((E155="g"),G155," ")</f>
        <v> </v>
      </c>
      <c r="P155" s="334" t="str">
        <f aca="false">IF((E155="m"),G155," ")</f>
        <v> </v>
      </c>
      <c r="Q155" s="334" t="str">
        <f aca="false">IF((E155="t"),G155," ")</f>
        <v> </v>
      </c>
      <c r="R155" s="334" t="str">
        <f aca="false">IF((E155="a"),G155," ")</f>
        <v> </v>
      </c>
      <c r="S155" s="334" t="str">
        <f aca="false">IF((E155="l"),G155," ")</f>
        <v> </v>
      </c>
      <c r="T155" s="334" t="str">
        <f aca="false">IF((E155="b"),G155," ")</f>
        <v> </v>
      </c>
      <c r="U155" s="334" t="str">
        <f aca="false">IF((E155="i"),G155," ")</f>
        <v> </v>
      </c>
      <c r="V155" s="334" t="str">
        <f aca="false">IF((E155="o"),G155," ")</f>
        <v> </v>
      </c>
      <c r="W155" s="334" t="str">
        <f aca="false">IF((E155="f"),G155," ")</f>
        <v> </v>
      </c>
    </row>
    <row r="156" customFormat="false" ht="12.75" hidden="false" customHeight="false" outlineLevel="0" collapsed="false">
      <c r="A156" s="355"/>
      <c r="E156" s="365" t="str">
        <f aca="false">IF((G156&lt;&gt;0),"Enter Letter"," ")</f>
        <v> </v>
      </c>
      <c r="H156" s="338" t="str">
        <f aca="false">IF((G156&lt;&gt;0),IF((D156&gt;0)," ",G156)," ")</f>
        <v> </v>
      </c>
      <c r="I156" s="367" t="str">
        <f aca="false">IF((G156&lt;&gt;0),IF((D156&gt;0)," ",(I$1-A156))," ")</f>
        <v> </v>
      </c>
      <c r="J156" s="334" t="str">
        <f aca="false">IF((E156="s"),G156," ")</f>
        <v> </v>
      </c>
      <c r="K156" s="334" t="str">
        <f aca="false">IF((E156="d"),G156," ")</f>
        <v> </v>
      </c>
      <c r="L156" s="334" t="str">
        <f aca="false">IF((E156="e"),G156," ")</f>
        <v> </v>
      </c>
      <c r="M156" s="334" t="str">
        <f aca="false">IF((E156="p"),G156," ")</f>
        <v> </v>
      </c>
      <c r="N156" s="334" t="str">
        <f aca="false">IF((E156="r"),G156," ")</f>
        <v> </v>
      </c>
      <c r="O156" s="334" t="str">
        <f aca="false">IF((E156="g"),G156," ")</f>
        <v> </v>
      </c>
      <c r="P156" s="334" t="str">
        <f aca="false">IF((E156="m"),G156," ")</f>
        <v> </v>
      </c>
      <c r="Q156" s="334" t="str">
        <f aca="false">IF((E156="t"),G156," ")</f>
        <v> </v>
      </c>
      <c r="R156" s="334" t="str">
        <f aca="false">IF((E156="a"),G156," ")</f>
        <v> </v>
      </c>
      <c r="S156" s="334" t="str">
        <f aca="false">IF((E156="l"),G156," ")</f>
        <v> </v>
      </c>
      <c r="T156" s="334" t="str">
        <f aca="false">IF((E156="b"),G156," ")</f>
        <v> </v>
      </c>
      <c r="U156" s="334" t="str">
        <f aca="false">IF((E156="i"),G156," ")</f>
        <v> </v>
      </c>
      <c r="V156" s="334" t="str">
        <f aca="false">IF((E156="o"),G156," ")</f>
        <v> </v>
      </c>
      <c r="W156" s="334" t="str">
        <f aca="false">IF((E156="f"),G156," ")</f>
        <v> </v>
      </c>
    </row>
    <row r="157" customFormat="false" ht="12.75" hidden="false" customHeight="false" outlineLevel="0" collapsed="false">
      <c r="A157" s="355"/>
      <c r="E157" s="365" t="str">
        <f aca="false">IF((G157&lt;&gt;0),"Enter Letter"," ")</f>
        <v> </v>
      </c>
      <c r="H157" s="338" t="str">
        <f aca="false">IF((G157&lt;&gt;0),IF((D157&gt;0)," ",G157)," ")</f>
        <v> </v>
      </c>
      <c r="I157" s="367" t="str">
        <f aca="false">IF((G157&lt;&gt;0),IF((D157&gt;0)," ",(I$1-A157))," ")</f>
        <v> </v>
      </c>
      <c r="J157" s="334" t="str">
        <f aca="false">IF((E157="s"),G157," ")</f>
        <v> </v>
      </c>
      <c r="K157" s="334" t="str">
        <f aca="false">IF((E157="d"),G157," ")</f>
        <v> </v>
      </c>
      <c r="L157" s="334" t="str">
        <f aca="false">IF((E157="e"),G157," ")</f>
        <v> </v>
      </c>
      <c r="M157" s="334" t="str">
        <f aca="false">IF((E157="p"),G157," ")</f>
        <v> </v>
      </c>
      <c r="N157" s="334" t="str">
        <f aca="false">IF((E157="r"),G157," ")</f>
        <v> </v>
      </c>
      <c r="O157" s="334" t="str">
        <f aca="false">IF((E157="g"),G157," ")</f>
        <v> </v>
      </c>
      <c r="P157" s="334" t="str">
        <f aca="false">IF((E157="m"),G157," ")</f>
        <v> </v>
      </c>
      <c r="Q157" s="334" t="str">
        <f aca="false">IF((E157="t"),G157," ")</f>
        <v> </v>
      </c>
      <c r="R157" s="334" t="str">
        <f aca="false">IF((E157="a"),G157," ")</f>
        <v> </v>
      </c>
      <c r="S157" s="334" t="str">
        <f aca="false">IF((E157="l"),G157," ")</f>
        <v> </v>
      </c>
      <c r="T157" s="334" t="str">
        <f aca="false">IF((E157="b"),G157," ")</f>
        <v> </v>
      </c>
      <c r="U157" s="334" t="str">
        <f aca="false">IF((E157="i"),G157," ")</f>
        <v> </v>
      </c>
      <c r="V157" s="334" t="str">
        <f aca="false">IF((E157="o"),G157," ")</f>
        <v> </v>
      </c>
      <c r="W157" s="334" t="str">
        <f aca="false">IF((E157="f"),G157," ")</f>
        <v> </v>
      </c>
    </row>
    <row r="158" customFormat="false" ht="12.75" hidden="false" customHeight="false" outlineLevel="0" collapsed="false">
      <c r="A158" s="355"/>
      <c r="E158" s="365" t="str">
        <f aca="false">IF((G158&lt;&gt;0),"Enter Letter"," ")</f>
        <v> </v>
      </c>
      <c r="H158" s="338" t="str">
        <f aca="false">IF((G158&lt;&gt;0),IF((D158&gt;0)," ",G158)," ")</f>
        <v> </v>
      </c>
      <c r="I158" s="367" t="str">
        <f aca="false">IF((G158&lt;&gt;0),IF((D158&gt;0)," ",(I$1-A158))," ")</f>
        <v> </v>
      </c>
      <c r="J158" s="334" t="str">
        <f aca="false">IF((E158="s"),G158," ")</f>
        <v> </v>
      </c>
      <c r="K158" s="334" t="str">
        <f aca="false">IF((E158="d"),G158," ")</f>
        <v> </v>
      </c>
      <c r="L158" s="334" t="str">
        <f aca="false">IF((E158="e"),G158," ")</f>
        <v> </v>
      </c>
      <c r="M158" s="334" t="str">
        <f aca="false">IF((E158="p"),G158," ")</f>
        <v> </v>
      </c>
      <c r="N158" s="334" t="str">
        <f aca="false">IF((E158="r"),G158," ")</f>
        <v> </v>
      </c>
      <c r="O158" s="334" t="str">
        <f aca="false">IF((E158="g"),G158," ")</f>
        <v> </v>
      </c>
      <c r="P158" s="334" t="str">
        <f aca="false">IF((E158="m"),G158," ")</f>
        <v> </v>
      </c>
      <c r="Q158" s="334" t="str">
        <f aca="false">IF((E158="t"),G158," ")</f>
        <v> </v>
      </c>
      <c r="R158" s="334" t="str">
        <f aca="false">IF((E158="a"),G158," ")</f>
        <v> </v>
      </c>
      <c r="S158" s="334" t="str">
        <f aca="false">IF((E158="l"),G158," ")</f>
        <v> </v>
      </c>
      <c r="T158" s="334" t="str">
        <f aca="false">IF((E158="b"),G158," ")</f>
        <v> </v>
      </c>
      <c r="U158" s="334" t="str">
        <f aca="false">IF((E158="i"),G158," ")</f>
        <v> </v>
      </c>
      <c r="V158" s="334" t="str">
        <f aca="false">IF((E158="o"),G158," ")</f>
        <v> </v>
      </c>
      <c r="W158" s="334" t="str">
        <f aca="false">IF((E158="f"),G158," ")</f>
        <v> </v>
      </c>
    </row>
    <row r="159" customFormat="false" ht="12.75" hidden="false" customHeight="false" outlineLevel="0" collapsed="false">
      <c r="A159" s="355"/>
      <c r="E159" s="365" t="str">
        <f aca="false">IF((G159&lt;&gt;0),"Enter Letter"," ")</f>
        <v> </v>
      </c>
      <c r="H159" s="338" t="str">
        <f aca="false">IF((G159&lt;&gt;0),IF((D159&gt;0)," ",G159)," ")</f>
        <v> </v>
      </c>
      <c r="I159" s="367" t="str">
        <f aca="false">IF((G159&lt;&gt;0),IF((D159&gt;0)," ",(I$1-A159))," ")</f>
        <v> </v>
      </c>
      <c r="J159" s="334" t="str">
        <f aca="false">IF((E159="s"),G159," ")</f>
        <v> </v>
      </c>
      <c r="K159" s="334" t="str">
        <f aca="false">IF((E159="d"),G159," ")</f>
        <v> </v>
      </c>
      <c r="L159" s="334" t="str">
        <f aca="false">IF((E159="e"),G159," ")</f>
        <v> </v>
      </c>
      <c r="M159" s="334" t="str">
        <f aca="false">IF((E159="p"),G159," ")</f>
        <v> </v>
      </c>
      <c r="N159" s="334" t="str">
        <f aca="false">IF((E159="r"),G159," ")</f>
        <v> </v>
      </c>
      <c r="O159" s="334" t="str">
        <f aca="false">IF((E159="g"),G159," ")</f>
        <v> </v>
      </c>
      <c r="P159" s="334" t="str">
        <f aca="false">IF((E159="m"),G159," ")</f>
        <v> </v>
      </c>
      <c r="Q159" s="334" t="str">
        <f aca="false">IF((E159="t"),G159," ")</f>
        <v> </v>
      </c>
      <c r="R159" s="334" t="str">
        <f aca="false">IF((E159="a"),G159," ")</f>
        <v> </v>
      </c>
      <c r="S159" s="334" t="str">
        <f aca="false">IF((E159="l"),G159," ")</f>
        <v> </v>
      </c>
      <c r="T159" s="334" t="str">
        <f aca="false">IF((E159="b"),G159," ")</f>
        <v> </v>
      </c>
      <c r="U159" s="334" t="str">
        <f aca="false">IF((E159="i"),G159," ")</f>
        <v> </v>
      </c>
      <c r="V159" s="334" t="str">
        <f aca="false">IF((E159="o"),G159," ")</f>
        <v> </v>
      </c>
      <c r="W159" s="334" t="str">
        <f aca="false">IF((E159="f"),G159," ")</f>
        <v> </v>
      </c>
    </row>
    <row r="160" customFormat="false" ht="12.75" hidden="false" customHeight="false" outlineLevel="0" collapsed="false">
      <c r="A160" s="355"/>
      <c r="E160" s="365" t="str">
        <f aca="false">IF((G160&lt;&gt;0),"Enter Letter"," ")</f>
        <v> </v>
      </c>
      <c r="H160" s="338" t="str">
        <f aca="false">IF((G160&lt;&gt;0),IF((D160&gt;0)," ",G160)," ")</f>
        <v> </v>
      </c>
      <c r="I160" s="367" t="str">
        <f aca="false">IF((G160&lt;&gt;0),IF((D160&gt;0)," ",(I$1-A160))," ")</f>
        <v> </v>
      </c>
      <c r="J160" s="334" t="str">
        <f aca="false">IF((E160="s"),G160," ")</f>
        <v> </v>
      </c>
      <c r="K160" s="334" t="str">
        <f aca="false">IF((E160="d"),G160," ")</f>
        <v> </v>
      </c>
      <c r="L160" s="334" t="str">
        <f aca="false">IF((E160="e"),G160," ")</f>
        <v> </v>
      </c>
      <c r="M160" s="334" t="str">
        <f aca="false">IF((E160="p"),G160," ")</f>
        <v> </v>
      </c>
      <c r="N160" s="334" t="str">
        <f aca="false">IF((E160="r"),G160," ")</f>
        <v> </v>
      </c>
      <c r="O160" s="334" t="str">
        <f aca="false">IF((E160="g"),G160," ")</f>
        <v> </v>
      </c>
      <c r="P160" s="334" t="str">
        <f aca="false">IF((E160="m"),G160," ")</f>
        <v> </v>
      </c>
      <c r="Q160" s="334" t="str">
        <f aca="false">IF((E160="t"),G160," ")</f>
        <v> </v>
      </c>
      <c r="R160" s="334" t="str">
        <f aca="false">IF((E160="a"),G160," ")</f>
        <v> </v>
      </c>
      <c r="S160" s="334" t="str">
        <f aca="false">IF((E160="l"),G160," ")</f>
        <v> </v>
      </c>
      <c r="T160" s="334" t="str">
        <f aca="false">IF((E160="b"),G160," ")</f>
        <v> </v>
      </c>
      <c r="U160" s="334" t="str">
        <f aca="false">IF((E160="i"),G160," ")</f>
        <v> </v>
      </c>
      <c r="V160" s="334" t="str">
        <f aca="false">IF((E160="o"),G160," ")</f>
        <v> </v>
      </c>
      <c r="W160" s="334" t="str">
        <f aca="false">IF((E160="f"),G160," ")</f>
        <v> </v>
      </c>
    </row>
    <row r="161" customFormat="false" ht="12.75" hidden="false" customHeight="false" outlineLevel="0" collapsed="false">
      <c r="A161" s="355"/>
      <c r="E161" s="365" t="str">
        <f aca="false">IF((G161&lt;&gt;0),"Enter Letter"," ")</f>
        <v> </v>
      </c>
      <c r="H161" s="338" t="str">
        <f aca="false">IF((G161&lt;&gt;0),IF((D161&gt;0)," ",G161)," ")</f>
        <v> </v>
      </c>
      <c r="I161" s="367" t="str">
        <f aca="false">IF((G161&lt;&gt;0),IF((D161&gt;0)," ",(I$1-A161))," ")</f>
        <v> </v>
      </c>
      <c r="J161" s="334" t="str">
        <f aca="false">IF((E161="s"),G161," ")</f>
        <v> </v>
      </c>
      <c r="K161" s="334" t="str">
        <f aca="false">IF((E161="d"),G161," ")</f>
        <v> </v>
      </c>
      <c r="L161" s="334" t="str">
        <f aca="false">IF((E161="e"),G161," ")</f>
        <v> </v>
      </c>
      <c r="M161" s="334" t="str">
        <f aca="false">IF((E161="p"),G161," ")</f>
        <v> </v>
      </c>
      <c r="N161" s="334" t="str">
        <f aca="false">IF((E161="r"),G161," ")</f>
        <v> </v>
      </c>
      <c r="O161" s="334" t="str">
        <f aca="false">IF((E161="g"),G161," ")</f>
        <v> </v>
      </c>
      <c r="P161" s="334" t="str">
        <f aca="false">IF((E161="m"),G161," ")</f>
        <v> </v>
      </c>
      <c r="Q161" s="334" t="str">
        <f aca="false">IF((E161="t"),G161," ")</f>
        <v> </v>
      </c>
      <c r="R161" s="334" t="str">
        <f aca="false">IF((E161="a"),G161," ")</f>
        <v> </v>
      </c>
      <c r="S161" s="334" t="str">
        <f aca="false">IF((E161="l"),G161," ")</f>
        <v> </v>
      </c>
      <c r="T161" s="334" t="str">
        <f aca="false">IF((E161="b"),G161," ")</f>
        <v> </v>
      </c>
      <c r="U161" s="334" t="str">
        <f aca="false">IF((E161="i"),G161," ")</f>
        <v> </v>
      </c>
      <c r="V161" s="334" t="str">
        <f aca="false">IF((E161="o"),G161," ")</f>
        <v> </v>
      </c>
      <c r="W161" s="334" t="str">
        <f aca="false">IF((E161="f"),G161," ")</f>
        <v> </v>
      </c>
    </row>
    <row r="162" customFormat="false" ht="12.75" hidden="false" customHeight="false" outlineLevel="0" collapsed="false">
      <c r="A162" s="355"/>
      <c r="E162" s="365" t="str">
        <f aca="false">IF((G162&lt;&gt;0),"Enter Letter"," ")</f>
        <v> </v>
      </c>
      <c r="H162" s="338" t="str">
        <f aca="false">IF((G162&lt;&gt;0),IF((D162&gt;0)," ",G162)," ")</f>
        <v> </v>
      </c>
      <c r="I162" s="367" t="str">
        <f aca="false">IF((G162&lt;&gt;0),IF((D162&gt;0)," ",(I$1-A162))," ")</f>
        <v> </v>
      </c>
      <c r="J162" s="334" t="str">
        <f aca="false">IF((E162="s"),G162," ")</f>
        <v> </v>
      </c>
      <c r="K162" s="334" t="str">
        <f aca="false">IF((E162="d"),G162," ")</f>
        <v> </v>
      </c>
      <c r="L162" s="334" t="str">
        <f aca="false">IF((E162="e"),G162," ")</f>
        <v> </v>
      </c>
      <c r="M162" s="334" t="str">
        <f aca="false">IF((E162="p"),G162," ")</f>
        <v> </v>
      </c>
      <c r="N162" s="334" t="str">
        <f aca="false">IF((E162="r"),G162," ")</f>
        <v> </v>
      </c>
      <c r="O162" s="334" t="str">
        <f aca="false">IF((E162="g"),G162," ")</f>
        <v> </v>
      </c>
      <c r="P162" s="334" t="str">
        <f aca="false">IF((E162="m"),G162," ")</f>
        <v> </v>
      </c>
      <c r="Q162" s="334" t="str">
        <f aca="false">IF((E162="t"),G162," ")</f>
        <v> </v>
      </c>
      <c r="R162" s="334" t="str">
        <f aca="false">IF((E162="a"),G162," ")</f>
        <v> </v>
      </c>
      <c r="S162" s="334" t="str">
        <f aca="false">IF((E162="l"),G162," ")</f>
        <v> </v>
      </c>
      <c r="T162" s="334" t="str">
        <f aca="false">IF((E162="b"),G162," ")</f>
        <v> </v>
      </c>
      <c r="U162" s="334" t="str">
        <f aca="false">IF((E162="i"),G162," ")</f>
        <v> </v>
      </c>
      <c r="V162" s="334" t="str">
        <f aca="false">IF((E162="o"),G162," ")</f>
        <v> </v>
      </c>
      <c r="W162" s="334" t="str">
        <f aca="false">IF((E162="f"),G162," ")</f>
        <v> </v>
      </c>
    </row>
    <row r="163" customFormat="false" ht="12.75" hidden="false" customHeight="false" outlineLevel="0" collapsed="false">
      <c r="A163" s="355"/>
      <c r="E163" s="365" t="str">
        <f aca="false">IF((G163&lt;&gt;0),"Enter Letter"," ")</f>
        <v> </v>
      </c>
      <c r="H163" s="338" t="str">
        <f aca="false">IF((G163&lt;&gt;0),IF((D163&gt;0)," ",G163)," ")</f>
        <v> </v>
      </c>
      <c r="I163" s="367" t="str">
        <f aca="false">IF((G163&lt;&gt;0),IF((D163&gt;0)," ",(I$1-A163))," ")</f>
        <v> </v>
      </c>
      <c r="J163" s="334" t="str">
        <f aca="false">IF((E163="s"),G163," ")</f>
        <v> </v>
      </c>
      <c r="K163" s="334" t="str">
        <f aca="false">IF((E163="d"),G163," ")</f>
        <v> </v>
      </c>
      <c r="L163" s="334" t="str">
        <f aca="false">IF((E163="e"),G163," ")</f>
        <v> </v>
      </c>
      <c r="M163" s="334" t="str">
        <f aca="false">IF((E163="p"),G163," ")</f>
        <v> </v>
      </c>
      <c r="N163" s="334" t="str">
        <f aca="false">IF((E163="r"),G163," ")</f>
        <v> </v>
      </c>
      <c r="O163" s="334" t="str">
        <f aca="false">IF((E163="g"),G163," ")</f>
        <v> </v>
      </c>
      <c r="P163" s="334" t="str">
        <f aca="false">IF((E163="m"),G163," ")</f>
        <v> </v>
      </c>
      <c r="Q163" s="334" t="str">
        <f aca="false">IF((E163="t"),G163," ")</f>
        <v> </v>
      </c>
      <c r="R163" s="334" t="str">
        <f aca="false">IF((E163="a"),G163," ")</f>
        <v> </v>
      </c>
      <c r="S163" s="334" t="str">
        <f aca="false">IF((E163="l"),G163," ")</f>
        <v> </v>
      </c>
      <c r="T163" s="334" t="str">
        <f aca="false">IF((E163="b"),G163," ")</f>
        <v> </v>
      </c>
      <c r="U163" s="334" t="str">
        <f aca="false">IF((E163="i"),G163," ")</f>
        <v> </v>
      </c>
      <c r="V163" s="334" t="str">
        <f aca="false">IF((E163="o"),G163," ")</f>
        <v> </v>
      </c>
      <c r="W163" s="334" t="str">
        <f aca="false">IF((E163="f"),G163," ")</f>
        <v> </v>
      </c>
    </row>
    <row r="164" customFormat="false" ht="12.75" hidden="false" customHeight="false" outlineLevel="0" collapsed="false">
      <c r="A164" s="355"/>
      <c r="E164" s="365" t="str">
        <f aca="false">IF((G164&lt;&gt;0),"Enter Letter"," ")</f>
        <v> </v>
      </c>
      <c r="H164" s="338" t="str">
        <f aca="false">IF((G164&lt;&gt;0),IF((D164&gt;0)," ",G164)," ")</f>
        <v> </v>
      </c>
      <c r="I164" s="367" t="str">
        <f aca="false">IF((G164&lt;&gt;0),IF((D164&gt;0)," ",(I$1-A164))," ")</f>
        <v> </v>
      </c>
      <c r="J164" s="334" t="str">
        <f aca="false">IF((E164="s"),G164," ")</f>
        <v> </v>
      </c>
      <c r="K164" s="334" t="str">
        <f aca="false">IF((E164="d"),G164," ")</f>
        <v> </v>
      </c>
      <c r="L164" s="334" t="str">
        <f aca="false">IF((E164="e"),G164," ")</f>
        <v> </v>
      </c>
      <c r="M164" s="334" t="str">
        <f aca="false">IF((E164="p"),G164," ")</f>
        <v> </v>
      </c>
      <c r="N164" s="334" t="str">
        <f aca="false">IF((E164="r"),G164," ")</f>
        <v> </v>
      </c>
      <c r="O164" s="334" t="str">
        <f aca="false">IF((E164="g"),G164," ")</f>
        <v> </v>
      </c>
      <c r="P164" s="334" t="str">
        <f aca="false">IF((E164="m"),G164," ")</f>
        <v> </v>
      </c>
      <c r="Q164" s="334" t="str">
        <f aca="false">IF((E164="t"),G164," ")</f>
        <v> </v>
      </c>
      <c r="R164" s="334" t="str">
        <f aca="false">IF((E164="a"),G164," ")</f>
        <v> </v>
      </c>
      <c r="S164" s="334" t="str">
        <f aca="false">IF((E164="l"),G164," ")</f>
        <v> </v>
      </c>
      <c r="T164" s="334" t="str">
        <f aca="false">IF((E164="b"),G164," ")</f>
        <v> </v>
      </c>
      <c r="U164" s="334" t="str">
        <f aca="false">IF((E164="i"),G164," ")</f>
        <v> </v>
      </c>
      <c r="V164" s="334" t="str">
        <f aca="false">IF((E164="o"),G164," ")</f>
        <v> </v>
      </c>
      <c r="W164" s="334" t="str">
        <f aca="false">IF((E164="f"),G164," ")</f>
        <v> </v>
      </c>
    </row>
    <row r="165" customFormat="false" ht="12.75" hidden="false" customHeight="false" outlineLevel="0" collapsed="false">
      <c r="A165" s="355"/>
      <c r="E165" s="365" t="str">
        <f aca="false">IF((G165&lt;&gt;0),"Enter Letter"," ")</f>
        <v> </v>
      </c>
      <c r="H165" s="338" t="str">
        <f aca="false">IF((G165&lt;&gt;0),IF((D165&gt;0)," ",G165)," ")</f>
        <v> </v>
      </c>
      <c r="I165" s="367" t="str">
        <f aca="false">IF((G165&lt;&gt;0),IF((D165&gt;0)," ",(I$1-A165))," ")</f>
        <v> </v>
      </c>
      <c r="J165" s="334" t="str">
        <f aca="false">IF((E165="s"),G165," ")</f>
        <v> </v>
      </c>
      <c r="K165" s="334" t="str">
        <f aca="false">IF((E165="d"),G165," ")</f>
        <v> </v>
      </c>
      <c r="L165" s="334" t="str">
        <f aca="false">IF((E165="e"),G165," ")</f>
        <v> </v>
      </c>
      <c r="M165" s="334" t="str">
        <f aca="false">IF((E165="p"),G165," ")</f>
        <v> </v>
      </c>
      <c r="N165" s="334" t="str">
        <f aca="false">IF((E165="r"),G165," ")</f>
        <v> </v>
      </c>
      <c r="O165" s="334" t="str">
        <f aca="false">IF((E165="g"),G165," ")</f>
        <v> </v>
      </c>
      <c r="P165" s="334" t="str">
        <f aca="false">IF((E165="m"),G165," ")</f>
        <v> </v>
      </c>
      <c r="Q165" s="334" t="str">
        <f aca="false">IF((E165="t"),G165," ")</f>
        <v> </v>
      </c>
      <c r="R165" s="334" t="str">
        <f aca="false">IF((E165="a"),G165," ")</f>
        <v> </v>
      </c>
      <c r="S165" s="334" t="str">
        <f aca="false">IF((E165="l"),G165," ")</f>
        <v> </v>
      </c>
      <c r="T165" s="334" t="str">
        <f aca="false">IF((E165="b"),G165," ")</f>
        <v> </v>
      </c>
      <c r="U165" s="334" t="str">
        <f aca="false">IF((E165="i"),G165," ")</f>
        <v> </v>
      </c>
      <c r="V165" s="334" t="str">
        <f aca="false">IF((E165="o"),G165," ")</f>
        <v> </v>
      </c>
      <c r="W165" s="334" t="str">
        <f aca="false">IF((E165="f"),G165," ")</f>
        <v> </v>
      </c>
    </row>
    <row r="166" customFormat="false" ht="12.75" hidden="false" customHeight="false" outlineLevel="0" collapsed="false">
      <c r="A166" s="355"/>
      <c r="E166" s="365" t="str">
        <f aca="false">IF((G166&lt;&gt;0),"Enter Letter"," ")</f>
        <v> </v>
      </c>
      <c r="H166" s="338" t="str">
        <f aca="false">IF((G166&lt;&gt;0),IF((D166&gt;0)," ",G166)," ")</f>
        <v> </v>
      </c>
      <c r="I166" s="367" t="str">
        <f aca="false">IF((G166&lt;&gt;0),IF((D166&gt;0)," ",(I$1-A166))," ")</f>
        <v> </v>
      </c>
      <c r="J166" s="334" t="str">
        <f aca="false">IF((E166="s"),G166," ")</f>
        <v> </v>
      </c>
      <c r="K166" s="334" t="str">
        <f aca="false">IF((E166="d"),G166," ")</f>
        <v> </v>
      </c>
      <c r="L166" s="334" t="str">
        <f aca="false">IF((E166="e"),G166," ")</f>
        <v> </v>
      </c>
      <c r="M166" s="334" t="str">
        <f aca="false">IF((E166="p"),G166," ")</f>
        <v> </v>
      </c>
      <c r="N166" s="334" t="str">
        <f aca="false">IF((E166="r"),G166," ")</f>
        <v> </v>
      </c>
      <c r="O166" s="334" t="str">
        <f aca="false">IF((E166="g"),G166," ")</f>
        <v> </v>
      </c>
      <c r="P166" s="334" t="str">
        <f aca="false">IF((E166="m"),G166," ")</f>
        <v> </v>
      </c>
      <c r="Q166" s="334" t="str">
        <f aca="false">IF((E166="t"),G166," ")</f>
        <v> </v>
      </c>
      <c r="R166" s="334" t="str">
        <f aca="false">IF((E166="a"),G166," ")</f>
        <v> </v>
      </c>
      <c r="S166" s="334" t="str">
        <f aca="false">IF((E166="l"),G166," ")</f>
        <v> </v>
      </c>
      <c r="T166" s="334" t="str">
        <f aca="false">IF((E166="b"),G166," ")</f>
        <v> </v>
      </c>
      <c r="U166" s="334" t="str">
        <f aca="false">IF((E166="i"),G166," ")</f>
        <v> </v>
      </c>
      <c r="V166" s="334" t="str">
        <f aca="false">IF((E166="o"),G166," ")</f>
        <v> </v>
      </c>
      <c r="W166" s="334" t="str">
        <f aca="false">IF((E166="f"),G166," ")</f>
        <v> </v>
      </c>
    </row>
    <row r="167" customFormat="false" ht="12.75" hidden="false" customHeight="false" outlineLevel="0" collapsed="false">
      <c r="A167" s="355"/>
      <c r="E167" s="365" t="str">
        <f aca="false">IF((G167&lt;&gt;0),"Enter Letter"," ")</f>
        <v> </v>
      </c>
      <c r="H167" s="338" t="str">
        <f aca="false">IF((G167&lt;&gt;0),IF((D167&gt;0)," ",G167)," ")</f>
        <v> </v>
      </c>
      <c r="I167" s="367" t="str">
        <f aca="false">IF((G167&lt;&gt;0),IF((D167&gt;0)," ",(I$1-A167))," ")</f>
        <v> </v>
      </c>
      <c r="J167" s="334" t="str">
        <f aca="false">IF((E167="s"),G167," ")</f>
        <v> </v>
      </c>
      <c r="K167" s="334" t="str">
        <f aca="false">IF((E167="d"),G167," ")</f>
        <v> </v>
      </c>
      <c r="L167" s="334" t="str">
        <f aca="false">IF((E167="e"),G167," ")</f>
        <v> </v>
      </c>
      <c r="M167" s="334" t="str">
        <f aca="false">IF((E167="p"),G167," ")</f>
        <v> </v>
      </c>
      <c r="N167" s="334" t="str">
        <f aca="false">IF((E167="r"),G167," ")</f>
        <v> </v>
      </c>
      <c r="O167" s="334" t="str">
        <f aca="false">IF((E167="g"),G167," ")</f>
        <v> </v>
      </c>
      <c r="P167" s="334" t="str">
        <f aca="false">IF((E167="m"),G167," ")</f>
        <v> </v>
      </c>
      <c r="Q167" s="334" t="str">
        <f aca="false">IF((E167="t"),G167," ")</f>
        <v> </v>
      </c>
      <c r="R167" s="334" t="str">
        <f aca="false">IF((E167="a"),G167," ")</f>
        <v> </v>
      </c>
      <c r="S167" s="334" t="str">
        <f aca="false">IF((E167="l"),G167," ")</f>
        <v> </v>
      </c>
      <c r="T167" s="334" t="str">
        <f aca="false">IF((E167="b"),G167," ")</f>
        <v> </v>
      </c>
      <c r="U167" s="334" t="str">
        <f aca="false">IF((E167="i"),G167," ")</f>
        <v> </v>
      </c>
      <c r="V167" s="334" t="str">
        <f aca="false">IF((E167="o"),G167," ")</f>
        <v> </v>
      </c>
      <c r="W167" s="334" t="str">
        <f aca="false">IF((E167="f"),G167," ")</f>
        <v> </v>
      </c>
    </row>
    <row r="168" customFormat="false" ht="12.75" hidden="false" customHeight="false" outlineLevel="0" collapsed="false">
      <c r="A168" s="355"/>
      <c r="E168" s="365" t="str">
        <f aca="false">IF((G168&lt;&gt;0),"Enter Letter"," ")</f>
        <v> </v>
      </c>
      <c r="H168" s="338" t="str">
        <f aca="false">IF((G168&lt;&gt;0),IF((D168&gt;0)," ",G168)," ")</f>
        <v> </v>
      </c>
      <c r="I168" s="367" t="str">
        <f aca="false">IF((G168&lt;&gt;0),IF((D168&gt;0)," ",(I$1-A168))," ")</f>
        <v> </v>
      </c>
      <c r="J168" s="334" t="str">
        <f aca="false">IF((E168="s"),G168," ")</f>
        <v> </v>
      </c>
      <c r="K168" s="334" t="str">
        <f aca="false">IF((E168="d"),G168," ")</f>
        <v> </v>
      </c>
      <c r="L168" s="334" t="str">
        <f aca="false">IF((E168="e"),G168," ")</f>
        <v> </v>
      </c>
      <c r="M168" s="334" t="str">
        <f aca="false">IF((E168="p"),G168," ")</f>
        <v> </v>
      </c>
      <c r="N168" s="334" t="str">
        <f aca="false">IF((E168="r"),G168," ")</f>
        <v> </v>
      </c>
      <c r="O168" s="334" t="str">
        <f aca="false">IF((E168="g"),G168," ")</f>
        <v> </v>
      </c>
      <c r="P168" s="334" t="str">
        <f aca="false">IF((E168="m"),G168," ")</f>
        <v> </v>
      </c>
      <c r="Q168" s="334" t="str">
        <f aca="false">IF((E168="t"),G168," ")</f>
        <v> </v>
      </c>
      <c r="R168" s="334" t="str">
        <f aca="false">IF((E168="a"),G168," ")</f>
        <v> </v>
      </c>
      <c r="S168" s="334" t="str">
        <f aca="false">IF((E168="l"),G168," ")</f>
        <v> </v>
      </c>
      <c r="T168" s="334" t="str">
        <f aca="false">IF((E168="b"),G168," ")</f>
        <v> </v>
      </c>
      <c r="U168" s="334" t="str">
        <f aca="false">IF((E168="i"),G168," ")</f>
        <v> </v>
      </c>
      <c r="V168" s="334" t="str">
        <f aca="false">IF((E168="o"),G168," ")</f>
        <v> </v>
      </c>
      <c r="W168" s="334" t="str">
        <f aca="false">IF((E168="f"),G168," ")</f>
        <v> </v>
      </c>
    </row>
    <row r="169" customFormat="false" ht="12.75" hidden="false" customHeight="false" outlineLevel="0" collapsed="false">
      <c r="A169" s="355"/>
      <c r="E169" s="365" t="str">
        <f aca="false">IF((G169&lt;&gt;0),"Enter Letter"," ")</f>
        <v> </v>
      </c>
      <c r="H169" s="338" t="str">
        <f aca="false">IF((G169&lt;&gt;0),IF((D169&gt;0)," ",G169)," ")</f>
        <v> </v>
      </c>
      <c r="I169" s="367" t="str">
        <f aca="false">IF((G169&lt;&gt;0),IF((D169&gt;0)," ",(I$1-A169))," ")</f>
        <v> </v>
      </c>
      <c r="J169" s="334" t="str">
        <f aca="false">IF((E169="s"),G169," ")</f>
        <v> </v>
      </c>
      <c r="K169" s="334" t="str">
        <f aca="false">IF((E169="d"),G169," ")</f>
        <v> </v>
      </c>
      <c r="L169" s="334" t="str">
        <f aca="false">IF((E169="e"),G169," ")</f>
        <v> </v>
      </c>
      <c r="M169" s="334" t="str">
        <f aca="false">IF((E169="p"),G169," ")</f>
        <v> </v>
      </c>
      <c r="N169" s="334" t="str">
        <f aca="false">IF((E169="r"),G169," ")</f>
        <v> </v>
      </c>
      <c r="O169" s="334" t="str">
        <f aca="false">IF((E169="g"),G169," ")</f>
        <v> </v>
      </c>
      <c r="P169" s="334" t="str">
        <f aca="false">IF((E169="m"),G169," ")</f>
        <v> </v>
      </c>
      <c r="Q169" s="334" t="str">
        <f aca="false">IF((E169="t"),G169," ")</f>
        <v> </v>
      </c>
      <c r="R169" s="334" t="str">
        <f aca="false">IF((E169="a"),G169," ")</f>
        <v> </v>
      </c>
      <c r="S169" s="334" t="str">
        <f aca="false">IF((E169="l"),G169," ")</f>
        <v> </v>
      </c>
      <c r="T169" s="334" t="str">
        <f aca="false">IF((E169="b"),G169," ")</f>
        <v> </v>
      </c>
      <c r="U169" s="334" t="str">
        <f aca="false">IF((E169="i"),G169," ")</f>
        <v> </v>
      </c>
      <c r="V169" s="334" t="str">
        <f aca="false">IF((E169="o"),G169," ")</f>
        <v> </v>
      </c>
      <c r="W169" s="334" t="str">
        <f aca="false">IF((E169="f"),G169," ")</f>
        <v> </v>
      </c>
    </row>
    <row r="170" customFormat="false" ht="12.75" hidden="false" customHeight="false" outlineLevel="0" collapsed="false">
      <c r="A170" s="355"/>
      <c r="E170" s="365" t="str">
        <f aca="false">IF((G170&lt;&gt;0),"Enter Letter"," ")</f>
        <v> </v>
      </c>
      <c r="H170" s="338" t="str">
        <f aca="false">IF((G170&lt;&gt;0),IF((D170&gt;0)," ",G170)," ")</f>
        <v> </v>
      </c>
      <c r="I170" s="367" t="str">
        <f aca="false">IF((G170&lt;&gt;0),IF((D170&gt;0)," ",(I$1-A170))," ")</f>
        <v> </v>
      </c>
      <c r="J170" s="334" t="str">
        <f aca="false">IF((E170="s"),G170," ")</f>
        <v> </v>
      </c>
      <c r="K170" s="334" t="str">
        <f aca="false">IF((E170="d"),G170," ")</f>
        <v> </v>
      </c>
      <c r="L170" s="334" t="str">
        <f aca="false">IF((E170="e"),G170," ")</f>
        <v> </v>
      </c>
      <c r="M170" s="334" t="str">
        <f aca="false">IF((E170="p"),G170," ")</f>
        <v> </v>
      </c>
      <c r="N170" s="334" t="str">
        <f aca="false">IF((E170="r"),G170," ")</f>
        <v> </v>
      </c>
      <c r="O170" s="334" t="str">
        <f aca="false">IF((E170="g"),G170," ")</f>
        <v> </v>
      </c>
      <c r="P170" s="334" t="str">
        <f aca="false">IF((E170="m"),G170," ")</f>
        <v> </v>
      </c>
      <c r="Q170" s="334" t="str">
        <f aca="false">IF((E170="t"),G170," ")</f>
        <v> </v>
      </c>
      <c r="R170" s="334" t="str">
        <f aca="false">IF((E170="a"),G170," ")</f>
        <v> </v>
      </c>
      <c r="S170" s="334" t="str">
        <f aca="false">IF((E170="l"),G170," ")</f>
        <v> </v>
      </c>
      <c r="T170" s="334" t="str">
        <f aca="false">IF((E170="b"),G170," ")</f>
        <v> </v>
      </c>
      <c r="U170" s="334" t="str">
        <f aca="false">IF((E170="i"),G170," ")</f>
        <v> </v>
      </c>
      <c r="V170" s="334" t="str">
        <f aca="false">IF((E170="o"),G170," ")</f>
        <v> </v>
      </c>
      <c r="W170" s="334" t="str">
        <f aca="false">IF((E170="f"),G170," ")</f>
        <v> </v>
      </c>
    </row>
    <row r="171" customFormat="false" ht="12.75" hidden="false" customHeight="false" outlineLevel="0" collapsed="false">
      <c r="A171" s="355"/>
      <c r="E171" s="365" t="str">
        <f aca="false">IF((G171&lt;&gt;0),"Enter Letter"," ")</f>
        <v> </v>
      </c>
      <c r="H171" s="338" t="str">
        <f aca="false">IF((G171&lt;&gt;0),IF((D171&gt;0)," ",G171)," ")</f>
        <v> </v>
      </c>
      <c r="I171" s="367" t="str">
        <f aca="false">IF((G171&lt;&gt;0),IF((D171&gt;0)," ",(I$1-A171))," ")</f>
        <v> </v>
      </c>
      <c r="J171" s="334" t="str">
        <f aca="false">IF((E171="s"),G171," ")</f>
        <v> </v>
      </c>
      <c r="K171" s="334" t="str">
        <f aca="false">IF((E171="d"),G171," ")</f>
        <v> </v>
      </c>
      <c r="L171" s="334" t="str">
        <f aca="false">IF((E171="e"),G171," ")</f>
        <v> </v>
      </c>
      <c r="M171" s="334" t="str">
        <f aca="false">IF((E171="p"),G171," ")</f>
        <v> </v>
      </c>
      <c r="N171" s="334" t="str">
        <f aca="false">IF((E171="r"),G171," ")</f>
        <v> </v>
      </c>
      <c r="O171" s="334" t="str">
        <f aca="false">IF((E171="g"),G171," ")</f>
        <v> </v>
      </c>
      <c r="P171" s="334" t="str">
        <f aca="false">IF((E171="m"),G171," ")</f>
        <v> </v>
      </c>
      <c r="Q171" s="334" t="str">
        <f aca="false">IF((E171="t"),G171," ")</f>
        <v> </v>
      </c>
      <c r="R171" s="334" t="str">
        <f aca="false">IF((E171="a"),G171," ")</f>
        <v> </v>
      </c>
      <c r="S171" s="334" t="str">
        <f aca="false">IF((E171="l"),G171," ")</f>
        <v> </v>
      </c>
      <c r="T171" s="334" t="str">
        <f aca="false">IF((E171="b"),G171," ")</f>
        <v> </v>
      </c>
      <c r="U171" s="334" t="str">
        <f aca="false">IF((E171="i"),G171," ")</f>
        <v> </v>
      </c>
      <c r="V171" s="334" t="str">
        <f aca="false">IF((E171="o"),G171," ")</f>
        <v> </v>
      </c>
      <c r="W171" s="334" t="str">
        <f aca="false">IF((E171="f"),G171," ")</f>
        <v> </v>
      </c>
    </row>
    <row r="172" customFormat="false" ht="12.75" hidden="false" customHeight="false" outlineLevel="0" collapsed="false">
      <c r="A172" s="355"/>
      <c r="E172" s="365" t="str">
        <f aca="false">IF((G172&lt;&gt;0),"Enter Letter"," ")</f>
        <v> </v>
      </c>
      <c r="H172" s="338" t="str">
        <f aca="false">IF((G172&lt;&gt;0),IF((D172&gt;0)," ",G172)," ")</f>
        <v> </v>
      </c>
      <c r="I172" s="367" t="str">
        <f aca="false">IF((G172&lt;&gt;0),IF((D172&gt;0)," ",(I$1-A172))," ")</f>
        <v> </v>
      </c>
      <c r="J172" s="334" t="str">
        <f aca="false">IF((E172="s"),G172," ")</f>
        <v> </v>
      </c>
      <c r="K172" s="334" t="str">
        <f aca="false">IF((E172="d"),G172," ")</f>
        <v> </v>
      </c>
      <c r="L172" s="334" t="str">
        <f aca="false">IF((E172="e"),G172," ")</f>
        <v> </v>
      </c>
      <c r="M172" s="334" t="str">
        <f aca="false">IF((E172="p"),G172," ")</f>
        <v> </v>
      </c>
      <c r="N172" s="334" t="str">
        <f aca="false">IF((E172="r"),G172," ")</f>
        <v> </v>
      </c>
      <c r="O172" s="334" t="str">
        <f aca="false">IF((E172="g"),G172," ")</f>
        <v> </v>
      </c>
      <c r="P172" s="334" t="str">
        <f aca="false">IF((E172="m"),G172," ")</f>
        <v> </v>
      </c>
      <c r="Q172" s="334" t="str">
        <f aca="false">IF((E172="t"),G172," ")</f>
        <v> </v>
      </c>
      <c r="R172" s="334" t="str">
        <f aca="false">IF((E172="a"),G172," ")</f>
        <v> </v>
      </c>
      <c r="S172" s="334" t="str">
        <f aca="false">IF((E172="l"),G172," ")</f>
        <v> </v>
      </c>
      <c r="T172" s="334" t="str">
        <f aca="false">IF((E172="b"),G172," ")</f>
        <v> </v>
      </c>
      <c r="U172" s="334" t="str">
        <f aca="false">IF((E172="i"),G172," ")</f>
        <v> </v>
      </c>
      <c r="V172" s="334" t="str">
        <f aca="false">IF((E172="o"),G172," ")</f>
        <v> </v>
      </c>
      <c r="W172" s="334" t="str">
        <f aca="false">IF((E172="f"),G172," ")</f>
        <v> </v>
      </c>
    </row>
    <row r="173" customFormat="false" ht="12.75" hidden="false" customHeight="false" outlineLevel="0" collapsed="false">
      <c r="A173" s="355"/>
      <c r="E173" s="365" t="str">
        <f aca="false">IF((G173&lt;&gt;0),"Enter Letter"," ")</f>
        <v> </v>
      </c>
      <c r="H173" s="338" t="str">
        <f aca="false">IF((G173&lt;&gt;0),IF((D173&gt;0)," ",G173)," ")</f>
        <v> </v>
      </c>
      <c r="I173" s="367" t="str">
        <f aca="false">IF((G173&lt;&gt;0),IF((D173&gt;0)," ",(I$1-A173))," ")</f>
        <v> </v>
      </c>
      <c r="J173" s="334" t="str">
        <f aca="false">IF((E173="s"),G173," ")</f>
        <v> </v>
      </c>
      <c r="K173" s="334" t="str">
        <f aca="false">IF((E173="d"),G173," ")</f>
        <v> </v>
      </c>
      <c r="L173" s="334" t="str">
        <f aca="false">IF((E173="e"),G173," ")</f>
        <v> </v>
      </c>
      <c r="M173" s="334" t="str">
        <f aca="false">IF((E173="p"),G173," ")</f>
        <v> </v>
      </c>
      <c r="N173" s="334" t="str">
        <f aca="false">IF((E173="r"),G173," ")</f>
        <v> </v>
      </c>
      <c r="O173" s="334" t="str">
        <f aca="false">IF((E173="g"),G173," ")</f>
        <v> </v>
      </c>
      <c r="P173" s="334" t="str">
        <f aca="false">IF((E173="m"),G173," ")</f>
        <v> </v>
      </c>
      <c r="Q173" s="334" t="str">
        <f aca="false">IF((E173="t"),G173," ")</f>
        <v> </v>
      </c>
      <c r="R173" s="334" t="str">
        <f aca="false">IF((E173="a"),G173," ")</f>
        <v> </v>
      </c>
      <c r="S173" s="334" t="str">
        <f aca="false">IF((E173="l"),G173," ")</f>
        <v> </v>
      </c>
      <c r="T173" s="334" t="str">
        <f aca="false">IF((E173="b"),G173," ")</f>
        <v> </v>
      </c>
      <c r="U173" s="334" t="str">
        <f aca="false">IF((E173="i"),G173," ")</f>
        <v> </v>
      </c>
      <c r="V173" s="334" t="str">
        <f aca="false">IF((E173="o"),G173," ")</f>
        <v> </v>
      </c>
      <c r="W173" s="334" t="str">
        <f aca="false">IF((E173="f"),G173," ")</f>
        <v> </v>
      </c>
    </row>
    <row r="174" customFormat="false" ht="12.75" hidden="false" customHeight="false" outlineLevel="0" collapsed="false">
      <c r="A174" s="355"/>
      <c r="E174" s="365" t="str">
        <f aca="false">IF((G174&lt;&gt;0),"Enter Letter"," ")</f>
        <v> </v>
      </c>
      <c r="H174" s="338" t="str">
        <f aca="false">IF((G174&lt;&gt;0),IF((D174&gt;0)," ",G174)," ")</f>
        <v> </v>
      </c>
      <c r="I174" s="367" t="str">
        <f aca="false">IF((G174&lt;&gt;0),IF((D174&gt;0)," ",(I$1-A174))," ")</f>
        <v> </v>
      </c>
      <c r="J174" s="334" t="str">
        <f aca="false">IF((E174="s"),G174," ")</f>
        <v> </v>
      </c>
      <c r="K174" s="334" t="str">
        <f aca="false">IF((E174="d"),G174," ")</f>
        <v> </v>
      </c>
      <c r="L174" s="334" t="str">
        <f aca="false">IF((E174="e"),G174," ")</f>
        <v> </v>
      </c>
      <c r="M174" s="334" t="str">
        <f aca="false">IF((E174="p"),G174," ")</f>
        <v> </v>
      </c>
      <c r="N174" s="334" t="str">
        <f aca="false">IF((E174="r"),G174," ")</f>
        <v> </v>
      </c>
      <c r="O174" s="334" t="str">
        <f aca="false">IF((E174="g"),G174," ")</f>
        <v> </v>
      </c>
      <c r="P174" s="334" t="str">
        <f aca="false">IF((E174="m"),G174," ")</f>
        <v> </v>
      </c>
      <c r="Q174" s="334" t="str">
        <f aca="false">IF((E174="t"),G174," ")</f>
        <v> </v>
      </c>
      <c r="R174" s="334" t="str">
        <f aca="false">IF((E174="a"),G174," ")</f>
        <v> </v>
      </c>
      <c r="S174" s="334" t="str">
        <f aca="false">IF((E174="l"),G174," ")</f>
        <v> </v>
      </c>
      <c r="T174" s="334" t="str">
        <f aca="false">IF((E174="b"),G174," ")</f>
        <v> </v>
      </c>
      <c r="U174" s="334" t="str">
        <f aca="false">IF((E174="i"),G174," ")</f>
        <v> </v>
      </c>
      <c r="V174" s="334" t="str">
        <f aca="false">IF((E174="o"),G174," ")</f>
        <v> </v>
      </c>
      <c r="W174" s="334" t="str">
        <f aca="false">IF((E174="f"),G174," ")</f>
        <v> </v>
      </c>
    </row>
    <row r="175" customFormat="false" ht="12.75" hidden="false" customHeight="false" outlineLevel="0" collapsed="false">
      <c r="A175" s="355"/>
      <c r="E175" s="365" t="str">
        <f aca="false">IF((G175&lt;&gt;0),"Enter Letter"," ")</f>
        <v> </v>
      </c>
      <c r="H175" s="338" t="str">
        <f aca="false">IF((G175&lt;&gt;0),IF((D175&gt;0)," ",G175)," ")</f>
        <v> </v>
      </c>
      <c r="I175" s="367" t="str">
        <f aca="false">IF((G175&lt;&gt;0),IF((D175&gt;0)," ",(I$1-A175))," ")</f>
        <v> </v>
      </c>
      <c r="J175" s="334" t="str">
        <f aca="false">IF((E175="s"),G175," ")</f>
        <v> </v>
      </c>
      <c r="K175" s="334" t="str">
        <f aca="false">IF((E175="d"),G175," ")</f>
        <v> </v>
      </c>
      <c r="L175" s="334" t="str">
        <f aca="false">IF((E175="e"),G175," ")</f>
        <v> </v>
      </c>
      <c r="M175" s="334" t="str">
        <f aca="false">IF((E175="p"),G175," ")</f>
        <v> </v>
      </c>
      <c r="N175" s="334" t="str">
        <f aca="false">IF((E175="r"),G175," ")</f>
        <v> </v>
      </c>
      <c r="O175" s="334" t="str">
        <f aca="false">IF((E175="g"),G175," ")</f>
        <v> </v>
      </c>
      <c r="P175" s="334" t="str">
        <f aca="false">IF((E175="m"),G175," ")</f>
        <v> </v>
      </c>
      <c r="Q175" s="334" t="str">
        <f aca="false">IF((E175="t"),G175," ")</f>
        <v> </v>
      </c>
      <c r="R175" s="334" t="str">
        <f aca="false">IF((E175="a"),G175," ")</f>
        <v> </v>
      </c>
      <c r="S175" s="334" t="str">
        <f aca="false">IF((E175="l"),G175," ")</f>
        <v> </v>
      </c>
      <c r="T175" s="334" t="str">
        <f aca="false">IF((E175="b"),G175," ")</f>
        <v> </v>
      </c>
      <c r="U175" s="334" t="str">
        <f aca="false">IF((E175="i"),G175," ")</f>
        <v> </v>
      </c>
      <c r="V175" s="334" t="str">
        <f aca="false">IF((E175="o"),G175," ")</f>
        <v> </v>
      </c>
      <c r="W175" s="334" t="str">
        <f aca="false">IF((E175="f"),G175," ")</f>
        <v> </v>
      </c>
    </row>
    <row r="176" customFormat="false" ht="12.75" hidden="false" customHeight="false" outlineLevel="0" collapsed="false">
      <c r="A176" s="355"/>
      <c r="E176" s="365" t="str">
        <f aca="false">IF((G176&lt;&gt;0),"Enter Letter"," ")</f>
        <v> </v>
      </c>
      <c r="H176" s="338" t="str">
        <f aca="false">IF((G176&lt;&gt;0),IF((D176&gt;0)," ",G176)," ")</f>
        <v> </v>
      </c>
      <c r="I176" s="367" t="str">
        <f aca="false">IF((G176&lt;&gt;0),IF((D176&gt;0)," ",(I$1-A176))," ")</f>
        <v> </v>
      </c>
      <c r="J176" s="334" t="str">
        <f aca="false">IF((E176="s"),G176," ")</f>
        <v> </v>
      </c>
      <c r="K176" s="334" t="str">
        <f aca="false">IF((E176="d"),G176," ")</f>
        <v> </v>
      </c>
      <c r="L176" s="334" t="str">
        <f aca="false">IF((E176="e"),G176," ")</f>
        <v> </v>
      </c>
      <c r="M176" s="334" t="str">
        <f aca="false">IF((E176="p"),G176," ")</f>
        <v> </v>
      </c>
      <c r="N176" s="334" t="str">
        <f aca="false">IF((E176="r"),G176," ")</f>
        <v> </v>
      </c>
      <c r="O176" s="334" t="str">
        <f aca="false">IF((E176="g"),G176," ")</f>
        <v> </v>
      </c>
      <c r="P176" s="334" t="str">
        <f aca="false">IF((E176="m"),G176," ")</f>
        <v> </v>
      </c>
      <c r="Q176" s="334" t="str">
        <f aca="false">IF((E176="t"),G176," ")</f>
        <v> </v>
      </c>
      <c r="R176" s="334" t="str">
        <f aca="false">IF((E176="a"),G176," ")</f>
        <v> </v>
      </c>
      <c r="S176" s="334" t="str">
        <f aca="false">IF((E176="l"),G176," ")</f>
        <v> </v>
      </c>
      <c r="T176" s="334" t="str">
        <f aca="false">IF((E176="b"),G176," ")</f>
        <v> </v>
      </c>
      <c r="U176" s="334" t="str">
        <f aca="false">IF((E176="i"),G176," ")</f>
        <v> </v>
      </c>
      <c r="V176" s="334" t="str">
        <f aca="false">IF((E176="o"),G176," ")</f>
        <v> </v>
      </c>
      <c r="W176" s="334" t="str">
        <f aca="false">IF((E176="f"),G176," ")</f>
        <v> </v>
      </c>
    </row>
    <row r="177" customFormat="false" ht="12.75" hidden="false" customHeight="false" outlineLevel="0" collapsed="false">
      <c r="A177" s="355"/>
      <c r="E177" s="365" t="str">
        <f aca="false">IF((G177&lt;&gt;0),"Enter Letter"," ")</f>
        <v> </v>
      </c>
      <c r="H177" s="338" t="str">
        <f aca="false">IF((G177&lt;&gt;0),IF((D177&gt;0)," ",G177)," ")</f>
        <v> </v>
      </c>
      <c r="I177" s="367" t="str">
        <f aca="false">IF((G177&lt;&gt;0),IF((D177&gt;0)," ",(I$1-A177))," ")</f>
        <v> </v>
      </c>
      <c r="J177" s="334" t="str">
        <f aca="false">IF((E177="s"),G177," ")</f>
        <v> </v>
      </c>
      <c r="K177" s="334" t="str">
        <f aca="false">IF((E177="d"),G177," ")</f>
        <v> </v>
      </c>
      <c r="L177" s="334" t="str">
        <f aca="false">IF((E177="e"),G177," ")</f>
        <v> </v>
      </c>
      <c r="M177" s="334" t="str">
        <f aca="false">IF((E177="p"),G177," ")</f>
        <v> </v>
      </c>
      <c r="N177" s="334" t="str">
        <f aca="false">IF((E177="r"),G177," ")</f>
        <v> </v>
      </c>
      <c r="O177" s="334" t="str">
        <f aca="false">IF((E177="g"),G177," ")</f>
        <v> </v>
      </c>
      <c r="P177" s="334" t="str">
        <f aca="false">IF((E177="m"),G177," ")</f>
        <v> </v>
      </c>
      <c r="Q177" s="334" t="str">
        <f aca="false">IF((E177="t"),G177," ")</f>
        <v> </v>
      </c>
      <c r="R177" s="334" t="str">
        <f aca="false">IF((E177="a"),G177," ")</f>
        <v> </v>
      </c>
      <c r="S177" s="334" t="str">
        <f aca="false">IF((E177="l"),G177," ")</f>
        <v> </v>
      </c>
      <c r="T177" s="334" t="str">
        <f aca="false">IF((E177="b"),G177," ")</f>
        <v> </v>
      </c>
      <c r="U177" s="334" t="str">
        <f aca="false">IF((E177="i"),G177," ")</f>
        <v> </v>
      </c>
      <c r="V177" s="334" t="str">
        <f aca="false">IF((E177="o"),G177," ")</f>
        <v> </v>
      </c>
      <c r="W177" s="334" t="str">
        <f aca="false">IF((E177="f"),G177," ")</f>
        <v> </v>
      </c>
    </row>
    <row r="178" customFormat="false" ht="12.75" hidden="false" customHeight="false" outlineLevel="0" collapsed="false">
      <c r="A178" s="355"/>
      <c r="E178" s="365" t="str">
        <f aca="false">IF((G178&lt;&gt;0),"Enter Letter"," ")</f>
        <v> </v>
      </c>
      <c r="H178" s="338" t="str">
        <f aca="false">IF((G178&lt;&gt;0),IF((D178&gt;0)," ",G178)," ")</f>
        <v> </v>
      </c>
      <c r="I178" s="367" t="str">
        <f aca="false">IF((G178&lt;&gt;0),IF((D178&gt;0)," ",(I$1-A178))," ")</f>
        <v> </v>
      </c>
      <c r="J178" s="334" t="str">
        <f aca="false">IF((E178="s"),G178," ")</f>
        <v> </v>
      </c>
      <c r="K178" s="334" t="str">
        <f aca="false">IF((E178="d"),G178," ")</f>
        <v> </v>
      </c>
      <c r="L178" s="334" t="str">
        <f aca="false">IF((E178="e"),G178," ")</f>
        <v> </v>
      </c>
      <c r="M178" s="334" t="str">
        <f aca="false">IF((E178="p"),G178," ")</f>
        <v> </v>
      </c>
      <c r="N178" s="334" t="str">
        <f aca="false">IF((E178="r"),G178," ")</f>
        <v> </v>
      </c>
      <c r="O178" s="334" t="str">
        <f aca="false">IF((E178="g"),G178," ")</f>
        <v> </v>
      </c>
      <c r="P178" s="334" t="str">
        <f aca="false">IF((E178="m"),G178," ")</f>
        <v> </v>
      </c>
      <c r="Q178" s="334" t="str">
        <f aca="false">IF((E178="t"),G178," ")</f>
        <v> </v>
      </c>
      <c r="R178" s="334" t="str">
        <f aca="false">IF((E178="a"),G178," ")</f>
        <v> </v>
      </c>
      <c r="S178" s="334" t="str">
        <f aca="false">IF((E178="l"),G178," ")</f>
        <v> </v>
      </c>
      <c r="T178" s="334" t="str">
        <f aca="false">IF((E178="b"),G178," ")</f>
        <v> </v>
      </c>
      <c r="U178" s="334" t="str">
        <f aca="false">IF((E178="i"),G178," ")</f>
        <v> </v>
      </c>
      <c r="V178" s="334" t="str">
        <f aca="false">IF((E178="o"),G178," ")</f>
        <v> </v>
      </c>
      <c r="W178" s="334" t="str">
        <f aca="false">IF((E178="f"),G178," ")</f>
        <v> </v>
      </c>
    </row>
    <row r="179" customFormat="false" ht="12.75" hidden="false" customHeight="false" outlineLevel="0" collapsed="false">
      <c r="A179" s="355"/>
      <c r="E179" s="365" t="str">
        <f aca="false">IF((G179&lt;&gt;0),"Enter Letter"," ")</f>
        <v> </v>
      </c>
      <c r="H179" s="338" t="str">
        <f aca="false">IF((G179&lt;&gt;0),IF((D179&gt;0)," ",G179)," ")</f>
        <v> </v>
      </c>
      <c r="I179" s="367" t="str">
        <f aca="false">IF((G179&lt;&gt;0),IF((D179&gt;0)," ",(I$1-A179))," ")</f>
        <v> </v>
      </c>
      <c r="J179" s="334" t="str">
        <f aca="false">IF((E179="s"),G179," ")</f>
        <v> </v>
      </c>
      <c r="K179" s="334" t="str">
        <f aca="false">IF((E179="d"),G179," ")</f>
        <v> </v>
      </c>
      <c r="L179" s="334" t="str">
        <f aca="false">IF((E179="e"),G179," ")</f>
        <v> </v>
      </c>
      <c r="M179" s="334" t="str">
        <f aca="false">IF((E179="p"),G179," ")</f>
        <v> </v>
      </c>
      <c r="N179" s="334" t="str">
        <f aca="false">IF((E179="r"),G179," ")</f>
        <v> </v>
      </c>
      <c r="O179" s="334" t="str">
        <f aca="false">IF((E179="g"),G179," ")</f>
        <v> </v>
      </c>
      <c r="P179" s="334" t="str">
        <f aca="false">IF((E179="m"),G179," ")</f>
        <v> </v>
      </c>
      <c r="Q179" s="334" t="str">
        <f aca="false">IF((E179="t"),G179," ")</f>
        <v> </v>
      </c>
      <c r="R179" s="334" t="str">
        <f aca="false">IF((E179="a"),G179," ")</f>
        <v> </v>
      </c>
      <c r="S179" s="334" t="str">
        <f aca="false">IF((E179="l"),G179," ")</f>
        <v> </v>
      </c>
      <c r="T179" s="334" t="str">
        <f aca="false">IF((E179="b"),G179," ")</f>
        <v> </v>
      </c>
      <c r="U179" s="334" t="str">
        <f aca="false">IF((E179="i"),G179," ")</f>
        <v> </v>
      </c>
      <c r="V179" s="334" t="str">
        <f aca="false">IF((E179="o"),G179," ")</f>
        <v> </v>
      </c>
      <c r="W179" s="334" t="str">
        <f aca="false">IF((E179="f"),G179," ")</f>
        <v> </v>
      </c>
    </row>
    <row r="180" customFormat="false" ht="12.75" hidden="false" customHeight="false" outlineLevel="0" collapsed="false">
      <c r="A180" s="355"/>
      <c r="E180" s="365" t="str">
        <f aca="false">IF((G180&lt;&gt;0),"Enter Letter"," ")</f>
        <v> </v>
      </c>
      <c r="H180" s="338" t="str">
        <f aca="false">IF((G180&lt;&gt;0),IF((D180&gt;0)," ",G180)," ")</f>
        <v> </v>
      </c>
      <c r="I180" s="367" t="str">
        <f aca="false">IF((G180&lt;&gt;0),IF((D180&gt;0)," ",(I$1-A180))," ")</f>
        <v> </v>
      </c>
      <c r="J180" s="334" t="str">
        <f aca="false">IF((E180="s"),G180," ")</f>
        <v> </v>
      </c>
      <c r="K180" s="334" t="str">
        <f aca="false">IF((E180="d"),G180," ")</f>
        <v> </v>
      </c>
      <c r="L180" s="334" t="str">
        <f aca="false">IF((E180="e"),G180," ")</f>
        <v> </v>
      </c>
      <c r="M180" s="334" t="str">
        <f aca="false">IF((E180="p"),G180," ")</f>
        <v> </v>
      </c>
      <c r="N180" s="334" t="str">
        <f aca="false">IF((E180="r"),G180," ")</f>
        <v> </v>
      </c>
      <c r="O180" s="334" t="str">
        <f aca="false">IF((E180="g"),G180," ")</f>
        <v> </v>
      </c>
      <c r="P180" s="334" t="str">
        <f aca="false">IF((E180="m"),G180," ")</f>
        <v> </v>
      </c>
      <c r="Q180" s="334" t="str">
        <f aca="false">IF((E180="t"),G180," ")</f>
        <v> </v>
      </c>
      <c r="R180" s="334" t="str">
        <f aca="false">IF((E180="a"),G180," ")</f>
        <v> </v>
      </c>
      <c r="S180" s="334" t="str">
        <f aca="false">IF((E180="l"),G180," ")</f>
        <v> </v>
      </c>
      <c r="T180" s="334" t="str">
        <f aca="false">IF((E180="b"),G180," ")</f>
        <v> </v>
      </c>
      <c r="U180" s="334" t="str">
        <f aca="false">IF((E180="i"),G180," ")</f>
        <v> </v>
      </c>
      <c r="V180" s="334" t="str">
        <f aca="false">IF((E180="o"),G180," ")</f>
        <v> </v>
      </c>
      <c r="W180" s="334" t="str">
        <f aca="false">IF((E180="f"),G180," ")</f>
        <v> </v>
      </c>
    </row>
    <row r="181" customFormat="false" ht="12.75" hidden="false" customHeight="false" outlineLevel="0" collapsed="false">
      <c r="A181" s="355"/>
      <c r="E181" s="365" t="str">
        <f aca="false">IF((G181&lt;&gt;0),"Enter Letter"," ")</f>
        <v> </v>
      </c>
      <c r="H181" s="338" t="str">
        <f aca="false">IF((G181&lt;&gt;0),IF((D181&gt;0)," ",G181)," ")</f>
        <v> </v>
      </c>
      <c r="I181" s="367" t="str">
        <f aca="false">IF((G181&lt;&gt;0),IF((D181&gt;0)," ",(I$1-A181))," ")</f>
        <v> </v>
      </c>
      <c r="J181" s="334" t="str">
        <f aca="false">IF((E181="s"),G181," ")</f>
        <v> </v>
      </c>
      <c r="K181" s="334" t="str">
        <f aca="false">IF((E181="d"),G181," ")</f>
        <v> </v>
      </c>
      <c r="L181" s="334" t="str">
        <f aca="false">IF((E181="e"),G181," ")</f>
        <v> </v>
      </c>
      <c r="M181" s="334" t="str">
        <f aca="false">IF((E181="p"),G181," ")</f>
        <v> </v>
      </c>
      <c r="N181" s="334" t="str">
        <f aca="false">IF((E181="r"),G181," ")</f>
        <v> </v>
      </c>
      <c r="O181" s="334" t="str">
        <f aca="false">IF((E181="g"),G181," ")</f>
        <v> </v>
      </c>
      <c r="P181" s="334" t="str">
        <f aca="false">IF((E181="m"),G181," ")</f>
        <v> </v>
      </c>
      <c r="Q181" s="334" t="str">
        <f aca="false">IF((E181="t"),G181," ")</f>
        <v> </v>
      </c>
      <c r="R181" s="334" t="str">
        <f aca="false">IF((E181="a"),G181," ")</f>
        <v> </v>
      </c>
      <c r="S181" s="334" t="str">
        <f aca="false">IF((E181="l"),G181," ")</f>
        <v> </v>
      </c>
      <c r="T181" s="334" t="str">
        <f aca="false">IF((E181="b"),G181," ")</f>
        <v> </v>
      </c>
      <c r="U181" s="334" t="str">
        <f aca="false">IF((E181="i"),G181," ")</f>
        <v> </v>
      </c>
      <c r="V181" s="334" t="str">
        <f aca="false">IF((E181="o"),G181," ")</f>
        <v> </v>
      </c>
      <c r="W181" s="334" t="str">
        <f aca="false">IF((E181="f"),G181," ")</f>
        <v> </v>
      </c>
    </row>
    <row r="182" customFormat="false" ht="12.75" hidden="false" customHeight="false" outlineLevel="0" collapsed="false">
      <c r="A182" s="355"/>
      <c r="E182" s="365" t="str">
        <f aca="false">IF((G182&lt;&gt;0),"Enter Letter"," ")</f>
        <v> </v>
      </c>
      <c r="H182" s="338" t="str">
        <f aca="false">IF((G182&lt;&gt;0),IF((D182&gt;0)," ",G182)," ")</f>
        <v> </v>
      </c>
      <c r="I182" s="367" t="str">
        <f aca="false">IF((G182&lt;&gt;0),IF((D182&gt;0)," ",(I$1-A182))," ")</f>
        <v> </v>
      </c>
      <c r="J182" s="334" t="str">
        <f aca="false">IF((E182="s"),G182," ")</f>
        <v> </v>
      </c>
      <c r="K182" s="334" t="str">
        <f aca="false">IF((E182="d"),G182," ")</f>
        <v> </v>
      </c>
      <c r="L182" s="334" t="str">
        <f aca="false">IF((E182="e"),G182," ")</f>
        <v> </v>
      </c>
      <c r="M182" s="334" t="str">
        <f aca="false">IF((E182="p"),G182," ")</f>
        <v> </v>
      </c>
      <c r="N182" s="334" t="str">
        <f aca="false">IF((E182="r"),G182," ")</f>
        <v> </v>
      </c>
      <c r="O182" s="334" t="str">
        <f aca="false">IF((E182="g"),G182," ")</f>
        <v> </v>
      </c>
      <c r="P182" s="334" t="str">
        <f aca="false">IF((E182="m"),G182," ")</f>
        <v> </v>
      </c>
      <c r="Q182" s="334" t="str">
        <f aca="false">IF((E182="t"),G182," ")</f>
        <v> </v>
      </c>
      <c r="R182" s="334" t="str">
        <f aca="false">IF((E182="a"),G182," ")</f>
        <v> </v>
      </c>
      <c r="S182" s="334" t="str">
        <f aca="false">IF((E182="l"),G182," ")</f>
        <v> </v>
      </c>
      <c r="T182" s="334" t="str">
        <f aca="false">IF((E182="b"),G182," ")</f>
        <v> </v>
      </c>
      <c r="U182" s="334" t="str">
        <f aca="false">IF((E182="i"),G182," ")</f>
        <v> </v>
      </c>
      <c r="V182" s="334" t="str">
        <f aca="false">IF((E182="o"),G182," ")</f>
        <v> </v>
      </c>
      <c r="W182" s="334" t="str">
        <f aca="false">IF((E182="f"),G182," ")</f>
        <v> </v>
      </c>
    </row>
    <row r="183" customFormat="false" ht="12.75" hidden="false" customHeight="false" outlineLevel="0" collapsed="false">
      <c r="A183" s="355"/>
      <c r="E183" s="365" t="str">
        <f aca="false">IF((G183&lt;&gt;0),"Enter Letter"," ")</f>
        <v> </v>
      </c>
      <c r="H183" s="338" t="str">
        <f aca="false">IF((G183&lt;&gt;0),IF((D183&gt;0)," ",G183)," ")</f>
        <v> </v>
      </c>
      <c r="I183" s="367" t="str">
        <f aca="false">IF((G183&lt;&gt;0),IF((D183&gt;0)," ",(I$1-A183))," ")</f>
        <v> </v>
      </c>
      <c r="J183" s="334" t="str">
        <f aca="false">IF((E183="s"),G183," ")</f>
        <v> </v>
      </c>
      <c r="K183" s="334" t="str">
        <f aca="false">IF((E183="d"),G183," ")</f>
        <v> </v>
      </c>
      <c r="L183" s="334" t="str">
        <f aca="false">IF((E183="e"),G183," ")</f>
        <v> </v>
      </c>
      <c r="M183" s="334" t="str">
        <f aca="false">IF((E183="p"),G183," ")</f>
        <v> </v>
      </c>
      <c r="N183" s="334" t="str">
        <f aca="false">IF((E183="r"),G183," ")</f>
        <v> </v>
      </c>
      <c r="O183" s="334" t="str">
        <f aca="false">IF((E183="g"),G183," ")</f>
        <v> </v>
      </c>
      <c r="P183" s="334" t="str">
        <f aca="false">IF((E183="m"),G183," ")</f>
        <v> </v>
      </c>
      <c r="Q183" s="334" t="str">
        <f aca="false">IF((E183="t"),G183," ")</f>
        <v> </v>
      </c>
      <c r="R183" s="334" t="str">
        <f aca="false">IF((E183="a"),G183," ")</f>
        <v> </v>
      </c>
      <c r="S183" s="334" t="str">
        <f aca="false">IF((E183="l"),G183," ")</f>
        <v> </v>
      </c>
      <c r="T183" s="334" t="str">
        <f aca="false">IF((E183="b"),G183," ")</f>
        <v> </v>
      </c>
      <c r="U183" s="334" t="str">
        <f aca="false">IF((E183="i"),G183," ")</f>
        <v> </v>
      </c>
      <c r="V183" s="334" t="str">
        <f aca="false">IF((E183="o"),G183," ")</f>
        <v> </v>
      </c>
      <c r="W183" s="334" t="str">
        <f aca="false">IF((E183="f"),G183," ")</f>
        <v> </v>
      </c>
    </row>
    <row r="184" customFormat="false" ht="12.75" hidden="false" customHeight="false" outlineLevel="0" collapsed="false">
      <c r="A184" s="355"/>
      <c r="E184" s="365" t="str">
        <f aca="false">IF((G184&lt;&gt;0),"Enter Letter"," ")</f>
        <v> </v>
      </c>
      <c r="H184" s="338" t="str">
        <f aca="false">IF((G184&lt;&gt;0),IF((D184&gt;0)," ",G184)," ")</f>
        <v> </v>
      </c>
      <c r="I184" s="367" t="str">
        <f aca="false">IF((G184&lt;&gt;0),IF((D184&gt;0)," ",(I$1-A184))," ")</f>
        <v> </v>
      </c>
      <c r="J184" s="334" t="str">
        <f aca="false">IF((E184="s"),G184," ")</f>
        <v> </v>
      </c>
      <c r="K184" s="334" t="str">
        <f aca="false">IF((E184="d"),G184," ")</f>
        <v> </v>
      </c>
      <c r="L184" s="334" t="str">
        <f aca="false">IF((E184="e"),G184," ")</f>
        <v> </v>
      </c>
      <c r="M184" s="334" t="str">
        <f aca="false">IF((E184="p"),G184," ")</f>
        <v> </v>
      </c>
      <c r="N184" s="334" t="str">
        <f aca="false">IF((E184="r"),G184," ")</f>
        <v> </v>
      </c>
      <c r="O184" s="334" t="str">
        <f aca="false">IF((E184="g"),G184," ")</f>
        <v> </v>
      </c>
      <c r="P184" s="334" t="str">
        <f aca="false">IF((E184="m"),G184," ")</f>
        <v> </v>
      </c>
      <c r="Q184" s="334" t="str">
        <f aca="false">IF((E184="t"),G184," ")</f>
        <v> </v>
      </c>
      <c r="R184" s="334" t="str">
        <f aca="false">IF((E184="a"),G184," ")</f>
        <v> </v>
      </c>
      <c r="S184" s="334" t="str">
        <f aca="false">IF((E184="l"),G184," ")</f>
        <v> </v>
      </c>
      <c r="T184" s="334" t="str">
        <f aca="false">IF((E184="b"),G184," ")</f>
        <v> </v>
      </c>
      <c r="U184" s="334" t="str">
        <f aca="false">IF((E184="i"),G184," ")</f>
        <v> </v>
      </c>
      <c r="V184" s="334" t="str">
        <f aca="false">IF((E184="o"),G184," ")</f>
        <v> </v>
      </c>
      <c r="W184" s="334" t="str">
        <f aca="false">IF((E184="f"),G184," ")</f>
        <v> </v>
      </c>
    </row>
    <row r="185" customFormat="false" ht="12.75" hidden="false" customHeight="false" outlineLevel="0" collapsed="false">
      <c r="A185" s="355"/>
      <c r="E185" s="365" t="str">
        <f aca="false">IF((G185&lt;&gt;0),"Enter Letter"," ")</f>
        <v> </v>
      </c>
      <c r="H185" s="338" t="str">
        <f aca="false">IF((G185&lt;&gt;0),IF((D185&gt;0)," ",G185)," ")</f>
        <v> </v>
      </c>
      <c r="I185" s="367" t="str">
        <f aca="false">IF((G185&lt;&gt;0),IF((D185&gt;0)," ",(I$1-A185))," ")</f>
        <v> </v>
      </c>
      <c r="J185" s="334" t="str">
        <f aca="false">IF((E185="s"),G185," ")</f>
        <v> </v>
      </c>
      <c r="K185" s="334" t="str">
        <f aca="false">IF((E185="d"),G185," ")</f>
        <v> </v>
      </c>
      <c r="L185" s="334" t="str">
        <f aca="false">IF((E185="e"),G185," ")</f>
        <v> </v>
      </c>
      <c r="M185" s="334" t="str">
        <f aca="false">IF((E185="p"),G185," ")</f>
        <v> </v>
      </c>
      <c r="N185" s="334" t="str">
        <f aca="false">IF((E185="r"),G185," ")</f>
        <v> </v>
      </c>
      <c r="O185" s="334" t="str">
        <f aca="false">IF((E185="g"),G185," ")</f>
        <v> </v>
      </c>
      <c r="P185" s="334" t="str">
        <f aca="false">IF((E185="m"),G185," ")</f>
        <v> </v>
      </c>
      <c r="Q185" s="334" t="str">
        <f aca="false">IF((E185="t"),G185," ")</f>
        <v> </v>
      </c>
      <c r="R185" s="334" t="str">
        <f aca="false">IF((E185="a"),G185," ")</f>
        <v> </v>
      </c>
      <c r="S185" s="334" t="str">
        <f aca="false">IF((E185="l"),G185," ")</f>
        <v> </v>
      </c>
      <c r="T185" s="334" t="str">
        <f aca="false">IF((E185="b"),G185," ")</f>
        <v> </v>
      </c>
      <c r="U185" s="334" t="str">
        <f aca="false">IF((E185="i"),G185," ")</f>
        <v> </v>
      </c>
      <c r="V185" s="334" t="str">
        <f aca="false">IF((E185="o"),G185," ")</f>
        <v> </v>
      </c>
      <c r="W185" s="334" t="str">
        <f aca="false">IF((E185="f"),G185," ")</f>
        <v> </v>
      </c>
    </row>
    <row r="186" customFormat="false" ht="12.75" hidden="false" customHeight="false" outlineLevel="0" collapsed="false">
      <c r="A186" s="355"/>
      <c r="E186" s="365" t="str">
        <f aca="false">IF((G186&lt;&gt;0),"Enter Letter"," ")</f>
        <v> </v>
      </c>
      <c r="H186" s="338" t="str">
        <f aca="false">IF((G186&lt;&gt;0),IF((D186&gt;0)," ",G186)," ")</f>
        <v> </v>
      </c>
      <c r="I186" s="367" t="str">
        <f aca="false">IF((G186&lt;&gt;0),IF((D186&gt;0)," ",(I$1-A186))," ")</f>
        <v> </v>
      </c>
      <c r="J186" s="334" t="str">
        <f aca="false">IF((E186="s"),G186," ")</f>
        <v> </v>
      </c>
      <c r="K186" s="334" t="str">
        <f aca="false">IF((E186="d"),G186," ")</f>
        <v> </v>
      </c>
      <c r="L186" s="334" t="str">
        <f aca="false">IF((E186="e"),G186," ")</f>
        <v> </v>
      </c>
      <c r="M186" s="334" t="str">
        <f aca="false">IF((E186="p"),G186," ")</f>
        <v> </v>
      </c>
      <c r="N186" s="334" t="str">
        <f aca="false">IF((E186="r"),G186," ")</f>
        <v> </v>
      </c>
      <c r="O186" s="334" t="str">
        <f aca="false">IF((E186="g"),G186," ")</f>
        <v> </v>
      </c>
      <c r="P186" s="334" t="str">
        <f aca="false">IF((E186="m"),G186," ")</f>
        <v> </v>
      </c>
      <c r="Q186" s="334" t="str">
        <f aca="false">IF((E186="t"),G186," ")</f>
        <v> </v>
      </c>
      <c r="R186" s="334" t="str">
        <f aca="false">IF((E186="a"),G186," ")</f>
        <v> </v>
      </c>
      <c r="S186" s="334" t="str">
        <f aca="false">IF((E186="l"),G186," ")</f>
        <v> </v>
      </c>
      <c r="T186" s="334" t="str">
        <f aca="false">IF((E186="b"),G186," ")</f>
        <v> </v>
      </c>
      <c r="U186" s="334" t="str">
        <f aca="false">IF((E186="i"),G186," ")</f>
        <v> </v>
      </c>
      <c r="V186" s="334" t="str">
        <f aca="false">IF((E186="o"),G186," ")</f>
        <v> </v>
      </c>
      <c r="W186" s="334" t="str">
        <f aca="false">IF((E186="f"),G186," ")</f>
        <v> </v>
      </c>
    </row>
    <row r="187" customFormat="false" ht="12.75" hidden="false" customHeight="false" outlineLevel="0" collapsed="false">
      <c r="A187" s="355"/>
      <c r="E187" s="365" t="str">
        <f aca="false">IF((G187&lt;&gt;0),"Enter Letter"," ")</f>
        <v> </v>
      </c>
      <c r="H187" s="338" t="str">
        <f aca="false">IF((G187&lt;&gt;0),IF((D187&gt;0)," ",G187)," ")</f>
        <v> </v>
      </c>
      <c r="I187" s="367" t="str">
        <f aca="false">IF((G187&lt;&gt;0),IF((D187&gt;0)," ",(I$1-A187))," ")</f>
        <v> </v>
      </c>
      <c r="J187" s="334" t="str">
        <f aca="false">IF((E187="s"),G187," ")</f>
        <v> </v>
      </c>
      <c r="K187" s="334" t="str">
        <f aca="false">IF((E187="d"),G187," ")</f>
        <v> </v>
      </c>
      <c r="L187" s="334" t="str">
        <f aca="false">IF((E187="e"),G187," ")</f>
        <v> </v>
      </c>
      <c r="M187" s="334" t="str">
        <f aca="false">IF((E187="p"),G187," ")</f>
        <v> </v>
      </c>
      <c r="N187" s="334" t="str">
        <f aca="false">IF((E187="r"),G187," ")</f>
        <v> </v>
      </c>
      <c r="O187" s="334" t="str">
        <f aca="false">IF((E187="g"),G187," ")</f>
        <v> </v>
      </c>
      <c r="P187" s="334" t="str">
        <f aca="false">IF((E187="m"),G187," ")</f>
        <v> </v>
      </c>
      <c r="Q187" s="334" t="str">
        <f aca="false">IF((E187="t"),G187," ")</f>
        <v> </v>
      </c>
      <c r="R187" s="334" t="str">
        <f aca="false">IF((E187="a"),G187," ")</f>
        <v> </v>
      </c>
      <c r="S187" s="334" t="str">
        <f aca="false">IF((E187="l"),G187," ")</f>
        <v> </v>
      </c>
      <c r="T187" s="334" t="str">
        <f aca="false">IF((E187="b"),G187," ")</f>
        <v> </v>
      </c>
      <c r="U187" s="334" t="str">
        <f aca="false">IF((E187="i"),G187," ")</f>
        <v> </v>
      </c>
      <c r="V187" s="334" t="str">
        <f aca="false">IF((E187="o"),G187," ")</f>
        <v> </v>
      </c>
      <c r="W187" s="334" t="str">
        <f aca="false">IF((E187="f"),G187," ")</f>
        <v> </v>
      </c>
    </row>
    <row r="188" customFormat="false" ht="12.75" hidden="false" customHeight="false" outlineLevel="0" collapsed="false">
      <c r="A188" s="355"/>
      <c r="E188" s="365" t="str">
        <f aca="false">IF((G188&lt;&gt;0),"Enter Letter"," ")</f>
        <v> </v>
      </c>
      <c r="H188" s="338" t="str">
        <f aca="false">IF((G188&lt;&gt;0),IF((D188&gt;0)," ",G188)," ")</f>
        <v> </v>
      </c>
      <c r="I188" s="367" t="str">
        <f aca="false">IF((G188&lt;&gt;0),IF((D188&gt;0)," ",(I$1-A188))," ")</f>
        <v> </v>
      </c>
      <c r="J188" s="334" t="str">
        <f aca="false">IF((E188="s"),G188," ")</f>
        <v> </v>
      </c>
      <c r="K188" s="334" t="str">
        <f aca="false">IF((E188="d"),G188," ")</f>
        <v> </v>
      </c>
      <c r="L188" s="334" t="str">
        <f aca="false">IF((E188="e"),G188," ")</f>
        <v> </v>
      </c>
      <c r="M188" s="334" t="str">
        <f aca="false">IF((E188="p"),G188," ")</f>
        <v> </v>
      </c>
      <c r="N188" s="334" t="str">
        <f aca="false">IF((E188="r"),G188," ")</f>
        <v> </v>
      </c>
      <c r="O188" s="334" t="str">
        <f aca="false">IF((E188="g"),G188," ")</f>
        <v> </v>
      </c>
      <c r="P188" s="334" t="str">
        <f aca="false">IF((E188="m"),G188," ")</f>
        <v> </v>
      </c>
      <c r="Q188" s="334" t="str">
        <f aca="false">IF((E188="t"),G188," ")</f>
        <v> </v>
      </c>
      <c r="R188" s="334" t="str">
        <f aca="false">IF((E188="a"),G188," ")</f>
        <v> </v>
      </c>
      <c r="S188" s="334" t="str">
        <f aca="false">IF((E188="l"),G188," ")</f>
        <v> </v>
      </c>
      <c r="T188" s="334" t="str">
        <f aca="false">IF((E188="b"),G188," ")</f>
        <v> </v>
      </c>
      <c r="U188" s="334" t="str">
        <f aca="false">IF((E188="i"),G188," ")</f>
        <v> </v>
      </c>
      <c r="V188" s="334" t="str">
        <f aca="false">IF((E188="o"),G188," ")</f>
        <v> </v>
      </c>
      <c r="W188" s="334" t="str">
        <f aca="false">IF((E188="f"),G188," ")</f>
        <v> </v>
      </c>
    </row>
    <row r="189" customFormat="false" ht="12.75" hidden="false" customHeight="false" outlineLevel="0" collapsed="false">
      <c r="A189" s="355"/>
      <c r="E189" s="365" t="str">
        <f aca="false">IF((G189&lt;&gt;0),"Enter Letter"," ")</f>
        <v> </v>
      </c>
      <c r="H189" s="338" t="str">
        <f aca="false">IF((G189&lt;&gt;0),IF((D189&gt;0)," ",G189)," ")</f>
        <v> </v>
      </c>
      <c r="I189" s="367" t="str">
        <f aca="false">IF((G189&lt;&gt;0),IF((D189&gt;0)," ",(I$1-A189))," ")</f>
        <v> </v>
      </c>
      <c r="J189" s="334" t="str">
        <f aca="false">IF((E189="s"),G189," ")</f>
        <v> </v>
      </c>
      <c r="K189" s="334" t="str">
        <f aca="false">IF((E189="d"),G189," ")</f>
        <v> </v>
      </c>
      <c r="L189" s="334" t="str">
        <f aca="false">IF((E189="e"),G189," ")</f>
        <v> </v>
      </c>
      <c r="M189" s="334" t="str">
        <f aca="false">IF((E189="p"),G189," ")</f>
        <v> </v>
      </c>
      <c r="N189" s="334" t="str">
        <f aca="false">IF((E189="r"),G189," ")</f>
        <v> </v>
      </c>
      <c r="O189" s="334" t="str">
        <f aca="false">IF((E189="g"),G189," ")</f>
        <v> </v>
      </c>
      <c r="P189" s="334" t="str">
        <f aca="false">IF((E189="m"),G189," ")</f>
        <v> </v>
      </c>
      <c r="Q189" s="334" t="str">
        <f aca="false">IF((E189="t"),G189," ")</f>
        <v> </v>
      </c>
      <c r="R189" s="334" t="str">
        <f aca="false">IF((E189="a"),G189," ")</f>
        <v> </v>
      </c>
      <c r="S189" s="334" t="str">
        <f aca="false">IF((E189="l"),G189," ")</f>
        <v> </v>
      </c>
      <c r="T189" s="334" t="str">
        <f aca="false">IF((E189="b"),G189," ")</f>
        <v> </v>
      </c>
      <c r="U189" s="334" t="str">
        <f aca="false">IF((E189="i"),G189," ")</f>
        <v> </v>
      </c>
      <c r="V189" s="334" t="str">
        <f aca="false">IF((E189="o"),G189," ")</f>
        <v> </v>
      </c>
      <c r="W189" s="334" t="str">
        <f aca="false">IF((E189="f"),G189," ")</f>
        <v> </v>
      </c>
    </row>
    <row r="190" customFormat="false" ht="12.75" hidden="false" customHeight="false" outlineLevel="0" collapsed="false">
      <c r="A190" s="355"/>
      <c r="E190" s="365" t="str">
        <f aca="false">IF((G190&lt;&gt;0),"Enter Letter"," ")</f>
        <v> </v>
      </c>
      <c r="H190" s="338" t="str">
        <f aca="false">IF((G190&lt;&gt;0),IF((D190&gt;0)," ",G190)," ")</f>
        <v> </v>
      </c>
      <c r="I190" s="367" t="str">
        <f aca="false">IF((G190&lt;&gt;0),IF((D190&gt;0)," ",(I$1-A190))," ")</f>
        <v> </v>
      </c>
      <c r="J190" s="334" t="str">
        <f aca="false">IF((E190="s"),G190," ")</f>
        <v> </v>
      </c>
      <c r="K190" s="334" t="str">
        <f aca="false">IF((E190="d"),G190," ")</f>
        <v> </v>
      </c>
      <c r="L190" s="334" t="str">
        <f aca="false">IF((E190="e"),G190," ")</f>
        <v> </v>
      </c>
      <c r="M190" s="334" t="str">
        <f aca="false">IF((E190="p"),G190," ")</f>
        <v> </v>
      </c>
      <c r="N190" s="334" t="str">
        <f aca="false">IF((E190="r"),G190," ")</f>
        <v> </v>
      </c>
      <c r="O190" s="334" t="str">
        <f aca="false">IF((E190="g"),G190," ")</f>
        <v> </v>
      </c>
      <c r="P190" s="334" t="str">
        <f aca="false">IF((E190="m"),G190," ")</f>
        <v> </v>
      </c>
      <c r="Q190" s="334" t="str">
        <f aca="false">IF((E190="t"),G190," ")</f>
        <v> </v>
      </c>
      <c r="R190" s="334" t="str">
        <f aca="false">IF((E190="a"),G190," ")</f>
        <v> </v>
      </c>
      <c r="S190" s="334" t="str">
        <f aca="false">IF((E190="l"),G190," ")</f>
        <v> </v>
      </c>
      <c r="T190" s="334" t="str">
        <f aca="false">IF((E190="b"),G190," ")</f>
        <v> </v>
      </c>
      <c r="U190" s="334" t="str">
        <f aca="false">IF((E190="i"),G190," ")</f>
        <v> </v>
      </c>
      <c r="V190" s="334" t="str">
        <f aca="false">IF((E190="o"),G190," ")</f>
        <v> </v>
      </c>
      <c r="W190" s="334" t="str">
        <f aca="false">IF((E190="f"),G190," ")</f>
        <v> </v>
      </c>
    </row>
    <row r="191" customFormat="false" ht="12.75" hidden="false" customHeight="false" outlineLevel="0" collapsed="false">
      <c r="A191" s="355"/>
      <c r="E191" s="365" t="str">
        <f aca="false">IF((G191&lt;&gt;0),"Enter Letter"," ")</f>
        <v> </v>
      </c>
      <c r="H191" s="338" t="str">
        <f aca="false">IF((G191&lt;&gt;0),IF((D191&gt;0)," ",G191)," ")</f>
        <v> </v>
      </c>
      <c r="I191" s="367" t="str">
        <f aca="false">IF((G191&lt;&gt;0),IF((D191&gt;0)," ",(I$1-A191))," ")</f>
        <v> </v>
      </c>
      <c r="J191" s="334" t="str">
        <f aca="false">IF((E191="s"),G191," ")</f>
        <v> </v>
      </c>
      <c r="K191" s="334" t="str">
        <f aca="false">IF((E191="d"),G191," ")</f>
        <v> </v>
      </c>
      <c r="L191" s="334" t="str">
        <f aca="false">IF((E191="e"),G191," ")</f>
        <v> </v>
      </c>
      <c r="M191" s="334" t="str">
        <f aca="false">IF((E191="p"),G191," ")</f>
        <v> </v>
      </c>
      <c r="N191" s="334" t="str">
        <f aca="false">IF((E191="r"),G191," ")</f>
        <v> </v>
      </c>
      <c r="O191" s="334" t="str">
        <f aca="false">IF((E191="g"),G191," ")</f>
        <v> </v>
      </c>
      <c r="P191" s="334" t="str">
        <f aca="false">IF((E191="m"),G191," ")</f>
        <v> </v>
      </c>
      <c r="Q191" s="334" t="str">
        <f aca="false">IF((E191="t"),G191," ")</f>
        <v> </v>
      </c>
      <c r="R191" s="334" t="str">
        <f aca="false">IF((E191="a"),G191," ")</f>
        <v> </v>
      </c>
      <c r="S191" s="334" t="str">
        <f aca="false">IF((E191="l"),G191," ")</f>
        <v> </v>
      </c>
      <c r="T191" s="334" t="str">
        <f aca="false">IF((E191="b"),G191," ")</f>
        <v> </v>
      </c>
      <c r="U191" s="334" t="str">
        <f aca="false">IF((E191="i"),G191," ")</f>
        <v> </v>
      </c>
      <c r="V191" s="334" t="str">
        <f aca="false">IF((E191="o"),G191," ")</f>
        <v> </v>
      </c>
      <c r="W191" s="334" t="str">
        <f aca="false">IF((E191="f"),G191," ")</f>
        <v> </v>
      </c>
    </row>
    <row r="192" customFormat="false" ht="12.75" hidden="false" customHeight="false" outlineLevel="0" collapsed="false">
      <c r="A192" s="355"/>
      <c r="E192" s="365" t="str">
        <f aca="false">IF((G192&lt;&gt;0),"Enter Letter"," ")</f>
        <v> </v>
      </c>
      <c r="H192" s="338" t="str">
        <f aca="false">IF((G192&lt;&gt;0),IF((D192&gt;0)," ",G192)," ")</f>
        <v> </v>
      </c>
      <c r="I192" s="367" t="str">
        <f aca="false">IF((G192&lt;&gt;0),IF((D192&gt;0)," ",(I$1-A192))," ")</f>
        <v> </v>
      </c>
      <c r="J192" s="334" t="str">
        <f aca="false">IF((E192="s"),G192," ")</f>
        <v> </v>
      </c>
      <c r="K192" s="334" t="str">
        <f aca="false">IF((E192="d"),G192," ")</f>
        <v> </v>
      </c>
      <c r="L192" s="334" t="str">
        <f aca="false">IF((E192="e"),G192," ")</f>
        <v> </v>
      </c>
      <c r="M192" s="334" t="str">
        <f aca="false">IF((E192="p"),G192," ")</f>
        <v> </v>
      </c>
      <c r="N192" s="334" t="str">
        <f aca="false">IF((E192="r"),G192," ")</f>
        <v> </v>
      </c>
      <c r="O192" s="334" t="str">
        <f aca="false">IF((E192="g"),G192," ")</f>
        <v> </v>
      </c>
      <c r="P192" s="334" t="str">
        <f aca="false">IF((E192="m"),G192," ")</f>
        <v> </v>
      </c>
      <c r="Q192" s="334" t="str">
        <f aca="false">IF((E192="t"),G192," ")</f>
        <v> </v>
      </c>
      <c r="R192" s="334" t="str">
        <f aca="false">IF((E192="a"),G192," ")</f>
        <v> </v>
      </c>
      <c r="S192" s="334" t="str">
        <f aca="false">IF((E192="l"),G192," ")</f>
        <v> </v>
      </c>
      <c r="T192" s="334" t="str">
        <f aca="false">IF((E192="b"),G192," ")</f>
        <v> </v>
      </c>
      <c r="U192" s="334" t="str">
        <f aca="false">IF((E192="i"),G192," ")</f>
        <v> </v>
      </c>
      <c r="V192" s="334" t="str">
        <f aca="false">IF((E192="o"),G192," ")</f>
        <v> </v>
      </c>
      <c r="W192" s="334" t="str">
        <f aca="false">IF((E192="f"),G192," ")</f>
        <v> </v>
      </c>
    </row>
    <row r="193" customFormat="false" ht="12.75" hidden="false" customHeight="false" outlineLevel="0" collapsed="false">
      <c r="A193" s="355"/>
      <c r="E193" s="365" t="str">
        <f aca="false">IF((G193&lt;&gt;0),"Enter Letter"," ")</f>
        <v> </v>
      </c>
      <c r="H193" s="338" t="str">
        <f aca="false">IF((G193&lt;&gt;0),IF((D193&gt;0)," ",G193)," ")</f>
        <v> </v>
      </c>
      <c r="I193" s="367" t="str">
        <f aca="false">IF((G193&lt;&gt;0),IF((D193&gt;0)," ",(I$1-A193))," ")</f>
        <v> </v>
      </c>
      <c r="J193" s="334" t="str">
        <f aca="false">IF((E193="s"),G193," ")</f>
        <v> </v>
      </c>
      <c r="K193" s="334" t="str">
        <f aca="false">IF((E193="d"),G193," ")</f>
        <v> </v>
      </c>
      <c r="L193" s="334" t="str">
        <f aca="false">IF((E193="e"),G193," ")</f>
        <v> </v>
      </c>
      <c r="M193" s="334" t="str">
        <f aca="false">IF((E193="p"),G193," ")</f>
        <v> </v>
      </c>
      <c r="N193" s="334" t="str">
        <f aca="false">IF((E193="r"),G193," ")</f>
        <v> </v>
      </c>
      <c r="O193" s="334" t="str">
        <f aca="false">IF((E193="g"),G193," ")</f>
        <v> </v>
      </c>
      <c r="P193" s="334" t="str">
        <f aca="false">IF((E193="m"),G193," ")</f>
        <v> </v>
      </c>
      <c r="Q193" s="334" t="str">
        <f aca="false">IF((E193="t"),G193," ")</f>
        <v> </v>
      </c>
      <c r="R193" s="334" t="str">
        <f aca="false">IF((E193="a"),G193," ")</f>
        <v> </v>
      </c>
      <c r="S193" s="334" t="str">
        <f aca="false">IF((E193="l"),G193," ")</f>
        <v> </v>
      </c>
      <c r="T193" s="334" t="str">
        <f aca="false">IF((E193="b"),G193," ")</f>
        <v> </v>
      </c>
      <c r="U193" s="334" t="str">
        <f aca="false">IF((E193="i"),G193," ")</f>
        <v> </v>
      </c>
      <c r="V193" s="334" t="str">
        <f aca="false">IF((E193="o"),G193," ")</f>
        <v> </v>
      </c>
      <c r="W193" s="334" t="str">
        <f aca="false">IF((E193="f"),G193," ")</f>
        <v> </v>
      </c>
    </row>
    <row r="194" customFormat="false" ht="12.75" hidden="false" customHeight="false" outlineLevel="0" collapsed="false">
      <c r="A194" s="355"/>
      <c r="E194" s="365" t="str">
        <f aca="false">IF((G194&lt;&gt;0),"Enter Letter"," ")</f>
        <v> </v>
      </c>
      <c r="H194" s="338" t="str">
        <f aca="false">IF((G194&lt;&gt;0),IF((D194&gt;0)," ",G194)," ")</f>
        <v> </v>
      </c>
      <c r="I194" s="367" t="str">
        <f aca="false">IF((G194&lt;&gt;0),IF((D194&gt;0)," ",(I$1-A194))," ")</f>
        <v> </v>
      </c>
      <c r="J194" s="334" t="str">
        <f aca="false">IF((E194="s"),G194," ")</f>
        <v> </v>
      </c>
      <c r="K194" s="334" t="str">
        <f aca="false">IF((E194="d"),G194," ")</f>
        <v> </v>
      </c>
      <c r="L194" s="334" t="str">
        <f aca="false">IF((E194="e"),G194," ")</f>
        <v> </v>
      </c>
      <c r="M194" s="334" t="str">
        <f aca="false">IF((E194="p"),G194," ")</f>
        <v> </v>
      </c>
      <c r="N194" s="334" t="str">
        <f aca="false">IF((E194="r"),G194," ")</f>
        <v> </v>
      </c>
      <c r="O194" s="334" t="str">
        <f aca="false">IF((E194="g"),G194," ")</f>
        <v> </v>
      </c>
      <c r="P194" s="334" t="str">
        <f aca="false">IF((E194="m"),G194," ")</f>
        <v> </v>
      </c>
      <c r="Q194" s="334" t="str">
        <f aca="false">IF((E194="t"),G194," ")</f>
        <v> </v>
      </c>
      <c r="R194" s="334" t="str">
        <f aca="false">IF((E194="a"),G194," ")</f>
        <v> </v>
      </c>
      <c r="S194" s="334" t="str">
        <f aca="false">IF((E194="l"),G194," ")</f>
        <v> </v>
      </c>
      <c r="T194" s="334" t="str">
        <f aca="false">IF((E194="b"),G194," ")</f>
        <v> </v>
      </c>
      <c r="U194" s="334" t="str">
        <f aca="false">IF((E194="i"),G194," ")</f>
        <v> </v>
      </c>
      <c r="V194" s="334" t="str">
        <f aca="false">IF((E194="o"),G194," ")</f>
        <v> </v>
      </c>
      <c r="W194" s="334" t="str">
        <f aca="false">IF((E194="f"),G194," ")</f>
        <v> </v>
      </c>
    </row>
    <row r="195" customFormat="false" ht="12.75" hidden="false" customHeight="false" outlineLevel="0" collapsed="false">
      <c r="A195" s="355"/>
      <c r="E195" s="365" t="str">
        <f aca="false">IF((G195&lt;&gt;0),"Enter Letter"," ")</f>
        <v> </v>
      </c>
      <c r="H195" s="338" t="str">
        <f aca="false">IF((G195&lt;&gt;0),IF((D195&gt;0)," ",G195)," ")</f>
        <v> </v>
      </c>
      <c r="I195" s="367" t="str">
        <f aca="false">IF((G195&lt;&gt;0),IF((D195&gt;0)," ",(I$1-A195))," ")</f>
        <v> </v>
      </c>
      <c r="J195" s="334" t="str">
        <f aca="false">IF((E195="s"),G195," ")</f>
        <v> </v>
      </c>
      <c r="K195" s="334" t="str">
        <f aca="false">IF((E195="d"),G195," ")</f>
        <v> </v>
      </c>
      <c r="L195" s="334" t="str">
        <f aca="false">IF((E195="e"),G195," ")</f>
        <v> </v>
      </c>
      <c r="M195" s="334" t="str">
        <f aca="false">IF((E195="p"),G195," ")</f>
        <v> </v>
      </c>
      <c r="N195" s="334" t="str">
        <f aca="false">IF((E195="r"),G195," ")</f>
        <v> </v>
      </c>
      <c r="O195" s="334" t="str">
        <f aca="false">IF((E195="g"),G195," ")</f>
        <v> </v>
      </c>
      <c r="P195" s="334" t="str">
        <f aca="false">IF((E195="m"),G195," ")</f>
        <v> </v>
      </c>
      <c r="Q195" s="334" t="str">
        <f aca="false">IF((E195="t"),G195," ")</f>
        <v> </v>
      </c>
      <c r="R195" s="334" t="str">
        <f aca="false">IF((E195="a"),G195," ")</f>
        <v> </v>
      </c>
      <c r="S195" s="334" t="str">
        <f aca="false">IF((E195="l"),G195," ")</f>
        <v> </v>
      </c>
      <c r="T195" s="334" t="str">
        <f aca="false">IF((E195="b"),G195," ")</f>
        <v> </v>
      </c>
      <c r="U195" s="334" t="str">
        <f aca="false">IF((E195="i"),G195," ")</f>
        <v> </v>
      </c>
      <c r="V195" s="334" t="str">
        <f aca="false">IF((E195="o"),G195," ")</f>
        <v> </v>
      </c>
      <c r="W195" s="334" t="str">
        <f aca="false">IF((E195="f"),G195," ")</f>
        <v> </v>
      </c>
    </row>
    <row r="196" customFormat="false" ht="12.75" hidden="false" customHeight="false" outlineLevel="0" collapsed="false">
      <c r="A196" s="355"/>
      <c r="E196" s="365" t="str">
        <f aca="false">IF((G196&lt;&gt;0),"Enter Letter"," ")</f>
        <v> </v>
      </c>
      <c r="H196" s="338" t="str">
        <f aca="false">IF((G196&lt;&gt;0),IF((D196&gt;0)," ",G196)," ")</f>
        <v> </v>
      </c>
      <c r="I196" s="367" t="str">
        <f aca="false">IF((G196&lt;&gt;0),IF((D196&gt;0)," ",(I$1-A196))," ")</f>
        <v> </v>
      </c>
      <c r="J196" s="334" t="str">
        <f aca="false">IF((E196="s"),G196," ")</f>
        <v> </v>
      </c>
      <c r="K196" s="334" t="str">
        <f aca="false">IF((E196="d"),G196," ")</f>
        <v> </v>
      </c>
      <c r="L196" s="334" t="str">
        <f aca="false">IF((E196="e"),G196," ")</f>
        <v> </v>
      </c>
      <c r="M196" s="334" t="str">
        <f aca="false">IF((E196="p"),G196," ")</f>
        <v> </v>
      </c>
      <c r="N196" s="334" t="str">
        <f aca="false">IF((E196="r"),G196," ")</f>
        <v> </v>
      </c>
      <c r="O196" s="334" t="str">
        <f aca="false">IF((E196="g"),G196," ")</f>
        <v> </v>
      </c>
      <c r="P196" s="334" t="str">
        <f aca="false">IF((E196="m"),G196," ")</f>
        <v> </v>
      </c>
      <c r="Q196" s="334" t="str">
        <f aca="false">IF((E196="t"),G196," ")</f>
        <v> </v>
      </c>
      <c r="R196" s="334" t="str">
        <f aca="false">IF((E196="a"),G196," ")</f>
        <v> </v>
      </c>
      <c r="S196" s="334" t="str">
        <f aca="false">IF((E196="l"),G196," ")</f>
        <v> </v>
      </c>
      <c r="T196" s="334" t="str">
        <f aca="false">IF((E196="b"),G196," ")</f>
        <v> </v>
      </c>
      <c r="U196" s="334" t="str">
        <f aca="false">IF((E196="i"),G196," ")</f>
        <v> </v>
      </c>
      <c r="V196" s="334" t="str">
        <f aca="false">IF((E196="o"),G196," ")</f>
        <v> </v>
      </c>
      <c r="W196" s="334" t="str">
        <f aca="false">IF((E196="f"),G196," ")</f>
        <v> </v>
      </c>
    </row>
    <row r="197" customFormat="false" ht="12.75" hidden="false" customHeight="false" outlineLevel="0" collapsed="false">
      <c r="A197" s="355"/>
      <c r="E197" s="365" t="str">
        <f aca="false">IF((G197&lt;&gt;0),"Enter Letter"," ")</f>
        <v> </v>
      </c>
      <c r="H197" s="338" t="str">
        <f aca="false">IF((G197&lt;&gt;0),IF((D197&gt;0)," ",G197)," ")</f>
        <v> </v>
      </c>
      <c r="I197" s="367" t="str">
        <f aca="false">IF((G197&lt;&gt;0),IF((D197&gt;0)," ",(I$1-A197))," ")</f>
        <v> </v>
      </c>
      <c r="J197" s="334" t="str">
        <f aca="false">IF((E197="s"),G197," ")</f>
        <v> </v>
      </c>
      <c r="K197" s="334" t="str">
        <f aca="false">IF((E197="d"),G197," ")</f>
        <v> </v>
      </c>
      <c r="L197" s="334" t="str">
        <f aca="false">IF((E197="e"),G197," ")</f>
        <v> </v>
      </c>
      <c r="M197" s="334" t="str">
        <f aca="false">IF((E197="p"),G197," ")</f>
        <v> </v>
      </c>
      <c r="N197" s="334" t="str">
        <f aca="false">IF((E197="r"),G197," ")</f>
        <v> </v>
      </c>
      <c r="O197" s="334" t="str">
        <f aca="false">IF((E197="g"),G197," ")</f>
        <v> </v>
      </c>
      <c r="P197" s="334" t="str">
        <f aca="false">IF((E197="m"),G197," ")</f>
        <v> </v>
      </c>
      <c r="Q197" s="334" t="str">
        <f aca="false">IF((E197="t"),G197," ")</f>
        <v> </v>
      </c>
      <c r="R197" s="334" t="str">
        <f aca="false">IF((E197="a"),G197," ")</f>
        <v> </v>
      </c>
      <c r="S197" s="334" t="str">
        <f aca="false">IF((E197="l"),G197," ")</f>
        <v> </v>
      </c>
      <c r="T197" s="334" t="str">
        <f aca="false">IF((E197="b"),G197," ")</f>
        <v> </v>
      </c>
      <c r="U197" s="334" t="str">
        <f aca="false">IF((E197="i"),G197," ")</f>
        <v> </v>
      </c>
      <c r="V197" s="334" t="str">
        <f aca="false">IF((E197="o"),G197," ")</f>
        <v> </v>
      </c>
      <c r="W197" s="334" t="str">
        <f aca="false">IF((E197="f"),G197," ")</f>
        <v> </v>
      </c>
    </row>
    <row r="198" customFormat="false" ht="12.75" hidden="false" customHeight="false" outlineLevel="0" collapsed="false">
      <c r="A198" s="355"/>
      <c r="E198" s="365" t="str">
        <f aca="false">IF((G198&lt;&gt;0),"Enter Letter"," ")</f>
        <v> </v>
      </c>
      <c r="H198" s="338" t="str">
        <f aca="false">IF((G198&lt;&gt;0),IF((D198&gt;0)," ",G198)," ")</f>
        <v> </v>
      </c>
      <c r="I198" s="367" t="str">
        <f aca="false">IF((G198&lt;&gt;0),IF((D198&gt;0)," ",(I$1-A198))," ")</f>
        <v> </v>
      </c>
      <c r="J198" s="334" t="str">
        <f aca="false">IF((E198="s"),G198," ")</f>
        <v> </v>
      </c>
      <c r="K198" s="334" t="str">
        <f aca="false">IF((E198="d"),G198," ")</f>
        <v> </v>
      </c>
      <c r="L198" s="334" t="str">
        <f aca="false">IF((E198="e"),G198," ")</f>
        <v> </v>
      </c>
      <c r="M198" s="334" t="str">
        <f aca="false">IF((E198="p"),G198," ")</f>
        <v> </v>
      </c>
      <c r="N198" s="334" t="str">
        <f aca="false">IF((E198="r"),G198," ")</f>
        <v> </v>
      </c>
      <c r="O198" s="334" t="str">
        <f aca="false">IF((E198="g"),G198," ")</f>
        <v> </v>
      </c>
      <c r="P198" s="334" t="str">
        <f aca="false">IF((E198="m"),G198," ")</f>
        <v> </v>
      </c>
      <c r="Q198" s="334" t="str">
        <f aca="false">IF((E198="t"),G198," ")</f>
        <v> </v>
      </c>
      <c r="R198" s="334" t="str">
        <f aca="false">IF((E198="a"),G198," ")</f>
        <v> </v>
      </c>
      <c r="S198" s="334" t="str">
        <f aca="false">IF((E198="l"),G198," ")</f>
        <v> </v>
      </c>
      <c r="T198" s="334" t="str">
        <f aca="false">IF((E198="b"),G198," ")</f>
        <v> </v>
      </c>
      <c r="U198" s="334" t="str">
        <f aca="false">IF((E198="i"),G198," ")</f>
        <v> </v>
      </c>
      <c r="V198" s="334" t="str">
        <f aca="false">IF((E198="o"),G198," ")</f>
        <v> </v>
      </c>
      <c r="W198" s="334" t="str">
        <f aca="false">IF((E198="f"),G198," ")</f>
        <v> </v>
      </c>
    </row>
    <row r="199" customFormat="false" ht="12.75" hidden="false" customHeight="false" outlineLevel="0" collapsed="false">
      <c r="A199" s="355"/>
      <c r="E199" s="365" t="str">
        <f aca="false">IF((G199&lt;&gt;0),"Enter Letter"," ")</f>
        <v> </v>
      </c>
      <c r="H199" s="338" t="str">
        <f aca="false">IF((G199&lt;&gt;0),IF((D199&gt;0)," ",G199)," ")</f>
        <v> </v>
      </c>
      <c r="I199" s="367" t="str">
        <f aca="false">IF((G199&lt;&gt;0),IF((D199&gt;0)," ",(I$1-A199))," ")</f>
        <v> </v>
      </c>
      <c r="J199" s="334" t="str">
        <f aca="false">IF((E199="s"),G199," ")</f>
        <v> </v>
      </c>
      <c r="K199" s="334" t="str">
        <f aca="false">IF((E199="d"),G199," ")</f>
        <v> </v>
      </c>
      <c r="L199" s="334" t="str">
        <f aca="false">IF((E199="e"),G199," ")</f>
        <v> </v>
      </c>
      <c r="M199" s="334" t="str">
        <f aca="false">IF((E199="p"),G199," ")</f>
        <v> </v>
      </c>
      <c r="N199" s="334" t="str">
        <f aca="false">IF((E199="r"),G199," ")</f>
        <v> </v>
      </c>
      <c r="O199" s="334" t="str">
        <f aca="false">IF((E199="g"),G199," ")</f>
        <v> </v>
      </c>
      <c r="P199" s="334" t="str">
        <f aca="false">IF((E199="m"),G199," ")</f>
        <v> </v>
      </c>
      <c r="Q199" s="334" t="str">
        <f aca="false">IF((E199="t"),G199," ")</f>
        <v> </v>
      </c>
      <c r="R199" s="334" t="str">
        <f aca="false">IF((E199="a"),G199," ")</f>
        <v> </v>
      </c>
      <c r="S199" s="334" t="str">
        <f aca="false">IF((E199="l"),G199," ")</f>
        <v> </v>
      </c>
      <c r="T199" s="334" t="str">
        <f aca="false">IF((E199="b"),G199," ")</f>
        <v> </v>
      </c>
      <c r="U199" s="334" t="str">
        <f aca="false">IF((E199="i"),G199," ")</f>
        <v> </v>
      </c>
      <c r="V199" s="334" t="str">
        <f aca="false">IF((E199="o"),G199," ")</f>
        <v> </v>
      </c>
      <c r="W199" s="334" t="str">
        <f aca="false">IF((E199="f"),G199," ")</f>
        <v> </v>
      </c>
    </row>
    <row r="200" customFormat="false" ht="12.75" hidden="false" customHeight="false" outlineLevel="0" collapsed="false">
      <c r="A200" s="355"/>
      <c r="E200" s="365" t="str">
        <f aca="false">IF((G200&lt;&gt;0),"Enter Letter"," ")</f>
        <v> </v>
      </c>
      <c r="H200" s="338" t="str">
        <f aca="false">IF((G200&lt;&gt;0),IF((D200&gt;0)," ",G200)," ")</f>
        <v> </v>
      </c>
      <c r="I200" s="367" t="str">
        <f aca="false">IF((G200&lt;&gt;0),IF((D200&gt;0)," ",(I$1-A200))," ")</f>
        <v> </v>
      </c>
      <c r="J200" s="334" t="str">
        <f aca="false">IF((E200="s"),G200," ")</f>
        <v> </v>
      </c>
      <c r="K200" s="334" t="str">
        <f aca="false">IF((E200="d"),G200," ")</f>
        <v> </v>
      </c>
      <c r="L200" s="334" t="str">
        <f aca="false">IF((E200="e"),G200," ")</f>
        <v> </v>
      </c>
      <c r="M200" s="334" t="str">
        <f aca="false">IF((E200="p"),G200," ")</f>
        <v> </v>
      </c>
      <c r="N200" s="334" t="str">
        <f aca="false">IF((E200="r"),G200," ")</f>
        <v> </v>
      </c>
      <c r="O200" s="334" t="str">
        <f aca="false">IF((E200="g"),G200," ")</f>
        <v> </v>
      </c>
      <c r="P200" s="334" t="str">
        <f aca="false">IF((E200="m"),G200," ")</f>
        <v> </v>
      </c>
      <c r="Q200" s="334" t="str">
        <f aca="false">IF((E200="t"),G200," ")</f>
        <v> </v>
      </c>
      <c r="R200" s="334" t="str">
        <f aca="false">IF((E200="a"),G200," ")</f>
        <v> </v>
      </c>
      <c r="S200" s="334" t="str">
        <f aca="false">IF((E200="l"),G200," ")</f>
        <v> </v>
      </c>
      <c r="T200" s="334" t="str">
        <f aca="false">IF((E200="b"),G200," ")</f>
        <v> </v>
      </c>
      <c r="U200" s="334" t="str">
        <f aca="false">IF((E200="i"),G200," ")</f>
        <v> </v>
      </c>
      <c r="V200" s="334" t="str">
        <f aca="false">IF((E200="o"),G200," ")</f>
        <v> </v>
      </c>
      <c r="W200" s="334" t="str">
        <f aca="false">IF((E200="f"),G200," ")</f>
        <v> </v>
      </c>
      <c r="Y200" s="399"/>
      <c r="Z200" s="399"/>
    </row>
    <row r="201" customFormat="false" ht="12.75" hidden="false" customHeight="false" outlineLevel="0" collapsed="false">
      <c r="A201" s="355"/>
      <c r="E201" s="365" t="str">
        <f aca="false">IF((G201&lt;&gt;0),"Enter Letter"," ")</f>
        <v> </v>
      </c>
      <c r="H201" s="338" t="str">
        <f aca="false">IF((G201&lt;&gt;0),IF((D201&gt;0)," ",G201)," ")</f>
        <v> </v>
      </c>
      <c r="I201" s="367" t="str">
        <f aca="false">IF((G201&lt;&gt;0),IF((D201&gt;0)," ",(I$1-A201))," ")</f>
        <v> </v>
      </c>
      <c r="J201" s="334" t="str">
        <f aca="false">IF((E201="s"),G201," ")</f>
        <v> </v>
      </c>
      <c r="K201" s="334" t="str">
        <f aca="false">IF((E201="d"),G201," ")</f>
        <v> </v>
      </c>
      <c r="L201" s="334" t="str">
        <f aca="false">IF((E201="e"),G201," ")</f>
        <v> </v>
      </c>
      <c r="M201" s="334" t="str">
        <f aca="false">IF((E201="p"),G201," ")</f>
        <v> </v>
      </c>
      <c r="N201" s="334" t="str">
        <f aca="false">IF((E201="r"),G201," ")</f>
        <v> </v>
      </c>
      <c r="O201" s="334" t="str">
        <f aca="false">IF((E201="g"),G201," ")</f>
        <v> </v>
      </c>
      <c r="P201" s="334" t="str">
        <f aca="false">IF((E201="m"),G201," ")</f>
        <v> </v>
      </c>
      <c r="Q201" s="334" t="str">
        <f aca="false">IF((E201="t"),G201," ")</f>
        <v> </v>
      </c>
      <c r="R201" s="334" t="str">
        <f aca="false">IF((E201="a"),G201," ")</f>
        <v> </v>
      </c>
      <c r="S201" s="334" t="str">
        <f aca="false">IF((E201="l"),G201," ")</f>
        <v> </v>
      </c>
      <c r="T201" s="334" t="str">
        <f aca="false">IF((E201="b"),G201," ")</f>
        <v> </v>
      </c>
      <c r="U201" s="334" t="str">
        <f aca="false">IF((E201="i"),G201," ")</f>
        <v> </v>
      </c>
      <c r="V201" s="334" t="str">
        <f aca="false">IF((E201="o"),G201," ")</f>
        <v> </v>
      </c>
      <c r="W201" s="334" t="str">
        <f aca="false">IF((E201="f"),G201," ")</f>
        <v> </v>
      </c>
    </row>
    <row r="202" customFormat="false" ht="12.75" hidden="false" customHeight="false" outlineLevel="0" collapsed="false">
      <c r="A202" s="355"/>
      <c r="E202" s="365" t="str">
        <f aca="false">IF((G202&lt;&gt;0),"Enter Letter"," ")</f>
        <v> </v>
      </c>
      <c r="H202" s="338" t="str">
        <f aca="false">IF((G202&lt;&gt;0),IF((D202&gt;0)," ",G202)," ")</f>
        <v> </v>
      </c>
      <c r="I202" s="367" t="str">
        <f aca="false">IF((G202&lt;&gt;0),IF((D202&gt;0)," ",(I$1-A202))," ")</f>
        <v> </v>
      </c>
      <c r="J202" s="334" t="str">
        <f aca="false">IF((E202="s"),G202," ")</f>
        <v> </v>
      </c>
      <c r="K202" s="334" t="str">
        <f aca="false">IF((E202="d"),G202," ")</f>
        <v> </v>
      </c>
      <c r="L202" s="334" t="str">
        <f aca="false">IF((E202="e"),G202," ")</f>
        <v> </v>
      </c>
      <c r="M202" s="334" t="str">
        <f aca="false">IF((E202="p"),G202," ")</f>
        <v> </v>
      </c>
      <c r="N202" s="334" t="str">
        <f aca="false">IF((E202="r"),G202," ")</f>
        <v> </v>
      </c>
      <c r="O202" s="334" t="str">
        <f aca="false">IF((E202="g"),G202," ")</f>
        <v> </v>
      </c>
      <c r="P202" s="334" t="str">
        <f aca="false">IF((E202="m"),G202," ")</f>
        <v> </v>
      </c>
      <c r="Q202" s="334" t="str">
        <f aca="false">IF((E202="t"),G202," ")</f>
        <v> </v>
      </c>
      <c r="R202" s="334" t="str">
        <f aca="false">IF((E202="a"),G202," ")</f>
        <v> </v>
      </c>
      <c r="S202" s="334" t="str">
        <f aca="false">IF((E202="l"),G202," ")</f>
        <v> </v>
      </c>
      <c r="T202" s="334" t="str">
        <f aca="false">IF((E202="b"),G202," ")</f>
        <v> </v>
      </c>
      <c r="U202" s="334" t="str">
        <f aca="false">IF((E202="i"),G202," ")</f>
        <v> </v>
      </c>
      <c r="V202" s="334" t="str">
        <f aca="false">IF((E202="o"),G202," ")</f>
        <v> </v>
      </c>
      <c r="W202" s="334" t="str">
        <f aca="false">IF((E202="f"),G202," ")</f>
        <v> </v>
      </c>
    </row>
    <row r="203" customFormat="false" ht="12.75" hidden="false" customHeight="false" outlineLevel="0" collapsed="false">
      <c r="A203" s="355"/>
      <c r="E203" s="365" t="str">
        <f aca="false">IF((G203&lt;&gt;0),"Enter Letter"," ")</f>
        <v> </v>
      </c>
      <c r="H203" s="338" t="str">
        <f aca="false">IF((G203&lt;&gt;0),IF((D203&gt;0)," ",G203)," ")</f>
        <v> </v>
      </c>
      <c r="I203" s="367" t="str">
        <f aca="false">IF((G203&lt;&gt;0),IF((D203&gt;0)," ",(I$1-A203))," ")</f>
        <v> </v>
      </c>
      <c r="J203" s="334" t="str">
        <f aca="false">IF((E203="s"),G203," ")</f>
        <v> </v>
      </c>
      <c r="K203" s="334" t="str">
        <f aca="false">IF((E203="d"),G203," ")</f>
        <v> </v>
      </c>
      <c r="L203" s="334" t="str">
        <f aca="false">IF((E203="e"),G203," ")</f>
        <v> </v>
      </c>
      <c r="M203" s="334" t="str">
        <f aca="false">IF((E203="p"),G203," ")</f>
        <v> </v>
      </c>
      <c r="N203" s="334" t="str">
        <f aca="false">IF((E203="r"),G203," ")</f>
        <v> </v>
      </c>
      <c r="O203" s="334" t="str">
        <f aca="false">IF((E203="g"),G203," ")</f>
        <v> </v>
      </c>
      <c r="P203" s="334" t="str">
        <f aca="false">IF((E203="m"),G203," ")</f>
        <v> </v>
      </c>
      <c r="Q203" s="334" t="str">
        <f aca="false">IF((E203="t"),G203," ")</f>
        <v> </v>
      </c>
      <c r="R203" s="334" t="str">
        <f aca="false">IF((E203="a"),G203," ")</f>
        <v> </v>
      </c>
      <c r="S203" s="334" t="str">
        <f aca="false">IF((E203="l"),G203," ")</f>
        <v> </v>
      </c>
      <c r="T203" s="334" t="str">
        <f aca="false">IF((E203="b"),G203," ")</f>
        <v> </v>
      </c>
      <c r="U203" s="334" t="str">
        <f aca="false">IF((E203="i"),G203," ")</f>
        <v> </v>
      </c>
      <c r="V203" s="334" t="str">
        <f aca="false">IF((E203="o"),G203," ")</f>
        <v> </v>
      </c>
      <c r="W203" s="334" t="str">
        <f aca="false">IF((E203="f"),G203," ")</f>
        <v> </v>
      </c>
    </row>
    <row r="204" customFormat="false" ht="12.75" hidden="false" customHeight="false" outlineLevel="0" collapsed="false">
      <c r="A204" s="355"/>
      <c r="E204" s="365" t="str">
        <f aca="false">IF((G204&lt;&gt;0),"Enter Letter"," ")</f>
        <v> </v>
      </c>
      <c r="H204" s="338" t="str">
        <f aca="false">IF((G204&lt;&gt;0),IF((D204&gt;0)," ",G204)," ")</f>
        <v> </v>
      </c>
      <c r="I204" s="367" t="str">
        <f aca="false">IF((G204&lt;&gt;0),IF((D204&gt;0)," ",(I$1-A204))," ")</f>
        <v> </v>
      </c>
      <c r="J204" s="334" t="str">
        <f aca="false">IF((E204="s"),G204," ")</f>
        <v> </v>
      </c>
      <c r="K204" s="334" t="str">
        <f aca="false">IF((E204="d"),G204," ")</f>
        <v> </v>
      </c>
      <c r="L204" s="334" t="str">
        <f aca="false">IF((E204="e"),G204," ")</f>
        <v> </v>
      </c>
      <c r="M204" s="334" t="str">
        <f aca="false">IF((E204="p"),G204," ")</f>
        <v> </v>
      </c>
      <c r="N204" s="334" t="str">
        <f aca="false">IF((E204="r"),G204," ")</f>
        <v> </v>
      </c>
      <c r="O204" s="334" t="str">
        <f aca="false">IF((E204="g"),G204," ")</f>
        <v> </v>
      </c>
      <c r="P204" s="334" t="str">
        <f aca="false">IF((E204="m"),G204," ")</f>
        <v> </v>
      </c>
      <c r="Q204" s="334" t="str">
        <f aca="false">IF((E204="t"),G204," ")</f>
        <v> </v>
      </c>
      <c r="R204" s="334" t="str">
        <f aca="false">IF((E204="a"),G204," ")</f>
        <v> </v>
      </c>
      <c r="S204" s="334" t="str">
        <f aca="false">IF((E204="l"),G204," ")</f>
        <v> </v>
      </c>
      <c r="T204" s="334" t="str">
        <f aca="false">IF((E204="b"),G204," ")</f>
        <v> </v>
      </c>
      <c r="U204" s="334" t="str">
        <f aca="false">IF((E204="i"),G204," ")</f>
        <v> </v>
      </c>
      <c r="V204" s="334" t="str">
        <f aca="false">IF((E204="o"),G204," ")</f>
        <v> </v>
      </c>
      <c r="W204" s="334" t="str">
        <f aca="false">IF((E204="f"),G204," ")</f>
        <v> </v>
      </c>
    </row>
    <row r="205" customFormat="false" ht="12.75" hidden="false" customHeight="false" outlineLevel="0" collapsed="false">
      <c r="A205" s="355"/>
      <c r="E205" s="365" t="str">
        <f aca="false">IF((G205&lt;&gt;0),"Enter Letter"," ")</f>
        <v> </v>
      </c>
      <c r="J205" s="334" t="str">
        <f aca="false">IF((E205="s"),G205," ")</f>
        <v> </v>
      </c>
      <c r="K205" s="334" t="str">
        <f aca="false">IF((E205="d"),G205," ")</f>
        <v> </v>
      </c>
      <c r="L205" s="334" t="str">
        <f aca="false">IF((E205="e"),G205," ")</f>
        <v> </v>
      </c>
      <c r="M205" s="334" t="str">
        <f aca="false">IF((E205="p"),G205," ")</f>
        <v> </v>
      </c>
      <c r="N205" s="334" t="str">
        <f aca="false">IF((E205="r"),G205," ")</f>
        <v> </v>
      </c>
      <c r="O205" s="334" t="str">
        <f aca="false">IF((E205="g"),G205," ")</f>
        <v> </v>
      </c>
      <c r="P205" s="334" t="str">
        <f aca="false">IF((E205="m"),G205," ")</f>
        <v> </v>
      </c>
      <c r="Q205" s="334" t="str">
        <f aca="false">IF((E205="t"),G205," ")</f>
        <v> </v>
      </c>
      <c r="R205" s="334" t="str">
        <f aca="false">IF((E205="a"),G205," ")</f>
        <v> </v>
      </c>
      <c r="S205" s="334" t="str">
        <f aca="false">IF((E205="l"),G205," ")</f>
        <v> </v>
      </c>
      <c r="T205" s="334" t="str">
        <f aca="false">IF((E205="b"),G205," ")</f>
        <v> </v>
      </c>
      <c r="U205" s="334" t="str">
        <f aca="false">IF((E205="i"),G205," ")</f>
        <v> </v>
      </c>
      <c r="V205" s="334" t="str">
        <f aca="false">IF((E205="o"),G205," ")</f>
        <v> </v>
      </c>
      <c r="W205" s="334" t="str">
        <f aca="false">IF((E205="f"),G205," ")</f>
        <v> </v>
      </c>
    </row>
    <row r="206" customFormat="false" ht="12.75" hidden="false" customHeight="false" outlineLevel="0" collapsed="false">
      <c r="A206" s="355"/>
      <c r="E206" s="365" t="str">
        <f aca="false">IF((G206&lt;&gt;0),"Enter Letter"," ")</f>
        <v> </v>
      </c>
      <c r="J206" s="334" t="str">
        <f aca="false">IF((E206="s"),G206," ")</f>
        <v> </v>
      </c>
      <c r="K206" s="334" t="str">
        <f aca="false">IF((E206="d"),G206," ")</f>
        <v> </v>
      </c>
      <c r="L206" s="334" t="str">
        <f aca="false">IF((E206="e"),G206," ")</f>
        <v> </v>
      </c>
      <c r="M206" s="334" t="str">
        <f aca="false">IF((E206="p"),G206," ")</f>
        <v> </v>
      </c>
      <c r="N206" s="334" t="str">
        <f aca="false">IF((E206="r"),G206," ")</f>
        <v> </v>
      </c>
      <c r="O206" s="334" t="str">
        <f aca="false">IF((E206="g"),G206," ")</f>
        <v> </v>
      </c>
      <c r="P206" s="334" t="str">
        <f aca="false">IF((E206="m"),G206," ")</f>
        <v> </v>
      </c>
      <c r="Q206" s="334" t="str">
        <f aca="false">IF((E206="t"),G206," ")</f>
        <v> </v>
      </c>
      <c r="R206" s="334" t="str">
        <f aca="false">IF((E206="a"),G206," ")</f>
        <v> </v>
      </c>
      <c r="S206" s="334" t="str">
        <f aca="false">IF((E206="l"),G206," ")</f>
        <v> </v>
      </c>
      <c r="T206" s="334" t="str">
        <f aca="false">IF((E206="b"),G206," ")</f>
        <v> </v>
      </c>
      <c r="U206" s="334" t="str">
        <f aca="false">IF((E206="i"),G206," ")</f>
        <v> </v>
      </c>
      <c r="V206" s="334" t="str">
        <f aca="false">IF((E206="o"),G206," ")</f>
        <v> </v>
      </c>
      <c r="W206" s="334" t="str">
        <f aca="false">IF((E206="f"),G206," ")</f>
        <v> </v>
      </c>
    </row>
    <row r="207" customFormat="false" ht="12.75" hidden="false" customHeight="false" outlineLevel="0" collapsed="false">
      <c r="A207" s="355"/>
      <c r="E207" s="365" t="str">
        <f aca="false">IF((G207&lt;&gt;0),"Enter Letter"," ")</f>
        <v> </v>
      </c>
      <c r="J207" s="334" t="str">
        <f aca="false">IF((E207="s"),G207," ")</f>
        <v> </v>
      </c>
      <c r="K207" s="334" t="str">
        <f aca="false">IF((E207="d"),G207," ")</f>
        <v> </v>
      </c>
      <c r="L207" s="334" t="str">
        <f aca="false">IF((E207="e"),G207," ")</f>
        <v> </v>
      </c>
      <c r="M207" s="334" t="str">
        <f aca="false">IF((E207="p"),G207," ")</f>
        <v> </v>
      </c>
      <c r="N207" s="334" t="str">
        <f aca="false">IF((E207="r"),G207," ")</f>
        <v> </v>
      </c>
      <c r="O207" s="334" t="str">
        <f aca="false">IF((E207="g"),G207," ")</f>
        <v> </v>
      </c>
      <c r="P207" s="334" t="str">
        <f aca="false">IF((E207="m"),G207," ")</f>
        <v> </v>
      </c>
      <c r="Q207" s="334" t="str">
        <f aca="false">IF((E207="t"),G207," ")</f>
        <v> </v>
      </c>
      <c r="R207" s="334" t="str">
        <f aca="false">IF((E207="a"),G207," ")</f>
        <v> </v>
      </c>
      <c r="S207" s="334" t="str">
        <f aca="false">IF((E207="l"),G207," ")</f>
        <v> </v>
      </c>
      <c r="T207" s="334" t="str">
        <f aca="false">IF((E207="b"),G207," ")</f>
        <v> </v>
      </c>
      <c r="U207" s="334" t="str">
        <f aca="false">IF((E207="i"),G207," ")</f>
        <v> </v>
      </c>
      <c r="V207" s="334" t="str">
        <f aca="false">IF((E207="o"),G207," ")</f>
        <v> </v>
      </c>
      <c r="W207" s="334" t="str">
        <f aca="false">IF((E207="f"),G207," ")</f>
        <v> </v>
      </c>
    </row>
    <row r="208" customFormat="false" ht="12.75" hidden="false" customHeight="false" outlineLevel="0" collapsed="false">
      <c r="A208" s="355"/>
      <c r="E208" s="365" t="str">
        <f aca="false">IF((G208&lt;&gt;0),"Enter Letter"," ")</f>
        <v> </v>
      </c>
      <c r="J208" s="334" t="str">
        <f aca="false">IF((E208="s"),G208," ")</f>
        <v> </v>
      </c>
      <c r="K208" s="334" t="str">
        <f aca="false">IF((E208="d"),G208," ")</f>
        <v> </v>
      </c>
      <c r="L208" s="334" t="str">
        <f aca="false">IF((E208="e"),G208," ")</f>
        <v> </v>
      </c>
      <c r="M208" s="334" t="str">
        <f aca="false">IF((E208="p"),G208," ")</f>
        <v> </v>
      </c>
      <c r="N208" s="334" t="str">
        <f aca="false">IF((E208="r"),G208," ")</f>
        <v> </v>
      </c>
      <c r="O208" s="334" t="str">
        <f aca="false">IF((E208="g"),G208," ")</f>
        <v> </v>
      </c>
      <c r="P208" s="334" t="str">
        <f aca="false">IF((E208="m"),G208," ")</f>
        <v> </v>
      </c>
      <c r="Q208" s="334" t="str">
        <f aca="false">IF((E208="t"),G208," ")</f>
        <v> </v>
      </c>
      <c r="R208" s="334" t="str">
        <f aca="false">IF((E208="a"),G208," ")</f>
        <v> </v>
      </c>
      <c r="S208" s="334" t="str">
        <f aca="false">IF((E208="l"),G208," ")</f>
        <v> </v>
      </c>
      <c r="T208" s="334" t="str">
        <f aca="false">IF((E208="b"),G208," ")</f>
        <v> </v>
      </c>
      <c r="U208" s="334" t="str">
        <f aca="false">IF((E208="i"),G208," ")</f>
        <v> </v>
      </c>
      <c r="V208" s="334" t="str">
        <f aca="false">IF((E208="o"),G208," ")</f>
        <v> </v>
      </c>
      <c r="W208" s="334" t="str">
        <f aca="false">IF((E208="f"),G208," ")</f>
        <v> </v>
      </c>
    </row>
    <row r="209" customFormat="false" ht="12.75" hidden="false" customHeight="false" outlineLevel="0" collapsed="false">
      <c r="A209" s="355"/>
      <c r="E209" s="365" t="str">
        <f aca="false">IF((G209&lt;&gt;0),"Enter Letter"," ")</f>
        <v> </v>
      </c>
      <c r="J209" s="334" t="str">
        <f aca="false">IF((E209="s"),G209," ")</f>
        <v> </v>
      </c>
      <c r="K209" s="334" t="str">
        <f aca="false">IF((E209="d"),G209," ")</f>
        <v> </v>
      </c>
      <c r="L209" s="334" t="str">
        <f aca="false">IF((E209="e"),G209," ")</f>
        <v> </v>
      </c>
      <c r="M209" s="334" t="str">
        <f aca="false">IF((E209="p"),G209," ")</f>
        <v> </v>
      </c>
      <c r="N209" s="334" t="str">
        <f aca="false">IF((E209="r"),G209," ")</f>
        <v> </v>
      </c>
      <c r="O209" s="334" t="str">
        <f aca="false">IF((E209="g"),G209," ")</f>
        <v> </v>
      </c>
      <c r="P209" s="334" t="str">
        <f aca="false">IF((E209="m"),G209," ")</f>
        <v> </v>
      </c>
      <c r="Q209" s="334" t="str">
        <f aca="false">IF((E209="t"),G209," ")</f>
        <v> </v>
      </c>
      <c r="R209" s="334" t="str">
        <f aca="false">IF((E209="a"),G209," ")</f>
        <v> </v>
      </c>
      <c r="S209" s="334" t="str">
        <f aca="false">IF((E209="l"),G209," ")</f>
        <v> </v>
      </c>
      <c r="T209" s="334" t="str">
        <f aca="false">IF((E209="b"),G209," ")</f>
        <v> </v>
      </c>
      <c r="U209" s="334" t="str">
        <f aca="false">IF((E209="i"),G209," ")</f>
        <v> </v>
      </c>
      <c r="V209" s="334" t="str">
        <f aca="false">IF((E209="o"),G209," ")</f>
        <v> </v>
      </c>
      <c r="W209" s="334" t="str">
        <f aca="false">IF((E209="f"),G209," ")</f>
        <v> </v>
      </c>
    </row>
    <row r="210" customFormat="false" ht="12.75" hidden="false" customHeight="false" outlineLevel="0" collapsed="false">
      <c r="A210" s="355"/>
      <c r="E210" s="365" t="str">
        <f aca="false">IF((G210&lt;&gt;0),"Enter Letter"," ")</f>
        <v> </v>
      </c>
      <c r="J210" s="334" t="str">
        <f aca="false">IF((E210="s"),G210," ")</f>
        <v> </v>
      </c>
      <c r="K210" s="334" t="str">
        <f aca="false">IF((E210="d"),G210," ")</f>
        <v> </v>
      </c>
      <c r="L210" s="334" t="str">
        <f aca="false">IF((E210="e"),G210," ")</f>
        <v> </v>
      </c>
      <c r="M210" s="334" t="str">
        <f aca="false">IF((E210="p"),G210," ")</f>
        <v> </v>
      </c>
      <c r="N210" s="334" t="str">
        <f aca="false">IF((E210="r"),G210," ")</f>
        <v> </v>
      </c>
      <c r="O210" s="334" t="str">
        <f aca="false">IF((E210="g"),G210," ")</f>
        <v> </v>
      </c>
      <c r="P210" s="334" t="str">
        <f aca="false">IF((E210="m"),G210," ")</f>
        <v> </v>
      </c>
      <c r="Q210" s="334" t="str">
        <f aca="false">IF((E210="t"),G210," ")</f>
        <v> </v>
      </c>
      <c r="R210" s="334" t="str">
        <f aca="false">IF((E210="a"),G210," ")</f>
        <v> </v>
      </c>
      <c r="S210" s="334" t="str">
        <f aca="false">IF((E210="l"),G210," ")</f>
        <v> </v>
      </c>
      <c r="T210" s="334" t="str">
        <f aca="false">IF((E210="b"),G210," ")</f>
        <v> </v>
      </c>
      <c r="U210" s="334" t="str">
        <f aca="false">IF((E210="i"),G210," ")</f>
        <v> </v>
      </c>
      <c r="V210" s="334" t="str">
        <f aca="false">IF((E210="o"),G210," ")</f>
        <v> </v>
      </c>
      <c r="W210" s="334" t="str">
        <f aca="false">IF((E210="f"),G210," ")</f>
        <v> </v>
      </c>
    </row>
    <row r="211" customFormat="false" ht="12.75" hidden="false" customHeight="false" outlineLevel="0" collapsed="false">
      <c r="A211" s="355"/>
      <c r="E211" s="365" t="str">
        <f aca="false">IF((G211&lt;&gt;0),"Enter Letter"," ")</f>
        <v> </v>
      </c>
      <c r="J211" s="334" t="str">
        <f aca="false">IF((E211="s"),G211," ")</f>
        <v> </v>
      </c>
      <c r="K211" s="334" t="str">
        <f aca="false">IF((E211="d"),G211," ")</f>
        <v> </v>
      </c>
      <c r="L211" s="334" t="str">
        <f aca="false">IF((E211="e"),G211," ")</f>
        <v> </v>
      </c>
      <c r="M211" s="334" t="str">
        <f aca="false">IF((E211="p"),G211," ")</f>
        <v> </v>
      </c>
      <c r="N211" s="334" t="str">
        <f aca="false">IF((E211="r"),G211," ")</f>
        <v> </v>
      </c>
      <c r="O211" s="334" t="str">
        <f aca="false">IF((E211="g"),G211," ")</f>
        <v> </v>
      </c>
      <c r="P211" s="334" t="str">
        <f aca="false">IF((E211="m"),G211," ")</f>
        <v> </v>
      </c>
      <c r="Q211" s="334" t="str">
        <f aca="false">IF((E211="t"),G211," ")</f>
        <v> </v>
      </c>
      <c r="R211" s="334" t="str">
        <f aca="false">IF((E211="a"),G211," ")</f>
        <v> </v>
      </c>
      <c r="S211" s="334" t="str">
        <f aca="false">IF((E211="l"),G211," ")</f>
        <v> </v>
      </c>
      <c r="T211" s="334" t="str">
        <f aca="false">IF((E211="b"),G211," ")</f>
        <v> </v>
      </c>
      <c r="U211" s="334" t="str">
        <f aca="false">IF((E211="i"),G211," ")</f>
        <v> </v>
      </c>
      <c r="V211" s="334" t="str">
        <f aca="false">IF((E211="o"),G211," ")</f>
        <v> </v>
      </c>
      <c r="W211" s="334" t="str">
        <f aca="false">IF((E211="f"),G211," ")</f>
        <v> </v>
      </c>
    </row>
    <row r="212" customFormat="false" ht="12.75" hidden="false" customHeight="false" outlineLevel="0" collapsed="false">
      <c r="A212" s="355"/>
      <c r="E212" s="365" t="str">
        <f aca="false">IF((G212&lt;&gt;0),"Enter Letter"," ")</f>
        <v> </v>
      </c>
      <c r="J212" s="334" t="str">
        <f aca="false">IF((E212="s"),G212," ")</f>
        <v> </v>
      </c>
      <c r="K212" s="334" t="str">
        <f aca="false">IF((E212="d"),G212," ")</f>
        <v> </v>
      </c>
      <c r="L212" s="334" t="str">
        <f aca="false">IF((E212="e"),G212," ")</f>
        <v> </v>
      </c>
      <c r="M212" s="334" t="str">
        <f aca="false">IF((E212="p"),G212," ")</f>
        <v> </v>
      </c>
      <c r="N212" s="334" t="str">
        <f aca="false">IF((E212="r"),G212," ")</f>
        <v> </v>
      </c>
      <c r="O212" s="334" t="str">
        <f aca="false">IF((E212="g"),G212," ")</f>
        <v> </v>
      </c>
      <c r="P212" s="334" t="str">
        <f aca="false">IF((E212="m"),G212," ")</f>
        <v> </v>
      </c>
      <c r="Q212" s="334" t="str">
        <f aca="false">IF((E212="t"),G212," ")</f>
        <v> </v>
      </c>
      <c r="R212" s="334" t="str">
        <f aca="false">IF((E212="a"),G212," ")</f>
        <v> </v>
      </c>
      <c r="S212" s="334" t="str">
        <f aca="false">IF((E212="l"),G212," ")</f>
        <v> </v>
      </c>
      <c r="T212" s="334" t="str">
        <f aca="false">IF((E212="b"),G212," ")</f>
        <v> </v>
      </c>
      <c r="U212" s="334" t="str">
        <f aca="false">IF((E212="i"),G212," ")</f>
        <v> </v>
      </c>
      <c r="V212" s="334" t="str">
        <f aca="false">IF((E212="o"),G212," ")</f>
        <v> </v>
      </c>
      <c r="W212" s="334" t="str">
        <f aca="false">IF((E212="f"),G212," ")</f>
        <v> </v>
      </c>
    </row>
    <row r="213" customFormat="false" ht="12.75" hidden="false" customHeight="false" outlineLevel="0" collapsed="false">
      <c r="A213" s="355"/>
      <c r="E213" s="365" t="str">
        <f aca="false">IF((G213&lt;&gt;0),"Enter Letter"," ")</f>
        <v> </v>
      </c>
      <c r="J213" s="334" t="str">
        <f aca="false">IF((E213="s"),G213," ")</f>
        <v> </v>
      </c>
      <c r="K213" s="334" t="str">
        <f aca="false">IF((E213="d"),G213," ")</f>
        <v> </v>
      </c>
      <c r="L213" s="334" t="str">
        <f aca="false">IF((E213="e"),G213," ")</f>
        <v> </v>
      </c>
      <c r="M213" s="334" t="str">
        <f aca="false">IF((E213="p"),G213," ")</f>
        <v> </v>
      </c>
      <c r="N213" s="334" t="str">
        <f aca="false">IF((E213="r"),G213," ")</f>
        <v> </v>
      </c>
      <c r="O213" s="334" t="str">
        <f aca="false">IF((E213="g"),G213," ")</f>
        <v> </v>
      </c>
      <c r="P213" s="334" t="str">
        <f aca="false">IF((E213="m"),G213," ")</f>
        <v> </v>
      </c>
      <c r="Q213" s="334" t="str">
        <f aca="false">IF((E213="t"),G213," ")</f>
        <v> </v>
      </c>
      <c r="R213" s="334" t="str">
        <f aca="false">IF((E213="a"),G213," ")</f>
        <v> </v>
      </c>
      <c r="S213" s="334" t="str">
        <f aca="false">IF((E213="l"),G213," ")</f>
        <v> </v>
      </c>
      <c r="T213" s="334" t="str">
        <f aca="false">IF((E213="b"),G213," ")</f>
        <v> </v>
      </c>
      <c r="U213" s="334" t="str">
        <f aca="false">IF((E213="i"),G213," ")</f>
        <v> </v>
      </c>
      <c r="V213" s="334" t="str">
        <f aca="false">IF((E213="o"),G213," ")</f>
        <v> </v>
      </c>
      <c r="W213" s="334" t="str">
        <f aca="false">IF((E213="f"),G213," ")</f>
        <v> </v>
      </c>
    </row>
    <row r="214" customFormat="false" ht="12.75" hidden="false" customHeight="false" outlineLevel="0" collapsed="false">
      <c r="A214" s="355"/>
      <c r="E214" s="365" t="str">
        <f aca="false">IF((G214&lt;&gt;0),"Enter Letter"," ")</f>
        <v> </v>
      </c>
      <c r="J214" s="334" t="str">
        <f aca="false">IF((E214="s"),G214," ")</f>
        <v> </v>
      </c>
      <c r="K214" s="334" t="str">
        <f aca="false">IF((E214="d"),G214," ")</f>
        <v> </v>
      </c>
      <c r="L214" s="334" t="str">
        <f aca="false">IF((E214="e"),G214," ")</f>
        <v> </v>
      </c>
      <c r="M214" s="334" t="str">
        <f aca="false">IF((E214="p"),G214," ")</f>
        <v> </v>
      </c>
      <c r="N214" s="334" t="str">
        <f aca="false">IF((E214="r"),G214," ")</f>
        <v> </v>
      </c>
      <c r="O214" s="334" t="str">
        <f aca="false">IF((E214="g"),G214," ")</f>
        <v> </v>
      </c>
      <c r="P214" s="334" t="str">
        <f aca="false">IF((E214="m"),G214," ")</f>
        <v> </v>
      </c>
      <c r="Q214" s="334" t="str">
        <f aca="false">IF((E214="t"),G214," ")</f>
        <v> </v>
      </c>
      <c r="R214" s="334" t="str">
        <f aca="false">IF((E214="a"),G214," ")</f>
        <v> </v>
      </c>
      <c r="S214" s="334" t="str">
        <f aca="false">IF((E214="l"),G214," ")</f>
        <v> </v>
      </c>
      <c r="T214" s="334" t="str">
        <f aca="false">IF((E214="b"),G214," ")</f>
        <v> </v>
      </c>
      <c r="U214" s="334" t="str">
        <f aca="false">IF((E214="i"),G214," ")</f>
        <v> </v>
      </c>
      <c r="V214" s="334" t="str">
        <f aca="false">IF((E214="o"),G214," ")</f>
        <v> </v>
      </c>
      <c r="W214" s="334" t="str">
        <f aca="false">IF((E214="f"),G214," ")</f>
        <v> </v>
      </c>
    </row>
    <row r="215" customFormat="false" ht="12.75" hidden="false" customHeight="false" outlineLevel="0" collapsed="false">
      <c r="A215" s="355"/>
      <c r="E215" s="365" t="str">
        <f aca="false">IF((G215&lt;&gt;0),"Enter Letter"," ")</f>
        <v> </v>
      </c>
      <c r="J215" s="334" t="str">
        <f aca="false">IF((E215="s"),G215," ")</f>
        <v> </v>
      </c>
      <c r="K215" s="334" t="str">
        <f aca="false">IF((E215="d"),G215," ")</f>
        <v> </v>
      </c>
      <c r="L215" s="334" t="str">
        <f aca="false">IF((E215="e"),G215," ")</f>
        <v> </v>
      </c>
      <c r="M215" s="334" t="str">
        <f aca="false">IF((E215="p"),G215," ")</f>
        <v> </v>
      </c>
      <c r="N215" s="334" t="str">
        <f aca="false">IF((E215="r"),G215," ")</f>
        <v> </v>
      </c>
      <c r="O215" s="334" t="str">
        <f aca="false">IF((E215="g"),G215," ")</f>
        <v> </v>
      </c>
      <c r="P215" s="334" t="str">
        <f aca="false">IF((E215="m"),G215," ")</f>
        <v> </v>
      </c>
      <c r="Q215" s="334" t="str">
        <f aca="false">IF((E215="t"),G215," ")</f>
        <v> </v>
      </c>
      <c r="R215" s="334" t="str">
        <f aca="false">IF((E215="a"),G215," ")</f>
        <v> </v>
      </c>
      <c r="S215" s="334" t="str">
        <f aca="false">IF((E215="l"),G215," ")</f>
        <v> </v>
      </c>
      <c r="T215" s="334" t="str">
        <f aca="false">IF((E215="b"),G215," ")</f>
        <v> </v>
      </c>
      <c r="U215" s="334" t="str">
        <f aca="false">IF((E215="i"),G215," ")</f>
        <v> </v>
      </c>
      <c r="V215" s="334" t="str">
        <f aca="false">IF((E215="o"),G215," ")</f>
        <v> </v>
      </c>
      <c r="W215" s="334" t="str">
        <f aca="false">IF((E215="f"),G215," ")</f>
        <v> </v>
      </c>
    </row>
    <row r="216" customFormat="false" ht="12.75" hidden="false" customHeight="false" outlineLevel="0" collapsed="false">
      <c r="A216" s="355"/>
      <c r="E216" s="365" t="str">
        <f aca="false">IF((G216&lt;&gt;0),"Enter Letter"," ")</f>
        <v> </v>
      </c>
      <c r="J216" s="334" t="str">
        <f aca="false">IF((E216="s"),G216," ")</f>
        <v> </v>
      </c>
      <c r="K216" s="334" t="str">
        <f aca="false">IF((E216="d"),G216," ")</f>
        <v> </v>
      </c>
      <c r="L216" s="334" t="str">
        <f aca="false">IF((E216="e"),G216," ")</f>
        <v> </v>
      </c>
      <c r="M216" s="334" t="str">
        <f aca="false">IF((E216="p"),G216," ")</f>
        <v> </v>
      </c>
      <c r="N216" s="334" t="str">
        <f aca="false">IF((E216="r"),G216," ")</f>
        <v> </v>
      </c>
      <c r="O216" s="334" t="str">
        <f aca="false">IF((E216="g"),G216," ")</f>
        <v> </v>
      </c>
      <c r="P216" s="334" t="str">
        <f aca="false">IF((E216="m"),G216," ")</f>
        <v> </v>
      </c>
      <c r="Q216" s="334" t="str">
        <f aca="false">IF((E216="t"),G216," ")</f>
        <v> </v>
      </c>
      <c r="R216" s="334" t="str">
        <f aca="false">IF((E216="a"),G216," ")</f>
        <v> </v>
      </c>
      <c r="S216" s="334" t="str">
        <f aca="false">IF((E216="l"),G216," ")</f>
        <v> </v>
      </c>
      <c r="T216" s="334" t="str">
        <f aca="false">IF((E216="b"),G216," ")</f>
        <v> </v>
      </c>
      <c r="U216" s="334" t="str">
        <f aca="false">IF((E216="i"),G216," ")</f>
        <v> </v>
      </c>
      <c r="V216" s="334" t="str">
        <f aca="false">IF((E216="o"),G216," ")</f>
        <v> </v>
      </c>
      <c r="W216" s="334" t="str">
        <f aca="false">IF((E216="f"),G216," ")</f>
        <v> </v>
      </c>
    </row>
    <row r="217" customFormat="false" ht="12.75" hidden="false" customHeight="false" outlineLevel="0" collapsed="false">
      <c r="A217" s="355"/>
      <c r="E217" s="365" t="str">
        <f aca="false">IF((G217&lt;&gt;0),"Enter Letter"," ")</f>
        <v> </v>
      </c>
      <c r="J217" s="334" t="str">
        <f aca="false">IF((E217="s"),G217," ")</f>
        <v> </v>
      </c>
      <c r="K217" s="334" t="str">
        <f aca="false">IF((E217="d"),G217," ")</f>
        <v> </v>
      </c>
      <c r="L217" s="334" t="str">
        <f aca="false">IF((E217="e"),G217," ")</f>
        <v> </v>
      </c>
      <c r="M217" s="334" t="str">
        <f aca="false">IF((E217="p"),G217," ")</f>
        <v> </v>
      </c>
      <c r="N217" s="334" t="str">
        <f aca="false">IF((E217="r"),G217," ")</f>
        <v> </v>
      </c>
      <c r="O217" s="334" t="str">
        <f aca="false">IF((E217="g"),G217," ")</f>
        <v> </v>
      </c>
      <c r="P217" s="334" t="str">
        <f aca="false">IF((E217="m"),G217," ")</f>
        <v> </v>
      </c>
      <c r="Q217" s="334" t="str">
        <f aca="false">IF((E217="t"),G217," ")</f>
        <v> </v>
      </c>
      <c r="R217" s="334" t="str">
        <f aca="false">IF((E217="a"),G217," ")</f>
        <v> </v>
      </c>
      <c r="S217" s="334" t="str">
        <f aca="false">IF((E217="l"),G217," ")</f>
        <v> </v>
      </c>
      <c r="T217" s="334" t="str">
        <f aca="false">IF((E217="b"),G217," ")</f>
        <v> </v>
      </c>
      <c r="U217" s="334" t="str">
        <f aca="false">IF((E217="i"),G217," ")</f>
        <v> </v>
      </c>
      <c r="V217" s="334" t="str">
        <f aca="false">IF((E217="o"),G217," ")</f>
        <v> </v>
      </c>
      <c r="W217" s="334" t="str">
        <f aca="false">IF((E217="f"),G217," ")</f>
        <v> </v>
      </c>
    </row>
    <row r="218" customFormat="false" ht="12.75" hidden="false" customHeight="false" outlineLevel="0" collapsed="false">
      <c r="A218" s="355"/>
      <c r="E218" s="365" t="str">
        <f aca="false">IF((G218&lt;&gt;0),"Enter Letter"," ")</f>
        <v> </v>
      </c>
      <c r="J218" s="334" t="str">
        <f aca="false">IF((E218="s"),G218," ")</f>
        <v> </v>
      </c>
      <c r="K218" s="334" t="str">
        <f aca="false">IF((E218="d"),G218," ")</f>
        <v> </v>
      </c>
      <c r="L218" s="334" t="str">
        <f aca="false">IF((E218="e"),G218," ")</f>
        <v> </v>
      </c>
      <c r="M218" s="334" t="str">
        <f aca="false">IF((E218="p"),G218," ")</f>
        <v> </v>
      </c>
      <c r="N218" s="334" t="str">
        <f aca="false">IF((E218="r"),G218," ")</f>
        <v> </v>
      </c>
      <c r="O218" s="334" t="str">
        <f aca="false">IF((E218="g"),G218," ")</f>
        <v> </v>
      </c>
      <c r="P218" s="334" t="str">
        <f aca="false">IF((E218="m"),G218," ")</f>
        <v> </v>
      </c>
      <c r="Q218" s="334" t="str">
        <f aca="false">IF((E218="t"),G218," ")</f>
        <v> </v>
      </c>
      <c r="R218" s="334" t="str">
        <f aca="false">IF((E218="a"),G218," ")</f>
        <v> </v>
      </c>
      <c r="S218" s="334" t="str">
        <f aca="false">IF((E218="l"),G218," ")</f>
        <v> </v>
      </c>
      <c r="T218" s="334" t="str">
        <f aca="false">IF((E218="b"),G218," ")</f>
        <v> </v>
      </c>
      <c r="U218" s="334" t="str">
        <f aca="false">IF((E218="i"),G218," ")</f>
        <v> </v>
      </c>
      <c r="V218" s="334" t="str">
        <f aca="false">IF((E218="o"),G218," ")</f>
        <v> </v>
      </c>
      <c r="W218" s="334" t="str">
        <f aca="false">IF((E218="f"),G218," ")</f>
        <v> </v>
      </c>
    </row>
    <row r="219" customFormat="false" ht="12.75" hidden="false" customHeight="false" outlineLevel="0" collapsed="false">
      <c r="A219" s="355"/>
      <c r="E219" s="365" t="str">
        <f aca="false">IF((G219&lt;&gt;0),"Enter Letter"," ")</f>
        <v> </v>
      </c>
      <c r="J219" s="334" t="str">
        <f aca="false">IF((E219="s"),G219," ")</f>
        <v> </v>
      </c>
      <c r="K219" s="334" t="str">
        <f aca="false">IF((E219="d"),G219," ")</f>
        <v> </v>
      </c>
      <c r="L219" s="334" t="str">
        <f aca="false">IF((E219="e"),G219," ")</f>
        <v> </v>
      </c>
      <c r="M219" s="334" t="str">
        <f aca="false">IF((E219="p"),G219," ")</f>
        <v> </v>
      </c>
      <c r="N219" s="334" t="str">
        <f aca="false">IF((E219="r"),G219," ")</f>
        <v> </v>
      </c>
      <c r="O219" s="334" t="str">
        <f aca="false">IF((E219="g"),G219," ")</f>
        <v> </v>
      </c>
      <c r="P219" s="334" t="str">
        <f aca="false">IF((E219="m"),G219," ")</f>
        <v> </v>
      </c>
      <c r="Q219" s="334" t="str">
        <f aca="false">IF((E219="t"),G219," ")</f>
        <v> </v>
      </c>
      <c r="R219" s="334" t="str">
        <f aca="false">IF((E219="a"),G219," ")</f>
        <v> </v>
      </c>
      <c r="S219" s="334" t="str">
        <f aca="false">IF((E219="l"),G219," ")</f>
        <v> </v>
      </c>
      <c r="T219" s="334" t="str">
        <f aca="false">IF((E219="b"),G219," ")</f>
        <v> </v>
      </c>
      <c r="U219" s="334" t="str">
        <f aca="false">IF((E219="i"),G219," ")</f>
        <v> </v>
      </c>
      <c r="V219" s="334" t="str">
        <f aca="false">IF((E219="o"),G219," ")</f>
        <v> </v>
      </c>
      <c r="W219" s="334" t="str">
        <f aca="false">IF((E219="f"),G219," ")</f>
        <v> </v>
      </c>
    </row>
    <row r="220" customFormat="false" ht="12.75" hidden="false" customHeight="false" outlineLevel="0" collapsed="false">
      <c r="A220" s="355"/>
      <c r="E220" s="365" t="str">
        <f aca="false">IF((G220&lt;&gt;0),"Enter Letter"," ")</f>
        <v> </v>
      </c>
      <c r="J220" s="334" t="str">
        <f aca="false">IF((E220="s"),G220," ")</f>
        <v> </v>
      </c>
      <c r="K220" s="334" t="str">
        <f aca="false">IF((E220="d"),G220," ")</f>
        <v> </v>
      </c>
      <c r="L220" s="334" t="str">
        <f aca="false">IF((E220="e"),G220," ")</f>
        <v> </v>
      </c>
      <c r="M220" s="334" t="str">
        <f aca="false">IF((E220="p"),G220," ")</f>
        <v> </v>
      </c>
      <c r="N220" s="334" t="str">
        <f aca="false">IF((E220="r"),G220," ")</f>
        <v> </v>
      </c>
      <c r="O220" s="334" t="str">
        <f aca="false">IF((E220="g"),G220," ")</f>
        <v> </v>
      </c>
      <c r="P220" s="334" t="str">
        <f aca="false">IF((E220="m"),G220," ")</f>
        <v> </v>
      </c>
      <c r="Q220" s="334" t="str">
        <f aca="false">IF((E220="t"),G220," ")</f>
        <v> </v>
      </c>
      <c r="R220" s="334" t="str">
        <f aca="false">IF((E220="a"),G220," ")</f>
        <v> </v>
      </c>
      <c r="S220" s="334" t="str">
        <f aca="false">IF((E220="l"),G220," ")</f>
        <v> </v>
      </c>
      <c r="T220" s="334" t="str">
        <f aca="false">IF((E220="b"),G220," ")</f>
        <v> </v>
      </c>
      <c r="U220" s="334" t="str">
        <f aca="false">IF((E220="i"),G220," ")</f>
        <v> </v>
      </c>
      <c r="V220" s="334" t="str">
        <f aca="false">IF((E220="o"),G220," ")</f>
        <v> </v>
      </c>
      <c r="W220" s="334" t="str">
        <f aca="false">IF((E220="f"),G220," ")</f>
        <v> </v>
      </c>
    </row>
    <row r="221" customFormat="false" ht="12.75" hidden="false" customHeight="false" outlineLevel="0" collapsed="false">
      <c r="A221" s="355"/>
      <c r="E221" s="365" t="str">
        <f aca="false">IF((G221&lt;&gt;0),"Enter Letter"," ")</f>
        <v> </v>
      </c>
      <c r="J221" s="334" t="str">
        <f aca="false">IF((E221="s"),G221," ")</f>
        <v> </v>
      </c>
      <c r="K221" s="334" t="str">
        <f aca="false">IF((E221="d"),G221," ")</f>
        <v> </v>
      </c>
      <c r="L221" s="334" t="str">
        <f aca="false">IF((E221="e"),G221," ")</f>
        <v> </v>
      </c>
      <c r="M221" s="334" t="str">
        <f aca="false">IF((E221="p"),G221," ")</f>
        <v> </v>
      </c>
      <c r="N221" s="334" t="str">
        <f aca="false">IF((E221="r"),G221," ")</f>
        <v> </v>
      </c>
      <c r="O221" s="334" t="str">
        <f aca="false">IF((E221="g"),G221," ")</f>
        <v> </v>
      </c>
      <c r="P221" s="334" t="str">
        <f aca="false">IF((E221="m"),G221," ")</f>
        <v> </v>
      </c>
      <c r="Q221" s="334" t="str">
        <f aca="false">IF((E221="t"),G221," ")</f>
        <v> </v>
      </c>
      <c r="R221" s="334" t="str">
        <f aca="false">IF((E221="a"),G221," ")</f>
        <v> </v>
      </c>
      <c r="S221" s="334" t="str">
        <f aca="false">IF((E221="l"),G221," ")</f>
        <v> </v>
      </c>
      <c r="T221" s="334" t="str">
        <f aca="false">IF((E221="b"),G221," ")</f>
        <v> </v>
      </c>
      <c r="U221" s="334" t="str">
        <f aca="false">IF((E221="i"),G221," ")</f>
        <v> </v>
      </c>
      <c r="V221" s="334" t="str">
        <f aca="false">IF((E221="o"),G221," ")</f>
        <v> </v>
      </c>
      <c r="W221" s="334" t="str">
        <f aca="false">IF((E221="f"),G221," ")</f>
        <v> </v>
      </c>
    </row>
    <row r="222" customFormat="false" ht="12.75" hidden="false" customHeight="false" outlineLevel="0" collapsed="false">
      <c r="A222" s="355"/>
      <c r="E222" s="365" t="str">
        <f aca="false">IF((G222&lt;&gt;0),"Enter Letter"," ")</f>
        <v> </v>
      </c>
      <c r="J222" s="334" t="str">
        <f aca="false">IF((E222="s"),G222," ")</f>
        <v> </v>
      </c>
      <c r="K222" s="334" t="str">
        <f aca="false">IF((E222="d"),G222," ")</f>
        <v> </v>
      </c>
      <c r="L222" s="334" t="str">
        <f aca="false">IF((E222="e"),G222," ")</f>
        <v> </v>
      </c>
      <c r="M222" s="334" t="str">
        <f aca="false">IF((E222="p"),G222," ")</f>
        <v> </v>
      </c>
      <c r="N222" s="334" t="str">
        <f aca="false">IF((E222="r"),G222," ")</f>
        <v> </v>
      </c>
      <c r="O222" s="334" t="str">
        <f aca="false">IF((E222="g"),G222," ")</f>
        <v> </v>
      </c>
      <c r="P222" s="334" t="str">
        <f aca="false">IF((E222="m"),G222," ")</f>
        <v> </v>
      </c>
      <c r="Q222" s="334" t="str">
        <f aca="false">IF((E222="t"),G222," ")</f>
        <v> </v>
      </c>
      <c r="R222" s="334" t="str">
        <f aca="false">IF((E222="a"),G222," ")</f>
        <v> </v>
      </c>
      <c r="S222" s="334" t="str">
        <f aca="false">IF((E222="l"),G222," ")</f>
        <v> </v>
      </c>
      <c r="T222" s="334" t="str">
        <f aca="false">IF((E222="b"),G222," ")</f>
        <v> </v>
      </c>
      <c r="U222" s="334" t="str">
        <f aca="false">IF((E222="i"),G222," ")</f>
        <v> </v>
      </c>
      <c r="V222" s="334" t="str">
        <f aca="false">IF((E222="o"),G222," ")</f>
        <v> </v>
      </c>
      <c r="W222" s="334" t="str">
        <f aca="false">IF((E222="f"),G222," ")</f>
        <v> </v>
      </c>
    </row>
    <row r="223" customFormat="false" ht="12.75" hidden="false" customHeight="false" outlineLevel="0" collapsed="false">
      <c r="A223" s="355"/>
      <c r="E223" s="365" t="str">
        <f aca="false">IF((G223&lt;&gt;0),"Enter Letter"," ")</f>
        <v> </v>
      </c>
      <c r="J223" s="334" t="str">
        <f aca="false">IF((E223="s"),G223," ")</f>
        <v> </v>
      </c>
      <c r="K223" s="334" t="str">
        <f aca="false">IF((E223="d"),G223," ")</f>
        <v> </v>
      </c>
      <c r="L223" s="334" t="str">
        <f aca="false">IF((E223="e"),G223," ")</f>
        <v> </v>
      </c>
      <c r="M223" s="334" t="str">
        <f aca="false">IF((E223="p"),G223," ")</f>
        <v> </v>
      </c>
      <c r="N223" s="334" t="str">
        <f aca="false">IF((E223="r"),G223," ")</f>
        <v> </v>
      </c>
      <c r="O223" s="334" t="str">
        <f aca="false">IF((E223="g"),G223," ")</f>
        <v> </v>
      </c>
      <c r="P223" s="334" t="str">
        <f aca="false">IF((E223="m"),G223," ")</f>
        <v> </v>
      </c>
      <c r="Q223" s="334" t="str">
        <f aca="false">IF((E223="t"),G223," ")</f>
        <v> </v>
      </c>
      <c r="R223" s="334" t="str">
        <f aca="false">IF((E223="a"),G223," ")</f>
        <v> </v>
      </c>
      <c r="S223" s="334" t="str">
        <f aca="false">IF((E223="l"),G223," ")</f>
        <v> </v>
      </c>
      <c r="T223" s="334" t="str">
        <f aca="false">IF((E223="b"),G223," ")</f>
        <v> </v>
      </c>
      <c r="U223" s="334" t="str">
        <f aca="false">IF((E223="i"),G223," ")</f>
        <v> </v>
      </c>
      <c r="V223" s="334" t="str">
        <f aca="false">IF((E223="o"),G223," ")</f>
        <v> </v>
      </c>
      <c r="W223" s="334" t="str">
        <f aca="false">IF((E223="f"),G223," ")</f>
        <v> </v>
      </c>
    </row>
    <row r="224" customFormat="false" ht="12.75" hidden="false" customHeight="false" outlineLevel="0" collapsed="false">
      <c r="A224" s="355"/>
      <c r="E224" s="365" t="str">
        <f aca="false">IF((G224&lt;&gt;0),"Enter Letter"," ")</f>
        <v> </v>
      </c>
      <c r="J224" s="334" t="str">
        <f aca="false">IF((E224="s"),G224," ")</f>
        <v> </v>
      </c>
      <c r="K224" s="334" t="str">
        <f aca="false">IF((E224="d"),G224," ")</f>
        <v> </v>
      </c>
      <c r="L224" s="334" t="str">
        <f aca="false">IF((E224="e"),G224," ")</f>
        <v> </v>
      </c>
      <c r="M224" s="334" t="str">
        <f aca="false">IF((E224="p"),G224," ")</f>
        <v> </v>
      </c>
      <c r="N224" s="334" t="str">
        <f aca="false">IF((E224="r"),G224," ")</f>
        <v> </v>
      </c>
      <c r="O224" s="334" t="str">
        <f aca="false">IF((E224="g"),G224," ")</f>
        <v> </v>
      </c>
      <c r="P224" s="334" t="str">
        <f aca="false">IF((E224="m"),G224," ")</f>
        <v> </v>
      </c>
      <c r="Q224" s="334" t="str">
        <f aca="false">IF((E224="t"),G224," ")</f>
        <v> </v>
      </c>
      <c r="R224" s="334" t="str">
        <f aca="false">IF((E224="a"),G224," ")</f>
        <v> </v>
      </c>
      <c r="S224" s="334" t="str">
        <f aca="false">IF((E224="l"),G224," ")</f>
        <v> </v>
      </c>
      <c r="T224" s="334" t="str">
        <f aca="false">IF((E224="b"),G224," ")</f>
        <v> </v>
      </c>
      <c r="U224" s="334" t="str">
        <f aca="false">IF((E224="i"),G224," ")</f>
        <v> </v>
      </c>
      <c r="V224" s="334" t="str">
        <f aca="false">IF((E224="o"),G224," ")</f>
        <v> </v>
      </c>
      <c r="W224" s="334" t="str">
        <f aca="false">IF((E224="f"),G224," ")</f>
        <v> </v>
      </c>
    </row>
    <row r="225" customFormat="false" ht="12.75" hidden="false" customHeight="false" outlineLevel="0" collapsed="false">
      <c r="A225" s="355"/>
      <c r="E225" s="365" t="str">
        <f aca="false">IF((G225&lt;&gt;0),"Enter Letter"," ")</f>
        <v> </v>
      </c>
      <c r="J225" s="334" t="str">
        <f aca="false">IF((E225="s"),G225," ")</f>
        <v> </v>
      </c>
      <c r="K225" s="334" t="str">
        <f aca="false">IF((E225="d"),G225," ")</f>
        <v> </v>
      </c>
      <c r="L225" s="334" t="str">
        <f aca="false">IF((E225="e"),G225," ")</f>
        <v> </v>
      </c>
      <c r="M225" s="334" t="str">
        <f aca="false">IF((E225="p"),G225," ")</f>
        <v> </v>
      </c>
      <c r="N225" s="334" t="str">
        <f aca="false">IF((E225="r"),G225," ")</f>
        <v> </v>
      </c>
      <c r="O225" s="334" t="str">
        <f aca="false">IF((E225="g"),G225," ")</f>
        <v> </v>
      </c>
      <c r="P225" s="334" t="str">
        <f aca="false">IF((E225="m"),G225," ")</f>
        <v> </v>
      </c>
      <c r="Q225" s="334" t="str">
        <f aca="false">IF((E225="t"),G225," ")</f>
        <v> </v>
      </c>
      <c r="R225" s="334" t="str">
        <f aca="false">IF((E225="a"),G225," ")</f>
        <v> </v>
      </c>
      <c r="S225" s="334" t="str">
        <f aca="false">IF((E225="l"),G225," ")</f>
        <v> </v>
      </c>
      <c r="T225" s="334" t="str">
        <f aca="false">IF((E225="b"),G225," ")</f>
        <v> </v>
      </c>
      <c r="U225" s="334" t="str">
        <f aca="false">IF((E225="i"),G225," ")</f>
        <v> </v>
      </c>
      <c r="V225" s="334" t="str">
        <f aca="false">IF((E225="o"),G225," ")</f>
        <v> </v>
      </c>
      <c r="W225" s="334" t="str">
        <f aca="false">IF((E225="f"),G225," ")</f>
        <v> </v>
      </c>
    </row>
    <row r="226" customFormat="false" ht="12.75" hidden="false" customHeight="false" outlineLevel="0" collapsed="false">
      <c r="A226" s="355"/>
      <c r="E226" s="365" t="str">
        <f aca="false">IF((G226&lt;&gt;0),"Enter Letter"," ")</f>
        <v> </v>
      </c>
      <c r="J226" s="334" t="str">
        <f aca="false">IF((E226="s"),G226," ")</f>
        <v> </v>
      </c>
      <c r="K226" s="334" t="str">
        <f aca="false">IF((E226="d"),G226," ")</f>
        <v> </v>
      </c>
      <c r="L226" s="334" t="str">
        <f aca="false">IF((E226="e"),G226," ")</f>
        <v> </v>
      </c>
      <c r="M226" s="334" t="str">
        <f aca="false">IF((E226="p"),G226," ")</f>
        <v> </v>
      </c>
      <c r="N226" s="334" t="str">
        <f aca="false">IF((E226="r"),G226," ")</f>
        <v> </v>
      </c>
      <c r="O226" s="334" t="str">
        <f aca="false">IF((E226="g"),G226," ")</f>
        <v> </v>
      </c>
      <c r="P226" s="334" t="str">
        <f aca="false">IF((E226="m"),G226," ")</f>
        <v> </v>
      </c>
      <c r="Q226" s="334" t="str">
        <f aca="false">IF((E226="t"),G226," ")</f>
        <v> </v>
      </c>
      <c r="R226" s="334" t="str">
        <f aca="false">IF((E226="a"),G226," ")</f>
        <v> </v>
      </c>
      <c r="S226" s="334" t="str">
        <f aca="false">IF((E226="l"),G226," ")</f>
        <v> </v>
      </c>
      <c r="T226" s="334" t="str">
        <f aca="false">IF((E226="b"),G226," ")</f>
        <v> </v>
      </c>
      <c r="U226" s="334" t="str">
        <f aca="false">IF((E226="i"),G226," ")</f>
        <v> </v>
      </c>
      <c r="V226" s="334" t="str">
        <f aca="false">IF((E226="o"),G226," ")</f>
        <v> </v>
      </c>
      <c r="W226" s="334" t="str">
        <f aca="false">IF((E226="f"),G226," ")</f>
        <v> </v>
      </c>
    </row>
    <row r="227" customFormat="false" ht="12.75" hidden="false" customHeight="false" outlineLevel="0" collapsed="false">
      <c r="A227" s="355"/>
      <c r="E227" s="365" t="str">
        <f aca="false">IF((G227&lt;&gt;0),"Enter Letter"," ")</f>
        <v> </v>
      </c>
      <c r="J227" s="334" t="str">
        <f aca="false">IF((E227="s"),G227," ")</f>
        <v> </v>
      </c>
      <c r="K227" s="334" t="str">
        <f aca="false">IF((E227="d"),G227," ")</f>
        <v> </v>
      </c>
      <c r="L227" s="334" t="str">
        <f aca="false">IF((E227="e"),G227," ")</f>
        <v> </v>
      </c>
      <c r="M227" s="334" t="str">
        <f aca="false">IF((E227="p"),G227," ")</f>
        <v> </v>
      </c>
      <c r="N227" s="334" t="str">
        <f aca="false">IF((E227="r"),G227," ")</f>
        <v> </v>
      </c>
      <c r="O227" s="334" t="str">
        <f aca="false">IF((E227="g"),G227," ")</f>
        <v> </v>
      </c>
      <c r="P227" s="334" t="str">
        <f aca="false">IF((E227="m"),G227," ")</f>
        <v> </v>
      </c>
      <c r="Q227" s="334" t="str">
        <f aca="false">IF((E227="t"),G227," ")</f>
        <v> </v>
      </c>
      <c r="R227" s="334" t="str">
        <f aca="false">IF((E227="a"),G227," ")</f>
        <v> </v>
      </c>
      <c r="S227" s="334" t="str">
        <f aca="false">IF((E227="l"),G227," ")</f>
        <v> </v>
      </c>
      <c r="T227" s="334" t="str">
        <f aca="false">IF((E227="b"),G227," ")</f>
        <v> </v>
      </c>
      <c r="U227" s="334" t="str">
        <f aca="false">IF((E227="i"),G227," ")</f>
        <v> </v>
      </c>
      <c r="V227" s="334" t="str">
        <f aca="false">IF((E227="o"),G227," ")</f>
        <v> </v>
      </c>
      <c r="W227" s="334" t="str">
        <f aca="false">IF((E227="f"),G227," ")</f>
        <v> </v>
      </c>
    </row>
    <row r="228" customFormat="false" ht="12.75" hidden="false" customHeight="false" outlineLevel="0" collapsed="false">
      <c r="A228" s="355"/>
      <c r="E228" s="365" t="str">
        <f aca="false">IF((G228&lt;&gt;0),"Enter Letter"," ")</f>
        <v> </v>
      </c>
      <c r="J228" s="334" t="str">
        <f aca="false">IF((E228="s"),G228," ")</f>
        <v> </v>
      </c>
      <c r="K228" s="334" t="str">
        <f aca="false">IF((E228="d"),G228," ")</f>
        <v> </v>
      </c>
      <c r="L228" s="334" t="str">
        <f aca="false">IF((E228="e"),G228," ")</f>
        <v> </v>
      </c>
      <c r="M228" s="334" t="str">
        <f aca="false">IF((E228="p"),G228," ")</f>
        <v> </v>
      </c>
      <c r="N228" s="334" t="str">
        <f aca="false">IF((E228="r"),G228," ")</f>
        <v> </v>
      </c>
      <c r="O228" s="334" t="str">
        <f aca="false">IF((E228="g"),G228," ")</f>
        <v> </v>
      </c>
      <c r="P228" s="334" t="str">
        <f aca="false">IF((E228="m"),G228," ")</f>
        <v> </v>
      </c>
      <c r="Q228" s="334" t="str">
        <f aca="false">IF((E228="t"),G228," ")</f>
        <v> </v>
      </c>
      <c r="R228" s="334" t="str">
        <f aca="false">IF((E228="a"),G228," ")</f>
        <v> </v>
      </c>
      <c r="S228" s="334" t="str">
        <f aca="false">IF((E228="l"),G228," ")</f>
        <v> </v>
      </c>
      <c r="T228" s="334" t="str">
        <f aca="false">IF((E228="b"),G228," ")</f>
        <v> </v>
      </c>
      <c r="U228" s="334" t="str">
        <f aca="false">IF((E228="i"),G228," ")</f>
        <v> </v>
      </c>
      <c r="V228" s="334" t="str">
        <f aca="false">IF((E228="o"),G228," ")</f>
        <v> </v>
      </c>
      <c r="W228" s="334" t="str">
        <f aca="false">IF((E228="f"),G228," ")</f>
        <v> </v>
      </c>
    </row>
    <row r="229" customFormat="false" ht="12.75" hidden="false" customHeight="false" outlineLevel="0" collapsed="false">
      <c r="A229" s="355"/>
      <c r="E229" s="365" t="str">
        <f aca="false">IF((G229&lt;&gt;0),"Enter Letter"," ")</f>
        <v> </v>
      </c>
      <c r="J229" s="334" t="str">
        <f aca="false">IF((E229="s"),G229," ")</f>
        <v> </v>
      </c>
      <c r="K229" s="334" t="str">
        <f aca="false">IF((E229="d"),G229," ")</f>
        <v> </v>
      </c>
      <c r="L229" s="334" t="str">
        <f aca="false">IF((E229="e"),G229," ")</f>
        <v> </v>
      </c>
      <c r="M229" s="334" t="str">
        <f aca="false">IF((E229="p"),G229," ")</f>
        <v> </v>
      </c>
      <c r="N229" s="334" t="str">
        <f aca="false">IF((E229="r"),G229," ")</f>
        <v> </v>
      </c>
      <c r="O229" s="334" t="str">
        <f aca="false">IF((E229="g"),G229," ")</f>
        <v> </v>
      </c>
      <c r="P229" s="334" t="str">
        <f aca="false">IF((E229="m"),G229," ")</f>
        <v> </v>
      </c>
      <c r="Q229" s="334" t="str">
        <f aca="false">IF((E229="t"),G229," ")</f>
        <v> </v>
      </c>
      <c r="R229" s="334" t="str">
        <f aca="false">IF((E229="a"),G229," ")</f>
        <v> </v>
      </c>
      <c r="S229" s="334" t="str">
        <f aca="false">IF((E229="l"),G229," ")</f>
        <v> </v>
      </c>
      <c r="T229" s="334" t="str">
        <f aca="false">IF((E229="b"),G229," ")</f>
        <v> </v>
      </c>
      <c r="U229" s="334" t="str">
        <f aca="false">IF((E229="i"),G229," ")</f>
        <v> </v>
      </c>
      <c r="V229" s="334" t="str">
        <f aca="false">IF((E229="o"),G229," ")</f>
        <v> </v>
      </c>
      <c r="W229" s="334" t="str">
        <f aca="false">IF((E229="f"),G229," ")</f>
        <v> </v>
      </c>
    </row>
    <row r="230" customFormat="false" ht="12.75" hidden="false" customHeight="false" outlineLevel="0" collapsed="false">
      <c r="A230" s="355"/>
      <c r="E230" s="365" t="str">
        <f aca="false">IF((G230&lt;&gt;0),"Enter Letter"," ")</f>
        <v> </v>
      </c>
      <c r="J230" s="334" t="str">
        <f aca="false">IF((E230="s"),G230," ")</f>
        <v> </v>
      </c>
      <c r="K230" s="334" t="str">
        <f aca="false">IF((E230="d"),G230," ")</f>
        <v> </v>
      </c>
      <c r="L230" s="334" t="str">
        <f aca="false">IF((E230="e"),G230," ")</f>
        <v> </v>
      </c>
      <c r="M230" s="334" t="str">
        <f aca="false">IF((E230="p"),G230," ")</f>
        <v> </v>
      </c>
      <c r="N230" s="334" t="str">
        <f aca="false">IF((E230="r"),G230," ")</f>
        <v> </v>
      </c>
      <c r="O230" s="334" t="str">
        <f aca="false">IF((E230="g"),G230," ")</f>
        <v> </v>
      </c>
      <c r="P230" s="334" t="str">
        <f aca="false">IF((E230="m"),G230," ")</f>
        <v> </v>
      </c>
      <c r="Q230" s="334" t="str">
        <f aca="false">IF((E230="t"),G230," ")</f>
        <v> </v>
      </c>
      <c r="R230" s="334" t="str">
        <f aca="false">IF((E230="a"),G230," ")</f>
        <v> </v>
      </c>
      <c r="S230" s="334" t="str">
        <f aca="false">IF((E230="l"),G230," ")</f>
        <v> </v>
      </c>
      <c r="T230" s="334" t="str">
        <f aca="false">IF((E230="b"),G230," ")</f>
        <v> </v>
      </c>
      <c r="U230" s="334" t="str">
        <f aca="false">IF((E230="i"),G230," ")</f>
        <v> </v>
      </c>
      <c r="V230" s="334" t="str">
        <f aca="false">IF((E230="o"),G230," ")</f>
        <v> </v>
      </c>
      <c r="W230" s="334" t="str">
        <f aca="false">IF((E230="f"),G230," ")</f>
        <v> </v>
      </c>
    </row>
    <row r="231" customFormat="false" ht="12.75" hidden="false" customHeight="false" outlineLevel="0" collapsed="false">
      <c r="A231" s="355"/>
      <c r="E231" s="365" t="str">
        <f aca="false">IF((G231&lt;&gt;0),"Enter Letter"," ")</f>
        <v> </v>
      </c>
      <c r="J231" s="334" t="str">
        <f aca="false">IF((E231="s"),G231," ")</f>
        <v> </v>
      </c>
      <c r="K231" s="334" t="str">
        <f aca="false">IF((E231="d"),G231," ")</f>
        <v> </v>
      </c>
      <c r="L231" s="334" t="str">
        <f aca="false">IF((E231="e"),G231," ")</f>
        <v> </v>
      </c>
      <c r="M231" s="334" t="str">
        <f aca="false">IF((E231="p"),G231," ")</f>
        <v> </v>
      </c>
      <c r="N231" s="334" t="str">
        <f aca="false">IF((E231="r"),G231," ")</f>
        <v> </v>
      </c>
      <c r="O231" s="334" t="str">
        <f aca="false">IF((E231="g"),G231," ")</f>
        <v> </v>
      </c>
      <c r="P231" s="334" t="str">
        <f aca="false">IF((E231="m"),G231," ")</f>
        <v> </v>
      </c>
      <c r="Q231" s="334" t="str">
        <f aca="false">IF((E231="t"),G231," ")</f>
        <v> </v>
      </c>
      <c r="R231" s="334" t="str">
        <f aca="false">IF((E231="a"),G231," ")</f>
        <v> </v>
      </c>
      <c r="S231" s="334" t="str">
        <f aca="false">IF((E231="l"),G231," ")</f>
        <v> </v>
      </c>
      <c r="T231" s="334" t="str">
        <f aca="false">IF((E231="b"),G231," ")</f>
        <v> </v>
      </c>
      <c r="U231" s="334" t="str">
        <f aca="false">IF((E231="i"),G231," ")</f>
        <v> </v>
      </c>
      <c r="V231" s="334" t="str">
        <f aca="false">IF((E231="o"),G231," ")</f>
        <v> </v>
      </c>
      <c r="W231" s="334" t="str">
        <f aca="false">IF((E231="f"),G231," ")</f>
        <v> </v>
      </c>
    </row>
    <row r="232" customFormat="false" ht="12.75" hidden="false" customHeight="false" outlineLevel="0" collapsed="false">
      <c r="A232" s="355"/>
      <c r="E232" s="365" t="str">
        <f aca="false">IF((G232&lt;&gt;0),"Enter Letter"," ")</f>
        <v> </v>
      </c>
      <c r="J232" s="334" t="str">
        <f aca="false">IF((E232="s"),G232," ")</f>
        <v> </v>
      </c>
      <c r="K232" s="334" t="str">
        <f aca="false">IF((E232="d"),G232," ")</f>
        <v> </v>
      </c>
      <c r="L232" s="334" t="str">
        <f aca="false">IF((E232="e"),G232," ")</f>
        <v> </v>
      </c>
      <c r="M232" s="334" t="str">
        <f aca="false">IF((E232="p"),G232," ")</f>
        <v> </v>
      </c>
      <c r="N232" s="334" t="str">
        <f aca="false">IF((E232="r"),G232," ")</f>
        <v> </v>
      </c>
      <c r="O232" s="334" t="str">
        <f aca="false">IF((E232="g"),G232," ")</f>
        <v> </v>
      </c>
      <c r="P232" s="334" t="str">
        <f aca="false">IF((E232="m"),G232," ")</f>
        <v> </v>
      </c>
      <c r="Q232" s="334" t="str">
        <f aca="false">IF((E232="t"),G232," ")</f>
        <v> </v>
      </c>
      <c r="R232" s="334" t="str">
        <f aca="false">IF((E232="a"),G232," ")</f>
        <v> </v>
      </c>
      <c r="S232" s="334" t="str">
        <f aca="false">IF((E232="l"),G232," ")</f>
        <v> </v>
      </c>
      <c r="T232" s="334" t="str">
        <f aca="false">IF((E232="b"),G232," ")</f>
        <v> </v>
      </c>
      <c r="U232" s="334" t="str">
        <f aca="false">IF((E232="i"),G232," ")</f>
        <v> </v>
      </c>
      <c r="V232" s="334" t="str">
        <f aca="false">IF((E232="o"),G232," ")</f>
        <v> </v>
      </c>
      <c r="W232" s="334" t="str">
        <f aca="false">IF((E232="f"),G232," ")</f>
        <v> </v>
      </c>
    </row>
    <row r="233" customFormat="false" ht="12.75" hidden="false" customHeight="false" outlineLevel="0" collapsed="false">
      <c r="A233" s="355"/>
      <c r="E233" s="365" t="str">
        <f aca="false">IF((G233&lt;&gt;0),"Enter Letter"," ")</f>
        <v> </v>
      </c>
      <c r="J233" s="334" t="str">
        <f aca="false">IF((E233="s"),G233," ")</f>
        <v> </v>
      </c>
      <c r="K233" s="334" t="str">
        <f aca="false">IF((E233="d"),G233," ")</f>
        <v> </v>
      </c>
      <c r="L233" s="334" t="str">
        <f aca="false">IF((E233="e"),G233," ")</f>
        <v> </v>
      </c>
      <c r="M233" s="334" t="str">
        <f aca="false">IF((E233="p"),G233," ")</f>
        <v> </v>
      </c>
      <c r="N233" s="334" t="str">
        <f aca="false">IF((E233="r"),G233," ")</f>
        <v> </v>
      </c>
      <c r="O233" s="334" t="str">
        <f aca="false">IF((E233="g"),G233," ")</f>
        <v> </v>
      </c>
      <c r="P233" s="334" t="str">
        <f aca="false">IF((E233="m"),G233," ")</f>
        <v> </v>
      </c>
      <c r="Q233" s="334" t="str">
        <f aca="false">IF((E233="t"),G233," ")</f>
        <v> </v>
      </c>
      <c r="R233" s="334" t="str">
        <f aca="false">IF((E233="a"),G233," ")</f>
        <v> </v>
      </c>
      <c r="S233" s="334" t="str">
        <f aca="false">IF((E233="l"),G233," ")</f>
        <v> </v>
      </c>
      <c r="T233" s="334" t="str">
        <f aca="false">IF((E233="b"),G233," ")</f>
        <v> </v>
      </c>
      <c r="U233" s="334" t="str">
        <f aca="false">IF((E233="i"),G233," ")</f>
        <v> </v>
      </c>
      <c r="V233" s="334" t="str">
        <f aca="false">IF((E233="o"),G233," ")</f>
        <v> </v>
      </c>
      <c r="W233" s="334" t="str">
        <f aca="false">IF((E233="f"),G233," ")</f>
        <v> </v>
      </c>
    </row>
    <row r="234" customFormat="false" ht="12.75" hidden="false" customHeight="false" outlineLevel="0" collapsed="false">
      <c r="A234" s="355"/>
      <c r="E234" s="365" t="str">
        <f aca="false">IF((G234&lt;&gt;0),"Enter Letter"," ")</f>
        <v> </v>
      </c>
      <c r="J234" s="334" t="str">
        <f aca="false">IF((E234="s"),G234," ")</f>
        <v> </v>
      </c>
      <c r="K234" s="334" t="str">
        <f aca="false">IF((E234="d"),G234," ")</f>
        <v> </v>
      </c>
      <c r="L234" s="334" t="str">
        <f aca="false">IF((E234="e"),G234," ")</f>
        <v> </v>
      </c>
      <c r="M234" s="334" t="str">
        <f aca="false">IF((E234="p"),G234," ")</f>
        <v> </v>
      </c>
      <c r="N234" s="334" t="str">
        <f aca="false">IF((E234="r"),G234," ")</f>
        <v> </v>
      </c>
      <c r="O234" s="334" t="str">
        <f aca="false">IF((E234="g"),G234," ")</f>
        <v> </v>
      </c>
      <c r="P234" s="334" t="str">
        <f aca="false">IF((E234="m"),G234," ")</f>
        <v> </v>
      </c>
      <c r="Q234" s="334" t="str">
        <f aca="false">IF((E234="t"),G234," ")</f>
        <v> </v>
      </c>
      <c r="R234" s="334" t="str">
        <f aca="false">IF((E234="a"),G234," ")</f>
        <v> </v>
      </c>
      <c r="S234" s="334" t="str">
        <f aca="false">IF((E234="l"),G234," ")</f>
        <v> </v>
      </c>
      <c r="T234" s="334" t="str">
        <f aca="false">IF((E234="b"),G234," ")</f>
        <v> </v>
      </c>
      <c r="U234" s="334" t="str">
        <f aca="false">IF((E234="i"),G234," ")</f>
        <v> </v>
      </c>
      <c r="V234" s="334" t="str">
        <f aca="false">IF((E234="o"),G234," ")</f>
        <v> </v>
      </c>
      <c r="W234" s="334" t="str">
        <f aca="false">IF((E234="f"),G234," ")</f>
        <v> </v>
      </c>
    </row>
    <row r="235" customFormat="false" ht="12.75" hidden="false" customHeight="false" outlineLevel="0" collapsed="false">
      <c r="A235" s="355"/>
      <c r="E235" s="365" t="str">
        <f aca="false">IF((G235&lt;&gt;0),"Enter Letter"," ")</f>
        <v> </v>
      </c>
      <c r="J235" s="334" t="str">
        <f aca="false">IF((E235="s"),G235," ")</f>
        <v> </v>
      </c>
      <c r="K235" s="334" t="str">
        <f aca="false">IF((E235="d"),G235," ")</f>
        <v> </v>
      </c>
      <c r="L235" s="334" t="str">
        <f aca="false">IF((E235="e"),G235," ")</f>
        <v> </v>
      </c>
      <c r="M235" s="334" t="str">
        <f aca="false">IF((E235="p"),G235," ")</f>
        <v> </v>
      </c>
      <c r="N235" s="334" t="str">
        <f aca="false">IF((E235="r"),G235," ")</f>
        <v> </v>
      </c>
      <c r="O235" s="334" t="str">
        <f aca="false">IF((E235="g"),G235," ")</f>
        <v> </v>
      </c>
      <c r="P235" s="334" t="str">
        <f aca="false">IF((E235="m"),G235," ")</f>
        <v> </v>
      </c>
      <c r="Q235" s="334" t="str">
        <f aca="false">IF((E235="t"),G235," ")</f>
        <v> </v>
      </c>
      <c r="R235" s="334" t="str">
        <f aca="false">IF((E235="a"),G235," ")</f>
        <v> </v>
      </c>
      <c r="S235" s="334" t="str">
        <f aca="false">IF((E235="l"),G235," ")</f>
        <v> </v>
      </c>
      <c r="T235" s="334" t="str">
        <f aca="false">IF((E235="b"),G235," ")</f>
        <v> </v>
      </c>
      <c r="U235" s="334" t="str">
        <f aca="false">IF((E235="i"),G235," ")</f>
        <v> </v>
      </c>
      <c r="V235" s="334" t="str">
        <f aca="false">IF((E235="o"),G235," ")</f>
        <v> </v>
      </c>
      <c r="W235" s="334" t="str">
        <f aca="false">IF((E235="f"),G235," ")</f>
        <v> </v>
      </c>
    </row>
    <row r="236" customFormat="false" ht="12.75" hidden="false" customHeight="false" outlineLevel="0" collapsed="false">
      <c r="A236" s="355"/>
      <c r="E236" s="365" t="str">
        <f aca="false">IF((G236&lt;&gt;0),"Enter Letter"," ")</f>
        <v> </v>
      </c>
      <c r="J236" s="334" t="str">
        <f aca="false">IF((E236="s"),G236," ")</f>
        <v> </v>
      </c>
      <c r="K236" s="334" t="str">
        <f aca="false">IF((E236="d"),G236," ")</f>
        <v> </v>
      </c>
      <c r="L236" s="334" t="str">
        <f aca="false">IF((E236="e"),G236," ")</f>
        <v> </v>
      </c>
      <c r="M236" s="334" t="str">
        <f aca="false">IF((E236="p"),G236," ")</f>
        <v> </v>
      </c>
      <c r="N236" s="334" t="str">
        <f aca="false">IF((E236="r"),G236," ")</f>
        <v> </v>
      </c>
      <c r="O236" s="334" t="str">
        <f aca="false">IF((E236="g"),G236," ")</f>
        <v> </v>
      </c>
      <c r="P236" s="334" t="str">
        <f aca="false">IF((E236="m"),G236," ")</f>
        <v> </v>
      </c>
      <c r="Q236" s="334" t="str">
        <f aca="false">IF((E236="t"),G236," ")</f>
        <v> </v>
      </c>
      <c r="R236" s="334" t="str">
        <f aca="false">IF((E236="a"),G236," ")</f>
        <v> </v>
      </c>
      <c r="S236" s="334" t="str">
        <f aca="false">IF((E236="l"),G236," ")</f>
        <v> </v>
      </c>
      <c r="T236" s="334" t="str">
        <f aca="false">IF((E236="b"),G236," ")</f>
        <v> </v>
      </c>
      <c r="U236" s="334" t="str">
        <f aca="false">IF((E236="i"),G236," ")</f>
        <v> </v>
      </c>
      <c r="V236" s="334" t="str">
        <f aca="false">IF((E236="o"),G236," ")</f>
        <v> </v>
      </c>
      <c r="W236" s="334" t="str">
        <f aca="false">IF((E236="f"),G236," ")</f>
        <v> </v>
      </c>
    </row>
    <row r="237" customFormat="false" ht="12.75" hidden="false" customHeight="false" outlineLevel="0" collapsed="false">
      <c r="A237" s="355"/>
      <c r="E237" s="365" t="str">
        <f aca="false">IF((G237&lt;&gt;0),"Enter Letter"," ")</f>
        <v> </v>
      </c>
      <c r="J237" s="334" t="str">
        <f aca="false">IF((E237="s"),G237," ")</f>
        <v> </v>
      </c>
      <c r="K237" s="334" t="str">
        <f aca="false">IF((E237="d"),G237," ")</f>
        <v> </v>
      </c>
      <c r="L237" s="334" t="str">
        <f aca="false">IF((E237="e"),G237," ")</f>
        <v> </v>
      </c>
      <c r="M237" s="334" t="str">
        <f aca="false">IF((E237="p"),G237," ")</f>
        <v> </v>
      </c>
      <c r="N237" s="334" t="str">
        <f aca="false">IF((E237="r"),G237," ")</f>
        <v> </v>
      </c>
      <c r="O237" s="334" t="str">
        <f aca="false">IF((E237="g"),G237," ")</f>
        <v> </v>
      </c>
      <c r="P237" s="334" t="str">
        <f aca="false">IF((E237="m"),G237," ")</f>
        <v> </v>
      </c>
      <c r="Q237" s="334" t="str">
        <f aca="false">IF((E237="t"),G237," ")</f>
        <v> </v>
      </c>
      <c r="R237" s="334" t="str">
        <f aca="false">IF((E237="a"),G237," ")</f>
        <v> </v>
      </c>
      <c r="S237" s="334" t="str">
        <f aca="false">IF((E237="l"),G237," ")</f>
        <v> </v>
      </c>
      <c r="T237" s="334" t="str">
        <f aca="false">IF((E237="b"),G237," ")</f>
        <v> </v>
      </c>
      <c r="U237" s="334" t="str">
        <f aca="false">IF((E237="i"),G237," ")</f>
        <v> </v>
      </c>
      <c r="V237" s="334" t="str">
        <f aca="false">IF((E237="o"),G237," ")</f>
        <v> </v>
      </c>
      <c r="W237" s="334" t="str">
        <f aca="false">IF((E237="f"),G237," ")</f>
        <v> </v>
      </c>
    </row>
    <row r="238" customFormat="false" ht="12.75" hidden="false" customHeight="false" outlineLevel="0" collapsed="false">
      <c r="A238" s="355"/>
      <c r="E238" s="365" t="str">
        <f aca="false">IF((G238&lt;&gt;0),"Enter Letter"," ")</f>
        <v> </v>
      </c>
      <c r="J238" s="334" t="str">
        <f aca="false">IF((E238="s"),G238," ")</f>
        <v> </v>
      </c>
      <c r="K238" s="334" t="str">
        <f aca="false">IF((E238="d"),G238," ")</f>
        <v> </v>
      </c>
      <c r="L238" s="334" t="str">
        <f aca="false">IF((E238="e"),G238," ")</f>
        <v> </v>
      </c>
      <c r="M238" s="334" t="str">
        <f aca="false">IF((E238="p"),G238," ")</f>
        <v> </v>
      </c>
      <c r="N238" s="334" t="str">
        <f aca="false">IF((E238="r"),G238," ")</f>
        <v> </v>
      </c>
      <c r="O238" s="334" t="str">
        <f aca="false">IF((E238="g"),G238," ")</f>
        <v> </v>
      </c>
      <c r="P238" s="334" t="str">
        <f aca="false">IF((E238="m"),G238," ")</f>
        <v> </v>
      </c>
      <c r="Q238" s="334" t="str">
        <f aca="false">IF((E238="t"),G238," ")</f>
        <v> </v>
      </c>
      <c r="R238" s="334" t="str">
        <f aca="false">IF((E238="a"),G238," ")</f>
        <v> </v>
      </c>
      <c r="S238" s="334" t="str">
        <f aca="false">IF((E238="l"),G238," ")</f>
        <v> </v>
      </c>
      <c r="T238" s="334" t="str">
        <f aca="false">IF((E238="b"),G238," ")</f>
        <v> </v>
      </c>
      <c r="U238" s="334" t="str">
        <f aca="false">IF((E238="i"),G238," ")</f>
        <v> </v>
      </c>
      <c r="V238" s="334" t="str">
        <f aca="false">IF((E238="o"),G238," ")</f>
        <v> </v>
      </c>
      <c r="W238" s="334" t="str">
        <f aca="false">IF((E238="f"),G238," ")</f>
        <v> </v>
      </c>
    </row>
    <row r="239" customFormat="false" ht="12.75" hidden="false" customHeight="false" outlineLevel="0" collapsed="false">
      <c r="A239" s="355"/>
      <c r="E239" s="365" t="str">
        <f aca="false">IF((G239&lt;&gt;0),"Enter Letter"," ")</f>
        <v> </v>
      </c>
      <c r="J239" s="334" t="str">
        <f aca="false">IF((E239="s"),G239," ")</f>
        <v> </v>
      </c>
      <c r="K239" s="334" t="str">
        <f aca="false">IF((E239="d"),G239," ")</f>
        <v> </v>
      </c>
      <c r="L239" s="334" t="str">
        <f aca="false">IF((E239="e"),G239," ")</f>
        <v> </v>
      </c>
      <c r="M239" s="334" t="str">
        <f aca="false">IF((E239="p"),G239," ")</f>
        <v> </v>
      </c>
      <c r="N239" s="334" t="str">
        <f aca="false">IF((E239="r"),G239," ")</f>
        <v> </v>
      </c>
      <c r="O239" s="334" t="str">
        <f aca="false">IF((E239="g"),G239," ")</f>
        <v> </v>
      </c>
      <c r="P239" s="334" t="str">
        <f aca="false">IF((E239="m"),G239," ")</f>
        <v> </v>
      </c>
      <c r="Q239" s="334" t="str">
        <f aca="false">IF((E239="t"),G239," ")</f>
        <v> </v>
      </c>
      <c r="R239" s="334" t="str">
        <f aca="false">IF((E239="a"),G239," ")</f>
        <v> </v>
      </c>
      <c r="S239" s="334" t="str">
        <f aca="false">IF((E239="l"),G239," ")</f>
        <v> </v>
      </c>
      <c r="T239" s="334" t="str">
        <f aca="false">IF((E239="b"),G239," ")</f>
        <v> </v>
      </c>
      <c r="U239" s="334" t="str">
        <f aca="false">IF((E239="i"),G239," ")</f>
        <v> </v>
      </c>
      <c r="V239" s="334" t="str">
        <f aca="false">IF((E239="o"),G239," ")</f>
        <v> </v>
      </c>
      <c r="W239" s="334" t="str">
        <f aca="false">IF((E239="f"),G239," ")</f>
        <v> </v>
      </c>
    </row>
    <row r="240" customFormat="false" ht="12.75" hidden="false" customHeight="false" outlineLevel="0" collapsed="false">
      <c r="A240" s="355"/>
      <c r="E240" s="365" t="str">
        <f aca="false">IF((G240&lt;&gt;0),"Enter Letter"," ")</f>
        <v> </v>
      </c>
      <c r="J240" s="334" t="str">
        <f aca="false">IF((E240="s"),G240," ")</f>
        <v> </v>
      </c>
      <c r="K240" s="334" t="str">
        <f aca="false">IF((E240="d"),G240," ")</f>
        <v> </v>
      </c>
      <c r="L240" s="334" t="str">
        <f aca="false">IF((E240="e"),G240," ")</f>
        <v> </v>
      </c>
      <c r="M240" s="334" t="str">
        <f aca="false">IF((E240="p"),G240," ")</f>
        <v> </v>
      </c>
      <c r="N240" s="334" t="str">
        <f aca="false">IF((E240="r"),G240," ")</f>
        <v> </v>
      </c>
      <c r="O240" s="334" t="str">
        <f aca="false">IF((E240="g"),G240," ")</f>
        <v> </v>
      </c>
      <c r="P240" s="334" t="str">
        <f aca="false">IF((E240="m"),G240," ")</f>
        <v> </v>
      </c>
      <c r="Q240" s="334" t="str">
        <f aca="false">IF((E240="t"),G240," ")</f>
        <v> </v>
      </c>
      <c r="R240" s="334" t="str">
        <f aca="false">IF((E240="a"),G240," ")</f>
        <v> </v>
      </c>
      <c r="S240" s="334" t="str">
        <f aca="false">IF((E240="l"),G240," ")</f>
        <v> </v>
      </c>
      <c r="T240" s="334" t="str">
        <f aca="false">IF((E240="b"),G240," ")</f>
        <v> </v>
      </c>
      <c r="U240" s="334" t="str">
        <f aca="false">IF((E240="i"),G240," ")</f>
        <v> </v>
      </c>
      <c r="V240" s="334" t="str">
        <f aca="false">IF((E240="o"),G240," ")</f>
        <v> </v>
      </c>
      <c r="W240" s="334" t="str">
        <f aca="false">IF((E240="f"),G240," ")</f>
        <v> </v>
      </c>
    </row>
    <row r="241" customFormat="false" ht="12.75" hidden="false" customHeight="false" outlineLevel="0" collapsed="false">
      <c r="A241" s="355"/>
      <c r="E241" s="365" t="str">
        <f aca="false">IF((G241&lt;&gt;0),"Enter Letter"," ")</f>
        <v> </v>
      </c>
      <c r="J241" s="334" t="str">
        <f aca="false">IF((E241="s"),G241," ")</f>
        <v> </v>
      </c>
      <c r="K241" s="334" t="str">
        <f aca="false">IF((E241="d"),G241," ")</f>
        <v> </v>
      </c>
      <c r="L241" s="334" t="str">
        <f aca="false">IF((E241="e"),G241," ")</f>
        <v> </v>
      </c>
      <c r="M241" s="334" t="str">
        <f aca="false">IF((E241="p"),G241," ")</f>
        <v> </v>
      </c>
      <c r="N241" s="334" t="str">
        <f aca="false">IF((E241="r"),G241," ")</f>
        <v> </v>
      </c>
      <c r="O241" s="334" t="str">
        <f aca="false">IF((E241="g"),G241," ")</f>
        <v> </v>
      </c>
      <c r="P241" s="334" t="str">
        <f aca="false">IF((E241="m"),G241," ")</f>
        <v> </v>
      </c>
      <c r="Q241" s="334" t="str">
        <f aca="false">IF((E241="t"),G241," ")</f>
        <v> </v>
      </c>
      <c r="R241" s="334" t="str">
        <f aca="false">IF((E241="a"),G241," ")</f>
        <v> </v>
      </c>
      <c r="S241" s="334" t="str">
        <f aca="false">IF((E241="l"),G241," ")</f>
        <v> </v>
      </c>
      <c r="T241" s="334" t="str">
        <f aca="false">IF((E241="b"),G241," ")</f>
        <v> </v>
      </c>
      <c r="U241" s="334" t="str">
        <f aca="false">IF((E241="i"),G241," ")</f>
        <v> </v>
      </c>
      <c r="V241" s="334" t="str">
        <f aca="false">IF((E241="o"),G241," ")</f>
        <v> </v>
      </c>
      <c r="W241" s="334" t="str">
        <f aca="false">IF((E241="f"),G241," ")</f>
        <v> </v>
      </c>
    </row>
    <row r="242" customFormat="false" ht="12.75" hidden="false" customHeight="false" outlineLevel="0" collapsed="false">
      <c r="A242" s="355"/>
      <c r="E242" s="365" t="str">
        <f aca="false">IF((G242&lt;&gt;0),"Enter Letter"," ")</f>
        <v> </v>
      </c>
      <c r="J242" s="334" t="str">
        <f aca="false">IF((E242="s"),G242," ")</f>
        <v> </v>
      </c>
      <c r="K242" s="334" t="str">
        <f aca="false">IF((E242="d"),G242," ")</f>
        <v> </v>
      </c>
      <c r="L242" s="334" t="str">
        <f aca="false">IF((E242="e"),G242," ")</f>
        <v> </v>
      </c>
      <c r="M242" s="334" t="str">
        <f aca="false">IF((E242="p"),G242," ")</f>
        <v> </v>
      </c>
      <c r="N242" s="334" t="str">
        <f aca="false">IF((E242="r"),G242," ")</f>
        <v> </v>
      </c>
      <c r="O242" s="334" t="str">
        <f aca="false">IF((E242="g"),G242," ")</f>
        <v> </v>
      </c>
      <c r="P242" s="334" t="str">
        <f aca="false">IF((E242="m"),G242," ")</f>
        <v> </v>
      </c>
      <c r="Q242" s="334" t="str">
        <f aca="false">IF((E242="t"),G242," ")</f>
        <v> </v>
      </c>
      <c r="R242" s="334" t="str">
        <f aca="false">IF((E242="a"),G242," ")</f>
        <v> </v>
      </c>
      <c r="S242" s="334" t="str">
        <f aca="false">IF((E242="l"),G242," ")</f>
        <v> </v>
      </c>
      <c r="T242" s="334" t="str">
        <f aca="false">IF((E242="b"),G242," ")</f>
        <v> </v>
      </c>
      <c r="U242" s="334" t="str">
        <f aca="false">IF((E242="i"),G242," ")</f>
        <v> </v>
      </c>
      <c r="V242" s="334" t="str">
        <f aca="false">IF((E242="o"),G242," ")</f>
        <v> </v>
      </c>
      <c r="W242" s="334" t="str">
        <f aca="false">IF((E242="f"),G242," ")</f>
        <v> </v>
      </c>
    </row>
    <row r="243" customFormat="false" ht="12.75" hidden="false" customHeight="false" outlineLevel="0" collapsed="false">
      <c r="A243" s="355"/>
      <c r="E243" s="365" t="str">
        <f aca="false">IF((G243&lt;&gt;0),"Enter Letter"," ")</f>
        <v> </v>
      </c>
      <c r="J243" s="334" t="str">
        <f aca="false">IF((E243="s"),G243," ")</f>
        <v> </v>
      </c>
      <c r="K243" s="334" t="str">
        <f aca="false">IF((E243="d"),G243," ")</f>
        <v> </v>
      </c>
      <c r="L243" s="334" t="str">
        <f aca="false">IF((E243="e"),G243," ")</f>
        <v> </v>
      </c>
      <c r="M243" s="334" t="str">
        <f aca="false">IF((E243="p"),G243," ")</f>
        <v> </v>
      </c>
      <c r="N243" s="334" t="str">
        <f aca="false">IF((E243="r"),G243," ")</f>
        <v> </v>
      </c>
      <c r="O243" s="334" t="str">
        <f aca="false">IF((E243="g"),G243," ")</f>
        <v> </v>
      </c>
      <c r="P243" s="334" t="str">
        <f aca="false">IF((E243="m"),G243," ")</f>
        <v> </v>
      </c>
      <c r="Q243" s="334" t="str">
        <f aca="false">IF((E243="t"),G243," ")</f>
        <v> </v>
      </c>
      <c r="R243" s="334" t="str">
        <f aca="false">IF((E243="a"),G243," ")</f>
        <v> </v>
      </c>
      <c r="S243" s="334" t="str">
        <f aca="false">IF((E243="l"),G243," ")</f>
        <v> </v>
      </c>
      <c r="T243" s="334" t="str">
        <f aca="false">IF((E243="b"),G243," ")</f>
        <v> </v>
      </c>
      <c r="U243" s="334" t="str">
        <f aca="false">IF((E243="i"),G243," ")</f>
        <v> </v>
      </c>
      <c r="V243" s="334" t="str">
        <f aca="false">IF((E243="o"),G243," ")</f>
        <v> </v>
      </c>
      <c r="W243" s="334" t="str">
        <f aca="false">IF((E243="f"),G243," ")</f>
        <v> </v>
      </c>
    </row>
    <row r="244" customFormat="false" ht="12.75" hidden="false" customHeight="false" outlineLevel="0" collapsed="false">
      <c r="A244" s="355"/>
      <c r="E244" s="365" t="str">
        <f aca="false">IF((G244&lt;&gt;0),"Enter Letter"," ")</f>
        <v> </v>
      </c>
      <c r="J244" s="334" t="str">
        <f aca="false">IF((E244="s"),G244," ")</f>
        <v> </v>
      </c>
      <c r="K244" s="334" t="str">
        <f aca="false">IF((E244="d"),G244," ")</f>
        <v> </v>
      </c>
      <c r="L244" s="334" t="str">
        <f aca="false">IF((E244="e"),G244," ")</f>
        <v> </v>
      </c>
      <c r="M244" s="334" t="str">
        <f aca="false">IF((E244="p"),G244," ")</f>
        <v> </v>
      </c>
      <c r="N244" s="334" t="str">
        <f aca="false">IF((E244="r"),G244," ")</f>
        <v> </v>
      </c>
      <c r="O244" s="334" t="str">
        <f aca="false">IF((E244="g"),G244," ")</f>
        <v> </v>
      </c>
      <c r="P244" s="334" t="str">
        <f aca="false">IF((E244="m"),G244," ")</f>
        <v> </v>
      </c>
      <c r="Q244" s="334" t="str">
        <f aca="false">IF((E244="t"),G244," ")</f>
        <v> </v>
      </c>
      <c r="R244" s="334" t="str">
        <f aca="false">IF((E244="a"),G244," ")</f>
        <v> </v>
      </c>
      <c r="S244" s="334" t="str">
        <f aca="false">IF((E244="l"),G244," ")</f>
        <v> </v>
      </c>
      <c r="T244" s="334" t="str">
        <f aca="false">IF((E244="b"),G244," ")</f>
        <v> </v>
      </c>
      <c r="U244" s="334" t="str">
        <f aca="false">IF((E244="i"),G244," ")</f>
        <v> </v>
      </c>
      <c r="V244" s="334" t="str">
        <f aca="false">IF((E244="o"),G244," ")</f>
        <v> </v>
      </c>
      <c r="W244" s="334" t="str">
        <f aca="false">IF((E244="f"),G244," ")</f>
        <v> </v>
      </c>
    </row>
    <row r="245" customFormat="false" ht="12.75" hidden="false" customHeight="false" outlineLevel="0" collapsed="false">
      <c r="A245" s="355"/>
      <c r="E245" s="365" t="str">
        <f aca="false">IF((G245&lt;&gt;0),"Enter Letter"," ")</f>
        <v> </v>
      </c>
      <c r="J245" s="334" t="str">
        <f aca="false">IF((E245="s"),G245," ")</f>
        <v> </v>
      </c>
      <c r="K245" s="334" t="str">
        <f aca="false">IF((E245="d"),G245," ")</f>
        <v> </v>
      </c>
      <c r="L245" s="334" t="str">
        <f aca="false">IF((E245="e"),G245," ")</f>
        <v> </v>
      </c>
      <c r="M245" s="334" t="str">
        <f aca="false">IF((E245="p"),G245," ")</f>
        <v> </v>
      </c>
      <c r="N245" s="334" t="str">
        <f aca="false">IF((E245="r"),G245," ")</f>
        <v> </v>
      </c>
      <c r="O245" s="334" t="str">
        <f aca="false">IF((E245="g"),G245," ")</f>
        <v> </v>
      </c>
      <c r="P245" s="334" t="str">
        <f aca="false">IF((E245="m"),G245," ")</f>
        <v> </v>
      </c>
      <c r="Q245" s="334" t="str">
        <f aca="false">IF((E245="t"),G245," ")</f>
        <v> </v>
      </c>
      <c r="R245" s="334" t="str">
        <f aca="false">IF((E245="a"),G245," ")</f>
        <v> </v>
      </c>
      <c r="S245" s="334" t="str">
        <f aca="false">IF((E245="l"),G245," ")</f>
        <v> </v>
      </c>
      <c r="T245" s="334" t="str">
        <f aca="false">IF((E245="b"),G245," ")</f>
        <v> </v>
      </c>
      <c r="U245" s="334" t="str">
        <f aca="false">IF((E245="i"),G245," ")</f>
        <v> </v>
      </c>
      <c r="V245" s="334" t="str">
        <f aca="false">IF((E245="o"),G245," ")</f>
        <v> </v>
      </c>
      <c r="W245" s="334" t="str">
        <f aca="false">IF((E245="f"),G245," ")</f>
        <v> </v>
      </c>
    </row>
    <row r="246" customFormat="false" ht="12.75" hidden="false" customHeight="false" outlineLevel="0" collapsed="false">
      <c r="A246" s="355"/>
      <c r="E246" s="365" t="str">
        <f aca="false">IF((G246&lt;&gt;0),"Enter Letter"," ")</f>
        <v> </v>
      </c>
      <c r="J246" s="334" t="str">
        <f aca="false">IF((E246="s"),G246," ")</f>
        <v> </v>
      </c>
      <c r="K246" s="334" t="str">
        <f aca="false">IF((E246="d"),G246," ")</f>
        <v> </v>
      </c>
      <c r="L246" s="334" t="str">
        <f aca="false">IF((E246="e"),G246," ")</f>
        <v> </v>
      </c>
      <c r="M246" s="334" t="str">
        <f aca="false">IF((E246="p"),G246," ")</f>
        <v> </v>
      </c>
      <c r="N246" s="334" t="str">
        <f aca="false">IF((E246="r"),G246," ")</f>
        <v> </v>
      </c>
      <c r="O246" s="334" t="str">
        <f aca="false">IF((E246="g"),G246," ")</f>
        <v> </v>
      </c>
      <c r="P246" s="334" t="str">
        <f aca="false">IF((E246="m"),G246," ")</f>
        <v> </v>
      </c>
      <c r="Q246" s="334" t="str">
        <f aca="false">IF((E246="t"),G246," ")</f>
        <v> </v>
      </c>
      <c r="R246" s="334" t="str">
        <f aca="false">IF((E246="a"),G246," ")</f>
        <v> </v>
      </c>
      <c r="S246" s="334" t="str">
        <f aca="false">IF((E246="l"),G246," ")</f>
        <v> </v>
      </c>
      <c r="T246" s="334" t="str">
        <f aca="false">IF((E246="b"),G246," ")</f>
        <v> </v>
      </c>
      <c r="U246" s="334" t="str">
        <f aca="false">IF((E246="i"),G246," ")</f>
        <v> </v>
      </c>
      <c r="V246" s="334" t="str">
        <f aca="false">IF((E246="o"),G246," ")</f>
        <v> </v>
      </c>
      <c r="W246" s="334" t="str">
        <f aca="false">IF((E246="f"),G246," ")</f>
        <v> </v>
      </c>
    </row>
    <row r="247" customFormat="false" ht="12.75" hidden="false" customHeight="false" outlineLevel="0" collapsed="false">
      <c r="A247" s="355"/>
      <c r="E247" s="365" t="str">
        <f aca="false">IF((G247&lt;&gt;0),"Enter Letter"," ")</f>
        <v> </v>
      </c>
      <c r="J247" s="334" t="str">
        <f aca="false">IF((E247="s"),G247," ")</f>
        <v> </v>
      </c>
      <c r="K247" s="334" t="str">
        <f aca="false">IF((E247="d"),G247," ")</f>
        <v> </v>
      </c>
      <c r="L247" s="334" t="str">
        <f aca="false">IF((E247="e"),G247," ")</f>
        <v> </v>
      </c>
      <c r="M247" s="334" t="str">
        <f aca="false">IF((E247="p"),G247," ")</f>
        <v> </v>
      </c>
      <c r="N247" s="334" t="str">
        <f aca="false">IF((E247="r"),G247," ")</f>
        <v> </v>
      </c>
      <c r="O247" s="334" t="str">
        <f aca="false">IF((E247="g"),G247," ")</f>
        <v> </v>
      </c>
      <c r="P247" s="334" t="str">
        <f aca="false">IF((E247="m"),G247," ")</f>
        <v> </v>
      </c>
      <c r="Q247" s="334" t="str">
        <f aca="false">IF((E247="t"),G247," ")</f>
        <v> </v>
      </c>
      <c r="R247" s="334" t="str">
        <f aca="false">IF((E247="a"),G247," ")</f>
        <v> </v>
      </c>
      <c r="S247" s="334" t="str">
        <f aca="false">IF((E247="l"),G247," ")</f>
        <v> </v>
      </c>
      <c r="T247" s="334" t="str">
        <f aca="false">IF((E247="b"),G247," ")</f>
        <v> </v>
      </c>
      <c r="U247" s="334" t="str">
        <f aca="false">IF((E247="i"),G247," ")</f>
        <v> </v>
      </c>
      <c r="V247" s="334" t="str">
        <f aca="false">IF((E247="o"),G247," ")</f>
        <v> </v>
      </c>
      <c r="W247" s="334" t="str">
        <f aca="false">IF((E247="f"),G247," ")</f>
        <v> </v>
      </c>
    </row>
    <row r="248" customFormat="false" ht="12.75" hidden="false" customHeight="false" outlineLevel="0" collapsed="false">
      <c r="A248" s="355"/>
      <c r="E248" s="365" t="str">
        <f aca="false">IF((G248&lt;&gt;0),"Enter Letter"," ")</f>
        <v> </v>
      </c>
      <c r="J248" s="334" t="str">
        <f aca="false">IF((E248="s"),G248," ")</f>
        <v> </v>
      </c>
      <c r="K248" s="334" t="str">
        <f aca="false">IF((E248="d"),G248," ")</f>
        <v> </v>
      </c>
      <c r="L248" s="334" t="str">
        <f aca="false">IF((E248="e"),G248," ")</f>
        <v> </v>
      </c>
      <c r="M248" s="334" t="str">
        <f aca="false">IF((E248="p"),G248," ")</f>
        <v> </v>
      </c>
      <c r="N248" s="334" t="str">
        <f aca="false">IF((E248="r"),G248," ")</f>
        <v> </v>
      </c>
      <c r="O248" s="334" t="str">
        <f aca="false">IF((E248="g"),G248," ")</f>
        <v> </v>
      </c>
      <c r="P248" s="334" t="str">
        <f aca="false">IF((E248="m"),G248," ")</f>
        <v> </v>
      </c>
      <c r="Q248" s="334" t="str">
        <f aca="false">IF((E248="t"),G248," ")</f>
        <v> </v>
      </c>
      <c r="R248" s="334" t="str">
        <f aca="false">IF((E248="a"),G248," ")</f>
        <v> </v>
      </c>
      <c r="S248" s="334" t="str">
        <f aca="false">IF((E248="l"),G248," ")</f>
        <v> </v>
      </c>
      <c r="T248" s="334" t="str">
        <f aca="false">IF((E248="b"),G248," ")</f>
        <v> </v>
      </c>
      <c r="U248" s="334" t="str">
        <f aca="false">IF((E248="i"),G248," ")</f>
        <v> </v>
      </c>
      <c r="V248" s="334" t="str">
        <f aca="false">IF((E248="o"),G248," ")</f>
        <v> </v>
      </c>
      <c r="W248" s="334" t="str">
        <f aca="false">IF((E248="f"),G248," ")</f>
        <v> </v>
      </c>
    </row>
    <row r="249" customFormat="false" ht="12.75" hidden="false" customHeight="false" outlineLevel="0" collapsed="false">
      <c r="A249" s="355"/>
      <c r="E249" s="365" t="str">
        <f aca="false">IF((G249&lt;&gt;0),"Enter Letter"," ")</f>
        <v> </v>
      </c>
      <c r="J249" s="334" t="str">
        <f aca="false">IF((E249="s"),G249," ")</f>
        <v> </v>
      </c>
      <c r="K249" s="334" t="str">
        <f aca="false">IF((E249="d"),G249," ")</f>
        <v> </v>
      </c>
      <c r="L249" s="334" t="str">
        <f aca="false">IF((E249="e"),G249," ")</f>
        <v> </v>
      </c>
      <c r="M249" s="334" t="str">
        <f aca="false">IF((E249="p"),G249," ")</f>
        <v> </v>
      </c>
      <c r="N249" s="334" t="str">
        <f aca="false">IF((E249="r"),G249," ")</f>
        <v> </v>
      </c>
      <c r="O249" s="334" t="str">
        <f aca="false">IF((E249="g"),G249," ")</f>
        <v> </v>
      </c>
      <c r="P249" s="334" t="str">
        <f aca="false">IF((E249="m"),G249," ")</f>
        <v> </v>
      </c>
      <c r="Q249" s="334" t="str">
        <f aca="false">IF((E249="t"),G249," ")</f>
        <v> </v>
      </c>
      <c r="R249" s="334" t="str">
        <f aca="false">IF((E249="a"),G249," ")</f>
        <v> </v>
      </c>
      <c r="S249" s="334" t="str">
        <f aca="false">IF((E249="l"),G249," ")</f>
        <v> </v>
      </c>
      <c r="T249" s="334" t="str">
        <f aca="false">IF((E249="b"),G249," ")</f>
        <v> </v>
      </c>
      <c r="U249" s="334" t="str">
        <f aca="false">IF((E249="i"),G249," ")</f>
        <v> </v>
      </c>
      <c r="V249" s="334" t="str">
        <f aca="false">IF((E249="o"),G249," ")</f>
        <v> </v>
      </c>
      <c r="W249" s="334" t="str">
        <f aca="false">IF((E249="f"),G249," ")</f>
        <v> </v>
      </c>
    </row>
    <row r="250" customFormat="false" ht="12.75" hidden="false" customHeight="false" outlineLevel="0" collapsed="false">
      <c r="A250" s="355"/>
      <c r="E250" s="365" t="str">
        <f aca="false">IF((G250&lt;&gt;0),"Enter Letter"," ")</f>
        <v> </v>
      </c>
      <c r="J250" s="334" t="str">
        <f aca="false">IF((E250="s"),G250," ")</f>
        <v> </v>
      </c>
      <c r="K250" s="334" t="str">
        <f aca="false">IF((E250="d"),G250," ")</f>
        <v> </v>
      </c>
      <c r="L250" s="334" t="str">
        <f aca="false">IF((E250="e"),G250," ")</f>
        <v> </v>
      </c>
      <c r="M250" s="334" t="str">
        <f aca="false">IF((E250="p"),G250," ")</f>
        <v> </v>
      </c>
      <c r="N250" s="334" t="str">
        <f aca="false">IF((E250="r"),G250," ")</f>
        <v> </v>
      </c>
      <c r="O250" s="334" t="str">
        <f aca="false">IF((E250="g"),G250," ")</f>
        <v> </v>
      </c>
      <c r="P250" s="334" t="str">
        <f aca="false">IF((E250="m"),G250," ")</f>
        <v> </v>
      </c>
      <c r="Q250" s="334" t="str">
        <f aca="false">IF((E250="t"),G250," ")</f>
        <v> </v>
      </c>
      <c r="R250" s="334" t="str">
        <f aca="false">IF((E250="a"),G250," ")</f>
        <v> </v>
      </c>
      <c r="S250" s="334" t="str">
        <f aca="false">IF((E250="l"),G250," ")</f>
        <v> </v>
      </c>
      <c r="T250" s="334" t="str">
        <f aca="false">IF((E250="b"),G250," ")</f>
        <v> </v>
      </c>
      <c r="U250" s="334" t="str">
        <f aca="false">IF((E250="i"),G250," ")</f>
        <v> </v>
      </c>
      <c r="V250" s="334" t="str">
        <f aca="false">IF((E250="o"),G250," ")</f>
        <v> </v>
      </c>
      <c r="W250" s="334" t="str">
        <f aca="false">IF((E250="f"),G250," ")</f>
        <v> </v>
      </c>
    </row>
    <row r="251" customFormat="false" ht="12.75" hidden="false" customHeight="false" outlineLevel="0" collapsed="false">
      <c r="A251" s="355"/>
      <c r="E251" s="365" t="str">
        <f aca="false">IF((G251&lt;&gt;0),"Enter Letter"," ")</f>
        <v> </v>
      </c>
      <c r="J251" s="334" t="str">
        <f aca="false">IF((E251="s"),G251," ")</f>
        <v> </v>
      </c>
      <c r="K251" s="334" t="str">
        <f aca="false">IF((E251="d"),G251," ")</f>
        <v> </v>
      </c>
      <c r="L251" s="334" t="str">
        <f aca="false">IF((E251="e"),G251," ")</f>
        <v> </v>
      </c>
      <c r="M251" s="334" t="str">
        <f aca="false">IF((E251="p"),G251," ")</f>
        <v> </v>
      </c>
      <c r="N251" s="334" t="str">
        <f aca="false">IF((E251="r"),G251," ")</f>
        <v> </v>
      </c>
      <c r="O251" s="334" t="str">
        <f aca="false">IF((E251="g"),G251," ")</f>
        <v> </v>
      </c>
      <c r="P251" s="334" t="str">
        <f aca="false">IF((E251="m"),G251," ")</f>
        <v> </v>
      </c>
      <c r="Q251" s="334" t="str">
        <f aca="false">IF((E251="t"),G251," ")</f>
        <v> </v>
      </c>
      <c r="R251" s="334" t="str">
        <f aca="false">IF((E251="a"),G251," ")</f>
        <v> </v>
      </c>
      <c r="S251" s="334" t="str">
        <f aca="false">IF((E251="l"),G251," ")</f>
        <v> </v>
      </c>
      <c r="T251" s="334" t="str">
        <f aca="false">IF((E251="b"),G251," ")</f>
        <v> </v>
      </c>
      <c r="U251" s="334" t="str">
        <f aca="false">IF((E251="i"),G251," ")</f>
        <v> </v>
      </c>
      <c r="V251" s="334" t="str">
        <f aca="false">IF((E251="o"),G251," ")</f>
        <v> </v>
      </c>
      <c r="W251" s="334" t="str">
        <f aca="false">IF((E251="f"),G251," ")</f>
        <v> </v>
      </c>
    </row>
    <row r="252" customFormat="false" ht="12.75" hidden="false" customHeight="false" outlineLevel="0" collapsed="false">
      <c r="A252" s="355"/>
      <c r="E252" s="365" t="str">
        <f aca="false">IF((G252&lt;&gt;0),"Enter Letter"," ")</f>
        <v> </v>
      </c>
      <c r="J252" s="334" t="str">
        <f aca="false">IF((E252="s"),G252," ")</f>
        <v> </v>
      </c>
      <c r="K252" s="334" t="str">
        <f aca="false">IF((E252="d"),G252," ")</f>
        <v> </v>
      </c>
      <c r="L252" s="334" t="str">
        <f aca="false">IF((E252="e"),G252," ")</f>
        <v> </v>
      </c>
      <c r="M252" s="334" t="str">
        <f aca="false">IF((E252="p"),G252," ")</f>
        <v> </v>
      </c>
      <c r="N252" s="334" t="str">
        <f aca="false">IF((E252="r"),G252," ")</f>
        <v> </v>
      </c>
      <c r="O252" s="334" t="str">
        <f aca="false">IF((E252="g"),G252," ")</f>
        <v> </v>
      </c>
      <c r="P252" s="334" t="str">
        <f aca="false">IF((E252="m"),G252," ")</f>
        <v> </v>
      </c>
      <c r="Q252" s="334" t="str">
        <f aca="false">IF((E252="t"),G252," ")</f>
        <v> </v>
      </c>
      <c r="R252" s="334" t="str">
        <f aca="false">IF((E252="a"),G252," ")</f>
        <v> </v>
      </c>
      <c r="S252" s="334" t="str">
        <f aca="false">IF((E252="l"),G252," ")</f>
        <v> </v>
      </c>
      <c r="T252" s="334" t="str">
        <f aca="false">IF((E252="b"),G252," ")</f>
        <v> </v>
      </c>
      <c r="U252" s="334" t="str">
        <f aca="false">IF((E252="i"),G252," ")</f>
        <v> </v>
      </c>
      <c r="V252" s="334" t="str">
        <f aca="false">IF((E252="o"),G252," ")</f>
        <v> </v>
      </c>
      <c r="W252" s="334" t="str">
        <f aca="false">IF((E252="f"),G252," ")</f>
        <v> </v>
      </c>
    </row>
    <row r="253" customFormat="false" ht="12.75" hidden="false" customHeight="false" outlineLevel="0" collapsed="false">
      <c r="A253" s="355"/>
      <c r="E253" s="365" t="str">
        <f aca="false">IF((G253&lt;&gt;0),"Enter Letter"," ")</f>
        <v> </v>
      </c>
      <c r="J253" s="334" t="str">
        <f aca="false">IF((E253="s"),G253," ")</f>
        <v> </v>
      </c>
      <c r="K253" s="334" t="str">
        <f aca="false">IF((E253="d"),G253," ")</f>
        <v> </v>
      </c>
      <c r="L253" s="334" t="str">
        <f aca="false">IF((E253="e"),G253," ")</f>
        <v> </v>
      </c>
      <c r="M253" s="334" t="str">
        <f aca="false">IF((E253="p"),G253," ")</f>
        <v> </v>
      </c>
      <c r="N253" s="334" t="str">
        <f aca="false">IF((E253="r"),G253," ")</f>
        <v> </v>
      </c>
      <c r="O253" s="334" t="str">
        <f aca="false">IF((E253="g"),G253," ")</f>
        <v> </v>
      </c>
      <c r="P253" s="334" t="str">
        <f aca="false">IF((E253="m"),G253," ")</f>
        <v> </v>
      </c>
      <c r="Q253" s="334" t="str">
        <f aca="false">IF((E253="t"),G253," ")</f>
        <v> </v>
      </c>
      <c r="R253" s="334" t="str">
        <f aca="false">IF((E253="a"),G253," ")</f>
        <v> </v>
      </c>
      <c r="S253" s="334" t="str">
        <f aca="false">IF((E253="l"),G253," ")</f>
        <v> </v>
      </c>
      <c r="T253" s="334" t="str">
        <f aca="false">IF((E253="b"),G253," ")</f>
        <v> </v>
      </c>
      <c r="U253" s="334" t="str">
        <f aca="false">IF((E253="i"),G253," ")</f>
        <v> </v>
      </c>
      <c r="V253" s="334" t="str">
        <f aca="false">IF((E253="o"),G253," ")</f>
        <v> </v>
      </c>
      <c r="W253" s="334" t="str">
        <f aca="false">IF((E253="f"),G253," ")</f>
        <v> </v>
      </c>
    </row>
    <row r="254" customFormat="false" ht="12.75" hidden="false" customHeight="false" outlineLevel="0" collapsed="false">
      <c r="A254" s="355"/>
      <c r="E254" s="365" t="str">
        <f aca="false">IF((G254&lt;&gt;0),"Enter Letter"," ")</f>
        <v> </v>
      </c>
      <c r="J254" s="334" t="str">
        <f aca="false">IF((E254="s"),G254," ")</f>
        <v> </v>
      </c>
      <c r="K254" s="334" t="str">
        <f aca="false">IF((E254="d"),G254," ")</f>
        <v> </v>
      </c>
      <c r="L254" s="334" t="str">
        <f aca="false">IF((E254="e"),G254," ")</f>
        <v> </v>
      </c>
      <c r="M254" s="334" t="str">
        <f aca="false">IF((E254="p"),G254," ")</f>
        <v> </v>
      </c>
      <c r="N254" s="334" t="str">
        <f aca="false">IF((E254="r"),G254," ")</f>
        <v> </v>
      </c>
      <c r="O254" s="334" t="str">
        <f aca="false">IF((E254="g"),G254," ")</f>
        <v> </v>
      </c>
      <c r="P254" s="334" t="str">
        <f aca="false">IF((E254="m"),G254," ")</f>
        <v> </v>
      </c>
      <c r="Q254" s="334" t="str">
        <f aca="false">IF((E254="t"),G254," ")</f>
        <v> </v>
      </c>
      <c r="R254" s="334" t="str">
        <f aca="false">IF((E254="a"),G254," ")</f>
        <v> </v>
      </c>
      <c r="S254" s="334" t="str">
        <f aca="false">IF((E254="l"),G254," ")</f>
        <v> </v>
      </c>
      <c r="T254" s="334" t="str">
        <f aca="false">IF((E254="b"),G254," ")</f>
        <v> </v>
      </c>
      <c r="U254" s="334" t="str">
        <f aca="false">IF((E254="i"),G254," ")</f>
        <v> </v>
      </c>
      <c r="V254" s="334" t="str">
        <f aca="false">IF((E254="o"),G254," ")</f>
        <v> </v>
      </c>
      <c r="W254" s="334" t="str">
        <f aca="false">IF((E254="f"),G254," ")</f>
        <v> </v>
      </c>
    </row>
    <row r="255" customFormat="false" ht="12.75" hidden="false" customHeight="false" outlineLevel="0" collapsed="false">
      <c r="A255" s="355"/>
      <c r="E255" s="365" t="str">
        <f aca="false">IF((G255&lt;&gt;0),"Enter Letter"," ")</f>
        <v> </v>
      </c>
      <c r="J255" s="334" t="str">
        <f aca="false">IF((E255="s"),G255," ")</f>
        <v> </v>
      </c>
      <c r="K255" s="334" t="str">
        <f aca="false">IF((E255="d"),G255," ")</f>
        <v> </v>
      </c>
      <c r="L255" s="334" t="str">
        <f aca="false">IF((E255="e"),G255," ")</f>
        <v> </v>
      </c>
      <c r="M255" s="334" t="str">
        <f aca="false">IF((E255="p"),G255," ")</f>
        <v> </v>
      </c>
      <c r="N255" s="334" t="str">
        <f aca="false">IF((E255="r"),G255," ")</f>
        <v> </v>
      </c>
      <c r="O255" s="334" t="str">
        <f aca="false">IF((E255="g"),G255," ")</f>
        <v> </v>
      </c>
      <c r="P255" s="334" t="str">
        <f aca="false">IF((E255="m"),G255," ")</f>
        <v> </v>
      </c>
      <c r="Q255" s="334" t="str">
        <f aca="false">IF((E255="t"),G255," ")</f>
        <v> </v>
      </c>
      <c r="R255" s="334" t="str">
        <f aca="false">IF((E255="a"),G255," ")</f>
        <v> </v>
      </c>
      <c r="S255" s="334" t="str">
        <f aca="false">IF((E255="l"),G255," ")</f>
        <v> </v>
      </c>
      <c r="T255" s="334" t="str">
        <f aca="false">IF((E255="b"),G255," ")</f>
        <v> </v>
      </c>
      <c r="U255" s="334" t="str">
        <f aca="false">IF((E255="i"),G255," ")</f>
        <v> </v>
      </c>
      <c r="V255" s="334" t="str">
        <f aca="false">IF((E255="o"),G255," ")</f>
        <v> </v>
      </c>
      <c r="W255" s="334" t="str">
        <f aca="false">IF((E255="f"),G255," ")</f>
        <v> </v>
      </c>
    </row>
    <row r="256" customFormat="false" ht="12.75" hidden="false" customHeight="false" outlineLevel="0" collapsed="false">
      <c r="A256" s="355"/>
      <c r="E256" s="365" t="str">
        <f aca="false">IF((G256&lt;&gt;0),"Enter Letter"," ")</f>
        <v> </v>
      </c>
      <c r="J256" s="334" t="str">
        <f aca="false">IF((E256="s"),G256," ")</f>
        <v> </v>
      </c>
      <c r="K256" s="334" t="str">
        <f aca="false">IF((E256="d"),G256," ")</f>
        <v> </v>
      </c>
      <c r="L256" s="334" t="str">
        <f aca="false">IF((E256="e"),G256," ")</f>
        <v> </v>
      </c>
      <c r="M256" s="334" t="str">
        <f aca="false">IF((E256="p"),G256," ")</f>
        <v> </v>
      </c>
      <c r="N256" s="334" t="str">
        <f aca="false">IF((E256="r"),G256," ")</f>
        <v> </v>
      </c>
      <c r="O256" s="334" t="str">
        <f aca="false">IF((E256="g"),G256," ")</f>
        <v> </v>
      </c>
      <c r="P256" s="334" t="str">
        <f aca="false">IF((E256="m"),G256," ")</f>
        <v> </v>
      </c>
      <c r="Q256" s="334" t="str">
        <f aca="false">IF((E256="t"),G256," ")</f>
        <v> </v>
      </c>
      <c r="R256" s="334" t="str">
        <f aca="false">IF((E256="a"),G256," ")</f>
        <v> </v>
      </c>
      <c r="S256" s="334" t="str">
        <f aca="false">IF((E256="l"),G256," ")</f>
        <v> </v>
      </c>
      <c r="T256" s="334" t="str">
        <f aca="false">IF((E256="b"),G256," ")</f>
        <v> </v>
      </c>
      <c r="U256" s="334" t="str">
        <f aca="false">IF((E256="i"),G256," ")</f>
        <v> </v>
      </c>
      <c r="V256" s="334" t="str">
        <f aca="false">IF((E256="o"),G256," ")</f>
        <v> </v>
      </c>
      <c r="W256" s="334" t="str">
        <f aca="false">IF((E256="f"),G256," ")</f>
        <v> </v>
      </c>
    </row>
    <row r="257" customFormat="false" ht="12.75" hidden="false" customHeight="false" outlineLevel="0" collapsed="false">
      <c r="A257" s="355"/>
      <c r="E257" s="365" t="str">
        <f aca="false">IF((G257&lt;&gt;0),"Enter Letter"," ")</f>
        <v> </v>
      </c>
      <c r="J257" s="334" t="str">
        <f aca="false">IF((E257="s"),G257," ")</f>
        <v> </v>
      </c>
      <c r="K257" s="334" t="str">
        <f aca="false">IF((E257="d"),G257," ")</f>
        <v> </v>
      </c>
      <c r="L257" s="334" t="str">
        <f aca="false">IF((E257="e"),G257," ")</f>
        <v> </v>
      </c>
      <c r="M257" s="334" t="str">
        <f aca="false">IF((E257="p"),G257," ")</f>
        <v> </v>
      </c>
      <c r="N257" s="334" t="str">
        <f aca="false">IF((E257="r"),G257," ")</f>
        <v> </v>
      </c>
      <c r="O257" s="334" t="str">
        <f aca="false">IF((E257="g"),G257," ")</f>
        <v> </v>
      </c>
      <c r="P257" s="334" t="str">
        <f aca="false">IF((E257="m"),G257," ")</f>
        <v> </v>
      </c>
      <c r="Q257" s="334" t="str">
        <f aca="false">IF((E257="t"),G257," ")</f>
        <v> </v>
      </c>
      <c r="R257" s="334" t="str">
        <f aca="false">IF((E257="a"),G257," ")</f>
        <v> </v>
      </c>
      <c r="S257" s="334" t="str">
        <f aca="false">IF((E257="l"),G257," ")</f>
        <v> </v>
      </c>
      <c r="T257" s="334" t="str">
        <f aca="false">IF((E257="b"),G257," ")</f>
        <v> </v>
      </c>
      <c r="U257" s="334" t="str">
        <f aca="false">IF((E257="i"),G257," ")</f>
        <v> </v>
      </c>
      <c r="V257" s="334" t="str">
        <f aca="false">IF((E257="o"),G257," ")</f>
        <v> </v>
      </c>
      <c r="W257" s="334" t="str">
        <f aca="false">IF((E257="f"),G257," ")</f>
        <v> </v>
      </c>
    </row>
    <row r="258" customFormat="false" ht="12.75" hidden="false" customHeight="false" outlineLevel="0" collapsed="false">
      <c r="A258" s="355"/>
      <c r="E258" s="365" t="str">
        <f aca="false">IF((G258&lt;&gt;0),"Enter Letter"," ")</f>
        <v> </v>
      </c>
      <c r="J258" s="334" t="str">
        <f aca="false">IF((E258="s"),G258," ")</f>
        <v> </v>
      </c>
      <c r="K258" s="334" t="str">
        <f aca="false">IF((E258="d"),G258," ")</f>
        <v> </v>
      </c>
      <c r="L258" s="334" t="str">
        <f aca="false">IF((E258="e"),G258," ")</f>
        <v> </v>
      </c>
      <c r="M258" s="334" t="str">
        <f aca="false">IF((E258="p"),G258," ")</f>
        <v> </v>
      </c>
      <c r="N258" s="334" t="str">
        <f aca="false">IF((E258="r"),G258," ")</f>
        <v> </v>
      </c>
      <c r="O258" s="334" t="str">
        <f aca="false">IF((E258="g"),G258," ")</f>
        <v> </v>
      </c>
      <c r="P258" s="334" t="str">
        <f aca="false">IF((E258="m"),G258," ")</f>
        <v> </v>
      </c>
      <c r="Q258" s="334" t="str">
        <f aca="false">IF((E258="t"),G258," ")</f>
        <v> </v>
      </c>
      <c r="R258" s="334" t="str">
        <f aca="false">IF((E258="a"),G258," ")</f>
        <v> </v>
      </c>
      <c r="S258" s="334" t="str">
        <f aca="false">IF((E258="l"),G258," ")</f>
        <v> </v>
      </c>
      <c r="T258" s="334" t="str">
        <f aca="false">IF((E258="b"),G258," ")</f>
        <v> </v>
      </c>
      <c r="U258" s="334" t="str">
        <f aca="false">IF((E258="i"),G258," ")</f>
        <v> </v>
      </c>
      <c r="V258" s="334" t="str">
        <f aca="false">IF((E258="o"),G258," ")</f>
        <v> </v>
      </c>
      <c r="W258" s="334" t="str">
        <f aca="false">IF((E258="f"),G258," ")</f>
        <v> </v>
      </c>
    </row>
    <row r="259" customFormat="false" ht="12.75" hidden="false" customHeight="false" outlineLevel="0" collapsed="false">
      <c r="A259" s="355"/>
      <c r="E259" s="365" t="str">
        <f aca="false">IF((G259&lt;&gt;0),"Enter Letter"," ")</f>
        <v> </v>
      </c>
      <c r="J259" s="334" t="str">
        <f aca="false">IF((E259="s"),G259," ")</f>
        <v> </v>
      </c>
      <c r="K259" s="334" t="str">
        <f aca="false">IF((E259="d"),G259," ")</f>
        <v> </v>
      </c>
      <c r="L259" s="334" t="str">
        <f aca="false">IF((E259="e"),G259," ")</f>
        <v> </v>
      </c>
      <c r="M259" s="334" t="str">
        <f aca="false">IF((E259="p"),G259," ")</f>
        <v> </v>
      </c>
      <c r="N259" s="334" t="str">
        <f aca="false">IF((E259="r"),G259," ")</f>
        <v> </v>
      </c>
      <c r="O259" s="334" t="str">
        <f aca="false">IF((E259="g"),G259," ")</f>
        <v> </v>
      </c>
      <c r="P259" s="334" t="str">
        <f aca="false">IF((E259="m"),G259," ")</f>
        <v> </v>
      </c>
      <c r="Q259" s="334" t="str">
        <f aca="false">IF((E259="t"),G259," ")</f>
        <v> </v>
      </c>
      <c r="R259" s="334" t="str">
        <f aca="false">IF((E259="a"),G259," ")</f>
        <v> </v>
      </c>
      <c r="S259" s="334" t="str">
        <f aca="false">IF((E259="l"),G259," ")</f>
        <v> </v>
      </c>
      <c r="T259" s="334" t="str">
        <f aca="false">IF((E259="b"),G259," ")</f>
        <v> </v>
      </c>
      <c r="U259" s="334" t="str">
        <f aca="false">IF((E259="i"),G259," ")</f>
        <v> </v>
      </c>
      <c r="V259" s="334" t="str">
        <f aca="false">IF((E259="o"),G259," ")</f>
        <v> </v>
      </c>
      <c r="W259" s="334" t="str">
        <f aca="false">IF((E259="f"),G259," ")</f>
        <v> </v>
      </c>
    </row>
    <row r="260" customFormat="false" ht="12.75" hidden="false" customHeight="false" outlineLevel="0" collapsed="false">
      <c r="A260" s="355"/>
      <c r="E260" s="365" t="str">
        <f aca="false">IF((G260&lt;&gt;0),"Enter Letter"," ")</f>
        <v> </v>
      </c>
      <c r="J260" s="334" t="str">
        <f aca="false">IF((E260="s"),G260," ")</f>
        <v> </v>
      </c>
      <c r="K260" s="334" t="str">
        <f aca="false">IF((E260="d"),G260," ")</f>
        <v> </v>
      </c>
      <c r="L260" s="334" t="str">
        <f aca="false">IF((E260="e"),G260," ")</f>
        <v> </v>
      </c>
      <c r="M260" s="334" t="str">
        <f aca="false">IF((E260="p"),G260," ")</f>
        <v> </v>
      </c>
      <c r="N260" s="334" t="str">
        <f aca="false">IF((E260="r"),G260," ")</f>
        <v> </v>
      </c>
      <c r="O260" s="334" t="str">
        <f aca="false">IF((E260="g"),G260," ")</f>
        <v> </v>
      </c>
      <c r="P260" s="334" t="str">
        <f aca="false">IF((E260="m"),G260," ")</f>
        <v> </v>
      </c>
      <c r="Q260" s="334" t="str">
        <f aca="false">IF((E260="t"),G260," ")</f>
        <v> </v>
      </c>
      <c r="R260" s="334" t="str">
        <f aca="false">IF((E260="a"),G260," ")</f>
        <v> </v>
      </c>
      <c r="S260" s="334" t="str">
        <f aca="false">IF((E260="l"),G260," ")</f>
        <v> </v>
      </c>
      <c r="T260" s="334" t="str">
        <f aca="false">IF((E260="b"),G260," ")</f>
        <v> </v>
      </c>
      <c r="U260" s="334" t="str">
        <f aca="false">IF((E260="i"),G260," ")</f>
        <v> </v>
      </c>
      <c r="V260" s="334" t="str">
        <f aca="false">IF((E260="o"),G260," ")</f>
        <v> </v>
      </c>
      <c r="W260" s="334" t="str">
        <f aca="false">IF((E260="f"),G260," ")</f>
        <v> </v>
      </c>
    </row>
    <row r="261" customFormat="false" ht="12.75" hidden="false" customHeight="false" outlineLevel="0" collapsed="false">
      <c r="A261" s="355"/>
      <c r="E261" s="365" t="str">
        <f aca="false">IF((G261&lt;&gt;0),"Enter Letter"," ")</f>
        <v> </v>
      </c>
      <c r="J261" s="334" t="str">
        <f aca="false">IF((E261="s"),G261," ")</f>
        <v> </v>
      </c>
      <c r="K261" s="334" t="str">
        <f aca="false">IF((E261="d"),G261," ")</f>
        <v> </v>
      </c>
      <c r="L261" s="334" t="str">
        <f aca="false">IF((E261="e"),G261," ")</f>
        <v> </v>
      </c>
      <c r="M261" s="334" t="str">
        <f aca="false">IF((E261="p"),G261," ")</f>
        <v> </v>
      </c>
      <c r="N261" s="334" t="str">
        <f aca="false">IF((E261="r"),G261," ")</f>
        <v> </v>
      </c>
      <c r="O261" s="334" t="str">
        <f aca="false">IF((E261="g"),G261," ")</f>
        <v> </v>
      </c>
      <c r="P261" s="334" t="str">
        <f aca="false">IF((E261="m"),G261," ")</f>
        <v> </v>
      </c>
      <c r="Q261" s="334" t="str">
        <f aca="false">IF((E261="t"),G261," ")</f>
        <v> </v>
      </c>
      <c r="R261" s="334" t="str">
        <f aca="false">IF((E261="a"),G261," ")</f>
        <v> </v>
      </c>
      <c r="S261" s="334" t="str">
        <f aca="false">IF((E261="l"),G261," ")</f>
        <v> </v>
      </c>
      <c r="T261" s="334" t="str">
        <f aca="false">IF((E261="b"),G261," ")</f>
        <v> </v>
      </c>
      <c r="U261" s="334" t="str">
        <f aca="false">IF((E261="i"),G261," ")</f>
        <v> </v>
      </c>
      <c r="V261" s="334" t="str">
        <f aca="false">IF((E261="o"),G261," ")</f>
        <v> </v>
      </c>
      <c r="W261" s="334" t="str">
        <f aca="false">IF((E261="f"),G261," ")</f>
        <v> </v>
      </c>
    </row>
    <row r="262" customFormat="false" ht="12.75" hidden="false" customHeight="false" outlineLevel="0" collapsed="false">
      <c r="A262" s="355"/>
      <c r="E262" s="365" t="str">
        <f aca="false">IF((G262&lt;&gt;0),"Enter Letter"," ")</f>
        <v> </v>
      </c>
      <c r="J262" s="334" t="str">
        <f aca="false">IF((E262="s"),G262," ")</f>
        <v> </v>
      </c>
      <c r="K262" s="334" t="str">
        <f aca="false">IF((E262="d"),G262," ")</f>
        <v> </v>
      </c>
      <c r="L262" s="334" t="str">
        <f aca="false">IF((E262="e"),G262," ")</f>
        <v> </v>
      </c>
      <c r="M262" s="334" t="str">
        <f aca="false">IF((E262="p"),G262," ")</f>
        <v> </v>
      </c>
      <c r="N262" s="334" t="str">
        <f aca="false">IF((E262="r"),G262," ")</f>
        <v> </v>
      </c>
      <c r="O262" s="334" t="str">
        <f aca="false">IF((E262="g"),G262," ")</f>
        <v> </v>
      </c>
      <c r="P262" s="334" t="str">
        <f aca="false">IF((E262="m"),G262," ")</f>
        <v> </v>
      </c>
      <c r="Q262" s="334" t="str">
        <f aca="false">IF((E262="t"),G262," ")</f>
        <v> </v>
      </c>
      <c r="R262" s="334" t="str">
        <f aca="false">IF((E262="a"),G262," ")</f>
        <v> </v>
      </c>
      <c r="S262" s="334" t="str">
        <f aca="false">IF((E262="l"),G262," ")</f>
        <v> </v>
      </c>
      <c r="T262" s="334" t="str">
        <f aca="false">IF((E262="b"),G262," ")</f>
        <v> </v>
      </c>
      <c r="U262" s="334" t="str">
        <f aca="false">IF((E262="i"),G262," ")</f>
        <v> </v>
      </c>
      <c r="V262" s="334" t="str">
        <f aca="false">IF((E262="o"),G262," ")</f>
        <v> </v>
      </c>
      <c r="W262" s="334" t="str">
        <f aca="false">IF((E262="f"),G262," ")</f>
        <v> </v>
      </c>
    </row>
    <row r="263" customFormat="false" ht="12.75" hidden="false" customHeight="false" outlineLevel="0" collapsed="false">
      <c r="A263" s="355"/>
      <c r="E263" s="365" t="str">
        <f aca="false">IF((G263&lt;&gt;0),"Enter Letter"," ")</f>
        <v> </v>
      </c>
      <c r="J263" s="334" t="str">
        <f aca="false">IF((E263="s"),G263," ")</f>
        <v> </v>
      </c>
      <c r="K263" s="334" t="str">
        <f aca="false">IF((E263="d"),G263," ")</f>
        <v> </v>
      </c>
      <c r="L263" s="334" t="str">
        <f aca="false">IF((E263="e"),G263," ")</f>
        <v> </v>
      </c>
      <c r="M263" s="334" t="str">
        <f aca="false">IF((E263="p"),G263," ")</f>
        <v> </v>
      </c>
      <c r="N263" s="334" t="str">
        <f aca="false">IF((E263="r"),G263," ")</f>
        <v> </v>
      </c>
      <c r="O263" s="334" t="str">
        <f aca="false">IF((E263="g"),G263," ")</f>
        <v> </v>
      </c>
      <c r="P263" s="334" t="str">
        <f aca="false">IF((E263="m"),G263," ")</f>
        <v> </v>
      </c>
      <c r="Q263" s="334" t="str">
        <f aca="false">IF((E263="t"),G263," ")</f>
        <v> </v>
      </c>
      <c r="R263" s="334" t="str">
        <f aca="false">IF((E263="a"),G263," ")</f>
        <v> </v>
      </c>
      <c r="S263" s="334" t="str">
        <f aca="false">IF((E263="l"),G263," ")</f>
        <v> </v>
      </c>
      <c r="T263" s="334" t="str">
        <f aca="false">IF((E263="b"),G263," ")</f>
        <v> </v>
      </c>
      <c r="U263" s="334" t="str">
        <f aca="false">IF((E263="i"),G263," ")</f>
        <v> </v>
      </c>
      <c r="V263" s="334" t="str">
        <f aca="false">IF((E263="o"),G263," ")</f>
        <v> </v>
      </c>
      <c r="W263" s="334" t="str">
        <f aca="false">IF((E263="f"),G263," ")</f>
        <v> </v>
      </c>
    </row>
    <row r="264" customFormat="false" ht="12.75" hidden="false" customHeight="false" outlineLevel="0" collapsed="false">
      <c r="A264" s="355"/>
      <c r="E264" s="365" t="str">
        <f aca="false">IF((G264&lt;&gt;0),"Enter Letter"," ")</f>
        <v> </v>
      </c>
      <c r="J264" s="334" t="str">
        <f aca="false">IF((E264="s"),G264," ")</f>
        <v> </v>
      </c>
      <c r="K264" s="334" t="str">
        <f aca="false">IF((E264="d"),G264," ")</f>
        <v> </v>
      </c>
      <c r="L264" s="334" t="str">
        <f aca="false">IF((E264="e"),G264," ")</f>
        <v> </v>
      </c>
      <c r="M264" s="334" t="str">
        <f aca="false">IF((E264="p"),G264," ")</f>
        <v> </v>
      </c>
      <c r="N264" s="334" t="str">
        <f aca="false">IF((E264="r"),G264," ")</f>
        <v> </v>
      </c>
      <c r="O264" s="334" t="str">
        <f aca="false">IF((E264="g"),G264," ")</f>
        <v> </v>
      </c>
      <c r="P264" s="334" t="str">
        <f aca="false">IF((E264="m"),G264," ")</f>
        <v> </v>
      </c>
      <c r="Q264" s="334" t="str">
        <f aca="false">IF((E264="t"),G264," ")</f>
        <v> </v>
      </c>
      <c r="R264" s="334" t="str">
        <f aca="false">IF((E264="a"),G264," ")</f>
        <v> </v>
      </c>
      <c r="S264" s="334" t="str">
        <f aca="false">IF((E264="l"),G264," ")</f>
        <v> </v>
      </c>
      <c r="T264" s="334" t="str">
        <f aca="false">IF((E264="b"),G264," ")</f>
        <v> </v>
      </c>
      <c r="U264" s="334" t="str">
        <f aca="false">IF((E264="i"),G264," ")</f>
        <v> </v>
      </c>
      <c r="V264" s="334" t="str">
        <f aca="false">IF((E264="o"),G264," ")</f>
        <v> </v>
      </c>
      <c r="W264" s="334" t="str">
        <f aca="false">IF((E264="f"),G264," ")</f>
        <v> </v>
      </c>
    </row>
    <row r="265" customFormat="false" ht="12.75" hidden="false" customHeight="false" outlineLevel="0" collapsed="false">
      <c r="A265" s="355"/>
      <c r="E265" s="365" t="str">
        <f aca="false">IF((G265&lt;&gt;0),"Enter Letter"," ")</f>
        <v> </v>
      </c>
      <c r="J265" s="334" t="str">
        <f aca="false">IF((E265="s"),G265," ")</f>
        <v> </v>
      </c>
      <c r="K265" s="334" t="str">
        <f aca="false">IF((E265="d"),G265," ")</f>
        <v> </v>
      </c>
      <c r="L265" s="334" t="str">
        <f aca="false">IF((E265="e"),G265," ")</f>
        <v> </v>
      </c>
      <c r="M265" s="334" t="str">
        <f aca="false">IF((E265="p"),G265," ")</f>
        <v> </v>
      </c>
      <c r="N265" s="334" t="str">
        <f aca="false">IF((E265="r"),G265," ")</f>
        <v> </v>
      </c>
      <c r="O265" s="334" t="str">
        <f aca="false">IF((E265="g"),G265," ")</f>
        <v> </v>
      </c>
      <c r="P265" s="334" t="str">
        <f aca="false">IF((E265="m"),G265," ")</f>
        <v> </v>
      </c>
      <c r="Q265" s="334" t="str">
        <f aca="false">IF((E265="t"),G265," ")</f>
        <v> </v>
      </c>
      <c r="R265" s="334" t="str">
        <f aca="false">IF((E265="a"),G265," ")</f>
        <v> </v>
      </c>
      <c r="S265" s="334" t="str">
        <f aca="false">IF((E265="l"),G265," ")</f>
        <v> </v>
      </c>
      <c r="T265" s="334" t="str">
        <f aca="false">IF((E265="b"),G265," ")</f>
        <v> </v>
      </c>
      <c r="U265" s="334" t="str">
        <f aca="false">IF((E265="i"),G265," ")</f>
        <v> </v>
      </c>
      <c r="V265" s="334" t="str">
        <f aca="false">IF((E265="o"),G265," ")</f>
        <v> </v>
      </c>
      <c r="W265" s="334" t="str">
        <f aca="false">IF((E265="f"),G265," ")</f>
        <v> </v>
      </c>
    </row>
    <row r="266" customFormat="false" ht="12.75" hidden="false" customHeight="false" outlineLevel="0" collapsed="false">
      <c r="A266" s="355"/>
      <c r="E266" s="365" t="str">
        <f aca="false">IF((G266&lt;&gt;0),"Enter Letter"," ")</f>
        <v> </v>
      </c>
      <c r="J266" s="334" t="str">
        <f aca="false">IF((E266="s"),G266," ")</f>
        <v> </v>
      </c>
      <c r="K266" s="334" t="str">
        <f aca="false">IF((E266="d"),G266," ")</f>
        <v> </v>
      </c>
      <c r="L266" s="334" t="str">
        <f aca="false">IF((E266="e"),G266," ")</f>
        <v> </v>
      </c>
      <c r="M266" s="334" t="str">
        <f aca="false">IF((E266="p"),G266," ")</f>
        <v> </v>
      </c>
      <c r="N266" s="334" t="str">
        <f aca="false">IF((E266="r"),G266," ")</f>
        <v> </v>
      </c>
      <c r="O266" s="334" t="str">
        <f aca="false">IF((E266="g"),G266," ")</f>
        <v> </v>
      </c>
      <c r="P266" s="334" t="str">
        <f aca="false">IF((E266="m"),G266," ")</f>
        <v> </v>
      </c>
      <c r="Q266" s="334" t="str">
        <f aca="false">IF((E266="t"),G266," ")</f>
        <v> </v>
      </c>
      <c r="R266" s="334" t="str">
        <f aca="false">IF((E266="a"),G266," ")</f>
        <v> </v>
      </c>
      <c r="S266" s="334" t="str">
        <f aca="false">IF((E266="l"),G266," ")</f>
        <v> </v>
      </c>
      <c r="T266" s="334" t="str">
        <f aca="false">IF((E266="b"),G266," ")</f>
        <v> </v>
      </c>
      <c r="U266" s="334" t="str">
        <f aca="false">IF((E266="i"),G266," ")</f>
        <v> </v>
      </c>
      <c r="V266" s="334" t="str">
        <f aca="false">IF((E266="o"),G266," ")</f>
        <v> </v>
      </c>
      <c r="W266" s="334" t="str">
        <f aca="false">IF((E266="f"),G266," ")</f>
        <v> </v>
      </c>
    </row>
    <row r="267" customFormat="false" ht="12.75" hidden="false" customHeight="false" outlineLevel="0" collapsed="false">
      <c r="A267" s="355"/>
      <c r="E267" s="365" t="str">
        <f aca="false">IF((G267&lt;&gt;0),"Enter Letter"," ")</f>
        <v> </v>
      </c>
      <c r="J267" s="334" t="str">
        <f aca="false">IF((E267="s"),G267," ")</f>
        <v> </v>
      </c>
      <c r="K267" s="334" t="str">
        <f aca="false">IF((E267="d"),G267," ")</f>
        <v> </v>
      </c>
      <c r="L267" s="334" t="str">
        <f aca="false">IF((E267="e"),G267," ")</f>
        <v> </v>
      </c>
      <c r="M267" s="334" t="str">
        <f aca="false">IF((E267="p"),G267," ")</f>
        <v> </v>
      </c>
      <c r="N267" s="334" t="str">
        <f aca="false">IF((E267="r"),G267," ")</f>
        <v> </v>
      </c>
      <c r="O267" s="334" t="str">
        <f aca="false">IF((E267="g"),G267," ")</f>
        <v> </v>
      </c>
      <c r="P267" s="334" t="str">
        <f aca="false">IF((E267="m"),G267," ")</f>
        <v> </v>
      </c>
      <c r="Q267" s="334" t="str">
        <f aca="false">IF((E267="t"),G267," ")</f>
        <v> </v>
      </c>
      <c r="R267" s="334" t="str">
        <f aca="false">IF((E267="a"),G267," ")</f>
        <v> </v>
      </c>
      <c r="S267" s="334" t="str">
        <f aca="false">IF((E267="l"),G267," ")</f>
        <v> </v>
      </c>
      <c r="T267" s="334" t="str">
        <f aca="false">IF((E267="b"),G267," ")</f>
        <v> </v>
      </c>
      <c r="U267" s="334" t="str">
        <f aca="false">IF((E267="i"),G267," ")</f>
        <v> </v>
      </c>
      <c r="V267" s="334" t="str">
        <f aca="false">IF((E267="o"),G267," ")</f>
        <v> </v>
      </c>
      <c r="W267" s="334" t="str">
        <f aca="false">IF((E267="f"),G267," ")</f>
        <v> </v>
      </c>
    </row>
    <row r="268" customFormat="false" ht="12.75" hidden="false" customHeight="false" outlineLevel="0" collapsed="false">
      <c r="A268" s="355"/>
      <c r="E268" s="365" t="str">
        <f aca="false">IF((G268&lt;&gt;0),"Enter Letter"," ")</f>
        <v> </v>
      </c>
      <c r="J268" s="334" t="str">
        <f aca="false">IF((E268="s"),G268," ")</f>
        <v> </v>
      </c>
      <c r="K268" s="334" t="str">
        <f aca="false">IF((E268="d"),G268," ")</f>
        <v> </v>
      </c>
      <c r="L268" s="334" t="str">
        <f aca="false">IF((E268="e"),G268," ")</f>
        <v> </v>
      </c>
      <c r="M268" s="334" t="str">
        <f aca="false">IF((E268="p"),G268," ")</f>
        <v> </v>
      </c>
      <c r="N268" s="334" t="str">
        <f aca="false">IF((E268="r"),G268," ")</f>
        <v> </v>
      </c>
      <c r="O268" s="334" t="str">
        <f aca="false">IF((E268="g"),G268," ")</f>
        <v> </v>
      </c>
      <c r="P268" s="334" t="str">
        <f aca="false">IF((E268="m"),G268," ")</f>
        <v> </v>
      </c>
      <c r="Q268" s="334" t="str">
        <f aca="false">IF((E268="t"),G268," ")</f>
        <v> </v>
      </c>
      <c r="R268" s="334" t="str">
        <f aca="false">IF((E268="a"),G268," ")</f>
        <v> </v>
      </c>
      <c r="S268" s="334" t="str">
        <f aca="false">IF((E268="l"),G268," ")</f>
        <v> </v>
      </c>
      <c r="T268" s="334" t="str">
        <f aca="false">IF((E268="b"),G268," ")</f>
        <v> </v>
      </c>
      <c r="U268" s="334" t="str">
        <f aca="false">IF((E268="i"),G268," ")</f>
        <v> </v>
      </c>
      <c r="V268" s="334" t="str">
        <f aca="false">IF((E268="o"),G268," ")</f>
        <v> </v>
      </c>
      <c r="W268" s="334" t="str">
        <f aca="false">IF((E268="f"),G268," ")</f>
        <v> </v>
      </c>
    </row>
    <row r="269" customFormat="false" ht="12.75" hidden="false" customHeight="false" outlineLevel="0" collapsed="false">
      <c r="A269" s="355"/>
      <c r="E269" s="365" t="str">
        <f aca="false">IF((G269&lt;&gt;0),"Enter Letter"," ")</f>
        <v> </v>
      </c>
      <c r="J269" s="334" t="str">
        <f aca="false">IF((E269="s"),G269," ")</f>
        <v> </v>
      </c>
      <c r="K269" s="334" t="str">
        <f aca="false">IF((E269="d"),G269," ")</f>
        <v> </v>
      </c>
      <c r="L269" s="334" t="str">
        <f aca="false">IF((E269="e"),G269," ")</f>
        <v> </v>
      </c>
      <c r="M269" s="334" t="str">
        <f aca="false">IF((E269="p"),G269," ")</f>
        <v> </v>
      </c>
      <c r="N269" s="334" t="str">
        <f aca="false">IF((E269="r"),G269," ")</f>
        <v> </v>
      </c>
      <c r="O269" s="334" t="str">
        <f aca="false">IF((E269="g"),G269," ")</f>
        <v> </v>
      </c>
      <c r="P269" s="334" t="str">
        <f aca="false">IF((E269="m"),G269," ")</f>
        <v> </v>
      </c>
      <c r="Q269" s="334" t="str">
        <f aca="false">IF((E269="t"),G269," ")</f>
        <v> </v>
      </c>
      <c r="R269" s="334" t="str">
        <f aca="false">IF((E269="a"),G269," ")</f>
        <v> </v>
      </c>
      <c r="S269" s="334" t="str">
        <f aca="false">IF((E269="l"),G269," ")</f>
        <v> </v>
      </c>
      <c r="T269" s="334" t="str">
        <f aca="false">IF((E269="b"),G269," ")</f>
        <v> </v>
      </c>
      <c r="U269" s="334" t="str">
        <f aca="false">IF((E269="i"),G269," ")</f>
        <v> </v>
      </c>
      <c r="V269" s="334" t="str">
        <f aca="false">IF((E269="o"),G269," ")</f>
        <v> </v>
      </c>
      <c r="W269" s="334" t="str">
        <f aca="false">IF((E269="f"),G269," ")</f>
        <v> </v>
      </c>
    </row>
    <row r="270" customFormat="false" ht="12.75" hidden="false" customHeight="false" outlineLevel="0" collapsed="false">
      <c r="A270" s="355"/>
      <c r="E270" s="365" t="str">
        <f aca="false">IF((G270&lt;&gt;0),"Enter Letter"," ")</f>
        <v> </v>
      </c>
      <c r="J270" s="334" t="str">
        <f aca="false">IF((E270="s"),G270," ")</f>
        <v> </v>
      </c>
      <c r="K270" s="334" t="str">
        <f aca="false">IF((E270="d"),G270," ")</f>
        <v> </v>
      </c>
      <c r="L270" s="334" t="str">
        <f aca="false">IF((E270="e"),G270," ")</f>
        <v> </v>
      </c>
      <c r="M270" s="334" t="str">
        <f aca="false">IF((E270="p"),G270," ")</f>
        <v> </v>
      </c>
      <c r="N270" s="334" t="str">
        <f aca="false">IF((E270="r"),G270," ")</f>
        <v> </v>
      </c>
      <c r="O270" s="334" t="str">
        <f aca="false">IF((E270="g"),G270," ")</f>
        <v> </v>
      </c>
      <c r="P270" s="334" t="str">
        <f aca="false">IF((E270="m"),G270," ")</f>
        <v> </v>
      </c>
      <c r="Q270" s="334" t="str">
        <f aca="false">IF((E270="t"),G270," ")</f>
        <v> </v>
      </c>
      <c r="R270" s="334" t="str">
        <f aca="false">IF((E270="a"),G270," ")</f>
        <v> </v>
      </c>
      <c r="S270" s="334" t="str">
        <f aca="false">IF((E270="l"),G270," ")</f>
        <v> </v>
      </c>
      <c r="T270" s="334" t="str">
        <f aca="false">IF((E270="b"),G270," ")</f>
        <v> </v>
      </c>
      <c r="U270" s="334" t="str">
        <f aca="false">IF((E270="i"),G270," ")</f>
        <v> </v>
      </c>
      <c r="V270" s="334" t="str">
        <f aca="false">IF((E270="o"),G270," ")</f>
        <v> </v>
      </c>
      <c r="W270" s="334" t="str">
        <f aca="false">IF((E270="f"),G270," ")</f>
        <v> </v>
      </c>
    </row>
    <row r="271" customFormat="false" ht="12.75" hidden="false" customHeight="false" outlineLevel="0" collapsed="false">
      <c r="A271" s="355"/>
      <c r="E271" s="365" t="str">
        <f aca="false">IF((G271&lt;&gt;0),"Enter Letter"," ")</f>
        <v> </v>
      </c>
      <c r="J271" s="334" t="str">
        <f aca="false">IF((E271="s"),G271," ")</f>
        <v> </v>
      </c>
      <c r="K271" s="334" t="str">
        <f aca="false">IF((E271="d"),G271," ")</f>
        <v> </v>
      </c>
      <c r="L271" s="334" t="str">
        <f aca="false">IF((E271="e"),G271," ")</f>
        <v> </v>
      </c>
      <c r="M271" s="334" t="str">
        <f aca="false">IF((E271="p"),G271," ")</f>
        <v> </v>
      </c>
      <c r="N271" s="334" t="str">
        <f aca="false">IF((E271="r"),G271," ")</f>
        <v> </v>
      </c>
      <c r="O271" s="334" t="str">
        <f aca="false">IF((E271="g"),G271," ")</f>
        <v> </v>
      </c>
      <c r="P271" s="334" t="str">
        <f aca="false">IF((E271="m"),G271," ")</f>
        <v> </v>
      </c>
      <c r="Q271" s="334" t="str">
        <f aca="false">IF((E271="t"),G271," ")</f>
        <v> </v>
      </c>
      <c r="R271" s="334" t="str">
        <f aca="false">IF((E271="a"),G271," ")</f>
        <v> </v>
      </c>
      <c r="S271" s="334" t="str">
        <f aca="false">IF((E271="l"),G271," ")</f>
        <v> </v>
      </c>
      <c r="T271" s="334" t="str">
        <f aca="false">IF((E271="b"),G271," ")</f>
        <v> </v>
      </c>
      <c r="U271" s="334" t="str">
        <f aca="false">IF((E271="i"),G271," ")</f>
        <v> </v>
      </c>
      <c r="V271" s="334" t="str">
        <f aca="false">IF((E271="o"),G271," ")</f>
        <v> </v>
      </c>
      <c r="W271" s="334" t="str">
        <f aca="false">IF((E271="f"),G271," ")</f>
        <v> </v>
      </c>
    </row>
    <row r="272" customFormat="false" ht="12.75" hidden="false" customHeight="false" outlineLevel="0" collapsed="false">
      <c r="A272" s="355"/>
      <c r="E272" s="365" t="str">
        <f aca="false">IF((G272&lt;&gt;0),"Enter Letter"," ")</f>
        <v> </v>
      </c>
      <c r="J272" s="334" t="str">
        <f aca="false">IF((E272="s"),G272," ")</f>
        <v> </v>
      </c>
      <c r="K272" s="334" t="str">
        <f aca="false">IF((E272="d"),G272," ")</f>
        <v> </v>
      </c>
      <c r="L272" s="334" t="str">
        <f aca="false">IF((E272="e"),G272," ")</f>
        <v> </v>
      </c>
      <c r="M272" s="334" t="str">
        <f aca="false">IF((E272="p"),G272," ")</f>
        <v> </v>
      </c>
      <c r="N272" s="334" t="str">
        <f aca="false">IF((E272="r"),G272," ")</f>
        <v> </v>
      </c>
      <c r="O272" s="334" t="str">
        <f aca="false">IF((E272="g"),G272," ")</f>
        <v> </v>
      </c>
      <c r="P272" s="334" t="str">
        <f aca="false">IF((E272="m"),G272," ")</f>
        <v> </v>
      </c>
      <c r="Q272" s="334" t="str">
        <f aca="false">IF((E272="t"),G272," ")</f>
        <v> </v>
      </c>
      <c r="R272" s="334" t="str">
        <f aca="false">IF((E272="a"),G272," ")</f>
        <v> </v>
      </c>
      <c r="S272" s="334" t="str">
        <f aca="false">IF((E272="l"),G272," ")</f>
        <v> </v>
      </c>
      <c r="T272" s="334" t="str">
        <f aca="false">IF((E272="b"),G272," ")</f>
        <v> </v>
      </c>
      <c r="U272" s="334" t="str">
        <f aca="false">IF((E272="i"),G272," ")</f>
        <v> </v>
      </c>
      <c r="V272" s="334" t="str">
        <f aca="false">IF((E272="o"),G272," ")</f>
        <v> </v>
      </c>
      <c r="W272" s="334" t="str">
        <f aca="false">IF((E272="f"),G272," ")</f>
        <v> </v>
      </c>
    </row>
    <row r="273" customFormat="false" ht="12.75" hidden="false" customHeight="false" outlineLevel="0" collapsed="false">
      <c r="A273" s="355"/>
      <c r="E273" s="365" t="str">
        <f aca="false">IF((G273&lt;&gt;0),"Enter Letter"," ")</f>
        <v> </v>
      </c>
      <c r="J273" s="334" t="str">
        <f aca="false">IF((E273="s"),G273," ")</f>
        <v> </v>
      </c>
      <c r="K273" s="334" t="str">
        <f aca="false">IF((E273="d"),G273," ")</f>
        <v> </v>
      </c>
      <c r="L273" s="334" t="str">
        <f aca="false">IF((E273="e"),G273," ")</f>
        <v> </v>
      </c>
      <c r="M273" s="334" t="str">
        <f aca="false">IF((E273="p"),G273," ")</f>
        <v> </v>
      </c>
      <c r="N273" s="334" t="str">
        <f aca="false">IF((E273="r"),G273," ")</f>
        <v> </v>
      </c>
      <c r="O273" s="334" t="str">
        <f aca="false">IF((E273="g"),G273," ")</f>
        <v> </v>
      </c>
      <c r="P273" s="334" t="str">
        <f aca="false">IF((E273="m"),G273," ")</f>
        <v> </v>
      </c>
      <c r="Q273" s="334" t="str">
        <f aca="false">IF((E273="t"),G273," ")</f>
        <v> </v>
      </c>
      <c r="R273" s="334" t="str">
        <f aca="false">IF((E273="a"),G273," ")</f>
        <v> </v>
      </c>
      <c r="S273" s="334" t="str">
        <f aca="false">IF((E273="l"),G273," ")</f>
        <v> </v>
      </c>
      <c r="T273" s="334" t="str">
        <f aca="false">IF((E273="b"),G273," ")</f>
        <v> </v>
      </c>
      <c r="U273" s="334" t="str">
        <f aca="false">IF((E273="i"),G273," ")</f>
        <v> </v>
      </c>
      <c r="V273" s="334" t="str">
        <f aca="false">IF((E273="o"),G273," ")</f>
        <v> </v>
      </c>
      <c r="W273" s="334" t="str">
        <f aca="false">IF((E273="f"),G273," ")</f>
        <v> </v>
      </c>
    </row>
    <row r="274" customFormat="false" ht="12.75" hidden="false" customHeight="false" outlineLevel="0" collapsed="false">
      <c r="A274" s="355"/>
      <c r="E274" s="365" t="str">
        <f aca="false">IF((G274&lt;&gt;0),"Enter Letter"," ")</f>
        <v> </v>
      </c>
      <c r="J274" s="334" t="str">
        <f aca="false">IF((E274="s"),G274," ")</f>
        <v> </v>
      </c>
      <c r="K274" s="334" t="str">
        <f aca="false">IF((E274="d"),G274," ")</f>
        <v> </v>
      </c>
      <c r="L274" s="334" t="str">
        <f aca="false">IF((E274="e"),G274," ")</f>
        <v> </v>
      </c>
      <c r="M274" s="334" t="str">
        <f aca="false">IF((E274="p"),G274," ")</f>
        <v> </v>
      </c>
      <c r="N274" s="334" t="str">
        <f aca="false">IF((E274="r"),G274," ")</f>
        <v> </v>
      </c>
      <c r="O274" s="334" t="str">
        <f aca="false">IF((E274="g"),G274," ")</f>
        <v> </v>
      </c>
      <c r="P274" s="334" t="str">
        <f aca="false">IF((E274="m"),G274," ")</f>
        <v> </v>
      </c>
      <c r="Q274" s="334" t="str">
        <f aca="false">IF((E274="t"),G274," ")</f>
        <v> </v>
      </c>
      <c r="R274" s="334" t="str">
        <f aca="false">IF((E274="a"),G274," ")</f>
        <v> </v>
      </c>
      <c r="S274" s="334" t="str">
        <f aca="false">IF((E274="l"),G274," ")</f>
        <v> </v>
      </c>
      <c r="T274" s="334" t="str">
        <f aca="false">IF((E274="b"),G274," ")</f>
        <v> </v>
      </c>
      <c r="U274" s="334" t="str">
        <f aca="false">IF((E274="i"),G274," ")</f>
        <v> </v>
      </c>
      <c r="V274" s="334" t="str">
        <f aca="false">IF((E274="o"),G274," ")</f>
        <v> </v>
      </c>
      <c r="W274" s="334" t="str">
        <f aca="false">IF((E274="f"),G274," ")</f>
        <v> </v>
      </c>
    </row>
    <row r="275" customFormat="false" ht="12.75" hidden="false" customHeight="false" outlineLevel="0" collapsed="false">
      <c r="A275" s="355"/>
      <c r="E275" s="365" t="str">
        <f aca="false">IF((G275&lt;&gt;0),"Enter Letter"," ")</f>
        <v> </v>
      </c>
      <c r="J275" s="334" t="str">
        <f aca="false">IF((E275="s"),G275," ")</f>
        <v> </v>
      </c>
      <c r="K275" s="334" t="str">
        <f aca="false">IF((E275="d"),G275," ")</f>
        <v> </v>
      </c>
      <c r="L275" s="334" t="str">
        <f aca="false">IF((E275="e"),G275," ")</f>
        <v> </v>
      </c>
      <c r="M275" s="334" t="str">
        <f aca="false">IF((E275="p"),G275," ")</f>
        <v> </v>
      </c>
      <c r="N275" s="334" t="str">
        <f aca="false">IF((E275="r"),G275," ")</f>
        <v> </v>
      </c>
      <c r="O275" s="334" t="str">
        <f aca="false">IF((E275="g"),G275," ")</f>
        <v> </v>
      </c>
      <c r="P275" s="334" t="str">
        <f aca="false">IF((E275="m"),G275," ")</f>
        <v> </v>
      </c>
      <c r="Q275" s="334" t="str">
        <f aca="false">IF((E275="t"),G275," ")</f>
        <v> </v>
      </c>
      <c r="R275" s="334" t="str">
        <f aca="false">IF((E275="a"),G275," ")</f>
        <v> </v>
      </c>
      <c r="S275" s="334" t="str">
        <f aca="false">IF((E275="l"),G275," ")</f>
        <v> </v>
      </c>
      <c r="T275" s="334" t="str">
        <f aca="false">IF((E275="b"),G275," ")</f>
        <v> </v>
      </c>
      <c r="U275" s="334" t="str">
        <f aca="false">IF((E275="i"),G275," ")</f>
        <v> </v>
      </c>
      <c r="V275" s="334" t="str">
        <f aca="false">IF((E275="o"),G275," ")</f>
        <v> </v>
      </c>
      <c r="W275" s="334" t="str">
        <f aca="false">IF((E275="f"),G275," ")</f>
        <v> </v>
      </c>
    </row>
    <row r="276" customFormat="false" ht="12.75" hidden="false" customHeight="false" outlineLevel="0" collapsed="false">
      <c r="A276" s="355"/>
      <c r="E276" s="365" t="str">
        <f aca="false">IF((G276&lt;&gt;0),"Enter Letter"," ")</f>
        <v> </v>
      </c>
      <c r="J276" s="334" t="str">
        <f aca="false">IF((E276="s"),G276," ")</f>
        <v> </v>
      </c>
      <c r="K276" s="334" t="str">
        <f aca="false">IF((E276="d"),G276," ")</f>
        <v> </v>
      </c>
      <c r="L276" s="334" t="str">
        <f aca="false">IF((E276="e"),G276," ")</f>
        <v> </v>
      </c>
      <c r="M276" s="334" t="str">
        <f aca="false">IF((E276="p"),G276," ")</f>
        <v> </v>
      </c>
      <c r="N276" s="334" t="str">
        <f aca="false">IF((E276="r"),G276," ")</f>
        <v> </v>
      </c>
      <c r="O276" s="334" t="str">
        <f aca="false">IF((E276="g"),G276," ")</f>
        <v> </v>
      </c>
      <c r="P276" s="334" t="str">
        <f aca="false">IF((E276="m"),G276," ")</f>
        <v> </v>
      </c>
      <c r="Q276" s="334" t="str">
        <f aca="false">IF((E276="t"),G276," ")</f>
        <v> </v>
      </c>
      <c r="R276" s="334" t="str">
        <f aca="false">IF((E276="a"),G276," ")</f>
        <v> </v>
      </c>
      <c r="S276" s="334" t="str">
        <f aca="false">IF((E276="l"),G276," ")</f>
        <v> </v>
      </c>
      <c r="T276" s="334" t="str">
        <f aca="false">IF((E276="b"),G276," ")</f>
        <v> </v>
      </c>
      <c r="U276" s="334" t="str">
        <f aca="false">IF((E276="i"),G276," ")</f>
        <v> </v>
      </c>
      <c r="V276" s="334" t="str">
        <f aca="false">IF((E276="o"),G276," ")</f>
        <v> </v>
      </c>
      <c r="W276" s="334" t="str">
        <f aca="false">IF((E276="f"),G276," ")</f>
        <v> </v>
      </c>
    </row>
    <row r="277" customFormat="false" ht="12.75" hidden="false" customHeight="false" outlineLevel="0" collapsed="false">
      <c r="A277" s="355"/>
      <c r="E277" s="365" t="str">
        <f aca="false">IF((G277&lt;&gt;0),"Enter Letter"," ")</f>
        <v> </v>
      </c>
      <c r="J277" s="334" t="str">
        <f aca="false">IF((E277="s"),G277," ")</f>
        <v> </v>
      </c>
      <c r="K277" s="334" t="str">
        <f aca="false">IF((E277="d"),G277," ")</f>
        <v> </v>
      </c>
      <c r="L277" s="334" t="str">
        <f aca="false">IF((E277="e"),G277," ")</f>
        <v> </v>
      </c>
      <c r="M277" s="334" t="str">
        <f aca="false">IF((E277="p"),G277," ")</f>
        <v> </v>
      </c>
      <c r="N277" s="334" t="str">
        <f aca="false">IF((E277="r"),G277," ")</f>
        <v> </v>
      </c>
      <c r="O277" s="334" t="str">
        <f aca="false">IF((E277="g"),G277," ")</f>
        <v> </v>
      </c>
      <c r="P277" s="334" t="str">
        <f aca="false">IF((E277="m"),G277," ")</f>
        <v> </v>
      </c>
      <c r="Q277" s="334" t="str">
        <f aca="false">IF((E277="t"),G277," ")</f>
        <v> </v>
      </c>
      <c r="R277" s="334" t="str">
        <f aca="false">IF((E277="a"),G277," ")</f>
        <v> </v>
      </c>
      <c r="S277" s="334" t="str">
        <f aca="false">IF((E277="l"),G277," ")</f>
        <v> </v>
      </c>
      <c r="T277" s="334" t="str">
        <f aca="false">IF((E277="b"),G277," ")</f>
        <v> </v>
      </c>
      <c r="U277" s="334" t="str">
        <f aca="false">IF((E277="i"),G277," ")</f>
        <v> </v>
      </c>
      <c r="V277" s="334" t="str">
        <f aca="false">IF((E277="o"),G277," ")</f>
        <v> </v>
      </c>
      <c r="W277" s="334" t="str">
        <f aca="false">IF((E277="f"),G277," ")</f>
        <v> </v>
      </c>
    </row>
    <row r="278" customFormat="false" ht="12.75" hidden="false" customHeight="false" outlineLevel="0" collapsed="false">
      <c r="A278" s="355"/>
      <c r="E278" s="365" t="str">
        <f aca="false">IF((G278&lt;&gt;0),"Enter Letter"," ")</f>
        <v> </v>
      </c>
      <c r="J278" s="334" t="str">
        <f aca="false">IF((E278="s"),G278," ")</f>
        <v> </v>
      </c>
      <c r="K278" s="334" t="str">
        <f aca="false">IF((E278="d"),G278," ")</f>
        <v> </v>
      </c>
      <c r="L278" s="334" t="str">
        <f aca="false">IF((E278="e"),G278," ")</f>
        <v> </v>
      </c>
      <c r="M278" s="334" t="str">
        <f aca="false">IF((E278="p"),G278," ")</f>
        <v> </v>
      </c>
      <c r="N278" s="334" t="str">
        <f aca="false">IF((E278="r"),G278," ")</f>
        <v> </v>
      </c>
      <c r="O278" s="334" t="str">
        <f aca="false">IF((E278="g"),G278," ")</f>
        <v> </v>
      </c>
      <c r="P278" s="334" t="str">
        <f aca="false">IF((E278="m"),G278," ")</f>
        <v> </v>
      </c>
      <c r="Q278" s="334" t="str">
        <f aca="false">IF((E278="t"),G278," ")</f>
        <v> </v>
      </c>
      <c r="R278" s="334" t="str">
        <f aca="false">IF((E278="a"),G278," ")</f>
        <v> </v>
      </c>
      <c r="S278" s="334" t="str">
        <f aca="false">IF((E278="l"),G278," ")</f>
        <v> </v>
      </c>
      <c r="T278" s="334" t="str">
        <f aca="false">IF((E278="b"),G278," ")</f>
        <v> </v>
      </c>
      <c r="U278" s="334" t="str">
        <f aca="false">IF((E278="i"),G278," ")</f>
        <v> </v>
      </c>
      <c r="V278" s="334" t="str">
        <f aca="false">IF((E278="o"),G278," ")</f>
        <v> </v>
      </c>
      <c r="W278" s="334" t="str">
        <f aca="false">IF((E278="f"),G278," ")</f>
        <v> </v>
      </c>
    </row>
    <row r="279" customFormat="false" ht="12.75" hidden="false" customHeight="false" outlineLevel="0" collapsed="false">
      <c r="A279" s="355"/>
      <c r="E279" s="365" t="str">
        <f aca="false">IF((G279&lt;&gt;0),"Enter Letter"," ")</f>
        <v> </v>
      </c>
      <c r="J279" s="334" t="str">
        <f aca="false">IF((E279="s"),G279," ")</f>
        <v> </v>
      </c>
      <c r="K279" s="334" t="str">
        <f aca="false">IF((E279="d"),G279," ")</f>
        <v> </v>
      </c>
      <c r="L279" s="334" t="str">
        <f aca="false">IF((E279="e"),G279," ")</f>
        <v> </v>
      </c>
      <c r="M279" s="334" t="str">
        <f aca="false">IF((E279="p"),G279," ")</f>
        <v> </v>
      </c>
      <c r="N279" s="334" t="str">
        <f aca="false">IF((E279="r"),G279," ")</f>
        <v> </v>
      </c>
      <c r="O279" s="334" t="str">
        <f aca="false">IF((E279="g"),G279," ")</f>
        <v> </v>
      </c>
      <c r="P279" s="334" t="str">
        <f aca="false">IF((E279="m"),G279," ")</f>
        <v> </v>
      </c>
      <c r="Q279" s="334" t="str">
        <f aca="false">IF((E279="t"),G279," ")</f>
        <v> </v>
      </c>
      <c r="R279" s="334" t="str">
        <f aca="false">IF((E279="a"),G279," ")</f>
        <v> </v>
      </c>
      <c r="S279" s="334" t="str">
        <f aca="false">IF((E279="l"),G279," ")</f>
        <v> </v>
      </c>
      <c r="T279" s="334" t="str">
        <f aca="false">IF((E279="b"),G279," ")</f>
        <v> </v>
      </c>
      <c r="U279" s="334" t="str">
        <f aca="false">IF((E279="i"),G279," ")</f>
        <v> </v>
      </c>
      <c r="V279" s="334" t="str">
        <f aca="false">IF((E279="o"),G279," ")</f>
        <v> </v>
      </c>
      <c r="W279" s="334" t="str">
        <f aca="false">IF((E279="f"),G279," ")</f>
        <v> </v>
      </c>
    </row>
    <row r="280" customFormat="false" ht="12.75" hidden="false" customHeight="false" outlineLevel="0" collapsed="false">
      <c r="A280" s="355"/>
      <c r="E280" s="365" t="str">
        <f aca="false">IF((G280&lt;&gt;0),"Enter Letter"," ")</f>
        <v> </v>
      </c>
      <c r="J280" s="334" t="str">
        <f aca="false">IF((E280="s"),G280," ")</f>
        <v> </v>
      </c>
      <c r="K280" s="334" t="str">
        <f aca="false">IF((E280="d"),G280," ")</f>
        <v> </v>
      </c>
      <c r="L280" s="334" t="str">
        <f aca="false">IF((E280="e"),G280," ")</f>
        <v> </v>
      </c>
      <c r="M280" s="334" t="str">
        <f aca="false">IF((E280="p"),G280," ")</f>
        <v> </v>
      </c>
      <c r="N280" s="334" t="str">
        <f aca="false">IF((E280="r"),G280," ")</f>
        <v> </v>
      </c>
      <c r="O280" s="334" t="str">
        <f aca="false">IF((E280="g"),G280," ")</f>
        <v> </v>
      </c>
      <c r="P280" s="334" t="str">
        <f aca="false">IF((E280="m"),G280," ")</f>
        <v> </v>
      </c>
      <c r="Q280" s="334" t="str">
        <f aca="false">IF((E280="t"),G280," ")</f>
        <v> </v>
      </c>
      <c r="R280" s="334" t="str">
        <f aca="false">IF((E280="a"),G280," ")</f>
        <v> </v>
      </c>
      <c r="S280" s="334" t="str">
        <f aca="false">IF((E280="l"),G280," ")</f>
        <v> </v>
      </c>
      <c r="T280" s="334" t="str">
        <f aca="false">IF((E280="b"),G280," ")</f>
        <v> </v>
      </c>
      <c r="U280" s="334" t="str">
        <f aca="false">IF((E280="i"),G280," ")</f>
        <v> </v>
      </c>
      <c r="V280" s="334" t="str">
        <f aca="false">IF((E280="o"),G280," ")</f>
        <v> </v>
      </c>
      <c r="W280" s="334" t="str">
        <f aca="false">IF((E280="f"),G280," ")</f>
        <v> </v>
      </c>
    </row>
    <row r="281" customFormat="false" ht="12.75" hidden="false" customHeight="false" outlineLevel="0" collapsed="false">
      <c r="A281" s="355"/>
      <c r="E281" s="365" t="str">
        <f aca="false">IF((G281&lt;&gt;0),"Enter Letter"," ")</f>
        <v> </v>
      </c>
      <c r="J281" s="334" t="str">
        <f aca="false">IF((E281="s"),G281," ")</f>
        <v> </v>
      </c>
      <c r="K281" s="334" t="str">
        <f aca="false">IF((E281="d"),G281," ")</f>
        <v> </v>
      </c>
      <c r="L281" s="334" t="str">
        <f aca="false">IF((E281="e"),G281," ")</f>
        <v> </v>
      </c>
      <c r="M281" s="334" t="str">
        <f aca="false">IF((E281="p"),G281," ")</f>
        <v> </v>
      </c>
      <c r="N281" s="334" t="str">
        <f aca="false">IF((E281="r"),G281," ")</f>
        <v> </v>
      </c>
      <c r="O281" s="334" t="str">
        <f aca="false">IF((E281="g"),G281," ")</f>
        <v> </v>
      </c>
      <c r="P281" s="334" t="str">
        <f aca="false">IF((E281="m"),G281," ")</f>
        <v> </v>
      </c>
      <c r="Q281" s="334" t="str">
        <f aca="false">IF((E281="t"),G281," ")</f>
        <v> </v>
      </c>
      <c r="R281" s="334" t="str">
        <f aca="false">IF((E281="a"),G281," ")</f>
        <v> </v>
      </c>
      <c r="S281" s="334" t="str">
        <f aca="false">IF((E281="l"),G281," ")</f>
        <v> </v>
      </c>
      <c r="T281" s="334" t="str">
        <f aca="false">IF((E281="b"),G281," ")</f>
        <v> </v>
      </c>
      <c r="U281" s="334" t="str">
        <f aca="false">IF((E281="i"),G281," ")</f>
        <v> </v>
      </c>
      <c r="V281" s="334" t="str">
        <f aca="false">IF((E281="o"),G281," ")</f>
        <v> </v>
      </c>
      <c r="W281" s="334" t="str">
        <f aca="false">IF((E281="f"),G281," ")</f>
        <v> </v>
      </c>
    </row>
    <row r="282" customFormat="false" ht="12.75" hidden="false" customHeight="false" outlineLevel="0" collapsed="false">
      <c r="A282" s="355"/>
      <c r="E282" s="365" t="str">
        <f aca="false">IF((G282&lt;&gt;0),"Enter Letter"," ")</f>
        <v> </v>
      </c>
      <c r="J282" s="334" t="str">
        <f aca="false">IF((E282="s"),G282," ")</f>
        <v> </v>
      </c>
      <c r="K282" s="334" t="str">
        <f aca="false">IF((E282="d"),G282," ")</f>
        <v> </v>
      </c>
      <c r="L282" s="334" t="str">
        <f aca="false">IF((E282="e"),G282," ")</f>
        <v> </v>
      </c>
      <c r="M282" s="334" t="str">
        <f aca="false">IF((E282="p"),G282," ")</f>
        <v> </v>
      </c>
      <c r="N282" s="334" t="str">
        <f aca="false">IF((E282="r"),G282," ")</f>
        <v> </v>
      </c>
      <c r="O282" s="334" t="str">
        <f aca="false">IF((E282="g"),G282," ")</f>
        <v> </v>
      </c>
      <c r="P282" s="334" t="str">
        <f aca="false">IF((E282="m"),G282," ")</f>
        <v> </v>
      </c>
      <c r="Q282" s="334" t="str">
        <f aca="false">IF((E282="t"),G282," ")</f>
        <v> </v>
      </c>
      <c r="R282" s="334" t="str">
        <f aca="false">IF((E282="a"),G282," ")</f>
        <v> </v>
      </c>
      <c r="S282" s="334" t="str">
        <f aca="false">IF((E282="l"),G282," ")</f>
        <v> </v>
      </c>
      <c r="T282" s="334" t="str">
        <f aca="false">IF((E282="b"),G282," ")</f>
        <v> </v>
      </c>
      <c r="U282" s="334" t="str">
        <f aca="false">IF((E282="i"),G282," ")</f>
        <v> </v>
      </c>
      <c r="V282" s="334" t="str">
        <f aca="false">IF((E282="o"),G282," ")</f>
        <v> </v>
      </c>
      <c r="W282" s="334" t="str">
        <f aca="false">IF((E282="f"),G282," ")</f>
        <v> </v>
      </c>
    </row>
    <row r="283" customFormat="false" ht="12.75" hidden="false" customHeight="false" outlineLevel="0" collapsed="false">
      <c r="A283" s="355"/>
      <c r="E283" s="365" t="str">
        <f aca="false">IF((G283&lt;&gt;0),"Enter Letter"," ")</f>
        <v> </v>
      </c>
      <c r="J283" s="334" t="str">
        <f aca="false">IF((E283="s"),G283," ")</f>
        <v> </v>
      </c>
      <c r="K283" s="334" t="str">
        <f aca="false">IF((E283="d"),G283," ")</f>
        <v> </v>
      </c>
      <c r="L283" s="334" t="str">
        <f aca="false">IF((E283="e"),G283," ")</f>
        <v> </v>
      </c>
      <c r="M283" s="334" t="str">
        <f aca="false">IF((E283="p"),G283," ")</f>
        <v> </v>
      </c>
      <c r="N283" s="334" t="str">
        <f aca="false">IF((E283="r"),G283," ")</f>
        <v> </v>
      </c>
      <c r="O283" s="334" t="str">
        <f aca="false">IF((E283="g"),G283," ")</f>
        <v> </v>
      </c>
      <c r="P283" s="334" t="str">
        <f aca="false">IF((E283="m"),G283," ")</f>
        <v> </v>
      </c>
      <c r="Q283" s="334" t="str">
        <f aca="false">IF((E283="t"),G283," ")</f>
        <v> </v>
      </c>
      <c r="R283" s="334" t="str">
        <f aca="false">IF((E283="a"),G283," ")</f>
        <v> </v>
      </c>
      <c r="S283" s="334" t="str">
        <f aca="false">IF((E283="l"),G283," ")</f>
        <v> </v>
      </c>
      <c r="T283" s="334" t="str">
        <f aca="false">IF((E283="b"),G283," ")</f>
        <v> </v>
      </c>
      <c r="U283" s="334" t="str">
        <f aca="false">IF((E283="i"),G283," ")</f>
        <v> </v>
      </c>
      <c r="V283" s="334" t="str">
        <f aca="false">IF((E283="o"),G283," ")</f>
        <v> </v>
      </c>
      <c r="W283" s="334" t="str">
        <f aca="false">IF((E283="f"),G283," ")</f>
        <v> </v>
      </c>
    </row>
    <row r="284" customFormat="false" ht="12.75" hidden="false" customHeight="false" outlineLevel="0" collapsed="false">
      <c r="A284" s="355"/>
      <c r="E284" s="365" t="str">
        <f aca="false">IF((G284&lt;&gt;0),"Enter Letter"," ")</f>
        <v> </v>
      </c>
      <c r="J284" s="334" t="str">
        <f aca="false">IF((E284="s"),G284," ")</f>
        <v> </v>
      </c>
      <c r="K284" s="334" t="str">
        <f aca="false">IF((E284="d"),G284," ")</f>
        <v> </v>
      </c>
      <c r="L284" s="334" t="str">
        <f aca="false">IF((E284="e"),G284," ")</f>
        <v> </v>
      </c>
      <c r="M284" s="334" t="str">
        <f aca="false">IF((E284="p"),G284," ")</f>
        <v> </v>
      </c>
      <c r="N284" s="334" t="str">
        <f aca="false">IF((E284="r"),G284," ")</f>
        <v> </v>
      </c>
      <c r="O284" s="334" t="str">
        <f aca="false">IF((E284="g"),G284," ")</f>
        <v> </v>
      </c>
      <c r="P284" s="334" t="str">
        <f aca="false">IF((E284="m"),G284," ")</f>
        <v> </v>
      </c>
      <c r="Q284" s="334" t="str">
        <f aca="false">IF((E284="t"),G284," ")</f>
        <v> </v>
      </c>
      <c r="R284" s="334" t="str">
        <f aca="false">IF((E284="a"),G284," ")</f>
        <v> </v>
      </c>
      <c r="S284" s="334" t="str">
        <f aca="false">IF((E284="l"),G284," ")</f>
        <v> </v>
      </c>
      <c r="T284" s="334" t="str">
        <f aca="false">IF((E284="b"),G284," ")</f>
        <v> </v>
      </c>
      <c r="U284" s="334" t="str">
        <f aca="false">IF((E284="i"),G284," ")</f>
        <v> </v>
      </c>
      <c r="V284" s="334" t="str">
        <f aca="false">IF((E284="o"),G284," ")</f>
        <v> </v>
      </c>
      <c r="W284" s="334" t="str">
        <f aca="false">IF((E284="f"),G284," ")</f>
        <v> </v>
      </c>
    </row>
    <row r="285" customFormat="false" ht="12.75" hidden="false" customHeight="false" outlineLevel="0" collapsed="false">
      <c r="A285" s="355"/>
      <c r="E285" s="365" t="str">
        <f aca="false">IF((G285&lt;&gt;0),"Enter Letter"," ")</f>
        <v> </v>
      </c>
      <c r="J285" s="334" t="str">
        <f aca="false">IF((E285="s"),G285," ")</f>
        <v> </v>
      </c>
      <c r="K285" s="334" t="str">
        <f aca="false">IF((E285="d"),G285," ")</f>
        <v> </v>
      </c>
      <c r="L285" s="334" t="str">
        <f aca="false">IF((E285="e"),G285," ")</f>
        <v> </v>
      </c>
      <c r="M285" s="334" t="str">
        <f aca="false">IF((E285="p"),G285," ")</f>
        <v> </v>
      </c>
      <c r="N285" s="334" t="str">
        <f aca="false">IF((E285="r"),G285," ")</f>
        <v> </v>
      </c>
      <c r="O285" s="334" t="str">
        <f aca="false">IF((E285="g"),G285," ")</f>
        <v> </v>
      </c>
      <c r="P285" s="334" t="str">
        <f aca="false">IF((E285="m"),G285," ")</f>
        <v> </v>
      </c>
      <c r="Q285" s="334" t="str">
        <f aca="false">IF((E285="t"),G285," ")</f>
        <v> </v>
      </c>
      <c r="R285" s="334" t="str">
        <f aca="false">IF((E285="a"),G285," ")</f>
        <v> </v>
      </c>
      <c r="S285" s="334" t="str">
        <f aca="false">IF((E285="l"),G285," ")</f>
        <v> </v>
      </c>
      <c r="T285" s="334" t="str">
        <f aca="false">IF((E285="b"),G285," ")</f>
        <v> </v>
      </c>
      <c r="U285" s="334" t="str">
        <f aca="false">IF((E285="i"),G285," ")</f>
        <v> </v>
      </c>
      <c r="V285" s="334" t="str">
        <f aca="false">IF((E285="o"),G285," ")</f>
        <v> </v>
      </c>
      <c r="W285" s="334" t="str">
        <f aca="false">IF((E285="f"),G285," ")</f>
        <v> </v>
      </c>
    </row>
    <row r="286" customFormat="false" ht="12.75" hidden="false" customHeight="false" outlineLevel="0" collapsed="false">
      <c r="A286" s="355"/>
      <c r="E286" s="365" t="str">
        <f aca="false">IF((G286&lt;&gt;0),"Enter Letter"," ")</f>
        <v> </v>
      </c>
      <c r="J286" s="334" t="str">
        <f aca="false">IF((E286="s"),G286," ")</f>
        <v> </v>
      </c>
      <c r="K286" s="334" t="str">
        <f aca="false">IF((E286="d"),G286," ")</f>
        <v> </v>
      </c>
      <c r="L286" s="334" t="str">
        <f aca="false">IF((E286="e"),G286," ")</f>
        <v> </v>
      </c>
      <c r="M286" s="334" t="str">
        <f aca="false">IF((E286="p"),G286," ")</f>
        <v> </v>
      </c>
      <c r="N286" s="334" t="str">
        <f aca="false">IF((E286="r"),G286," ")</f>
        <v> </v>
      </c>
      <c r="O286" s="334" t="str">
        <f aca="false">IF((E286="g"),G286," ")</f>
        <v> </v>
      </c>
      <c r="P286" s="334" t="str">
        <f aca="false">IF((E286="m"),G286," ")</f>
        <v> </v>
      </c>
      <c r="Q286" s="334" t="str">
        <f aca="false">IF((E286="t"),G286," ")</f>
        <v> </v>
      </c>
      <c r="R286" s="334" t="str">
        <f aca="false">IF((E286="a"),G286," ")</f>
        <v> </v>
      </c>
      <c r="S286" s="334" t="str">
        <f aca="false">IF((E286="l"),G286," ")</f>
        <v> </v>
      </c>
      <c r="T286" s="334" t="str">
        <f aca="false">IF((E286="b"),G286," ")</f>
        <v> </v>
      </c>
      <c r="U286" s="334" t="str">
        <f aca="false">IF((E286="i"),G286," ")</f>
        <v> </v>
      </c>
      <c r="V286" s="334" t="str">
        <f aca="false">IF((E286="o"),G286," ")</f>
        <v> </v>
      </c>
      <c r="W286" s="334" t="str">
        <f aca="false">IF((E286="f"),G286," ")</f>
        <v> </v>
      </c>
    </row>
    <row r="287" customFormat="false" ht="12.75" hidden="false" customHeight="false" outlineLevel="0" collapsed="false">
      <c r="A287" s="355"/>
      <c r="E287" s="365" t="str">
        <f aca="false">IF((G287&lt;&gt;0),"Enter Letter"," ")</f>
        <v> </v>
      </c>
      <c r="J287" s="334" t="str">
        <f aca="false">IF((E287="s"),G287," ")</f>
        <v> </v>
      </c>
      <c r="K287" s="334" t="str">
        <f aca="false">IF((E287="d"),G287," ")</f>
        <v> </v>
      </c>
      <c r="L287" s="334" t="str">
        <f aca="false">IF((E287="e"),G287," ")</f>
        <v> </v>
      </c>
      <c r="M287" s="334" t="str">
        <f aca="false">IF((E287="p"),G287," ")</f>
        <v> </v>
      </c>
      <c r="N287" s="334" t="str">
        <f aca="false">IF((E287="r"),G287," ")</f>
        <v> </v>
      </c>
      <c r="O287" s="334" t="str">
        <f aca="false">IF((E287="g"),G287," ")</f>
        <v> </v>
      </c>
      <c r="P287" s="334" t="str">
        <f aca="false">IF((E287="m"),G287," ")</f>
        <v> </v>
      </c>
      <c r="Q287" s="334" t="str">
        <f aca="false">IF((E287="t"),G287," ")</f>
        <v> </v>
      </c>
      <c r="R287" s="334" t="str">
        <f aca="false">IF((E287="a"),G287," ")</f>
        <v> </v>
      </c>
      <c r="S287" s="334" t="str">
        <f aca="false">IF((E287="l"),G287," ")</f>
        <v> </v>
      </c>
      <c r="T287" s="334" t="str">
        <f aca="false">IF((E287="b"),G287," ")</f>
        <v> </v>
      </c>
      <c r="U287" s="334" t="str">
        <f aca="false">IF((E287="i"),G287," ")</f>
        <v> </v>
      </c>
      <c r="V287" s="334" t="str">
        <f aca="false">IF((E287="o"),G287," ")</f>
        <v> </v>
      </c>
      <c r="W287" s="334" t="str">
        <f aca="false">IF((E287="f"),G287," ")</f>
        <v> </v>
      </c>
    </row>
    <row r="288" customFormat="false" ht="12.75" hidden="false" customHeight="false" outlineLevel="0" collapsed="false">
      <c r="A288" s="355"/>
      <c r="E288" s="365" t="str">
        <f aca="false">IF((G288&lt;&gt;0),"Enter Letter"," ")</f>
        <v> </v>
      </c>
      <c r="J288" s="334" t="str">
        <f aca="false">IF((E288="s"),G288," ")</f>
        <v> </v>
      </c>
      <c r="K288" s="334" t="str">
        <f aca="false">IF((E288="d"),G288," ")</f>
        <v> </v>
      </c>
      <c r="L288" s="334" t="str">
        <f aca="false">IF((E288="e"),G288," ")</f>
        <v> </v>
      </c>
      <c r="M288" s="334" t="str">
        <f aca="false">IF((E288="p"),G288," ")</f>
        <v> </v>
      </c>
      <c r="N288" s="334" t="str">
        <f aca="false">IF((E288="r"),G288," ")</f>
        <v> </v>
      </c>
      <c r="O288" s="334" t="str">
        <f aca="false">IF((E288="g"),G288," ")</f>
        <v> </v>
      </c>
      <c r="P288" s="334" t="str">
        <f aca="false">IF((E288="m"),G288," ")</f>
        <v> </v>
      </c>
      <c r="Q288" s="334" t="str">
        <f aca="false">IF((E288="t"),G288," ")</f>
        <v> </v>
      </c>
      <c r="R288" s="334" t="str">
        <f aca="false">IF((E288="a"),G288," ")</f>
        <v> </v>
      </c>
      <c r="S288" s="334" t="str">
        <f aca="false">IF((E288="l"),G288," ")</f>
        <v> </v>
      </c>
      <c r="T288" s="334" t="str">
        <f aca="false">IF((E288="b"),G288," ")</f>
        <v> </v>
      </c>
      <c r="U288" s="334" t="str">
        <f aca="false">IF((E288="i"),G288," ")</f>
        <v> </v>
      </c>
      <c r="V288" s="334" t="str">
        <f aca="false">IF((E288="o"),G288," ")</f>
        <v> </v>
      </c>
      <c r="W288" s="334" t="str">
        <f aca="false">IF((E288="f"),G288," ")</f>
        <v> </v>
      </c>
    </row>
    <row r="289" customFormat="false" ht="12.75" hidden="false" customHeight="false" outlineLevel="0" collapsed="false">
      <c r="A289" s="355"/>
      <c r="E289" s="365" t="str">
        <f aca="false">IF((G289&lt;&gt;0),"Enter Letter"," ")</f>
        <v> </v>
      </c>
      <c r="J289" s="334" t="str">
        <f aca="false">IF((E289="s"),G289," ")</f>
        <v> </v>
      </c>
      <c r="K289" s="334" t="str">
        <f aca="false">IF((E289="d"),G289," ")</f>
        <v> </v>
      </c>
      <c r="L289" s="334" t="str">
        <f aca="false">IF((E289="e"),G289," ")</f>
        <v> </v>
      </c>
      <c r="M289" s="334" t="str">
        <f aca="false">IF((E289="p"),G289," ")</f>
        <v> </v>
      </c>
      <c r="N289" s="334" t="str">
        <f aca="false">IF((E289="r"),G289," ")</f>
        <v> </v>
      </c>
      <c r="O289" s="334" t="str">
        <f aca="false">IF((E289="g"),G289," ")</f>
        <v> </v>
      </c>
      <c r="P289" s="334" t="str">
        <f aca="false">IF((E289="m"),G289," ")</f>
        <v> </v>
      </c>
      <c r="Q289" s="334" t="str">
        <f aca="false">IF((E289="t"),G289," ")</f>
        <v> </v>
      </c>
      <c r="R289" s="334" t="str">
        <f aca="false">IF((E289="a"),G289," ")</f>
        <v> </v>
      </c>
      <c r="S289" s="334" t="str">
        <f aca="false">IF((E289="l"),G289," ")</f>
        <v> </v>
      </c>
      <c r="T289" s="334" t="str">
        <f aca="false">IF((E289="b"),G289," ")</f>
        <v> </v>
      </c>
      <c r="U289" s="334" t="str">
        <f aca="false">IF((E289="i"),G289," ")</f>
        <v> </v>
      </c>
      <c r="V289" s="334" t="str">
        <f aca="false">IF((E289="o"),G289," ")</f>
        <v> </v>
      </c>
      <c r="W289" s="334" t="str">
        <f aca="false">IF((E289="f"),G289," ")</f>
        <v> </v>
      </c>
    </row>
    <row r="290" customFormat="false" ht="12.75" hidden="false" customHeight="false" outlineLevel="0" collapsed="false">
      <c r="A290" s="355"/>
      <c r="E290" s="365" t="str">
        <f aca="false">IF((G290&lt;&gt;0),"Enter Letter"," ")</f>
        <v> </v>
      </c>
      <c r="J290" s="334" t="str">
        <f aca="false">IF((E290="s"),G290," ")</f>
        <v> </v>
      </c>
      <c r="K290" s="334" t="str">
        <f aca="false">IF((E290="d"),G290," ")</f>
        <v> </v>
      </c>
      <c r="L290" s="334" t="str">
        <f aca="false">IF((E290="e"),G290," ")</f>
        <v> </v>
      </c>
      <c r="M290" s="334" t="str">
        <f aca="false">IF((E290="p"),G290," ")</f>
        <v> </v>
      </c>
      <c r="N290" s="334" t="str">
        <f aca="false">IF((E290="r"),G290," ")</f>
        <v> </v>
      </c>
      <c r="O290" s="334" t="str">
        <f aca="false">IF((E290="g"),G290," ")</f>
        <v> </v>
      </c>
      <c r="P290" s="334" t="str">
        <f aca="false">IF((E290="m"),G290," ")</f>
        <v> </v>
      </c>
      <c r="Q290" s="334" t="str">
        <f aca="false">IF((E290="t"),G290," ")</f>
        <v> </v>
      </c>
      <c r="R290" s="334" t="str">
        <f aca="false">IF((E290="a"),G290," ")</f>
        <v> </v>
      </c>
      <c r="S290" s="334" t="str">
        <f aca="false">IF((E290="l"),G290," ")</f>
        <v> </v>
      </c>
      <c r="T290" s="334" t="str">
        <f aca="false">IF((E290="b"),G290," ")</f>
        <v> </v>
      </c>
      <c r="U290" s="334" t="str">
        <f aca="false">IF((E290="i"),G290," ")</f>
        <v> </v>
      </c>
      <c r="V290" s="334" t="str">
        <f aca="false">IF((E290="o"),G290," ")</f>
        <v> </v>
      </c>
      <c r="W290" s="334" t="str">
        <f aca="false">IF((E290="f"),G290," ")</f>
        <v> </v>
      </c>
    </row>
    <row r="291" customFormat="false" ht="12.75" hidden="false" customHeight="false" outlineLevel="0" collapsed="false">
      <c r="A291" s="355"/>
      <c r="E291" s="365" t="str">
        <f aca="false">IF((G291&lt;&gt;0),"Enter Letter"," ")</f>
        <v> </v>
      </c>
      <c r="J291" s="334" t="str">
        <f aca="false">IF((E291="s"),G291," ")</f>
        <v> </v>
      </c>
      <c r="K291" s="334" t="str">
        <f aca="false">IF((E291="d"),G291," ")</f>
        <v> </v>
      </c>
      <c r="L291" s="334" t="str">
        <f aca="false">IF((E291="e"),G291," ")</f>
        <v> </v>
      </c>
      <c r="M291" s="334" t="str">
        <f aca="false">IF((E291="p"),G291," ")</f>
        <v> </v>
      </c>
      <c r="N291" s="334" t="str">
        <f aca="false">IF((E291="r"),G291," ")</f>
        <v> </v>
      </c>
      <c r="O291" s="334" t="str">
        <f aca="false">IF((E291="g"),G291," ")</f>
        <v> </v>
      </c>
      <c r="P291" s="334" t="str">
        <f aca="false">IF((E291="m"),G291," ")</f>
        <v> </v>
      </c>
      <c r="Q291" s="334" t="str">
        <f aca="false">IF((E291="t"),G291," ")</f>
        <v> </v>
      </c>
      <c r="R291" s="334" t="str">
        <f aca="false">IF((E291="a"),G291," ")</f>
        <v> </v>
      </c>
      <c r="S291" s="334" t="str">
        <f aca="false">IF((E291="l"),G291," ")</f>
        <v> </v>
      </c>
      <c r="T291" s="334" t="str">
        <f aca="false">IF((E291="b"),G291," ")</f>
        <v> </v>
      </c>
      <c r="U291" s="334" t="str">
        <f aca="false">IF((E291="i"),G291," ")</f>
        <v> </v>
      </c>
      <c r="V291" s="334" t="str">
        <f aca="false">IF((E291="o"),G291," ")</f>
        <v> </v>
      </c>
      <c r="W291" s="334" t="str">
        <f aca="false">IF((E291="f"),G291," ")</f>
        <v> </v>
      </c>
    </row>
    <row r="292" customFormat="false" ht="12.75" hidden="false" customHeight="false" outlineLevel="0" collapsed="false">
      <c r="A292" s="355"/>
      <c r="E292" s="365" t="str">
        <f aca="false">IF((G292&lt;&gt;0),"Enter Letter"," ")</f>
        <v> </v>
      </c>
      <c r="J292" s="334" t="str">
        <f aca="false">IF((E292="s"),G292," ")</f>
        <v> </v>
      </c>
      <c r="K292" s="334" t="str">
        <f aca="false">IF((E292="d"),G292," ")</f>
        <v> </v>
      </c>
      <c r="L292" s="334" t="str">
        <f aca="false">IF((E292="e"),G292," ")</f>
        <v> </v>
      </c>
      <c r="M292" s="334" t="str">
        <f aca="false">IF((E292="p"),G292," ")</f>
        <v> </v>
      </c>
      <c r="N292" s="334" t="str">
        <f aca="false">IF((E292="r"),G292," ")</f>
        <v> </v>
      </c>
      <c r="O292" s="334" t="str">
        <f aca="false">IF((E292="g"),G292," ")</f>
        <v> </v>
      </c>
      <c r="P292" s="334" t="str">
        <f aca="false">IF((E292="m"),G292," ")</f>
        <v> </v>
      </c>
      <c r="Q292" s="334" t="str">
        <f aca="false">IF((E292="t"),G292," ")</f>
        <v> </v>
      </c>
      <c r="R292" s="334" t="str">
        <f aca="false">IF((E292="a"),G292," ")</f>
        <v> </v>
      </c>
      <c r="S292" s="334" t="str">
        <f aca="false">IF((E292="l"),G292," ")</f>
        <v> </v>
      </c>
      <c r="T292" s="334" t="str">
        <f aca="false">IF((E292="b"),G292," ")</f>
        <v> </v>
      </c>
      <c r="U292" s="334" t="str">
        <f aca="false">IF((E292="i"),G292," ")</f>
        <v> </v>
      </c>
      <c r="V292" s="334" t="str">
        <f aca="false">IF((E292="o"),G292," ")</f>
        <v> </v>
      </c>
      <c r="W292" s="334" t="str">
        <f aca="false">IF((E292="f"),G292," ")</f>
        <v> </v>
      </c>
    </row>
    <row r="293" customFormat="false" ht="12.75" hidden="false" customHeight="false" outlineLevel="0" collapsed="false">
      <c r="A293" s="355"/>
      <c r="E293" s="365" t="str">
        <f aca="false">IF((G293&lt;&gt;0),"Enter Letter"," ")</f>
        <v> </v>
      </c>
      <c r="J293" s="334" t="str">
        <f aca="false">IF((E293="s"),G293," ")</f>
        <v> </v>
      </c>
      <c r="K293" s="334" t="str">
        <f aca="false">IF((E293="d"),G293," ")</f>
        <v> </v>
      </c>
      <c r="L293" s="334" t="str">
        <f aca="false">IF((E293="e"),G293," ")</f>
        <v> </v>
      </c>
      <c r="M293" s="334" t="str">
        <f aca="false">IF((E293="p"),G293," ")</f>
        <v> </v>
      </c>
      <c r="N293" s="334" t="str">
        <f aca="false">IF((E293="r"),G293," ")</f>
        <v> </v>
      </c>
      <c r="O293" s="334" t="str">
        <f aca="false">IF((E293="g"),G293," ")</f>
        <v> </v>
      </c>
      <c r="P293" s="334" t="str">
        <f aca="false">IF((E293="m"),G293," ")</f>
        <v> </v>
      </c>
      <c r="Q293" s="334" t="str">
        <f aca="false">IF((E293="t"),G293," ")</f>
        <v> </v>
      </c>
      <c r="R293" s="334" t="str">
        <f aca="false">IF((E293="a"),G293," ")</f>
        <v> </v>
      </c>
      <c r="S293" s="334" t="str">
        <f aca="false">IF((E293="l"),G293," ")</f>
        <v> </v>
      </c>
      <c r="T293" s="334" t="str">
        <f aca="false">IF((E293="b"),G293," ")</f>
        <v> </v>
      </c>
      <c r="U293" s="334" t="str">
        <f aca="false">IF((E293="i"),G293," ")</f>
        <v> </v>
      </c>
      <c r="V293" s="334" t="str">
        <f aca="false">IF((E293="o"),G293," ")</f>
        <v> </v>
      </c>
      <c r="W293" s="334" t="str">
        <f aca="false">IF((E293="f"),G293," ")</f>
        <v> </v>
      </c>
    </row>
    <row r="294" customFormat="false" ht="12.75" hidden="false" customHeight="false" outlineLevel="0" collapsed="false">
      <c r="A294" s="355"/>
      <c r="E294" s="365" t="str">
        <f aca="false">IF((G294&lt;&gt;0),"Enter Letter"," ")</f>
        <v> </v>
      </c>
      <c r="J294" s="334" t="str">
        <f aca="false">IF((E294="s"),G294," ")</f>
        <v> </v>
      </c>
      <c r="K294" s="334" t="str">
        <f aca="false">IF((E294="d"),G294," ")</f>
        <v> </v>
      </c>
      <c r="L294" s="334" t="str">
        <f aca="false">IF((E294="e"),G294," ")</f>
        <v> </v>
      </c>
      <c r="M294" s="334" t="str">
        <f aca="false">IF((E294="p"),G294," ")</f>
        <v> </v>
      </c>
      <c r="N294" s="334" t="str">
        <f aca="false">IF((E294="r"),G294," ")</f>
        <v> </v>
      </c>
      <c r="O294" s="334" t="str">
        <f aca="false">IF((E294="g"),G294," ")</f>
        <v> </v>
      </c>
      <c r="P294" s="334" t="str">
        <f aca="false">IF((E294="m"),G294," ")</f>
        <v> </v>
      </c>
      <c r="Q294" s="334" t="str">
        <f aca="false">IF((E294="t"),G294," ")</f>
        <v> </v>
      </c>
      <c r="R294" s="334" t="str">
        <f aca="false">IF((E294="a"),G294," ")</f>
        <v> </v>
      </c>
      <c r="S294" s="334" t="str">
        <f aca="false">IF((E294="l"),G294," ")</f>
        <v> </v>
      </c>
      <c r="T294" s="334" t="str">
        <f aca="false">IF((E294="b"),G294," ")</f>
        <v> </v>
      </c>
      <c r="U294" s="334" t="str">
        <f aca="false">IF((E294="i"),G294," ")</f>
        <v> </v>
      </c>
      <c r="V294" s="334" t="str">
        <f aca="false">IF((E294="o"),G294," ")</f>
        <v> </v>
      </c>
      <c r="W294" s="334" t="str">
        <f aca="false">IF((E294="f"),G294," ")</f>
        <v> </v>
      </c>
    </row>
    <row r="295" customFormat="false" ht="12.75" hidden="false" customHeight="false" outlineLevel="0" collapsed="false">
      <c r="A295" s="355"/>
      <c r="E295" s="365" t="str">
        <f aca="false">IF((G295&lt;&gt;0),"Enter Letter"," ")</f>
        <v> </v>
      </c>
      <c r="J295" s="334" t="str">
        <f aca="false">IF((E295="s"),G295," ")</f>
        <v> </v>
      </c>
      <c r="K295" s="334" t="str">
        <f aca="false">IF((E295="d"),G295," ")</f>
        <v> </v>
      </c>
      <c r="L295" s="334" t="str">
        <f aca="false">IF((E295="e"),G295," ")</f>
        <v> </v>
      </c>
      <c r="M295" s="334" t="str">
        <f aca="false">IF((E295="p"),G295," ")</f>
        <v> </v>
      </c>
      <c r="N295" s="334" t="str">
        <f aca="false">IF((E295="r"),G295," ")</f>
        <v> </v>
      </c>
      <c r="O295" s="334" t="str">
        <f aca="false">IF((E295="g"),G295," ")</f>
        <v> </v>
      </c>
      <c r="P295" s="334" t="str">
        <f aca="false">IF((E295="m"),G295," ")</f>
        <v> </v>
      </c>
      <c r="Q295" s="334" t="str">
        <f aca="false">IF((E295="t"),G295," ")</f>
        <v> </v>
      </c>
      <c r="R295" s="334" t="str">
        <f aca="false">IF((E295="a"),G295," ")</f>
        <v> </v>
      </c>
      <c r="S295" s="334" t="str">
        <f aca="false">IF((E295="l"),G295," ")</f>
        <v> </v>
      </c>
      <c r="T295" s="334" t="str">
        <f aca="false">IF((E295="b"),G295," ")</f>
        <v> </v>
      </c>
      <c r="U295" s="334" t="str">
        <f aca="false">IF((E295="i"),G295," ")</f>
        <v> </v>
      </c>
      <c r="V295" s="334" t="str">
        <f aca="false">IF((E295="o"),G295," ")</f>
        <v> </v>
      </c>
      <c r="W295" s="334" t="str">
        <f aca="false">IF((E295="f"),G295," ")</f>
        <v> </v>
      </c>
    </row>
    <row r="296" customFormat="false" ht="12.75" hidden="false" customHeight="false" outlineLevel="0" collapsed="false">
      <c r="A296" s="355"/>
      <c r="E296" s="365" t="str">
        <f aca="false">IF((G296&lt;&gt;0),"Enter Letter"," ")</f>
        <v> </v>
      </c>
      <c r="J296" s="334" t="str">
        <f aca="false">IF((E296="s"),G296," ")</f>
        <v> </v>
      </c>
      <c r="K296" s="334" t="str">
        <f aca="false">IF((E296="d"),G296," ")</f>
        <v> </v>
      </c>
      <c r="L296" s="334" t="str">
        <f aca="false">IF((E296="e"),G296," ")</f>
        <v> </v>
      </c>
      <c r="M296" s="334" t="str">
        <f aca="false">IF((E296="p"),G296," ")</f>
        <v> </v>
      </c>
      <c r="N296" s="334" t="str">
        <f aca="false">IF((E296="r"),G296," ")</f>
        <v> </v>
      </c>
      <c r="O296" s="334" t="str">
        <f aca="false">IF((E296="g"),G296," ")</f>
        <v> </v>
      </c>
      <c r="P296" s="334" t="str">
        <f aca="false">IF((E296="m"),G296," ")</f>
        <v> </v>
      </c>
      <c r="Q296" s="334" t="str">
        <f aca="false">IF((E296="t"),G296," ")</f>
        <v> </v>
      </c>
      <c r="R296" s="334" t="str">
        <f aca="false">IF((E296="a"),G296," ")</f>
        <v> </v>
      </c>
      <c r="S296" s="334" t="str">
        <f aca="false">IF((E296="l"),G296," ")</f>
        <v> </v>
      </c>
      <c r="T296" s="334" t="str">
        <f aca="false">IF((E296="b"),G296," ")</f>
        <v> </v>
      </c>
      <c r="U296" s="334" t="str">
        <f aca="false">IF((E296="i"),G296," ")</f>
        <v> </v>
      </c>
      <c r="V296" s="334" t="str">
        <f aca="false">IF((E296="o"),G296," ")</f>
        <v> </v>
      </c>
      <c r="W296" s="334" t="str">
        <f aca="false">IF((E296="f"),G296," ")</f>
        <v> </v>
      </c>
    </row>
    <row r="297" customFormat="false" ht="12.75" hidden="false" customHeight="false" outlineLevel="0" collapsed="false">
      <c r="A297" s="355"/>
      <c r="E297" s="365" t="str">
        <f aca="false">IF((G297&lt;&gt;0),"Enter Letter"," ")</f>
        <v> </v>
      </c>
      <c r="J297" s="334" t="str">
        <f aca="false">IF((E297="s"),G297," ")</f>
        <v> </v>
      </c>
      <c r="K297" s="334" t="str">
        <f aca="false">IF((E297="d"),G297," ")</f>
        <v> </v>
      </c>
      <c r="L297" s="334" t="str">
        <f aca="false">IF((E297="e"),G297," ")</f>
        <v> </v>
      </c>
      <c r="M297" s="334" t="str">
        <f aca="false">IF((E297="p"),G297," ")</f>
        <v> </v>
      </c>
      <c r="N297" s="334" t="str">
        <f aca="false">IF((E297="r"),G297," ")</f>
        <v> </v>
      </c>
      <c r="O297" s="334" t="str">
        <f aca="false">IF((E297="g"),G297," ")</f>
        <v> </v>
      </c>
      <c r="P297" s="334" t="str">
        <f aca="false">IF((E297="m"),G297," ")</f>
        <v> </v>
      </c>
      <c r="Q297" s="334" t="str">
        <f aca="false">IF((E297="t"),G297," ")</f>
        <v> </v>
      </c>
      <c r="R297" s="334" t="str">
        <f aca="false">IF((E297="a"),G297," ")</f>
        <v> </v>
      </c>
      <c r="S297" s="334" t="str">
        <f aca="false">IF((E297="l"),G297," ")</f>
        <v> </v>
      </c>
      <c r="T297" s="334" t="str">
        <f aca="false">IF((E297="b"),G297," ")</f>
        <v> </v>
      </c>
      <c r="U297" s="334" t="str">
        <f aca="false">IF((E297="i"),G297," ")</f>
        <v> </v>
      </c>
      <c r="V297" s="334" t="str">
        <f aca="false">IF((E297="o"),G297," ")</f>
        <v> </v>
      </c>
      <c r="W297" s="334" t="str">
        <f aca="false">IF((E297="f"),G297," ")</f>
        <v> </v>
      </c>
    </row>
    <row r="298" customFormat="false" ht="12.75" hidden="false" customHeight="false" outlineLevel="0" collapsed="false">
      <c r="A298" s="355"/>
      <c r="E298" s="365" t="str">
        <f aca="false">IF((G298&lt;&gt;0),"Enter Letter"," ")</f>
        <v> </v>
      </c>
      <c r="J298" s="334" t="str">
        <f aca="false">IF((E298="s"),G298," ")</f>
        <v> </v>
      </c>
      <c r="K298" s="334" t="str">
        <f aca="false">IF((E298="d"),G298," ")</f>
        <v> </v>
      </c>
      <c r="L298" s="334" t="str">
        <f aca="false">IF((E298="e"),G298," ")</f>
        <v> </v>
      </c>
      <c r="M298" s="334" t="str">
        <f aca="false">IF((E298="p"),G298," ")</f>
        <v> </v>
      </c>
      <c r="N298" s="334" t="str">
        <f aca="false">IF((E298="r"),G298," ")</f>
        <v> </v>
      </c>
      <c r="O298" s="334" t="str">
        <f aca="false">IF((E298="g"),G298," ")</f>
        <v> </v>
      </c>
      <c r="P298" s="334" t="str">
        <f aca="false">IF((E298="m"),G298," ")</f>
        <v> </v>
      </c>
      <c r="Q298" s="334" t="str">
        <f aca="false">IF((E298="t"),G298," ")</f>
        <v> </v>
      </c>
      <c r="R298" s="334" t="str">
        <f aca="false">IF((E298="a"),G298," ")</f>
        <v> </v>
      </c>
      <c r="S298" s="334" t="str">
        <f aca="false">IF((E298="l"),G298," ")</f>
        <v> </v>
      </c>
      <c r="T298" s="334" t="str">
        <f aca="false">IF((E298="b"),G298," ")</f>
        <v> </v>
      </c>
      <c r="U298" s="334" t="str">
        <f aca="false">IF((E298="i"),G298," ")</f>
        <v> </v>
      </c>
      <c r="V298" s="334" t="str">
        <f aca="false">IF((E298="o"),G298," ")</f>
        <v> </v>
      </c>
      <c r="W298" s="334" t="str">
        <f aca="false">IF((E298="f"),G298," ")</f>
        <v> </v>
      </c>
    </row>
    <row r="299" customFormat="false" ht="12.75" hidden="false" customHeight="false" outlineLevel="0" collapsed="false">
      <c r="A299" s="355"/>
      <c r="E299" s="365" t="str">
        <f aca="false">IF((G299&lt;&gt;0),"Enter Letter"," ")</f>
        <v> </v>
      </c>
      <c r="J299" s="334" t="str">
        <f aca="false">IF((E299="s"),G299," ")</f>
        <v> </v>
      </c>
      <c r="K299" s="334" t="str">
        <f aca="false">IF((E299="d"),G299," ")</f>
        <v> </v>
      </c>
      <c r="L299" s="334" t="str">
        <f aca="false">IF((E299="e"),G299," ")</f>
        <v> </v>
      </c>
      <c r="M299" s="334" t="str">
        <f aca="false">IF((E299="p"),G299," ")</f>
        <v> </v>
      </c>
      <c r="N299" s="334" t="str">
        <f aca="false">IF((E299="r"),G299," ")</f>
        <v> </v>
      </c>
      <c r="O299" s="334" t="str">
        <f aca="false">IF((E299="g"),G299," ")</f>
        <v> </v>
      </c>
      <c r="P299" s="334" t="str">
        <f aca="false">IF((E299="m"),G299," ")</f>
        <v> </v>
      </c>
      <c r="Q299" s="334" t="str">
        <f aca="false">IF((E299="t"),G299," ")</f>
        <v> </v>
      </c>
      <c r="R299" s="334" t="str">
        <f aca="false">IF((E299="a"),G299," ")</f>
        <v> </v>
      </c>
      <c r="S299" s="334" t="str">
        <f aca="false">IF((E299="l"),G299," ")</f>
        <v> </v>
      </c>
      <c r="T299" s="334" t="str">
        <f aca="false">IF((E299="b"),G299," ")</f>
        <v> </v>
      </c>
      <c r="U299" s="334" t="str">
        <f aca="false">IF((E299="i"),G299," ")</f>
        <v> </v>
      </c>
      <c r="V299" s="334" t="str">
        <f aca="false">IF((E299="o"),G299," ")</f>
        <v> </v>
      </c>
      <c r="W299" s="334" t="str">
        <f aca="false">IF((E299="f"),G299," ")</f>
        <v> </v>
      </c>
    </row>
    <row r="300" customFormat="false" ht="12.75" hidden="false" customHeight="false" outlineLevel="0" collapsed="false">
      <c r="A300" s="355"/>
      <c r="B300" s="393"/>
      <c r="C300" s="393"/>
      <c r="D300" s="394"/>
      <c r="E300" s="395" t="str">
        <f aca="false">IF((G300&lt;&gt;0),"Enter Letter"," ")</f>
        <v> </v>
      </c>
      <c r="F300" s="396"/>
      <c r="G300" s="397"/>
      <c r="H300" s="360"/>
      <c r="I300" s="398"/>
      <c r="J300" s="356" t="str">
        <f aca="false">IF((E300="s"),G300," ")</f>
        <v> </v>
      </c>
      <c r="K300" s="356" t="str">
        <f aca="false">IF((E300="d"),G300," ")</f>
        <v> </v>
      </c>
      <c r="L300" s="356" t="str">
        <f aca="false">IF((E300="e"),G300," ")</f>
        <v> </v>
      </c>
      <c r="M300" s="356" t="str">
        <f aca="false">IF((E300="p"),G300," ")</f>
        <v> </v>
      </c>
      <c r="N300" s="356" t="str">
        <f aca="false">IF((E300="r"),G300," ")</f>
        <v> </v>
      </c>
      <c r="O300" s="356" t="str">
        <f aca="false">IF((E300="g"),G300," ")</f>
        <v> </v>
      </c>
      <c r="P300" s="356" t="str">
        <f aca="false">IF((E300="m"),G300," ")</f>
        <v> </v>
      </c>
      <c r="Q300" s="356" t="str">
        <f aca="false">IF((E300="t"),G300," ")</f>
        <v> </v>
      </c>
      <c r="R300" s="356" t="str">
        <f aca="false">IF((E300="a"),G300," ")</f>
        <v> </v>
      </c>
      <c r="S300" s="356" t="str">
        <f aca="false">IF((E300="l"),G300," ")</f>
        <v> </v>
      </c>
      <c r="T300" s="356" t="str">
        <f aca="false">IF((E300="b"),G300," ")</f>
        <v> </v>
      </c>
      <c r="U300" s="356" t="str">
        <f aca="false">IF((E300="i"),G300," ")</f>
        <v> </v>
      </c>
      <c r="V300" s="356" t="str">
        <f aca="false">IF((E300="o"),G300," ")</f>
        <v> </v>
      </c>
      <c r="W300" s="356" t="str">
        <f aca="false">IF((E300="f"),G300," ")</f>
        <v> </v>
      </c>
    </row>
  </sheetData>
  <mergeCells count="25">
    <mergeCell ref="A2:A4"/>
    <mergeCell ref="B2:B4"/>
    <mergeCell ref="C2:C4"/>
    <mergeCell ref="D2:D4"/>
    <mergeCell ref="E2:E3"/>
    <mergeCell ref="F2:F4"/>
    <mergeCell ref="G2:G3"/>
    <mergeCell ref="H2:H4"/>
    <mergeCell ref="I2:I4"/>
    <mergeCell ref="J2:J3"/>
    <mergeCell ref="K2:K3"/>
    <mergeCell ref="L2:L3"/>
    <mergeCell ref="M2:M3"/>
    <mergeCell ref="N2:N3"/>
    <mergeCell ref="O2:O3"/>
    <mergeCell ref="Q2:Q3"/>
    <mergeCell ref="R2:R3"/>
    <mergeCell ref="S2:S3"/>
    <mergeCell ref="T2:T3"/>
    <mergeCell ref="U2:U3"/>
    <mergeCell ref="V2:V3"/>
    <mergeCell ref="W2:W3"/>
    <mergeCell ref="X2:X4"/>
    <mergeCell ref="Y2:Z2"/>
    <mergeCell ref="Y3:Z3"/>
  </mergeCells>
  <dataValidations count="3">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5:A300" type="date">
      <formula1>38353</formula1>
      <formula2>53327</formula2>
    </dataValidation>
    <dataValidation allowBlank="true" errorStyle="stop" operator="between" prompt="An amount in this cell shows the total purchases in cell G1 does not agree with the totals in the analysis columns cells J1 to W&#10;&#10;CHECK all expense code letters have been entered correctly or any manual entries in the analysis correct&#10;" promptTitle="ERROR ALERT" showDropDown="false" showErrorMessage="true" showInputMessage="true" sqref="E1" type="none">
      <formula1>0</formula1>
      <formula2>0</formula2>
    </dataValidation>
    <dataValidation allowBlank="true" errorStyle="stop" operator="between" showDropDown="false" showErrorMessage="true" showInputMessage="false" sqref="E5:E300" type="list">
      <formula1>$J$4:$W$4</formula1>
      <formula2>0</formula2>
    </dataValidation>
  </dataValidations>
  <printOptions headings="false" gridLines="true" gridLinesSet="true" horizontalCentered="false" verticalCentered="false"/>
  <pageMargins left="0.315277777777778" right="0.472222222222222"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2" manualBreakCount="2">
    <brk id="9" man="true" max="65535" min="0"/>
    <brk id="22" man="true" max="65535" min="0"/>
  </colBreak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false" hidden="false" outlineLevel="0" max="1" min="1" style="333" width="9.15"/>
    <col collapsed="false" customWidth="true" hidden="false" outlineLevel="0" max="2" min="2" style="334" width="17.66"/>
    <col collapsed="false" customWidth="true" hidden="false" outlineLevel="0" max="3" min="3" style="335" width="11.32"/>
    <col collapsed="false" customWidth="true" hidden="false" outlineLevel="0" max="4" min="4" style="336" width="14.49"/>
    <col collapsed="false" customWidth="true" hidden="false" outlineLevel="0" max="5" min="5" style="337" width="7.66"/>
    <col collapsed="false" customWidth="true" hidden="false" outlineLevel="0" max="7" min="6" style="334" width="9.66"/>
    <col collapsed="false" customWidth="true" hidden="false" outlineLevel="0" max="8" min="8" style="338" width="9.66"/>
    <col collapsed="false" customWidth="true" hidden="false" outlineLevel="0" max="9" min="9" style="339" width="10.5"/>
    <col collapsed="false" customWidth="false" hidden="false" outlineLevel="0" max="257" min="10" style="334" width="9.15"/>
  </cols>
  <sheetData>
    <row r="1" s="348" customFormat="true" ht="12.75" hidden="false" customHeight="true" outlineLevel="0" collapsed="false">
      <c r="A1" s="340" t="s">
        <v>246</v>
      </c>
      <c r="B1" s="341" t="s">
        <v>247</v>
      </c>
      <c r="C1" s="342"/>
      <c r="D1" s="343" t="s">
        <v>248</v>
      </c>
      <c r="E1" s="344" t="n">
        <f aca="false">SUM(E4:E300)</f>
        <v>0</v>
      </c>
      <c r="F1" s="343" t="n">
        <f aca="false">SUM(F4:F300)</f>
        <v>35560</v>
      </c>
      <c r="G1" s="343" t="n">
        <f aca="false">SUM(G4:G300)</f>
        <v>0</v>
      </c>
      <c r="H1" s="345" t="n">
        <f aca="false">SUM(H4:H300)</f>
        <v>0</v>
      </c>
      <c r="I1" s="346" t="n">
        <f aca="true">TODAY()</f>
        <v>46138</v>
      </c>
      <c r="J1" s="343" t="n">
        <f aca="false">SUM(J4:J300)</f>
        <v>0</v>
      </c>
      <c r="K1" s="347" t="n">
        <f aca="false">J1+SalesSep!K1</f>
        <v>0</v>
      </c>
    </row>
    <row r="2" s="348" customFormat="true" ht="12.75" hidden="false" customHeight="true" outlineLevel="0" collapsed="false">
      <c r="A2" s="340"/>
      <c r="B2" s="341"/>
      <c r="C2" s="349" t="s">
        <v>249</v>
      </c>
      <c r="D2" s="350" t="s">
        <v>250</v>
      </c>
      <c r="E2" s="351" t="s">
        <v>251</v>
      </c>
      <c r="F2" s="341" t="s">
        <v>252</v>
      </c>
      <c r="G2" s="341" t="s">
        <v>253</v>
      </c>
      <c r="H2" s="352" t="s">
        <v>254</v>
      </c>
      <c r="I2" s="353" t="s">
        <v>255</v>
      </c>
      <c r="J2" s="341" t="s">
        <v>256</v>
      </c>
      <c r="K2" s="341"/>
    </row>
    <row r="3" s="354" customFormat="true" ht="38.25" hidden="false" customHeight="true" outlineLevel="0" collapsed="false">
      <c r="A3" s="340"/>
      <c r="B3" s="341"/>
      <c r="C3" s="349"/>
      <c r="D3" s="350"/>
      <c r="E3" s="351"/>
      <c r="F3" s="351"/>
      <c r="G3" s="351"/>
      <c r="H3" s="352"/>
      <c r="I3" s="353"/>
      <c r="J3" s="341" t="s">
        <v>257</v>
      </c>
      <c r="K3" s="341" t="s">
        <v>258</v>
      </c>
    </row>
    <row r="4" customFormat="false" ht="12.75" hidden="false" customHeight="false" outlineLevel="0" collapsed="false">
      <c r="A4" s="355" t="n">
        <v>45931</v>
      </c>
      <c r="B4" s="334" t="s">
        <v>236</v>
      </c>
      <c r="F4" s="334" t="n">
        <v>1200</v>
      </c>
      <c r="I4" s="339" t="n">
        <f aca="false">IF((F4&lt;&gt;0),IF((D4&gt;0)," ",(I$1-A4))," ")</f>
        <v>207</v>
      </c>
    </row>
    <row r="5" customFormat="false" ht="12.75" hidden="false" customHeight="false" outlineLevel="0" collapsed="false">
      <c r="A5" s="355" t="n">
        <v>45933</v>
      </c>
      <c r="B5" s="334" t="s">
        <v>259</v>
      </c>
      <c r="F5" s="334" t="n">
        <v>360</v>
      </c>
      <c r="I5" s="339" t="n">
        <f aca="false">IF((F5&lt;&gt;0),IF((D5&gt;0)," ",(I$1-A5))," ")</f>
        <v>205</v>
      </c>
    </row>
    <row r="6" customFormat="false" ht="12.75" hidden="false" customHeight="false" outlineLevel="0" collapsed="false">
      <c r="A6" s="355" t="n">
        <v>45935</v>
      </c>
      <c r="B6" s="334" t="s">
        <v>260</v>
      </c>
      <c r="F6" s="334" t="n">
        <v>600</v>
      </c>
      <c r="I6" s="339" t="n">
        <f aca="false">IF((F6&lt;&gt;0),IF((D6&gt;0)," ",(I$1-A6))," ")</f>
        <v>203</v>
      </c>
    </row>
    <row r="7" customFormat="false" ht="12.75" hidden="false" customHeight="false" outlineLevel="0" collapsed="false">
      <c r="A7" s="355" t="n">
        <v>45938</v>
      </c>
      <c r="B7" s="334" t="s">
        <v>261</v>
      </c>
      <c r="F7" s="334" t="n">
        <v>480</v>
      </c>
      <c r="I7" s="339" t="n">
        <f aca="false">IF((F7&lt;&gt;0),IF((D7&gt;0)," ",(I$1-A7))," ")</f>
        <v>200</v>
      </c>
    </row>
    <row r="8" customFormat="false" ht="12.75" hidden="false" customHeight="false" outlineLevel="0" collapsed="false">
      <c r="A8" s="355" t="n">
        <v>45940</v>
      </c>
      <c r="B8" s="334" t="s">
        <v>262</v>
      </c>
      <c r="F8" s="334" t="n">
        <v>720</v>
      </c>
      <c r="I8" s="339" t="n">
        <f aca="false">IF((F8&lt;&gt;0),IF((D8&gt;0)," ",(I$1-A8))," ")</f>
        <v>198</v>
      </c>
    </row>
    <row r="9" customFormat="false" ht="12.75" hidden="false" customHeight="false" outlineLevel="0" collapsed="false">
      <c r="A9" s="355" t="n">
        <v>45944</v>
      </c>
      <c r="B9" s="334" t="s">
        <v>365</v>
      </c>
      <c r="F9" s="334" t="n">
        <v>2160</v>
      </c>
      <c r="I9" s="339" t="n">
        <f aca="false">IF((F9&lt;&gt;0),IF((D9&gt;0)," ",(I$1-A9))," ")</f>
        <v>194</v>
      </c>
    </row>
    <row r="10" customFormat="false" ht="12.75" hidden="false" customHeight="false" outlineLevel="0" collapsed="false">
      <c r="A10" s="355" t="n">
        <v>45945</v>
      </c>
      <c r="B10" s="334" t="s">
        <v>235</v>
      </c>
      <c r="F10" s="334" t="n">
        <v>25000</v>
      </c>
      <c r="I10" s="339" t="n">
        <f aca="false">IF((F10&lt;&gt;0),IF((D10&gt;0)," ",(I$1-A10))," ")</f>
        <v>193</v>
      </c>
    </row>
    <row r="11" customFormat="false" ht="12.75" hidden="false" customHeight="false" outlineLevel="0" collapsed="false">
      <c r="A11" s="355" t="n">
        <v>45948</v>
      </c>
      <c r="B11" s="334" t="s">
        <v>237</v>
      </c>
      <c r="F11" s="334" t="n">
        <v>2400</v>
      </c>
      <c r="I11" s="339" t="n">
        <f aca="false">IF((F11&lt;&gt;0),IF((D11&gt;0)," ",(I$1-A11))," ")</f>
        <v>190</v>
      </c>
    </row>
    <row r="12" customFormat="false" ht="12.75" hidden="false" customHeight="false" outlineLevel="0" collapsed="false">
      <c r="A12" s="355" t="n">
        <v>45950</v>
      </c>
      <c r="B12" s="334" t="s">
        <v>263</v>
      </c>
      <c r="F12" s="334" t="n">
        <v>1800</v>
      </c>
      <c r="I12" s="339" t="n">
        <f aca="false">IF((F12&lt;&gt;0),IF((D12&gt;0)," ",(I$1-A12))," ")</f>
        <v>188</v>
      </c>
    </row>
    <row r="13" customFormat="false" ht="12.75" hidden="false" customHeight="false" outlineLevel="0" collapsed="false">
      <c r="A13" s="355" t="n">
        <v>45958</v>
      </c>
      <c r="B13" s="334" t="s">
        <v>264</v>
      </c>
      <c r="F13" s="334" t="n">
        <v>840</v>
      </c>
      <c r="I13" s="339" t="n">
        <f aca="false">IF((F13&lt;&gt;0),IF((D13&gt;0)," ",(I$1-A13))," ")</f>
        <v>180</v>
      </c>
    </row>
    <row r="14" customFormat="false" ht="12.75" hidden="false" customHeight="false" outlineLevel="0" collapsed="false">
      <c r="A14" s="355"/>
      <c r="I14" s="339" t="str">
        <f aca="false">IF((F14&lt;&gt;0),IF((D14&gt;0)," ",(I$1-A14))," ")</f>
        <v> </v>
      </c>
    </row>
    <row r="15" customFormat="false" ht="12.75" hidden="false" customHeight="false" outlineLevel="0" collapsed="false">
      <c r="A15" s="355"/>
      <c r="I15" s="339" t="str">
        <f aca="false">IF((F15&lt;&gt;0),IF((D15&gt;0)," ",(I$1-A15))," ")</f>
        <v> </v>
      </c>
    </row>
    <row r="16" customFormat="false" ht="12.75" hidden="false" customHeight="false" outlineLevel="0" collapsed="false">
      <c r="A16" s="355"/>
      <c r="I16" s="339" t="str">
        <f aca="false">IF((F16&lt;&gt;0),IF((D16&gt;0)," ",(I$1-A16))," ")</f>
        <v> </v>
      </c>
    </row>
    <row r="17" customFormat="false" ht="12.75" hidden="false" customHeight="false" outlineLevel="0" collapsed="false">
      <c r="A17" s="355"/>
      <c r="I17" s="339" t="str">
        <f aca="false">IF((F17&lt;&gt;0),IF((D17&gt;0)," ",(I$1-A17))," ")</f>
        <v> </v>
      </c>
    </row>
    <row r="18" customFormat="false" ht="12.75" hidden="false" customHeight="false" outlineLevel="0" collapsed="false">
      <c r="A18" s="355"/>
      <c r="I18" s="339" t="str">
        <f aca="false">IF((F18&lt;&gt;0),IF((D18&gt;0)," ",(I$1-A18))," ")</f>
        <v> </v>
      </c>
    </row>
    <row r="19" customFormat="false" ht="12.75" hidden="false" customHeight="false" outlineLevel="0" collapsed="false">
      <c r="A19" s="355"/>
      <c r="I19" s="339" t="str">
        <f aca="false">IF((F19&lt;&gt;0),IF((D19&gt;0)," ",(I$1-A19))," ")</f>
        <v> </v>
      </c>
    </row>
    <row r="20" customFormat="false" ht="12.75" hidden="false" customHeight="false" outlineLevel="0" collapsed="false">
      <c r="A20" s="355"/>
      <c r="I20" s="339" t="str">
        <f aca="false">IF((F20&lt;&gt;0),IF((D20&gt;0)," ",(I$1-A20))," ")</f>
        <v> </v>
      </c>
    </row>
    <row r="21" customFormat="false" ht="12.75" hidden="false" customHeight="false" outlineLevel="0" collapsed="false">
      <c r="A21" s="355"/>
      <c r="I21" s="339" t="str">
        <f aca="false">IF((F21&lt;&gt;0),IF((D21&gt;0)," ",(I$1-A21))," ")</f>
        <v> </v>
      </c>
    </row>
    <row r="22" customFormat="false" ht="12.75" hidden="false" customHeight="false" outlineLevel="0" collapsed="false">
      <c r="A22" s="355"/>
      <c r="I22" s="339" t="str">
        <f aca="false">IF((F22&lt;&gt;0),IF((D22&gt;0)," ",(I$1-A22))," ")</f>
        <v> </v>
      </c>
    </row>
    <row r="23" customFormat="false" ht="12.75" hidden="false" customHeight="false" outlineLevel="0" collapsed="false">
      <c r="A23" s="355"/>
      <c r="I23" s="339" t="str">
        <f aca="false">IF((F23&lt;&gt;0),IF((D23&gt;0)," ",(I$1-A23))," ")</f>
        <v> </v>
      </c>
    </row>
    <row r="24" customFormat="false" ht="12.75" hidden="false" customHeight="false" outlineLevel="0" collapsed="false">
      <c r="A24" s="355"/>
      <c r="I24" s="339" t="str">
        <f aca="false">IF((F24&lt;&gt;0),IF((D24&gt;0)," ",(I$1-A24))," ")</f>
        <v> </v>
      </c>
    </row>
    <row r="25" customFormat="false" ht="12.75" hidden="false" customHeight="false" outlineLevel="0" collapsed="false">
      <c r="A25" s="355"/>
      <c r="I25" s="339" t="str">
        <f aca="false">IF((F25&lt;&gt;0),IF((D25&gt;0)," ",(I$1-A25))," ")</f>
        <v> </v>
      </c>
    </row>
    <row r="26" customFormat="false" ht="12.75" hidden="false" customHeight="false" outlineLevel="0" collapsed="false">
      <c r="A26" s="355"/>
      <c r="I26" s="339" t="str">
        <f aca="false">IF((F26&lt;&gt;0),IF((D26&gt;0)," ",(I$1-A26))," ")</f>
        <v> </v>
      </c>
    </row>
    <row r="27" customFormat="false" ht="12.75" hidden="false" customHeight="false" outlineLevel="0" collapsed="false">
      <c r="A27" s="355"/>
      <c r="I27" s="339" t="str">
        <f aca="false">IF((F27&lt;&gt;0),IF((D27&gt;0)," ",(I$1-A27))," ")</f>
        <v> </v>
      </c>
    </row>
    <row r="28" customFormat="false" ht="12.75" hidden="false" customHeight="false" outlineLevel="0" collapsed="false">
      <c r="A28" s="355"/>
      <c r="I28" s="339" t="str">
        <f aca="false">IF((F28&lt;&gt;0),IF((D28&gt;0)," ",(I$1-A28))," ")</f>
        <v> </v>
      </c>
    </row>
    <row r="29" customFormat="false" ht="12.75" hidden="false" customHeight="false" outlineLevel="0" collapsed="false">
      <c r="A29" s="355"/>
      <c r="I29" s="339" t="str">
        <f aca="false">IF((F29&lt;&gt;0),IF((D29&gt;0)," ",(I$1-A29))," ")</f>
        <v> </v>
      </c>
    </row>
    <row r="30" customFormat="false" ht="12.75" hidden="false" customHeight="false" outlineLevel="0" collapsed="false">
      <c r="A30" s="355"/>
      <c r="I30" s="339" t="str">
        <f aca="false">IF((F30&lt;&gt;0),IF((D30&gt;0)," ",(I$1-A30))," ")</f>
        <v> </v>
      </c>
    </row>
    <row r="31" customFormat="false" ht="12.75" hidden="false" customHeight="false" outlineLevel="0" collapsed="false">
      <c r="A31" s="355"/>
      <c r="I31" s="339" t="str">
        <f aca="false">IF((F31&lt;&gt;0),IF((D31&gt;0)," ",(I$1-A31))," ")</f>
        <v> </v>
      </c>
    </row>
    <row r="32" customFormat="false" ht="12.75" hidden="false" customHeight="false" outlineLevel="0" collapsed="false">
      <c r="A32" s="355"/>
      <c r="I32" s="339" t="str">
        <f aca="false">IF((F32&lt;&gt;0),IF((D32&gt;0)," ",(I$1-A32))," ")</f>
        <v> </v>
      </c>
    </row>
    <row r="33" customFormat="false" ht="12.75" hidden="false" customHeight="false" outlineLevel="0" collapsed="false">
      <c r="A33" s="355"/>
      <c r="I33" s="339" t="str">
        <f aca="false">IF((F33&lt;&gt;0),IF((D33&gt;0)," ",(I$1-A33))," ")</f>
        <v> </v>
      </c>
    </row>
    <row r="34" customFormat="false" ht="12.75" hidden="false" customHeight="false" outlineLevel="0" collapsed="false">
      <c r="A34" s="355"/>
      <c r="I34" s="339" t="str">
        <f aca="false">IF((F34&lt;&gt;0),IF((D34&gt;0)," ",(I$1-A34))," ")</f>
        <v> </v>
      </c>
    </row>
    <row r="35" customFormat="false" ht="12.75" hidden="false" customHeight="false" outlineLevel="0" collapsed="false">
      <c r="A35" s="355"/>
      <c r="I35" s="339" t="str">
        <f aca="false">IF((F35&lt;&gt;0),IF((D35&gt;0)," ",(I$1-A35))," ")</f>
        <v> </v>
      </c>
    </row>
    <row r="36" customFormat="false" ht="12.75" hidden="false" customHeight="false" outlineLevel="0" collapsed="false">
      <c r="A36" s="355"/>
      <c r="I36" s="339" t="str">
        <f aca="false">IF((F36&lt;&gt;0),IF((D36&gt;0)," ",(I$1-A36))," ")</f>
        <v> </v>
      </c>
    </row>
    <row r="37" customFormat="false" ht="12.75" hidden="false" customHeight="false" outlineLevel="0" collapsed="false">
      <c r="A37" s="355"/>
      <c r="I37" s="339" t="str">
        <f aca="false">IF((F37&lt;&gt;0),IF((D37&gt;0)," ",(I$1-A37))," ")</f>
        <v> </v>
      </c>
    </row>
    <row r="38" customFormat="false" ht="12.75" hidden="false" customHeight="false" outlineLevel="0" collapsed="false">
      <c r="A38" s="355"/>
      <c r="I38" s="339" t="str">
        <f aca="false">IF((F38&lt;&gt;0),IF((D38&gt;0)," ",(I$1-A38))," ")</f>
        <v> </v>
      </c>
    </row>
    <row r="39" customFormat="false" ht="12.75" hidden="false" customHeight="false" outlineLevel="0" collapsed="false">
      <c r="A39" s="355"/>
      <c r="I39" s="339" t="str">
        <f aca="false">IF((F39&lt;&gt;0),IF((D39&gt;0)," ",(I$1-A39))," ")</f>
        <v> </v>
      </c>
    </row>
    <row r="40" customFormat="false" ht="12.75" hidden="false" customHeight="false" outlineLevel="0" collapsed="false">
      <c r="A40" s="355"/>
      <c r="I40" s="339" t="str">
        <f aca="false">IF((F40&lt;&gt;0),IF((D40&gt;0)," ",(I$1-A40))," ")</f>
        <v> </v>
      </c>
    </row>
    <row r="41" customFormat="false" ht="12.75" hidden="false" customHeight="false" outlineLevel="0" collapsed="false">
      <c r="A41" s="355"/>
      <c r="I41" s="339" t="str">
        <f aca="false">IF((F41&lt;&gt;0),IF((D41&gt;0)," ",(I$1-A41))," ")</f>
        <v> </v>
      </c>
    </row>
    <row r="42" customFormat="false" ht="12.75" hidden="false" customHeight="false" outlineLevel="0" collapsed="false">
      <c r="A42" s="355"/>
      <c r="I42" s="339" t="str">
        <f aca="false">IF((F42&lt;&gt;0),IF((D42&gt;0)," ",(I$1-A42))," ")</f>
        <v> </v>
      </c>
    </row>
    <row r="43" customFormat="false" ht="12.75" hidden="false" customHeight="false" outlineLevel="0" collapsed="false">
      <c r="A43" s="355"/>
      <c r="I43" s="339" t="str">
        <f aca="false">IF((F43&lt;&gt;0),IF((D43&gt;0)," ",(I$1-A43))," ")</f>
        <v> </v>
      </c>
    </row>
    <row r="44" customFormat="false" ht="12.75" hidden="false" customHeight="false" outlineLevel="0" collapsed="false">
      <c r="A44" s="355"/>
      <c r="I44" s="339" t="str">
        <f aca="false">IF((F44&lt;&gt;0),IF((D44&gt;0)," ",(I$1-A44))," ")</f>
        <v> </v>
      </c>
    </row>
    <row r="45" customFormat="false" ht="12.75" hidden="false" customHeight="false" outlineLevel="0" collapsed="false">
      <c r="A45" s="355"/>
      <c r="I45" s="339" t="str">
        <f aca="false">IF((F45&lt;&gt;0),IF((D45&gt;0)," ",(I$1-A45))," ")</f>
        <v> </v>
      </c>
    </row>
    <row r="46" customFormat="false" ht="12.75" hidden="false" customHeight="false" outlineLevel="0" collapsed="false">
      <c r="A46" s="355"/>
      <c r="I46" s="339" t="str">
        <f aca="false">IF((F46&lt;&gt;0),IF((D46&gt;0)," ",(I$1-A46))," ")</f>
        <v> </v>
      </c>
    </row>
    <row r="47" customFormat="false" ht="12.75" hidden="false" customHeight="false" outlineLevel="0" collapsed="false">
      <c r="A47" s="355"/>
      <c r="I47" s="339" t="str">
        <f aca="false">IF((F47&lt;&gt;0),IF((D47&gt;0)," ",(I$1-A47))," ")</f>
        <v> </v>
      </c>
    </row>
    <row r="48" customFormat="false" ht="12.75" hidden="false" customHeight="false" outlineLevel="0" collapsed="false">
      <c r="A48" s="355"/>
      <c r="I48" s="339" t="str">
        <f aca="false">IF((F48&lt;&gt;0),IF((D48&gt;0)," ",(I$1-A48))," ")</f>
        <v> </v>
      </c>
    </row>
    <row r="49" customFormat="false" ht="12.75" hidden="false" customHeight="false" outlineLevel="0" collapsed="false">
      <c r="A49" s="355"/>
      <c r="I49" s="339" t="str">
        <f aca="false">IF((F49&lt;&gt;0),IF((D49&gt;0)," ",(I$1-A49))," ")</f>
        <v> </v>
      </c>
    </row>
    <row r="50" customFormat="false" ht="12.75" hidden="false" customHeight="false" outlineLevel="0" collapsed="false">
      <c r="A50" s="355"/>
      <c r="I50" s="339" t="str">
        <f aca="false">IF((F50&lt;&gt;0),IF((D50&gt;0)," ",(I$1-A50))," ")</f>
        <v> </v>
      </c>
    </row>
    <row r="51" customFormat="false" ht="12.75" hidden="false" customHeight="false" outlineLevel="0" collapsed="false">
      <c r="A51" s="355"/>
      <c r="I51" s="339" t="str">
        <f aca="false">IF((F51&lt;&gt;0),IF((D51&gt;0)," ",(I$1-A51))," ")</f>
        <v> </v>
      </c>
    </row>
    <row r="52" customFormat="false" ht="12.75" hidden="false" customHeight="false" outlineLevel="0" collapsed="false">
      <c r="A52" s="355"/>
      <c r="I52" s="339" t="str">
        <f aca="false">IF((F52&lt;&gt;0),IF((D52&gt;0)," ",(I$1-A52))," ")</f>
        <v> </v>
      </c>
    </row>
    <row r="53" customFormat="false" ht="12.75" hidden="false" customHeight="false" outlineLevel="0" collapsed="false">
      <c r="A53" s="355"/>
      <c r="I53" s="339" t="str">
        <f aca="false">IF((F53&lt;&gt;0),IF((D53&gt;0)," ",(I$1-A53))," ")</f>
        <v> </v>
      </c>
    </row>
    <row r="54" customFormat="false" ht="12.75" hidden="false" customHeight="false" outlineLevel="0" collapsed="false">
      <c r="A54" s="355"/>
      <c r="I54" s="339" t="str">
        <f aca="false">IF((F54&lt;&gt;0),IF((D54&gt;0)," ",(I$1-A54))," ")</f>
        <v> </v>
      </c>
    </row>
    <row r="55" customFormat="false" ht="12.75" hidden="false" customHeight="false" outlineLevel="0" collapsed="false">
      <c r="A55" s="355"/>
      <c r="I55" s="339" t="str">
        <f aca="false">IF((F55&lt;&gt;0),IF((D55&gt;0)," ",(I$1-A55))," ")</f>
        <v> </v>
      </c>
    </row>
    <row r="56" customFormat="false" ht="12.75" hidden="false" customHeight="false" outlineLevel="0" collapsed="false">
      <c r="A56" s="355"/>
      <c r="I56" s="339" t="str">
        <f aca="false">IF((F56&lt;&gt;0),IF((D56&gt;0)," ",(I$1-A56))," ")</f>
        <v> </v>
      </c>
    </row>
    <row r="57" customFormat="false" ht="12.75" hidden="false" customHeight="false" outlineLevel="0" collapsed="false">
      <c r="A57" s="355"/>
      <c r="I57" s="339" t="str">
        <f aca="false">IF((F57&lt;&gt;0),IF((D57&gt;0)," ",(I$1-A57))," ")</f>
        <v> </v>
      </c>
    </row>
    <row r="58" customFormat="false" ht="12.75" hidden="false" customHeight="false" outlineLevel="0" collapsed="false">
      <c r="A58" s="355"/>
      <c r="I58" s="339" t="str">
        <f aca="false">IF((F58&lt;&gt;0),IF((D58&gt;0)," ",(I$1-A58))," ")</f>
        <v> </v>
      </c>
    </row>
    <row r="59" customFormat="false" ht="12.75" hidden="false" customHeight="false" outlineLevel="0" collapsed="false">
      <c r="A59" s="355"/>
      <c r="I59" s="339" t="str">
        <f aca="false">IF((F59&lt;&gt;0),IF((D59&gt;0)," ",(I$1-A59))," ")</f>
        <v> </v>
      </c>
    </row>
    <row r="60" customFormat="false" ht="12.75" hidden="false" customHeight="false" outlineLevel="0" collapsed="false">
      <c r="A60" s="355"/>
      <c r="I60" s="339" t="str">
        <f aca="false">IF((F60&lt;&gt;0),IF((D60&gt;0)," ",(I$1-A60))," ")</f>
        <v> </v>
      </c>
    </row>
    <row r="61" customFormat="false" ht="12.75" hidden="false" customHeight="false" outlineLevel="0" collapsed="false">
      <c r="A61" s="355"/>
      <c r="I61" s="339" t="str">
        <f aca="false">IF((F61&lt;&gt;0),IF((D61&gt;0)," ",(I$1-A61))," ")</f>
        <v> </v>
      </c>
    </row>
    <row r="62" customFormat="false" ht="12.75" hidden="false" customHeight="false" outlineLevel="0" collapsed="false">
      <c r="A62" s="355"/>
      <c r="I62" s="339" t="str">
        <f aca="false">IF((F62&lt;&gt;0),IF((D62&gt;0)," ",(I$1-A62))," ")</f>
        <v> </v>
      </c>
    </row>
    <row r="63" customFormat="false" ht="12.75" hidden="false" customHeight="false" outlineLevel="0" collapsed="false">
      <c r="A63" s="355"/>
      <c r="I63" s="339" t="str">
        <f aca="false">IF((F63&lt;&gt;0),IF((D63&gt;0)," ",(I$1-A63))," ")</f>
        <v> </v>
      </c>
    </row>
    <row r="64" customFormat="false" ht="12.75" hidden="false" customHeight="false" outlineLevel="0" collapsed="false">
      <c r="A64" s="355"/>
      <c r="I64" s="339" t="str">
        <f aca="false">IF((F64&lt;&gt;0),IF((D64&gt;0)," ",(I$1-A64))," ")</f>
        <v> </v>
      </c>
    </row>
    <row r="65" customFormat="false" ht="12.75" hidden="false" customHeight="false" outlineLevel="0" collapsed="false">
      <c r="A65" s="355"/>
      <c r="I65" s="339" t="str">
        <f aca="false">IF((F65&lt;&gt;0),IF((D65&gt;0)," ",(I$1-A65))," ")</f>
        <v> </v>
      </c>
    </row>
    <row r="66" customFormat="false" ht="12.75" hidden="false" customHeight="false" outlineLevel="0" collapsed="false">
      <c r="A66" s="355"/>
      <c r="I66" s="339" t="str">
        <f aca="false">IF((F66&lt;&gt;0),IF((D66&gt;0)," ",(I$1-A66))," ")</f>
        <v> </v>
      </c>
    </row>
    <row r="67" customFormat="false" ht="12.75" hidden="false" customHeight="false" outlineLevel="0" collapsed="false">
      <c r="A67" s="355"/>
      <c r="I67" s="339" t="str">
        <f aca="false">IF((F67&lt;&gt;0),IF((D67&gt;0)," ",(I$1-A67))," ")</f>
        <v> </v>
      </c>
    </row>
    <row r="68" customFormat="false" ht="12.75" hidden="false" customHeight="false" outlineLevel="0" collapsed="false">
      <c r="A68" s="355"/>
      <c r="H68" s="338" t="str">
        <f aca="false">IF((F68&lt;&gt;0),IF((D68&gt;0)," ",F68)," ")</f>
        <v> </v>
      </c>
      <c r="I68" s="339" t="str">
        <f aca="false">IF((F68&lt;&gt;0),IF((D68&gt;0)," ",(I$1-A68))," ")</f>
        <v> </v>
      </c>
    </row>
    <row r="69" customFormat="false" ht="12.75" hidden="false" customHeight="false" outlineLevel="0" collapsed="false">
      <c r="A69" s="355"/>
      <c r="H69" s="338" t="str">
        <f aca="false">IF((F69&lt;&gt;0),IF((D69&gt;0)," ",F69)," ")</f>
        <v> </v>
      </c>
      <c r="I69" s="339" t="str">
        <f aca="false">IF((F69&lt;&gt;0),IF((D69&gt;0)," ",(I$1-A69))," ")</f>
        <v> </v>
      </c>
    </row>
    <row r="70" customFormat="false" ht="12.75" hidden="false" customHeight="false" outlineLevel="0" collapsed="false">
      <c r="A70" s="355"/>
      <c r="H70" s="338" t="str">
        <f aca="false">IF((F70&lt;&gt;0),IF((D70&gt;0)," ",F70)," ")</f>
        <v> </v>
      </c>
      <c r="I70" s="339" t="str">
        <f aca="false">IF((F70&lt;&gt;0),IF((D70&gt;0)," ",(I$1-A70))," ")</f>
        <v> </v>
      </c>
    </row>
    <row r="71" customFormat="false" ht="12.75" hidden="false" customHeight="false" outlineLevel="0" collapsed="false">
      <c r="A71" s="355"/>
      <c r="H71" s="338" t="str">
        <f aca="false">IF((F71&lt;&gt;0),IF((D71&gt;0)," ",F71)," ")</f>
        <v> </v>
      </c>
      <c r="I71" s="339" t="str">
        <f aca="false">IF((F71&lt;&gt;0),IF((D71&gt;0)," ",(I$1-A71))," ")</f>
        <v> </v>
      </c>
    </row>
    <row r="72" customFormat="false" ht="12.75" hidden="false" customHeight="false" outlineLevel="0" collapsed="false">
      <c r="A72" s="355"/>
      <c r="H72" s="338" t="str">
        <f aca="false">IF((F72&lt;&gt;0),IF((D72&gt;0)," ",F72)," ")</f>
        <v> </v>
      </c>
      <c r="I72" s="339" t="str">
        <f aca="false">IF((F72&lt;&gt;0),IF((D72&gt;0)," ",(I$1-A72))," ")</f>
        <v> </v>
      </c>
    </row>
    <row r="73" customFormat="false" ht="12.75" hidden="false" customHeight="false" outlineLevel="0" collapsed="false">
      <c r="A73" s="355"/>
      <c r="H73" s="338" t="str">
        <f aca="false">IF((F73&lt;&gt;0),IF((D73&gt;0)," ",F73)," ")</f>
        <v> </v>
      </c>
      <c r="I73" s="339" t="str">
        <f aca="false">IF((F73&lt;&gt;0),IF((D73&gt;0)," ",(I$1-A73))," ")</f>
        <v> </v>
      </c>
    </row>
    <row r="74" customFormat="false" ht="12.75" hidden="false" customHeight="false" outlineLevel="0" collapsed="false">
      <c r="A74" s="355"/>
      <c r="H74" s="338" t="str">
        <f aca="false">IF((F74&lt;&gt;0),IF((D74&gt;0)," ",F74)," ")</f>
        <v> </v>
      </c>
      <c r="I74" s="339" t="str">
        <f aca="false">IF((F74&lt;&gt;0),IF((D74&gt;0)," ",(I$1-A74))," ")</f>
        <v> </v>
      </c>
    </row>
    <row r="75" customFormat="false" ht="12.75" hidden="false" customHeight="false" outlineLevel="0" collapsed="false">
      <c r="A75" s="355"/>
      <c r="H75" s="338" t="str">
        <f aca="false">IF((F75&lt;&gt;0),IF((D75&gt;0)," ",F75)," ")</f>
        <v> </v>
      </c>
      <c r="I75" s="339" t="str">
        <f aca="false">IF((F75&lt;&gt;0),IF((D75&gt;0)," ",(I$1-A75))," ")</f>
        <v> </v>
      </c>
    </row>
    <row r="76" customFormat="false" ht="12.75" hidden="false" customHeight="false" outlineLevel="0" collapsed="false">
      <c r="A76" s="355"/>
      <c r="H76" s="338" t="str">
        <f aca="false">IF((F76&lt;&gt;0),IF((D76&gt;0)," ",F76)," ")</f>
        <v> </v>
      </c>
      <c r="I76" s="339" t="str">
        <f aca="false">IF((F76&lt;&gt;0),IF((D76&gt;0)," ",(I$1-A76))," ")</f>
        <v> </v>
      </c>
    </row>
    <row r="77" customFormat="false" ht="12.75" hidden="false" customHeight="false" outlineLevel="0" collapsed="false">
      <c r="A77" s="355"/>
      <c r="H77" s="338" t="str">
        <f aca="false">IF((F77&lt;&gt;0),IF((D77&gt;0)," ",F77)," ")</f>
        <v> </v>
      </c>
      <c r="I77" s="339" t="str">
        <f aca="false">IF((F77&lt;&gt;0),IF((D77&gt;0)," ",(I$1-A77))," ")</f>
        <v> </v>
      </c>
    </row>
    <row r="78" customFormat="false" ht="12.75" hidden="false" customHeight="false" outlineLevel="0" collapsed="false">
      <c r="A78" s="355"/>
      <c r="H78" s="338" t="str">
        <f aca="false">IF((F78&lt;&gt;0),IF((D78&gt;0)," ",F78)," ")</f>
        <v> </v>
      </c>
      <c r="I78" s="339" t="str">
        <f aca="false">IF((F78&lt;&gt;0),IF((D78&gt;0)," ",(I$1-A78))," ")</f>
        <v> </v>
      </c>
    </row>
    <row r="79" customFormat="false" ht="12.75" hidden="false" customHeight="false" outlineLevel="0" collapsed="false">
      <c r="A79" s="355"/>
      <c r="H79" s="338" t="str">
        <f aca="false">IF((F79&lt;&gt;0),IF((D79&gt;0)," ",F79)," ")</f>
        <v> </v>
      </c>
      <c r="I79" s="339" t="str">
        <f aca="false">IF((F79&lt;&gt;0),IF((D79&gt;0)," ",(I$1-A79))," ")</f>
        <v> </v>
      </c>
    </row>
    <row r="80" customFormat="false" ht="12.75" hidden="false" customHeight="false" outlineLevel="0" collapsed="false">
      <c r="A80" s="355"/>
      <c r="H80" s="338" t="str">
        <f aca="false">IF((F80&lt;&gt;0),IF((D80&gt;0)," ",F80)," ")</f>
        <v> </v>
      </c>
      <c r="I80" s="339" t="str">
        <f aca="false">IF((F80&lt;&gt;0),IF((D80&gt;0)," ",(I$1-A80))," ")</f>
        <v> </v>
      </c>
    </row>
    <row r="81" customFormat="false" ht="12.75" hidden="false" customHeight="false" outlineLevel="0" collapsed="false">
      <c r="A81" s="355"/>
      <c r="H81" s="338" t="str">
        <f aca="false">IF((F81&lt;&gt;0),IF((D81&gt;0)," ",F81)," ")</f>
        <v> </v>
      </c>
      <c r="I81" s="339" t="str">
        <f aca="false">IF((F81&lt;&gt;0),IF((D81&gt;0)," ",(I$1-A81))," ")</f>
        <v> </v>
      </c>
    </row>
    <row r="82" customFormat="false" ht="12.75" hidden="false" customHeight="false" outlineLevel="0" collapsed="false">
      <c r="A82" s="355"/>
      <c r="H82" s="338" t="str">
        <f aca="false">IF((F82&lt;&gt;0),IF((D82&gt;0)," ",F82)," ")</f>
        <v> </v>
      </c>
      <c r="I82" s="339" t="str">
        <f aca="false">IF((F82&lt;&gt;0),IF((D82&gt;0)," ",(I$1-A82))," ")</f>
        <v> </v>
      </c>
    </row>
    <row r="83" customFormat="false" ht="12.75" hidden="false" customHeight="false" outlineLevel="0" collapsed="false">
      <c r="A83" s="355"/>
      <c r="H83" s="338" t="str">
        <f aca="false">IF((F83&lt;&gt;0),IF((D83&gt;0)," ",F83)," ")</f>
        <v> </v>
      </c>
      <c r="I83" s="339" t="str">
        <f aca="false">IF((F83&lt;&gt;0),IF((D83&gt;0)," ",(I$1-A83))," ")</f>
        <v> </v>
      </c>
    </row>
    <row r="84" customFormat="false" ht="12.75" hidden="false" customHeight="false" outlineLevel="0" collapsed="false">
      <c r="A84" s="355"/>
      <c r="H84" s="338" t="str">
        <f aca="false">IF((F84&lt;&gt;0),IF((D84&gt;0)," ",F84)," ")</f>
        <v> </v>
      </c>
      <c r="I84" s="339" t="str">
        <f aca="false">IF((F84&lt;&gt;0),IF((D84&gt;0)," ",(I$1-A84))," ")</f>
        <v> </v>
      </c>
    </row>
    <row r="85" customFormat="false" ht="12.75" hidden="false" customHeight="false" outlineLevel="0" collapsed="false">
      <c r="A85" s="355"/>
      <c r="H85" s="338" t="str">
        <f aca="false">IF((F85&lt;&gt;0),IF((D85&gt;0)," ",F85)," ")</f>
        <v> </v>
      </c>
      <c r="I85" s="339" t="str">
        <f aca="false">IF((F85&lt;&gt;0),IF((D85&gt;0)," ",(I$1-A85))," ")</f>
        <v> </v>
      </c>
    </row>
    <row r="86" customFormat="false" ht="12.75" hidden="false" customHeight="false" outlineLevel="0" collapsed="false">
      <c r="A86" s="355"/>
      <c r="H86" s="338" t="str">
        <f aca="false">IF((F86&lt;&gt;0),IF((D86&gt;0)," ",F86)," ")</f>
        <v> </v>
      </c>
      <c r="I86" s="339" t="str">
        <f aca="false">IF((F86&lt;&gt;0),IF((D86&gt;0)," ",(I$1-A86))," ")</f>
        <v> </v>
      </c>
    </row>
    <row r="87" customFormat="false" ht="12.75" hidden="false" customHeight="false" outlineLevel="0" collapsed="false">
      <c r="A87" s="355"/>
      <c r="H87" s="338" t="str">
        <f aca="false">IF((F87&lt;&gt;0),IF((D87&gt;0)," ",F87)," ")</f>
        <v> </v>
      </c>
      <c r="I87" s="339" t="str">
        <f aca="false">IF((F87&lt;&gt;0),IF((D87&gt;0)," ",(I$1-A87))," ")</f>
        <v> </v>
      </c>
    </row>
    <row r="88" customFormat="false" ht="12.75" hidden="false" customHeight="false" outlineLevel="0" collapsed="false">
      <c r="A88" s="355"/>
      <c r="H88" s="338" t="str">
        <f aca="false">IF((F88&lt;&gt;0),IF((D88&gt;0)," ",F88)," ")</f>
        <v> </v>
      </c>
      <c r="I88" s="339" t="str">
        <f aca="false">IF((F88&lt;&gt;0),IF((D88&gt;0)," ",(I$1-A88))," ")</f>
        <v> </v>
      </c>
    </row>
    <row r="89" customFormat="false" ht="12.75" hidden="false" customHeight="false" outlineLevel="0" collapsed="false">
      <c r="A89" s="355"/>
      <c r="H89" s="338" t="str">
        <f aca="false">IF((F89&lt;&gt;0),IF((D89&gt;0)," ",F89)," ")</f>
        <v> </v>
      </c>
      <c r="I89" s="339" t="str">
        <f aca="false">IF((F89&lt;&gt;0),IF((D89&gt;0)," ",(I$1-A89))," ")</f>
        <v> </v>
      </c>
    </row>
    <row r="90" customFormat="false" ht="12.75" hidden="false" customHeight="false" outlineLevel="0" collapsed="false">
      <c r="A90" s="355"/>
      <c r="H90" s="338" t="str">
        <f aca="false">IF((F90&lt;&gt;0),IF((D90&gt;0)," ",F90)," ")</f>
        <v> </v>
      </c>
      <c r="I90" s="339" t="str">
        <f aca="false">IF((F90&lt;&gt;0),IF((D90&gt;0)," ",(I$1-A90))," ")</f>
        <v> </v>
      </c>
    </row>
    <row r="91" customFormat="false" ht="12.75" hidden="false" customHeight="false" outlineLevel="0" collapsed="false">
      <c r="A91" s="355"/>
      <c r="H91" s="338" t="str">
        <f aca="false">IF((F91&lt;&gt;0),IF((D91&gt;0)," ",F91)," ")</f>
        <v> </v>
      </c>
      <c r="I91" s="339" t="str">
        <f aca="false">IF((F91&lt;&gt;0),IF((D91&gt;0)," ",(I$1-A91))," ")</f>
        <v> </v>
      </c>
    </row>
    <row r="92" customFormat="false" ht="12.75" hidden="false" customHeight="false" outlineLevel="0" collapsed="false">
      <c r="A92" s="355"/>
      <c r="H92" s="338" t="str">
        <f aca="false">IF((F92&lt;&gt;0),IF((D92&gt;0)," ",F92)," ")</f>
        <v> </v>
      </c>
      <c r="I92" s="339" t="str">
        <f aca="false">IF((F92&lt;&gt;0),IF((D92&gt;0)," ",(I$1-A92))," ")</f>
        <v> </v>
      </c>
    </row>
    <row r="93" customFormat="false" ht="12.75" hidden="false" customHeight="false" outlineLevel="0" collapsed="false">
      <c r="A93" s="355"/>
      <c r="H93" s="338" t="str">
        <f aca="false">IF((F93&lt;&gt;0),IF((D93&gt;0)," ",F93)," ")</f>
        <v> </v>
      </c>
      <c r="I93" s="339" t="str">
        <f aca="false">IF((F93&lt;&gt;0),IF((D93&gt;0)," ",(I$1-A93))," ")</f>
        <v> </v>
      </c>
    </row>
    <row r="94" customFormat="false" ht="12.75" hidden="false" customHeight="false" outlineLevel="0" collapsed="false">
      <c r="A94" s="355"/>
      <c r="H94" s="338" t="str">
        <f aca="false">IF((F94&lt;&gt;0),IF((D94&gt;0)," ",F94)," ")</f>
        <v> </v>
      </c>
      <c r="I94" s="339" t="str">
        <f aca="false">IF((F94&lt;&gt;0),IF((D94&gt;0)," ",(I$1-A94))," ")</f>
        <v> </v>
      </c>
    </row>
    <row r="95" customFormat="false" ht="12.75" hidden="false" customHeight="false" outlineLevel="0" collapsed="false">
      <c r="A95" s="355"/>
      <c r="H95" s="338" t="str">
        <f aca="false">IF((F95&lt;&gt;0),IF((D95&gt;0)," ",F95)," ")</f>
        <v> </v>
      </c>
      <c r="I95" s="339" t="str">
        <f aca="false">IF((F95&lt;&gt;0),IF((D95&gt;0)," ",(I$1-A95))," ")</f>
        <v> </v>
      </c>
    </row>
    <row r="96" customFormat="false" ht="12.75" hidden="false" customHeight="false" outlineLevel="0" collapsed="false">
      <c r="A96" s="355"/>
      <c r="H96" s="338" t="str">
        <f aca="false">IF((F96&lt;&gt;0),IF((D96&gt;0)," ",F96)," ")</f>
        <v> </v>
      </c>
      <c r="I96" s="339" t="str">
        <f aca="false">IF((F96&lt;&gt;0),IF((D96&gt;0)," ",(I$1-A96))," ")</f>
        <v> </v>
      </c>
    </row>
    <row r="97" customFormat="false" ht="12.75" hidden="false" customHeight="false" outlineLevel="0" collapsed="false">
      <c r="A97" s="355"/>
      <c r="H97" s="338" t="str">
        <f aca="false">IF((F97&lt;&gt;0),IF((D97&gt;0)," ",F97)," ")</f>
        <v> </v>
      </c>
      <c r="I97" s="339" t="str">
        <f aca="false">IF((F97&lt;&gt;0),IF((D97&gt;0)," ",(I$1-A97))," ")</f>
        <v> </v>
      </c>
    </row>
    <row r="98" customFormat="false" ht="12.75" hidden="false" customHeight="false" outlineLevel="0" collapsed="false">
      <c r="A98" s="355"/>
      <c r="H98" s="338" t="str">
        <f aca="false">IF((F98&lt;&gt;0),IF((D98&gt;0)," ",F98)," ")</f>
        <v> </v>
      </c>
      <c r="I98" s="339" t="str">
        <f aca="false">IF((F98&lt;&gt;0),IF((D98&gt;0)," ",(I$1-A98))," ")</f>
        <v> </v>
      </c>
    </row>
    <row r="99" customFormat="false" ht="12.75" hidden="false" customHeight="false" outlineLevel="0" collapsed="false">
      <c r="A99" s="355"/>
      <c r="H99" s="338" t="str">
        <f aca="false">IF((F99&lt;&gt;0),IF((D99&gt;0)," ",F99)," ")</f>
        <v> </v>
      </c>
      <c r="I99" s="339" t="str">
        <f aca="false">IF((F99&lt;&gt;0),IF((D99&gt;0)," ",(I$1-A99))," ")</f>
        <v> </v>
      </c>
    </row>
    <row r="100" customFormat="false" ht="12.75" hidden="false" customHeight="false" outlineLevel="0" collapsed="false">
      <c r="A100" s="355"/>
      <c r="H100" s="338" t="str">
        <f aca="false">IF((F100&lt;&gt;0),IF((D100&gt;0)," ",F100)," ")</f>
        <v> </v>
      </c>
      <c r="I100" s="339" t="str">
        <f aca="false">IF((F100&lt;&gt;0),IF((D100&gt;0)," ",(I$1-A100))," ")</f>
        <v> </v>
      </c>
    </row>
    <row r="101" customFormat="false" ht="12.75" hidden="false" customHeight="false" outlineLevel="0" collapsed="false">
      <c r="A101" s="355"/>
      <c r="H101" s="338" t="str">
        <f aca="false">IF((F101&lt;&gt;0),IF((D101&gt;0)," ",F101)," ")</f>
        <v> </v>
      </c>
      <c r="I101" s="339" t="str">
        <f aca="false">IF((F101&lt;&gt;0),IF((D101&gt;0)," ",(I$1-A101))," ")</f>
        <v> </v>
      </c>
    </row>
    <row r="102" customFormat="false" ht="12.75" hidden="false" customHeight="false" outlineLevel="0" collapsed="false">
      <c r="A102" s="355"/>
      <c r="H102" s="338" t="str">
        <f aca="false">IF((F102&lt;&gt;0),IF((D102&gt;0)," ",F102)," ")</f>
        <v> </v>
      </c>
      <c r="I102" s="339" t="str">
        <f aca="false">IF((F102&lt;&gt;0),IF((D102&gt;0)," ",(I$1-A102))," ")</f>
        <v> </v>
      </c>
    </row>
    <row r="103" customFormat="false" ht="12.75" hidden="false" customHeight="false" outlineLevel="0" collapsed="false">
      <c r="A103" s="355"/>
      <c r="H103" s="338" t="str">
        <f aca="false">IF((F103&lt;&gt;0),IF((D103&gt;0)," ",F103)," ")</f>
        <v> </v>
      </c>
      <c r="I103" s="339" t="str">
        <f aca="false">IF((F103&lt;&gt;0),IF((D103&gt;0)," ",(I$1-A103))," ")</f>
        <v> </v>
      </c>
    </row>
    <row r="104" customFormat="false" ht="12.75" hidden="false" customHeight="false" outlineLevel="0" collapsed="false">
      <c r="A104" s="355"/>
      <c r="H104" s="338" t="str">
        <f aca="false">IF((F104&lt;&gt;0),IF((D104&gt;0)," ",F104)," ")</f>
        <v> </v>
      </c>
      <c r="I104" s="339" t="str">
        <f aca="false">IF((F104&lt;&gt;0),IF((D104&gt;0)," ",(I$1-A104))," ")</f>
        <v> </v>
      </c>
    </row>
    <row r="105" customFormat="false" ht="12.75" hidden="false" customHeight="false" outlineLevel="0" collapsed="false">
      <c r="A105" s="355"/>
      <c r="H105" s="338" t="str">
        <f aca="false">IF((F105&lt;&gt;0),IF((D105&gt;0)," ",F105)," ")</f>
        <v> </v>
      </c>
      <c r="I105" s="339" t="str">
        <f aca="false">IF((F105&lt;&gt;0),IF((D105&gt;0)," ",(I$1-A105))," ")</f>
        <v> </v>
      </c>
    </row>
    <row r="106" customFormat="false" ht="12.75" hidden="false" customHeight="false" outlineLevel="0" collapsed="false">
      <c r="A106" s="355"/>
      <c r="H106" s="338" t="str">
        <f aca="false">IF((F106&lt;&gt;0),IF((D106&gt;0)," ",F106)," ")</f>
        <v> </v>
      </c>
      <c r="I106" s="339" t="str">
        <f aca="false">IF((F106&lt;&gt;0),IF((D106&gt;0)," ",(I$1-A106))," ")</f>
        <v> </v>
      </c>
    </row>
    <row r="107" customFormat="false" ht="12.75" hidden="false" customHeight="false" outlineLevel="0" collapsed="false">
      <c r="A107" s="355"/>
      <c r="H107" s="338" t="str">
        <f aca="false">IF((F107&lt;&gt;0),IF((D107&gt;0)," ",F107)," ")</f>
        <v> </v>
      </c>
      <c r="I107" s="339" t="str">
        <f aca="false">IF((F107&lt;&gt;0),IF((D107&gt;0)," ",(I$1-A107))," ")</f>
        <v> </v>
      </c>
    </row>
    <row r="108" customFormat="false" ht="12.75" hidden="false" customHeight="false" outlineLevel="0" collapsed="false">
      <c r="A108" s="355"/>
      <c r="H108" s="338" t="str">
        <f aca="false">IF((F108&lt;&gt;0),IF((D108&gt;0)," ",F108)," ")</f>
        <v> </v>
      </c>
      <c r="I108" s="339" t="str">
        <f aca="false">IF((F108&lt;&gt;0),IF((D108&gt;0)," ",(I$1-A108))," ")</f>
        <v> </v>
      </c>
    </row>
    <row r="109" customFormat="false" ht="12.75" hidden="false" customHeight="false" outlineLevel="0" collapsed="false">
      <c r="A109" s="355"/>
      <c r="H109" s="338" t="str">
        <f aca="false">IF((F109&lt;&gt;0),IF((D109&gt;0)," ",F109)," ")</f>
        <v> </v>
      </c>
      <c r="I109" s="339" t="str">
        <f aca="false">IF((F109&lt;&gt;0),IF((D109&gt;0)," ",(I$1-A109))," ")</f>
        <v> </v>
      </c>
    </row>
    <row r="110" customFormat="false" ht="12.75" hidden="false" customHeight="false" outlineLevel="0" collapsed="false">
      <c r="A110" s="355"/>
      <c r="H110" s="338" t="str">
        <f aca="false">IF((F110&lt;&gt;0),IF((D110&gt;0)," ",F110)," ")</f>
        <v> </v>
      </c>
      <c r="I110" s="339" t="str">
        <f aca="false">IF((F110&lt;&gt;0),IF((D110&gt;0)," ",(I$1-A110))," ")</f>
        <v> </v>
      </c>
    </row>
    <row r="111" customFormat="false" ht="12.75" hidden="false" customHeight="false" outlineLevel="0" collapsed="false">
      <c r="A111" s="355"/>
      <c r="H111" s="338" t="str">
        <f aca="false">IF((F111&lt;&gt;0),IF((D111&gt;0)," ",F111)," ")</f>
        <v> </v>
      </c>
      <c r="I111" s="339" t="str">
        <f aca="false">IF((F111&lt;&gt;0),IF((D111&gt;0)," ",(I$1-A111))," ")</f>
        <v> </v>
      </c>
    </row>
    <row r="112" customFormat="false" ht="12.75" hidden="false" customHeight="false" outlineLevel="0" collapsed="false">
      <c r="A112" s="355"/>
      <c r="H112" s="338" t="str">
        <f aca="false">IF((F112&lt;&gt;0),IF((D112&gt;0)," ",F112)," ")</f>
        <v> </v>
      </c>
      <c r="I112" s="339" t="str">
        <f aca="false">IF((F112&lt;&gt;0),IF((D112&gt;0)," ",(I$1-A112))," ")</f>
        <v> </v>
      </c>
    </row>
    <row r="113" customFormat="false" ht="12.75" hidden="false" customHeight="false" outlineLevel="0" collapsed="false">
      <c r="A113" s="355"/>
      <c r="H113" s="338" t="str">
        <f aca="false">IF((F113&lt;&gt;0),IF((D113&gt;0)," ",F113)," ")</f>
        <v> </v>
      </c>
      <c r="I113" s="339" t="str">
        <f aca="false">IF((F113&lt;&gt;0),IF((D113&gt;0)," ",(I$1-A113))," ")</f>
        <v> </v>
      </c>
    </row>
    <row r="114" customFormat="false" ht="12.75" hidden="false" customHeight="false" outlineLevel="0" collapsed="false">
      <c r="A114" s="355"/>
      <c r="H114" s="338" t="str">
        <f aca="false">IF((F114&lt;&gt;0),IF((D114&gt;0)," ",F114)," ")</f>
        <v> </v>
      </c>
      <c r="I114" s="339" t="str">
        <f aca="false">IF((F114&lt;&gt;0),IF((D114&gt;0)," ",(I$1-A114))," ")</f>
        <v> </v>
      </c>
    </row>
    <row r="115" customFormat="false" ht="12.75" hidden="false" customHeight="false" outlineLevel="0" collapsed="false">
      <c r="A115" s="355"/>
      <c r="H115" s="338" t="str">
        <f aca="false">IF((F115&lt;&gt;0),IF((D115&gt;0)," ",F115)," ")</f>
        <v> </v>
      </c>
      <c r="I115" s="339" t="str">
        <f aca="false">IF((F115&lt;&gt;0),IF((D115&gt;0)," ",(I$1-A115))," ")</f>
        <v> </v>
      </c>
    </row>
    <row r="116" customFormat="false" ht="12.75" hidden="false" customHeight="false" outlineLevel="0" collapsed="false">
      <c r="A116" s="355"/>
      <c r="H116" s="338" t="str">
        <f aca="false">IF((F116&lt;&gt;0),IF((D116&gt;0)," ",F116)," ")</f>
        <v> </v>
      </c>
      <c r="I116" s="339" t="str">
        <f aca="false">IF((F116&lt;&gt;0),IF((D116&gt;0)," ",(I$1-A116))," ")</f>
        <v> </v>
      </c>
    </row>
    <row r="117" customFormat="false" ht="12.75" hidden="false" customHeight="false" outlineLevel="0" collapsed="false">
      <c r="A117" s="355"/>
      <c r="H117" s="338" t="str">
        <f aca="false">IF((F117&lt;&gt;0),IF((D117&gt;0)," ",F117)," ")</f>
        <v> </v>
      </c>
      <c r="I117" s="339" t="str">
        <f aca="false">IF((F117&lt;&gt;0),IF((D117&gt;0)," ",(I$1-A117))," ")</f>
        <v> </v>
      </c>
    </row>
    <row r="118" customFormat="false" ht="12.75" hidden="false" customHeight="false" outlineLevel="0" collapsed="false">
      <c r="A118" s="355"/>
      <c r="H118" s="338" t="str">
        <f aca="false">IF((F118&lt;&gt;0),IF((D118&gt;0)," ",F118)," ")</f>
        <v> </v>
      </c>
      <c r="I118" s="339" t="str">
        <f aca="false">IF((F118&lt;&gt;0),IF((D118&gt;0)," ",(I$1-A118))," ")</f>
        <v> </v>
      </c>
    </row>
    <row r="119" customFormat="false" ht="12.75" hidden="false" customHeight="false" outlineLevel="0" collapsed="false">
      <c r="A119" s="355"/>
      <c r="H119" s="338" t="str">
        <f aca="false">IF((F119&lt;&gt;0),IF((D119&gt;0)," ",F119)," ")</f>
        <v> </v>
      </c>
      <c r="I119" s="339" t="str">
        <f aca="false">IF((F119&lt;&gt;0),IF((D119&gt;0)," ",(I$1-A119))," ")</f>
        <v> </v>
      </c>
    </row>
    <row r="120" customFormat="false" ht="12.75" hidden="false" customHeight="false" outlineLevel="0" collapsed="false">
      <c r="A120" s="355"/>
      <c r="H120" s="338" t="str">
        <f aca="false">IF((F120&lt;&gt;0),IF((D120&gt;0)," ",F120)," ")</f>
        <v> </v>
      </c>
      <c r="I120" s="339" t="str">
        <f aca="false">IF((F120&lt;&gt;0),IF((D120&gt;0)," ",(I$1-A120))," ")</f>
        <v> </v>
      </c>
    </row>
    <row r="121" customFormat="false" ht="12.75" hidden="false" customHeight="false" outlineLevel="0" collapsed="false">
      <c r="A121" s="355"/>
      <c r="H121" s="338" t="str">
        <f aca="false">IF((F121&lt;&gt;0),IF((D121&gt;0)," ",F121)," ")</f>
        <v> </v>
      </c>
      <c r="I121" s="339" t="str">
        <f aca="false">IF((F121&lt;&gt;0),IF((D121&gt;0)," ",(I$1-A121))," ")</f>
        <v> </v>
      </c>
    </row>
    <row r="122" customFormat="false" ht="12.75" hidden="false" customHeight="false" outlineLevel="0" collapsed="false">
      <c r="A122" s="355"/>
      <c r="H122" s="338" t="str">
        <f aca="false">IF((F122&lt;&gt;0),IF((D122&gt;0)," ",F122)," ")</f>
        <v> </v>
      </c>
      <c r="I122" s="339" t="str">
        <f aca="false">IF((F122&lt;&gt;0),IF((D122&gt;0)," ",(I$1-A122))," ")</f>
        <v> </v>
      </c>
    </row>
    <row r="123" customFormat="false" ht="12.75" hidden="false" customHeight="false" outlineLevel="0" collapsed="false">
      <c r="A123" s="355"/>
      <c r="H123" s="338" t="str">
        <f aca="false">IF((F123&lt;&gt;0),IF((D123&gt;0)," ",F123)," ")</f>
        <v> </v>
      </c>
      <c r="I123" s="339" t="str">
        <f aca="false">IF((F123&lt;&gt;0),IF((D123&gt;0)," ",(I$1-A123))," ")</f>
        <v> </v>
      </c>
    </row>
    <row r="124" customFormat="false" ht="12.75" hidden="false" customHeight="false" outlineLevel="0" collapsed="false">
      <c r="A124" s="355"/>
      <c r="H124" s="338" t="str">
        <f aca="false">IF((F124&lt;&gt;0),IF((D124&gt;0)," ",F124)," ")</f>
        <v> </v>
      </c>
      <c r="I124" s="339" t="str">
        <f aca="false">IF((F124&lt;&gt;0),IF((D124&gt;0)," ",(I$1-A124))," ")</f>
        <v> </v>
      </c>
    </row>
    <row r="125" customFormat="false" ht="12.75" hidden="false" customHeight="false" outlineLevel="0" collapsed="false">
      <c r="A125" s="355"/>
      <c r="H125" s="338" t="str">
        <f aca="false">IF((F125&lt;&gt;0),IF((D125&gt;0)," ",F125)," ")</f>
        <v> </v>
      </c>
      <c r="I125" s="339" t="str">
        <f aca="false">IF((F125&lt;&gt;0),IF((D125&gt;0)," ",(I$1-A125))," ")</f>
        <v> </v>
      </c>
    </row>
    <row r="126" customFormat="false" ht="12.75" hidden="false" customHeight="false" outlineLevel="0" collapsed="false">
      <c r="A126" s="355"/>
      <c r="H126" s="338" t="str">
        <f aca="false">IF((F126&lt;&gt;0),IF((D126&gt;0)," ",F126)," ")</f>
        <v> </v>
      </c>
      <c r="I126" s="339" t="str">
        <f aca="false">IF((F126&lt;&gt;0),IF((D126&gt;0)," ",(I$1-A126))," ")</f>
        <v> </v>
      </c>
    </row>
    <row r="127" customFormat="false" ht="12.75" hidden="false" customHeight="false" outlineLevel="0" collapsed="false">
      <c r="A127" s="355"/>
      <c r="H127" s="338" t="str">
        <f aca="false">IF((F127&lt;&gt;0),IF((D127&gt;0)," ",F127)," ")</f>
        <v> </v>
      </c>
      <c r="I127" s="339" t="str">
        <f aca="false">IF((F127&lt;&gt;0),IF((D127&gt;0)," ",(I$1-A127))," ")</f>
        <v> </v>
      </c>
    </row>
    <row r="128" customFormat="false" ht="12.75" hidden="false" customHeight="false" outlineLevel="0" collapsed="false">
      <c r="A128" s="355"/>
      <c r="H128" s="338" t="str">
        <f aca="false">IF((F128&lt;&gt;0),IF((D128&gt;0)," ",F128)," ")</f>
        <v> </v>
      </c>
      <c r="I128" s="339" t="str">
        <f aca="false">IF((F128&lt;&gt;0),IF((D128&gt;0)," ",(I$1-A128))," ")</f>
        <v> </v>
      </c>
    </row>
    <row r="129" customFormat="false" ht="12.75" hidden="false" customHeight="false" outlineLevel="0" collapsed="false">
      <c r="A129" s="355"/>
      <c r="H129" s="338" t="str">
        <f aca="false">IF((F129&lt;&gt;0),IF((D129&gt;0)," ",F129)," ")</f>
        <v> </v>
      </c>
      <c r="I129" s="339" t="str">
        <f aca="false">IF((F129&lt;&gt;0),IF((D129&gt;0)," ",(I$1-A129))," ")</f>
        <v> </v>
      </c>
    </row>
    <row r="130" customFormat="false" ht="12.75" hidden="false" customHeight="false" outlineLevel="0" collapsed="false">
      <c r="A130" s="355"/>
      <c r="H130" s="338" t="str">
        <f aca="false">IF((F130&lt;&gt;0),IF((D130&gt;0)," ",F130)," ")</f>
        <v> </v>
      </c>
      <c r="I130" s="339" t="str">
        <f aca="false">IF((F130&lt;&gt;0),IF((D130&gt;0)," ",(I$1-A130))," ")</f>
        <v> </v>
      </c>
    </row>
    <row r="131" customFormat="false" ht="12.75" hidden="false" customHeight="false" outlineLevel="0" collapsed="false">
      <c r="A131" s="355"/>
      <c r="H131" s="338" t="str">
        <f aca="false">IF((F131&lt;&gt;0),IF((D131&gt;0)," ",F131)," ")</f>
        <v> </v>
      </c>
      <c r="I131" s="339" t="str">
        <f aca="false">IF((F131&lt;&gt;0),IF((D131&gt;0)," ",(I$1-A131))," ")</f>
        <v> </v>
      </c>
    </row>
    <row r="132" customFormat="false" ht="12.75" hidden="false" customHeight="false" outlineLevel="0" collapsed="false">
      <c r="A132" s="355"/>
      <c r="H132" s="338" t="str">
        <f aca="false">IF((F132&lt;&gt;0),IF((D132&gt;0)," ",F132)," ")</f>
        <v> </v>
      </c>
      <c r="I132" s="339" t="str">
        <f aca="false">IF((F132&lt;&gt;0),IF((D132&gt;0)," ",(I$1-A132))," ")</f>
        <v> </v>
      </c>
    </row>
    <row r="133" customFormat="false" ht="12.75" hidden="false" customHeight="false" outlineLevel="0" collapsed="false">
      <c r="A133" s="355"/>
      <c r="H133" s="338" t="str">
        <f aca="false">IF((F133&lt;&gt;0),IF((D133&gt;0)," ",F133)," ")</f>
        <v> </v>
      </c>
      <c r="I133" s="339" t="str">
        <f aca="false">IF((F133&lt;&gt;0),IF((D133&gt;0)," ",(I$1-A133))," ")</f>
        <v> </v>
      </c>
    </row>
    <row r="134" customFormat="false" ht="12.75" hidden="false" customHeight="false" outlineLevel="0" collapsed="false">
      <c r="A134" s="355"/>
      <c r="H134" s="338" t="str">
        <f aca="false">IF((F134&lt;&gt;0),IF((D134&gt;0)," ",F134)," ")</f>
        <v> </v>
      </c>
      <c r="I134" s="339" t="str">
        <f aca="false">IF((F134&lt;&gt;0),IF((D134&gt;0)," ",(I$1-A134))," ")</f>
        <v> </v>
      </c>
    </row>
    <row r="135" customFormat="false" ht="12.75" hidden="false" customHeight="false" outlineLevel="0" collapsed="false">
      <c r="A135" s="355"/>
      <c r="H135" s="338" t="str">
        <f aca="false">IF((F135&lt;&gt;0),IF((D135&gt;0)," ",F135)," ")</f>
        <v> </v>
      </c>
      <c r="I135" s="339" t="str">
        <f aca="false">IF((F135&lt;&gt;0),IF((D135&gt;0)," ",(I$1-A135))," ")</f>
        <v> </v>
      </c>
    </row>
    <row r="136" customFormat="false" ht="12.75" hidden="false" customHeight="false" outlineLevel="0" collapsed="false">
      <c r="A136" s="355"/>
      <c r="H136" s="338" t="str">
        <f aca="false">IF((F136&lt;&gt;0),IF((D136&gt;0)," ",F136)," ")</f>
        <v> </v>
      </c>
      <c r="I136" s="339" t="str">
        <f aca="false">IF((F136&lt;&gt;0),IF((D136&gt;0)," ",(I$1-A136))," ")</f>
        <v> </v>
      </c>
    </row>
    <row r="137" customFormat="false" ht="12.75" hidden="false" customHeight="false" outlineLevel="0" collapsed="false">
      <c r="A137" s="355"/>
      <c r="H137" s="338" t="str">
        <f aca="false">IF((F137&lt;&gt;0),IF((D137&gt;0)," ",F137)," ")</f>
        <v> </v>
      </c>
      <c r="I137" s="339" t="str">
        <f aca="false">IF((F137&lt;&gt;0),IF((D137&gt;0)," ",(I$1-A137))," ")</f>
        <v> </v>
      </c>
    </row>
    <row r="138" customFormat="false" ht="12.75" hidden="false" customHeight="false" outlineLevel="0" collapsed="false">
      <c r="A138" s="355"/>
      <c r="H138" s="338" t="str">
        <f aca="false">IF((F138&lt;&gt;0),IF((D138&gt;0)," ",F138)," ")</f>
        <v> </v>
      </c>
      <c r="I138" s="339" t="str">
        <f aca="false">IF((F138&lt;&gt;0),IF((D138&gt;0)," ",(I$1-A138))," ")</f>
        <v> </v>
      </c>
    </row>
    <row r="139" customFormat="false" ht="12.75" hidden="false" customHeight="false" outlineLevel="0" collapsed="false">
      <c r="A139" s="355"/>
      <c r="H139" s="338" t="str">
        <f aca="false">IF((F139&lt;&gt;0),IF((D139&gt;0)," ",F139)," ")</f>
        <v> </v>
      </c>
      <c r="I139" s="339" t="str">
        <f aca="false">IF((F139&lt;&gt;0),IF((D139&gt;0)," ",(I$1-A139))," ")</f>
        <v> </v>
      </c>
    </row>
    <row r="140" customFormat="false" ht="12.75" hidden="false" customHeight="false" outlineLevel="0" collapsed="false">
      <c r="A140" s="355"/>
      <c r="H140" s="338" t="str">
        <f aca="false">IF((F140&lt;&gt;0),IF((D140&gt;0)," ",F140)," ")</f>
        <v> </v>
      </c>
      <c r="I140" s="339" t="str">
        <f aca="false">IF((F140&lt;&gt;0),IF((D140&gt;0)," ",(I$1-A140))," ")</f>
        <v> </v>
      </c>
    </row>
    <row r="141" customFormat="false" ht="12.75" hidden="false" customHeight="false" outlineLevel="0" collapsed="false">
      <c r="A141" s="355"/>
      <c r="H141" s="338" t="str">
        <f aca="false">IF((F141&lt;&gt;0),IF((D141&gt;0)," ",F141)," ")</f>
        <v> </v>
      </c>
      <c r="I141" s="339" t="str">
        <f aca="false">IF((F141&lt;&gt;0),IF((D141&gt;0)," ",(I$1-A141))," ")</f>
        <v> </v>
      </c>
    </row>
    <row r="142" customFormat="false" ht="12.75" hidden="false" customHeight="false" outlineLevel="0" collapsed="false">
      <c r="A142" s="355"/>
      <c r="H142" s="338" t="str">
        <f aca="false">IF((F142&lt;&gt;0),IF((D142&gt;0)," ",F142)," ")</f>
        <v> </v>
      </c>
      <c r="I142" s="339" t="str">
        <f aca="false">IF((F142&lt;&gt;0),IF((D142&gt;0)," ",(I$1-A142))," ")</f>
        <v> </v>
      </c>
    </row>
    <row r="143" customFormat="false" ht="12.75" hidden="false" customHeight="false" outlineLevel="0" collapsed="false">
      <c r="A143" s="355"/>
      <c r="H143" s="338" t="str">
        <f aca="false">IF((F143&lt;&gt;0),IF((D143&gt;0)," ",F143)," ")</f>
        <v> </v>
      </c>
      <c r="I143" s="339" t="str">
        <f aca="false">IF((F143&lt;&gt;0),IF((D143&gt;0)," ",(I$1-A143))," ")</f>
        <v> </v>
      </c>
    </row>
    <row r="144" customFormat="false" ht="12.75" hidden="false" customHeight="false" outlineLevel="0" collapsed="false">
      <c r="A144" s="355"/>
      <c r="H144" s="338" t="str">
        <f aca="false">IF((F144&lt;&gt;0),IF((D144&gt;0)," ",F144)," ")</f>
        <v> </v>
      </c>
      <c r="I144" s="339" t="str">
        <f aca="false">IF((F144&lt;&gt;0),IF((D144&gt;0)," ",(I$1-A144))," ")</f>
        <v> </v>
      </c>
    </row>
    <row r="145" customFormat="false" ht="12.75" hidden="false" customHeight="false" outlineLevel="0" collapsed="false">
      <c r="A145" s="355"/>
      <c r="H145" s="338" t="str">
        <f aca="false">IF((F145&lt;&gt;0),IF((D145&gt;0)," ",F145)," ")</f>
        <v> </v>
      </c>
      <c r="I145" s="339" t="str">
        <f aca="false">IF((F145&lt;&gt;0),IF((D145&gt;0)," ",(I$1-A145))," ")</f>
        <v> </v>
      </c>
    </row>
    <row r="146" customFormat="false" ht="12.75" hidden="false" customHeight="false" outlineLevel="0" collapsed="false">
      <c r="A146" s="355"/>
      <c r="H146" s="338" t="str">
        <f aca="false">IF((F146&lt;&gt;0),IF((D146&gt;0)," ",F146)," ")</f>
        <v> </v>
      </c>
      <c r="I146" s="339" t="str">
        <f aca="false">IF((F146&lt;&gt;0),IF((D146&gt;0)," ",(I$1-A146))," ")</f>
        <v> </v>
      </c>
    </row>
    <row r="147" customFormat="false" ht="12.75" hidden="false" customHeight="false" outlineLevel="0" collapsed="false">
      <c r="A147" s="355"/>
      <c r="H147" s="338" t="str">
        <f aca="false">IF((F147&lt;&gt;0),IF((D147&gt;0)," ",F147)," ")</f>
        <v> </v>
      </c>
      <c r="I147" s="339" t="str">
        <f aca="false">IF((F147&lt;&gt;0),IF((D147&gt;0)," ",(I$1-A147))," ")</f>
        <v> </v>
      </c>
    </row>
    <row r="148" customFormat="false" ht="12.75" hidden="false" customHeight="false" outlineLevel="0" collapsed="false">
      <c r="A148" s="355"/>
      <c r="H148" s="338" t="str">
        <f aca="false">IF((F148&lt;&gt;0),IF((D148&gt;0)," ",F148)," ")</f>
        <v> </v>
      </c>
      <c r="I148" s="339" t="str">
        <f aca="false">IF((F148&lt;&gt;0),IF((D148&gt;0)," ",(I$1-A148))," ")</f>
        <v> </v>
      </c>
    </row>
    <row r="149" customFormat="false" ht="12.75" hidden="false" customHeight="false" outlineLevel="0" collapsed="false">
      <c r="A149" s="355"/>
      <c r="H149" s="338" t="str">
        <f aca="false">IF((F149&lt;&gt;0),IF((D149&gt;0)," ",F149)," ")</f>
        <v> </v>
      </c>
      <c r="I149" s="339" t="str">
        <f aca="false">IF((F149&lt;&gt;0),IF((D149&gt;0)," ",(I$1-A149))," ")</f>
        <v> </v>
      </c>
    </row>
    <row r="150" customFormat="false" ht="12.75" hidden="false" customHeight="false" outlineLevel="0" collapsed="false">
      <c r="A150" s="355"/>
      <c r="H150" s="338" t="str">
        <f aca="false">IF((F150&lt;&gt;0),IF((D150&gt;0)," ",F150)," ")</f>
        <v> </v>
      </c>
      <c r="I150" s="339" t="str">
        <f aca="false">IF((F150&lt;&gt;0),IF((D150&gt;0)," ",(I$1-A150))," ")</f>
        <v> </v>
      </c>
    </row>
    <row r="151" customFormat="false" ht="12.75" hidden="false" customHeight="false" outlineLevel="0" collapsed="false">
      <c r="A151" s="355"/>
      <c r="H151" s="338" t="str">
        <f aca="false">IF((F151&lt;&gt;0),IF((D151&gt;0)," ",F151)," ")</f>
        <v> </v>
      </c>
      <c r="I151" s="339" t="str">
        <f aca="false">IF((F151&lt;&gt;0),IF((D151&gt;0)," ",(I$1-A151))," ")</f>
        <v> </v>
      </c>
    </row>
    <row r="152" customFormat="false" ht="12.75" hidden="false" customHeight="false" outlineLevel="0" collapsed="false">
      <c r="A152" s="355"/>
      <c r="H152" s="338" t="str">
        <f aca="false">IF((F152&lt;&gt;0),IF((D152&gt;0)," ",F152)," ")</f>
        <v> </v>
      </c>
      <c r="I152" s="339" t="str">
        <f aca="false">IF((F152&lt;&gt;0),IF((D152&gt;0)," ",(I$1-A152))," ")</f>
        <v> </v>
      </c>
    </row>
    <row r="153" customFormat="false" ht="12.75" hidden="false" customHeight="false" outlineLevel="0" collapsed="false">
      <c r="A153" s="355"/>
      <c r="H153" s="338" t="str">
        <f aca="false">IF((F153&lt;&gt;0),IF((D153&gt;0)," ",F153)," ")</f>
        <v> </v>
      </c>
      <c r="I153" s="339" t="str">
        <f aca="false">IF((F153&lt;&gt;0),IF((D153&gt;0)," ",(I$1-A153))," ")</f>
        <v> </v>
      </c>
    </row>
    <row r="154" customFormat="false" ht="12.75" hidden="false" customHeight="false" outlineLevel="0" collapsed="false">
      <c r="A154" s="355"/>
      <c r="H154" s="338" t="str">
        <f aca="false">IF((F154&lt;&gt;0),IF((D154&gt;0)," ",F154)," ")</f>
        <v> </v>
      </c>
      <c r="I154" s="339" t="str">
        <f aca="false">IF((F154&lt;&gt;0),IF((D154&gt;0)," ",(I$1-A154))," ")</f>
        <v> </v>
      </c>
    </row>
    <row r="155" customFormat="false" ht="12.75" hidden="false" customHeight="false" outlineLevel="0" collapsed="false">
      <c r="A155" s="355"/>
      <c r="H155" s="338" t="str">
        <f aca="false">IF((F155&lt;&gt;0),IF((D155&gt;0)," ",F155)," ")</f>
        <v> </v>
      </c>
      <c r="I155" s="339" t="str">
        <f aca="false">IF((F155&lt;&gt;0),IF((D155&gt;0)," ",(I$1-A155))," ")</f>
        <v> </v>
      </c>
    </row>
    <row r="156" customFormat="false" ht="12.75" hidden="false" customHeight="false" outlineLevel="0" collapsed="false">
      <c r="A156" s="355"/>
      <c r="H156" s="338" t="str">
        <f aca="false">IF((F156&lt;&gt;0),IF((D156&gt;0)," ",F156)," ")</f>
        <v> </v>
      </c>
      <c r="I156" s="339" t="str">
        <f aca="false">IF((F156&lt;&gt;0),IF((D156&gt;0)," ",(I$1-A156))," ")</f>
        <v> </v>
      </c>
    </row>
    <row r="157" customFormat="false" ht="12.75" hidden="false" customHeight="false" outlineLevel="0" collapsed="false">
      <c r="A157" s="355"/>
      <c r="H157" s="338" t="str">
        <f aca="false">IF((F157&lt;&gt;0),IF((D157&gt;0)," ",F157)," ")</f>
        <v> </v>
      </c>
      <c r="I157" s="339" t="str">
        <f aca="false">IF((F157&lt;&gt;0),IF((D157&gt;0)," ",(I$1-A157))," ")</f>
        <v> </v>
      </c>
    </row>
    <row r="158" customFormat="false" ht="12.75" hidden="false" customHeight="false" outlineLevel="0" collapsed="false">
      <c r="A158" s="355"/>
      <c r="H158" s="338" t="str">
        <f aca="false">IF((F158&lt;&gt;0),IF((D158&gt;0)," ",F158)," ")</f>
        <v> </v>
      </c>
      <c r="I158" s="339" t="str">
        <f aca="false">IF((F158&lt;&gt;0),IF((D158&gt;0)," ",(I$1-A158))," ")</f>
        <v> </v>
      </c>
    </row>
    <row r="159" customFormat="false" ht="12.75" hidden="false" customHeight="false" outlineLevel="0" collapsed="false">
      <c r="A159" s="355"/>
      <c r="H159" s="338" t="str">
        <f aca="false">IF((F159&lt;&gt;0),IF((D159&gt;0)," ",F159)," ")</f>
        <v> </v>
      </c>
      <c r="I159" s="339" t="str">
        <f aca="false">IF((F159&lt;&gt;0),IF((D159&gt;0)," ",(I$1-A159))," ")</f>
        <v> </v>
      </c>
    </row>
    <row r="160" customFormat="false" ht="12.75" hidden="false" customHeight="false" outlineLevel="0" collapsed="false">
      <c r="A160" s="355"/>
      <c r="H160" s="338" t="str">
        <f aca="false">IF((F160&lt;&gt;0),IF((D160&gt;0)," ",F160)," ")</f>
        <v> </v>
      </c>
      <c r="I160" s="339" t="str">
        <f aca="false">IF((F160&lt;&gt;0),IF((D160&gt;0)," ",(I$1-A160))," ")</f>
        <v> </v>
      </c>
    </row>
    <row r="161" customFormat="false" ht="12.75" hidden="false" customHeight="false" outlineLevel="0" collapsed="false">
      <c r="A161" s="355"/>
      <c r="H161" s="338" t="str">
        <f aca="false">IF((F161&lt;&gt;0),IF((D161&gt;0)," ",F161)," ")</f>
        <v> </v>
      </c>
      <c r="I161" s="339" t="str">
        <f aca="false">IF((F161&lt;&gt;0),IF((D161&gt;0)," ",(I$1-A161))," ")</f>
        <v> </v>
      </c>
    </row>
    <row r="162" customFormat="false" ht="12.75" hidden="false" customHeight="false" outlineLevel="0" collapsed="false">
      <c r="A162" s="355"/>
      <c r="H162" s="338" t="str">
        <f aca="false">IF((F162&lt;&gt;0),IF((D162&gt;0)," ",F162)," ")</f>
        <v> </v>
      </c>
      <c r="I162" s="339" t="str">
        <f aca="false">IF((F162&lt;&gt;0),IF((D162&gt;0)," ",(I$1-A162))," ")</f>
        <v> </v>
      </c>
    </row>
    <row r="163" customFormat="false" ht="12.75" hidden="false" customHeight="false" outlineLevel="0" collapsed="false">
      <c r="A163" s="355"/>
      <c r="H163" s="338" t="str">
        <f aca="false">IF((F163&lt;&gt;0),IF((D163&gt;0)," ",F163)," ")</f>
        <v> </v>
      </c>
      <c r="I163" s="339" t="str">
        <f aca="false">IF((F163&lt;&gt;0),IF((D163&gt;0)," ",(I$1-A163))," ")</f>
        <v> </v>
      </c>
    </row>
    <row r="164" customFormat="false" ht="12.75" hidden="false" customHeight="false" outlineLevel="0" collapsed="false">
      <c r="A164" s="355"/>
      <c r="H164" s="338" t="str">
        <f aca="false">IF((F164&lt;&gt;0),IF((D164&gt;0)," ",F164)," ")</f>
        <v> </v>
      </c>
      <c r="I164" s="339" t="str">
        <f aca="false">IF((F164&lt;&gt;0),IF((D164&gt;0)," ",(I$1-A164))," ")</f>
        <v> </v>
      </c>
    </row>
    <row r="165" customFormat="false" ht="12.75" hidden="false" customHeight="false" outlineLevel="0" collapsed="false">
      <c r="A165" s="355"/>
      <c r="H165" s="338" t="str">
        <f aca="false">IF((F165&lt;&gt;0),IF((D165&gt;0)," ",F165)," ")</f>
        <v> </v>
      </c>
      <c r="I165" s="339" t="str">
        <f aca="false">IF((F165&lt;&gt;0),IF((D165&gt;0)," ",(I$1-A165))," ")</f>
        <v> </v>
      </c>
    </row>
    <row r="166" customFormat="false" ht="12.75" hidden="false" customHeight="false" outlineLevel="0" collapsed="false">
      <c r="A166" s="355"/>
      <c r="H166" s="338" t="str">
        <f aca="false">IF((F166&lt;&gt;0),IF((D166&gt;0)," ",F166)," ")</f>
        <v> </v>
      </c>
      <c r="I166" s="339" t="str">
        <f aca="false">IF((F166&lt;&gt;0),IF((D166&gt;0)," ",(I$1-A166))," ")</f>
        <v> </v>
      </c>
    </row>
    <row r="167" customFormat="false" ht="12.75" hidden="false" customHeight="false" outlineLevel="0" collapsed="false">
      <c r="A167" s="355"/>
      <c r="H167" s="338" t="str">
        <f aca="false">IF((F167&lt;&gt;0),IF((D167&gt;0)," ",F167)," ")</f>
        <v> </v>
      </c>
      <c r="I167" s="339" t="str">
        <f aca="false">IF((F167&lt;&gt;0),IF((D167&gt;0)," ",(I$1-A167))," ")</f>
        <v> </v>
      </c>
    </row>
    <row r="168" customFormat="false" ht="12.75" hidden="false" customHeight="false" outlineLevel="0" collapsed="false">
      <c r="A168" s="355"/>
      <c r="H168" s="338" t="str">
        <f aca="false">IF((F168&lt;&gt;0),IF((D168&gt;0)," ",F168)," ")</f>
        <v> </v>
      </c>
      <c r="I168" s="339" t="str">
        <f aca="false">IF((F168&lt;&gt;0),IF((D168&gt;0)," ",(I$1-A168))," ")</f>
        <v> </v>
      </c>
    </row>
    <row r="169" customFormat="false" ht="12.75" hidden="false" customHeight="false" outlineLevel="0" collapsed="false">
      <c r="A169" s="355"/>
      <c r="H169" s="338" t="str">
        <f aca="false">IF((F169&lt;&gt;0),IF((D169&gt;0)," ",F169)," ")</f>
        <v> </v>
      </c>
      <c r="I169" s="339" t="str">
        <f aca="false">IF((F169&lt;&gt;0),IF((D169&gt;0)," ",(I$1-A169))," ")</f>
        <v> </v>
      </c>
    </row>
    <row r="170" customFormat="false" ht="12.75" hidden="false" customHeight="false" outlineLevel="0" collapsed="false">
      <c r="A170" s="355"/>
      <c r="H170" s="338" t="str">
        <f aca="false">IF((F170&lt;&gt;0),IF((D170&gt;0)," ",F170)," ")</f>
        <v> </v>
      </c>
      <c r="I170" s="339" t="str">
        <f aca="false">IF((F170&lt;&gt;0),IF((D170&gt;0)," ",(I$1-A170))," ")</f>
        <v> </v>
      </c>
    </row>
    <row r="171" customFormat="false" ht="12.75" hidden="false" customHeight="false" outlineLevel="0" collapsed="false">
      <c r="A171" s="355"/>
      <c r="H171" s="338" t="str">
        <f aca="false">IF((F171&lt;&gt;0),IF((D171&gt;0)," ",F171)," ")</f>
        <v> </v>
      </c>
      <c r="I171" s="339" t="str">
        <f aca="false">IF((F171&lt;&gt;0),IF((D171&gt;0)," ",(I$1-A171))," ")</f>
        <v> </v>
      </c>
    </row>
    <row r="172" customFormat="false" ht="12.75" hidden="false" customHeight="false" outlineLevel="0" collapsed="false">
      <c r="A172" s="355"/>
      <c r="H172" s="338" t="str">
        <f aca="false">IF((F172&lt;&gt;0),IF((D172&gt;0)," ",F172)," ")</f>
        <v> </v>
      </c>
      <c r="I172" s="339" t="str">
        <f aca="false">IF((F172&lt;&gt;0),IF((D172&gt;0)," ",(I$1-A172))," ")</f>
        <v> </v>
      </c>
    </row>
    <row r="173" customFormat="false" ht="12.75" hidden="false" customHeight="false" outlineLevel="0" collapsed="false">
      <c r="A173" s="355"/>
      <c r="H173" s="338" t="str">
        <f aca="false">IF((F173&lt;&gt;0),IF((D173&gt;0)," ",F173)," ")</f>
        <v> </v>
      </c>
      <c r="I173" s="339" t="str">
        <f aca="false">IF((F173&lt;&gt;0),IF((D173&gt;0)," ",(I$1-A173))," ")</f>
        <v> </v>
      </c>
    </row>
    <row r="174" customFormat="false" ht="12.75" hidden="false" customHeight="false" outlineLevel="0" collapsed="false">
      <c r="A174" s="355"/>
      <c r="H174" s="338" t="str">
        <f aca="false">IF((F174&lt;&gt;0),IF((D174&gt;0)," ",F174)," ")</f>
        <v> </v>
      </c>
      <c r="I174" s="339" t="str">
        <f aca="false">IF((F174&lt;&gt;0),IF((D174&gt;0)," ",(I$1-A174))," ")</f>
        <v> </v>
      </c>
    </row>
    <row r="175" customFormat="false" ht="12.75" hidden="false" customHeight="false" outlineLevel="0" collapsed="false">
      <c r="A175" s="355"/>
      <c r="H175" s="338" t="str">
        <f aca="false">IF((F175&lt;&gt;0),IF((D175&gt;0)," ",F175)," ")</f>
        <v> </v>
      </c>
      <c r="I175" s="339" t="str">
        <f aca="false">IF((F175&lt;&gt;0),IF((D175&gt;0)," ",(I$1-A175))," ")</f>
        <v> </v>
      </c>
    </row>
    <row r="176" customFormat="false" ht="12.75" hidden="false" customHeight="false" outlineLevel="0" collapsed="false">
      <c r="A176" s="355"/>
      <c r="H176" s="338" t="str">
        <f aca="false">IF((F176&lt;&gt;0),IF((D176&gt;0)," ",F176)," ")</f>
        <v> </v>
      </c>
      <c r="I176" s="339" t="str">
        <f aca="false">IF((F176&lt;&gt;0),IF((D176&gt;0)," ",(I$1-A176))," ")</f>
        <v> </v>
      </c>
    </row>
    <row r="177" customFormat="false" ht="12.75" hidden="false" customHeight="false" outlineLevel="0" collapsed="false">
      <c r="A177" s="355"/>
      <c r="H177" s="338" t="str">
        <f aca="false">IF((F177&lt;&gt;0),IF((D177&gt;0)," ",F177)," ")</f>
        <v> </v>
      </c>
      <c r="I177" s="339" t="str">
        <f aca="false">IF((F177&lt;&gt;0),IF((D177&gt;0)," ",(I$1-A177))," ")</f>
        <v> </v>
      </c>
    </row>
    <row r="178" customFormat="false" ht="12.75" hidden="false" customHeight="false" outlineLevel="0" collapsed="false">
      <c r="A178" s="355"/>
      <c r="H178" s="338" t="str">
        <f aca="false">IF((F178&lt;&gt;0),IF((D178&gt;0)," ",F178)," ")</f>
        <v> </v>
      </c>
      <c r="I178" s="339" t="str">
        <f aca="false">IF((F178&lt;&gt;0),IF((D178&gt;0)," ",(I$1-A178))," ")</f>
        <v> </v>
      </c>
    </row>
    <row r="179" customFormat="false" ht="12.75" hidden="false" customHeight="false" outlineLevel="0" collapsed="false">
      <c r="A179" s="355"/>
      <c r="H179" s="338" t="str">
        <f aca="false">IF((F179&lt;&gt;0),IF((D179&gt;0)," ",F179)," ")</f>
        <v> </v>
      </c>
      <c r="I179" s="339" t="str">
        <f aca="false">IF((F179&lt;&gt;0),IF((D179&gt;0)," ",(I$1-A179))," ")</f>
        <v> </v>
      </c>
    </row>
    <row r="180" customFormat="false" ht="12.75" hidden="false" customHeight="false" outlineLevel="0" collapsed="false">
      <c r="A180" s="355"/>
      <c r="H180" s="338" t="str">
        <f aca="false">IF((F180&lt;&gt;0),IF((D180&gt;0)," ",F180)," ")</f>
        <v> </v>
      </c>
      <c r="I180" s="339" t="str">
        <f aca="false">IF((F180&lt;&gt;0),IF((D180&gt;0)," ",(I$1-A180))," ")</f>
        <v> </v>
      </c>
    </row>
    <row r="181" customFormat="false" ht="12.75" hidden="false" customHeight="false" outlineLevel="0" collapsed="false">
      <c r="A181" s="355"/>
      <c r="H181" s="338" t="str">
        <f aca="false">IF((F181&lt;&gt;0),IF((D181&gt;0)," ",F181)," ")</f>
        <v> </v>
      </c>
      <c r="I181" s="339" t="str">
        <f aca="false">IF((F181&lt;&gt;0),IF((D181&gt;0)," ",(I$1-A181))," ")</f>
        <v> </v>
      </c>
    </row>
    <row r="182" customFormat="false" ht="12.75" hidden="false" customHeight="false" outlineLevel="0" collapsed="false">
      <c r="A182" s="355"/>
      <c r="H182" s="338" t="str">
        <f aca="false">IF((F182&lt;&gt;0),IF((D182&gt;0)," ",F182)," ")</f>
        <v> </v>
      </c>
      <c r="I182" s="339" t="str">
        <f aca="false">IF((F182&lt;&gt;0),IF((D182&gt;0)," ",(I$1-A182))," ")</f>
        <v> </v>
      </c>
    </row>
    <row r="183" customFormat="false" ht="12.75" hidden="false" customHeight="false" outlineLevel="0" collapsed="false">
      <c r="A183" s="355"/>
      <c r="H183" s="338" t="str">
        <f aca="false">IF((F183&lt;&gt;0),IF((D183&gt;0)," ",F183)," ")</f>
        <v> </v>
      </c>
      <c r="I183" s="339" t="str">
        <f aca="false">IF((F183&lt;&gt;0),IF((D183&gt;0)," ",(I$1-A183))," ")</f>
        <v> </v>
      </c>
    </row>
    <row r="184" customFormat="false" ht="12.75" hidden="false" customHeight="false" outlineLevel="0" collapsed="false">
      <c r="A184" s="355"/>
      <c r="H184" s="338" t="str">
        <f aca="false">IF((F184&lt;&gt;0),IF((D184&gt;0)," ",F184)," ")</f>
        <v> </v>
      </c>
      <c r="I184" s="339" t="str">
        <f aca="false">IF((F184&lt;&gt;0),IF((D184&gt;0)," ",(I$1-A184))," ")</f>
        <v> </v>
      </c>
    </row>
    <row r="185" customFormat="false" ht="12.75" hidden="false" customHeight="false" outlineLevel="0" collapsed="false">
      <c r="A185" s="355"/>
      <c r="H185" s="338" t="str">
        <f aca="false">IF((F185&lt;&gt;0),IF((D185&gt;0)," ",F185)," ")</f>
        <v> </v>
      </c>
      <c r="I185" s="339" t="str">
        <f aca="false">IF((F185&lt;&gt;0),IF((D185&gt;0)," ",(I$1-A185))," ")</f>
        <v> </v>
      </c>
    </row>
    <row r="186" customFormat="false" ht="12.75" hidden="false" customHeight="false" outlineLevel="0" collapsed="false">
      <c r="A186" s="355"/>
      <c r="H186" s="338" t="str">
        <f aca="false">IF((F186&lt;&gt;0),IF((D186&gt;0)," ",F186)," ")</f>
        <v> </v>
      </c>
      <c r="I186" s="339" t="str">
        <f aca="false">IF((F186&lt;&gt;0),IF((D186&gt;0)," ",(I$1-A186))," ")</f>
        <v> </v>
      </c>
    </row>
    <row r="187" customFormat="false" ht="12.75" hidden="false" customHeight="false" outlineLevel="0" collapsed="false">
      <c r="A187" s="355"/>
      <c r="H187" s="338" t="str">
        <f aca="false">IF((F187&lt;&gt;0),IF((D187&gt;0)," ",F187)," ")</f>
        <v> </v>
      </c>
      <c r="I187" s="339" t="str">
        <f aca="false">IF((F187&lt;&gt;0),IF((D187&gt;0)," ",(I$1-A187))," ")</f>
        <v> </v>
      </c>
    </row>
    <row r="188" customFormat="false" ht="12.75" hidden="false" customHeight="false" outlineLevel="0" collapsed="false">
      <c r="A188" s="355"/>
      <c r="H188" s="338" t="str">
        <f aca="false">IF((F188&lt;&gt;0),IF((D188&gt;0)," ",F188)," ")</f>
        <v> </v>
      </c>
      <c r="I188" s="339" t="str">
        <f aca="false">IF((F188&lt;&gt;0),IF((D188&gt;0)," ",(I$1-A188))," ")</f>
        <v> </v>
      </c>
    </row>
    <row r="189" customFormat="false" ht="12.75" hidden="false" customHeight="false" outlineLevel="0" collapsed="false">
      <c r="A189" s="355"/>
      <c r="H189" s="338" t="str">
        <f aca="false">IF((F189&lt;&gt;0),IF((D189&gt;0)," ",F189)," ")</f>
        <v> </v>
      </c>
      <c r="I189" s="339" t="str">
        <f aca="false">IF((F189&lt;&gt;0),IF((D189&gt;0)," ",(I$1-A189))," ")</f>
        <v> </v>
      </c>
    </row>
    <row r="190" customFormat="false" ht="12.75" hidden="false" customHeight="false" outlineLevel="0" collapsed="false">
      <c r="A190" s="355"/>
      <c r="H190" s="338" t="str">
        <f aca="false">IF((F190&lt;&gt;0),IF((D190&gt;0)," ",F190)," ")</f>
        <v> </v>
      </c>
      <c r="I190" s="339" t="str">
        <f aca="false">IF((F190&lt;&gt;0),IF((D190&gt;0)," ",(I$1-A190))," ")</f>
        <v> </v>
      </c>
    </row>
    <row r="191" customFormat="false" ht="12.75" hidden="false" customHeight="false" outlineLevel="0" collapsed="false">
      <c r="A191" s="355"/>
      <c r="H191" s="338" t="str">
        <f aca="false">IF((F191&lt;&gt;0),IF((D191&gt;0)," ",F191)," ")</f>
        <v> </v>
      </c>
      <c r="I191" s="339" t="str">
        <f aca="false">IF((F191&lt;&gt;0),IF((D191&gt;0)," ",(I$1-A191))," ")</f>
        <v> </v>
      </c>
    </row>
    <row r="192" customFormat="false" ht="12.75" hidden="false" customHeight="false" outlineLevel="0" collapsed="false">
      <c r="A192" s="355"/>
      <c r="H192" s="338" t="str">
        <f aca="false">IF((F192&lt;&gt;0),IF((D192&gt;0)," ",F192)," ")</f>
        <v> </v>
      </c>
      <c r="I192" s="339" t="str">
        <f aca="false">IF((F192&lt;&gt;0),IF((D192&gt;0)," ",(I$1-A192))," ")</f>
        <v> </v>
      </c>
    </row>
    <row r="193" customFormat="false" ht="12.75" hidden="false" customHeight="false" outlineLevel="0" collapsed="false">
      <c r="A193" s="355"/>
      <c r="H193" s="338" t="str">
        <f aca="false">IF((F193&lt;&gt;0),IF((D193&gt;0)," ",F193)," ")</f>
        <v> </v>
      </c>
      <c r="I193" s="339" t="str">
        <f aca="false">IF((F193&lt;&gt;0),IF((D193&gt;0)," ",(I$1-A193))," ")</f>
        <v> </v>
      </c>
    </row>
    <row r="194" customFormat="false" ht="12.75" hidden="false" customHeight="false" outlineLevel="0" collapsed="false">
      <c r="A194" s="355"/>
      <c r="H194" s="338" t="str">
        <f aca="false">IF((F194&lt;&gt;0),IF((D194&gt;0)," ",F194)," ")</f>
        <v> </v>
      </c>
      <c r="I194" s="339" t="str">
        <f aca="false">IF((F194&lt;&gt;0),IF((D194&gt;0)," ",(I$1-A194))," ")</f>
        <v> </v>
      </c>
    </row>
    <row r="195" customFormat="false" ht="12.75" hidden="false" customHeight="false" outlineLevel="0" collapsed="false">
      <c r="A195" s="355"/>
      <c r="H195" s="338" t="str">
        <f aca="false">IF((F195&lt;&gt;0),IF((D195&gt;0)," ",F195)," ")</f>
        <v> </v>
      </c>
      <c r="I195" s="339" t="str">
        <f aca="false">IF((F195&lt;&gt;0),IF((D195&gt;0)," ",(I$1-A195))," ")</f>
        <v> </v>
      </c>
    </row>
    <row r="196" customFormat="false" ht="12.75" hidden="false" customHeight="false" outlineLevel="0" collapsed="false">
      <c r="A196" s="355"/>
      <c r="H196" s="338" t="str">
        <f aca="false">IF((F196&lt;&gt;0),IF((D196&gt;0)," ",F196)," ")</f>
        <v> </v>
      </c>
      <c r="I196" s="339" t="str">
        <f aca="false">IF((F196&lt;&gt;0),IF((D196&gt;0)," ",(I$1-A196))," ")</f>
        <v> </v>
      </c>
    </row>
    <row r="197" customFormat="false" ht="12.75" hidden="false" customHeight="false" outlineLevel="0" collapsed="false">
      <c r="A197" s="355"/>
      <c r="H197" s="338" t="str">
        <f aca="false">IF((F197&lt;&gt;0),IF((D197&gt;0)," ",F197)," ")</f>
        <v> </v>
      </c>
      <c r="I197" s="339" t="str">
        <f aca="false">IF((F197&lt;&gt;0),IF((D197&gt;0)," ",(I$1-A197))," ")</f>
        <v> </v>
      </c>
    </row>
    <row r="198" customFormat="false" ht="12.75" hidden="false" customHeight="false" outlineLevel="0" collapsed="false">
      <c r="A198" s="355"/>
      <c r="H198" s="338" t="str">
        <f aca="false">IF((F198&lt;&gt;0),IF((D198&gt;0)," ",F198)," ")</f>
        <v> </v>
      </c>
      <c r="I198" s="339" t="str">
        <f aca="false">IF((F198&lt;&gt;0),IF((D198&gt;0)," ",(I$1-A198))," ")</f>
        <v> </v>
      </c>
    </row>
    <row r="199" customFormat="false" ht="12.75" hidden="false" customHeight="false" outlineLevel="0" collapsed="false">
      <c r="A199" s="355"/>
      <c r="H199" s="338" t="str">
        <f aca="false">IF((F199&lt;&gt;0),IF((D199&gt;0)," ",F199)," ")</f>
        <v> </v>
      </c>
      <c r="I199" s="339" t="str">
        <f aca="false">IF((F199&lt;&gt;0),IF((D199&gt;0)," ",(I$1-A199))," ")</f>
        <v> </v>
      </c>
    </row>
    <row r="200" customFormat="false" ht="12.75" hidden="false" customHeight="false" outlineLevel="0" collapsed="false">
      <c r="A200" s="355"/>
      <c r="H200" s="338" t="str">
        <f aca="false">IF((F200&lt;&gt;0),IF((D200&gt;0)," ",F200)," ")</f>
        <v> </v>
      </c>
      <c r="I200" s="339" t="str">
        <f aca="false">IF((F200&lt;&gt;0),IF((D200&gt;0)," ",(I$1-A200))," ")</f>
        <v> </v>
      </c>
    </row>
    <row r="201" customFormat="false" ht="12.75" hidden="false" customHeight="false" outlineLevel="0" collapsed="false">
      <c r="A201" s="355"/>
      <c r="H201" s="338" t="str">
        <f aca="false">IF((F201&lt;&gt;0),IF((D201&gt;0)," ",F201)," ")</f>
        <v> </v>
      </c>
      <c r="I201" s="339" t="str">
        <f aca="false">IF((F201&lt;&gt;0),IF((D201&gt;0)," ",(I$1-A201))," ")</f>
        <v> </v>
      </c>
    </row>
    <row r="202" customFormat="false" ht="12.75" hidden="false" customHeight="false" outlineLevel="0" collapsed="false">
      <c r="A202" s="355"/>
      <c r="H202" s="338" t="str">
        <f aca="false">IF((F202&lt;&gt;0),IF((D202&gt;0)," ",F202)," ")</f>
        <v> </v>
      </c>
      <c r="I202" s="339" t="str">
        <f aca="false">IF((F202&lt;&gt;0),IF((D202&gt;0)," ",(I$1-A202))," ")</f>
        <v> </v>
      </c>
    </row>
    <row r="203" customFormat="false" ht="12.75" hidden="false" customHeight="false" outlineLevel="0" collapsed="false">
      <c r="A203" s="355"/>
      <c r="H203" s="338" t="str">
        <f aca="false">IF((F203&lt;&gt;0),IF((D203&gt;0)," ",F203)," ")</f>
        <v> </v>
      </c>
      <c r="I203" s="339" t="str">
        <f aca="false">IF((F203&lt;&gt;0),IF((D203&gt;0)," ",(I$1-A203))," ")</f>
        <v> </v>
      </c>
    </row>
    <row r="204" customFormat="false" ht="12.75" hidden="false" customHeight="false" outlineLevel="0" collapsed="false">
      <c r="A204" s="355"/>
      <c r="H204" s="338" t="str">
        <f aca="false">IF((F204&lt;&gt;0),IF((D204&gt;0)," ",F204)," ")</f>
        <v> </v>
      </c>
      <c r="I204" s="339" t="str">
        <f aca="false">IF((F204&lt;&gt;0),IF((D204&gt;0)," ",(I$1-A204))," ")</f>
        <v> </v>
      </c>
    </row>
    <row r="205" customFormat="false" ht="12.75" hidden="false" customHeight="false" outlineLevel="0" collapsed="false">
      <c r="A205" s="355"/>
    </row>
    <row r="206" customFormat="false" ht="12.75" hidden="false" customHeight="false" outlineLevel="0" collapsed="false">
      <c r="A206" s="355"/>
    </row>
    <row r="207" customFormat="false" ht="12.75" hidden="false" customHeight="false" outlineLevel="0" collapsed="false">
      <c r="A207" s="355"/>
    </row>
    <row r="208" customFormat="false" ht="12.75" hidden="false" customHeight="false" outlineLevel="0" collapsed="false">
      <c r="A208" s="355"/>
    </row>
    <row r="209" customFormat="false" ht="12.75" hidden="false" customHeight="false" outlineLevel="0" collapsed="false">
      <c r="A209" s="355"/>
    </row>
    <row r="210" customFormat="false" ht="12.75" hidden="false" customHeight="false" outlineLevel="0" collapsed="false">
      <c r="A210" s="355"/>
    </row>
    <row r="211" customFormat="false" ht="12.75" hidden="false" customHeight="false" outlineLevel="0" collapsed="false">
      <c r="A211" s="355"/>
    </row>
    <row r="212" customFormat="false" ht="12.75" hidden="false" customHeight="false" outlineLevel="0" collapsed="false">
      <c r="A212" s="355"/>
    </row>
    <row r="213" customFormat="false" ht="12.75" hidden="false" customHeight="false" outlineLevel="0" collapsed="false">
      <c r="A213" s="355"/>
    </row>
    <row r="214" customFormat="false" ht="12.75" hidden="false" customHeight="false" outlineLevel="0" collapsed="false">
      <c r="A214" s="355"/>
    </row>
    <row r="215" customFormat="false" ht="12.75" hidden="false" customHeight="false" outlineLevel="0" collapsed="false">
      <c r="A215" s="355"/>
    </row>
    <row r="216" customFormat="false" ht="12.75" hidden="false" customHeight="false" outlineLevel="0" collapsed="false">
      <c r="A216" s="355"/>
    </row>
    <row r="217" customFormat="false" ht="12.75" hidden="false" customHeight="false" outlineLevel="0" collapsed="false">
      <c r="A217" s="355"/>
    </row>
    <row r="218" customFormat="false" ht="12.75" hidden="false" customHeight="false" outlineLevel="0" collapsed="false">
      <c r="A218" s="355"/>
    </row>
    <row r="219" customFormat="false" ht="12.75" hidden="false" customHeight="false" outlineLevel="0" collapsed="false">
      <c r="A219" s="355"/>
    </row>
    <row r="220" customFormat="false" ht="12.75" hidden="false" customHeight="false" outlineLevel="0" collapsed="false">
      <c r="A220" s="355"/>
    </row>
    <row r="221" customFormat="false" ht="12.75" hidden="false" customHeight="false" outlineLevel="0" collapsed="false">
      <c r="A221" s="355"/>
    </row>
    <row r="222" customFormat="false" ht="12.75" hidden="false" customHeight="false" outlineLevel="0" collapsed="false">
      <c r="A222" s="355"/>
    </row>
    <row r="223" customFormat="false" ht="12.75" hidden="false" customHeight="false" outlineLevel="0" collapsed="false">
      <c r="A223" s="355"/>
    </row>
    <row r="224" customFormat="false" ht="12.75" hidden="false" customHeight="false" outlineLevel="0" collapsed="false">
      <c r="A224" s="355"/>
    </row>
    <row r="225" customFormat="false" ht="12.75" hidden="false" customHeight="false" outlineLevel="0" collapsed="false">
      <c r="A225" s="355"/>
    </row>
    <row r="226" customFormat="false" ht="12.75" hidden="false" customHeight="false" outlineLevel="0" collapsed="false">
      <c r="A226" s="355"/>
    </row>
    <row r="227" customFormat="false" ht="12.75" hidden="false" customHeight="false" outlineLevel="0" collapsed="false">
      <c r="A227" s="355"/>
    </row>
    <row r="228" customFormat="false" ht="12.75" hidden="false" customHeight="false" outlineLevel="0" collapsed="false">
      <c r="A228" s="355"/>
    </row>
    <row r="229" customFormat="false" ht="12.75" hidden="false" customHeight="false" outlineLevel="0" collapsed="false">
      <c r="A229" s="355"/>
    </row>
    <row r="230" customFormat="false" ht="12.75" hidden="false" customHeight="false" outlineLevel="0" collapsed="false">
      <c r="A230" s="355"/>
    </row>
    <row r="231" customFormat="false" ht="12.75" hidden="false" customHeight="false" outlineLevel="0" collapsed="false">
      <c r="A231" s="355"/>
    </row>
    <row r="232" customFormat="false" ht="12.75" hidden="false" customHeight="false" outlineLevel="0" collapsed="false">
      <c r="A232" s="355"/>
    </row>
    <row r="233" customFormat="false" ht="12.75" hidden="false" customHeight="false" outlineLevel="0" collapsed="false">
      <c r="A233" s="355"/>
    </row>
    <row r="234" customFormat="false" ht="12.75" hidden="false" customHeight="false" outlineLevel="0" collapsed="false">
      <c r="A234" s="355"/>
    </row>
    <row r="235" customFormat="false" ht="12.75" hidden="false" customHeight="false" outlineLevel="0" collapsed="false">
      <c r="A235" s="355"/>
    </row>
    <row r="236" customFormat="false" ht="12.75" hidden="false" customHeight="false" outlineLevel="0" collapsed="false">
      <c r="A236" s="355"/>
    </row>
    <row r="237" customFormat="false" ht="12.75" hidden="false" customHeight="false" outlineLevel="0" collapsed="false">
      <c r="A237" s="355"/>
    </row>
    <row r="238" customFormat="false" ht="12.75" hidden="false" customHeight="false" outlineLevel="0" collapsed="false">
      <c r="A238" s="355"/>
    </row>
    <row r="239" customFormat="false" ht="12.75" hidden="false" customHeight="false" outlineLevel="0" collapsed="false">
      <c r="A239" s="355"/>
    </row>
    <row r="240" customFormat="false" ht="12.75" hidden="false" customHeight="false" outlineLevel="0" collapsed="false">
      <c r="A240" s="355"/>
    </row>
    <row r="241" customFormat="false" ht="12.75" hidden="false" customHeight="false" outlineLevel="0" collapsed="false">
      <c r="A241" s="355"/>
    </row>
    <row r="242" customFormat="false" ht="12.75" hidden="false" customHeight="false" outlineLevel="0" collapsed="false">
      <c r="A242" s="355"/>
    </row>
    <row r="243" customFormat="false" ht="12.75" hidden="false" customHeight="false" outlineLevel="0" collapsed="false">
      <c r="A243" s="355"/>
    </row>
    <row r="244" customFormat="false" ht="12.75" hidden="false" customHeight="false" outlineLevel="0" collapsed="false">
      <c r="A244" s="355"/>
    </row>
    <row r="245" customFormat="false" ht="12.75" hidden="false" customHeight="false" outlineLevel="0" collapsed="false">
      <c r="A245" s="355"/>
    </row>
    <row r="246" customFormat="false" ht="12.75" hidden="false" customHeight="false" outlineLevel="0" collapsed="false">
      <c r="A246" s="355"/>
    </row>
    <row r="247" customFormat="false" ht="12.75" hidden="false" customHeight="false" outlineLevel="0" collapsed="false">
      <c r="A247" s="355"/>
    </row>
    <row r="248" customFormat="false" ht="12.75" hidden="false" customHeight="false" outlineLevel="0" collapsed="false">
      <c r="A248" s="355"/>
    </row>
    <row r="249" customFormat="false" ht="12.75" hidden="false" customHeight="false" outlineLevel="0" collapsed="false">
      <c r="A249" s="355"/>
    </row>
    <row r="250" customFormat="false" ht="12.75" hidden="false" customHeight="false" outlineLevel="0" collapsed="false">
      <c r="A250" s="355"/>
    </row>
    <row r="251" customFormat="false" ht="12.75" hidden="false" customHeight="false" outlineLevel="0" collapsed="false">
      <c r="A251" s="355"/>
    </row>
    <row r="252" customFormat="false" ht="12.75" hidden="false" customHeight="false" outlineLevel="0" collapsed="false">
      <c r="A252" s="355"/>
    </row>
    <row r="253" customFormat="false" ht="12.75" hidden="false" customHeight="false" outlineLevel="0" collapsed="false">
      <c r="A253" s="355"/>
    </row>
    <row r="254" customFormat="false" ht="12.75" hidden="false" customHeight="false" outlineLevel="0" collapsed="false">
      <c r="A254" s="355"/>
    </row>
    <row r="255" customFormat="false" ht="12.75" hidden="false" customHeight="false" outlineLevel="0" collapsed="false">
      <c r="A255" s="355"/>
    </row>
    <row r="256" customFormat="false" ht="12.75" hidden="false" customHeight="false" outlineLevel="0" collapsed="false">
      <c r="A256" s="355"/>
    </row>
    <row r="257" customFormat="false" ht="12.75" hidden="false" customHeight="false" outlineLevel="0" collapsed="false">
      <c r="A257" s="355"/>
    </row>
    <row r="258" customFormat="false" ht="12.75" hidden="false" customHeight="false" outlineLevel="0" collapsed="false">
      <c r="A258" s="355"/>
    </row>
    <row r="259" customFormat="false" ht="12.75" hidden="false" customHeight="false" outlineLevel="0" collapsed="false">
      <c r="A259" s="355"/>
    </row>
    <row r="260" customFormat="false" ht="12.75" hidden="false" customHeight="false" outlineLevel="0" collapsed="false">
      <c r="A260" s="355"/>
    </row>
    <row r="261" customFormat="false" ht="12.75" hidden="false" customHeight="false" outlineLevel="0" collapsed="false">
      <c r="A261" s="355"/>
    </row>
    <row r="262" customFormat="false" ht="12.75" hidden="false" customHeight="false" outlineLevel="0" collapsed="false">
      <c r="A262" s="355"/>
    </row>
    <row r="263" customFormat="false" ht="12.75" hidden="false" customHeight="false" outlineLevel="0" collapsed="false">
      <c r="A263" s="355"/>
    </row>
    <row r="264" customFormat="false" ht="12.75" hidden="false" customHeight="false" outlineLevel="0" collapsed="false">
      <c r="A264" s="355"/>
    </row>
    <row r="265" customFormat="false" ht="12.75" hidden="false" customHeight="false" outlineLevel="0" collapsed="false">
      <c r="A265" s="355"/>
    </row>
    <row r="266" customFormat="false" ht="12.75" hidden="false" customHeight="false" outlineLevel="0" collapsed="false">
      <c r="A266" s="355"/>
    </row>
    <row r="267" customFormat="false" ht="12.75" hidden="false" customHeight="false" outlineLevel="0" collapsed="false">
      <c r="A267" s="355"/>
    </row>
    <row r="268" customFormat="false" ht="12.75" hidden="false" customHeight="false" outlineLevel="0" collapsed="false">
      <c r="A268" s="355"/>
    </row>
    <row r="269" customFormat="false" ht="12.75" hidden="false" customHeight="false" outlineLevel="0" collapsed="false">
      <c r="A269" s="355"/>
    </row>
    <row r="270" customFormat="false" ht="12.75" hidden="false" customHeight="false" outlineLevel="0" collapsed="false">
      <c r="A270" s="355"/>
    </row>
    <row r="271" customFormat="false" ht="12.75" hidden="false" customHeight="false" outlineLevel="0" collapsed="false">
      <c r="A271" s="355"/>
    </row>
    <row r="272" customFormat="false" ht="12.75" hidden="false" customHeight="false" outlineLevel="0" collapsed="false">
      <c r="A272" s="355"/>
    </row>
    <row r="273" customFormat="false" ht="12.75" hidden="false" customHeight="false" outlineLevel="0" collapsed="false">
      <c r="A273" s="355"/>
    </row>
    <row r="274" customFormat="false" ht="12.75" hidden="false" customHeight="false" outlineLevel="0" collapsed="false">
      <c r="A274" s="355"/>
    </row>
    <row r="275" customFormat="false" ht="12.75" hidden="false" customHeight="false" outlineLevel="0" collapsed="false">
      <c r="A275" s="355"/>
    </row>
    <row r="276" customFormat="false" ht="12.75" hidden="false" customHeight="false" outlineLevel="0" collapsed="false">
      <c r="A276" s="355"/>
    </row>
    <row r="277" customFormat="false" ht="12.75" hidden="false" customHeight="false" outlineLevel="0" collapsed="false">
      <c r="A277" s="355"/>
    </row>
    <row r="278" customFormat="false" ht="12.75" hidden="false" customHeight="false" outlineLevel="0" collapsed="false">
      <c r="A278" s="355"/>
    </row>
    <row r="279" customFormat="false" ht="12.75" hidden="false" customHeight="false" outlineLevel="0" collapsed="false">
      <c r="A279" s="355"/>
    </row>
    <row r="280" customFormat="false" ht="12.75" hidden="false" customHeight="false" outlineLevel="0" collapsed="false">
      <c r="A280" s="355"/>
    </row>
    <row r="281" customFormat="false" ht="12.75" hidden="false" customHeight="false" outlineLevel="0" collapsed="false">
      <c r="A281" s="355"/>
    </row>
    <row r="282" customFormat="false" ht="12.75" hidden="false" customHeight="false" outlineLevel="0" collapsed="false">
      <c r="A282" s="355"/>
    </row>
    <row r="283" customFormat="false" ht="12.75" hidden="false" customHeight="false" outlineLevel="0" collapsed="false">
      <c r="A283" s="355"/>
    </row>
    <row r="284" customFormat="false" ht="12.75" hidden="false" customHeight="false" outlineLevel="0" collapsed="false">
      <c r="A284" s="355"/>
    </row>
    <row r="285" customFormat="false" ht="12.75" hidden="false" customHeight="false" outlineLevel="0" collapsed="false">
      <c r="A285" s="355"/>
    </row>
    <row r="286" customFormat="false" ht="12.75" hidden="false" customHeight="false" outlineLevel="0" collapsed="false">
      <c r="A286" s="355"/>
    </row>
    <row r="287" customFormat="false" ht="12.75" hidden="false" customHeight="false" outlineLevel="0" collapsed="false">
      <c r="A287" s="355"/>
    </row>
    <row r="288" customFormat="false" ht="12.75" hidden="false" customHeight="false" outlineLevel="0" collapsed="false">
      <c r="A288" s="355"/>
    </row>
    <row r="289" customFormat="false" ht="12.75" hidden="false" customHeight="false" outlineLevel="0" collapsed="false">
      <c r="A289" s="355"/>
    </row>
    <row r="290" customFormat="false" ht="12.75" hidden="false" customHeight="false" outlineLevel="0" collapsed="false">
      <c r="A290" s="355"/>
    </row>
    <row r="291" customFormat="false" ht="12.75" hidden="false" customHeight="false" outlineLevel="0" collapsed="false">
      <c r="A291" s="355"/>
    </row>
    <row r="292" customFormat="false" ht="12.75" hidden="false" customHeight="false" outlineLevel="0" collapsed="false">
      <c r="A292" s="355"/>
    </row>
    <row r="293" customFormat="false" ht="12.75" hidden="false" customHeight="false" outlineLevel="0" collapsed="false">
      <c r="A293" s="355"/>
    </row>
    <row r="294" customFormat="false" ht="12.75" hidden="false" customHeight="false" outlineLevel="0" collapsed="false">
      <c r="A294" s="355"/>
    </row>
    <row r="295" customFormat="false" ht="12.75" hidden="false" customHeight="false" outlineLevel="0" collapsed="false">
      <c r="A295" s="355"/>
    </row>
    <row r="296" customFormat="false" ht="12.75" hidden="false" customHeight="false" outlineLevel="0" collapsed="false">
      <c r="A296" s="355"/>
    </row>
    <row r="297" customFormat="false" ht="12.75" hidden="false" customHeight="false" outlineLevel="0" collapsed="false">
      <c r="A297" s="355"/>
    </row>
    <row r="298" customFormat="false" ht="12.75" hidden="false" customHeight="false" outlineLevel="0" collapsed="false">
      <c r="A298" s="355"/>
    </row>
    <row r="299" customFormat="false" ht="12.75" hidden="false" customHeight="false" outlineLevel="0" collapsed="false">
      <c r="A299" s="355"/>
    </row>
    <row r="300" customFormat="false" ht="12.75" hidden="false" customHeight="false" outlineLevel="0" collapsed="false">
      <c r="A300" s="355"/>
      <c r="B300" s="356"/>
      <c r="C300" s="357"/>
      <c r="D300" s="358"/>
      <c r="E300" s="359"/>
      <c r="F300" s="356"/>
      <c r="G300" s="356"/>
      <c r="H300" s="360"/>
      <c r="I300" s="361"/>
      <c r="J300" s="356"/>
    </row>
    <row r="301" customFormat="false" ht="12.75" hidden="false" customHeight="false" outlineLevel="0" collapsed="false">
      <c r="A301" s="333" t="s">
        <v>265</v>
      </c>
    </row>
  </sheetData>
  <mergeCells count="10">
    <mergeCell ref="A1:A3"/>
    <mergeCell ref="B1:B3"/>
    <mergeCell ref="C2:C3"/>
    <mergeCell ref="D2:D3"/>
    <mergeCell ref="E2:E3"/>
    <mergeCell ref="F2:F3"/>
    <mergeCell ref="G2:G3"/>
    <mergeCell ref="H2:H3"/>
    <mergeCell ref="I2:I3"/>
    <mergeCell ref="J2:K2"/>
  </mergeCells>
  <dataValidations count="1">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4:A300" type="date">
      <formula1>38353</formula1>
      <formula2>53327</formula2>
    </dataValidation>
  </dataValidations>
  <printOptions headings="false" gridLines="true" gridLinesSet="true" horizontalCentered="false" verticalCentered="false"/>
  <pageMargins left="0.196527777777778" right="0.39375" top="0.590972222222222" bottom="0.590972222222222"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&amp;C&amp;"Arial,Bold"&amp;11Sales Turnover</oddHeader>
    <oddFooter>&amp;L&amp;D  &amp;T&amp;C&amp;P  of  &amp;N&amp;R&amp;F  &amp;A</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62" width="9.66"/>
    <col collapsed="false" customWidth="true" hidden="false" outlineLevel="0" max="2" min="2" style="363" width="23.99"/>
    <col collapsed="false" customWidth="true" hidden="false" outlineLevel="0" max="3" min="3" style="363" width="15.99"/>
    <col collapsed="false" customWidth="true" hidden="false" outlineLevel="0" max="4" min="4" style="364" width="16.15"/>
    <col collapsed="false" customWidth="true" hidden="false" outlineLevel="0" max="5" min="5" style="365" width="9.49"/>
    <col collapsed="false" customWidth="true" hidden="false" outlineLevel="0" max="6" min="6" style="365" width="8.66"/>
    <col collapsed="false" customWidth="true" hidden="false" outlineLevel="0" max="7" min="7" style="366" width="12.66"/>
    <col collapsed="false" customWidth="true" hidden="false" outlineLevel="0" max="8" min="8" style="338" width="11.5"/>
    <col collapsed="false" customWidth="true" hidden="false" outlineLevel="0" max="9" min="9" style="367" width="10.5"/>
    <col collapsed="false" customWidth="true" hidden="false" outlineLevel="0" max="19" min="10" style="334" width="9.66"/>
    <col collapsed="false" customWidth="true" hidden="false" outlineLevel="0" max="22" min="20" style="334" width="7.66"/>
    <col collapsed="false" customWidth="true" hidden="false" outlineLevel="0" max="23" min="23" style="334" width="9.66"/>
    <col collapsed="false" customWidth="true" hidden="false" outlineLevel="0" max="24" min="24" style="363" width="24.66"/>
    <col collapsed="false" customWidth="false" hidden="false" outlineLevel="0" max="25" min="25" style="368" width="9.15"/>
    <col collapsed="false" customWidth="true" hidden="false" outlineLevel="0" max="26" min="26" style="368" width="12.66"/>
    <col collapsed="false" customWidth="false" hidden="false" outlineLevel="0" max="257" min="27" style="363" width="9.15"/>
  </cols>
  <sheetData>
    <row r="1" s="334" customFormat="true" ht="13.5" hidden="false" customHeight="true" outlineLevel="0" collapsed="false">
      <c r="A1" s="369" t="n">
        <f aca="false">G4+PurchasesSep!A1</f>
        <v>0</v>
      </c>
      <c r="B1" s="370" t="s">
        <v>266</v>
      </c>
      <c r="C1" s="344" t="n">
        <f aca="false">PurchasesSep!C1+PurchasesOct!F1+SalesOct!$E$1</f>
        <v>0</v>
      </c>
      <c r="D1" s="369" t="s">
        <v>248</v>
      </c>
      <c r="E1" s="371" t="str">
        <f aca="false">IF((G1-SUM(J1:W1)&lt;&gt;0),(G1-SUM(J1:W1))," ")</f>
        <v> </v>
      </c>
      <c r="F1" s="344" t="n">
        <f aca="false">SUM(F5:F300)</f>
        <v>0</v>
      </c>
      <c r="G1" s="343" t="n">
        <f aca="false">SUM(G4:G300)</f>
        <v>43005.75</v>
      </c>
      <c r="H1" s="372" t="n">
        <f aca="false">SUM(H5:H300)</f>
        <v>43005.75</v>
      </c>
      <c r="I1" s="373" t="n">
        <f aca="true">TODAY()</f>
        <v>46138</v>
      </c>
      <c r="J1" s="343" t="n">
        <f aca="false">SUM(J5:J300)</f>
        <v>480</v>
      </c>
      <c r="K1" s="343" t="n">
        <f aca="false">SUM(K5:K300)</f>
        <v>0</v>
      </c>
      <c r="L1" s="343" t="n">
        <f aca="false">SUM(L5:L300)</f>
        <v>0</v>
      </c>
      <c r="M1" s="343" t="n">
        <f aca="false">SUM(M5:M300)</f>
        <v>1200</v>
      </c>
      <c r="N1" s="343" t="n">
        <f aca="false">SUM(N5:N300)</f>
        <v>96</v>
      </c>
      <c r="O1" s="343" t="n">
        <f aca="false">SUM(O5:O300)</f>
        <v>135</v>
      </c>
      <c r="P1" s="343" t="n">
        <f aca="false">SUM(P3:P300)</f>
        <v>606.75</v>
      </c>
      <c r="Q1" s="343" t="n">
        <f aca="false">SUM(Q5:Q300)</f>
        <v>212</v>
      </c>
      <c r="R1" s="343" t="n">
        <f aca="false">SUM(R5:R300)</f>
        <v>3000</v>
      </c>
      <c r="S1" s="343" t="n">
        <f aca="false">SUM(S5:S300)</f>
        <v>300</v>
      </c>
      <c r="T1" s="343" t="n">
        <f aca="false">SUM(T5:T300)</f>
        <v>0</v>
      </c>
      <c r="U1" s="343" t="n">
        <f aca="false">SUM(U5:U300)</f>
        <v>0</v>
      </c>
      <c r="V1" s="343" t="n">
        <f aca="false">SUM(V5:V300)</f>
        <v>976</v>
      </c>
      <c r="W1" s="345" t="n">
        <f aca="false">SUM(W5:W300)</f>
        <v>36000</v>
      </c>
      <c r="X1" s="374" t="n">
        <f aca="false">W1+PurchasesSep!X1</f>
        <v>39000</v>
      </c>
      <c r="Y1" s="375" t="n">
        <f aca="false">SUM(Y5:Y200)</f>
        <v>0</v>
      </c>
      <c r="Z1" s="376" t="n">
        <f aca="false">Y1+PurchasesSep!Z1</f>
        <v>0</v>
      </c>
    </row>
    <row r="2" s="384" customFormat="true" ht="24" hidden="false" customHeight="true" outlineLevel="0" collapsed="false">
      <c r="A2" s="377" t="s">
        <v>267</v>
      </c>
      <c r="B2" s="378" t="str">
        <f aca="false">IF((G1-SUM(J1:W1)&lt;&gt;0),"COMPLETE EXPENSE ANALYSIS by inserting expense letter in col E","Supplier")</f>
        <v>Supplier</v>
      </c>
      <c r="C2" s="379" t="s">
        <v>268</v>
      </c>
      <c r="D2" s="379" t="s">
        <v>269</v>
      </c>
      <c r="E2" s="379" t="s">
        <v>270</v>
      </c>
      <c r="F2" s="379" t="s">
        <v>344</v>
      </c>
      <c r="G2" s="380" t="s">
        <v>272</v>
      </c>
      <c r="H2" s="381" t="s">
        <v>273</v>
      </c>
      <c r="I2" s="382" t="s">
        <v>274</v>
      </c>
      <c r="J2" s="380" t="s">
        <v>275</v>
      </c>
      <c r="K2" s="380" t="s">
        <v>276</v>
      </c>
      <c r="L2" s="380" t="s">
        <v>277</v>
      </c>
      <c r="M2" s="380" t="s">
        <v>278</v>
      </c>
      <c r="N2" s="380" t="s">
        <v>279</v>
      </c>
      <c r="O2" s="380" t="s">
        <v>280</v>
      </c>
      <c r="P2" s="380" t="s">
        <v>281</v>
      </c>
      <c r="Q2" s="380" t="s">
        <v>282</v>
      </c>
      <c r="R2" s="380" t="s">
        <v>283</v>
      </c>
      <c r="S2" s="380" t="s">
        <v>284</v>
      </c>
      <c r="T2" s="380" t="s">
        <v>285</v>
      </c>
      <c r="U2" s="380" t="s">
        <v>286</v>
      </c>
      <c r="V2" s="380" t="s">
        <v>287</v>
      </c>
      <c r="W2" s="381" t="s">
        <v>288</v>
      </c>
      <c r="X2" s="383" t="str">
        <f aca="false">IF(X1&gt;('Fixed Assets'!$E$110),"FIXED ASSETS requires updating with new additions","Fixed Assets Description  (Vehicles: make, model, date reg. and reg. mark)")</f>
        <v>FIXED ASSETS requires updating with new additions</v>
      </c>
      <c r="Y2" s="380" t="s">
        <v>289</v>
      </c>
      <c r="Z2" s="380"/>
    </row>
    <row r="3" s="386" customFormat="true" ht="12" hidden="false" customHeight="true" outlineLevel="0" collapsed="false">
      <c r="A3" s="377"/>
      <c r="B3" s="377"/>
      <c r="C3" s="377"/>
      <c r="D3" s="377"/>
      <c r="E3" s="379"/>
      <c r="F3" s="379"/>
      <c r="G3" s="380"/>
      <c r="H3" s="381"/>
      <c r="I3" s="381"/>
      <c r="J3" s="380"/>
      <c r="K3" s="380"/>
      <c r="L3" s="380"/>
      <c r="M3" s="380"/>
      <c r="N3" s="380"/>
      <c r="O3" s="380"/>
      <c r="P3" s="385" t="n">
        <f aca="false">IF((E$4="m"),G$4," ")</f>
        <v>0</v>
      </c>
      <c r="Q3" s="380"/>
      <c r="R3" s="380"/>
      <c r="S3" s="380"/>
      <c r="T3" s="380"/>
      <c r="U3" s="380"/>
      <c r="V3" s="380"/>
      <c r="W3" s="381"/>
      <c r="X3" s="383"/>
      <c r="Y3" s="380" t="s">
        <v>290</v>
      </c>
      <c r="Z3" s="380"/>
    </row>
    <row r="4" s="365" customFormat="true" ht="12.75" hidden="false" customHeight="false" outlineLevel="0" collapsed="false">
      <c r="A4" s="377"/>
      <c r="B4" s="377"/>
      <c r="C4" s="377"/>
      <c r="D4" s="377"/>
      <c r="E4" s="387" t="s">
        <v>291</v>
      </c>
      <c r="F4" s="379"/>
      <c r="G4" s="400" t="n">
        <f aca="false">IF((C1&lt;Admin!$F$22),((C1-PurchasesSep!C1)*Admin!$G$21),(C1*Admin!$G$21-(C1-Admin!$F$21)*(Admin!$G$21-Admin!$G$22)-PurchasesSep!A1))</f>
        <v>0</v>
      </c>
      <c r="H4" s="381"/>
      <c r="I4" s="381"/>
      <c r="J4" s="389" t="s">
        <v>292</v>
      </c>
      <c r="K4" s="390" t="s">
        <v>293</v>
      </c>
      <c r="L4" s="390" t="s">
        <v>294</v>
      </c>
      <c r="M4" s="390" t="s">
        <v>295</v>
      </c>
      <c r="N4" s="390" t="s">
        <v>296</v>
      </c>
      <c r="O4" s="390" t="s">
        <v>297</v>
      </c>
      <c r="P4" s="391" t="s">
        <v>298</v>
      </c>
      <c r="Q4" s="390" t="s">
        <v>299</v>
      </c>
      <c r="R4" s="390" t="s">
        <v>300</v>
      </c>
      <c r="S4" s="390" t="s">
        <v>301</v>
      </c>
      <c r="T4" s="390" t="s">
        <v>302</v>
      </c>
      <c r="U4" s="390" t="s">
        <v>303</v>
      </c>
      <c r="V4" s="390" t="s">
        <v>304</v>
      </c>
      <c r="W4" s="392" t="s">
        <v>305</v>
      </c>
      <c r="X4" s="383"/>
      <c r="Y4" s="380" t="s">
        <v>306</v>
      </c>
      <c r="Z4" s="380" t="s">
        <v>307</v>
      </c>
    </row>
    <row r="5" customFormat="false" ht="12.75" hidden="false" customHeight="false" outlineLevel="0" collapsed="false">
      <c r="A5" s="355" t="n">
        <v>45931</v>
      </c>
      <c r="B5" s="363" t="s">
        <v>239</v>
      </c>
      <c r="E5" s="365" t="s">
        <v>308</v>
      </c>
      <c r="G5" s="366" t="n">
        <v>1200</v>
      </c>
      <c r="H5" s="338" t="n">
        <f aca="false">IF((G5&lt;&gt;0),IF((D5&gt;0)," ",G5)," ")</f>
        <v>1200</v>
      </c>
      <c r="I5" s="367" t="n">
        <f aca="false">IF((G5&lt;&gt;0),IF((D5&gt;0)," ",(I$1-A5))," ")</f>
        <v>207</v>
      </c>
      <c r="J5" s="334" t="str">
        <f aca="false">IF((E5="s"),G5," ")</f>
        <v> </v>
      </c>
      <c r="K5" s="334" t="str">
        <f aca="false">IF((E5="d"),G5," ")</f>
        <v> </v>
      </c>
      <c r="L5" s="334" t="str">
        <f aca="false">IF((E5="e"),G5," ")</f>
        <v> </v>
      </c>
      <c r="M5" s="334" t="n">
        <f aca="false">IF((E5="p"),G5," ")</f>
        <v>1200</v>
      </c>
      <c r="N5" s="334" t="str">
        <f aca="false">IF((E5="r"),G5," ")</f>
        <v> </v>
      </c>
      <c r="O5" s="334" t="str">
        <f aca="false">IF((E5="g"),G5," ")</f>
        <v> </v>
      </c>
      <c r="P5" s="334" t="str">
        <f aca="false">IF((E5="m"),G5," ")</f>
        <v> </v>
      </c>
      <c r="Q5" s="334" t="str">
        <f aca="false">IF((E5="t"),G5," ")</f>
        <v> </v>
      </c>
      <c r="R5" s="334" t="str">
        <f aca="false">IF((E5="a"),G5," ")</f>
        <v> </v>
      </c>
      <c r="S5" s="334" t="str">
        <f aca="false">IF((E5="l"),G5," ")</f>
        <v> </v>
      </c>
      <c r="T5" s="334" t="str">
        <f aca="false">IF((E5="b"),G5," ")</f>
        <v> </v>
      </c>
      <c r="U5" s="334" t="str">
        <f aca="false">IF((E5="i"),G5," ")</f>
        <v> </v>
      </c>
      <c r="V5" s="334" t="str">
        <f aca="false">IF((E5="o"),G5," ")</f>
        <v> </v>
      </c>
      <c r="W5" s="334" t="str">
        <f aca="false">IF((E5="f"),G5," ")</f>
        <v> </v>
      </c>
    </row>
    <row r="6" customFormat="false" ht="12.75" hidden="false" customHeight="false" outlineLevel="0" collapsed="false">
      <c r="A6" s="355" t="n">
        <v>45931</v>
      </c>
      <c r="B6" s="363" t="s">
        <v>309</v>
      </c>
      <c r="E6" s="365" t="s">
        <v>310</v>
      </c>
      <c r="G6" s="366" t="n">
        <v>30</v>
      </c>
      <c r="H6" s="338" t="n">
        <f aca="false">IF((G6&lt;&gt;0),IF((D6&gt;0)," ",G6)," ")</f>
        <v>30</v>
      </c>
      <c r="I6" s="367" t="n">
        <f aca="false">IF((G6&lt;&gt;0),IF((D6&gt;0)," ",(I$1-A6))," ")</f>
        <v>207</v>
      </c>
      <c r="J6" s="334" t="str">
        <f aca="false">IF((E6="s"),G6," ")</f>
        <v> </v>
      </c>
      <c r="K6" s="334" t="str">
        <f aca="false">IF((E6="d"),G6," ")</f>
        <v> </v>
      </c>
      <c r="L6" s="334" t="str">
        <f aca="false">IF((E6="e"),G6," ")</f>
        <v> </v>
      </c>
      <c r="M6" s="334" t="str">
        <f aca="false">IF((E6="p"),G6," ")</f>
        <v> </v>
      </c>
      <c r="N6" s="334" t="str">
        <f aca="false">IF((E6="r"),G6," ")</f>
        <v> </v>
      </c>
      <c r="O6" s="334" t="n">
        <f aca="false">IF((E6="g"),G6," ")</f>
        <v>30</v>
      </c>
      <c r="P6" s="334" t="str">
        <f aca="false">IF((E6="m"),G6," ")</f>
        <v> </v>
      </c>
      <c r="Q6" s="334" t="str">
        <f aca="false">IF((E6="t"),G6," ")</f>
        <v> </v>
      </c>
      <c r="R6" s="334" t="str">
        <f aca="false">IF((E6="a"),G6," ")</f>
        <v> </v>
      </c>
      <c r="S6" s="334" t="str">
        <f aca="false">IF((E6="l"),G6," ")</f>
        <v> </v>
      </c>
      <c r="T6" s="334" t="str">
        <f aca="false">IF((E6="b"),G6," ")</f>
        <v> </v>
      </c>
      <c r="U6" s="334" t="str">
        <f aca="false">IF((E6="i"),G6," ")</f>
        <v> </v>
      </c>
      <c r="V6" s="334" t="str">
        <f aca="false">IF((E6="o"),G6," ")</f>
        <v> </v>
      </c>
      <c r="W6" s="334" t="str">
        <f aca="false">IF((E6="f"),G6," ")</f>
        <v> </v>
      </c>
    </row>
    <row r="7" customFormat="false" ht="12.75" hidden="false" customHeight="false" outlineLevel="0" collapsed="false">
      <c r="A7" s="355" t="n">
        <v>45931</v>
      </c>
      <c r="B7" s="363" t="s">
        <v>311</v>
      </c>
      <c r="E7" s="365" t="s">
        <v>310</v>
      </c>
      <c r="G7" s="366" t="n">
        <v>15</v>
      </c>
      <c r="H7" s="338" t="n">
        <f aca="false">IF((G7&lt;&gt;0),IF((D7&gt;0)," ",G7)," ")</f>
        <v>15</v>
      </c>
      <c r="I7" s="367" t="n">
        <f aca="false">IF((G7&lt;&gt;0),IF((D7&gt;0)," ",(I$1-A7))," ")</f>
        <v>207</v>
      </c>
      <c r="J7" s="334" t="str">
        <f aca="false">IF((E7="s"),G7," ")</f>
        <v> </v>
      </c>
      <c r="K7" s="334" t="str">
        <f aca="false">IF((E7="d"),G7," ")</f>
        <v> </v>
      </c>
      <c r="L7" s="334" t="str">
        <f aca="false">IF((E7="e"),G7," ")</f>
        <v> </v>
      </c>
      <c r="M7" s="334" t="str">
        <f aca="false">IF((E7="p"),G7," ")</f>
        <v> </v>
      </c>
      <c r="N7" s="334" t="str">
        <f aca="false">IF((E7="r"),G7," ")</f>
        <v> </v>
      </c>
      <c r="O7" s="334" t="n">
        <f aca="false">IF((E7="g"),G7," ")</f>
        <v>15</v>
      </c>
      <c r="P7" s="334" t="str">
        <f aca="false">IF((E7="m"),G7," ")</f>
        <v> </v>
      </c>
      <c r="Q7" s="334" t="str">
        <f aca="false">IF((E7="t"),G7," ")</f>
        <v> </v>
      </c>
      <c r="R7" s="334" t="str">
        <f aca="false">IF((E7="a"),G7," ")</f>
        <v> </v>
      </c>
      <c r="S7" s="334" t="str">
        <f aca="false">IF((E7="l"),G7," ")</f>
        <v> </v>
      </c>
      <c r="T7" s="334" t="str">
        <f aca="false">IF((E7="b"),G7," ")</f>
        <v> </v>
      </c>
      <c r="U7" s="334" t="str">
        <f aca="false">IF((E7="i"),G7," ")</f>
        <v> </v>
      </c>
      <c r="V7" s="334" t="str">
        <f aca="false">IF((E7="o"),G7," ")</f>
        <v> </v>
      </c>
      <c r="W7" s="334" t="str">
        <f aca="false">IF((E7="f"),G7," ")</f>
        <v> </v>
      </c>
    </row>
    <row r="8" customFormat="false" ht="12.75" hidden="false" customHeight="false" outlineLevel="0" collapsed="false">
      <c r="A8" s="355" t="n">
        <v>45931</v>
      </c>
      <c r="B8" s="363" t="s">
        <v>312</v>
      </c>
      <c r="E8" s="365" t="s">
        <v>313</v>
      </c>
      <c r="G8" s="366" t="n">
        <v>45</v>
      </c>
      <c r="H8" s="338" t="n">
        <f aca="false">IF((G8&lt;&gt;0),IF((D8&gt;0)," ",G8)," ")</f>
        <v>45</v>
      </c>
      <c r="I8" s="367" t="n">
        <f aca="false">IF((G8&lt;&gt;0),IF((D8&gt;0)," ",(I$1-A8))," ")</f>
        <v>207</v>
      </c>
      <c r="J8" s="334" t="str">
        <f aca="false">IF((E8="s"),G8," ")</f>
        <v> </v>
      </c>
      <c r="K8" s="334" t="str">
        <f aca="false">IF((E8="d"),G8," ")</f>
        <v> </v>
      </c>
      <c r="L8" s="334" t="str">
        <f aca="false">IF((E8="e"),G8," ")</f>
        <v> </v>
      </c>
      <c r="M8" s="334" t="str">
        <f aca="false">IF((E8="p"),G8," ")</f>
        <v> </v>
      </c>
      <c r="N8" s="334" t="str">
        <f aca="false">IF((E8="r"),G8," ")</f>
        <v> </v>
      </c>
      <c r="O8" s="334" t="str">
        <f aca="false">IF((E8="g"),G8," ")</f>
        <v> </v>
      </c>
      <c r="P8" s="334" t="str">
        <f aca="false">IF((E8="m"),G8," ")</f>
        <v> </v>
      </c>
      <c r="Q8" s="334" t="str">
        <f aca="false">IF((E8="t"),G8," ")</f>
        <v> </v>
      </c>
      <c r="R8" s="334" t="str">
        <f aca="false">IF((E8="a"),G8," ")</f>
        <v> </v>
      </c>
      <c r="S8" s="334" t="str">
        <f aca="false">IF((E8="l"),G8," ")</f>
        <v> </v>
      </c>
      <c r="T8" s="334" t="str">
        <f aca="false">IF((E8="b"),G8," ")</f>
        <v> </v>
      </c>
      <c r="U8" s="334" t="str">
        <f aca="false">IF((E8="i"),G8," ")</f>
        <v> </v>
      </c>
      <c r="V8" s="334" t="n">
        <f aca="false">IF((E8="o"),G8," ")</f>
        <v>45</v>
      </c>
      <c r="W8" s="334" t="str">
        <f aca="false">IF((E8="f"),G8," ")</f>
        <v> </v>
      </c>
    </row>
    <row r="9" customFormat="false" ht="12.75" hidden="false" customHeight="false" outlineLevel="0" collapsed="false">
      <c r="A9" s="355" t="n">
        <v>45931</v>
      </c>
      <c r="B9" s="363" t="s">
        <v>378</v>
      </c>
      <c r="E9" s="365" t="s">
        <v>313</v>
      </c>
      <c r="G9" s="366" t="n">
        <v>360</v>
      </c>
      <c r="H9" s="338" t="n">
        <f aca="false">IF((G9&lt;&gt;0),IF((D9&gt;0)," ",G9)," ")</f>
        <v>360</v>
      </c>
      <c r="I9" s="367" t="n">
        <f aca="false">IF((G9&lt;&gt;0),IF((D9&gt;0)," ",(I$1-A9))," ")</f>
        <v>207</v>
      </c>
      <c r="J9" s="334" t="str">
        <f aca="false">IF((E9="s"),G9," ")</f>
        <v> </v>
      </c>
      <c r="K9" s="334" t="str">
        <f aca="false">IF((E9="d"),G9," ")</f>
        <v> </v>
      </c>
      <c r="L9" s="334" t="str">
        <f aca="false">IF((E9="e"),G9," ")</f>
        <v> </v>
      </c>
      <c r="M9" s="334" t="str">
        <f aca="false">IF((E9="p"),G9," ")</f>
        <v> </v>
      </c>
      <c r="N9" s="334" t="str">
        <f aca="false">IF((E9="r"),G9," ")</f>
        <v> </v>
      </c>
      <c r="O9" s="334" t="str">
        <f aca="false">IF((E9="g"),G9," ")</f>
        <v> </v>
      </c>
      <c r="P9" s="334" t="str">
        <f aca="false">IF((E9="m"),G9," ")</f>
        <v> </v>
      </c>
      <c r="Q9" s="334" t="str">
        <f aca="false">IF((E9="t"),G9," ")</f>
        <v> </v>
      </c>
      <c r="R9" s="334" t="str">
        <f aca="false">IF((E9="a"),G9," ")</f>
        <v> </v>
      </c>
      <c r="S9" s="334" t="str">
        <f aca="false">IF((E9="l"),G9," ")</f>
        <v> </v>
      </c>
      <c r="T9" s="334" t="str">
        <f aca="false">IF((E9="b"),G9," ")</f>
        <v> </v>
      </c>
      <c r="U9" s="334" t="str">
        <f aca="false">IF((E9="i"),G9," ")</f>
        <v> </v>
      </c>
      <c r="V9" s="334" t="n">
        <f aca="false">IF((E9="o"),G9," ")</f>
        <v>360</v>
      </c>
      <c r="W9" s="334" t="str">
        <f aca="false">IF((E9="f"),G9," ")</f>
        <v> </v>
      </c>
    </row>
    <row r="10" customFormat="false" ht="12.75" hidden="false" customHeight="false" outlineLevel="0" collapsed="false">
      <c r="A10" s="355" t="n">
        <v>45931</v>
      </c>
      <c r="B10" s="363" t="s">
        <v>315</v>
      </c>
      <c r="E10" s="365" t="s">
        <v>313</v>
      </c>
      <c r="G10" s="366" t="n">
        <v>24</v>
      </c>
      <c r="H10" s="338" t="n">
        <f aca="false">IF((G10&lt;&gt;0),IF((D10&gt;0)," ",G10)," ")</f>
        <v>24</v>
      </c>
      <c r="I10" s="367" t="n">
        <f aca="false">IF((G10&lt;&gt;0),IF((D10&gt;0)," ",(I$1-A10))," ")</f>
        <v>207</v>
      </c>
      <c r="J10" s="334" t="str">
        <f aca="false">IF((E10="s"),G10," ")</f>
        <v> </v>
      </c>
      <c r="K10" s="334" t="str">
        <f aca="false">IF((E10="d"),G10," ")</f>
        <v> </v>
      </c>
      <c r="L10" s="334" t="str">
        <f aca="false">IF((E10="e"),G10," ")</f>
        <v> </v>
      </c>
      <c r="M10" s="334" t="str">
        <f aca="false">IF((E10="p"),G10," ")</f>
        <v> </v>
      </c>
      <c r="N10" s="334" t="str">
        <f aca="false">IF((E10="r"),G10," ")</f>
        <v> </v>
      </c>
      <c r="O10" s="334" t="str">
        <f aca="false">IF((E10="g"),G10," ")</f>
        <v> </v>
      </c>
      <c r="P10" s="334" t="str">
        <f aca="false">IF((E10="m"),G10," ")</f>
        <v> </v>
      </c>
      <c r="Q10" s="334" t="str">
        <f aca="false">IF((E10="t"),G10," ")</f>
        <v> </v>
      </c>
      <c r="R10" s="334" t="str">
        <f aca="false">IF((E10="a"),G10," ")</f>
        <v> </v>
      </c>
      <c r="S10" s="334" t="str">
        <f aca="false">IF((E10="l"),G10," ")</f>
        <v> </v>
      </c>
      <c r="T10" s="334" t="str">
        <f aca="false">IF((E10="b"),G10," ")</f>
        <v> </v>
      </c>
      <c r="U10" s="334" t="str">
        <f aca="false">IF((E10="i"),G10," ")</f>
        <v> </v>
      </c>
      <c r="V10" s="334" t="n">
        <f aca="false">IF((E10="o"),G10," ")</f>
        <v>24</v>
      </c>
      <c r="W10" s="334" t="str">
        <f aca="false">IF((E10="f"),G10," ")</f>
        <v> </v>
      </c>
    </row>
    <row r="11" customFormat="false" ht="12.75" hidden="false" customHeight="false" outlineLevel="0" collapsed="false">
      <c r="A11" s="355" t="n">
        <v>45931</v>
      </c>
      <c r="B11" s="363" t="s">
        <v>316</v>
      </c>
      <c r="E11" s="365" t="s">
        <v>310</v>
      </c>
      <c r="G11" s="366" t="n">
        <v>18</v>
      </c>
      <c r="H11" s="338" t="n">
        <f aca="false">IF((G11&lt;&gt;0),IF((D11&gt;0)," ",G11)," ")</f>
        <v>18</v>
      </c>
      <c r="I11" s="367" t="n">
        <f aca="false">IF((G11&lt;&gt;0),IF((D11&gt;0)," ",(I$1-A11))," ")</f>
        <v>207</v>
      </c>
      <c r="J11" s="334" t="str">
        <f aca="false">IF((E11="s"),G11," ")</f>
        <v> </v>
      </c>
      <c r="K11" s="334" t="str">
        <f aca="false">IF((E11="d"),G11," ")</f>
        <v> </v>
      </c>
      <c r="L11" s="334" t="str">
        <f aca="false">IF((E11="e"),G11," ")</f>
        <v> </v>
      </c>
      <c r="M11" s="334" t="str">
        <f aca="false">IF((E11="p"),G11," ")</f>
        <v> </v>
      </c>
      <c r="N11" s="334" t="str">
        <f aca="false">IF((E11="r"),G11," ")</f>
        <v> </v>
      </c>
      <c r="O11" s="334" t="n">
        <f aca="false">IF((E11="g"),G11," ")</f>
        <v>18</v>
      </c>
      <c r="P11" s="334" t="str">
        <f aca="false">IF((E11="m"),G11," ")</f>
        <v> </v>
      </c>
      <c r="Q11" s="334" t="str">
        <f aca="false">IF((E11="t"),G11," ")</f>
        <v> </v>
      </c>
      <c r="R11" s="334" t="str">
        <f aca="false">IF((E11="a"),G11," ")</f>
        <v> </v>
      </c>
      <c r="S11" s="334" t="str">
        <f aca="false">IF((E11="l"),G11," ")</f>
        <v> </v>
      </c>
      <c r="T11" s="334" t="str">
        <f aca="false">IF((E11="b"),G11," ")</f>
        <v> </v>
      </c>
      <c r="U11" s="334" t="str">
        <f aca="false">IF((E11="i"),G11," ")</f>
        <v> </v>
      </c>
      <c r="V11" s="334" t="str">
        <f aca="false">IF((E11="o"),G11," ")</f>
        <v> </v>
      </c>
      <c r="W11" s="334" t="str">
        <f aca="false">IF((E11="f"),G11," ")</f>
        <v> </v>
      </c>
    </row>
    <row r="12" customFormat="false" ht="12.75" hidden="false" customHeight="false" outlineLevel="0" collapsed="false">
      <c r="A12" s="355" t="n">
        <v>45933</v>
      </c>
      <c r="B12" s="363" t="s">
        <v>317</v>
      </c>
      <c r="E12" s="365" t="s">
        <v>313</v>
      </c>
      <c r="G12" s="366" t="n">
        <v>180</v>
      </c>
      <c r="H12" s="338" t="n">
        <f aca="false">IF((G12&lt;&gt;0),IF((D12&gt;0)," ",G12)," ")</f>
        <v>180</v>
      </c>
      <c r="I12" s="367" t="n">
        <f aca="false">IF((G12&lt;&gt;0),IF((D12&gt;0)," ",(I$1-A12))," ")</f>
        <v>205</v>
      </c>
      <c r="J12" s="334" t="str">
        <f aca="false">IF((E12="s"),G12," ")</f>
        <v> </v>
      </c>
      <c r="K12" s="334" t="str">
        <f aca="false">IF((E12="d"),G12," ")</f>
        <v> </v>
      </c>
      <c r="L12" s="334" t="str">
        <f aca="false">IF((E12="e"),G12," ")</f>
        <v> </v>
      </c>
      <c r="M12" s="334" t="str">
        <f aca="false">IF((E12="p"),G12," ")</f>
        <v> </v>
      </c>
      <c r="N12" s="334" t="str">
        <f aca="false">IF((E12="r"),G12," ")</f>
        <v> </v>
      </c>
      <c r="O12" s="334" t="str">
        <f aca="false">IF((E12="g"),G12," ")</f>
        <v> </v>
      </c>
      <c r="P12" s="334" t="str">
        <f aca="false">IF((E12="m"),G12," ")</f>
        <v> </v>
      </c>
      <c r="Q12" s="334" t="str">
        <f aca="false">IF((E12="t"),G12," ")</f>
        <v> </v>
      </c>
      <c r="R12" s="334" t="str">
        <f aca="false">IF((E12="a"),G12," ")</f>
        <v> </v>
      </c>
      <c r="S12" s="334" t="str">
        <f aca="false">IF((E12="l"),G12," ")</f>
        <v> </v>
      </c>
      <c r="T12" s="334" t="str">
        <f aca="false">IF((E12="b"),G12," ")</f>
        <v> </v>
      </c>
      <c r="U12" s="334" t="str">
        <f aca="false">IF((E12="i"),G12," ")</f>
        <v> </v>
      </c>
      <c r="V12" s="334" t="n">
        <f aca="false">IF((E12="o"),G12," ")</f>
        <v>180</v>
      </c>
      <c r="W12" s="334" t="str">
        <f aca="false">IF((E12="f"),G12," ")</f>
        <v> </v>
      </c>
    </row>
    <row r="13" customFormat="false" ht="12.75" hidden="false" customHeight="false" outlineLevel="0" collapsed="false">
      <c r="A13" s="355" t="n">
        <v>45933</v>
      </c>
      <c r="B13" s="363" t="s">
        <v>318</v>
      </c>
      <c r="E13" s="365" t="s">
        <v>313</v>
      </c>
      <c r="G13" s="366" t="n">
        <v>22</v>
      </c>
      <c r="H13" s="338" t="n">
        <f aca="false">IF((G13&lt;&gt;0),IF((D13&gt;0)," ",G13)," ")</f>
        <v>22</v>
      </c>
      <c r="I13" s="367" t="n">
        <f aca="false">IF((G13&lt;&gt;0),IF((D13&gt;0)," ",(I$1-A13))," ")</f>
        <v>205</v>
      </c>
      <c r="J13" s="334" t="str">
        <f aca="false">IF((E13="s"),G13," ")</f>
        <v> </v>
      </c>
      <c r="K13" s="334" t="str">
        <f aca="false">IF((E13="d"),G13," ")</f>
        <v> </v>
      </c>
      <c r="L13" s="334" t="str">
        <f aca="false">IF((E13="e"),G13," ")</f>
        <v> </v>
      </c>
      <c r="M13" s="334" t="str">
        <f aca="false">IF((E13="p"),G13," ")</f>
        <v> </v>
      </c>
      <c r="N13" s="334" t="str">
        <f aca="false">IF((E13="r"),G13," ")</f>
        <v> </v>
      </c>
      <c r="O13" s="334" t="str">
        <f aca="false">IF((E13="g"),G13," ")</f>
        <v> </v>
      </c>
      <c r="P13" s="334" t="str">
        <f aca="false">IF((E13="m"),G13," ")</f>
        <v> </v>
      </c>
      <c r="Q13" s="334" t="str">
        <f aca="false">IF((E13="t"),G13," ")</f>
        <v> </v>
      </c>
      <c r="R13" s="334" t="str">
        <f aca="false">IF((E13="a"),G13," ")</f>
        <v> </v>
      </c>
      <c r="S13" s="334" t="str">
        <f aca="false">IF((E13="l"),G13," ")</f>
        <v> </v>
      </c>
      <c r="T13" s="334" t="str">
        <f aca="false">IF((E13="b"),G13," ")</f>
        <v> </v>
      </c>
      <c r="U13" s="334" t="str">
        <f aca="false">IF((E13="i"),G13," ")</f>
        <v> </v>
      </c>
      <c r="V13" s="334" t="n">
        <f aca="false">IF((E13="o"),G13," ")</f>
        <v>22</v>
      </c>
      <c r="W13" s="334" t="str">
        <f aca="false">IF((E13="f"),G13," ")</f>
        <v> </v>
      </c>
    </row>
    <row r="14" customFormat="false" ht="12.75" hidden="false" customHeight="false" outlineLevel="0" collapsed="false">
      <c r="A14" s="355" t="n">
        <v>45935</v>
      </c>
      <c r="B14" s="363" t="s">
        <v>319</v>
      </c>
      <c r="E14" s="365" t="s">
        <v>313</v>
      </c>
      <c r="G14" s="366" t="n">
        <v>24</v>
      </c>
      <c r="H14" s="338" t="n">
        <f aca="false">IF((G14&lt;&gt;0),IF((D14&gt;0)," ",G14)," ")</f>
        <v>24</v>
      </c>
      <c r="I14" s="367" t="n">
        <f aca="false">IF((G14&lt;&gt;0),IF((D14&gt;0)," ",(I$1-A14))," ")</f>
        <v>203</v>
      </c>
      <c r="J14" s="334" t="str">
        <f aca="false">IF((E14="s"),G14," ")</f>
        <v> </v>
      </c>
      <c r="K14" s="334" t="str">
        <f aca="false">IF((E14="d"),G14," ")</f>
        <v> </v>
      </c>
      <c r="L14" s="334" t="str">
        <f aca="false">IF((E14="e"),G14," ")</f>
        <v> </v>
      </c>
      <c r="M14" s="334" t="str">
        <f aca="false">IF((E14="p"),G14," ")</f>
        <v> </v>
      </c>
      <c r="N14" s="334" t="str">
        <f aca="false">IF((E14="r"),G14," ")</f>
        <v> </v>
      </c>
      <c r="O14" s="334" t="str">
        <f aca="false">IF((E14="g"),G14," ")</f>
        <v> </v>
      </c>
      <c r="P14" s="334" t="str">
        <f aca="false">IF((E14="m"),G14," ")</f>
        <v> </v>
      </c>
      <c r="Q14" s="334" t="str">
        <f aca="false">IF((E14="t"),G14," ")</f>
        <v> </v>
      </c>
      <c r="R14" s="334" t="str">
        <f aca="false">IF((E14="a"),G14," ")</f>
        <v> </v>
      </c>
      <c r="S14" s="334" t="str">
        <f aca="false">IF((E14="l"),G14," ")</f>
        <v> </v>
      </c>
      <c r="T14" s="334" t="str">
        <f aca="false">IF((E14="b"),G14," ")</f>
        <v> </v>
      </c>
      <c r="U14" s="334" t="str">
        <f aca="false">IF((E14="i"),G14," ")</f>
        <v> </v>
      </c>
      <c r="V14" s="334" t="n">
        <f aca="false">IF((E14="o"),G14," ")</f>
        <v>24</v>
      </c>
      <c r="W14" s="334" t="str">
        <f aca="false">IF((E14="f"),G14," ")</f>
        <v> </v>
      </c>
    </row>
    <row r="15" customFormat="false" ht="12.75" hidden="false" customHeight="false" outlineLevel="0" collapsed="false">
      <c r="A15" s="355" t="n">
        <v>45935</v>
      </c>
      <c r="B15" s="363" t="s">
        <v>320</v>
      </c>
      <c r="E15" s="365" t="s">
        <v>291</v>
      </c>
      <c r="G15" s="366" t="n">
        <v>180</v>
      </c>
      <c r="H15" s="338" t="n">
        <f aca="false">IF((G15&lt;&gt;0),IF((D15&gt;0)," ",G15)," ")</f>
        <v>180</v>
      </c>
      <c r="I15" s="367" t="n">
        <f aca="false">IF((G15&lt;&gt;0),IF((D15&gt;0)," ",(I$1-A15))," ")</f>
        <v>203</v>
      </c>
      <c r="J15" s="334" t="str">
        <f aca="false">IF((E15="s"),G15," ")</f>
        <v> </v>
      </c>
      <c r="K15" s="334" t="str">
        <f aca="false">IF((E15="d"),G15," ")</f>
        <v> </v>
      </c>
      <c r="L15" s="334" t="str">
        <f aca="false">IF((E15="e"),G15," ")</f>
        <v> </v>
      </c>
      <c r="M15" s="334" t="str">
        <f aca="false">IF((E15="p"),G15," ")</f>
        <v> </v>
      </c>
      <c r="N15" s="334" t="str">
        <f aca="false">IF((E15="r"),G15," ")</f>
        <v> </v>
      </c>
      <c r="O15" s="334" t="str">
        <f aca="false">IF((E15="g"),G15," ")</f>
        <v> </v>
      </c>
      <c r="P15" s="334" t="n">
        <f aca="false">IF((E15="m"),G15," ")</f>
        <v>180</v>
      </c>
      <c r="Q15" s="334" t="str">
        <f aca="false">IF((E15="t"),G15," ")</f>
        <v> </v>
      </c>
      <c r="R15" s="334" t="str">
        <f aca="false">IF((E15="a"),G15," ")</f>
        <v> </v>
      </c>
      <c r="S15" s="334" t="str">
        <f aca="false">IF((E15="l"),G15," ")</f>
        <v> </v>
      </c>
      <c r="T15" s="334" t="str">
        <f aca="false">IF((E15="b"),G15," ")</f>
        <v> </v>
      </c>
      <c r="U15" s="334" t="str">
        <f aca="false">IF((E15="i"),G15," ")</f>
        <v> </v>
      </c>
      <c r="V15" s="334" t="str">
        <f aca="false">IF((E15="o"),G15," ")</f>
        <v> </v>
      </c>
      <c r="W15" s="334" t="str">
        <f aca="false">IF((E15="f"),G15," ")</f>
        <v> </v>
      </c>
    </row>
    <row r="16" customFormat="false" ht="12.75" hidden="false" customHeight="false" outlineLevel="0" collapsed="false">
      <c r="A16" s="355" t="n">
        <v>45935</v>
      </c>
      <c r="B16" s="363" t="s">
        <v>321</v>
      </c>
      <c r="E16" s="365" t="s">
        <v>313</v>
      </c>
      <c r="G16" s="366" t="n">
        <v>36</v>
      </c>
      <c r="H16" s="338" t="n">
        <f aca="false">IF((G16&lt;&gt;0),IF((D16&gt;0)," ",G16)," ")</f>
        <v>36</v>
      </c>
      <c r="I16" s="367" t="n">
        <f aca="false">IF((G16&lt;&gt;0),IF((D16&gt;0)," ",(I$1-A16))," ")</f>
        <v>203</v>
      </c>
      <c r="J16" s="334" t="str">
        <f aca="false">IF((E16="s"),G16," ")</f>
        <v> </v>
      </c>
      <c r="K16" s="334" t="str">
        <f aca="false">IF((E16="d"),G16," ")</f>
        <v> </v>
      </c>
      <c r="L16" s="334" t="str">
        <f aca="false">IF((E16="e"),G16," ")</f>
        <v> </v>
      </c>
      <c r="M16" s="334" t="str">
        <f aca="false">IF((E16="p"),G16," ")</f>
        <v> </v>
      </c>
      <c r="N16" s="334" t="str">
        <f aca="false">IF((E16="r"),G16," ")</f>
        <v> </v>
      </c>
      <c r="O16" s="334" t="str">
        <f aca="false">IF((E16="g"),G16," ")</f>
        <v> </v>
      </c>
      <c r="P16" s="334" t="str">
        <f aca="false">IF((E16="m"),G16," ")</f>
        <v> </v>
      </c>
      <c r="Q16" s="334" t="str">
        <f aca="false">IF((E16="t"),G16," ")</f>
        <v> </v>
      </c>
      <c r="R16" s="334" t="str">
        <f aca="false">IF((E16="a"),G16," ")</f>
        <v> </v>
      </c>
      <c r="S16" s="334" t="str">
        <f aca="false">IF((E16="l"),G16," ")</f>
        <v> </v>
      </c>
      <c r="T16" s="334" t="str">
        <f aca="false">IF((E16="b"),G16," ")</f>
        <v> </v>
      </c>
      <c r="U16" s="334" t="str">
        <f aca="false">IF((E16="i"),G16," ")</f>
        <v> </v>
      </c>
      <c r="V16" s="334" t="n">
        <f aca="false">IF((E16="o"),G16," ")</f>
        <v>36</v>
      </c>
      <c r="W16" s="334" t="str">
        <f aca="false">IF((E16="f"),G16," ")</f>
        <v> </v>
      </c>
    </row>
    <row r="17" customFormat="false" ht="12.75" hidden="false" customHeight="false" outlineLevel="0" collapsed="false">
      <c r="A17" s="355" t="n">
        <v>45938</v>
      </c>
      <c r="B17" s="363" t="s">
        <v>322</v>
      </c>
      <c r="E17" s="365" t="s">
        <v>323</v>
      </c>
      <c r="G17" s="366" t="n">
        <v>48</v>
      </c>
      <c r="H17" s="338" t="n">
        <f aca="false">IF((G17&lt;&gt;0),IF((D17&gt;0)," ",G17)," ")</f>
        <v>48</v>
      </c>
      <c r="I17" s="367" t="n">
        <f aca="false">IF((G17&lt;&gt;0),IF((D17&gt;0)," ",(I$1-A17))," ")</f>
        <v>200</v>
      </c>
      <c r="J17" s="334" t="str">
        <f aca="false">IF((E17="s"),G17," ")</f>
        <v> </v>
      </c>
      <c r="K17" s="334" t="str">
        <f aca="false">IF((E17="d"),G17," ")</f>
        <v> </v>
      </c>
      <c r="L17" s="334" t="str">
        <f aca="false">IF((E17="e"),G17," ")</f>
        <v> </v>
      </c>
      <c r="M17" s="334" t="str">
        <f aca="false">IF((E17="p"),G17," ")</f>
        <v> </v>
      </c>
      <c r="N17" s="334" t="str">
        <f aca="false">IF((E17="r"),G17," ")</f>
        <v> </v>
      </c>
      <c r="O17" s="334" t="str">
        <f aca="false">IF((E17="g"),G17," ")</f>
        <v> </v>
      </c>
      <c r="P17" s="334" t="str">
        <f aca="false">IF((E17="m"),G17," ")</f>
        <v> </v>
      </c>
      <c r="Q17" s="334" t="n">
        <f aca="false">IF((E17="t"),G17," ")</f>
        <v>48</v>
      </c>
      <c r="R17" s="334" t="str">
        <f aca="false">IF((E17="a"),G17," ")</f>
        <v> </v>
      </c>
      <c r="S17" s="334" t="str">
        <f aca="false">IF((E17="l"),G17," ")</f>
        <v> </v>
      </c>
      <c r="T17" s="334" t="str">
        <f aca="false">IF((E17="b"),G17," ")</f>
        <v> </v>
      </c>
      <c r="U17" s="334" t="str">
        <f aca="false">IF((E17="i"),G17," ")</f>
        <v> </v>
      </c>
      <c r="V17" s="334" t="str">
        <f aca="false">IF((E17="o"),G17," ")</f>
        <v> </v>
      </c>
      <c r="W17" s="334" t="str">
        <f aca="false">IF((E17="f"),G17," ")</f>
        <v> </v>
      </c>
    </row>
    <row r="18" customFormat="false" ht="12.75" hidden="false" customHeight="false" outlineLevel="0" collapsed="false">
      <c r="A18" s="355" t="n">
        <v>45940</v>
      </c>
      <c r="B18" s="363" t="s">
        <v>324</v>
      </c>
      <c r="E18" s="365" t="s">
        <v>313</v>
      </c>
      <c r="G18" s="366" t="n">
        <v>36</v>
      </c>
      <c r="H18" s="338" t="n">
        <f aca="false">IF((G18&lt;&gt;0),IF((D18&gt;0)," ",G18)," ")</f>
        <v>36</v>
      </c>
      <c r="I18" s="367" t="n">
        <f aca="false">IF((G18&lt;&gt;0),IF((D18&gt;0)," ",(I$1-A18))," ")</f>
        <v>198</v>
      </c>
      <c r="J18" s="334" t="str">
        <f aca="false">IF((E18="s"),G18," ")</f>
        <v> </v>
      </c>
      <c r="K18" s="334" t="str">
        <f aca="false">IF((E18="d"),G18," ")</f>
        <v> </v>
      </c>
      <c r="L18" s="334" t="str">
        <f aca="false">IF((E18="e"),G18," ")</f>
        <v> </v>
      </c>
      <c r="M18" s="334" t="str">
        <f aca="false">IF((E18="p"),G18," ")</f>
        <v> </v>
      </c>
      <c r="N18" s="334" t="str">
        <f aca="false">IF((E18="r"),G18," ")</f>
        <v> </v>
      </c>
      <c r="O18" s="334" t="str">
        <f aca="false">IF((E18="g"),G18," ")</f>
        <v> </v>
      </c>
      <c r="P18" s="334" t="str">
        <f aca="false">IF((E18="m"),G18," ")</f>
        <v> </v>
      </c>
      <c r="Q18" s="334" t="str">
        <f aca="false">IF((E18="t"),G18," ")</f>
        <v> </v>
      </c>
      <c r="R18" s="334" t="str">
        <f aca="false">IF((E18="a"),G18," ")</f>
        <v> </v>
      </c>
      <c r="S18" s="334" t="str">
        <f aca="false">IF((E18="l"),G18," ")</f>
        <v> </v>
      </c>
      <c r="T18" s="334" t="str">
        <f aca="false">IF((E18="b"),G18," ")</f>
        <v> </v>
      </c>
      <c r="U18" s="334" t="str">
        <f aca="false">IF((E18="i"),G18," ")</f>
        <v> </v>
      </c>
      <c r="V18" s="334" t="n">
        <f aca="false">IF((E18="o"),G18," ")</f>
        <v>36</v>
      </c>
      <c r="W18" s="334" t="str">
        <f aca="false">IF((E18="f"),G18," ")</f>
        <v> </v>
      </c>
    </row>
    <row r="19" customFormat="false" ht="12.75" hidden="false" customHeight="false" outlineLevel="0" collapsed="false">
      <c r="A19" s="355" t="n">
        <v>45940</v>
      </c>
      <c r="B19" s="363" t="s">
        <v>325</v>
      </c>
      <c r="E19" s="365" t="s">
        <v>313</v>
      </c>
      <c r="G19" s="366" t="n">
        <v>180</v>
      </c>
      <c r="H19" s="338" t="n">
        <f aca="false">IF((G19&lt;&gt;0),IF((D19&gt;0)," ",G19)," ")</f>
        <v>180</v>
      </c>
      <c r="I19" s="367" t="n">
        <f aca="false">IF((G19&lt;&gt;0),IF((D19&gt;0)," ",(I$1-A19))," ")</f>
        <v>198</v>
      </c>
      <c r="J19" s="334" t="str">
        <f aca="false">IF((E19="s"),G19," ")</f>
        <v> </v>
      </c>
      <c r="K19" s="334" t="str">
        <f aca="false">IF((E19="d"),G19," ")</f>
        <v> </v>
      </c>
      <c r="L19" s="334" t="str">
        <f aca="false">IF((E19="e"),G19," ")</f>
        <v> </v>
      </c>
      <c r="M19" s="334" t="str">
        <f aca="false">IF((E19="p"),G19," ")</f>
        <v> </v>
      </c>
      <c r="N19" s="334" t="str">
        <f aca="false">IF((E19="r"),G19," ")</f>
        <v> </v>
      </c>
      <c r="O19" s="334" t="str">
        <f aca="false">IF((E19="g"),G19," ")</f>
        <v> </v>
      </c>
      <c r="P19" s="334" t="str">
        <f aca="false">IF((E19="m"),G19," ")</f>
        <v> </v>
      </c>
      <c r="Q19" s="334" t="str">
        <f aca="false">IF((E19="t"),G19," ")</f>
        <v> </v>
      </c>
      <c r="R19" s="334" t="str">
        <f aca="false">IF((E19="a"),G19," ")</f>
        <v> </v>
      </c>
      <c r="S19" s="334" t="str">
        <f aca="false">IF((E19="l"),G19," ")</f>
        <v> </v>
      </c>
      <c r="T19" s="334" t="str">
        <f aca="false">IF((E19="b"),G19," ")</f>
        <v> </v>
      </c>
      <c r="U19" s="334" t="str">
        <f aca="false">IF((E19="i"),G19," ")</f>
        <v> </v>
      </c>
      <c r="V19" s="334" t="n">
        <f aca="false">IF((E19="o"),G19," ")</f>
        <v>180</v>
      </c>
      <c r="W19" s="334" t="str">
        <f aca="false">IF((E19="f"),G19," ")</f>
        <v> </v>
      </c>
    </row>
    <row r="20" customFormat="false" ht="12.75" hidden="false" customHeight="false" outlineLevel="0" collapsed="false">
      <c r="A20" s="355" t="n">
        <v>45940</v>
      </c>
      <c r="B20" s="363" t="s">
        <v>326</v>
      </c>
      <c r="E20" s="365" t="s">
        <v>327</v>
      </c>
      <c r="G20" s="366" t="n">
        <v>480</v>
      </c>
      <c r="H20" s="338" t="n">
        <f aca="false">IF((G20&lt;&gt;0),IF((D20&gt;0)," ",G20)," ")</f>
        <v>480</v>
      </c>
      <c r="I20" s="367" t="n">
        <f aca="false">IF((G20&lt;&gt;0),IF((D20&gt;0)," ",(I$1-A20))," ")</f>
        <v>198</v>
      </c>
      <c r="J20" s="334" t="n">
        <f aca="false">IF((E20="s"),G20," ")</f>
        <v>480</v>
      </c>
      <c r="K20" s="334" t="str">
        <f aca="false">IF((E20="d"),G20," ")</f>
        <v> </v>
      </c>
      <c r="L20" s="334" t="str">
        <f aca="false">IF((E20="e"),G20," ")</f>
        <v> </v>
      </c>
      <c r="M20" s="334" t="str">
        <f aca="false">IF((E20="p"),G20," ")</f>
        <v> </v>
      </c>
      <c r="N20" s="334" t="str">
        <f aca="false">IF((E20="r"),G20," ")</f>
        <v> </v>
      </c>
      <c r="O20" s="334" t="str">
        <f aca="false">IF((E20="g"),G20," ")</f>
        <v> </v>
      </c>
      <c r="P20" s="334" t="str">
        <f aca="false">IF((E20="m"),G20," ")</f>
        <v> </v>
      </c>
      <c r="Q20" s="334" t="str">
        <f aca="false">IF((E20="t"),G20," ")</f>
        <v> </v>
      </c>
      <c r="R20" s="334" t="str">
        <f aca="false">IF((E20="a"),G20," ")</f>
        <v> </v>
      </c>
      <c r="S20" s="334" t="str">
        <f aca="false">IF((E20="l"),G20," ")</f>
        <v> </v>
      </c>
      <c r="T20" s="334" t="str">
        <f aca="false">IF((E20="b"),G20," ")</f>
        <v> </v>
      </c>
      <c r="U20" s="334" t="str">
        <f aca="false">IF((E20="i"),G20," ")</f>
        <v> </v>
      </c>
      <c r="V20" s="334" t="str">
        <f aca="false">IF((E20="o"),G20," ")</f>
        <v> </v>
      </c>
      <c r="W20" s="334" t="str">
        <f aca="false">IF((E20="f"),G20," ")</f>
        <v> </v>
      </c>
    </row>
    <row r="21" customFormat="false" ht="12.75" hidden="false" customHeight="false" outlineLevel="0" collapsed="false">
      <c r="A21" s="355" t="n">
        <v>45940</v>
      </c>
      <c r="B21" s="363" t="s">
        <v>347</v>
      </c>
      <c r="E21" s="365" t="s">
        <v>348</v>
      </c>
      <c r="G21" s="366" t="n">
        <v>1800</v>
      </c>
      <c r="H21" s="338" t="n">
        <f aca="false">IF((G21&lt;&gt;0),IF((D21&gt;0)," ",G21)," ")</f>
        <v>1800</v>
      </c>
      <c r="I21" s="367" t="n">
        <f aca="false">IF((G21&lt;&gt;0),IF((D21&gt;0)," ",(I$1-A21))," ")</f>
        <v>198</v>
      </c>
      <c r="J21" s="334" t="str">
        <f aca="false">IF((E21="s"),G21," ")</f>
        <v> </v>
      </c>
      <c r="K21" s="334" t="str">
        <f aca="false">IF((E21="d"),G21," ")</f>
        <v> </v>
      </c>
      <c r="L21" s="334" t="str">
        <f aca="false">IF((E21="e"),G21," ")</f>
        <v> </v>
      </c>
      <c r="M21" s="334" t="str">
        <f aca="false">IF((E21="p"),G21," ")</f>
        <v> </v>
      </c>
      <c r="N21" s="334" t="str">
        <f aca="false">IF((E21="r"),G21," ")</f>
        <v> </v>
      </c>
      <c r="O21" s="334" t="str">
        <f aca="false">IF((E21="g"),G21," ")</f>
        <v> </v>
      </c>
      <c r="P21" s="334" t="str">
        <f aca="false">IF((E21="m"),G21," ")</f>
        <v> </v>
      </c>
      <c r="Q21" s="334" t="str">
        <f aca="false">IF((E21="t"),G21," ")</f>
        <v> </v>
      </c>
      <c r="R21" s="334" t="n">
        <f aca="false">IF((E21="a"),G21," ")</f>
        <v>1800</v>
      </c>
      <c r="S21" s="334" t="str">
        <f aca="false">IF((E21="l"),G21," ")</f>
        <v> </v>
      </c>
      <c r="T21" s="334" t="str">
        <f aca="false">IF((E21="b"),G21," ")</f>
        <v> </v>
      </c>
      <c r="U21" s="334" t="str">
        <f aca="false">IF((E21="i"),G21," ")</f>
        <v> </v>
      </c>
      <c r="V21" s="334" t="str">
        <f aca="false">IF((E21="o"),G21," ")</f>
        <v> </v>
      </c>
      <c r="W21" s="334" t="str">
        <f aca="false">IF((E21="f"),G21," ")</f>
        <v> </v>
      </c>
    </row>
    <row r="22" customFormat="false" ht="12.75" hidden="false" customHeight="false" outlineLevel="0" collapsed="false">
      <c r="A22" s="355" t="n">
        <v>45942</v>
      </c>
      <c r="B22" s="363" t="s">
        <v>328</v>
      </c>
      <c r="E22" s="365" t="s">
        <v>291</v>
      </c>
      <c r="G22" s="366" t="n">
        <v>18</v>
      </c>
      <c r="H22" s="338" t="n">
        <f aca="false">IF((G22&lt;&gt;0),IF((D22&gt;0)," ",G22)," ")</f>
        <v>18</v>
      </c>
      <c r="I22" s="367" t="n">
        <f aca="false">IF((G22&lt;&gt;0),IF((D22&gt;0)," ",(I$1-A22))," ")</f>
        <v>196</v>
      </c>
      <c r="J22" s="334" t="str">
        <f aca="false">IF((E22="s"),G22," ")</f>
        <v> </v>
      </c>
      <c r="K22" s="334" t="str">
        <f aca="false">IF((E22="d"),G22," ")</f>
        <v> </v>
      </c>
      <c r="L22" s="334" t="str">
        <f aca="false">IF((E22="e"),G22," ")</f>
        <v> </v>
      </c>
      <c r="M22" s="334" t="str">
        <f aca="false">IF((E22="p"),G22," ")</f>
        <v> </v>
      </c>
      <c r="N22" s="334" t="str">
        <f aca="false">IF((E22="r"),G22," ")</f>
        <v> </v>
      </c>
      <c r="O22" s="334" t="str">
        <f aca="false">IF((E22="g"),G22," ")</f>
        <v> </v>
      </c>
      <c r="P22" s="334" t="n">
        <f aca="false">IF((E22="m"),G22," ")</f>
        <v>18</v>
      </c>
      <c r="Q22" s="334" t="str">
        <f aca="false">IF((E22="t"),G22," ")</f>
        <v> </v>
      </c>
      <c r="R22" s="334" t="str">
        <f aca="false">IF((E22="a"),G22," ")</f>
        <v> </v>
      </c>
      <c r="S22" s="334" t="str">
        <f aca="false">IF((E22="l"),G22," ")</f>
        <v> </v>
      </c>
      <c r="T22" s="334" t="str">
        <f aca="false">IF((E22="b"),G22," ")</f>
        <v> </v>
      </c>
      <c r="U22" s="334" t="str">
        <f aca="false">IF((E22="i"),G22," ")</f>
        <v> </v>
      </c>
      <c r="V22" s="334" t="str">
        <f aca="false">IF((E22="o"),G22," ")</f>
        <v> </v>
      </c>
      <c r="W22" s="334" t="str">
        <f aca="false">IF((E22="f"),G22," ")</f>
        <v> </v>
      </c>
    </row>
    <row r="23" customFormat="false" ht="12.75" hidden="false" customHeight="false" outlineLevel="0" collapsed="false">
      <c r="A23" s="355" t="n">
        <v>45944</v>
      </c>
      <c r="B23" s="363" t="s">
        <v>329</v>
      </c>
      <c r="E23" s="365" t="s">
        <v>313</v>
      </c>
      <c r="G23" s="366" t="n">
        <v>36</v>
      </c>
      <c r="H23" s="338" t="n">
        <f aca="false">IF((G23&lt;&gt;0),IF((D23&gt;0)," ",G23)," ")</f>
        <v>36</v>
      </c>
      <c r="I23" s="367" t="n">
        <f aca="false">IF((G23&lt;&gt;0),IF((D23&gt;0)," ",(I$1-A23))," ")</f>
        <v>194</v>
      </c>
      <c r="J23" s="334" t="str">
        <f aca="false">IF((E23="s"),G23," ")</f>
        <v> </v>
      </c>
      <c r="K23" s="334" t="str">
        <f aca="false">IF((E23="d"),G23," ")</f>
        <v> </v>
      </c>
      <c r="L23" s="334" t="str">
        <f aca="false">IF((E23="e"),G23," ")</f>
        <v> </v>
      </c>
      <c r="M23" s="334" t="str">
        <f aca="false">IF((E23="p"),G23," ")</f>
        <v> </v>
      </c>
      <c r="N23" s="334" t="str">
        <f aca="false">IF((E23="r"),G23," ")</f>
        <v> </v>
      </c>
      <c r="O23" s="334" t="str">
        <f aca="false">IF((E23="g"),G23," ")</f>
        <v> </v>
      </c>
      <c r="P23" s="334" t="str">
        <f aca="false">IF((E23="m"),G23," ")</f>
        <v> </v>
      </c>
      <c r="Q23" s="334" t="str">
        <f aca="false">IF((E23="t"),G23," ")</f>
        <v> </v>
      </c>
      <c r="R23" s="334" t="str">
        <f aca="false">IF((E23="a"),G23," ")</f>
        <v> </v>
      </c>
      <c r="S23" s="334" t="str">
        <f aca="false">IF((E23="l"),G23," ")</f>
        <v> </v>
      </c>
      <c r="T23" s="334" t="str">
        <f aca="false">IF((E23="b"),G23," ")</f>
        <v> </v>
      </c>
      <c r="U23" s="334" t="str">
        <f aca="false">IF((E23="i"),G23," ")</f>
        <v> </v>
      </c>
      <c r="V23" s="334" t="n">
        <f aca="false">IF((E23="o"),G23," ")</f>
        <v>36</v>
      </c>
      <c r="W23" s="334" t="str">
        <f aca="false">IF((E23="f"),G23," ")</f>
        <v> </v>
      </c>
    </row>
    <row r="24" customFormat="false" ht="12.75" hidden="false" customHeight="false" outlineLevel="0" collapsed="false">
      <c r="A24" s="355" t="n">
        <v>45944</v>
      </c>
      <c r="B24" s="363" t="s">
        <v>330</v>
      </c>
      <c r="E24" s="365" t="s">
        <v>323</v>
      </c>
      <c r="G24" s="366" t="n">
        <v>24</v>
      </c>
      <c r="H24" s="338" t="n">
        <f aca="false">IF((G24&lt;&gt;0),IF((D24&gt;0)," ",G24)," ")</f>
        <v>24</v>
      </c>
      <c r="I24" s="367" t="n">
        <f aca="false">IF((G24&lt;&gt;0),IF((D24&gt;0)," ",(I$1-A24))," ")</f>
        <v>194</v>
      </c>
      <c r="J24" s="334" t="str">
        <f aca="false">IF((E24="s"),G24," ")</f>
        <v> </v>
      </c>
      <c r="K24" s="334" t="str">
        <f aca="false">IF((E24="d"),G24," ")</f>
        <v> </v>
      </c>
      <c r="L24" s="334" t="str">
        <f aca="false">IF((E24="e"),G24," ")</f>
        <v> </v>
      </c>
      <c r="M24" s="334" t="str">
        <f aca="false">IF((E24="p"),G24," ")</f>
        <v> </v>
      </c>
      <c r="N24" s="334" t="str">
        <f aca="false">IF((E24="r"),G24," ")</f>
        <v> </v>
      </c>
      <c r="O24" s="334" t="str">
        <f aca="false">IF((E24="g"),G24," ")</f>
        <v> </v>
      </c>
      <c r="P24" s="334" t="str">
        <f aca="false">IF((E24="m"),G24," ")</f>
        <v> </v>
      </c>
      <c r="Q24" s="334" t="n">
        <f aca="false">IF((E24="t"),G24," ")</f>
        <v>24</v>
      </c>
      <c r="R24" s="334" t="str">
        <f aca="false">IF((E24="a"),G24," ")</f>
        <v> </v>
      </c>
      <c r="S24" s="334" t="str">
        <f aca="false">IF((E24="l"),G24," ")</f>
        <v> </v>
      </c>
      <c r="T24" s="334" t="str">
        <f aca="false">IF((E24="b"),G24," ")</f>
        <v> </v>
      </c>
      <c r="U24" s="334" t="str">
        <f aca="false">IF((E24="i"),G24," ")</f>
        <v> </v>
      </c>
      <c r="V24" s="334" t="str">
        <f aca="false">IF((E24="o"),G24," ")</f>
        <v> </v>
      </c>
      <c r="W24" s="334" t="str">
        <f aca="false">IF((E24="f"),G24," ")</f>
        <v> </v>
      </c>
    </row>
    <row r="25" customFormat="false" ht="12.75" hidden="false" customHeight="false" outlineLevel="0" collapsed="false">
      <c r="A25" s="355" t="n">
        <v>45944</v>
      </c>
      <c r="B25" s="363" t="s">
        <v>331</v>
      </c>
      <c r="E25" s="365" t="s">
        <v>323</v>
      </c>
      <c r="G25" s="366" t="n">
        <v>12</v>
      </c>
      <c r="H25" s="338" t="n">
        <f aca="false">IF((G25&lt;&gt;0),IF((D25&gt;0)," ",G25)," ")</f>
        <v>12</v>
      </c>
      <c r="I25" s="367" t="n">
        <f aca="false">IF((G25&lt;&gt;0),IF((D25&gt;0)," ",(I$1-A25))," ")</f>
        <v>194</v>
      </c>
      <c r="J25" s="334" t="str">
        <f aca="false">IF((E25="s"),G25," ")</f>
        <v> </v>
      </c>
      <c r="K25" s="334" t="str">
        <f aca="false">IF((E25="d"),G25," ")</f>
        <v> </v>
      </c>
      <c r="L25" s="334" t="str">
        <f aca="false">IF((E25="e"),G25," ")</f>
        <v> </v>
      </c>
      <c r="M25" s="334" t="str">
        <f aca="false">IF((E25="p"),G25," ")</f>
        <v> </v>
      </c>
      <c r="N25" s="334" t="str">
        <f aca="false">IF((E25="r"),G25," ")</f>
        <v> </v>
      </c>
      <c r="O25" s="334" t="str">
        <f aca="false">IF((E25="g"),G25," ")</f>
        <v> </v>
      </c>
      <c r="P25" s="334" t="str">
        <f aca="false">IF((E25="m"),G25," ")</f>
        <v> </v>
      </c>
      <c r="Q25" s="334" t="n">
        <f aca="false">IF((E25="t"),G25," ")</f>
        <v>12</v>
      </c>
      <c r="R25" s="334" t="str">
        <f aca="false">IF((E25="a"),G25," ")</f>
        <v> </v>
      </c>
      <c r="S25" s="334" t="str">
        <f aca="false">IF((E25="l"),G25," ")</f>
        <v> </v>
      </c>
      <c r="T25" s="334" t="str">
        <f aca="false">IF((E25="b"),G25," ")</f>
        <v> </v>
      </c>
      <c r="U25" s="334" t="str">
        <f aca="false">IF((E25="i"),G25," ")</f>
        <v> </v>
      </c>
      <c r="V25" s="334" t="str">
        <f aca="false">IF((E25="o"),G25," ")</f>
        <v> </v>
      </c>
      <c r="W25" s="334" t="str">
        <f aca="false">IF((E25="f"),G25," ")</f>
        <v> </v>
      </c>
    </row>
    <row r="26" customFormat="false" ht="12.75" hidden="false" customHeight="false" outlineLevel="0" collapsed="false">
      <c r="A26" s="355" t="n">
        <v>45945</v>
      </c>
      <c r="B26" s="363" t="s">
        <v>243</v>
      </c>
      <c r="E26" s="365" t="s">
        <v>291</v>
      </c>
      <c r="G26" s="366" t="n">
        <v>150</v>
      </c>
      <c r="H26" s="338" t="n">
        <f aca="false">IF((G26&lt;&gt;0),IF((D26&gt;0)," ",G26)," ")</f>
        <v>150</v>
      </c>
      <c r="I26" s="367" t="n">
        <f aca="false">IF((G26&lt;&gt;0),IF((D26&gt;0)," ",(I$1-A26))," ")</f>
        <v>193</v>
      </c>
      <c r="J26" s="334" t="str">
        <f aca="false">IF((E26="s"),G26," ")</f>
        <v> </v>
      </c>
      <c r="K26" s="334" t="str">
        <f aca="false">IF((E26="d"),G26," ")</f>
        <v> </v>
      </c>
      <c r="L26" s="334" t="str">
        <f aca="false">IF((E26="e"),G26," ")</f>
        <v> </v>
      </c>
      <c r="M26" s="334" t="str">
        <f aca="false">IF((E26="p"),G26," ")</f>
        <v> </v>
      </c>
      <c r="N26" s="334" t="str">
        <f aca="false">IF((E26="r"),G26," ")</f>
        <v> </v>
      </c>
      <c r="O26" s="334" t="str">
        <f aca="false">IF((E26="g"),G26," ")</f>
        <v> </v>
      </c>
      <c r="P26" s="334" t="n">
        <f aca="false">IF((E26="m"),G26," ")</f>
        <v>150</v>
      </c>
      <c r="Q26" s="334" t="str">
        <f aca="false">IF((E26="t"),G26," ")</f>
        <v> </v>
      </c>
      <c r="R26" s="334" t="str">
        <f aca="false">IF((E26="a"),G26," ")</f>
        <v> </v>
      </c>
      <c r="S26" s="334" t="str">
        <f aca="false">IF((E26="l"),G26," ")</f>
        <v> </v>
      </c>
      <c r="T26" s="334" t="str">
        <f aca="false">IF((E26="b"),G26," ")</f>
        <v> </v>
      </c>
      <c r="U26" s="334" t="str">
        <f aca="false">IF((E26="i"),G26," ")</f>
        <v> </v>
      </c>
      <c r="V26" s="334" t="str">
        <f aca="false">IF((E26="o"),G26," ")</f>
        <v> </v>
      </c>
      <c r="W26" s="334" t="str">
        <f aca="false">IF((E26="f"),G26," ")</f>
        <v> </v>
      </c>
    </row>
    <row r="27" customFormat="false" ht="12.75" hidden="false" customHeight="false" outlineLevel="0" collapsed="false">
      <c r="A27" s="355" t="n">
        <v>45945</v>
      </c>
      <c r="B27" s="363" t="s">
        <v>332</v>
      </c>
      <c r="E27" s="365" t="s">
        <v>310</v>
      </c>
      <c r="G27" s="366" t="n">
        <v>12</v>
      </c>
      <c r="H27" s="338" t="n">
        <f aca="false">IF((G27&lt;&gt;0),IF((D27&gt;0)," ",G27)," ")</f>
        <v>12</v>
      </c>
      <c r="I27" s="367" t="n">
        <f aca="false">IF((G27&lt;&gt;0),IF((D27&gt;0)," ",(I$1-A27))," ")</f>
        <v>193</v>
      </c>
      <c r="J27" s="334" t="str">
        <f aca="false">IF((E27="s"),G27," ")</f>
        <v> </v>
      </c>
      <c r="K27" s="334" t="str">
        <f aca="false">IF((E27="d"),G27," ")</f>
        <v> </v>
      </c>
      <c r="L27" s="334" t="str">
        <f aca="false">IF((E27="e"),G27," ")</f>
        <v> </v>
      </c>
      <c r="M27" s="334" t="str">
        <f aca="false">IF((E27="p"),G27," ")</f>
        <v> </v>
      </c>
      <c r="N27" s="334" t="str">
        <f aca="false">IF((E27="r"),G27," ")</f>
        <v> </v>
      </c>
      <c r="O27" s="334" t="n">
        <f aca="false">IF((E27="g"),G27," ")</f>
        <v>12</v>
      </c>
      <c r="P27" s="334" t="str">
        <f aca="false">IF((E27="m"),G27," ")</f>
        <v> </v>
      </c>
      <c r="Q27" s="334" t="str">
        <f aca="false">IF((E27="t"),G27," ")</f>
        <v> </v>
      </c>
      <c r="R27" s="334" t="str">
        <f aca="false">IF((E27="a"),G27," ")</f>
        <v> </v>
      </c>
      <c r="S27" s="334" t="str">
        <f aca="false">IF((E27="l"),G27," ")</f>
        <v> </v>
      </c>
      <c r="T27" s="334" t="str">
        <f aca="false">IF((E27="b"),G27," ")</f>
        <v> </v>
      </c>
      <c r="U27" s="334" t="str">
        <f aca="false">IF((E27="i"),G27," ")</f>
        <v> </v>
      </c>
      <c r="V27" s="334" t="str">
        <f aca="false">IF((E27="o"),G27," ")</f>
        <v> </v>
      </c>
      <c r="W27" s="334" t="str">
        <f aca="false">IF((E27="f"),G27," ")</f>
        <v> </v>
      </c>
    </row>
    <row r="28" customFormat="false" ht="12.75" hidden="false" customHeight="false" outlineLevel="0" collapsed="false">
      <c r="A28" s="355" t="n">
        <v>45945</v>
      </c>
      <c r="B28" s="363" t="s">
        <v>379</v>
      </c>
      <c r="E28" s="365" t="s">
        <v>348</v>
      </c>
      <c r="G28" s="366" t="n">
        <v>1200</v>
      </c>
      <c r="H28" s="338" t="n">
        <f aca="false">IF((G28&lt;&gt;0),IF((D28&gt;0)," ",G28)," ")</f>
        <v>1200</v>
      </c>
      <c r="I28" s="367" t="n">
        <f aca="false">IF((G28&lt;&gt;0),IF((D28&gt;0)," ",(I$1-A28))," ")</f>
        <v>193</v>
      </c>
      <c r="J28" s="334" t="str">
        <f aca="false">IF((E28="s"),G28," ")</f>
        <v> </v>
      </c>
      <c r="K28" s="334" t="str">
        <f aca="false">IF((E28="d"),G28," ")</f>
        <v> </v>
      </c>
      <c r="L28" s="334" t="str">
        <f aca="false">IF((E28="e"),G28," ")</f>
        <v> </v>
      </c>
      <c r="M28" s="334" t="str">
        <f aca="false">IF((E28="p"),G28," ")</f>
        <v> </v>
      </c>
      <c r="N28" s="334" t="str">
        <f aca="false">IF((E28="r"),G28," ")</f>
        <v> </v>
      </c>
      <c r="O28" s="334" t="str">
        <f aca="false">IF((E28="g"),G28," ")</f>
        <v> </v>
      </c>
      <c r="P28" s="334" t="str">
        <f aca="false">IF((E28="m"),G28," ")</f>
        <v> </v>
      </c>
      <c r="Q28" s="334" t="str">
        <f aca="false">IF((E28="t"),G28," ")</f>
        <v> </v>
      </c>
      <c r="R28" s="334" t="n">
        <f aca="false">IF((E28="a"),G28," ")</f>
        <v>1200</v>
      </c>
      <c r="S28" s="334" t="str">
        <f aca="false">IF((E28="l"),G28," ")</f>
        <v> </v>
      </c>
      <c r="T28" s="334" t="str">
        <f aca="false">IF((E28="b"),G28," ")</f>
        <v> </v>
      </c>
      <c r="U28" s="334" t="str">
        <f aca="false">IF((E28="i"),G28," ")</f>
        <v> </v>
      </c>
      <c r="V28" s="334" t="str">
        <f aca="false">IF((E28="o"),G28," ")</f>
        <v> </v>
      </c>
      <c r="W28" s="334" t="str">
        <f aca="false">IF((E28="f"),G28," ")</f>
        <v> </v>
      </c>
    </row>
    <row r="29" customFormat="false" ht="12.75" hidden="false" customHeight="false" outlineLevel="0" collapsed="false">
      <c r="A29" s="355" t="n">
        <v>45948</v>
      </c>
      <c r="B29" s="363" t="s">
        <v>360</v>
      </c>
      <c r="E29" s="365" t="s">
        <v>323</v>
      </c>
      <c r="G29" s="366" t="n">
        <v>120</v>
      </c>
      <c r="H29" s="338" t="n">
        <f aca="false">IF((G29&lt;&gt;0),IF((D29&gt;0)," ",G29)," ")</f>
        <v>120</v>
      </c>
      <c r="I29" s="367" t="n">
        <f aca="false">IF((G29&lt;&gt;0),IF((D29&gt;0)," ",(I$1-A29))," ")</f>
        <v>190</v>
      </c>
      <c r="J29" s="334" t="str">
        <f aca="false">IF((E29="s"),G29," ")</f>
        <v> </v>
      </c>
      <c r="K29" s="334" t="str">
        <f aca="false">IF((E29="d"),G29," ")</f>
        <v> </v>
      </c>
      <c r="L29" s="334" t="str">
        <f aca="false">IF((E29="e"),G29," ")</f>
        <v> </v>
      </c>
      <c r="M29" s="334" t="str">
        <f aca="false">IF((E29="p"),G29," ")</f>
        <v> </v>
      </c>
      <c r="N29" s="334" t="str">
        <f aca="false">IF((E29="r"),G29," ")</f>
        <v> </v>
      </c>
      <c r="O29" s="334" t="str">
        <f aca="false">IF((E29="g"),G29," ")</f>
        <v> </v>
      </c>
      <c r="P29" s="334" t="str">
        <f aca="false">IF((E29="m"),G29," ")</f>
        <v> </v>
      </c>
      <c r="Q29" s="334" t="n">
        <f aca="false">IF((E29="t"),G29," ")</f>
        <v>120</v>
      </c>
      <c r="R29" s="334" t="str">
        <f aca="false">IF((E29="a"),G29," ")</f>
        <v> </v>
      </c>
      <c r="S29" s="334" t="str">
        <f aca="false">IF((E29="l"),G29," ")</f>
        <v> </v>
      </c>
      <c r="T29" s="334" t="str">
        <f aca="false">IF((E29="b"),G29," ")</f>
        <v> </v>
      </c>
      <c r="U29" s="334" t="str">
        <f aca="false">IF((E29="i"),G29," ")</f>
        <v> </v>
      </c>
      <c r="V29" s="334" t="str">
        <f aca="false">IF((E29="o"),G29," ")</f>
        <v> </v>
      </c>
      <c r="W29" s="334" t="str">
        <f aca="false">IF((E29="f"),G29," ")</f>
        <v> </v>
      </c>
    </row>
    <row r="30" customFormat="false" ht="12.75" hidden="false" customHeight="false" outlineLevel="0" collapsed="false">
      <c r="A30" s="355" t="n">
        <v>45948</v>
      </c>
      <c r="B30" s="363" t="s">
        <v>333</v>
      </c>
      <c r="E30" s="365" t="s">
        <v>291</v>
      </c>
      <c r="G30" s="366" t="n">
        <v>96</v>
      </c>
      <c r="H30" s="338" t="n">
        <f aca="false">IF((G30&lt;&gt;0),IF((D30&gt;0)," ",G30)," ")</f>
        <v>96</v>
      </c>
      <c r="I30" s="367" t="n">
        <f aca="false">IF((G30&lt;&gt;0),IF((D30&gt;0)," ",(I$1-A30))," ")</f>
        <v>190</v>
      </c>
      <c r="J30" s="334" t="str">
        <f aca="false">IF((E30="s"),G30," ")</f>
        <v> </v>
      </c>
      <c r="K30" s="334" t="str">
        <f aca="false">IF((E30="d"),G30," ")</f>
        <v> </v>
      </c>
      <c r="L30" s="334" t="str">
        <f aca="false">IF((E30="e"),G30," ")</f>
        <v> </v>
      </c>
      <c r="M30" s="334" t="str">
        <f aca="false">IF((E30="p"),G30," ")</f>
        <v> </v>
      </c>
      <c r="N30" s="334" t="str">
        <f aca="false">IF((E30="r"),G30," ")</f>
        <v> </v>
      </c>
      <c r="O30" s="334" t="str">
        <f aca="false">IF((E30="g"),G30," ")</f>
        <v> </v>
      </c>
      <c r="P30" s="334" t="n">
        <f aca="false">IF((E30="m"),G30," ")</f>
        <v>96</v>
      </c>
      <c r="Q30" s="334" t="str">
        <f aca="false">IF((E30="t"),G30," ")</f>
        <v> </v>
      </c>
      <c r="R30" s="334" t="str">
        <f aca="false">IF((E30="a"),G30," ")</f>
        <v> </v>
      </c>
      <c r="S30" s="334" t="str">
        <f aca="false">IF((E30="l"),G30," ")</f>
        <v> </v>
      </c>
      <c r="T30" s="334" t="str">
        <f aca="false">IF((E30="b"),G30," ")</f>
        <v> </v>
      </c>
      <c r="U30" s="334" t="str">
        <f aca="false">IF((E30="i"),G30," ")</f>
        <v> </v>
      </c>
      <c r="V30" s="334" t="str">
        <f aca="false">IF((E30="o"),G30," ")</f>
        <v> </v>
      </c>
      <c r="W30" s="334" t="str">
        <f aca="false">IF((E30="f"),G30," ")</f>
        <v> </v>
      </c>
    </row>
    <row r="31" customFormat="false" ht="12.75" hidden="false" customHeight="false" outlineLevel="0" collapsed="false">
      <c r="A31" s="355" t="n">
        <v>45950</v>
      </c>
      <c r="B31" s="363" t="s">
        <v>242</v>
      </c>
      <c r="E31" s="365" t="s">
        <v>310</v>
      </c>
      <c r="G31" s="366" t="n">
        <v>60</v>
      </c>
      <c r="H31" s="338" t="n">
        <f aca="false">IF((G31&lt;&gt;0),IF((D31&gt;0)," ",G31)," ")</f>
        <v>60</v>
      </c>
      <c r="I31" s="367" t="n">
        <f aca="false">IF((G31&lt;&gt;0),IF((D31&gt;0)," ",(I$1-A31))," ")</f>
        <v>188</v>
      </c>
      <c r="J31" s="334" t="str">
        <f aca="false">IF((E31="s"),G31," ")</f>
        <v> </v>
      </c>
      <c r="K31" s="334" t="str">
        <f aca="false">IF((E31="d"),G31," ")</f>
        <v> </v>
      </c>
      <c r="L31" s="334" t="str">
        <f aca="false">IF((E31="e"),G31," ")</f>
        <v> </v>
      </c>
      <c r="M31" s="334" t="str">
        <f aca="false">IF((E31="p"),G31," ")</f>
        <v> </v>
      </c>
      <c r="N31" s="334" t="str">
        <f aca="false">IF((E31="r"),G31," ")</f>
        <v> </v>
      </c>
      <c r="O31" s="334" t="n">
        <f aca="false">IF((E31="g"),G31," ")</f>
        <v>60</v>
      </c>
      <c r="P31" s="334" t="str">
        <f aca="false">IF((E31="m"),G31," ")</f>
        <v> </v>
      </c>
      <c r="Q31" s="334" t="str">
        <f aca="false">IF((E31="t"),G31," ")</f>
        <v> </v>
      </c>
      <c r="R31" s="334" t="str">
        <f aca="false">IF((E31="a"),G31," ")</f>
        <v> </v>
      </c>
      <c r="S31" s="334" t="str">
        <f aca="false">IF((E31="l"),G31," ")</f>
        <v> </v>
      </c>
      <c r="T31" s="334" t="str">
        <f aca="false">IF((E31="b"),G31," ")</f>
        <v> </v>
      </c>
      <c r="U31" s="334" t="str">
        <f aca="false">IF((E31="i"),G31," ")</f>
        <v> </v>
      </c>
      <c r="V31" s="334" t="str">
        <f aca="false">IF((E31="o"),G31," ")</f>
        <v> </v>
      </c>
      <c r="W31" s="334" t="str">
        <f aca="false">IF((E31="f"),G31," ")</f>
        <v> </v>
      </c>
    </row>
    <row r="32" customFormat="false" ht="12.75" hidden="false" customHeight="false" outlineLevel="0" collapsed="false">
      <c r="A32" s="355" t="n">
        <v>45950</v>
      </c>
      <c r="B32" s="363" t="s">
        <v>334</v>
      </c>
      <c r="E32" s="365" t="s">
        <v>335</v>
      </c>
      <c r="G32" s="366" t="n">
        <v>96</v>
      </c>
      <c r="H32" s="338" t="n">
        <f aca="false">IF((G32&lt;&gt;0),IF((D32&gt;0)," ",G32)," ")</f>
        <v>96</v>
      </c>
      <c r="I32" s="367" t="n">
        <f aca="false">IF((G32&lt;&gt;0),IF((D32&gt;0)," ",(I$1-A32))," ")</f>
        <v>188</v>
      </c>
      <c r="J32" s="334" t="str">
        <f aca="false">IF((E32="s"),G32," ")</f>
        <v> </v>
      </c>
      <c r="K32" s="334" t="str">
        <f aca="false">IF((E32="d"),G32," ")</f>
        <v> </v>
      </c>
      <c r="L32" s="334" t="str">
        <f aca="false">IF((E32="e"),G32," ")</f>
        <v> </v>
      </c>
      <c r="M32" s="334" t="str">
        <f aca="false">IF((E32="p"),G32," ")</f>
        <v> </v>
      </c>
      <c r="N32" s="334" t="n">
        <f aca="false">IF((E32="r"),G32," ")</f>
        <v>96</v>
      </c>
      <c r="O32" s="334" t="str">
        <f aca="false">IF((E32="g"),G32," ")</f>
        <v> </v>
      </c>
      <c r="P32" s="334" t="str">
        <f aca="false">IF((E32="m"),G32," ")</f>
        <v> </v>
      </c>
      <c r="Q32" s="334" t="str">
        <f aca="false">IF((E32="t"),G32," ")</f>
        <v> </v>
      </c>
      <c r="R32" s="334" t="str">
        <f aca="false">IF((E32="a"),G32," ")</f>
        <v> </v>
      </c>
      <c r="S32" s="334" t="str">
        <f aca="false">IF((E32="l"),G32," ")</f>
        <v> </v>
      </c>
      <c r="T32" s="334" t="str">
        <f aca="false">IF((E32="b"),G32," ")</f>
        <v> </v>
      </c>
      <c r="U32" s="334" t="str">
        <f aca="false">IF((E32="i"),G32," ")</f>
        <v> </v>
      </c>
      <c r="V32" s="334" t="str">
        <f aca="false">IF((E32="o"),G32," ")</f>
        <v> </v>
      </c>
      <c r="W32" s="334" t="str">
        <f aca="false">IF((E32="f"),G32," ")</f>
        <v> </v>
      </c>
    </row>
    <row r="33" customFormat="false" ht="12.75" hidden="false" customHeight="false" outlineLevel="0" collapsed="false">
      <c r="A33" s="355" t="n">
        <v>45951</v>
      </c>
      <c r="B33" s="363" t="s">
        <v>336</v>
      </c>
      <c r="E33" s="365" t="s">
        <v>323</v>
      </c>
      <c r="G33" s="366" t="n">
        <v>8</v>
      </c>
      <c r="H33" s="338" t="n">
        <f aca="false">IF((G33&lt;&gt;0),IF((D33&gt;0)," ",G33)," ")</f>
        <v>8</v>
      </c>
      <c r="I33" s="367" t="n">
        <f aca="false">IF((G33&lt;&gt;0),IF((D33&gt;0)," ",(I$1-A33))," ")</f>
        <v>187</v>
      </c>
      <c r="J33" s="334" t="str">
        <f aca="false">IF((E33="s"),G33," ")</f>
        <v> </v>
      </c>
      <c r="K33" s="334" t="str">
        <f aca="false">IF((E33="d"),G33," ")</f>
        <v> </v>
      </c>
      <c r="L33" s="334" t="str">
        <f aca="false">IF((E33="e"),G33," ")</f>
        <v> </v>
      </c>
      <c r="M33" s="334" t="str">
        <f aca="false">IF((E33="p"),G33," ")</f>
        <v> </v>
      </c>
      <c r="N33" s="334" t="str">
        <f aca="false">IF((E33="r"),G33," ")</f>
        <v> </v>
      </c>
      <c r="O33" s="334" t="str">
        <f aca="false">IF((E33="g"),G33," ")</f>
        <v> </v>
      </c>
      <c r="P33" s="334" t="str">
        <f aca="false">IF((E33="m"),G33," ")</f>
        <v> </v>
      </c>
      <c r="Q33" s="334" t="n">
        <f aca="false">IF((E33="t"),G33," ")</f>
        <v>8</v>
      </c>
      <c r="R33" s="334" t="str">
        <f aca="false">IF((E33="a"),G33," ")</f>
        <v> </v>
      </c>
      <c r="S33" s="334" t="str">
        <f aca="false">IF((E33="l"),G33," ")</f>
        <v> </v>
      </c>
      <c r="T33" s="334" t="str">
        <f aca="false">IF((E33="b"),G33," ")</f>
        <v> </v>
      </c>
      <c r="U33" s="334" t="str">
        <f aca="false">IF((E33="i"),G33," ")</f>
        <v> </v>
      </c>
      <c r="V33" s="334" t="str">
        <f aca="false">IF((E33="o"),G33," ")</f>
        <v> </v>
      </c>
      <c r="W33" s="334" t="str">
        <f aca="false">IF((E33="f"),G33," ")</f>
        <v> </v>
      </c>
    </row>
    <row r="34" customFormat="false" ht="12.75" hidden="false" customHeight="false" outlineLevel="0" collapsed="false">
      <c r="A34" s="355" t="n">
        <v>45952</v>
      </c>
      <c r="B34" s="363" t="s">
        <v>337</v>
      </c>
      <c r="E34" s="365" t="s">
        <v>313</v>
      </c>
      <c r="G34" s="366" t="n">
        <v>18</v>
      </c>
      <c r="H34" s="338" t="n">
        <f aca="false">IF((G34&lt;&gt;0),IF((D34&gt;0)," ",G34)," ")</f>
        <v>18</v>
      </c>
      <c r="I34" s="367" t="n">
        <f aca="false">IF((G34&lt;&gt;0),IF((D34&gt;0)," ",(I$1-A34))," ")</f>
        <v>186</v>
      </c>
      <c r="J34" s="334" t="str">
        <f aca="false">IF((E34="s"),G34," ")</f>
        <v> </v>
      </c>
      <c r="K34" s="334" t="str">
        <f aca="false">IF((E34="d"),G34," ")</f>
        <v> </v>
      </c>
      <c r="L34" s="334" t="str">
        <f aca="false">IF((E34="e"),G34," ")</f>
        <v> </v>
      </c>
      <c r="M34" s="334" t="str">
        <f aca="false">IF((E34="p"),G34," ")</f>
        <v> </v>
      </c>
      <c r="N34" s="334" t="str">
        <f aca="false">IF((E34="r"),G34," ")</f>
        <v> </v>
      </c>
      <c r="O34" s="334" t="str">
        <f aca="false">IF((E34="g"),G34," ")</f>
        <v> </v>
      </c>
      <c r="P34" s="334" t="str">
        <f aca="false">IF((E34="m"),G34," ")</f>
        <v> </v>
      </c>
      <c r="Q34" s="334" t="str">
        <f aca="false">IF((E34="t"),G34," ")</f>
        <v> </v>
      </c>
      <c r="R34" s="334" t="str">
        <f aca="false">IF((E34="a"),G34," ")</f>
        <v> </v>
      </c>
      <c r="S34" s="334" t="str">
        <f aca="false">IF((E34="l"),G34," ")</f>
        <v> </v>
      </c>
      <c r="T34" s="334" t="str">
        <f aca="false">IF((E34="b"),G34," ")</f>
        <v> </v>
      </c>
      <c r="U34" s="334" t="str">
        <f aca="false">IF((E34="i"),G34," ")</f>
        <v> </v>
      </c>
      <c r="V34" s="334" t="n">
        <f aca="false">IF((E34="o"),G34," ")</f>
        <v>18</v>
      </c>
      <c r="W34" s="334" t="str">
        <f aca="false">IF((E34="f"),G34," ")</f>
        <v> </v>
      </c>
    </row>
    <row r="35" customFormat="false" ht="12.75" hidden="false" customHeight="false" outlineLevel="0" collapsed="false">
      <c r="A35" s="355" t="n">
        <v>45955</v>
      </c>
      <c r="B35" s="363" t="s">
        <v>338</v>
      </c>
      <c r="E35" s="365" t="s">
        <v>313</v>
      </c>
      <c r="G35" s="366" t="n">
        <v>15</v>
      </c>
      <c r="H35" s="338" t="n">
        <f aca="false">IF((G35&lt;&gt;0),IF((D35&gt;0)," ",G35)," ")</f>
        <v>15</v>
      </c>
      <c r="I35" s="367" t="n">
        <f aca="false">IF((G35&lt;&gt;0),IF((D35&gt;0)," ",(I$1-A35))," ")</f>
        <v>183</v>
      </c>
      <c r="J35" s="334" t="str">
        <f aca="false">IF((E35="s"),G35," ")</f>
        <v> </v>
      </c>
      <c r="K35" s="334" t="str">
        <f aca="false">IF((E35="d"),G35," ")</f>
        <v> </v>
      </c>
      <c r="L35" s="334" t="str">
        <f aca="false">IF((E35="e"),G35," ")</f>
        <v> </v>
      </c>
      <c r="M35" s="334" t="str">
        <f aca="false">IF((E35="p"),G35," ")</f>
        <v> </v>
      </c>
      <c r="N35" s="334" t="str">
        <f aca="false">IF((E35="r"),G35," ")</f>
        <v> </v>
      </c>
      <c r="O35" s="334" t="str">
        <f aca="false">IF((E35="g"),G35," ")</f>
        <v> </v>
      </c>
      <c r="P35" s="334" t="str">
        <f aca="false">IF((E35="m"),G35," ")</f>
        <v> </v>
      </c>
      <c r="Q35" s="334" t="str">
        <f aca="false">IF((E35="t"),G35," ")</f>
        <v> </v>
      </c>
      <c r="R35" s="334" t="str">
        <f aca="false">IF((E35="a"),G35," ")</f>
        <v> </v>
      </c>
      <c r="S35" s="334" t="str">
        <f aca="false">IF((E35="l"),G35," ")</f>
        <v> </v>
      </c>
      <c r="T35" s="334" t="str">
        <f aca="false">IF((E35="b"),G35," ")</f>
        <v> </v>
      </c>
      <c r="U35" s="334" t="str">
        <f aca="false">IF((E35="i"),G35," ")</f>
        <v> </v>
      </c>
      <c r="V35" s="334" t="n">
        <f aca="false">IF((E35="o"),G35," ")</f>
        <v>15</v>
      </c>
      <c r="W35" s="334" t="str">
        <f aca="false">IF((E35="f"),G35," ")</f>
        <v> </v>
      </c>
    </row>
    <row r="36" customFormat="false" ht="12.75" hidden="false" customHeight="false" outlineLevel="0" collapsed="false">
      <c r="A36" s="355" t="n">
        <v>45955</v>
      </c>
      <c r="B36" s="363" t="s">
        <v>339</v>
      </c>
      <c r="E36" s="365" t="s">
        <v>291</v>
      </c>
      <c r="G36" s="366" t="n">
        <v>42.75</v>
      </c>
      <c r="H36" s="338" t="n">
        <f aca="false">IF((G36&lt;&gt;0),IF((D36&gt;0)," ",G36)," ")</f>
        <v>42.75</v>
      </c>
      <c r="I36" s="367" t="n">
        <f aca="false">IF((G36&lt;&gt;0),IF((D36&gt;0)," ",(I$1-A36))," ")</f>
        <v>183</v>
      </c>
      <c r="J36" s="334" t="str">
        <f aca="false">IF((E36="s"),G36," ")</f>
        <v> </v>
      </c>
      <c r="K36" s="334" t="str">
        <f aca="false">IF((E36="d"),G36," ")</f>
        <v> </v>
      </c>
      <c r="L36" s="334" t="str">
        <f aca="false">IF((E36="e"),G36," ")</f>
        <v> </v>
      </c>
      <c r="M36" s="334" t="str">
        <f aca="false">IF((E36="p"),G36," ")</f>
        <v> </v>
      </c>
      <c r="N36" s="334" t="str">
        <f aca="false">IF((E36="r"),G36," ")</f>
        <v> </v>
      </c>
      <c r="O36" s="334" t="str">
        <f aca="false">IF((E36="g"),G36," ")</f>
        <v> </v>
      </c>
      <c r="P36" s="334" t="n">
        <f aca="false">IF((E36="m"),G36," ")</f>
        <v>42.75</v>
      </c>
      <c r="Q36" s="334" t="str">
        <f aca="false">IF((E36="t"),G36," ")</f>
        <v> </v>
      </c>
      <c r="R36" s="334" t="str">
        <f aca="false">IF((E36="a"),G36," ")</f>
        <v> </v>
      </c>
      <c r="S36" s="334" t="str">
        <f aca="false">IF((E36="l"),G36," ")</f>
        <v> </v>
      </c>
      <c r="T36" s="334" t="str">
        <f aca="false">IF((E36="b"),G36," ")</f>
        <v> </v>
      </c>
      <c r="U36" s="334" t="str">
        <f aca="false">IF((E36="i"),G36," ")</f>
        <v> </v>
      </c>
      <c r="V36" s="334" t="str">
        <f aca="false">IF((E36="o"),G36," ")</f>
        <v> </v>
      </c>
      <c r="W36" s="334" t="str">
        <f aca="false">IF((E36="f"),G36," ")</f>
        <v> </v>
      </c>
    </row>
    <row r="37" customFormat="false" ht="12.75" hidden="false" customHeight="false" outlineLevel="0" collapsed="false">
      <c r="A37" s="355" t="n">
        <v>45955</v>
      </c>
      <c r="B37" s="363" t="s">
        <v>380</v>
      </c>
      <c r="E37" s="365" t="s">
        <v>351</v>
      </c>
      <c r="G37" s="366" t="n">
        <v>36000</v>
      </c>
      <c r="H37" s="338" t="n">
        <f aca="false">IF((G37&lt;&gt;0),IF((D37&gt;0)," ",G37)," ")</f>
        <v>36000</v>
      </c>
      <c r="I37" s="367" t="n">
        <f aca="false">IF((G37&lt;&gt;0),IF((D37&gt;0)," ",(I$1-A37))," ")</f>
        <v>183</v>
      </c>
      <c r="J37" s="334" t="str">
        <f aca="false">IF((E37="s"),G37," ")</f>
        <v> </v>
      </c>
      <c r="K37" s="334" t="str">
        <f aca="false">IF((E37="d"),G37," ")</f>
        <v> </v>
      </c>
      <c r="L37" s="334" t="str">
        <f aca="false">IF((E37="e"),G37," ")</f>
        <v> </v>
      </c>
      <c r="M37" s="334" t="str">
        <f aca="false">IF((E37="p"),G37," ")</f>
        <v> </v>
      </c>
      <c r="N37" s="334" t="str">
        <f aca="false">IF((E37="r"),G37," ")</f>
        <v> </v>
      </c>
      <c r="O37" s="334" t="str">
        <f aca="false">IF((E37="g"),G37," ")</f>
        <v> </v>
      </c>
      <c r="P37" s="334" t="str">
        <f aca="false">IF((E37="m"),G37," ")</f>
        <v> </v>
      </c>
      <c r="Q37" s="334" t="str">
        <f aca="false">IF((E37="t"),G37," ")</f>
        <v> </v>
      </c>
      <c r="R37" s="334" t="str">
        <f aca="false">IF((E37="a"),G37," ")</f>
        <v> </v>
      </c>
      <c r="S37" s="334" t="str">
        <f aca="false">IF((E37="l"),G37," ")</f>
        <v> </v>
      </c>
      <c r="T37" s="334" t="str">
        <f aca="false">IF((E37="b"),G37," ")</f>
        <v> </v>
      </c>
      <c r="U37" s="334" t="str">
        <f aca="false">IF((E37="i"),G37," ")</f>
        <v> </v>
      </c>
      <c r="V37" s="334" t="str">
        <f aca="false">IF((E37="o"),G37," ")</f>
        <v> </v>
      </c>
      <c r="W37" s="334" t="n">
        <f aca="false">IF((E37="f"),G37," ")</f>
        <v>36000</v>
      </c>
    </row>
    <row r="38" customFormat="false" ht="12.75" hidden="false" customHeight="false" outlineLevel="0" collapsed="false">
      <c r="A38" s="355" t="n">
        <v>45958</v>
      </c>
      <c r="B38" s="363" t="s">
        <v>243</v>
      </c>
      <c r="E38" s="365" t="s">
        <v>291</v>
      </c>
      <c r="G38" s="366" t="n">
        <v>120</v>
      </c>
      <c r="H38" s="338" t="n">
        <f aca="false">IF((G38&lt;&gt;0),IF((D38&gt;0)," ",G38)," ")</f>
        <v>120</v>
      </c>
      <c r="I38" s="367" t="n">
        <f aca="false">IF((G38&lt;&gt;0),IF((D38&gt;0)," ",(I$1-A38))," ")</f>
        <v>180</v>
      </c>
      <c r="J38" s="334" t="str">
        <f aca="false">IF((E38="s"),G38," ")</f>
        <v> </v>
      </c>
      <c r="K38" s="334" t="str">
        <f aca="false">IF((E38="d"),G38," ")</f>
        <v> </v>
      </c>
      <c r="L38" s="334" t="str">
        <f aca="false">IF((E38="e"),G38," ")</f>
        <v> </v>
      </c>
      <c r="M38" s="334" t="str">
        <f aca="false">IF((E38="p"),G38," ")</f>
        <v> </v>
      </c>
      <c r="N38" s="334" t="str">
        <f aca="false">IF((E38="r"),G38," ")</f>
        <v> </v>
      </c>
      <c r="O38" s="334" t="str">
        <f aca="false">IF((E38="g"),G38," ")</f>
        <v> </v>
      </c>
      <c r="P38" s="334" t="n">
        <f aca="false">IF((E38="m"),G38," ")</f>
        <v>120</v>
      </c>
      <c r="Q38" s="334" t="str">
        <f aca="false">IF((E38="t"),G38," ")</f>
        <v> </v>
      </c>
      <c r="R38" s="334" t="str">
        <f aca="false">IF((E38="a"),G38," ")</f>
        <v> </v>
      </c>
      <c r="S38" s="334" t="str">
        <f aca="false">IF((E38="l"),G38," ")</f>
        <v> </v>
      </c>
      <c r="T38" s="334" t="str">
        <f aca="false">IF((E38="b"),G38," ")</f>
        <v> </v>
      </c>
      <c r="U38" s="334" t="str">
        <f aca="false">IF((E38="i"),G38," ")</f>
        <v> </v>
      </c>
      <c r="V38" s="334" t="str">
        <f aca="false">IF((E38="o"),G38," ")</f>
        <v> </v>
      </c>
      <c r="W38" s="334" t="str">
        <f aca="false">IF((E38="f"),G38," ")</f>
        <v> </v>
      </c>
    </row>
    <row r="39" customFormat="false" ht="12.75" hidden="false" customHeight="false" outlineLevel="0" collapsed="false">
      <c r="A39" s="355" t="n">
        <v>45961</v>
      </c>
      <c r="B39" s="363" t="s">
        <v>240</v>
      </c>
      <c r="E39" s="365" t="s">
        <v>340</v>
      </c>
      <c r="G39" s="366" t="n">
        <v>300</v>
      </c>
      <c r="H39" s="338" t="n">
        <f aca="false">IF((G39&lt;&gt;0),IF((D39&gt;0)," ",G39)," ")</f>
        <v>300</v>
      </c>
      <c r="I39" s="367" t="n">
        <f aca="false">IF((G39&lt;&gt;0),IF((D39&gt;0)," ",(I$1-A39))," ")</f>
        <v>177</v>
      </c>
      <c r="J39" s="334" t="str">
        <f aca="false">IF((E39="s"),G39," ")</f>
        <v> </v>
      </c>
      <c r="K39" s="334" t="str">
        <f aca="false">IF((E39="d"),G39," ")</f>
        <v> </v>
      </c>
      <c r="L39" s="334" t="str">
        <f aca="false">IF((E39="e"),G39," ")</f>
        <v> </v>
      </c>
      <c r="M39" s="334" t="str">
        <f aca="false">IF((E39="p"),G39," ")</f>
        <v> </v>
      </c>
      <c r="N39" s="334" t="str">
        <f aca="false">IF((E39="r"),G39," ")</f>
        <v> </v>
      </c>
      <c r="O39" s="334" t="str">
        <f aca="false">IF((E39="g"),G39," ")</f>
        <v> </v>
      </c>
      <c r="P39" s="334" t="str">
        <f aca="false">IF((E39="m"),G39," ")</f>
        <v> </v>
      </c>
      <c r="Q39" s="334" t="str">
        <f aca="false">IF((E39="t"),G39," ")</f>
        <v> </v>
      </c>
      <c r="R39" s="334" t="str">
        <f aca="false">IF((E39="a"),G39," ")</f>
        <v> </v>
      </c>
      <c r="S39" s="334" t="n">
        <f aca="false">IF((E39="l"),G39," ")</f>
        <v>300</v>
      </c>
      <c r="T39" s="334" t="str">
        <f aca="false">IF((E39="b"),G39," ")</f>
        <v> </v>
      </c>
      <c r="U39" s="334" t="str">
        <f aca="false">IF((E39="i"),G39," ")</f>
        <v> </v>
      </c>
      <c r="V39" s="334" t="str">
        <f aca="false">IF((E39="o"),G39," ")</f>
        <v> </v>
      </c>
      <c r="W39" s="334" t="str">
        <f aca="false">IF((E39="f"),G39," ")</f>
        <v> </v>
      </c>
    </row>
    <row r="40" customFormat="false" ht="12.75" hidden="false" customHeight="false" outlineLevel="0" collapsed="false">
      <c r="A40" s="355"/>
      <c r="H40" s="338" t="str">
        <f aca="false">IF((G40&lt;&gt;0),IF((D40&gt;0)," ",G40)," ")</f>
        <v> </v>
      </c>
      <c r="I40" s="367" t="str">
        <f aca="false">IF((G40&lt;&gt;0),IF((D40&gt;0)," ",(I$1-A40))," ")</f>
        <v> </v>
      </c>
      <c r="J40" s="334" t="str">
        <f aca="false">IF((E40="s"),G40," ")</f>
        <v> </v>
      </c>
      <c r="K40" s="334" t="str">
        <f aca="false">IF((E40="d"),G40," ")</f>
        <v> </v>
      </c>
      <c r="L40" s="334" t="str">
        <f aca="false">IF((E40="e"),G40," ")</f>
        <v> </v>
      </c>
      <c r="M40" s="334" t="str">
        <f aca="false">IF((E40="p"),G40," ")</f>
        <v> </v>
      </c>
      <c r="N40" s="334" t="str">
        <f aca="false">IF((E40="r"),G40," ")</f>
        <v> </v>
      </c>
      <c r="O40" s="334" t="str">
        <f aca="false">IF((E40="g"),G40," ")</f>
        <v> </v>
      </c>
      <c r="P40" s="334" t="str">
        <f aca="false">IF((E40="m"),G40," ")</f>
        <v> </v>
      </c>
      <c r="Q40" s="334" t="str">
        <f aca="false">IF((E40="t"),G40," ")</f>
        <v> </v>
      </c>
      <c r="R40" s="334" t="str">
        <f aca="false">IF((E40="a"),G40," ")</f>
        <v> </v>
      </c>
      <c r="S40" s="334" t="str">
        <f aca="false">IF((E40="l"),G40," ")</f>
        <v> </v>
      </c>
      <c r="T40" s="334" t="str">
        <f aca="false">IF((E40="b"),G40," ")</f>
        <v> </v>
      </c>
      <c r="U40" s="334" t="str">
        <f aca="false">IF((E40="i"),G40," ")</f>
        <v> </v>
      </c>
      <c r="V40" s="334" t="str">
        <f aca="false">IF((E40="o"),G40," ")</f>
        <v> </v>
      </c>
      <c r="W40" s="334" t="str">
        <f aca="false">IF((E40="f"),G40," ")</f>
        <v> </v>
      </c>
    </row>
    <row r="41" customFormat="false" ht="12.75" hidden="false" customHeight="false" outlineLevel="0" collapsed="false">
      <c r="A41" s="355"/>
      <c r="H41" s="338" t="str">
        <f aca="false">IF((G41&lt;&gt;0),IF((D41&gt;0)," ",G41)," ")</f>
        <v> </v>
      </c>
      <c r="I41" s="367" t="str">
        <f aca="false">IF((G41&lt;&gt;0),IF((D41&gt;0)," ",(I$1-A41))," ")</f>
        <v> </v>
      </c>
      <c r="J41" s="334" t="str">
        <f aca="false">IF((E41="s"),G41," ")</f>
        <v> </v>
      </c>
      <c r="K41" s="334" t="str">
        <f aca="false">IF((E41="d"),G41," ")</f>
        <v> </v>
      </c>
      <c r="L41" s="334" t="str">
        <f aca="false">IF((E41="e"),G41," ")</f>
        <v> </v>
      </c>
      <c r="M41" s="334" t="str">
        <f aca="false">IF((E41="p"),G41," ")</f>
        <v> </v>
      </c>
      <c r="N41" s="334" t="str">
        <f aca="false">IF((E41="r"),G41," ")</f>
        <v> </v>
      </c>
      <c r="O41" s="334" t="str">
        <f aca="false">IF((E41="g"),G41," ")</f>
        <v> </v>
      </c>
      <c r="P41" s="334" t="str">
        <f aca="false">IF((E41="m"),G41," ")</f>
        <v> </v>
      </c>
      <c r="Q41" s="334" t="str">
        <f aca="false">IF((E41="t"),G41," ")</f>
        <v> </v>
      </c>
      <c r="R41" s="334" t="str">
        <f aca="false">IF((E41="a"),G41," ")</f>
        <v> </v>
      </c>
      <c r="S41" s="334" t="str">
        <f aca="false">IF((E41="l"),G41," ")</f>
        <v> </v>
      </c>
      <c r="T41" s="334" t="str">
        <f aca="false">IF((E41="b"),G41," ")</f>
        <v> </v>
      </c>
      <c r="U41" s="334" t="str">
        <f aca="false">IF((E41="i"),G41," ")</f>
        <v> </v>
      </c>
      <c r="V41" s="334" t="str">
        <f aca="false">IF((E41="o"),G41," ")</f>
        <v> </v>
      </c>
      <c r="W41" s="334" t="str">
        <f aca="false">IF((E41="f"),G41," ")</f>
        <v> </v>
      </c>
    </row>
    <row r="42" customFormat="false" ht="12.75" hidden="false" customHeight="false" outlineLevel="0" collapsed="false">
      <c r="A42" s="355"/>
      <c r="H42" s="338" t="str">
        <f aca="false">IF((G42&lt;&gt;0),IF((D42&gt;0)," ",G42)," ")</f>
        <v> </v>
      </c>
      <c r="I42" s="367" t="str">
        <f aca="false">IF((G42&lt;&gt;0),IF((D42&gt;0)," ",(I$1-A42))," ")</f>
        <v> </v>
      </c>
      <c r="J42" s="334" t="str">
        <f aca="false">IF((E42="s"),G42," ")</f>
        <v> </v>
      </c>
      <c r="K42" s="334" t="str">
        <f aca="false">IF((E42="d"),G42," ")</f>
        <v> </v>
      </c>
      <c r="L42" s="334" t="str">
        <f aca="false">IF((E42="e"),G42," ")</f>
        <v> </v>
      </c>
      <c r="M42" s="334" t="str">
        <f aca="false">IF((E42="p"),G42," ")</f>
        <v> </v>
      </c>
      <c r="N42" s="334" t="str">
        <f aca="false">IF((E42="r"),G42," ")</f>
        <v> </v>
      </c>
      <c r="O42" s="334" t="str">
        <f aca="false">IF((E42="g"),G42," ")</f>
        <v> </v>
      </c>
      <c r="P42" s="334" t="str">
        <f aca="false">IF((E42="m"),G42," ")</f>
        <v> </v>
      </c>
      <c r="Q42" s="334" t="str">
        <f aca="false">IF((E42="t"),G42," ")</f>
        <v> </v>
      </c>
      <c r="R42" s="334" t="str">
        <f aca="false">IF((E42="a"),G42," ")</f>
        <v> </v>
      </c>
      <c r="S42" s="334" t="str">
        <f aca="false">IF((E42="l"),G42," ")</f>
        <v> </v>
      </c>
      <c r="T42" s="334" t="str">
        <f aca="false">IF((E42="b"),G42," ")</f>
        <v> </v>
      </c>
      <c r="U42" s="334" t="str">
        <f aca="false">IF((E42="i"),G42," ")</f>
        <v> </v>
      </c>
      <c r="V42" s="334" t="str">
        <f aca="false">IF((E42="o"),G42," ")</f>
        <v> </v>
      </c>
      <c r="W42" s="334" t="str">
        <f aca="false">IF((E42="f"),G42," ")</f>
        <v> </v>
      </c>
    </row>
    <row r="43" customFormat="false" ht="12.75" hidden="false" customHeight="false" outlineLevel="0" collapsed="false">
      <c r="A43" s="355"/>
      <c r="H43" s="338" t="str">
        <f aca="false">IF((G43&lt;&gt;0),IF((D43&gt;0)," ",G43)," ")</f>
        <v> </v>
      </c>
      <c r="I43" s="367" t="str">
        <f aca="false">IF((G43&lt;&gt;0),IF((D43&gt;0)," ",(I$1-A43))," ")</f>
        <v> </v>
      </c>
      <c r="J43" s="334" t="str">
        <f aca="false">IF((E43="s"),G43," ")</f>
        <v> </v>
      </c>
      <c r="K43" s="334" t="str">
        <f aca="false">IF((E43="d"),G43," ")</f>
        <v> </v>
      </c>
      <c r="L43" s="334" t="str">
        <f aca="false">IF((E43="e"),G43," ")</f>
        <v> </v>
      </c>
      <c r="M43" s="334" t="str">
        <f aca="false">IF((E43="p"),G43," ")</f>
        <v> </v>
      </c>
      <c r="N43" s="334" t="str">
        <f aca="false">IF((E43="r"),G43," ")</f>
        <v> </v>
      </c>
      <c r="O43" s="334" t="str">
        <f aca="false">IF((E43="g"),G43," ")</f>
        <v> </v>
      </c>
      <c r="P43" s="334" t="str">
        <f aca="false">IF((E43="m"),G43," ")</f>
        <v> </v>
      </c>
      <c r="Q43" s="334" t="str">
        <f aca="false">IF((E43="t"),G43," ")</f>
        <v> </v>
      </c>
      <c r="R43" s="334" t="str">
        <f aca="false">IF((E43="a"),G43," ")</f>
        <v> </v>
      </c>
      <c r="S43" s="334" t="str">
        <f aca="false">IF((E43="l"),G43," ")</f>
        <v> </v>
      </c>
      <c r="T43" s="334" t="str">
        <f aca="false">IF((E43="b"),G43," ")</f>
        <v> </v>
      </c>
      <c r="U43" s="334" t="str">
        <f aca="false">IF((E43="i"),G43," ")</f>
        <v> </v>
      </c>
      <c r="V43" s="334" t="str">
        <f aca="false">IF((E43="o"),G43," ")</f>
        <v> </v>
      </c>
      <c r="W43" s="334" t="str">
        <f aca="false">IF((E43="f"),G43," ")</f>
        <v> </v>
      </c>
    </row>
    <row r="44" customFormat="false" ht="12.75" hidden="false" customHeight="false" outlineLevel="0" collapsed="false">
      <c r="A44" s="355"/>
      <c r="H44" s="338" t="str">
        <f aca="false">IF((G44&lt;&gt;0),IF((D44&gt;0)," ",G44)," ")</f>
        <v> </v>
      </c>
      <c r="I44" s="367" t="str">
        <f aca="false">IF((G44&lt;&gt;0),IF((D44&gt;0)," ",(I$1-A44))," ")</f>
        <v> </v>
      </c>
      <c r="J44" s="334" t="str">
        <f aca="false">IF((E44="s"),G44," ")</f>
        <v> </v>
      </c>
      <c r="K44" s="334" t="str">
        <f aca="false">IF((E44="d"),G44," ")</f>
        <v> </v>
      </c>
      <c r="L44" s="334" t="str">
        <f aca="false">IF((E44="e"),G44," ")</f>
        <v> </v>
      </c>
      <c r="M44" s="334" t="str">
        <f aca="false">IF((E44="p"),G44," ")</f>
        <v> </v>
      </c>
      <c r="N44" s="334" t="str">
        <f aca="false">IF((E44="r"),G44," ")</f>
        <v> </v>
      </c>
      <c r="O44" s="334" t="str">
        <f aca="false">IF((E44="g"),G44," ")</f>
        <v> </v>
      </c>
      <c r="P44" s="334" t="str">
        <f aca="false">IF((E44="m"),G44," ")</f>
        <v> </v>
      </c>
      <c r="Q44" s="334" t="str">
        <f aca="false">IF((E44="t"),G44," ")</f>
        <v> </v>
      </c>
      <c r="R44" s="334" t="str">
        <f aca="false">IF((E44="a"),G44," ")</f>
        <v> </v>
      </c>
      <c r="S44" s="334" t="str">
        <f aca="false">IF((E44="l"),G44," ")</f>
        <v> </v>
      </c>
      <c r="T44" s="334" t="str">
        <f aca="false">IF((E44="b"),G44," ")</f>
        <v> </v>
      </c>
      <c r="U44" s="334" t="str">
        <f aca="false">IF((E44="i"),G44," ")</f>
        <v> </v>
      </c>
      <c r="V44" s="334" t="str">
        <f aca="false">IF((E44="o"),G44," ")</f>
        <v> </v>
      </c>
      <c r="W44" s="334" t="str">
        <f aca="false">IF((E44="f"),G44," ")</f>
        <v> </v>
      </c>
    </row>
    <row r="45" customFormat="false" ht="12.75" hidden="false" customHeight="false" outlineLevel="0" collapsed="false">
      <c r="A45" s="355"/>
      <c r="H45" s="338" t="str">
        <f aca="false">IF((G45&lt;&gt;0),IF((D45&gt;0)," ",G45)," ")</f>
        <v> </v>
      </c>
      <c r="I45" s="367" t="str">
        <f aca="false">IF((G45&lt;&gt;0),IF((D45&gt;0)," ",(I$1-A45))," ")</f>
        <v> </v>
      </c>
      <c r="J45" s="334" t="str">
        <f aca="false">IF((E45="s"),G45," ")</f>
        <v> </v>
      </c>
      <c r="K45" s="334" t="str">
        <f aca="false">IF((E45="d"),G45," ")</f>
        <v> </v>
      </c>
      <c r="L45" s="334" t="str">
        <f aca="false">IF((E45="e"),G45," ")</f>
        <v> </v>
      </c>
      <c r="M45" s="334" t="str">
        <f aca="false">IF((E45="p"),G45," ")</f>
        <v> </v>
      </c>
      <c r="N45" s="334" t="str">
        <f aca="false">IF((E45="r"),G45," ")</f>
        <v> </v>
      </c>
      <c r="O45" s="334" t="str">
        <f aca="false">IF((E45="g"),G45," ")</f>
        <v> </v>
      </c>
      <c r="P45" s="334" t="str">
        <f aca="false">IF((E45="m"),G45," ")</f>
        <v> </v>
      </c>
      <c r="Q45" s="334" t="str">
        <f aca="false">IF((E45="t"),G45," ")</f>
        <v> </v>
      </c>
      <c r="R45" s="334" t="str">
        <f aca="false">IF((E45="a"),G45," ")</f>
        <v> </v>
      </c>
      <c r="S45" s="334" t="str">
        <f aca="false">IF((E45="l"),G45," ")</f>
        <v> </v>
      </c>
      <c r="T45" s="334" t="str">
        <f aca="false">IF((E45="b"),G45," ")</f>
        <v> </v>
      </c>
      <c r="U45" s="334" t="str">
        <f aca="false">IF((E45="i"),G45," ")</f>
        <v> </v>
      </c>
      <c r="V45" s="334" t="str">
        <f aca="false">IF((E45="o"),G45," ")</f>
        <v> </v>
      </c>
      <c r="W45" s="334" t="str">
        <f aca="false">IF((E45="f"),G45," ")</f>
        <v> </v>
      </c>
    </row>
    <row r="46" customFormat="false" ht="12.75" hidden="false" customHeight="false" outlineLevel="0" collapsed="false">
      <c r="A46" s="355"/>
      <c r="H46" s="338" t="str">
        <f aca="false">IF((G46&lt;&gt;0),IF((D46&gt;0)," ",G46)," ")</f>
        <v> </v>
      </c>
      <c r="I46" s="367" t="str">
        <f aca="false">IF((G46&lt;&gt;0),IF((D46&gt;0)," ",(I$1-A46))," ")</f>
        <v> </v>
      </c>
      <c r="J46" s="334" t="str">
        <f aca="false">IF((E46="s"),G46," ")</f>
        <v> </v>
      </c>
      <c r="K46" s="334" t="str">
        <f aca="false">IF((E46="d"),G46," ")</f>
        <v> </v>
      </c>
      <c r="L46" s="334" t="str">
        <f aca="false">IF((E46="e"),G46," ")</f>
        <v> </v>
      </c>
      <c r="M46" s="334" t="str">
        <f aca="false">IF((E46="p"),G46," ")</f>
        <v> </v>
      </c>
      <c r="N46" s="334" t="str">
        <f aca="false">IF((E46="r"),G46," ")</f>
        <v> </v>
      </c>
      <c r="O46" s="334" t="str">
        <f aca="false">IF((E46="g"),G46," ")</f>
        <v> </v>
      </c>
      <c r="P46" s="334" t="str">
        <f aca="false">IF((E46="m"),G46," ")</f>
        <v> </v>
      </c>
      <c r="Q46" s="334" t="str">
        <f aca="false">IF((E46="t"),G46," ")</f>
        <v> </v>
      </c>
      <c r="R46" s="334" t="str">
        <f aca="false">IF((E46="a"),G46," ")</f>
        <v> </v>
      </c>
      <c r="S46" s="334" t="str">
        <f aca="false">IF((E46="l"),G46," ")</f>
        <v> </v>
      </c>
      <c r="T46" s="334" t="str">
        <f aca="false">IF((E46="b"),G46," ")</f>
        <v> </v>
      </c>
      <c r="U46" s="334" t="str">
        <f aca="false">IF((E46="i"),G46," ")</f>
        <v> </v>
      </c>
      <c r="V46" s="334" t="str">
        <f aca="false">IF((E46="o"),G46," ")</f>
        <v> </v>
      </c>
      <c r="W46" s="334" t="str">
        <f aca="false">IF((E46="f"),G46," ")</f>
        <v> </v>
      </c>
    </row>
    <row r="47" customFormat="false" ht="12.75" hidden="false" customHeight="false" outlineLevel="0" collapsed="false">
      <c r="A47" s="355"/>
      <c r="H47" s="338" t="str">
        <f aca="false">IF((G47&lt;&gt;0),IF((D47&gt;0)," ",G47)," ")</f>
        <v> </v>
      </c>
      <c r="I47" s="367" t="str">
        <f aca="false">IF((G47&lt;&gt;0),IF((D47&gt;0)," ",(I$1-A47))," ")</f>
        <v> </v>
      </c>
      <c r="J47" s="334" t="str">
        <f aca="false">IF((E47="s"),G47," ")</f>
        <v> </v>
      </c>
      <c r="K47" s="334" t="str">
        <f aca="false">IF((E47="d"),G47," ")</f>
        <v> </v>
      </c>
      <c r="L47" s="334" t="str">
        <f aca="false">IF((E47="e"),G47," ")</f>
        <v> </v>
      </c>
      <c r="M47" s="334" t="str">
        <f aca="false">IF((E47="p"),G47," ")</f>
        <v> </v>
      </c>
      <c r="N47" s="334" t="str">
        <f aca="false">IF((E47="r"),G47," ")</f>
        <v> </v>
      </c>
      <c r="O47" s="334" t="str">
        <f aca="false">IF((E47="g"),G47," ")</f>
        <v> </v>
      </c>
      <c r="P47" s="334" t="str">
        <f aca="false">IF((E47="m"),G47," ")</f>
        <v> </v>
      </c>
      <c r="Q47" s="334" t="str">
        <f aca="false">IF((E47="t"),G47," ")</f>
        <v> </v>
      </c>
      <c r="R47" s="334" t="str">
        <f aca="false">IF((E47="a"),G47," ")</f>
        <v> </v>
      </c>
      <c r="S47" s="334" t="str">
        <f aca="false">IF((E47="l"),G47," ")</f>
        <v> </v>
      </c>
      <c r="T47" s="334" t="str">
        <f aca="false">IF((E47="b"),G47," ")</f>
        <v> </v>
      </c>
      <c r="U47" s="334" t="str">
        <f aca="false">IF((E47="i"),G47," ")</f>
        <v> </v>
      </c>
      <c r="V47" s="334" t="str">
        <f aca="false">IF((E47="o"),G47," ")</f>
        <v> </v>
      </c>
      <c r="W47" s="334" t="str">
        <f aca="false">IF((E47="f"),G47," ")</f>
        <v> </v>
      </c>
    </row>
    <row r="48" customFormat="false" ht="12.75" hidden="false" customHeight="false" outlineLevel="0" collapsed="false">
      <c r="A48" s="355"/>
      <c r="H48" s="338" t="str">
        <f aca="false">IF((G48&lt;&gt;0),IF((D48&gt;0)," ",G48)," ")</f>
        <v> </v>
      </c>
      <c r="I48" s="367" t="str">
        <f aca="false">IF((G48&lt;&gt;0),IF((D48&gt;0)," ",(I$1-A48))," ")</f>
        <v> </v>
      </c>
      <c r="J48" s="334" t="str">
        <f aca="false">IF((E48="s"),G48," ")</f>
        <v> </v>
      </c>
      <c r="K48" s="334" t="str">
        <f aca="false">IF((E48="d"),G48," ")</f>
        <v> </v>
      </c>
      <c r="L48" s="334" t="str">
        <f aca="false">IF((E48="e"),G48," ")</f>
        <v> </v>
      </c>
      <c r="M48" s="334" t="str">
        <f aca="false">IF((E48="p"),G48," ")</f>
        <v> </v>
      </c>
      <c r="N48" s="334" t="str">
        <f aca="false">IF((E48="r"),G48," ")</f>
        <v> </v>
      </c>
      <c r="O48" s="334" t="str">
        <f aca="false">IF((E48="g"),G48," ")</f>
        <v> </v>
      </c>
      <c r="P48" s="334" t="str">
        <f aca="false">IF((E48="m"),G48," ")</f>
        <v> </v>
      </c>
      <c r="Q48" s="334" t="str">
        <f aca="false">IF((E48="t"),G48," ")</f>
        <v> </v>
      </c>
      <c r="R48" s="334" t="str">
        <f aca="false">IF((E48="a"),G48," ")</f>
        <v> </v>
      </c>
      <c r="S48" s="334" t="str">
        <f aca="false">IF((E48="l"),G48," ")</f>
        <v> </v>
      </c>
      <c r="T48" s="334" t="str">
        <f aca="false">IF((E48="b"),G48," ")</f>
        <v> </v>
      </c>
      <c r="U48" s="334" t="str">
        <f aca="false">IF((E48="i"),G48," ")</f>
        <v> </v>
      </c>
      <c r="V48" s="334" t="str">
        <f aca="false">IF((E48="o"),G48," ")</f>
        <v> </v>
      </c>
      <c r="W48" s="334" t="str">
        <f aca="false">IF((E48="f"),G48," ")</f>
        <v> </v>
      </c>
    </row>
    <row r="49" customFormat="false" ht="12.75" hidden="false" customHeight="false" outlineLevel="0" collapsed="false">
      <c r="A49" s="355"/>
      <c r="H49" s="338" t="str">
        <f aca="false">IF((G49&lt;&gt;0),IF((D49&gt;0)," ",G49)," ")</f>
        <v> </v>
      </c>
      <c r="I49" s="367" t="str">
        <f aca="false">IF((G49&lt;&gt;0),IF((D49&gt;0)," ",(I$1-A49))," ")</f>
        <v> </v>
      </c>
      <c r="J49" s="334" t="str">
        <f aca="false">IF((E49="s"),G49," ")</f>
        <v> </v>
      </c>
      <c r="K49" s="334" t="str">
        <f aca="false">IF((E49="d"),G49," ")</f>
        <v> </v>
      </c>
      <c r="L49" s="334" t="str">
        <f aca="false">IF((E49="e"),G49," ")</f>
        <v> </v>
      </c>
      <c r="M49" s="334" t="str">
        <f aca="false">IF((E49="p"),G49," ")</f>
        <v> </v>
      </c>
      <c r="N49" s="334" t="str">
        <f aca="false">IF((E49="r"),G49," ")</f>
        <v> </v>
      </c>
      <c r="O49" s="334" t="str">
        <f aca="false">IF((E49="g"),G49," ")</f>
        <v> </v>
      </c>
      <c r="P49" s="334" t="str">
        <f aca="false">IF((E49="m"),G49," ")</f>
        <v> </v>
      </c>
      <c r="Q49" s="334" t="str">
        <f aca="false">IF((E49="t"),G49," ")</f>
        <v> </v>
      </c>
      <c r="R49" s="334" t="str">
        <f aca="false">IF((E49="a"),G49," ")</f>
        <v> </v>
      </c>
      <c r="S49" s="334" t="str">
        <f aca="false">IF((E49="l"),G49," ")</f>
        <v> </v>
      </c>
      <c r="T49" s="334" t="str">
        <f aca="false">IF((E49="b"),G49," ")</f>
        <v> </v>
      </c>
      <c r="U49" s="334" t="str">
        <f aca="false">IF((E49="i"),G49," ")</f>
        <v> </v>
      </c>
      <c r="V49" s="334" t="str">
        <f aca="false">IF((E49="o"),G49," ")</f>
        <v> </v>
      </c>
      <c r="W49" s="334" t="str">
        <f aca="false">IF((E49="f"),G49," ")</f>
        <v> </v>
      </c>
    </row>
    <row r="50" customFormat="false" ht="12.75" hidden="false" customHeight="false" outlineLevel="0" collapsed="false">
      <c r="A50" s="355"/>
      <c r="H50" s="338" t="str">
        <f aca="false">IF((G50&lt;&gt;0),IF((D50&gt;0)," ",G50)," ")</f>
        <v> </v>
      </c>
      <c r="I50" s="367" t="str">
        <f aca="false">IF((G50&lt;&gt;0),IF((D50&gt;0)," ",(I$1-A50))," ")</f>
        <v> </v>
      </c>
      <c r="J50" s="334" t="str">
        <f aca="false">IF((E50="s"),G50," ")</f>
        <v> </v>
      </c>
      <c r="K50" s="334" t="str">
        <f aca="false">IF((E50="d"),G50," ")</f>
        <v> </v>
      </c>
      <c r="L50" s="334" t="str">
        <f aca="false">IF((E50="e"),G50," ")</f>
        <v> </v>
      </c>
      <c r="M50" s="334" t="str">
        <f aca="false">IF((E50="p"),G50," ")</f>
        <v> </v>
      </c>
      <c r="N50" s="334" t="str">
        <f aca="false">IF((E50="r"),G50," ")</f>
        <v> </v>
      </c>
      <c r="O50" s="334" t="str">
        <f aca="false">IF((E50="g"),G50," ")</f>
        <v> </v>
      </c>
      <c r="P50" s="334" t="str">
        <f aca="false">IF((E50="m"),G50," ")</f>
        <v> </v>
      </c>
      <c r="Q50" s="334" t="str">
        <f aca="false">IF((E50="t"),G50," ")</f>
        <v> </v>
      </c>
      <c r="R50" s="334" t="str">
        <f aca="false">IF((E50="a"),G50," ")</f>
        <v> </v>
      </c>
      <c r="S50" s="334" t="str">
        <f aca="false">IF((E50="l"),G50," ")</f>
        <v> </v>
      </c>
      <c r="T50" s="334" t="str">
        <f aca="false">IF((E50="b"),G50," ")</f>
        <v> </v>
      </c>
      <c r="U50" s="334" t="str">
        <f aca="false">IF((E50="i"),G50," ")</f>
        <v> </v>
      </c>
      <c r="V50" s="334" t="str">
        <f aca="false">IF((E50="o"),G50," ")</f>
        <v> </v>
      </c>
      <c r="W50" s="334" t="str">
        <f aca="false">IF((E50="f"),G50," ")</f>
        <v> </v>
      </c>
    </row>
    <row r="51" customFormat="false" ht="12.75" hidden="false" customHeight="false" outlineLevel="0" collapsed="false">
      <c r="A51" s="355"/>
      <c r="H51" s="338" t="str">
        <f aca="false">IF((G51&lt;&gt;0),IF((D51&gt;0)," ",G51)," ")</f>
        <v> </v>
      </c>
      <c r="I51" s="367" t="str">
        <f aca="false">IF((G51&lt;&gt;0),IF((D51&gt;0)," ",(I$1-A51))," ")</f>
        <v> </v>
      </c>
      <c r="J51" s="334" t="str">
        <f aca="false">IF((E51="s"),G51," ")</f>
        <v> </v>
      </c>
      <c r="K51" s="334" t="str">
        <f aca="false">IF((E51="d"),G51," ")</f>
        <v> </v>
      </c>
      <c r="L51" s="334" t="str">
        <f aca="false">IF((E51="e"),G51," ")</f>
        <v> </v>
      </c>
      <c r="M51" s="334" t="str">
        <f aca="false">IF((E51="p"),G51," ")</f>
        <v> </v>
      </c>
      <c r="N51" s="334" t="str">
        <f aca="false">IF((E51="r"),G51," ")</f>
        <v> </v>
      </c>
      <c r="O51" s="334" t="str">
        <f aca="false">IF((E51="g"),G51," ")</f>
        <v> </v>
      </c>
      <c r="P51" s="334" t="str">
        <f aca="false">IF((E51="m"),G51," ")</f>
        <v> </v>
      </c>
      <c r="Q51" s="334" t="str">
        <f aca="false">IF((E51="t"),G51," ")</f>
        <v> </v>
      </c>
      <c r="R51" s="334" t="str">
        <f aca="false">IF((E51="a"),G51," ")</f>
        <v> </v>
      </c>
      <c r="S51" s="334" t="str">
        <f aca="false">IF((E51="l"),G51," ")</f>
        <v> </v>
      </c>
      <c r="T51" s="334" t="str">
        <f aca="false">IF((E51="b"),G51," ")</f>
        <v> </v>
      </c>
      <c r="U51" s="334" t="str">
        <f aca="false">IF((E51="i"),G51," ")</f>
        <v> </v>
      </c>
      <c r="V51" s="334" t="str">
        <f aca="false">IF((E51="o"),G51," ")</f>
        <v> </v>
      </c>
      <c r="W51" s="334" t="str">
        <f aca="false">IF((E51="f"),G51," ")</f>
        <v> </v>
      </c>
    </row>
    <row r="52" customFormat="false" ht="12.75" hidden="false" customHeight="false" outlineLevel="0" collapsed="false">
      <c r="A52" s="355"/>
      <c r="H52" s="338" t="str">
        <f aca="false">IF((G52&lt;&gt;0),IF((D52&gt;0)," ",G52)," ")</f>
        <v> </v>
      </c>
      <c r="I52" s="367" t="str">
        <f aca="false">IF((G52&lt;&gt;0),IF((D52&gt;0)," ",(I$1-A52))," ")</f>
        <v> </v>
      </c>
      <c r="J52" s="334" t="str">
        <f aca="false">IF((E52="s"),G52," ")</f>
        <v> </v>
      </c>
      <c r="K52" s="334" t="str">
        <f aca="false">IF((E52="d"),G52," ")</f>
        <v> </v>
      </c>
      <c r="L52" s="334" t="str">
        <f aca="false">IF((E52="e"),G52," ")</f>
        <v> </v>
      </c>
      <c r="M52" s="334" t="str">
        <f aca="false">IF((E52="p"),G52," ")</f>
        <v> </v>
      </c>
      <c r="N52" s="334" t="str">
        <f aca="false">IF((E52="r"),G52," ")</f>
        <v> </v>
      </c>
      <c r="O52" s="334" t="str">
        <f aca="false">IF((E52="g"),G52," ")</f>
        <v> </v>
      </c>
      <c r="P52" s="334" t="str">
        <f aca="false">IF((E52="m"),G52," ")</f>
        <v> </v>
      </c>
      <c r="Q52" s="334" t="str">
        <f aca="false">IF((E52="t"),G52," ")</f>
        <v> </v>
      </c>
      <c r="R52" s="334" t="str">
        <f aca="false">IF((E52="a"),G52," ")</f>
        <v> </v>
      </c>
      <c r="S52" s="334" t="str">
        <f aca="false">IF((E52="l"),G52," ")</f>
        <v> </v>
      </c>
      <c r="T52" s="334" t="str">
        <f aca="false">IF((E52="b"),G52," ")</f>
        <v> </v>
      </c>
      <c r="U52" s="334" t="str">
        <f aca="false">IF((E52="i"),G52," ")</f>
        <v> </v>
      </c>
      <c r="V52" s="334" t="str">
        <f aca="false">IF((E52="o"),G52," ")</f>
        <v> </v>
      </c>
      <c r="W52" s="334" t="str">
        <f aca="false">IF((E52="f"),G52," ")</f>
        <v> </v>
      </c>
    </row>
    <row r="53" customFormat="false" ht="12.75" hidden="false" customHeight="false" outlineLevel="0" collapsed="false">
      <c r="A53" s="355"/>
      <c r="H53" s="338" t="str">
        <f aca="false">IF((G53&lt;&gt;0),IF((D53&gt;0)," ",G53)," ")</f>
        <v> </v>
      </c>
      <c r="I53" s="367" t="str">
        <f aca="false">IF((G53&lt;&gt;0),IF((D53&gt;0)," ",(I$1-A53))," ")</f>
        <v> </v>
      </c>
      <c r="J53" s="334" t="str">
        <f aca="false">IF((E53="s"),G53," ")</f>
        <v> </v>
      </c>
      <c r="K53" s="334" t="str">
        <f aca="false">IF((E53="d"),G53," ")</f>
        <v> </v>
      </c>
      <c r="L53" s="334" t="str">
        <f aca="false">IF((E53="e"),G53," ")</f>
        <v> </v>
      </c>
      <c r="M53" s="334" t="str">
        <f aca="false">IF((E53="p"),G53," ")</f>
        <v> </v>
      </c>
      <c r="N53" s="334" t="str">
        <f aca="false">IF((E53="r"),G53," ")</f>
        <v> </v>
      </c>
      <c r="O53" s="334" t="str">
        <f aca="false">IF((E53="g"),G53," ")</f>
        <v> </v>
      </c>
      <c r="P53" s="334" t="str">
        <f aca="false">IF((E53="m"),G53," ")</f>
        <v> </v>
      </c>
      <c r="Q53" s="334" t="str">
        <f aca="false">IF((E53="t"),G53," ")</f>
        <v> </v>
      </c>
      <c r="R53" s="334" t="str">
        <f aca="false">IF((E53="a"),G53," ")</f>
        <v> </v>
      </c>
      <c r="S53" s="334" t="str">
        <f aca="false">IF((E53="l"),G53," ")</f>
        <v> </v>
      </c>
      <c r="T53" s="334" t="str">
        <f aca="false">IF((E53="b"),G53," ")</f>
        <v> </v>
      </c>
      <c r="U53" s="334" t="str">
        <f aca="false">IF((E53="i"),G53," ")</f>
        <v> </v>
      </c>
      <c r="V53" s="334" t="str">
        <f aca="false">IF((E53="o"),G53," ")</f>
        <v> </v>
      </c>
      <c r="W53" s="334" t="str">
        <f aca="false">IF((E53="f"),G53," ")</f>
        <v> </v>
      </c>
    </row>
    <row r="54" customFormat="false" ht="12.75" hidden="false" customHeight="false" outlineLevel="0" collapsed="false">
      <c r="A54" s="355"/>
      <c r="H54" s="338" t="str">
        <f aca="false">IF((G54&lt;&gt;0),IF((D54&gt;0)," ",G54)," ")</f>
        <v> </v>
      </c>
      <c r="I54" s="367" t="str">
        <f aca="false">IF((G54&lt;&gt;0),IF((D54&gt;0)," ",(I$1-A54))," ")</f>
        <v> </v>
      </c>
      <c r="J54" s="334" t="str">
        <f aca="false">IF((E54="s"),G54," ")</f>
        <v> </v>
      </c>
      <c r="K54" s="334" t="str">
        <f aca="false">IF((E54="d"),G54," ")</f>
        <v> </v>
      </c>
      <c r="L54" s="334" t="str">
        <f aca="false">IF((E54="e"),G54," ")</f>
        <v> </v>
      </c>
      <c r="M54" s="334" t="str">
        <f aca="false">IF((E54="p"),G54," ")</f>
        <v> </v>
      </c>
      <c r="N54" s="334" t="str">
        <f aca="false">IF((E54="r"),G54," ")</f>
        <v> </v>
      </c>
      <c r="O54" s="334" t="str">
        <f aca="false">IF((E54="g"),G54," ")</f>
        <v> </v>
      </c>
      <c r="P54" s="334" t="str">
        <f aca="false">IF((E54="m"),G54," ")</f>
        <v> </v>
      </c>
      <c r="Q54" s="334" t="str">
        <f aca="false">IF((E54="t"),G54," ")</f>
        <v> </v>
      </c>
      <c r="R54" s="334" t="str">
        <f aca="false">IF((E54="a"),G54," ")</f>
        <v> </v>
      </c>
      <c r="S54" s="334" t="str">
        <f aca="false">IF((E54="l"),G54," ")</f>
        <v> </v>
      </c>
      <c r="T54" s="334" t="str">
        <f aca="false">IF((E54="b"),G54," ")</f>
        <v> </v>
      </c>
      <c r="U54" s="334" t="str">
        <f aca="false">IF((E54="i"),G54," ")</f>
        <v> </v>
      </c>
      <c r="V54" s="334" t="str">
        <f aca="false">IF((E54="o"),G54," ")</f>
        <v> </v>
      </c>
      <c r="W54" s="334" t="str">
        <f aca="false">IF((E54="f"),G54," ")</f>
        <v> </v>
      </c>
    </row>
    <row r="55" customFormat="false" ht="12.75" hidden="false" customHeight="false" outlineLevel="0" collapsed="false">
      <c r="A55" s="355"/>
      <c r="H55" s="338" t="str">
        <f aca="false">IF((G55&lt;&gt;0),IF((D55&gt;0)," ",G55)," ")</f>
        <v> </v>
      </c>
      <c r="I55" s="367" t="str">
        <f aca="false">IF((G55&lt;&gt;0),IF((D55&gt;0)," ",(I$1-A55))," ")</f>
        <v> </v>
      </c>
      <c r="J55" s="334" t="str">
        <f aca="false">IF((E55="s"),G55," ")</f>
        <v> </v>
      </c>
      <c r="K55" s="334" t="str">
        <f aca="false">IF((E55="d"),G55," ")</f>
        <v> </v>
      </c>
      <c r="L55" s="334" t="str">
        <f aca="false">IF((E55="e"),G55," ")</f>
        <v> </v>
      </c>
      <c r="M55" s="334" t="str">
        <f aca="false">IF((E55="p"),G55," ")</f>
        <v> </v>
      </c>
      <c r="N55" s="334" t="str">
        <f aca="false">IF((E55="r"),G55," ")</f>
        <v> </v>
      </c>
      <c r="O55" s="334" t="str">
        <f aca="false">IF((E55="g"),G55," ")</f>
        <v> </v>
      </c>
      <c r="P55" s="334" t="str">
        <f aca="false">IF((E55="m"),G55," ")</f>
        <v> </v>
      </c>
      <c r="Q55" s="334" t="str">
        <f aca="false">IF((E55="t"),G55," ")</f>
        <v> </v>
      </c>
      <c r="R55" s="334" t="str">
        <f aca="false">IF((E55="a"),G55," ")</f>
        <v> </v>
      </c>
      <c r="S55" s="334" t="str">
        <f aca="false">IF((E55="l"),G55," ")</f>
        <v> </v>
      </c>
      <c r="T55" s="334" t="str">
        <f aca="false">IF((E55="b"),G55," ")</f>
        <v> </v>
      </c>
      <c r="U55" s="334" t="str">
        <f aca="false">IF((E55="i"),G55," ")</f>
        <v> </v>
      </c>
      <c r="V55" s="334" t="str">
        <f aca="false">IF((E55="o"),G55," ")</f>
        <v> </v>
      </c>
      <c r="W55" s="334" t="str">
        <f aca="false">IF((E55="f"),G55," ")</f>
        <v> </v>
      </c>
    </row>
    <row r="56" customFormat="false" ht="12.75" hidden="false" customHeight="false" outlineLevel="0" collapsed="false">
      <c r="A56" s="355"/>
      <c r="H56" s="338" t="str">
        <f aca="false">IF((G56&lt;&gt;0),IF((D56&gt;0)," ",G56)," ")</f>
        <v> </v>
      </c>
      <c r="I56" s="367" t="str">
        <f aca="false">IF((G56&lt;&gt;0),IF((D56&gt;0)," ",(I$1-A56))," ")</f>
        <v> </v>
      </c>
      <c r="J56" s="334" t="str">
        <f aca="false">IF((E56="s"),G56," ")</f>
        <v> </v>
      </c>
      <c r="K56" s="334" t="str">
        <f aca="false">IF((E56="d"),G56," ")</f>
        <v> </v>
      </c>
      <c r="L56" s="334" t="str">
        <f aca="false">IF((E56="e"),G56," ")</f>
        <v> </v>
      </c>
      <c r="M56" s="334" t="str">
        <f aca="false">IF((E56="p"),G56," ")</f>
        <v> </v>
      </c>
      <c r="N56" s="334" t="str">
        <f aca="false">IF((E56="r"),G56," ")</f>
        <v> </v>
      </c>
      <c r="O56" s="334" t="str">
        <f aca="false">IF((E56="g"),G56," ")</f>
        <v> </v>
      </c>
      <c r="P56" s="334" t="str">
        <f aca="false">IF((E56="m"),G56," ")</f>
        <v> </v>
      </c>
      <c r="Q56" s="334" t="str">
        <f aca="false">IF((E56="t"),G56," ")</f>
        <v> </v>
      </c>
      <c r="R56" s="334" t="str">
        <f aca="false">IF((E56="a"),G56," ")</f>
        <v> </v>
      </c>
      <c r="S56" s="334" t="str">
        <f aca="false">IF((E56="l"),G56," ")</f>
        <v> </v>
      </c>
      <c r="T56" s="334" t="str">
        <f aca="false">IF((E56="b"),G56," ")</f>
        <v> </v>
      </c>
      <c r="U56" s="334" t="str">
        <f aca="false">IF((E56="i"),G56," ")</f>
        <v> </v>
      </c>
      <c r="V56" s="334" t="str">
        <f aca="false">IF((E56="o"),G56," ")</f>
        <v> </v>
      </c>
      <c r="W56" s="334" t="str">
        <f aca="false">IF((E56="f"),G56," ")</f>
        <v> </v>
      </c>
    </row>
    <row r="57" customFormat="false" ht="12.75" hidden="false" customHeight="false" outlineLevel="0" collapsed="false">
      <c r="A57" s="355"/>
      <c r="H57" s="338" t="str">
        <f aca="false">IF((G57&lt;&gt;0),IF((D57&gt;0)," ",G57)," ")</f>
        <v> </v>
      </c>
      <c r="I57" s="367" t="str">
        <f aca="false">IF((G57&lt;&gt;0),IF((D57&gt;0)," ",(I$1-A57))," ")</f>
        <v> </v>
      </c>
      <c r="J57" s="334" t="str">
        <f aca="false">IF((E57="s"),G57," ")</f>
        <v> </v>
      </c>
      <c r="K57" s="334" t="str">
        <f aca="false">IF((E57="d"),G57," ")</f>
        <v> </v>
      </c>
      <c r="L57" s="334" t="str">
        <f aca="false">IF((E57="e"),G57," ")</f>
        <v> </v>
      </c>
      <c r="M57" s="334" t="str">
        <f aca="false">IF((E57="p"),G57," ")</f>
        <v> </v>
      </c>
      <c r="N57" s="334" t="str">
        <f aca="false">IF((E57="r"),G57," ")</f>
        <v> </v>
      </c>
      <c r="O57" s="334" t="str">
        <f aca="false">IF((E57="g"),G57," ")</f>
        <v> </v>
      </c>
      <c r="P57" s="334" t="str">
        <f aca="false">IF((E57="m"),G57," ")</f>
        <v> </v>
      </c>
      <c r="Q57" s="334" t="str">
        <f aca="false">IF((E57="t"),G57," ")</f>
        <v> </v>
      </c>
      <c r="R57" s="334" t="str">
        <f aca="false">IF((E57="a"),G57," ")</f>
        <v> </v>
      </c>
      <c r="S57" s="334" t="str">
        <f aca="false">IF((E57="l"),G57," ")</f>
        <v> </v>
      </c>
      <c r="T57" s="334" t="str">
        <f aca="false">IF((E57="b"),G57," ")</f>
        <v> </v>
      </c>
      <c r="U57" s="334" t="str">
        <f aca="false">IF((E57="i"),G57," ")</f>
        <v> </v>
      </c>
      <c r="V57" s="334" t="str">
        <f aca="false">IF((E57="o"),G57," ")</f>
        <v> </v>
      </c>
      <c r="W57" s="334" t="str">
        <f aca="false">IF((E57="f"),G57," ")</f>
        <v> </v>
      </c>
    </row>
    <row r="58" customFormat="false" ht="12.75" hidden="false" customHeight="false" outlineLevel="0" collapsed="false">
      <c r="A58" s="355"/>
      <c r="H58" s="338" t="str">
        <f aca="false">IF((G58&lt;&gt;0),IF((D58&gt;0)," ",G58)," ")</f>
        <v> </v>
      </c>
      <c r="I58" s="367" t="str">
        <f aca="false">IF((G58&lt;&gt;0),IF((D58&gt;0)," ",(I$1-A58))," ")</f>
        <v> </v>
      </c>
      <c r="J58" s="334" t="str">
        <f aca="false">IF((E58="s"),G58," ")</f>
        <v> </v>
      </c>
      <c r="K58" s="334" t="str">
        <f aca="false">IF((E58="d"),G58," ")</f>
        <v> </v>
      </c>
      <c r="L58" s="334" t="str">
        <f aca="false">IF((E58="e"),G58," ")</f>
        <v> </v>
      </c>
      <c r="M58" s="334" t="str">
        <f aca="false">IF((E58="p"),G58," ")</f>
        <v> </v>
      </c>
      <c r="N58" s="334" t="str">
        <f aca="false">IF((E58="r"),G58," ")</f>
        <v> </v>
      </c>
      <c r="O58" s="334" t="str">
        <f aca="false">IF((E58="g"),G58," ")</f>
        <v> </v>
      </c>
      <c r="P58" s="334" t="str">
        <f aca="false">IF((E58="m"),G58," ")</f>
        <v> </v>
      </c>
      <c r="Q58" s="334" t="str">
        <f aca="false">IF((E58="t"),G58," ")</f>
        <v> </v>
      </c>
      <c r="R58" s="334" t="str">
        <f aca="false">IF((E58="a"),G58," ")</f>
        <v> </v>
      </c>
      <c r="S58" s="334" t="str">
        <f aca="false">IF((E58="l"),G58," ")</f>
        <v> </v>
      </c>
      <c r="T58" s="334" t="str">
        <f aca="false">IF((E58="b"),G58," ")</f>
        <v> </v>
      </c>
      <c r="U58" s="334" t="str">
        <f aca="false">IF((E58="i"),G58," ")</f>
        <v> </v>
      </c>
      <c r="V58" s="334" t="str">
        <f aca="false">IF((E58="o"),G58," ")</f>
        <v> </v>
      </c>
      <c r="W58" s="334" t="str">
        <f aca="false">IF((E58="f"),G58," ")</f>
        <v> </v>
      </c>
    </row>
    <row r="59" customFormat="false" ht="12.75" hidden="false" customHeight="false" outlineLevel="0" collapsed="false">
      <c r="A59" s="355"/>
      <c r="H59" s="338" t="str">
        <f aca="false">IF((G59&lt;&gt;0),IF((D59&gt;0)," ",G59)," ")</f>
        <v> </v>
      </c>
      <c r="I59" s="367" t="str">
        <f aca="false">IF((G59&lt;&gt;0),IF((D59&gt;0)," ",(I$1-A59))," ")</f>
        <v> </v>
      </c>
      <c r="J59" s="334" t="str">
        <f aca="false">IF((E59="s"),G59," ")</f>
        <v> </v>
      </c>
      <c r="K59" s="334" t="str">
        <f aca="false">IF((E59="d"),G59," ")</f>
        <v> </v>
      </c>
      <c r="L59" s="334" t="str">
        <f aca="false">IF((E59="e"),G59," ")</f>
        <v> </v>
      </c>
      <c r="M59" s="334" t="str">
        <f aca="false">IF((E59="p"),G59," ")</f>
        <v> </v>
      </c>
      <c r="N59" s="334" t="str">
        <f aca="false">IF((E59="r"),G59," ")</f>
        <v> </v>
      </c>
      <c r="O59" s="334" t="str">
        <f aca="false">IF((E59="g"),G59," ")</f>
        <v> </v>
      </c>
      <c r="P59" s="334" t="str">
        <f aca="false">IF((E59="m"),G59," ")</f>
        <v> </v>
      </c>
      <c r="Q59" s="334" t="str">
        <f aca="false">IF((E59="t"),G59," ")</f>
        <v> </v>
      </c>
      <c r="R59" s="334" t="str">
        <f aca="false">IF((E59="a"),G59," ")</f>
        <v> </v>
      </c>
      <c r="S59" s="334" t="str">
        <f aca="false">IF((E59="l"),G59," ")</f>
        <v> </v>
      </c>
      <c r="T59" s="334" t="str">
        <f aca="false">IF((E59="b"),G59," ")</f>
        <v> </v>
      </c>
      <c r="U59" s="334" t="str">
        <f aca="false">IF((E59="i"),G59," ")</f>
        <v> </v>
      </c>
      <c r="V59" s="334" t="str">
        <f aca="false">IF((E59="o"),G59," ")</f>
        <v> </v>
      </c>
      <c r="W59" s="334" t="str">
        <f aca="false">IF((E59="f"),G59," ")</f>
        <v> </v>
      </c>
    </row>
    <row r="60" customFormat="false" ht="12.75" hidden="false" customHeight="false" outlineLevel="0" collapsed="false">
      <c r="A60" s="355"/>
      <c r="H60" s="338" t="str">
        <f aca="false">IF((G60&lt;&gt;0),IF((D60&gt;0)," ",G60)," ")</f>
        <v> </v>
      </c>
      <c r="I60" s="367" t="str">
        <f aca="false">IF((G60&lt;&gt;0),IF((D60&gt;0)," ",(I$1-A60))," ")</f>
        <v> </v>
      </c>
      <c r="J60" s="334" t="str">
        <f aca="false">IF((E60="s"),G60," ")</f>
        <v> </v>
      </c>
      <c r="K60" s="334" t="str">
        <f aca="false">IF((E60="d"),G60," ")</f>
        <v> </v>
      </c>
      <c r="L60" s="334" t="str">
        <f aca="false">IF((E60="e"),G60," ")</f>
        <v> </v>
      </c>
      <c r="M60" s="334" t="str">
        <f aca="false">IF((E60="p"),G60," ")</f>
        <v> </v>
      </c>
      <c r="N60" s="334" t="str">
        <f aca="false">IF((E60="r"),G60," ")</f>
        <v> </v>
      </c>
      <c r="O60" s="334" t="str">
        <f aca="false">IF((E60="g"),G60," ")</f>
        <v> </v>
      </c>
      <c r="P60" s="334" t="str">
        <f aca="false">IF((E60="m"),G60," ")</f>
        <v> </v>
      </c>
      <c r="Q60" s="334" t="str">
        <f aca="false">IF((E60="t"),G60," ")</f>
        <v> </v>
      </c>
      <c r="R60" s="334" t="str">
        <f aca="false">IF((E60="a"),G60," ")</f>
        <v> </v>
      </c>
      <c r="S60" s="334" t="str">
        <f aca="false">IF((E60="l"),G60," ")</f>
        <v> </v>
      </c>
      <c r="T60" s="334" t="str">
        <f aca="false">IF((E60="b"),G60," ")</f>
        <v> </v>
      </c>
      <c r="U60" s="334" t="str">
        <f aca="false">IF((E60="i"),G60," ")</f>
        <v> </v>
      </c>
      <c r="V60" s="334" t="str">
        <f aca="false">IF((E60="o"),G60," ")</f>
        <v> </v>
      </c>
      <c r="W60" s="334" t="str">
        <f aca="false">IF((E60="f"),G60," ")</f>
        <v> </v>
      </c>
    </row>
    <row r="61" customFormat="false" ht="12.75" hidden="false" customHeight="false" outlineLevel="0" collapsed="false">
      <c r="A61" s="355"/>
      <c r="H61" s="338" t="str">
        <f aca="false">IF((G61&lt;&gt;0),IF((D61&gt;0)," ",G61)," ")</f>
        <v> </v>
      </c>
      <c r="I61" s="367" t="str">
        <f aca="false">IF((G61&lt;&gt;0),IF((D61&gt;0)," ",(I$1-A61))," ")</f>
        <v> </v>
      </c>
      <c r="J61" s="334" t="str">
        <f aca="false">IF((E61="s"),G61," ")</f>
        <v> </v>
      </c>
      <c r="K61" s="334" t="str">
        <f aca="false">IF((E61="d"),G61," ")</f>
        <v> </v>
      </c>
      <c r="L61" s="334" t="str">
        <f aca="false">IF((E61="e"),G61," ")</f>
        <v> </v>
      </c>
      <c r="M61" s="334" t="str">
        <f aca="false">IF((E61="p"),G61," ")</f>
        <v> </v>
      </c>
      <c r="N61" s="334" t="str">
        <f aca="false">IF((E61="r"),G61," ")</f>
        <v> </v>
      </c>
      <c r="O61" s="334" t="str">
        <f aca="false">IF((E61="g"),G61," ")</f>
        <v> </v>
      </c>
      <c r="P61" s="334" t="str">
        <f aca="false">IF((E61="m"),G61," ")</f>
        <v> </v>
      </c>
      <c r="Q61" s="334" t="str">
        <f aca="false">IF((E61="t"),G61," ")</f>
        <v> </v>
      </c>
      <c r="R61" s="334" t="str">
        <f aca="false">IF((E61="a"),G61," ")</f>
        <v> </v>
      </c>
      <c r="S61" s="334" t="str">
        <f aca="false">IF((E61="l"),G61," ")</f>
        <v> </v>
      </c>
      <c r="T61" s="334" t="str">
        <f aca="false">IF((E61="b"),G61," ")</f>
        <v> </v>
      </c>
      <c r="U61" s="334" t="str">
        <f aca="false">IF((E61="i"),G61," ")</f>
        <v> </v>
      </c>
      <c r="V61" s="334" t="str">
        <f aca="false">IF((E61="o"),G61," ")</f>
        <v> </v>
      </c>
      <c r="W61" s="334" t="str">
        <f aca="false">IF((E61="f"),G61," ")</f>
        <v> </v>
      </c>
    </row>
    <row r="62" customFormat="false" ht="12.75" hidden="false" customHeight="false" outlineLevel="0" collapsed="false">
      <c r="A62" s="355"/>
      <c r="H62" s="338" t="str">
        <f aca="false">IF((G62&lt;&gt;0),IF((D62&gt;0)," ",G62)," ")</f>
        <v> </v>
      </c>
      <c r="I62" s="367" t="str">
        <f aca="false">IF((G62&lt;&gt;0),IF((D62&gt;0)," ",(I$1-A62))," ")</f>
        <v> </v>
      </c>
      <c r="J62" s="334" t="str">
        <f aca="false">IF((E62="s"),G62," ")</f>
        <v> </v>
      </c>
      <c r="K62" s="334" t="str">
        <f aca="false">IF((E62="d"),G62," ")</f>
        <v> </v>
      </c>
      <c r="L62" s="334" t="str">
        <f aca="false">IF((E62="e"),G62," ")</f>
        <v> </v>
      </c>
      <c r="M62" s="334" t="str">
        <f aca="false">IF((E62="p"),G62," ")</f>
        <v> </v>
      </c>
      <c r="N62" s="334" t="str">
        <f aca="false">IF((E62="r"),G62," ")</f>
        <v> </v>
      </c>
      <c r="O62" s="334" t="str">
        <f aca="false">IF((E62="g"),G62," ")</f>
        <v> </v>
      </c>
      <c r="P62" s="334" t="str">
        <f aca="false">IF((E62="m"),G62," ")</f>
        <v> </v>
      </c>
      <c r="Q62" s="334" t="str">
        <f aca="false">IF((E62="t"),G62," ")</f>
        <v> </v>
      </c>
      <c r="R62" s="334" t="str">
        <f aca="false">IF((E62="a"),G62," ")</f>
        <v> </v>
      </c>
      <c r="S62" s="334" t="str">
        <f aca="false">IF((E62="l"),G62," ")</f>
        <v> </v>
      </c>
      <c r="T62" s="334" t="str">
        <f aca="false">IF((E62="b"),G62," ")</f>
        <v> </v>
      </c>
      <c r="U62" s="334" t="str">
        <f aca="false">IF((E62="i"),G62," ")</f>
        <v> </v>
      </c>
      <c r="V62" s="334" t="str">
        <f aca="false">IF((E62="o"),G62," ")</f>
        <v> </v>
      </c>
      <c r="W62" s="334" t="str">
        <f aca="false">IF((E62="f"),G62," ")</f>
        <v> </v>
      </c>
    </row>
    <row r="63" customFormat="false" ht="12.75" hidden="false" customHeight="false" outlineLevel="0" collapsed="false">
      <c r="A63" s="355"/>
      <c r="H63" s="338" t="str">
        <f aca="false">IF((G63&lt;&gt;0),IF((D63&gt;0)," ",G63)," ")</f>
        <v> </v>
      </c>
      <c r="I63" s="367" t="str">
        <f aca="false">IF((G63&lt;&gt;0),IF((D63&gt;0)," ",(I$1-A63))," ")</f>
        <v> </v>
      </c>
      <c r="J63" s="334" t="str">
        <f aca="false">IF((E63="s"),G63," ")</f>
        <v> </v>
      </c>
      <c r="K63" s="334" t="str">
        <f aca="false">IF((E63="d"),G63," ")</f>
        <v> </v>
      </c>
      <c r="L63" s="334" t="str">
        <f aca="false">IF((E63="e"),G63," ")</f>
        <v> </v>
      </c>
      <c r="M63" s="334" t="str">
        <f aca="false">IF((E63="p"),G63," ")</f>
        <v> </v>
      </c>
      <c r="N63" s="334" t="str">
        <f aca="false">IF((E63="r"),G63," ")</f>
        <v> </v>
      </c>
      <c r="O63" s="334" t="str">
        <f aca="false">IF((E63="g"),G63," ")</f>
        <v> </v>
      </c>
      <c r="P63" s="334" t="str">
        <f aca="false">IF((E63="m"),G63," ")</f>
        <v> </v>
      </c>
      <c r="Q63" s="334" t="str">
        <f aca="false">IF((E63="t"),G63," ")</f>
        <v> </v>
      </c>
      <c r="R63" s="334" t="str">
        <f aca="false">IF((E63="a"),G63," ")</f>
        <v> </v>
      </c>
      <c r="S63" s="334" t="str">
        <f aca="false">IF((E63="l"),G63," ")</f>
        <v> </v>
      </c>
      <c r="T63" s="334" t="str">
        <f aca="false">IF((E63="b"),G63," ")</f>
        <v> </v>
      </c>
      <c r="U63" s="334" t="str">
        <f aca="false">IF((E63="i"),G63," ")</f>
        <v> </v>
      </c>
      <c r="V63" s="334" t="str">
        <f aca="false">IF((E63="o"),G63," ")</f>
        <v> </v>
      </c>
      <c r="W63" s="334" t="str">
        <f aca="false">IF((E63="f"),G63," ")</f>
        <v> </v>
      </c>
    </row>
    <row r="64" customFormat="false" ht="12.75" hidden="false" customHeight="false" outlineLevel="0" collapsed="false">
      <c r="A64" s="355"/>
      <c r="H64" s="338" t="str">
        <f aca="false">IF((G64&lt;&gt;0),IF((D64&gt;0)," ",G64)," ")</f>
        <v> </v>
      </c>
      <c r="I64" s="367" t="str">
        <f aca="false">IF((G64&lt;&gt;0),IF((D64&gt;0)," ",(I$1-A64))," ")</f>
        <v> </v>
      </c>
      <c r="J64" s="334" t="str">
        <f aca="false">IF((E64="s"),G64," ")</f>
        <v> </v>
      </c>
      <c r="K64" s="334" t="str">
        <f aca="false">IF((E64="d"),G64," ")</f>
        <v> </v>
      </c>
      <c r="L64" s="334" t="str">
        <f aca="false">IF((E64="e"),G64," ")</f>
        <v> </v>
      </c>
      <c r="M64" s="334" t="str">
        <f aca="false">IF((E64="p"),G64," ")</f>
        <v> </v>
      </c>
      <c r="N64" s="334" t="str">
        <f aca="false">IF((E64="r"),G64," ")</f>
        <v> </v>
      </c>
      <c r="O64" s="334" t="str">
        <f aca="false">IF((E64="g"),G64," ")</f>
        <v> </v>
      </c>
      <c r="P64" s="334" t="str">
        <f aca="false">IF((E64="m"),G64," ")</f>
        <v> </v>
      </c>
      <c r="Q64" s="334" t="str">
        <f aca="false">IF((E64="t"),G64," ")</f>
        <v> </v>
      </c>
      <c r="R64" s="334" t="str">
        <f aca="false">IF((E64="a"),G64," ")</f>
        <v> </v>
      </c>
      <c r="S64" s="334" t="str">
        <f aca="false">IF((E64="l"),G64," ")</f>
        <v> </v>
      </c>
      <c r="T64" s="334" t="str">
        <f aca="false">IF((E64="b"),G64," ")</f>
        <v> </v>
      </c>
      <c r="U64" s="334" t="str">
        <f aca="false">IF((E64="i"),G64," ")</f>
        <v> </v>
      </c>
      <c r="V64" s="334" t="str">
        <f aca="false">IF((E64="o"),G64," ")</f>
        <v> </v>
      </c>
      <c r="W64" s="334" t="str">
        <f aca="false">IF((E64="f"),G64," ")</f>
        <v> </v>
      </c>
    </row>
    <row r="65" customFormat="false" ht="12.75" hidden="false" customHeight="false" outlineLevel="0" collapsed="false">
      <c r="A65" s="355"/>
      <c r="H65" s="338" t="str">
        <f aca="false">IF((G65&lt;&gt;0),IF((D65&gt;0)," ",G65)," ")</f>
        <v> </v>
      </c>
      <c r="I65" s="367" t="str">
        <f aca="false">IF((G65&lt;&gt;0),IF((D65&gt;0)," ",(I$1-A65))," ")</f>
        <v> </v>
      </c>
      <c r="J65" s="334" t="str">
        <f aca="false">IF((E65="s"),G65," ")</f>
        <v> </v>
      </c>
      <c r="K65" s="334" t="str">
        <f aca="false">IF((E65="d"),G65," ")</f>
        <v> </v>
      </c>
      <c r="L65" s="334" t="str">
        <f aca="false">IF((E65="e"),G65," ")</f>
        <v> </v>
      </c>
      <c r="M65" s="334" t="str">
        <f aca="false">IF((E65="p"),G65," ")</f>
        <v> </v>
      </c>
      <c r="N65" s="334" t="str">
        <f aca="false">IF((E65="r"),G65," ")</f>
        <v> </v>
      </c>
      <c r="O65" s="334" t="str">
        <f aca="false">IF((E65="g"),G65," ")</f>
        <v> </v>
      </c>
      <c r="P65" s="334" t="str">
        <f aca="false">IF((E65="m"),G65," ")</f>
        <v> </v>
      </c>
      <c r="Q65" s="334" t="str">
        <f aca="false">IF((E65="t"),G65," ")</f>
        <v> </v>
      </c>
      <c r="R65" s="334" t="str">
        <f aca="false">IF((E65="a"),G65," ")</f>
        <v> </v>
      </c>
      <c r="S65" s="334" t="str">
        <f aca="false">IF((E65="l"),G65," ")</f>
        <v> </v>
      </c>
      <c r="T65" s="334" t="str">
        <f aca="false">IF((E65="b"),G65," ")</f>
        <v> </v>
      </c>
      <c r="U65" s="334" t="str">
        <f aca="false">IF((E65="i"),G65," ")</f>
        <v> </v>
      </c>
      <c r="V65" s="334" t="str">
        <f aca="false">IF((E65="o"),G65," ")</f>
        <v> </v>
      </c>
      <c r="W65" s="334" t="str">
        <f aca="false">IF((E65="f"),G65," ")</f>
        <v> </v>
      </c>
    </row>
    <row r="66" customFormat="false" ht="12.75" hidden="false" customHeight="false" outlineLevel="0" collapsed="false">
      <c r="A66" s="355"/>
      <c r="H66" s="338" t="str">
        <f aca="false">IF((G66&lt;&gt;0),IF((D66&gt;0)," ",G66)," ")</f>
        <v> </v>
      </c>
      <c r="I66" s="367" t="str">
        <f aca="false">IF((G66&lt;&gt;0),IF((D66&gt;0)," ",(I$1-A66))," ")</f>
        <v> </v>
      </c>
      <c r="J66" s="334" t="str">
        <f aca="false">IF((E66="s"),G66," ")</f>
        <v> </v>
      </c>
      <c r="K66" s="334" t="str">
        <f aca="false">IF((E66="d"),G66," ")</f>
        <v> </v>
      </c>
      <c r="L66" s="334" t="str">
        <f aca="false">IF((E66="e"),G66," ")</f>
        <v> </v>
      </c>
      <c r="M66" s="334" t="str">
        <f aca="false">IF((E66="p"),G66," ")</f>
        <v> </v>
      </c>
      <c r="N66" s="334" t="str">
        <f aca="false">IF((E66="r"),G66," ")</f>
        <v> </v>
      </c>
      <c r="O66" s="334" t="str">
        <f aca="false">IF((E66="g"),G66," ")</f>
        <v> </v>
      </c>
      <c r="P66" s="334" t="str">
        <f aca="false">IF((E66="m"),G66," ")</f>
        <v> </v>
      </c>
      <c r="Q66" s="334" t="str">
        <f aca="false">IF((E66="t"),G66," ")</f>
        <v> </v>
      </c>
      <c r="R66" s="334" t="str">
        <f aca="false">IF((E66="a"),G66," ")</f>
        <v> </v>
      </c>
      <c r="S66" s="334" t="str">
        <f aca="false">IF((E66="l"),G66," ")</f>
        <v> </v>
      </c>
      <c r="T66" s="334" t="str">
        <f aca="false">IF((E66="b"),G66," ")</f>
        <v> </v>
      </c>
      <c r="U66" s="334" t="str">
        <f aca="false">IF((E66="i"),G66," ")</f>
        <v> </v>
      </c>
      <c r="V66" s="334" t="str">
        <f aca="false">IF((E66="o"),G66," ")</f>
        <v> </v>
      </c>
      <c r="W66" s="334" t="str">
        <f aca="false">IF((E66="f"),G66," ")</f>
        <v> </v>
      </c>
    </row>
    <row r="67" customFormat="false" ht="12.75" hidden="false" customHeight="false" outlineLevel="0" collapsed="false">
      <c r="A67" s="355"/>
      <c r="H67" s="338" t="str">
        <f aca="false">IF((G67&lt;&gt;0),IF((D67&gt;0)," ",G67)," ")</f>
        <v> </v>
      </c>
      <c r="I67" s="367" t="str">
        <f aca="false">IF((G67&lt;&gt;0),IF((D67&gt;0)," ",(I$1-A67))," ")</f>
        <v> </v>
      </c>
      <c r="J67" s="334" t="str">
        <f aca="false">IF((E67="s"),G67," ")</f>
        <v> </v>
      </c>
      <c r="K67" s="334" t="str">
        <f aca="false">IF((E67="d"),G67," ")</f>
        <v> </v>
      </c>
      <c r="L67" s="334" t="str">
        <f aca="false">IF((E67="e"),G67," ")</f>
        <v> </v>
      </c>
      <c r="M67" s="334" t="str">
        <f aca="false">IF((E67="p"),G67," ")</f>
        <v> </v>
      </c>
      <c r="N67" s="334" t="str">
        <f aca="false">IF((E67="r"),G67," ")</f>
        <v> </v>
      </c>
      <c r="O67" s="334" t="str">
        <f aca="false">IF((E67="g"),G67," ")</f>
        <v> </v>
      </c>
      <c r="P67" s="334" t="str">
        <f aca="false">IF((E67="m"),G67," ")</f>
        <v> </v>
      </c>
      <c r="Q67" s="334" t="str">
        <f aca="false">IF((E67="t"),G67," ")</f>
        <v> </v>
      </c>
      <c r="R67" s="334" t="str">
        <f aca="false">IF((E67="a"),G67," ")</f>
        <v> </v>
      </c>
      <c r="S67" s="334" t="str">
        <f aca="false">IF((E67="l"),G67," ")</f>
        <v> </v>
      </c>
      <c r="T67" s="334" t="str">
        <f aca="false">IF((E67="b"),G67," ")</f>
        <v> </v>
      </c>
      <c r="U67" s="334" t="str">
        <f aca="false">IF((E67="i"),G67," ")</f>
        <v> </v>
      </c>
      <c r="V67" s="334" t="str">
        <f aca="false">IF((E67="o"),G67," ")</f>
        <v> </v>
      </c>
      <c r="W67" s="334" t="str">
        <f aca="false">IF((E67="f"),G67," ")</f>
        <v> </v>
      </c>
    </row>
    <row r="68" customFormat="false" ht="12.75" hidden="false" customHeight="false" outlineLevel="0" collapsed="false">
      <c r="A68" s="355"/>
      <c r="H68" s="338" t="str">
        <f aca="false">IF((G68&lt;&gt;0),IF((D68&gt;0)," ",G68)," ")</f>
        <v> </v>
      </c>
      <c r="I68" s="367" t="str">
        <f aca="false">IF((G68&lt;&gt;0),IF((D68&gt;0)," ",(I$1-A68))," ")</f>
        <v> </v>
      </c>
      <c r="J68" s="334" t="str">
        <f aca="false">IF((E68="s"),G68," ")</f>
        <v> </v>
      </c>
      <c r="K68" s="334" t="str">
        <f aca="false">IF((E68="d"),G68," ")</f>
        <v> </v>
      </c>
      <c r="L68" s="334" t="str">
        <f aca="false">IF((E68="e"),G68," ")</f>
        <v> </v>
      </c>
      <c r="M68" s="334" t="str">
        <f aca="false">IF((E68="p"),G68," ")</f>
        <v> </v>
      </c>
      <c r="N68" s="334" t="str">
        <f aca="false">IF((E68="r"),G68," ")</f>
        <v> </v>
      </c>
      <c r="O68" s="334" t="str">
        <f aca="false">IF((E68="g"),G68," ")</f>
        <v> </v>
      </c>
      <c r="P68" s="334" t="str">
        <f aca="false">IF((E68="m"),G68," ")</f>
        <v> </v>
      </c>
      <c r="Q68" s="334" t="str">
        <f aca="false">IF((E68="t"),G68," ")</f>
        <v> </v>
      </c>
      <c r="R68" s="334" t="str">
        <f aca="false">IF((E68="a"),G68," ")</f>
        <v> </v>
      </c>
      <c r="S68" s="334" t="str">
        <f aca="false">IF((E68="l"),G68," ")</f>
        <v> </v>
      </c>
      <c r="T68" s="334" t="str">
        <f aca="false">IF((E68="b"),G68," ")</f>
        <v> </v>
      </c>
      <c r="U68" s="334" t="str">
        <f aca="false">IF((E68="i"),G68," ")</f>
        <v> </v>
      </c>
      <c r="V68" s="334" t="str">
        <f aca="false">IF((E68="o"),G68," ")</f>
        <v> </v>
      </c>
      <c r="W68" s="334" t="str">
        <f aca="false">IF((E68="f"),G68," ")</f>
        <v> </v>
      </c>
    </row>
    <row r="69" customFormat="false" ht="12.75" hidden="false" customHeight="false" outlineLevel="0" collapsed="false">
      <c r="A69" s="355"/>
      <c r="E69" s="365" t="str">
        <f aca="false">IF((G69&lt;&gt;0),"Enter Letter"," ")</f>
        <v> </v>
      </c>
      <c r="H69" s="338" t="str">
        <f aca="false">IF((G69&lt;&gt;0),IF((D69&gt;0)," ",G69)," ")</f>
        <v> </v>
      </c>
      <c r="I69" s="367" t="str">
        <f aca="false">IF((G69&lt;&gt;0),IF((D69&gt;0)," ",(I$1-A69))," ")</f>
        <v> </v>
      </c>
      <c r="J69" s="334" t="str">
        <f aca="false">IF((E69="s"),G69," ")</f>
        <v> </v>
      </c>
      <c r="K69" s="334" t="str">
        <f aca="false">IF((E69="d"),G69," ")</f>
        <v> </v>
      </c>
      <c r="L69" s="334" t="str">
        <f aca="false">IF((E69="e"),G69," ")</f>
        <v> </v>
      </c>
      <c r="M69" s="334" t="str">
        <f aca="false">IF((E69="p"),G69," ")</f>
        <v> </v>
      </c>
      <c r="N69" s="334" t="str">
        <f aca="false">IF((E69="r"),G69," ")</f>
        <v> </v>
      </c>
      <c r="O69" s="334" t="str">
        <f aca="false">IF((E69="g"),G69," ")</f>
        <v> </v>
      </c>
      <c r="P69" s="334" t="str">
        <f aca="false">IF((E69="m"),G69," ")</f>
        <v> </v>
      </c>
      <c r="Q69" s="334" t="str">
        <f aca="false">IF((E69="t"),G69," ")</f>
        <v> </v>
      </c>
      <c r="R69" s="334" t="str">
        <f aca="false">IF((E69="a"),G69," ")</f>
        <v> </v>
      </c>
      <c r="S69" s="334" t="str">
        <f aca="false">IF((E69="l"),G69," ")</f>
        <v> </v>
      </c>
      <c r="T69" s="334" t="str">
        <f aca="false">IF((E69="b"),G69," ")</f>
        <v> </v>
      </c>
      <c r="U69" s="334" t="str">
        <f aca="false">IF((E69="i"),G69," ")</f>
        <v> </v>
      </c>
      <c r="V69" s="334" t="str">
        <f aca="false">IF((E69="o"),G69," ")</f>
        <v> </v>
      </c>
      <c r="W69" s="334" t="str">
        <f aca="false">IF((E69="f"),G69," ")</f>
        <v> </v>
      </c>
    </row>
    <row r="70" customFormat="false" ht="12.75" hidden="false" customHeight="false" outlineLevel="0" collapsed="false">
      <c r="A70" s="355"/>
      <c r="E70" s="365" t="str">
        <f aca="false">IF((G70&lt;&gt;0),"Enter Letter"," ")</f>
        <v> </v>
      </c>
      <c r="H70" s="338" t="str">
        <f aca="false">IF((G70&lt;&gt;0),IF((D70&gt;0)," ",G70)," ")</f>
        <v> </v>
      </c>
      <c r="I70" s="367" t="str">
        <f aca="false">IF((G70&lt;&gt;0),IF((D70&gt;0)," ",(I$1-A70))," ")</f>
        <v> </v>
      </c>
      <c r="J70" s="334" t="str">
        <f aca="false">IF((E70="s"),G70," ")</f>
        <v> </v>
      </c>
      <c r="K70" s="334" t="str">
        <f aca="false">IF((E70="d"),G70," ")</f>
        <v> </v>
      </c>
      <c r="L70" s="334" t="str">
        <f aca="false">IF((E70="e"),G70," ")</f>
        <v> </v>
      </c>
      <c r="M70" s="334" t="str">
        <f aca="false">IF((E70="p"),G70," ")</f>
        <v> </v>
      </c>
      <c r="N70" s="334" t="str">
        <f aca="false">IF((E70="r"),G70," ")</f>
        <v> </v>
      </c>
      <c r="O70" s="334" t="str">
        <f aca="false">IF((E70="g"),G70," ")</f>
        <v> </v>
      </c>
      <c r="P70" s="334" t="str">
        <f aca="false">IF((E70="m"),G70," ")</f>
        <v> </v>
      </c>
      <c r="Q70" s="334" t="str">
        <f aca="false">IF((E70="t"),G70," ")</f>
        <v> </v>
      </c>
      <c r="R70" s="334" t="str">
        <f aca="false">IF((E70="a"),G70," ")</f>
        <v> </v>
      </c>
      <c r="S70" s="334" t="str">
        <f aca="false">IF((E70="l"),G70," ")</f>
        <v> </v>
      </c>
      <c r="T70" s="334" t="str">
        <f aca="false">IF((E70="b"),G70," ")</f>
        <v> </v>
      </c>
      <c r="U70" s="334" t="str">
        <f aca="false">IF((E70="i"),G70," ")</f>
        <v> </v>
      </c>
      <c r="V70" s="334" t="str">
        <f aca="false">IF((E70="o"),G70," ")</f>
        <v> </v>
      </c>
      <c r="W70" s="334" t="str">
        <f aca="false">IF((E70="f"),G70," ")</f>
        <v> </v>
      </c>
    </row>
    <row r="71" customFormat="false" ht="12.75" hidden="false" customHeight="false" outlineLevel="0" collapsed="false">
      <c r="A71" s="355"/>
      <c r="E71" s="365" t="str">
        <f aca="false">IF((G71&lt;&gt;0),"Enter Letter"," ")</f>
        <v> </v>
      </c>
      <c r="H71" s="338" t="str">
        <f aca="false">IF((G71&lt;&gt;0),IF((D71&gt;0)," ",G71)," ")</f>
        <v> </v>
      </c>
      <c r="I71" s="367" t="str">
        <f aca="false">IF((G71&lt;&gt;0),IF((D71&gt;0)," ",(I$1-A71))," ")</f>
        <v> </v>
      </c>
      <c r="J71" s="334" t="str">
        <f aca="false">IF((E71="s"),G71," ")</f>
        <v> </v>
      </c>
      <c r="K71" s="334" t="str">
        <f aca="false">IF((E71="d"),G71," ")</f>
        <v> </v>
      </c>
      <c r="L71" s="334" t="str">
        <f aca="false">IF((E71="e"),G71," ")</f>
        <v> </v>
      </c>
      <c r="M71" s="334" t="str">
        <f aca="false">IF((E71="p"),G71," ")</f>
        <v> </v>
      </c>
      <c r="N71" s="334" t="str">
        <f aca="false">IF((E71="r"),G71," ")</f>
        <v> </v>
      </c>
      <c r="O71" s="334" t="str">
        <f aca="false">IF((E71="g"),G71," ")</f>
        <v> </v>
      </c>
      <c r="P71" s="334" t="str">
        <f aca="false">IF((E71="m"),G71," ")</f>
        <v> </v>
      </c>
      <c r="Q71" s="334" t="str">
        <f aca="false">IF((E71="t"),G71," ")</f>
        <v> </v>
      </c>
      <c r="R71" s="334" t="str">
        <f aca="false">IF((E71="a"),G71," ")</f>
        <v> </v>
      </c>
      <c r="S71" s="334" t="str">
        <f aca="false">IF((E71="l"),G71," ")</f>
        <v> </v>
      </c>
      <c r="T71" s="334" t="str">
        <f aca="false">IF((E71="b"),G71," ")</f>
        <v> </v>
      </c>
      <c r="U71" s="334" t="str">
        <f aca="false">IF((E71="i"),G71," ")</f>
        <v> </v>
      </c>
      <c r="V71" s="334" t="str">
        <f aca="false">IF((E71="o"),G71," ")</f>
        <v> </v>
      </c>
      <c r="W71" s="334" t="str">
        <f aca="false">IF((E71="f"),G71," ")</f>
        <v> </v>
      </c>
    </row>
    <row r="72" customFormat="false" ht="12.75" hidden="false" customHeight="false" outlineLevel="0" collapsed="false">
      <c r="A72" s="355"/>
      <c r="E72" s="365" t="str">
        <f aca="false">IF((G72&lt;&gt;0),"Enter Letter"," ")</f>
        <v> </v>
      </c>
      <c r="H72" s="338" t="str">
        <f aca="false">IF((G72&lt;&gt;0),IF((D72&gt;0)," ",G72)," ")</f>
        <v> </v>
      </c>
      <c r="I72" s="367" t="str">
        <f aca="false">IF((G72&lt;&gt;0),IF((D72&gt;0)," ",(I$1-A72))," ")</f>
        <v> </v>
      </c>
      <c r="J72" s="334" t="str">
        <f aca="false">IF((E72="s"),G72," ")</f>
        <v> </v>
      </c>
      <c r="K72" s="334" t="str">
        <f aca="false">IF((E72="d"),G72," ")</f>
        <v> </v>
      </c>
      <c r="L72" s="334" t="str">
        <f aca="false">IF((E72="e"),G72," ")</f>
        <v> </v>
      </c>
      <c r="M72" s="334" t="str">
        <f aca="false">IF((E72="p"),G72," ")</f>
        <v> </v>
      </c>
      <c r="N72" s="334" t="str">
        <f aca="false">IF((E72="r"),G72," ")</f>
        <v> </v>
      </c>
      <c r="O72" s="334" t="str">
        <f aca="false">IF((E72="g"),G72," ")</f>
        <v> </v>
      </c>
      <c r="P72" s="334" t="str">
        <f aca="false">IF((E72="m"),G72," ")</f>
        <v> </v>
      </c>
      <c r="Q72" s="334" t="str">
        <f aca="false">IF((E72="t"),G72," ")</f>
        <v> </v>
      </c>
      <c r="R72" s="334" t="str">
        <f aca="false">IF((E72="a"),G72," ")</f>
        <v> </v>
      </c>
      <c r="S72" s="334" t="str">
        <f aca="false">IF((E72="l"),G72," ")</f>
        <v> </v>
      </c>
      <c r="T72" s="334" t="str">
        <f aca="false">IF((E72="b"),G72," ")</f>
        <v> </v>
      </c>
      <c r="U72" s="334" t="str">
        <f aca="false">IF((E72="i"),G72," ")</f>
        <v> </v>
      </c>
      <c r="V72" s="334" t="str">
        <f aca="false">IF((E72="o"),G72," ")</f>
        <v> </v>
      </c>
      <c r="W72" s="334" t="str">
        <f aca="false">IF((E72="f"),G72," ")</f>
        <v> </v>
      </c>
    </row>
    <row r="73" customFormat="false" ht="12.75" hidden="false" customHeight="false" outlineLevel="0" collapsed="false">
      <c r="A73" s="355"/>
      <c r="E73" s="365" t="str">
        <f aca="false">IF((G73&lt;&gt;0),"Enter Letter"," ")</f>
        <v> </v>
      </c>
      <c r="H73" s="338" t="str">
        <f aca="false">IF((G73&lt;&gt;0),IF((D73&gt;0)," ",G73)," ")</f>
        <v> </v>
      </c>
      <c r="I73" s="367" t="str">
        <f aca="false">IF((G73&lt;&gt;0),IF((D73&gt;0)," ",(I$1-A73))," ")</f>
        <v> </v>
      </c>
      <c r="J73" s="334" t="str">
        <f aca="false">IF((E73="s"),G73," ")</f>
        <v> </v>
      </c>
      <c r="K73" s="334" t="str">
        <f aca="false">IF((E73="d"),G73," ")</f>
        <v> </v>
      </c>
      <c r="L73" s="334" t="str">
        <f aca="false">IF((E73="e"),G73," ")</f>
        <v> </v>
      </c>
      <c r="M73" s="334" t="str">
        <f aca="false">IF((E73="p"),G73," ")</f>
        <v> </v>
      </c>
      <c r="N73" s="334" t="str">
        <f aca="false">IF((E73="r"),G73," ")</f>
        <v> </v>
      </c>
      <c r="O73" s="334" t="str">
        <f aca="false">IF((E73="g"),G73," ")</f>
        <v> </v>
      </c>
      <c r="P73" s="334" t="str">
        <f aca="false">IF((E73="m"),G73," ")</f>
        <v> </v>
      </c>
      <c r="Q73" s="334" t="str">
        <f aca="false">IF((E73="t"),G73," ")</f>
        <v> </v>
      </c>
      <c r="R73" s="334" t="str">
        <f aca="false">IF((E73="a"),G73," ")</f>
        <v> </v>
      </c>
      <c r="S73" s="334" t="str">
        <f aca="false">IF((E73="l"),G73," ")</f>
        <v> </v>
      </c>
      <c r="T73" s="334" t="str">
        <f aca="false">IF((E73="b"),G73," ")</f>
        <v> </v>
      </c>
      <c r="U73" s="334" t="str">
        <f aca="false">IF((E73="i"),G73," ")</f>
        <v> </v>
      </c>
      <c r="V73" s="334" t="str">
        <f aca="false">IF((E73="o"),G73," ")</f>
        <v> </v>
      </c>
      <c r="W73" s="334" t="str">
        <f aca="false">IF((E73="f"),G73," ")</f>
        <v> </v>
      </c>
    </row>
    <row r="74" customFormat="false" ht="12.75" hidden="false" customHeight="false" outlineLevel="0" collapsed="false">
      <c r="A74" s="355"/>
      <c r="E74" s="365" t="str">
        <f aca="false">IF((G74&lt;&gt;0),"Enter Letter"," ")</f>
        <v> </v>
      </c>
      <c r="H74" s="338" t="str">
        <f aca="false">IF((G74&lt;&gt;0),IF((D74&gt;0)," ",G74)," ")</f>
        <v> </v>
      </c>
      <c r="I74" s="367" t="str">
        <f aca="false">IF((G74&lt;&gt;0),IF((D74&gt;0)," ",(I$1-A74))," ")</f>
        <v> </v>
      </c>
      <c r="J74" s="334" t="str">
        <f aca="false">IF((E74="s"),G74," ")</f>
        <v> </v>
      </c>
      <c r="K74" s="334" t="str">
        <f aca="false">IF((E74="d"),G74," ")</f>
        <v> </v>
      </c>
      <c r="L74" s="334" t="str">
        <f aca="false">IF((E74="e"),G74," ")</f>
        <v> </v>
      </c>
      <c r="M74" s="334" t="str">
        <f aca="false">IF((E74="p"),G74," ")</f>
        <v> </v>
      </c>
      <c r="N74" s="334" t="str">
        <f aca="false">IF((E74="r"),G74," ")</f>
        <v> </v>
      </c>
      <c r="O74" s="334" t="str">
        <f aca="false">IF((E74="g"),G74," ")</f>
        <v> </v>
      </c>
      <c r="P74" s="334" t="str">
        <f aca="false">IF((E74="m"),G74," ")</f>
        <v> </v>
      </c>
      <c r="Q74" s="334" t="str">
        <f aca="false">IF((E74="t"),G74," ")</f>
        <v> </v>
      </c>
      <c r="R74" s="334" t="str">
        <f aca="false">IF((E74="a"),G74," ")</f>
        <v> </v>
      </c>
      <c r="S74" s="334" t="str">
        <f aca="false">IF((E74="l"),G74," ")</f>
        <v> </v>
      </c>
      <c r="T74" s="334" t="str">
        <f aca="false">IF((E74="b"),G74," ")</f>
        <v> </v>
      </c>
      <c r="U74" s="334" t="str">
        <f aca="false">IF((E74="i"),G74," ")</f>
        <v> </v>
      </c>
      <c r="V74" s="334" t="str">
        <f aca="false">IF((E74="o"),G74," ")</f>
        <v> </v>
      </c>
      <c r="W74" s="334" t="str">
        <f aca="false">IF((E74="f"),G74," ")</f>
        <v> </v>
      </c>
    </row>
    <row r="75" customFormat="false" ht="12.75" hidden="false" customHeight="false" outlineLevel="0" collapsed="false">
      <c r="A75" s="355"/>
      <c r="E75" s="365" t="str">
        <f aca="false">IF((G75&lt;&gt;0),"Enter Letter"," ")</f>
        <v> </v>
      </c>
      <c r="H75" s="338" t="str">
        <f aca="false">IF((G75&lt;&gt;0),IF((D75&gt;0)," ",G75)," ")</f>
        <v> </v>
      </c>
      <c r="I75" s="367" t="str">
        <f aca="false">IF((G75&lt;&gt;0),IF((D75&gt;0)," ",(I$1-A75))," ")</f>
        <v> </v>
      </c>
      <c r="J75" s="334" t="str">
        <f aca="false">IF((E75="s"),G75," ")</f>
        <v> </v>
      </c>
      <c r="K75" s="334" t="str">
        <f aca="false">IF((E75="d"),G75," ")</f>
        <v> </v>
      </c>
      <c r="L75" s="334" t="str">
        <f aca="false">IF((E75="e"),G75," ")</f>
        <v> </v>
      </c>
      <c r="M75" s="334" t="str">
        <f aca="false">IF((E75="p"),G75," ")</f>
        <v> </v>
      </c>
      <c r="N75" s="334" t="str">
        <f aca="false">IF((E75="r"),G75," ")</f>
        <v> </v>
      </c>
      <c r="O75" s="334" t="str">
        <f aca="false">IF((E75="g"),G75," ")</f>
        <v> </v>
      </c>
      <c r="P75" s="334" t="str">
        <f aca="false">IF((E75="m"),G75," ")</f>
        <v> </v>
      </c>
      <c r="Q75" s="334" t="str">
        <f aca="false">IF((E75="t"),G75," ")</f>
        <v> </v>
      </c>
      <c r="R75" s="334" t="str">
        <f aca="false">IF((E75="a"),G75," ")</f>
        <v> </v>
      </c>
      <c r="S75" s="334" t="str">
        <f aca="false">IF((E75="l"),G75," ")</f>
        <v> </v>
      </c>
      <c r="T75" s="334" t="str">
        <f aca="false">IF((E75="b"),G75," ")</f>
        <v> </v>
      </c>
      <c r="U75" s="334" t="str">
        <f aca="false">IF((E75="i"),G75," ")</f>
        <v> </v>
      </c>
      <c r="V75" s="334" t="str">
        <f aca="false">IF((E75="o"),G75," ")</f>
        <v> </v>
      </c>
      <c r="W75" s="334" t="str">
        <f aca="false">IF((E75="f"),G75," ")</f>
        <v> </v>
      </c>
    </row>
    <row r="76" customFormat="false" ht="12.75" hidden="false" customHeight="false" outlineLevel="0" collapsed="false">
      <c r="A76" s="355"/>
      <c r="E76" s="365" t="str">
        <f aca="false">IF((G76&lt;&gt;0),"Enter Letter"," ")</f>
        <v> </v>
      </c>
      <c r="H76" s="338" t="str">
        <f aca="false">IF((G76&lt;&gt;0),IF((D76&gt;0)," ",G76)," ")</f>
        <v> </v>
      </c>
      <c r="I76" s="367" t="str">
        <f aca="false">IF((G76&lt;&gt;0),IF((D76&gt;0)," ",(I$1-A76))," ")</f>
        <v> </v>
      </c>
      <c r="J76" s="334" t="str">
        <f aca="false">IF((E76="s"),G76," ")</f>
        <v> </v>
      </c>
      <c r="K76" s="334" t="str">
        <f aca="false">IF((E76="d"),G76," ")</f>
        <v> </v>
      </c>
      <c r="L76" s="334" t="str">
        <f aca="false">IF((E76="e"),G76," ")</f>
        <v> </v>
      </c>
      <c r="M76" s="334" t="str">
        <f aca="false">IF((E76="p"),G76," ")</f>
        <v> </v>
      </c>
      <c r="N76" s="334" t="str">
        <f aca="false">IF((E76="r"),G76," ")</f>
        <v> </v>
      </c>
      <c r="O76" s="334" t="str">
        <f aca="false">IF((E76="g"),G76," ")</f>
        <v> </v>
      </c>
      <c r="P76" s="334" t="str">
        <f aca="false">IF((E76="m"),G76," ")</f>
        <v> </v>
      </c>
      <c r="Q76" s="334" t="str">
        <f aca="false">IF((E76="t"),G76," ")</f>
        <v> </v>
      </c>
      <c r="R76" s="334" t="str">
        <f aca="false">IF((E76="a"),G76," ")</f>
        <v> </v>
      </c>
      <c r="S76" s="334" t="str">
        <f aca="false">IF((E76="l"),G76," ")</f>
        <v> </v>
      </c>
      <c r="T76" s="334" t="str">
        <f aca="false">IF((E76="b"),G76," ")</f>
        <v> </v>
      </c>
      <c r="U76" s="334" t="str">
        <f aca="false">IF((E76="i"),G76," ")</f>
        <v> </v>
      </c>
      <c r="V76" s="334" t="str">
        <f aca="false">IF((E76="o"),G76," ")</f>
        <v> </v>
      </c>
      <c r="W76" s="334" t="str">
        <f aca="false">IF((E76="f"),G76," ")</f>
        <v> </v>
      </c>
    </row>
    <row r="77" customFormat="false" ht="12.75" hidden="false" customHeight="false" outlineLevel="0" collapsed="false">
      <c r="A77" s="355"/>
      <c r="E77" s="365" t="str">
        <f aca="false">IF((G77&lt;&gt;0),"Enter Letter"," ")</f>
        <v> </v>
      </c>
      <c r="H77" s="338" t="str">
        <f aca="false">IF((G77&lt;&gt;0),IF((D77&gt;0)," ",G77)," ")</f>
        <v> </v>
      </c>
      <c r="I77" s="367" t="str">
        <f aca="false">IF((G77&lt;&gt;0),IF((D77&gt;0)," ",(I$1-A77))," ")</f>
        <v> </v>
      </c>
      <c r="J77" s="334" t="str">
        <f aca="false">IF((E77="s"),G77," ")</f>
        <v> </v>
      </c>
      <c r="K77" s="334" t="str">
        <f aca="false">IF((E77="d"),G77," ")</f>
        <v> </v>
      </c>
      <c r="L77" s="334" t="str">
        <f aca="false">IF((E77="e"),G77," ")</f>
        <v> </v>
      </c>
      <c r="M77" s="334" t="str">
        <f aca="false">IF((E77="p"),G77," ")</f>
        <v> </v>
      </c>
      <c r="N77" s="334" t="str">
        <f aca="false">IF((E77="r"),G77," ")</f>
        <v> </v>
      </c>
      <c r="O77" s="334" t="str">
        <f aca="false">IF((E77="g"),G77," ")</f>
        <v> </v>
      </c>
      <c r="P77" s="334" t="str">
        <f aca="false">IF((E77="m"),G77," ")</f>
        <v> </v>
      </c>
      <c r="Q77" s="334" t="str">
        <f aca="false">IF((E77="t"),G77," ")</f>
        <v> </v>
      </c>
      <c r="R77" s="334" t="str">
        <f aca="false">IF((E77="a"),G77," ")</f>
        <v> </v>
      </c>
      <c r="S77" s="334" t="str">
        <f aca="false">IF((E77="l"),G77," ")</f>
        <v> </v>
      </c>
      <c r="T77" s="334" t="str">
        <f aca="false">IF((E77="b"),G77," ")</f>
        <v> </v>
      </c>
      <c r="U77" s="334" t="str">
        <f aca="false">IF((E77="i"),G77," ")</f>
        <v> </v>
      </c>
      <c r="V77" s="334" t="str">
        <f aca="false">IF((E77="o"),G77," ")</f>
        <v> </v>
      </c>
      <c r="W77" s="334" t="str">
        <f aca="false">IF((E77="f"),G77," ")</f>
        <v> </v>
      </c>
    </row>
    <row r="78" customFormat="false" ht="12.75" hidden="false" customHeight="false" outlineLevel="0" collapsed="false">
      <c r="A78" s="355"/>
      <c r="E78" s="365" t="str">
        <f aca="false">IF((G78&lt;&gt;0),"Enter Letter"," ")</f>
        <v> </v>
      </c>
      <c r="H78" s="338" t="str">
        <f aca="false">IF((G78&lt;&gt;0),IF((D78&gt;0)," ",G78)," ")</f>
        <v> </v>
      </c>
      <c r="I78" s="367" t="str">
        <f aca="false">IF((G78&lt;&gt;0),IF((D78&gt;0)," ",(I$1-A78))," ")</f>
        <v> </v>
      </c>
      <c r="J78" s="334" t="str">
        <f aca="false">IF((E78="s"),G78," ")</f>
        <v> </v>
      </c>
      <c r="K78" s="334" t="str">
        <f aca="false">IF((E78="d"),G78," ")</f>
        <v> </v>
      </c>
      <c r="L78" s="334" t="str">
        <f aca="false">IF((E78="e"),G78," ")</f>
        <v> </v>
      </c>
      <c r="M78" s="334" t="str">
        <f aca="false">IF((E78="p"),G78," ")</f>
        <v> </v>
      </c>
      <c r="N78" s="334" t="str">
        <f aca="false">IF((E78="r"),G78," ")</f>
        <v> </v>
      </c>
      <c r="O78" s="334" t="str">
        <f aca="false">IF((E78="g"),G78," ")</f>
        <v> </v>
      </c>
      <c r="P78" s="334" t="str">
        <f aca="false">IF((E78="m"),G78," ")</f>
        <v> </v>
      </c>
      <c r="Q78" s="334" t="str">
        <f aca="false">IF((E78="t"),G78," ")</f>
        <v> </v>
      </c>
      <c r="R78" s="334" t="str">
        <f aca="false">IF((E78="a"),G78," ")</f>
        <v> </v>
      </c>
      <c r="S78" s="334" t="str">
        <f aca="false">IF((E78="l"),G78," ")</f>
        <v> </v>
      </c>
      <c r="T78" s="334" t="str">
        <f aca="false">IF((E78="b"),G78," ")</f>
        <v> </v>
      </c>
      <c r="U78" s="334" t="str">
        <f aca="false">IF((E78="i"),G78," ")</f>
        <v> </v>
      </c>
      <c r="V78" s="334" t="str">
        <f aca="false">IF((E78="o"),G78," ")</f>
        <v> </v>
      </c>
      <c r="W78" s="334" t="str">
        <f aca="false">IF((E78="f"),G78," ")</f>
        <v> </v>
      </c>
    </row>
    <row r="79" customFormat="false" ht="12.75" hidden="false" customHeight="false" outlineLevel="0" collapsed="false">
      <c r="A79" s="355"/>
      <c r="E79" s="365" t="str">
        <f aca="false">IF((G79&lt;&gt;0),"Enter Letter"," ")</f>
        <v> </v>
      </c>
      <c r="H79" s="338" t="str">
        <f aca="false">IF((G79&lt;&gt;0),IF((D79&gt;0)," ",G79)," ")</f>
        <v> </v>
      </c>
      <c r="I79" s="367" t="str">
        <f aca="false">IF((G79&lt;&gt;0),IF((D79&gt;0)," ",(I$1-A79))," ")</f>
        <v> </v>
      </c>
      <c r="J79" s="334" t="str">
        <f aca="false">IF((E79="s"),G79," ")</f>
        <v> </v>
      </c>
      <c r="K79" s="334" t="str">
        <f aca="false">IF((E79="d"),G79," ")</f>
        <v> </v>
      </c>
      <c r="L79" s="334" t="str">
        <f aca="false">IF((E79="e"),G79," ")</f>
        <v> </v>
      </c>
      <c r="M79" s="334" t="str">
        <f aca="false">IF((E79="p"),G79," ")</f>
        <v> </v>
      </c>
      <c r="N79" s="334" t="str">
        <f aca="false">IF((E79="r"),G79," ")</f>
        <v> </v>
      </c>
      <c r="O79" s="334" t="str">
        <f aca="false">IF((E79="g"),G79," ")</f>
        <v> </v>
      </c>
      <c r="P79" s="334" t="str">
        <f aca="false">IF((E79="m"),G79," ")</f>
        <v> </v>
      </c>
      <c r="Q79" s="334" t="str">
        <f aca="false">IF((E79="t"),G79," ")</f>
        <v> </v>
      </c>
      <c r="R79" s="334" t="str">
        <f aca="false">IF((E79="a"),G79," ")</f>
        <v> </v>
      </c>
      <c r="S79" s="334" t="str">
        <f aca="false">IF((E79="l"),G79," ")</f>
        <v> </v>
      </c>
      <c r="T79" s="334" t="str">
        <f aca="false">IF((E79="b"),G79," ")</f>
        <v> </v>
      </c>
      <c r="U79" s="334" t="str">
        <f aca="false">IF((E79="i"),G79," ")</f>
        <v> </v>
      </c>
      <c r="V79" s="334" t="str">
        <f aca="false">IF((E79="o"),G79," ")</f>
        <v> </v>
      </c>
      <c r="W79" s="334" t="str">
        <f aca="false">IF((E79="f"),G79," ")</f>
        <v> </v>
      </c>
    </row>
    <row r="80" customFormat="false" ht="12.75" hidden="false" customHeight="false" outlineLevel="0" collapsed="false">
      <c r="A80" s="355"/>
      <c r="E80" s="365" t="str">
        <f aca="false">IF((G80&lt;&gt;0),"Enter Letter"," ")</f>
        <v> </v>
      </c>
      <c r="H80" s="338" t="str">
        <f aca="false">IF((G80&lt;&gt;0),IF((D80&gt;0)," ",G80)," ")</f>
        <v> </v>
      </c>
      <c r="I80" s="367" t="str">
        <f aca="false">IF((G80&lt;&gt;0),IF((D80&gt;0)," ",(I$1-A80))," ")</f>
        <v> </v>
      </c>
      <c r="J80" s="334" t="str">
        <f aca="false">IF((E80="s"),G80," ")</f>
        <v> </v>
      </c>
      <c r="K80" s="334" t="str">
        <f aca="false">IF((E80="d"),G80," ")</f>
        <v> </v>
      </c>
      <c r="L80" s="334" t="str">
        <f aca="false">IF((E80="e"),G80," ")</f>
        <v> </v>
      </c>
      <c r="M80" s="334" t="str">
        <f aca="false">IF((E80="p"),G80," ")</f>
        <v> </v>
      </c>
      <c r="N80" s="334" t="str">
        <f aca="false">IF((E80="r"),G80," ")</f>
        <v> </v>
      </c>
      <c r="O80" s="334" t="str">
        <f aca="false">IF((E80="g"),G80," ")</f>
        <v> </v>
      </c>
      <c r="P80" s="334" t="str">
        <f aca="false">IF((E80="m"),G80," ")</f>
        <v> </v>
      </c>
      <c r="Q80" s="334" t="str">
        <f aca="false">IF((E80="t"),G80," ")</f>
        <v> </v>
      </c>
      <c r="R80" s="334" t="str">
        <f aca="false">IF((E80="a"),G80," ")</f>
        <v> </v>
      </c>
      <c r="S80" s="334" t="str">
        <f aca="false">IF((E80="l"),G80," ")</f>
        <v> </v>
      </c>
      <c r="T80" s="334" t="str">
        <f aca="false">IF((E80="b"),G80," ")</f>
        <v> </v>
      </c>
      <c r="U80" s="334" t="str">
        <f aca="false">IF((E80="i"),G80," ")</f>
        <v> </v>
      </c>
      <c r="V80" s="334" t="str">
        <f aca="false">IF((E80="o"),G80," ")</f>
        <v> </v>
      </c>
      <c r="W80" s="334" t="str">
        <f aca="false">IF((E80="f"),G80," ")</f>
        <v> </v>
      </c>
    </row>
    <row r="81" customFormat="false" ht="12.75" hidden="false" customHeight="false" outlineLevel="0" collapsed="false">
      <c r="A81" s="355"/>
      <c r="E81" s="365" t="str">
        <f aca="false">IF((G81&lt;&gt;0),"Enter Letter"," ")</f>
        <v> </v>
      </c>
      <c r="H81" s="338" t="str">
        <f aca="false">IF((G81&lt;&gt;0),IF((D81&gt;0)," ",G81)," ")</f>
        <v> </v>
      </c>
      <c r="I81" s="367" t="str">
        <f aca="false">IF((G81&lt;&gt;0),IF((D81&gt;0)," ",(I$1-A81))," ")</f>
        <v> </v>
      </c>
      <c r="J81" s="334" t="str">
        <f aca="false">IF((E81="s"),G81," ")</f>
        <v> </v>
      </c>
      <c r="K81" s="334" t="str">
        <f aca="false">IF((E81="d"),G81," ")</f>
        <v> </v>
      </c>
      <c r="L81" s="334" t="str">
        <f aca="false">IF((E81="e"),G81," ")</f>
        <v> </v>
      </c>
      <c r="M81" s="334" t="str">
        <f aca="false">IF((E81="p"),G81," ")</f>
        <v> </v>
      </c>
      <c r="N81" s="334" t="str">
        <f aca="false">IF((E81="r"),G81," ")</f>
        <v> </v>
      </c>
      <c r="O81" s="334" t="str">
        <f aca="false">IF((E81="g"),G81," ")</f>
        <v> </v>
      </c>
      <c r="P81" s="334" t="str">
        <f aca="false">IF((E81="m"),G81," ")</f>
        <v> </v>
      </c>
      <c r="Q81" s="334" t="str">
        <f aca="false">IF((E81="t"),G81," ")</f>
        <v> </v>
      </c>
      <c r="R81" s="334" t="str">
        <f aca="false">IF((E81="a"),G81," ")</f>
        <v> </v>
      </c>
      <c r="S81" s="334" t="str">
        <f aca="false">IF((E81="l"),G81," ")</f>
        <v> </v>
      </c>
      <c r="T81" s="334" t="str">
        <f aca="false">IF((E81="b"),G81," ")</f>
        <v> </v>
      </c>
      <c r="U81" s="334" t="str">
        <f aca="false">IF((E81="i"),G81," ")</f>
        <v> </v>
      </c>
      <c r="V81" s="334" t="str">
        <f aca="false">IF((E81="o"),G81," ")</f>
        <v> </v>
      </c>
      <c r="W81" s="334" t="str">
        <f aca="false">IF((E81="f"),G81," ")</f>
        <v> </v>
      </c>
    </row>
    <row r="82" customFormat="false" ht="12.75" hidden="false" customHeight="false" outlineLevel="0" collapsed="false">
      <c r="A82" s="355"/>
      <c r="E82" s="365" t="str">
        <f aca="false">IF((G82&lt;&gt;0),"Enter Letter"," ")</f>
        <v> </v>
      </c>
      <c r="H82" s="338" t="str">
        <f aca="false">IF((G82&lt;&gt;0),IF((D82&gt;0)," ",G82)," ")</f>
        <v> </v>
      </c>
      <c r="I82" s="367" t="str">
        <f aca="false">IF((G82&lt;&gt;0),IF((D82&gt;0)," ",(I$1-A82))," ")</f>
        <v> </v>
      </c>
      <c r="J82" s="334" t="str">
        <f aca="false">IF((E82="s"),G82," ")</f>
        <v> </v>
      </c>
      <c r="K82" s="334" t="str">
        <f aca="false">IF((E82="d"),G82," ")</f>
        <v> </v>
      </c>
      <c r="L82" s="334" t="str">
        <f aca="false">IF((E82="e"),G82," ")</f>
        <v> </v>
      </c>
      <c r="M82" s="334" t="str">
        <f aca="false">IF((E82="p"),G82," ")</f>
        <v> </v>
      </c>
      <c r="N82" s="334" t="str">
        <f aca="false">IF((E82="r"),G82," ")</f>
        <v> </v>
      </c>
      <c r="O82" s="334" t="str">
        <f aca="false">IF((E82="g"),G82," ")</f>
        <v> </v>
      </c>
      <c r="P82" s="334" t="str">
        <f aca="false">IF((E82="m"),G82," ")</f>
        <v> </v>
      </c>
      <c r="Q82" s="334" t="str">
        <f aca="false">IF((E82="t"),G82," ")</f>
        <v> </v>
      </c>
      <c r="R82" s="334" t="str">
        <f aca="false">IF((E82="a"),G82," ")</f>
        <v> </v>
      </c>
      <c r="S82" s="334" t="str">
        <f aca="false">IF((E82="l"),G82," ")</f>
        <v> </v>
      </c>
      <c r="T82" s="334" t="str">
        <f aca="false">IF((E82="b"),G82," ")</f>
        <v> </v>
      </c>
      <c r="U82" s="334" t="str">
        <f aca="false">IF((E82="i"),G82," ")</f>
        <v> </v>
      </c>
      <c r="V82" s="334" t="str">
        <f aca="false">IF((E82="o"),G82," ")</f>
        <v> </v>
      </c>
      <c r="W82" s="334" t="str">
        <f aca="false">IF((E82="f"),G82," ")</f>
        <v> </v>
      </c>
    </row>
    <row r="83" customFormat="false" ht="12.75" hidden="false" customHeight="false" outlineLevel="0" collapsed="false">
      <c r="A83" s="355"/>
      <c r="E83" s="365" t="str">
        <f aca="false">IF((G83&lt;&gt;0),"Enter Letter"," ")</f>
        <v> </v>
      </c>
      <c r="H83" s="338" t="str">
        <f aca="false">IF((G83&lt;&gt;0),IF((D83&gt;0)," ",G83)," ")</f>
        <v> </v>
      </c>
      <c r="I83" s="367" t="str">
        <f aca="false">IF((G83&lt;&gt;0),IF((D83&gt;0)," ",(I$1-A83))," ")</f>
        <v> </v>
      </c>
      <c r="J83" s="334" t="str">
        <f aca="false">IF((E83="s"),G83," ")</f>
        <v> </v>
      </c>
      <c r="K83" s="334" t="str">
        <f aca="false">IF((E83="d"),G83," ")</f>
        <v> </v>
      </c>
      <c r="L83" s="334" t="str">
        <f aca="false">IF((E83="e"),G83," ")</f>
        <v> </v>
      </c>
      <c r="M83" s="334" t="str">
        <f aca="false">IF((E83="p"),G83," ")</f>
        <v> </v>
      </c>
      <c r="N83" s="334" t="str">
        <f aca="false">IF((E83="r"),G83," ")</f>
        <v> </v>
      </c>
      <c r="O83" s="334" t="str">
        <f aca="false">IF((E83="g"),G83," ")</f>
        <v> </v>
      </c>
      <c r="P83" s="334" t="str">
        <f aca="false">IF((E83="m"),G83," ")</f>
        <v> </v>
      </c>
      <c r="Q83" s="334" t="str">
        <f aca="false">IF((E83="t"),G83," ")</f>
        <v> </v>
      </c>
      <c r="R83" s="334" t="str">
        <f aca="false">IF((E83="a"),G83," ")</f>
        <v> </v>
      </c>
      <c r="S83" s="334" t="str">
        <f aca="false">IF((E83="l"),G83," ")</f>
        <v> </v>
      </c>
      <c r="T83" s="334" t="str">
        <f aca="false">IF((E83="b"),G83," ")</f>
        <v> </v>
      </c>
      <c r="U83" s="334" t="str">
        <f aca="false">IF((E83="i"),G83," ")</f>
        <v> </v>
      </c>
      <c r="V83" s="334" t="str">
        <f aca="false">IF((E83="o"),G83," ")</f>
        <v> </v>
      </c>
      <c r="W83" s="334" t="str">
        <f aca="false">IF((E83="f"),G83," ")</f>
        <v> </v>
      </c>
    </row>
    <row r="84" customFormat="false" ht="12.75" hidden="false" customHeight="false" outlineLevel="0" collapsed="false">
      <c r="A84" s="355"/>
      <c r="E84" s="365" t="str">
        <f aca="false">IF((G84&lt;&gt;0),"Enter Letter"," ")</f>
        <v> </v>
      </c>
      <c r="H84" s="338" t="str">
        <f aca="false">IF((G84&lt;&gt;0),IF((D84&gt;0)," ",G84)," ")</f>
        <v> </v>
      </c>
      <c r="I84" s="367" t="str">
        <f aca="false">IF((G84&lt;&gt;0),IF((D84&gt;0)," ",(I$1-A84))," ")</f>
        <v> </v>
      </c>
      <c r="J84" s="334" t="str">
        <f aca="false">IF((E84="s"),G84," ")</f>
        <v> </v>
      </c>
      <c r="K84" s="334" t="str">
        <f aca="false">IF((E84="d"),G84," ")</f>
        <v> </v>
      </c>
      <c r="L84" s="334" t="str">
        <f aca="false">IF((E84="e"),G84," ")</f>
        <v> </v>
      </c>
      <c r="M84" s="334" t="str">
        <f aca="false">IF((E84="p"),G84," ")</f>
        <v> </v>
      </c>
      <c r="N84" s="334" t="str">
        <f aca="false">IF((E84="r"),G84," ")</f>
        <v> </v>
      </c>
      <c r="O84" s="334" t="str">
        <f aca="false">IF((E84="g"),G84," ")</f>
        <v> </v>
      </c>
      <c r="P84" s="334" t="str">
        <f aca="false">IF((E84="m"),G84," ")</f>
        <v> </v>
      </c>
      <c r="Q84" s="334" t="str">
        <f aca="false">IF((E84="t"),G84," ")</f>
        <v> </v>
      </c>
      <c r="R84" s="334" t="str">
        <f aca="false">IF((E84="a"),G84," ")</f>
        <v> </v>
      </c>
      <c r="S84" s="334" t="str">
        <f aca="false">IF((E84="l"),G84," ")</f>
        <v> </v>
      </c>
      <c r="T84" s="334" t="str">
        <f aca="false">IF((E84="b"),G84," ")</f>
        <v> </v>
      </c>
      <c r="U84" s="334" t="str">
        <f aca="false">IF((E84="i"),G84," ")</f>
        <v> </v>
      </c>
      <c r="V84" s="334" t="str">
        <f aca="false">IF((E84="o"),G84," ")</f>
        <v> </v>
      </c>
      <c r="W84" s="334" t="str">
        <f aca="false">IF((E84="f"),G84," ")</f>
        <v> </v>
      </c>
    </row>
    <row r="85" customFormat="false" ht="12.75" hidden="false" customHeight="false" outlineLevel="0" collapsed="false">
      <c r="A85" s="355"/>
      <c r="E85" s="365" t="str">
        <f aca="false">IF((G85&lt;&gt;0),"Enter Letter"," ")</f>
        <v> </v>
      </c>
      <c r="H85" s="338" t="str">
        <f aca="false">IF((G85&lt;&gt;0),IF((D85&gt;0)," ",G85)," ")</f>
        <v> </v>
      </c>
      <c r="I85" s="367" t="str">
        <f aca="false">IF((G85&lt;&gt;0),IF((D85&gt;0)," ",(I$1-A85))," ")</f>
        <v> </v>
      </c>
      <c r="J85" s="334" t="str">
        <f aca="false">IF((E85="s"),G85," ")</f>
        <v> </v>
      </c>
      <c r="K85" s="334" t="str">
        <f aca="false">IF((E85="d"),G85," ")</f>
        <v> </v>
      </c>
      <c r="L85" s="334" t="str">
        <f aca="false">IF((E85="e"),G85," ")</f>
        <v> </v>
      </c>
      <c r="M85" s="334" t="str">
        <f aca="false">IF((E85="p"),G85," ")</f>
        <v> </v>
      </c>
      <c r="N85" s="334" t="str">
        <f aca="false">IF((E85="r"),G85," ")</f>
        <v> </v>
      </c>
      <c r="O85" s="334" t="str">
        <f aca="false">IF((E85="g"),G85," ")</f>
        <v> </v>
      </c>
      <c r="P85" s="334" t="str">
        <f aca="false">IF((E85="m"),G85," ")</f>
        <v> </v>
      </c>
      <c r="Q85" s="334" t="str">
        <f aca="false">IF((E85="t"),G85," ")</f>
        <v> </v>
      </c>
      <c r="R85" s="334" t="str">
        <f aca="false">IF((E85="a"),G85," ")</f>
        <v> </v>
      </c>
      <c r="S85" s="334" t="str">
        <f aca="false">IF((E85="l"),G85," ")</f>
        <v> </v>
      </c>
      <c r="T85" s="334" t="str">
        <f aca="false">IF((E85="b"),G85," ")</f>
        <v> </v>
      </c>
      <c r="U85" s="334" t="str">
        <f aca="false">IF((E85="i"),G85," ")</f>
        <v> </v>
      </c>
      <c r="V85" s="334" t="str">
        <f aca="false">IF((E85="o"),G85," ")</f>
        <v> </v>
      </c>
      <c r="W85" s="334" t="str">
        <f aca="false">IF((E85="f"),G85," ")</f>
        <v> </v>
      </c>
    </row>
    <row r="86" customFormat="false" ht="12.75" hidden="false" customHeight="false" outlineLevel="0" collapsed="false">
      <c r="A86" s="355"/>
      <c r="E86" s="365" t="str">
        <f aca="false">IF((G86&lt;&gt;0),"Enter Letter"," ")</f>
        <v> </v>
      </c>
      <c r="H86" s="338" t="str">
        <f aca="false">IF((G86&lt;&gt;0),IF((D86&gt;0)," ",G86)," ")</f>
        <v> </v>
      </c>
      <c r="I86" s="367" t="str">
        <f aca="false">IF((G86&lt;&gt;0),IF((D86&gt;0)," ",(I$1-A86))," ")</f>
        <v> </v>
      </c>
      <c r="J86" s="334" t="str">
        <f aca="false">IF((E86="s"),G86," ")</f>
        <v> </v>
      </c>
      <c r="K86" s="334" t="str">
        <f aca="false">IF((E86="d"),G86," ")</f>
        <v> </v>
      </c>
      <c r="L86" s="334" t="str">
        <f aca="false">IF((E86="e"),G86," ")</f>
        <v> </v>
      </c>
      <c r="M86" s="334" t="str">
        <f aca="false">IF((E86="p"),G86," ")</f>
        <v> </v>
      </c>
      <c r="N86" s="334" t="str">
        <f aca="false">IF((E86="r"),G86," ")</f>
        <v> </v>
      </c>
      <c r="O86" s="334" t="str">
        <f aca="false">IF((E86="g"),G86," ")</f>
        <v> </v>
      </c>
      <c r="P86" s="334" t="str">
        <f aca="false">IF((E86="m"),G86," ")</f>
        <v> </v>
      </c>
      <c r="Q86" s="334" t="str">
        <f aca="false">IF((E86="t"),G86," ")</f>
        <v> </v>
      </c>
      <c r="R86" s="334" t="str">
        <f aca="false">IF((E86="a"),G86," ")</f>
        <v> </v>
      </c>
      <c r="S86" s="334" t="str">
        <f aca="false">IF((E86="l"),G86," ")</f>
        <v> </v>
      </c>
      <c r="T86" s="334" t="str">
        <f aca="false">IF((E86="b"),G86," ")</f>
        <v> </v>
      </c>
      <c r="U86" s="334" t="str">
        <f aca="false">IF((E86="i"),G86," ")</f>
        <v> </v>
      </c>
      <c r="V86" s="334" t="str">
        <f aca="false">IF((E86="o"),G86," ")</f>
        <v> </v>
      </c>
      <c r="W86" s="334" t="str">
        <f aca="false">IF((E86="f"),G86," ")</f>
        <v> </v>
      </c>
    </row>
    <row r="87" customFormat="false" ht="12.75" hidden="false" customHeight="false" outlineLevel="0" collapsed="false">
      <c r="A87" s="355"/>
      <c r="E87" s="365" t="str">
        <f aca="false">IF((G87&lt;&gt;0),"Enter Letter"," ")</f>
        <v> </v>
      </c>
      <c r="H87" s="338" t="str">
        <f aca="false">IF((G87&lt;&gt;0),IF((D87&gt;0)," ",G87)," ")</f>
        <v> </v>
      </c>
      <c r="I87" s="367" t="str">
        <f aca="false">IF((G87&lt;&gt;0),IF((D87&gt;0)," ",(I$1-A87))," ")</f>
        <v> </v>
      </c>
      <c r="J87" s="334" t="str">
        <f aca="false">IF((E87="s"),G87," ")</f>
        <v> </v>
      </c>
      <c r="K87" s="334" t="str">
        <f aca="false">IF((E87="d"),G87," ")</f>
        <v> </v>
      </c>
      <c r="L87" s="334" t="str">
        <f aca="false">IF((E87="e"),G87," ")</f>
        <v> </v>
      </c>
      <c r="M87" s="334" t="str">
        <f aca="false">IF((E87="p"),G87," ")</f>
        <v> </v>
      </c>
      <c r="N87" s="334" t="str">
        <f aca="false">IF((E87="r"),G87," ")</f>
        <v> </v>
      </c>
      <c r="O87" s="334" t="str">
        <f aca="false">IF((E87="g"),G87," ")</f>
        <v> </v>
      </c>
      <c r="P87" s="334" t="str">
        <f aca="false">IF((E87="m"),G87," ")</f>
        <v> </v>
      </c>
      <c r="Q87" s="334" t="str">
        <f aca="false">IF((E87="t"),G87," ")</f>
        <v> </v>
      </c>
      <c r="R87" s="334" t="str">
        <f aca="false">IF((E87="a"),G87," ")</f>
        <v> </v>
      </c>
      <c r="S87" s="334" t="str">
        <f aca="false">IF((E87="l"),G87," ")</f>
        <v> </v>
      </c>
      <c r="T87" s="334" t="str">
        <f aca="false">IF((E87="b"),G87," ")</f>
        <v> </v>
      </c>
      <c r="U87" s="334" t="str">
        <f aca="false">IF((E87="i"),G87," ")</f>
        <v> </v>
      </c>
      <c r="V87" s="334" t="str">
        <f aca="false">IF((E87="o"),G87," ")</f>
        <v> </v>
      </c>
      <c r="W87" s="334" t="str">
        <f aca="false">IF((E87="f"),G87," ")</f>
        <v> </v>
      </c>
    </row>
    <row r="88" customFormat="false" ht="12.75" hidden="false" customHeight="false" outlineLevel="0" collapsed="false">
      <c r="A88" s="355"/>
      <c r="E88" s="365" t="str">
        <f aca="false">IF((G88&lt;&gt;0),"Enter Letter"," ")</f>
        <v> </v>
      </c>
      <c r="H88" s="338" t="str">
        <f aca="false">IF((G88&lt;&gt;0),IF((D88&gt;0)," ",G88)," ")</f>
        <v> </v>
      </c>
      <c r="I88" s="367" t="str">
        <f aca="false">IF((G88&lt;&gt;0),IF((D88&gt;0)," ",(I$1-A88))," ")</f>
        <v> </v>
      </c>
      <c r="J88" s="334" t="str">
        <f aca="false">IF((E88="s"),G88," ")</f>
        <v> </v>
      </c>
      <c r="K88" s="334" t="str">
        <f aca="false">IF((E88="d"),G88," ")</f>
        <v> </v>
      </c>
      <c r="L88" s="334" t="str">
        <f aca="false">IF((E88="e"),G88," ")</f>
        <v> </v>
      </c>
      <c r="M88" s="334" t="str">
        <f aca="false">IF((E88="p"),G88," ")</f>
        <v> </v>
      </c>
      <c r="N88" s="334" t="str">
        <f aca="false">IF((E88="r"),G88," ")</f>
        <v> </v>
      </c>
      <c r="O88" s="334" t="str">
        <f aca="false">IF((E88="g"),G88," ")</f>
        <v> </v>
      </c>
      <c r="P88" s="334" t="str">
        <f aca="false">IF((E88="m"),G88," ")</f>
        <v> </v>
      </c>
      <c r="Q88" s="334" t="str">
        <f aca="false">IF((E88="t"),G88," ")</f>
        <v> </v>
      </c>
      <c r="R88" s="334" t="str">
        <f aca="false">IF((E88="a"),G88," ")</f>
        <v> </v>
      </c>
      <c r="S88" s="334" t="str">
        <f aca="false">IF((E88="l"),G88," ")</f>
        <v> </v>
      </c>
      <c r="T88" s="334" t="str">
        <f aca="false">IF((E88="b"),G88," ")</f>
        <v> </v>
      </c>
      <c r="U88" s="334" t="str">
        <f aca="false">IF((E88="i"),G88," ")</f>
        <v> </v>
      </c>
      <c r="V88" s="334" t="str">
        <f aca="false">IF((E88="o"),G88," ")</f>
        <v> </v>
      </c>
      <c r="W88" s="334" t="str">
        <f aca="false">IF((E88="f"),G88," ")</f>
        <v> </v>
      </c>
    </row>
    <row r="89" customFormat="false" ht="12.75" hidden="false" customHeight="false" outlineLevel="0" collapsed="false">
      <c r="A89" s="355"/>
      <c r="E89" s="365" t="str">
        <f aca="false">IF((G89&lt;&gt;0),"Enter Letter"," ")</f>
        <v> </v>
      </c>
      <c r="H89" s="338" t="str">
        <f aca="false">IF((G89&lt;&gt;0),IF((D89&gt;0)," ",G89)," ")</f>
        <v> </v>
      </c>
      <c r="I89" s="367" t="str">
        <f aca="false">IF((G89&lt;&gt;0),IF((D89&gt;0)," ",(I$1-A89))," ")</f>
        <v> </v>
      </c>
      <c r="J89" s="334" t="str">
        <f aca="false">IF((E89="s"),G89," ")</f>
        <v> </v>
      </c>
      <c r="K89" s="334" t="str">
        <f aca="false">IF((E89="d"),G89," ")</f>
        <v> </v>
      </c>
      <c r="L89" s="334" t="str">
        <f aca="false">IF((E89="e"),G89," ")</f>
        <v> </v>
      </c>
      <c r="M89" s="334" t="str">
        <f aca="false">IF((E89="p"),G89," ")</f>
        <v> </v>
      </c>
      <c r="N89" s="334" t="str">
        <f aca="false">IF((E89="r"),G89," ")</f>
        <v> </v>
      </c>
      <c r="O89" s="334" t="str">
        <f aca="false">IF((E89="g"),G89," ")</f>
        <v> </v>
      </c>
      <c r="P89" s="334" t="str">
        <f aca="false">IF((E89="m"),G89," ")</f>
        <v> </v>
      </c>
      <c r="Q89" s="334" t="str">
        <f aca="false">IF((E89="t"),G89," ")</f>
        <v> </v>
      </c>
      <c r="R89" s="334" t="str">
        <f aca="false">IF((E89="a"),G89," ")</f>
        <v> </v>
      </c>
      <c r="S89" s="334" t="str">
        <f aca="false">IF((E89="l"),G89," ")</f>
        <v> </v>
      </c>
      <c r="T89" s="334" t="str">
        <f aca="false">IF((E89="b"),G89," ")</f>
        <v> </v>
      </c>
      <c r="U89" s="334" t="str">
        <f aca="false">IF((E89="i"),G89," ")</f>
        <v> </v>
      </c>
      <c r="V89" s="334" t="str">
        <f aca="false">IF((E89="o"),G89," ")</f>
        <v> </v>
      </c>
      <c r="W89" s="334" t="str">
        <f aca="false">IF((E89="f"),G89," ")</f>
        <v> </v>
      </c>
    </row>
    <row r="90" customFormat="false" ht="12.75" hidden="false" customHeight="false" outlineLevel="0" collapsed="false">
      <c r="A90" s="355"/>
      <c r="E90" s="365" t="str">
        <f aca="false">IF((G90&lt;&gt;0),"Enter Letter"," ")</f>
        <v> </v>
      </c>
      <c r="H90" s="338" t="str">
        <f aca="false">IF((G90&lt;&gt;0),IF((D90&gt;0)," ",G90)," ")</f>
        <v> </v>
      </c>
      <c r="I90" s="367" t="str">
        <f aca="false">IF((G90&lt;&gt;0),IF((D90&gt;0)," ",(I$1-A90))," ")</f>
        <v> </v>
      </c>
      <c r="J90" s="334" t="str">
        <f aca="false">IF((E90="s"),G90," ")</f>
        <v> </v>
      </c>
      <c r="K90" s="334" t="str">
        <f aca="false">IF((E90="d"),G90," ")</f>
        <v> </v>
      </c>
      <c r="L90" s="334" t="str">
        <f aca="false">IF((E90="e"),G90," ")</f>
        <v> </v>
      </c>
      <c r="M90" s="334" t="str">
        <f aca="false">IF((E90="p"),G90," ")</f>
        <v> </v>
      </c>
      <c r="N90" s="334" t="str">
        <f aca="false">IF((E90="r"),G90," ")</f>
        <v> </v>
      </c>
      <c r="O90" s="334" t="str">
        <f aca="false">IF((E90="g"),G90," ")</f>
        <v> </v>
      </c>
      <c r="P90" s="334" t="str">
        <f aca="false">IF((E90="m"),G90," ")</f>
        <v> </v>
      </c>
      <c r="Q90" s="334" t="str">
        <f aca="false">IF((E90="t"),G90," ")</f>
        <v> </v>
      </c>
      <c r="R90" s="334" t="str">
        <f aca="false">IF((E90="a"),G90," ")</f>
        <v> </v>
      </c>
      <c r="S90" s="334" t="str">
        <f aca="false">IF((E90="l"),G90," ")</f>
        <v> </v>
      </c>
      <c r="T90" s="334" t="str">
        <f aca="false">IF((E90="b"),G90," ")</f>
        <v> </v>
      </c>
      <c r="U90" s="334" t="str">
        <f aca="false">IF((E90="i"),G90," ")</f>
        <v> </v>
      </c>
      <c r="V90" s="334" t="str">
        <f aca="false">IF((E90="o"),G90," ")</f>
        <v> </v>
      </c>
      <c r="W90" s="334" t="str">
        <f aca="false">IF((E90="f"),G90," ")</f>
        <v> </v>
      </c>
    </row>
    <row r="91" customFormat="false" ht="12.75" hidden="false" customHeight="false" outlineLevel="0" collapsed="false">
      <c r="A91" s="355"/>
      <c r="E91" s="365" t="str">
        <f aca="false">IF((G91&lt;&gt;0),"Enter Letter"," ")</f>
        <v> </v>
      </c>
      <c r="H91" s="338" t="str">
        <f aca="false">IF((G91&lt;&gt;0),IF((D91&gt;0)," ",G91)," ")</f>
        <v> </v>
      </c>
      <c r="I91" s="367" t="str">
        <f aca="false">IF((G91&lt;&gt;0),IF((D91&gt;0)," ",(I$1-A91))," ")</f>
        <v> </v>
      </c>
      <c r="J91" s="334" t="str">
        <f aca="false">IF((E91="s"),G91," ")</f>
        <v> </v>
      </c>
      <c r="K91" s="334" t="str">
        <f aca="false">IF((E91="d"),G91," ")</f>
        <v> </v>
      </c>
      <c r="L91" s="334" t="str">
        <f aca="false">IF((E91="e"),G91," ")</f>
        <v> </v>
      </c>
      <c r="M91" s="334" t="str">
        <f aca="false">IF((E91="p"),G91," ")</f>
        <v> </v>
      </c>
      <c r="N91" s="334" t="str">
        <f aca="false">IF((E91="r"),G91," ")</f>
        <v> </v>
      </c>
      <c r="O91" s="334" t="str">
        <f aca="false">IF((E91="g"),G91," ")</f>
        <v> </v>
      </c>
      <c r="P91" s="334" t="str">
        <f aca="false">IF((E91="m"),G91," ")</f>
        <v> </v>
      </c>
      <c r="Q91" s="334" t="str">
        <f aca="false">IF((E91="t"),G91," ")</f>
        <v> </v>
      </c>
      <c r="R91" s="334" t="str">
        <f aca="false">IF((E91="a"),G91," ")</f>
        <v> </v>
      </c>
      <c r="S91" s="334" t="str">
        <f aca="false">IF((E91="l"),G91," ")</f>
        <v> </v>
      </c>
      <c r="T91" s="334" t="str">
        <f aca="false">IF((E91="b"),G91," ")</f>
        <v> </v>
      </c>
      <c r="U91" s="334" t="str">
        <f aca="false">IF((E91="i"),G91," ")</f>
        <v> </v>
      </c>
      <c r="V91" s="334" t="str">
        <f aca="false">IF((E91="o"),G91," ")</f>
        <v> </v>
      </c>
      <c r="W91" s="334" t="str">
        <f aca="false">IF((E91="f"),G91," ")</f>
        <v> </v>
      </c>
    </row>
    <row r="92" customFormat="false" ht="12.75" hidden="false" customHeight="false" outlineLevel="0" collapsed="false">
      <c r="A92" s="355"/>
      <c r="E92" s="365" t="str">
        <f aca="false">IF((G92&lt;&gt;0),"Enter Letter"," ")</f>
        <v> </v>
      </c>
      <c r="H92" s="338" t="str">
        <f aca="false">IF((G92&lt;&gt;0),IF((D92&gt;0)," ",G92)," ")</f>
        <v> </v>
      </c>
      <c r="I92" s="367" t="str">
        <f aca="false">IF((G92&lt;&gt;0),IF((D92&gt;0)," ",(I$1-A92))," ")</f>
        <v> </v>
      </c>
      <c r="J92" s="334" t="str">
        <f aca="false">IF((E92="s"),G92," ")</f>
        <v> </v>
      </c>
      <c r="K92" s="334" t="str">
        <f aca="false">IF((E92="d"),G92," ")</f>
        <v> </v>
      </c>
      <c r="L92" s="334" t="str">
        <f aca="false">IF((E92="e"),G92," ")</f>
        <v> </v>
      </c>
      <c r="M92" s="334" t="str">
        <f aca="false">IF((E92="p"),G92," ")</f>
        <v> </v>
      </c>
      <c r="N92" s="334" t="str">
        <f aca="false">IF((E92="r"),G92," ")</f>
        <v> </v>
      </c>
      <c r="O92" s="334" t="str">
        <f aca="false">IF((E92="g"),G92," ")</f>
        <v> </v>
      </c>
      <c r="P92" s="334" t="str">
        <f aca="false">IF((E92="m"),G92," ")</f>
        <v> </v>
      </c>
      <c r="Q92" s="334" t="str">
        <f aca="false">IF((E92="t"),G92," ")</f>
        <v> </v>
      </c>
      <c r="R92" s="334" t="str">
        <f aca="false">IF((E92="a"),G92," ")</f>
        <v> </v>
      </c>
      <c r="S92" s="334" t="str">
        <f aca="false">IF((E92="l"),G92," ")</f>
        <v> </v>
      </c>
      <c r="T92" s="334" t="str">
        <f aca="false">IF((E92="b"),G92," ")</f>
        <v> </v>
      </c>
      <c r="U92" s="334" t="str">
        <f aca="false">IF((E92="i"),G92," ")</f>
        <v> </v>
      </c>
      <c r="V92" s="334" t="str">
        <f aca="false">IF((E92="o"),G92," ")</f>
        <v> </v>
      </c>
      <c r="W92" s="334" t="str">
        <f aca="false">IF((E92="f"),G92," ")</f>
        <v> </v>
      </c>
    </row>
    <row r="93" customFormat="false" ht="12.75" hidden="false" customHeight="false" outlineLevel="0" collapsed="false">
      <c r="A93" s="355"/>
      <c r="E93" s="365" t="str">
        <f aca="false">IF((G93&lt;&gt;0),"Enter Letter"," ")</f>
        <v> </v>
      </c>
      <c r="H93" s="338" t="str">
        <f aca="false">IF((G93&lt;&gt;0),IF((D93&gt;0)," ",G93)," ")</f>
        <v> </v>
      </c>
      <c r="I93" s="367" t="str">
        <f aca="false">IF((G93&lt;&gt;0),IF((D93&gt;0)," ",(I$1-A93))," ")</f>
        <v> </v>
      </c>
      <c r="J93" s="334" t="str">
        <f aca="false">IF((E93="s"),G93," ")</f>
        <v> </v>
      </c>
      <c r="K93" s="334" t="str">
        <f aca="false">IF((E93="d"),G93," ")</f>
        <v> </v>
      </c>
      <c r="L93" s="334" t="str">
        <f aca="false">IF((E93="e"),G93," ")</f>
        <v> </v>
      </c>
      <c r="M93" s="334" t="str">
        <f aca="false">IF((E93="p"),G93," ")</f>
        <v> </v>
      </c>
      <c r="N93" s="334" t="str">
        <f aca="false">IF((E93="r"),G93," ")</f>
        <v> </v>
      </c>
      <c r="O93" s="334" t="str">
        <f aca="false">IF((E93="g"),G93," ")</f>
        <v> </v>
      </c>
      <c r="P93" s="334" t="str">
        <f aca="false">IF((E93="m"),G93," ")</f>
        <v> </v>
      </c>
      <c r="Q93" s="334" t="str">
        <f aca="false">IF((E93="t"),G93," ")</f>
        <v> </v>
      </c>
      <c r="R93" s="334" t="str">
        <f aca="false">IF((E93="a"),G93," ")</f>
        <v> </v>
      </c>
      <c r="S93" s="334" t="str">
        <f aca="false">IF((E93="l"),G93," ")</f>
        <v> </v>
      </c>
      <c r="T93" s="334" t="str">
        <f aca="false">IF((E93="b"),G93," ")</f>
        <v> </v>
      </c>
      <c r="U93" s="334" t="str">
        <f aca="false">IF((E93="i"),G93," ")</f>
        <v> </v>
      </c>
      <c r="V93" s="334" t="str">
        <f aca="false">IF((E93="o"),G93," ")</f>
        <v> </v>
      </c>
      <c r="W93" s="334" t="str">
        <f aca="false">IF((E93="f"),G93," ")</f>
        <v> </v>
      </c>
    </row>
    <row r="94" customFormat="false" ht="12.75" hidden="false" customHeight="false" outlineLevel="0" collapsed="false">
      <c r="A94" s="355"/>
      <c r="E94" s="365" t="str">
        <f aca="false">IF((G94&lt;&gt;0),"Enter Letter"," ")</f>
        <v> </v>
      </c>
      <c r="H94" s="338" t="str">
        <f aca="false">IF((G94&lt;&gt;0),IF((D94&gt;0)," ",G94)," ")</f>
        <v> </v>
      </c>
      <c r="I94" s="367" t="str">
        <f aca="false">IF((G94&lt;&gt;0),IF((D94&gt;0)," ",(I$1-A94))," ")</f>
        <v> </v>
      </c>
      <c r="J94" s="334" t="str">
        <f aca="false">IF((E94="s"),G94," ")</f>
        <v> </v>
      </c>
      <c r="K94" s="334" t="str">
        <f aca="false">IF((E94="d"),G94," ")</f>
        <v> </v>
      </c>
      <c r="L94" s="334" t="str">
        <f aca="false">IF((E94="e"),G94," ")</f>
        <v> </v>
      </c>
      <c r="M94" s="334" t="str">
        <f aca="false">IF((E94="p"),G94," ")</f>
        <v> </v>
      </c>
      <c r="N94" s="334" t="str">
        <f aca="false">IF((E94="r"),G94," ")</f>
        <v> </v>
      </c>
      <c r="O94" s="334" t="str">
        <f aca="false">IF((E94="g"),G94," ")</f>
        <v> </v>
      </c>
      <c r="P94" s="334" t="str">
        <f aca="false">IF((E94="m"),G94," ")</f>
        <v> </v>
      </c>
      <c r="Q94" s="334" t="str">
        <f aca="false">IF((E94="t"),G94," ")</f>
        <v> </v>
      </c>
      <c r="R94" s="334" t="str">
        <f aca="false">IF((E94="a"),G94," ")</f>
        <v> </v>
      </c>
      <c r="S94" s="334" t="str">
        <f aca="false">IF((E94="l"),G94," ")</f>
        <v> </v>
      </c>
      <c r="T94" s="334" t="str">
        <f aca="false">IF((E94="b"),G94," ")</f>
        <v> </v>
      </c>
      <c r="U94" s="334" t="str">
        <f aca="false">IF((E94="i"),G94," ")</f>
        <v> </v>
      </c>
      <c r="V94" s="334" t="str">
        <f aca="false">IF((E94="o"),G94," ")</f>
        <v> </v>
      </c>
      <c r="W94" s="334" t="str">
        <f aca="false">IF((E94="f"),G94," ")</f>
        <v> </v>
      </c>
    </row>
    <row r="95" customFormat="false" ht="12.75" hidden="false" customHeight="false" outlineLevel="0" collapsed="false">
      <c r="A95" s="355"/>
      <c r="E95" s="365" t="str">
        <f aca="false">IF((G95&lt;&gt;0),"Enter Letter"," ")</f>
        <v> </v>
      </c>
      <c r="H95" s="338" t="str">
        <f aca="false">IF((G95&lt;&gt;0),IF((D95&gt;0)," ",G95)," ")</f>
        <v> </v>
      </c>
      <c r="I95" s="367" t="str">
        <f aca="false">IF((G95&lt;&gt;0),IF((D95&gt;0)," ",(I$1-A95))," ")</f>
        <v> </v>
      </c>
      <c r="J95" s="334" t="str">
        <f aca="false">IF((E95="s"),G95," ")</f>
        <v> </v>
      </c>
      <c r="K95" s="334" t="str">
        <f aca="false">IF((E95="d"),G95," ")</f>
        <v> </v>
      </c>
      <c r="L95" s="334" t="str">
        <f aca="false">IF((E95="e"),G95," ")</f>
        <v> </v>
      </c>
      <c r="M95" s="334" t="str">
        <f aca="false">IF((E95="p"),G95," ")</f>
        <v> </v>
      </c>
      <c r="N95" s="334" t="str">
        <f aca="false">IF((E95="r"),G95," ")</f>
        <v> </v>
      </c>
      <c r="O95" s="334" t="str">
        <f aca="false">IF((E95="g"),G95," ")</f>
        <v> </v>
      </c>
      <c r="P95" s="334" t="str">
        <f aca="false">IF((E95="m"),G95," ")</f>
        <v> </v>
      </c>
      <c r="Q95" s="334" t="str">
        <f aca="false">IF((E95="t"),G95," ")</f>
        <v> </v>
      </c>
      <c r="R95" s="334" t="str">
        <f aca="false">IF((E95="a"),G95," ")</f>
        <v> </v>
      </c>
      <c r="S95" s="334" t="str">
        <f aca="false">IF((E95="l"),G95," ")</f>
        <v> </v>
      </c>
      <c r="T95" s="334" t="str">
        <f aca="false">IF((E95="b"),G95," ")</f>
        <v> </v>
      </c>
      <c r="U95" s="334" t="str">
        <f aca="false">IF((E95="i"),G95," ")</f>
        <v> </v>
      </c>
      <c r="V95" s="334" t="str">
        <f aca="false">IF((E95="o"),G95," ")</f>
        <v> </v>
      </c>
      <c r="W95" s="334" t="str">
        <f aca="false">IF((E95="f"),G95," ")</f>
        <v> </v>
      </c>
    </row>
    <row r="96" customFormat="false" ht="12.75" hidden="false" customHeight="false" outlineLevel="0" collapsed="false">
      <c r="A96" s="355"/>
      <c r="E96" s="365" t="str">
        <f aca="false">IF((G96&lt;&gt;0),"Enter Letter"," ")</f>
        <v> </v>
      </c>
      <c r="H96" s="338" t="str">
        <f aca="false">IF((G96&lt;&gt;0),IF((D96&gt;0)," ",G96)," ")</f>
        <v> </v>
      </c>
      <c r="I96" s="367" t="str">
        <f aca="false">IF((G96&lt;&gt;0),IF((D96&gt;0)," ",(I$1-A96))," ")</f>
        <v> </v>
      </c>
      <c r="J96" s="334" t="str">
        <f aca="false">IF((E96="s"),G96," ")</f>
        <v> </v>
      </c>
      <c r="K96" s="334" t="str">
        <f aca="false">IF((E96="d"),G96," ")</f>
        <v> </v>
      </c>
      <c r="L96" s="334" t="str">
        <f aca="false">IF((E96="e"),G96," ")</f>
        <v> </v>
      </c>
      <c r="M96" s="334" t="str">
        <f aca="false">IF((E96="p"),G96," ")</f>
        <v> </v>
      </c>
      <c r="N96" s="334" t="str">
        <f aca="false">IF((E96="r"),G96," ")</f>
        <v> </v>
      </c>
      <c r="O96" s="334" t="str">
        <f aca="false">IF((E96="g"),G96," ")</f>
        <v> </v>
      </c>
      <c r="P96" s="334" t="str">
        <f aca="false">IF((E96="m"),G96," ")</f>
        <v> </v>
      </c>
      <c r="Q96" s="334" t="str">
        <f aca="false">IF((E96="t"),G96," ")</f>
        <v> </v>
      </c>
      <c r="R96" s="334" t="str">
        <f aca="false">IF((E96="a"),G96," ")</f>
        <v> </v>
      </c>
      <c r="S96" s="334" t="str">
        <f aca="false">IF((E96="l"),G96," ")</f>
        <v> </v>
      </c>
      <c r="T96" s="334" t="str">
        <f aca="false">IF((E96="b"),G96," ")</f>
        <v> </v>
      </c>
      <c r="U96" s="334" t="str">
        <f aca="false">IF((E96="i"),G96," ")</f>
        <v> </v>
      </c>
      <c r="V96" s="334" t="str">
        <f aca="false">IF((E96="o"),G96," ")</f>
        <v> </v>
      </c>
      <c r="W96" s="334" t="str">
        <f aca="false">IF((E96="f"),G96," ")</f>
        <v> </v>
      </c>
    </row>
    <row r="97" customFormat="false" ht="12.75" hidden="false" customHeight="false" outlineLevel="0" collapsed="false">
      <c r="A97" s="355"/>
      <c r="E97" s="365" t="str">
        <f aca="false">IF((G97&lt;&gt;0),"Enter Letter"," ")</f>
        <v> </v>
      </c>
      <c r="H97" s="338" t="str">
        <f aca="false">IF((G97&lt;&gt;0),IF((D97&gt;0)," ",G97)," ")</f>
        <v> </v>
      </c>
      <c r="I97" s="367" t="str">
        <f aca="false">IF((G97&lt;&gt;0),IF((D97&gt;0)," ",(I$1-A97))," ")</f>
        <v> </v>
      </c>
      <c r="J97" s="334" t="str">
        <f aca="false">IF((E97="s"),G97," ")</f>
        <v> </v>
      </c>
      <c r="K97" s="334" t="str">
        <f aca="false">IF((E97="d"),G97," ")</f>
        <v> </v>
      </c>
      <c r="L97" s="334" t="str">
        <f aca="false">IF((E97="e"),G97," ")</f>
        <v> </v>
      </c>
      <c r="M97" s="334" t="str">
        <f aca="false">IF((E97="p"),G97," ")</f>
        <v> </v>
      </c>
      <c r="N97" s="334" t="str">
        <f aca="false">IF((E97="r"),G97," ")</f>
        <v> </v>
      </c>
      <c r="O97" s="334" t="str">
        <f aca="false">IF((E97="g"),G97," ")</f>
        <v> </v>
      </c>
      <c r="P97" s="334" t="str">
        <f aca="false">IF((E97="m"),G97," ")</f>
        <v> </v>
      </c>
      <c r="Q97" s="334" t="str">
        <f aca="false">IF((E97="t"),G97," ")</f>
        <v> </v>
      </c>
      <c r="R97" s="334" t="str">
        <f aca="false">IF((E97="a"),G97," ")</f>
        <v> </v>
      </c>
      <c r="S97" s="334" t="str">
        <f aca="false">IF((E97="l"),G97," ")</f>
        <v> </v>
      </c>
      <c r="T97" s="334" t="str">
        <f aca="false">IF((E97="b"),G97," ")</f>
        <v> </v>
      </c>
      <c r="U97" s="334" t="str">
        <f aca="false">IF((E97="i"),G97," ")</f>
        <v> </v>
      </c>
      <c r="V97" s="334" t="str">
        <f aca="false">IF((E97="o"),G97," ")</f>
        <v> </v>
      </c>
      <c r="W97" s="334" t="str">
        <f aca="false">IF((E97="f"),G97," ")</f>
        <v> </v>
      </c>
    </row>
    <row r="98" customFormat="false" ht="12.75" hidden="false" customHeight="false" outlineLevel="0" collapsed="false">
      <c r="A98" s="355"/>
      <c r="E98" s="365" t="str">
        <f aca="false">IF((G98&lt;&gt;0),"Enter Letter"," ")</f>
        <v> </v>
      </c>
      <c r="H98" s="338" t="str">
        <f aca="false">IF((G98&lt;&gt;0),IF((D98&gt;0)," ",G98)," ")</f>
        <v> </v>
      </c>
      <c r="I98" s="367" t="str">
        <f aca="false">IF((G98&lt;&gt;0),IF((D98&gt;0)," ",(I$1-A98))," ")</f>
        <v> </v>
      </c>
      <c r="J98" s="334" t="str">
        <f aca="false">IF((E98="s"),G98," ")</f>
        <v> </v>
      </c>
      <c r="K98" s="334" t="str">
        <f aca="false">IF((E98="d"),G98," ")</f>
        <v> </v>
      </c>
      <c r="L98" s="334" t="str">
        <f aca="false">IF((E98="e"),G98," ")</f>
        <v> </v>
      </c>
      <c r="M98" s="334" t="str">
        <f aca="false">IF((E98="p"),G98," ")</f>
        <v> </v>
      </c>
      <c r="N98" s="334" t="str">
        <f aca="false">IF((E98="r"),G98," ")</f>
        <v> </v>
      </c>
      <c r="O98" s="334" t="str">
        <f aca="false">IF((E98="g"),G98," ")</f>
        <v> </v>
      </c>
      <c r="P98" s="334" t="str">
        <f aca="false">IF((E98="m"),G98," ")</f>
        <v> </v>
      </c>
      <c r="Q98" s="334" t="str">
        <f aca="false">IF((E98="t"),G98," ")</f>
        <v> </v>
      </c>
      <c r="R98" s="334" t="str">
        <f aca="false">IF((E98="a"),G98," ")</f>
        <v> </v>
      </c>
      <c r="S98" s="334" t="str">
        <f aca="false">IF((E98="l"),G98," ")</f>
        <v> </v>
      </c>
      <c r="T98" s="334" t="str">
        <f aca="false">IF((E98="b"),G98," ")</f>
        <v> </v>
      </c>
      <c r="U98" s="334" t="str">
        <f aca="false">IF((E98="i"),G98," ")</f>
        <v> </v>
      </c>
      <c r="V98" s="334" t="str">
        <f aca="false">IF((E98="o"),G98," ")</f>
        <v> </v>
      </c>
      <c r="W98" s="334" t="str">
        <f aca="false">IF((E98="f"),G98," ")</f>
        <v> </v>
      </c>
    </row>
    <row r="99" customFormat="false" ht="12.75" hidden="false" customHeight="false" outlineLevel="0" collapsed="false">
      <c r="A99" s="355"/>
      <c r="E99" s="365" t="str">
        <f aca="false">IF((G99&lt;&gt;0),"Enter Letter"," ")</f>
        <v> </v>
      </c>
      <c r="H99" s="338" t="str">
        <f aca="false">IF((G99&lt;&gt;0),IF((D99&gt;0)," ",G99)," ")</f>
        <v> </v>
      </c>
      <c r="I99" s="367" t="str">
        <f aca="false">IF((G99&lt;&gt;0),IF((D99&gt;0)," ",(I$1-A99))," ")</f>
        <v> </v>
      </c>
      <c r="J99" s="334" t="str">
        <f aca="false">IF((E99="s"),G99," ")</f>
        <v> </v>
      </c>
      <c r="K99" s="334" t="str">
        <f aca="false">IF((E99="d"),G99," ")</f>
        <v> </v>
      </c>
      <c r="L99" s="334" t="str">
        <f aca="false">IF((E99="e"),G99," ")</f>
        <v> </v>
      </c>
      <c r="M99" s="334" t="str">
        <f aca="false">IF((E99="p"),G99," ")</f>
        <v> </v>
      </c>
      <c r="N99" s="334" t="str">
        <f aca="false">IF((E99="r"),G99," ")</f>
        <v> </v>
      </c>
      <c r="O99" s="334" t="str">
        <f aca="false">IF((E99="g"),G99," ")</f>
        <v> </v>
      </c>
      <c r="P99" s="334" t="str">
        <f aca="false">IF((E99="m"),G99," ")</f>
        <v> </v>
      </c>
      <c r="Q99" s="334" t="str">
        <f aca="false">IF((E99="t"),G99," ")</f>
        <v> </v>
      </c>
      <c r="R99" s="334" t="str">
        <f aca="false">IF((E99="a"),G99," ")</f>
        <v> </v>
      </c>
      <c r="S99" s="334" t="str">
        <f aca="false">IF((E99="l"),G99," ")</f>
        <v> </v>
      </c>
      <c r="T99" s="334" t="str">
        <f aca="false">IF((E99="b"),G99," ")</f>
        <v> </v>
      </c>
      <c r="U99" s="334" t="str">
        <f aca="false">IF((E99="i"),G99," ")</f>
        <v> </v>
      </c>
      <c r="V99" s="334" t="str">
        <f aca="false">IF((E99="o"),G99," ")</f>
        <v> </v>
      </c>
      <c r="W99" s="334" t="str">
        <f aca="false">IF((E99="f"),G99," ")</f>
        <v> </v>
      </c>
    </row>
    <row r="100" customFormat="false" ht="12.75" hidden="false" customHeight="false" outlineLevel="0" collapsed="false">
      <c r="A100" s="355"/>
      <c r="E100" s="365" t="str">
        <f aca="false">IF((G100&lt;&gt;0),"Enter Letter"," ")</f>
        <v> </v>
      </c>
      <c r="H100" s="338" t="str">
        <f aca="false">IF((G100&lt;&gt;0),IF((D100&gt;0)," ",G100)," ")</f>
        <v> </v>
      </c>
      <c r="I100" s="367" t="str">
        <f aca="false">IF((G100&lt;&gt;0),IF((D100&gt;0)," ",(I$1-A100))," ")</f>
        <v> </v>
      </c>
      <c r="J100" s="334" t="str">
        <f aca="false">IF((E100="s"),G100," ")</f>
        <v> </v>
      </c>
      <c r="K100" s="334" t="str">
        <f aca="false">IF((E100="d"),G100," ")</f>
        <v> </v>
      </c>
      <c r="L100" s="334" t="str">
        <f aca="false">IF((E100="e"),G100," ")</f>
        <v> </v>
      </c>
      <c r="M100" s="334" t="str">
        <f aca="false">IF((E100="p"),G100," ")</f>
        <v> </v>
      </c>
      <c r="N100" s="334" t="str">
        <f aca="false">IF((E100="r"),G100," ")</f>
        <v> </v>
      </c>
      <c r="O100" s="334" t="str">
        <f aca="false">IF((E100="g"),G100," ")</f>
        <v> </v>
      </c>
      <c r="P100" s="334" t="str">
        <f aca="false">IF((E100="m"),G100," ")</f>
        <v> </v>
      </c>
      <c r="Q100" s="334" t="str">
        <f aca="false">IF((E100="t"),G100," ")</f>
        <v> </v>
      </c>
      <c r="R100" s="334" t="str">
        <f aca="false">IF((E100="a"),G100," ")</f>
        <v> </v>
      </c>
      <c r="S100" s="334" t="str">
        <f aca="false">IF((E100="l"),G100," ")</f>
        <v> </v>
      </c>
      <c r="T100" s="334" t="str">
        <f aca="false">IF((E100="b"),G100," ")</f>
        <v> </v>
      </c>
      <c r="U100" s="334" t="str">
        <f aca="false">IF((E100="i"),G100," ")</f>
        <v> </v>
      </c>
      <c r="V100" s="334" t="str">
        <f aca="false">IF((E100="o"),G100," ")</f>
        <v> </v>
      </c>
      <c r="W100" s="334" t="str">
        <f aca="false">IF((E100="f"),G100," ")</f>
        <v> </v>
      </c>
    </row>
    <row r="101" customFormat="false" ht="12.75" hidden="false" customHeight="false" outlineLevel="0" collapsed="false">
      <c r="A101" s="355"/>
      <c r="E101" s="365" t="str">
        <f aca="false">IF((G101&lt;&gt;0),"Enter Letter"," ")</f>
        <v> </v>
      </c>
      <c r="H101" s="338" t="str">
        <f aca="false">IF((G101&lt;&gt;0),IF((D101&gt;0)," ",G101)," ")</f>
        <v> </v>
      </c>
      <c r="I101" s="367" t="str">
        <f aca="false">IF((G101&lt;&gt;0),IF((D101&gt;0)," ",(I$1-A101))," ")</f>
        <v> </v>
      </c>
      <c r="J101" s="334" t="str">
        <f aca="false">IF((E101="s"),G101," ")</f>
        <v> </v>
      </c>
      <c r="K101" s="334" t="str">
        <f aca="false">IF((E101="d"),G101," ")</f>
        <v> </v>
      </c>
      <c r="L101" s="334" t="str">
        <f aca="false">IF((E101="e"),G101," ")</f>
        <v> </v>
      </c>
      <c r="M101" s="334" t="str">
        <f aca="false">IF((E101="p"),G101," ")</f>
        <v> </v>
      </c>
      <c r="N101" s="334" t="str">
        <f aca="false">IF((E101="r"),G101," ")</f>
        <v> </v>
      </c>
      <c r="O101" s="334" t="str">
        <f aca="false">IF((E101="g"),G101," ")</f>
        <v> </v>
      </c>
      <c r="P101" s="334" t="str">
        <f aca="false">IF((E101="m"),G101," ")</f>
        <v> </v>
      </c>
      <c r="Q101" s="334" t="str">
        <f aca="false">IF((E101="t"),G101," ")</f>
        <v> </v>
      </c>
      <c r="R101" s="334" t="str">
        <f aca="false">IF((E101="a"),G101," ")</f>
        <v> </v>
      </c>
      <c r="S101" s="334" t="str">
        <f aca="false">IF((E101="l"),G101," ")</f>
        <v> </v>
      </c>
      <c r="T101" s="334" t="str">
        <f aca="false">IF((E101="b"),G101," ")</f>
        <v> </v>
      </c>
      <c r="U101" s="334" t="str">
        <f aca="false">IF((E101="i"),G101," ")</f>
        <v> </v>
      </c>
      <c r="V101" s="334" t="str">
        <f aca="false">IF((E101="o"),G101," ")</f>
        <v> </v>
      </c>
      <c r="W101" s="334" t="str">
        <f aca="false">IF((E101="f"),G101," ")</f>
        <v> </v>
      </c>
    </row>
    <row r="102" customFormat="false" ht="12.75" hidden="false" customHeight="false" outlineLevel="0" collapsed="false">
      <c r="A102" s="355"/>
      <c r="E102" s="365" t="str">
        <f aca="false">IF((G102&lt;&gt;0),"Enter Letter"," ")</f>
        <v> </v>
      </c>
      <c r="H102" s="338" t="str">
        <f aca="false">IF((G102&lt;&gt;0),IF((D102&gt;0)," ",G102)," ")</f>
        <v> </v>
      </c>
      <c r="I102" s="367" t="str">
        <f aca="false">IF((G102&lt;&gt;0),IF((D102&gt;0)," ",(I$1-A102))," ")</f>
        <v> </v>
      </c>
      <c r="J102" s="334" t="str">
        <f aca="false">IF((E102="s"),G102," ")</f>
        <v> </v>
      </c>
      <c r="K102" s="334" t="str">
        <f aca="false">IF((E102="d"),G102," ")</f>
        <v> </v>
      </c>
      <c r="L102" s="334" t="str">
        <f aca="false">IF((E102="e"),G102," ")</f>
        <v> </v>
      </c>
      <c r="M102" s="334" t="str">
        <f aca="false">IF((E102="p"),G102," ")</f>
        <v> </v>
      </c>
      <c r="N102" s="334" t="str">
        <f aca="false">IF((E102="r"),G102," ")</f>
        <v> </v>
      </c>
      <c r="O102" s="334" t="str">
        <f aca="false">IF((E102="g"),G102," ")</f>
        <v> </v>
      </c>
      <c r="P102" s="334" t="str">
        <f aca="false">IF((E102="m"),G102," ")</f>
        <v> </v>
      </c>
      <c r="Q102" s="334" t="str">
        <f aca="false">IF((E102="t"),G102," ")</f>
        <v> </v>
      </c>
      <c r="R102" s="334" t="str">
        <f aca="false">IF((E102="a"),G102," ")</f>
        <v> </v>
      </c>
      <c r="S102" s="334" t="str">
        <f aca="false">IF((E102="l"),G102," ")</f>
        <v> </v>
      </c>
      <c r="T102" s="334" t="str">
        <f aca="false">IF((E102="b"),G102," ")</f>
        <v> </v>
      </c>
      <c r="U102" s="334" t="str">
        <f aca="false">IF((E102="i"),G102," ")</f>
        <v> </v>
      </c>
      <c r="V102" s="334" t="str">
        <f aca="false">IF((E102="o"),G102," ")</f>
        <v> </v>
      </c>
      <c r="W102" s="334" t="str">
        <f aca="false">IF((E102="f"),G102," ")</f>
        <v> </v>
      </c>
    </row>
    <row r="103" customFormat="false" ht="12.75" hidden="false" customHeight="false" outlineLevel="0" collapsed="false">
      <c r="A103" s="355"/>
      <c r="E103" s="365" t="str">
        <f aca="false">IF((G103&lt;&gt;0),"Enter Letter"," ")</f>
        <v> </v>
      </c>
      <c r="H103" s="338" t="str">
        <f aca="false">IF((G103&lt;&gt;0),IF((D103&gt;0)," ",G103)," ")</f>
        <v> </v>
      </c>
      <c r="I103" s="367" t="str">
        <f aca="false">IF((G103&lt;&gt;0),IF((D103&gt;0)," ",(I$1-A103))," ")</f>
        <v> </v>
      </c>
      <c r="J103" s="334" t="str">
        <f aca="false">IF((E103="s"),G103," ")</f>
        <v> </v>
      </c>
      <c r="K103" s="334" t="str">
        <f aca="false">IF((E103="d"),G103," ")</f>
        <v> </v>
      </c>
      <c r="L103" s="334" t="str">
        <f aca="false">IF((E103="e"),G103," ")</f>
        <v> </v>
      </c>
      <c r="M103" s="334" t="str">
        <f aca="false">IF((E103="p"),G103," ")</f>
        <v> </v>
      </c>
      <c r="N103" s="334" t="str">
        <f aca="false">IF((E103="r"),G103," ")</f>
        <v> </v>
      </c>
      <c r="O103" s="334" t="str">
        <f aca="false">IF((E103="g"),G103," ")</f>
        <v> </v>
      </c>
      <c r="P103" s="334" t="str">
        <f aca="false">IF((E103="m"),G103," ")</f>
        <v> </v>
      </c>
      <c r="Q103" s="334" t="str">
        <f aca="false">IF((E103="t"),G103," ")</f>
        <v> </v>
      </c>
      <c r="R103" s="334" t="str">
        <f aca="false">IF((E103="a"),G103," ")</f>
        <v> </v>
      </c>
      <c r="S103" s="334" t="str">
        <f aca="false">IF((E103="l"),G103," ")</f>
        <v> </v>
      </c>
      <c r="T103" s="334" t="str">
        <f aca="false">IF((E103="b"),G103," ")</f>
        <v> </v>
      </c>
      <c r="U103" s="334" t="str">
        <f aca="false">IF((E103="i"),G103," ")</f>
        <v> </v>
      </c>
      <c r="V103" s="334" t="str">
        <f aca="false">IF((E103="o"),G103," ")</f>
        <v> </v>
      </c>
      <c r="W103" s="334" t="str">
        <f aca="false">IF((E103="f"),G103," ")</f>
        <v> </v>
      </c>
    </row>
    <row r="104" customFormat="false" ht="12.75" hidden="false" customHeight="false" outlineLevel="0" collapsed="false">
      <c r="A104" s="355"/>
      <c r="E104" s="365" t="str">
        <f aca="false">IF((G104&lt;&gt;0),"Enter Letter"," ")</f>
        <v> </v>
      </c>
      <c r="H104" s="338" t="str">
        <f aca="false">IF((G104&lt;&gt;0),IF((D104&gt;0)," ",G104)," ")</f>
        <v> </v>
      </c>
      <c r="I104" s="367" t="str">
        <f aca="false">IF((G104&lt;&gt;0),IF((D104&gt;0)," ",(I$1-A104))," ")</f>
        <v> </v>
      </c>
      <c r="J104" s="334" t="str">
        <f aca="false">IF((E104="s"),G104," ")</f>
        <v> </v>
      </c>
      <c r="K104" s="334" t="str">
        <f aca="false">IF((E104="d"),G104," ")</f>
        <v> </v>
      </c>
      <c r="L104" s="334" t="str">
        <f aca="false">IF((E104="e"),G104," ")</f>
        <v> </v>
      </c>
      <c r="M104" s="334" t="str">
        <f aca="false">IF((E104="p"),G104," ")</f>
        <v> </v>
      </c>
      <c r="N104" s="334" t="str">
        <f aca="false">IF((E104="r"),G104," ")</f>
        <v> </v>
      </c>
      <c r="O104" s="334" t="str">
        <f aca="false">IF((E104="g"),G104," ")</f>
        <v> </v>
      </c>
      <c r="P104" s="334" t="str">
        <f aca="false">IF((E104="m"),G104," ")</f>
        <v> </v>
      </c>
      <c r="Q104" s="334" t="str">
        <f aca="false">IF((E104="t"),G104," ")</f>
        <v> </v>
      </c>
      <c r="R104" s="334" t="str">
        <f aca="false">IF((E104="a"),G104," ")</f>
        <v> </v>
      </c>
      <c r="S104" s="334" t="str">
        <f aca="false">IF((E104="l"),G104," ")</f>
        <v> </v>
      </c>
      <c r="T104" s="334" t="str">
        <f aca="false">IF((E104="b"),G104," ")</f>
        <v> </v>
      </c>
      <c r="U104" s="334" t="str">
        <f aca="false">IF((E104="i"),G104," ")</f>
        <v> </v>
      </c>
      <c r="V104" s="334" t="str">
        <f aca="false">IF((E104="o"),G104," ")</f>
        <v> </v>
      </c>
      <c r="W104" s="334" t="str">
        <f aca="false">IF((E104="f"),G104," ")</f>
        <v> </v>
      </c>
    </row>
    <row r="105" customFormat="false" ht="12.75" hidden="false" customHeight="false" outlineLevel="0" collapsed="false">
      <c r="A105" s="355"/>
      <c r="E105" s="365" t="str">
        <f aca="false">IF((G105&lt;&gt;0),"Enter Letter"," ")</f>
        <v> </v>
      </c>
      <c r="H105" s="338" t="str">
        <f aca="false">IF((G105&lt;&gt;0),IF((D105&gt;0)," ",G105)," ")</f>
        <v> </v>
      </c>
      <c r="I105" s="367" t="str">
        <f aca="false">IF((G105&lt;&gt;0),IF((D105&gt;0)," ",(I$1-A105))," ")</f>
        <v> </v>
      </c>
      <c r="J105" s="334" t="str">
        <f aca="false">IF((E105="s"),G105," ")</f>
        <v> </v>
      </c>
      <c r="K105" s="334" t="str">
        <f aca="false">IF((E105="d"),G105," ")</f>
        <v> </v>
      </c>
      <c r="L105" s="334" t="str">
        <f aca="false">IF((E105="e"),G105," ")</f>
        <v> </v>
      </c>
      <c r="M105" s="334" t="str">
        <f aca="false">IF((E105="p"),G105," ")</f>
        <v> </v>
      </c>
      <c r="N105" s="334" t="str">
        <f aca="false">IF((E105="r"),G105," ")</f>
        <v> </v>
      </c>
      <c r="O105" s="334" t="str">
        <f aca="false">IF((E105="g"),G105," ")</f>
        <v> </v>
      </c>
      <c r="P105" s="334" t="str">
        <f aca="false">IF((E105="m"),G105," ")</f>
        <v> </v>
      </c>
      <c r="Q105" s="334" t="str">
        <f aca="false">IF((E105="t"),G105," ")</f>
        <v> </v>
      </c>
      <c r="R105" s="334" t="str">
        <f aca="false">IF((E105="a"),G105," ")</f>
        <v> </v>
      </c>
      <c r="S105" s="334" t="str">
        <f aca="false">IF((E105="l"),G105," ")</f>
        <v> </v>
      </c>
      <c r="T105" s="334" t="str">
        <f aca="false">IF((E105="b"),G105," ")</f>
        <v> </v>
      </c>
      <c r="U105" s="334" t="str">
        <f aca="false">IF((E105="i"),G105," ")</f>
        <v> </v>
      </c>
      <c r="V105" s="334" t="str">
        <f aca="false">IF((E105="o"),G105," ")</f>
        <v> </v>
      </c>
      <c r="W105" s="334" t="str">
        <f aca="false">IF((E105="f"),G105," ")</f>
        <v> </v>
      </c>
    </row>
    <row r="106" customFormat="false" ht="12.75" hidden="false" customHeight="false" outlineLevel="0" collapsed="false">
      <c r="A106" s="355"/>
      <c r="E106" s="365" t="str">
        <f aca="false">IF((G106&lt;&gt;0),"Enter Letter"," ")</f>
        <v> </v>
      </c>
      <c r="H106" s="338" t="str">
        <f aca="false">IF((G106&lt;&gt;0),IF((D106&gt;0)," ",G106)," ")</f>
        <v> </v>
      </c>
      <c r="I106" s="367" t="str">
        <f aca="false">IF((G106&lt;&gt;0),IF((D106&gt;0)," ",(I$1-A106))," ")</f>
        <v> </v>
      </c>
      <c r="J106" s="334" t="str">
        <f aca="false">IF((E106="s"),G106," ")</f>
        <v> </v>
      </c>
      <c r="K106" s="334" t="str">
        <f aca="false">IF((E106="d"),G106," ")</f>
        <v> </v>
      </c>
      <c r="L106" s="334" t="str">
        <f aca="false">IF((E106="e"),G106," ")</f>
        <v> </v>
      </c>
      <c r="M106" s="334" t="str">
        <f aca="false">IF((E106="p"),G106," ")</f>
        <v> </v>
      </c>
      <c r="N106" s="334" t="str">
        <f aca="false">IF((E106="r"),G106," ")</f>
        <v> </v>
      </c>
      <c r="O106" s="334" t="str">
        <f aca="false">IF((E106="g"),G106," ")</f>
        <v> </v>
      </c>
      <c r="P106" s="334" t="str">
        <f aca="false">IF((E106="m"),G106," ")</f>
        <v> </v>
      </c>
      <c r="Q106" s="334" t="str">
        <f aca="false">IF((E106="t"),G106," ")</f>
        <v> </v>
      </c>
      <c r="R106" s="334" t="str">
        <f aca="false">IF((E106="a"),G106," ")</f>
        <v> </v>
      </c>
      <c r="S106" s="334" t="str">
        <f aca="false">IF((E106="l"),G106," ")</f>
        <v> </v>
      </c>
      <c r="T106" s="334" t="str">
        <f aca="false">IF((E106="b"),G106," ")</f>
        <v> </v>
      </c>
      <c r="U106" s="334" t="str">
        <f aca="false">IF((E106="i"),G106," ")</f>
        <v> </v>
      </c>
      <c r="V106" s="334" t="str">
        <f aca="false">IF((E106="o"),G106," ")</f>
        <v> </v>
      </c>
      <c r="W106" s="334" t="str">
        <f aca="false">IF((E106="f"),G106," ")</f>
        <v> </v>
      </c>
    </row>
    <row r="107" customFormat="false" ht="12.75" hidden="false" customHeight="false" outlineLevel="0" collapsed="false">
      <c r="A107" s="355"/>
      <c r="E107" s="365" t="str">
        <f aca="false">IF((G107&lt;&gt;0),"Enter Letter"," ")</f>
        <v> </v>
      </c>
      <c r="H107" s="338" t="str">
        <f aca="false">IF((G107&lt;&gt;0),IF((D107&gt;0)," ",G107)," ")</f>
        <v> </v>
      </c>
      <c r="I107" s="367" t="str">
        <f aca="false">IF((G107&lt;&gt;0),IF((D107&gt;0)," ",(I$1-A107))," ")</f>
        <v> </v>
      </c>
      <c r="J107" s="334" t="str">
        <f aca="false">IF((E107="s"),G107," ")</f>
        <v> </v>
      </c>
      <c r="K107" s="334" t="str">
        <f aca="false">IF((E107="d"),G107," ")</f>
        <v> </v>
      </c>
      <c r="L107" s="334" t="str">
        <f aca="false">IF((E107="e"),G107," ")</f>
        <v> </v>
      </c>
      <c r="M107" s="334" t="str">
        <f aca="false">IF((E107="p"),G107," ")</f>
        <v> </v>
      </c>
      <c r="N107" s="334" t="str">
        <f aca="false">IF((E107="r"),G107," ")</f>
        <v> </v>
      </c>
      <c r="O107" s="334" t="str">
        <f aca="false">IF((E107="g"),G107," ")</f>
        <v> </v>
      </c>
      <c r="P107" s="334" t="str">
        <f aca="false">IF((E107="m"),G107," ")</f>
        <v> </v>
      </c>
      <c r="Q107" s="334" t="str">
        <f aca="false">IF((E107="t"),G107," ")</f>
        <v> </v>
      </c>
      <c r="R107" s="334" t="str">
        <f aca="false">IF((E107="a"),G107," ")</f>
        <v> </v>
      </c>
      <c r="S107" s="334" t="str">
        <f aca="false">IF((E107="l"),G107," ")</f>
        <v> </v>
      </c>
      <c r="T107" s="334" t="str">
        <f aca="false">IF((E107="b"),G107," ")</f>
        <v> </v>
      </c>
      <c r="U107" s="334" t="str">
        <f aca="false">IF((E107="i"),G107," ")</f>
        <v> </v>
      </c>
      <c r="V107" s="334" t="str">
        <f aca="false">IF((E107="o"),G107," ")</f>
        <v> </v>
      </c>
      <c r="W107" s="334" t="str">
        <f aca="false">IF((E107="f"),G107," ")</f>
        <v> </v>
      </c>
    </row>
    <row r="108" customFormat="false" ht="12.75" hidden="false" customHeight="false" outlineLevel="0" collapsed="false">
      <c r="A108" s="355"/>
      <c r="E108" s="365" t="str">
        <f aca="false">IF((G108&lt;&gt;0),"Enter Letter"," ")</f>
        <v> </v>
      </c>
      <c r="H108" s="338" t="str">
        <f aca="false">IF((G108&lt;&gt;0),IF((D108&gt;0)," ",G108)," ")</f>
        <v> </v>
      </c>
      <c r="I108" s="367" t="str">
        <f aca="false">IF((G108&lt;&gt;0),IF((D108&gt;0)," ",(I$1-A108))," ")</f>
        <v> </v>
      </c>
      <c r="J108" s="334" t="str">
        <f aca="false">IF((E108="s"),G108," ")</f>
        <v> </v>
      </c>
      <c r="K108" s="334" t="str">
        <f aca="false">IF((E108="d"),G108," ")</f>
        <v> </v>
      </c>
      <c r="L108" s="334" t="str">
        <f aca="false">IF((E108="e"),G108," ")</f>
        <v> </v>
      </c>
      <c r="M108" s="334" t="str">
        <f aca="false">IF((E108="p"),G108," ")</f>
        <v> </v>
      </c>
      <c r="N108" s="334" t="str">
        <f aca="false">IF((E108="r"),G108," ")</f>
        <v> </v>
      </c>
      <c r="O108" s="334" t="str">
        <f aca="false">IF((E108="g"),G108," ")</f>
        <v> </v>
      </c>
      <c r="P108" s="334" t="str">
        <f aca="false">IF((E108="m"),G108," ")</f>
        <v> </v>
      </c>
      <c r="Q108" s="334" t="str">
        <f aca="false">IF((E108="t"),G108," ")</f>
        <v> </v>
      </c>
      <c r="R108" s="334" t="str">
        <f aca="false">IF((E108="a"),G108," ")</f>
        <v> </v>
      </c>
      <c r="S108" s="334" t="str">
        <f aca="false">IF((E108="l"),G108," ")</f>
        <v> </v>
      </c>
      <c r="T108" s="334" t="str">
        <f aca="false">IF((E108="b"),G108," ")</f>
        <v> </v>
      </c>
      <c r="U108" s="334" t="str">
        <f aca="false">IF((E108="i"),G108," ")</f>
        <v> </v>
      </c>
      <c r="V108" s="334" t="str">
        <f aca="false">IF((E108="o"),G108," ")</f>
        <v> </v>
      </c>
      <c r="W108" s="334" t="str">
        <f aca="false">IF((E108="f"),G108," ")</f>
        <v> </v>
      </c>
    </row>
    <row r="109" customFormat="false" ht="12.75" hidden="false" customHeight="false" outlineLevel="0" collapsed="false">
      <c r="A109" s="355"/>
      <c r="E109" s="365" t="str">
        <f aca="false">IF((G109&lt;&gt;0),"Enter Letter"," ")</f>
        <v> </v>
      </c>
      <c r="H109" s="338" t="str">
        <f aca="false">IF((G109&lt;&gt;0),IF((D109&gt;0)," ",G109)," ")</f>
        <v> </v>
      </c>
      <c r="I109" s="367" t="str">
        <f aca="false">IF((G109&lt;&gt;0),IF((D109&gt;0)," ",(I$1-A109))," ")</f>
        <v> </v>
      </c>
      <c r="J109" s="334" t="str">
        <f aca="false">IF((E109="s"),G109," ")</f>
        <v> </v>
      </c>
      <c r="K109" s="334" t="str">
        <f aca="false">IF((E109="d"),G109," ")</f>
        <v> </v>
      </c>
      <c r="L109" s="334" t="str">
        <f aca="false">IF((E109="e"),G109," ")</f>
        <v> </v>
      </c>
      <c r="M109" s="334" t="str">
        <f aca="false">IF((E109="p"),G109," ")</f>
        <v> </v>
      </c>
      <c r="N109" s="334" t="str">
        <f aca="false">IF((E109="r"),G109," ")</f>
        <v> </v>
      </c>
      <c r="O109" s="334" t="str">
        <f aca="false">IF((E109="g"),G109," ")</f>
        <v> </v>
      </c>
      <c r="P109" s="334" t="str">
        <f aca="false">IF((E109="m"),G109," ")</f>
        <v> </v>
      </c>
      <c r="Q109" s="334" t="str">
        <f aca="false">IF((E109="t"),G109," ")</f>
        <v> </v>
      </c>
      <c r="R109" s="334" t="str">
        <f aca="false">IF((E109="a"),G109," ")</f>
        <v> </v>
      </c>
      <c r="S109" s="334" t="str">
        <f aca="false">IF((E109="l"),G109," ")</f>
        <v> </v>
      </c>
      <c r="T109" s="334" t="str">
        <f aca="false">IF((E109="b"),G109," ")</f>
        <v> </v>
      </c>
      <c r="U109" s="334" t="str">
        <f aca="false">IF((E109="i"),G109," ")</f>
        <v> </v>
      </c>
      <c r="V109" s="334" t="str">
        <f aca="false">IF((E109="o"),G109," ")</f>
        <v> </v>
      </c>
      <c r="W109" s="334" t="str">
        <f aca="false">IF((E109="f"),G109," ")</f>
        <v> </v>
      </c>
    </row>
    <row r="110" customFormat="false" ht="12.75" hidden="false" customHeight="false" outlineLevel="0" collapsed="false">
      <c r="A110" s="355"/>
      <c r="E110" s="365" t="str">
        <f aca="false">IF((G110&lt;&gt;0),"Enter Letter"," ")</f>
        <v> </v>
      </c>
      <c r="H110" s="338" t="str">
        <f aca="false">IF((G110&lt;&gt;0),IF((D110&gt;0)," ",G110)," ")</f>
        <v> </v>
      </c>
      <c r="I110" s="367" t="str">
        <f aca="false">IF((G110&lt;&gt;0),IF((D110&gt;0)," ",(I$1-A110))," ")</f>
        <v> </v>
      </c>
      <c r="J110" s="334" t="str">
        <f aca="false">IF((E110="s"),G110," ")</f>
        <v> </v>
      </c>
      <c r="K110" s="334" t="str">
        <f aca="false">IF((E110="d"),G110," ")</f>
        <v> </v>
      </c>
      <c r="L110" s="334" t="str">
        <f aca="false">IF((E110="e"),G110," ")</f>
        <v> </v>
      </c>
      <c r="M110" s="334" t="str">
        <f aca="false">IF((E110="p"),G110," ")</f>
        <v> </v>
      </c>
      <c r="N110" s="334" t="str">
        <f aca="false">IF((E110="r"),G110," ")</f>
        <v> </v>
      </c>
      <c r="O110" s="334" t="str">
        <f aca="false">IF((E110="g"),G110," ")</f>
        <v> </v>
      </c>
      <c r="P110" s="334" t="str">
        <f aca="false">IF((E110="m"),G110," ")</f>
        <v> </v>
      </c>
      <c r="Q110" s="334" t="str">
        <f aca="false">IF((E110="t"),G110," ")</f>
        <v> </v>
      </c>
      <c r="R110" s="334" t="str">
        <f aca="false">IF((E110="a"),G110," ")</f>
        <v> </v>
      </c>
      <c r="S110" s="334" t="str">
        <f aca="false">IF((E110="l"),G110," ")</f>
        <v> </v>
      </c>
      <c r="T110" s="334" t="str">
        <f aca="false">IF((E110="b"),G110," ")</f>
        <v> </v>
      </c>
      <c r="U110" s="334" t="str">
        <f aca="false">IF((E110="i"),G110," ")</f>
        <v> </v>
      </c>
      <c r="V110" s="334" t="str">
        <f aca="false">IF((E110="o"),G110," ")</f>
        <v> </v>
      </c>
      <c r="W110" s="334" t="str">
        <f aca="false">IF((E110="f"),G110," ")</f>
        <v> </v>
      </c>
    </row>
    <row r="111" customFormat="false" ht="12.75" hidden="false" customHeight="false" outlineLevel="0" collapsed="false">
      <c r="A111" s="355"/>
      <c r="E111" s="365" t="str">
        <f aca="false">IF((G111&lt;&gt;0),"Enter Letter"," ")</f>
        <v> </v>
      </c>
      <c r="H111" s="338" t="str">
        <f aca="false">IF((G111&lt;&gt;0),IF((D111&gt;0)," ",G111)," ")</f>
        <v> </v>
      </c>
      <c r="I111" s="367" t="str">
        <f aca="false">IF((G111&lt;&gt;0),IF((D111&gt;0)," ",(I$1-A111))," ")</f>
        <v> </v>
      </c>
      <c r="J111" s="334" t="str">
        <f aca="false">IF((E111="s"),G111," ")</f>
        <v> </v>
      </c>
      <c r="K111" s="334" t="str">
        <f aca="false">IF((E111="d"),G111," ")</f>
        <v> </v>
      </c>
      <c r="L111" s="334" t="str">
        <f aca="false">IF((E111="e"),G111," ")</f>
        <v> </v>
      </c>
      <c r="M111" s="334" t="str">
        <f aca="false">IF((E111="p"),G111," ")</f>
        <v> </v>
      </c>
      <c r="N111" s="334" t="str">
        <f aca="false">IF((E111="r"),G111," ")</f>
        <v> </v>
      </c>
      <c r="O111" s="334" t="str">
        <f aca="false">IF((E111="g"),G111," ")</f>
        <v> </v>
      </c>
      <c r="P111" s="334" t="str">
        <f aca="false">IF((E111="m"),G111," ")</f>
        <v> </v>
      </c>
      <c r="Q111" s="334" t="str">
        <f aca="false">IF((E111="t"),G111," ")</f>
        <v> </v>
      </c>
      <c r="R111" s="334" t="str">
        <f aca="false">IF((E111="a"),G111," ")</f>
        <v> </v>
      </c>
      <c r="S111" s="334" t="str">
        <f aca="false">IF((E111="l"),G111," ")</f>
        <v> </v>
      </c>
      <c r="T111" s="334" t="str">
        <f aca="false">IF((E111="b"),G111," ")</f>
        <v> </v>
      </c>
      <c r="U111" s="334" t="str">
        <f aca="false">IF((E111="i"),G111," ")</f>
        <v> </v>
      </c>
      <c r="V111" s="334" t="str">
        <f aca="false">IF((E111="o"),G111," ")</f>
        <v> </v>
      </c>
      <c r="W111" s="334" t="str">
        <f aca="false">IF((E111="f"),G111," ")</f>
        <v> </v>
      </c>
    </row>
    <row r="112" customFormat="false" ht="12.75" hidden="false" customHeight="false" outlineLevel="0" collapsed="false">
      <c r="A112" s="355"/>
      <c r="E112" s="365" t="str">
        <f aca="false">IF((G112&lt;&gt;0),"Enter Letter"," ")</f>
        <v> </v>
      </c>
      <c r="H112" s="338" t="str">
        <f aca="false">IF((G112&lt;&gt;0),IF((D112&gt;0)," ",G112)," ")</f>
        <v> </v>
      </c>
      <c r="I112" s="367" t="str">
        <f aca="false">IF((G112&lt;&gt;0),IF((D112&gt;0)," ",(I$1-A112))," ")</f>
        <v> </v>
      </c>
      <c r="J112" s="334" t="str">
        <f aca="false">IF((E112="s"),G112," ")</f>
        <v> </v>
      </c>
      <c r="K112" s="334" t="str">
        <f aca="false">IF((E112="d"),G112," ")</f>
        <v> </v>
      </c>
      <c r="L112" s="334" t="str">
        <f aca="false">IF((E112="e"),G112," ")</f>
        <v> </v>
      </c>
      <c r="M112" s="334" t="str">
        <f aca="false">IF((E112="p"),G112," ")</f>
        <v> </v>
      </c>
      <c r="N112" s="334" t="str">
        <f aca="false">IF((E112="r"),G112," ")</f>
        <v> </v>
      </c>
      <c r="O112" s="334" t="str">
        <f aca="false">IF((E112="g"),G112," ")</f>
        <v> </v>
      </c>
      <c r="P112" s="334" t="str">
        <f aca="false">IF((E112="m"),G112," ")</f>
        <v> </v>
      </c>
      <c r="Q112" s="334" t="str">
        <f aca="false">IF((E112="t"),G112," ")</f>
        <v> </v>
      </c>
      <c r="R112" s="334" t="str">
        <f aca="false">IF((E112="a"),G112," ")</f>
        <v> </v>
      </c>
      <c r="S112" s="334" t="str">
        <f aca="false">IF((E112="l"),G112," ")</f>
        <v> </v>
      </c>
      <c r="T112" s="334" t="str">
        <f aca="false">IF((E112="b"),G112," ")</f>
        <v> </v>
      </c>
      <c r="U112" s="334" t="str">
        <f aca="false">IF((E112="i"),G112," ")</f>
        <v> </v>
      </c>
      <c r="V112" s="334" t="str">
        <f aca="false">IF((E112="o"),G112," ")</f>
        <v> </v>
      </c>
      <c r="W112" s="334" t="str">
        <f aca="false">IF((E112="f"),G112," ")</f>
        <v> </v>
      </c>
    </row>
    <row r="113" customFormat="false" ht="12.75" hidden="false" customHeight="false" outlineLevel="0" collapsed="false">
      <c r="A113" s="355"/>
      <c r="E113" s="365" t="str">
        <f aca="false">IF((G113&lt;&gt;0),"Enter Letter"," ")</f>
        <v> </v>
      </c>
      <c r="H113" s="338" t="str">
        <f aca="false">IF((G113&lt;&gt;0),IF((D113&gt;0)," ",G113)," ")</f>
        <v> </v>
      </c>
      <c r="I113" s="367" t="str">
        <f aca="false">IF((G113&lt;&gt;0),IF((D113&gt;0)," ",(I$1-A113))," ")</f>
        <v> </v>
      </c>
      <c r="J113" s="334" t="str">
        <f aca="false">IF((E113="s"),G113," ")</f>
        <v> </v>
      </c>
      <c r="K113" s="334" t="str">
        <f aca="false">IF((E113="d"),G113," ")</f>
        <v> </v>
      </c>
      <c r="L113" s="334" t="str">
        <f aca="false">IF((E113="e"),G113," ")</f>
        <v> </v>
      </c>
      <c r="M113" s="334" t="str">
        <f aca="false">IF((E113="p"),G113," ")</f>
        <v> </v>
      </c>
      <c r="N113" s="334" t="str">
        <f aca="false">IF((E113="r"),G113," ")</f>
        <v> </v>
      </c>
      <c r="O113" s="334" t="str">
        <f aca="false">IF((E113="g"),G113," ")</f>
        <v> </v>
      </c>
      <c r="P113" s="334" t="str">
        <f aca="false">IF((E113="m"),G113," ")</f>
        <v> </v>
      </c>
      <c r="Q113" s="334" t="str">
        <f aca="false">IF((E113="t"),G113," ")</f>
        <v> </v>
      </c>
      <c r="R113" s="334" t="str">
        <f aca="false">IF((E113="a"),G113," ")</f>
        <v> </v>
      </c>
      <c r="S113" s="334" t="str">
        <f aca="false">IF((E113="l"),G113," ")</f>
        <v> </v>
      </c>
      <c r="T113" s="334" t="str">
        <f aca="false">IF((E113="b"),G113," ")</f>
        <v> </v>
      </c>
      <c r="U113" s="334" t="str">
        <f aca="false">IF((E113="i"),G113," ")</f>
        <v> </v>
      </c>
      <c r="V113" s="334" t="str">
        <f aca="false">IF((E113="o"),G113," ")</f>
        <v> </v>
      </c>
      <c r="W113" s="334" t="str">
        <f aca="false">IF((E113="f"),G113," ")</f>
        <v> </v>
      </c>
    </row>
    <row r="114" customFormat="false" ht="12.75" hidden="false" customHeight="false" outlineLevel="0" collapsed="false">
      <c r="A114" s="355"/>
      <c r="E114" s="365" t="str">
        <f aca="false">IF((G114&lt;&gt;0),"Enter Letter"," ")</f>
        <v> </v>
      </c>
      <c r="H114" s="338" t="str">
        <f aca="false">IF((G114&lt;&gt;0),IF((D114&gt;0)," ",G114)," ")</f>
        <v> </v>
      </c>
      <c r="I114" s="367" t="str">
        <f aca="false">IF((G114&lt;&gt;0),IF((D114&gt;0)," ",(I$1-A114))," ")</f>
        <v> </v>
      </c>
      <c r="J114" s="334" t="str">
        <f aca="false">IF((E114="s"),G114," ")</f>
        <v> </v>
      </c>
      <c r="K114" s="334" t="str">
        <f aca="false">IF((E114="d"),G114," ")</f>
        <v> </v>
      </c>
      <c r="L114" s="334" t="str">
        <f aca="false">IF((E114="e"),G114," ")</f>
        <v> </v>
      </c>
      <c r="M114" s="334" t="str">
        <f aca="false">IF((E114="p"),G114," ")</f>
        <v> </v>
      </c>
      <c r="N114" s="334" t="str">
        <f aca="false">IF((E114="r"),G114," ")</f>
        <v> </v>
      </c>
      <c r="O114" s="334" t="str">
        <f aca="false">IF((E114="g"),G114," ")</f>
        <v> </v>
      </c>
      <c r="P114" s="334" t="str">
        <f aca="false">IF((E114="m"),G114," ")</f>
        <v> </v>
      </c>
      <c r="Q114" s="334" t="str">
        <f aca="false">IF((E114="t"),G114," ")</f>
        <v> </v>
      </c>
      <c r="R114" s="334" t="str">
        <f aca="false">IF((E114="a"),G114," ")</f>
        <v> </v>
      </c>
      <c r="S114" s="334" t="str">
        <f aca="false">IF((E114="l"),G114," ")</f>
        <v> </v>
      </c>
      <c r="T114" s="334" t="str">
        <f aca="false">IF((E114="b"),G114," ")</f>
        <v> </v>
      </c>
      <c r="U114" s="334" t="str">
        <f aca="false">IF((E114="i"),G114," ")</f>
        <v> </v>
      </c>
      <c r="V114" s="334" t="str">
        <f aca="false">IF((E114="o"),G114," ")</f>
        <v> </v>
      </c>
      <c r="W114" s="334" t="str">
        <f aca="false">IF((E114="f"),G114," ")</f>
        <v> </v>
      </c>
    </row>
    <row r="115" customFormat="false" ht="12.75" hidden="false" customHeight="false" outlineLevel="0" collapsed="false">
      <c r="A115" s="355"/>
      <c r="E115" s="365" t="str">
        <f aca="false">IF((G115&lt;&gt;0),"Enter Letter"," ")</f>
        <v> </v>
      </c>
      <c r="H115" s="338" t="str">
        <f aca="false">IF((G115&lt;&gt;0),IF((D115&gt;0)," ",G115)," ")</f>
        <v> </v>
      </c>
      <c r="I115" s="367" t="str">
        <f aca="false">IF((G115&lt;&gt;0),IF((D115&gt;0)," ",(I$1-A115))," ")</f>
        <v> </v>
      </c>
      <c r="J115" s="334" t="str">
        <f aca="false">IF((E115="s"),G115," ")</f>
        <v> </v>
      </c>
      <c r="K115" s="334" t="str">
        <f aca="false">IF((E115="d"),G115," ")</f>
        <v> </v>
      </c>
      <c r="L115" s="334" t="str">
        <f aca="false">IF((E115="e"),G115," ")</f>
        <v> </v>
      </c>
      <c r="M115" s="334" t="str">
        <f aca="false">IF((E115="p"),G115," ")</f>
        <v> </v>
      </c>
      <c r="N115" s="334" t="str">
        <f aca="false">IF((E115="r"),G115," ")</f>
        <v> </v>
      </c>
      <c r="O115" s="334" t="str">
        <f aca="false">IF((E115="g"),G115," ")</f>
        <v> </v>
      </c>
      <c r="P115" s="334" t="str">
        <f aca="false">IF((E115="m"),G115," ")</f>
        <v> </v>
      </c>
      <c r="Q115" s="334" t="str">
        <f aca="false">IF((E115="t"),G115," ")</f>
        <v> </v>
      </c>
      <c r="R115" s="334" t="str">
        <f aca="false">IF((E115="a"),G115," ")</f>
        <v> </v>
      </c>
      <c r="S115" s="334" t="str">
        <f aca="false">IF((E115="l"),G115," ")</f>
        <v> </v>
      </c>
      <c r="T115" s="334" t="str">
        <f aca="false">IF((E115="b"),G115," ")</f>
        <v> </v>
      </c>
      <c r="U115" s="334" t="str">
        <f aca="false">IF((E115="i"),G115," ")</f>
        <v> </v>
      </c>
      <c r="V115" s="334" t="str">
        <f aca="false">IF((E115="o"),G115," ")</f>
        <v> </v>
      </c>
      <c r="W115" s="334" t="str">
        <f aca="false">IF((E115="f"),G115," ")</f>
        <v> </v>
      </c>
    </row>
    <row r="116" customFormat="false" ht="12.75" hidden="false" customHeight="false" outlineLevel="0" collapsed="false">
      <c r="A116" s="355"/>
      <c r="E116" s="365" t="str">
        <f aca="false">IF((G116&lt;&gt;0),"Enter Letter"," ")</f>
        <v> </v>
      </c>
      <c r="H116" s="338" t="str">
        <f aca="false">IF((G116&lt;&gt;0),IF((D116&gt;0)," ",G116)," ")</f>
        <v> </v>
      </c>
      <c r="I116" s="367" t="str">
        <f aca="false">IF((G116&lt;&gt;0),IF((D116&gt;0)," ",(I$1-A116))," ")</f>
        <v> </v>
      </c>
      <c r="J116" s="334" t="str">
        <f aca="false">IF((E116="s"),G116," ")</f>
        <v> </v>
      </c>
      <c r="K116" s="334" t="str">
        <f aca="false">IF((E116="d"),G116," ")</f>
        <v> </v>
      </c>
      <c r="L116" s="334" t="str">
        <f aca="false">IF((E116="e"),G116," ")</f>
        <v> </v>
      </c>
      <c r="M116" s="334" t="str">
        <f aca="false">IF((E116="p"),G116," ")</f>
        <v> </v>
      </c>
      <c r="N116" s="334" t="str">
        <f aca="false">IF((E116="r"),G116," ")</f>
        <v> </v>
      </c>
      <c r="O116" s="334" t="str">
        <f aca="false">IF((E116="g"),G116," ")</f>
        <v> </v>
      </c>
      <c r="P116" s="334" t="str">
        <f aca="false">IF((E116="m"),G116," ")</f>
        <v> </v>
      </c>
      <c r="Q116" s="334" t="str">
        <f aca="false">IF((E116="t"),G116," ")</f>
        <v> </v>
      </c>
      <c r="R116" s="334" t="str">
        <f aca="false">IF((E116="a"),G116," ")</f>
        <v> </v>
      </c>
      <c r="S116" s="334" t="str">
        <f aca="false">IF((E116="l"),G116," ")</f>
        <v> </v>
      </c>
      <c r="T116" s="334" t="str">
        <f aca="false">IF((E116="b"),G116," ")</f>
        <v> </v>
      </c>
      <c r="U116" s="334" t="str">
        <f aca="false">IF((E116="i"),G116," ")</f>
        <v> </v>
      </c>
      <c r="V116" s="334" t="str">
        <f aca="false">IF((E116="o"),G116," ")</f>
        <v> </v>
      </c>
      <c r="W116" s="334" t="str">
        <f aca="false">IF((E116="f"),G116," ")</f>
        <v> </v>
      </c>
    </row>
    <row r="117" customFormat="false" ht="12.75" hidden="false" customHeight="false" outlineLevel="0" collapsed="false">
      <c r="A117" s="355"/>
      <c r="E117" s="365" t="str">
        <f aca="false">IF((G117&lt;&gt;0),"Enter Letter"," ")</f>
        <v> </v>
      </c>
      <c r="H117" s="338" t="str">
        <f aca="false">IF((G117&lt;&gt;0),IF((D117&gt;0)," ",G117)," ")</f>
        <v> </v>
      </c>
      <c r="I117" s="367" t="str">
        <f aca="false">IF((G117&lt;&gt;0),IF((D117&gt;0)," ",(I$1-A117))," ")</f>
        <v> </v>
      </c>
      <c r="J117" s="334" t="str">
        <f aca="false">IF((E117="s"),G117," ")</f>
        <v> </v>
      </c>
      <c r="K117" s="334" t="str">
        <f aca="false">IF((E117="d"),G117," ")</f>
        <v> </v>
      </c>
      <c r="L117" s="334" t="str">
        <f aca="false">IF((E117="e"),G117," ")</f>
        <v> </v>
      </c>
      <c r="M117" s="334" t="str">
        <f aca="false">IF((E117="p"),G117," ")</f>
        <v> </v>
      </c>
      <c r="N117" s="334" t="str">
        <f aca="false">IF((E117="r"),G117," ")</f>
        <v> </v>
      </c>
      <c r="O117" s="334" t="str">
        <f aca="false">IF((E117="g"),G117," ")</f>
        <v> </v>
      </c>
      <c r="P117" s="334" t="str">
        <f aca="false">IF((E117="m"),G117," ")</f>
        <v> </v>
      </c>
      <c r="Q117" s="334" t="str">
        <f aca="false">IF((E117="t"),G117," ")</f>
        <v> </v>
      </c>
      <c r="R117" s="334" t="str">
        <f aca="false">IF((E117="a"),G117," ")</f>
        <v> </v>
      </c>
      <c r="S117" s="334" t="str">
        <f aca="false">IF((E117="l"),G117," ")</f>
        <v> </v>
      </c>
      <c r="T117" s="334" t="str">
        <f aca="false">IF((E117="b"),G117," ")</f>
        <v> </v>
      </c>
      <c r="U117" s="334" t="str">
        <f aca="false">IF((E117="i"),G117," ")</f>
        <v> </v>
      </c>
      <c r="V117" s="334" t="str">
        <f aca="false">IF((E117="o"),G117," ")</f>
        <v> </v>
      </c>
      <c r="W117" s="334" t="str">
        <f aca="false">IF((E117="f"),G117," ")</f>
        <v> </v>
      </c>
    </row>
    <row r="118" customFormat="false" ht="12.75" hidden="false" customHeight="false" outlineLevel="0" collapsed="false">
      <c r="A118" s="355"/>
      <c r="E118" s="365" t="str">
        <f aca="false">IF((G118&lt;&gt;0),"Enter Letter"," ")</f>
        <v> </v>
      </c>
      <c r="H118" s="338" t="str">
        <f aca="false">IF((G118&lt;&gt;0),IF((D118&gt;0)," ",G118)," ")</f>
        <v> </v>
      </c>
      <c r="I118" s="367" t="str">
        <f aca="false">IF((G118&lt;&gt;0),IF((D118&gt;0)," ",(I$1-A118))," ")</f>
        <v> </v>
      </c>
      <c r="J118" s="334" t="str">
        <f aca="false">IF((E118="s"),G118," ")</f>
        <v> </v>
      </c>
      <c r="K118" s="334" t="str">
        <f aca="false">IF((E118="d"),G118," ")</f>
        <v> </v>
      </c>
      <c r="L118" s="334" t="str">
        <f aca="false">IF((E118="e"),G118," ")</f>
        <v> </v>
      </c>
      <c r="M118" s="334" t="str">
        <f aca="false">IF((E118="p"),G118," ")</f>
        <v> </v>
      </c>
      <c r="N118" s="334" t="str">
        <f aca="false">IF((E118="r"),G118," ")</f>
        <v> </v>
      </c>
      <c r="O118" s="334" t="str">
        <f aca="false">IF((E118="g"),G118," ")</f>
        <v> </v>
      </c>
      <c r="P118" s="334" t="str">
        <f aca="false">IF((E118="m"),G118," ")</f>
        <v> </v>
      </c>
      <c r="Q118" s="334" t="str">
        <f aca="false">IF((E118="t"),G118," ")</f>
        <v> </v>
      </c>
      <c r="R118" s="334" t="str">
        <f aca="false">IF((E118="a"),G118," ")</f>
        <v> </v>
      </c>
      <c r="S118" s="334" t="str">
        <f aca="false">IF((E118="l"),G118," ")</f>
        <v> </v>
      </c>
      <c r="T118" s="334" t="str">
        <f aca="false">IF((E118="b"),G118," ")</f>
        <v> </v>
      </c>
      <c r="U118" s="334" t="str">
        <f aca="false">IF((E118="i"),G118," ")</f>
        <v> </v>
      </c>
      <c r="V118" s="334" t="str">
        <f aca="false">IF((E118="o"),G118," ")</f>
        <v> </v>
      </c>
      <c r="W118" s="334" t="str">
        <f aca="false">IF((E118="f"),G118," ")</f>
        <v> </v>
      </c>
    </row>
    <row r="119" customFormat="false" ht="12.75" hidden="false" customHeight="false" outlineLevel="0" collapsed="false">
      <c r="A119" s="355"/>
      <c r="E119" s="365" t="str">
        <f aca="false">IF((G119&lt;&gt;0),"Enter Letter"," ")</f>
        <v> </v>
      </c>
      <c r="H119" s="338" t="str">
        <f aca="false">IF((G119&lt;&gt;0),IF((D119&gt;0)," ",G119)," ")</f>
        <v> </v>
      </c>
      <c r="I119" s="367" t="str">
        <f aca="false">IF((G119&lt;&gt;0),IF((D119&gt;0)," ",(I$1-A119))," ")</f>
        <v> </v>
      </c>
      <c r="J119" s="334" t="str">
        <f aca="false">IF((E119="s"),G119," ")</f>
        <v> </v>
      </c>
      <c r="K119" s="334" t="str">
        <f aca="false">IF((E119="d"),G119," ")</f>
        <v> </v>
      </c>
      <c r="L119" s="334" t="str">
        <f aca="false">IF((E119="e"),G119," ")</f>
        <v> </v>
      </c>
      <c r="M119" s="334" t="str">
        <f aca="false">IF((E119="p"),G119," ")</f>
        <v> </v>
      </c>
      <c r="N119" s="334" t="str">
        <f aca="false">IF((E119="r"),G119," ")</f>
        <v> </v>
      </c>
      <c r="O119" s="334" t="str">
        <f aca="false">IF((E119="g"),G119," ")</f>
        <v> </v>
      </c>
      <c r="P119" s="334" t="str">
        <f aca="false">IF((E119="m"),G119," ")</f>
        <v> </v>
      </c>
      <c r="Q119" s="334" t="str">
        <f aca="false">IF((E119="t"),G119," ")</f>
        <v> </v>
      </c>
      <c r="R119" s="334" t="str">
        <f aca="false">IF((E119="a"),G119," ")</f>
        <v> </v>
      </c>
      <c r="S119" s="334" t="str">
        <f aca="false">IF((E119="l"),G119," ")</f>
        <v> </v>
      </c>
      <c r="T119" s="334" t="str">
        <f aca="false">IF((E119="b"),G119," ")</f>
        <v> </v>
      </c>
      <c r="U119" s="334" t="str">
        <f aca="false">IF((E119="i"),G119," ")</f>
        <v> </v>
      </c>
      <c r="V119" s="334" t="str">
        <f aca="false">IF((E119="o"),G119," ")</f>
        <v> </v>
      </c>
      <c r="W119" s="334" t="str">
        <f aca="false">IF((E119="f"),G119," ")</f>
        <v> </v>
      </c>
    </row>
    <row r="120" customFormat="false" ht="12.75" hidden="false" customHeight="false" outlineLevel="0" collapsed="false">
      <c r="A120" s="355"/>
      <c r="E120" s="365" t="str">
        <f aca="false">IF((G120&lt;&gt;0),"Enter Letter"," ")</f>
        <v> </v>
      </c>
      <c r="H120" s="338" t="str">
        <f aca="false">IF((G120&lt;&gt;0),IF((D120&gt;0)," ",G120)," ")</f>
        <v> </v>
      </c>
      <c r="I120" s="367" t="str">
        <f aca="false">IF((G120&lt;&gt;0),IF((D120&gt;0)," ",(I$1-A120))," ")</f>
        <v> </v>
      </c>
      <c r="J120" s="334" t="str">
        <f aca="false">IF((E120="s"),G120," ")</f>
        <v> </v>
      </c>
      <c r="K120" s="334" t="str">
        <f aca="false">IF((E120="d"),G120," ")</f>
        <v> </v>
      </c>
      <c r="L120" s="334" t="str">
        <f aca="false">IF((E120="e"),G120," ")</f>
        <v> </v>
      </c>
      <c r="M120" s="334" t="str">
        <f aca="false">IF((E120="p"),G120," ")</f>
        <v> </v>
      </c>
      <c r="N120" s="334" t="str">
        <f aca="false">IF((E120="r"),G120," ")</f>
        <v> </v>
      </c>
      <c r="O120" s="334" t="str">
        <f aca="false">IF((E120="g"),G120," ")</f>
        <v> </v>
      </c>
      <c r="P120" s="334" t="str">
        <f aca="false">IF((E120="m"),G120," ")</f>
        <v> </v>
      </c>
      <c r="Q120" s="334" t="str">
        <f aca="false">IF((E120="t"),G120," ")</f>
        <v> </v>
      </c>
      <c r="R120" s="334" t="str">
        <f aca="false">IF((E120="a"),G120," ")</f>
        <v> </v>
      </c>
      <c r="S120" s="334" t="str">
        <f aca="false">IF((E120="l"),G120," ")</f>
        <v> </v>
      </c>
      <c r="T120" s="334" t="str">
        <f aca="false">IF((E120="b"),G120," ")</f>
        <v> </v>
      </c>
      <c r="U120" s="334" t="str">
        <f aca="false">IF((E120="i"),G120," ")</f>
        <v> </v>
      </c>
      <c r="V120" s="334" t="str">
        <f aca="false">IF((E120="o"),G120," ")</f>
        <v> </v>
      </c>
      <c r="W120" s="334" t="str">
        <f aca="false">IF((E120="f"),G120," ")</f>
        <v> </v>
      </c>
    </row>
    <row r="121" customFormat="false" ht="12.75" hidden="false" customHeight="false" outlineLevel="0" collapsed="false">
      <c r="A121" s="355"/>
      <c r="E121" s="365" t="str">
        <f aca="false">IF((G121&lt;&gt;0),"Enter Letter"," ")</f>
        <v> </v>
      </c>
      <c r="H121" s="338" t="str">
        <f aca="false">IF((G121&lt;&gt;0),IF((D121&gt;0)," ",G121)," ")</f>
        <v> </v>
      </c>
      <c r="I121" s="367" t="str">
        <f aca="false">IF((G121&lt;&gt;0),IF((D121&gt;0)," ",(I$1-A121))," ")</f>
        <v> </v>
      </c>
      <c r="J121" s="334" t="str">
        <f aca="false">IF((E121="s"),G121," ")</f>
        <v> </v>
      </c>
      <c r="K121" s="334" t="str">
        <f aca="false">IF((E121="d"),G121," ")</f>
        <v> </v>
      </c>
      <c r="L121" s="334" t="str">
        <f aca="false">IF((E121="e"),G121," ")</f>
        <v> </v>
      </c>
      <c r="M121" s="334" t="str">
        <f aca="false">IF((E121="p"),G121," ")</f>
        <v> </v>
      </c>
      <c r="N121" s="334" t="str">
        <f aca="false">IF((E121="r"),G121," ")</f>
        <v> </v>
      </c>
      <c r="O121" s="334" t="str">
        <f aca="false">IF((E121="g"),G121," ")</f>
        <v> </v>
      </c>
      <c r="P121" s="334" t="str">
        <f aca="false">IF((E121="m"),G121," ")</f>
        <v> </v>
      </c>
      <c r="Q121" s="334" t="str">
        <f aca="false">IF((E121="t"),G121," ")</f>
        <v> </v>
      </c>
      <c r="R121" s="334" t="str">
        <f aca="false">IF((E121="a"),G121," ")</f>
        <v> </v>
      </c>
      <c r="S121" s="334" t="str">
        <f aca="false">IF((E121="l"),G121," ")</f>
        <v> </v>
      </c>
      <c r="T121" s="334" t="str">
        <f aca="false">IF((E121="b"),G121," ")</f>
        <v> </v>
      </c>
      <c r="U121" s="334" t="str">
        <f aca="false">IF((E121="i"),G121," ")</f>
        <v> </v>
      </c>
      <c r="V121" s="334" t="str">
        <f aca="false">IF((E121="o"),G121," ")</f>
        <v> </v>
      </c>
      <c r="W121" s="334" t="str">
        <f aca="false">IF((E121="f"),G121," ")</f>
        <v> </v>
      </c>
    </row>
    <row r="122" customFormat="false" ht="12.75" hidden="false" customHeight="false" outlineLevel="0" collapsed="false">
      <c r="A122" s="355"/>
      <c r="E122" s="365" t="str">
        <f aca="false">IF((G122&lt;&gt;0),"Enter Letter"," ")</f>
        <v> </v>
      </c>
      <c r="H122" s="338" t="str">
        <f aca="false">IF((G122&lt;&gt;0),IF((D122&gt;0)," ",G122)," ")</f>
        <v> </v>
      </c>
      <c r="I122" s="367" t="str">
        <f aca="false">IF((G122&lt;&gt;0),IF((D122&gt;0)," ",(I$1-A122))," ")</f>
        <v> </v>
      </c>
      <c r="J122" s="334" t="str">
        <f aca="false">IF((E122="s"),G122," ")</f>
        <v> </v>
      </c>
      <c r="K122" s="334" t="str">
        <f aca="false">IF((E122="d"),G122," ")</f>
        <v> </v>
      </c>
      <c r="L122" s="334" t="str">
        <f aca="false">IF((E122="e"),G122," ")</f>
        <v> </v>
      </c>
      <c r="M122" s="334" t="str">
        <f aca="false">IF((E122="p"),G122," ")</f>
        <v> </v>
      </c>
      <c r="N122" s="334" t="str">
        <f aca="false">IF((E122="r"),G122," ")</f>
        <v> </v>
      </c>
      <c r="O122" s="334" t="str">
        <f aca="false">IF((E122="g"),G122," ")</f>
        <v> </v>
      </c>
      <c r="P122" s="334" t="str">
        <f aca="false">IF((E122="m"),G122," ")</f>
        <v> </v>
      </c>
      <c r="Q122" s="334" t="str">
        <f aca="false">IF((E122="t"),G122," ")</f>
        <v> </v>
      </c>
      <c r="R122" s="334" t="str">
        <f aca="false">IF((E122="a"),G122," ")</f>
        <v> </v>
      </c>
      <c r="S122" s="334" t="str">
        <f aca="false">IF((E122="l"),G122," ")</f>
        <v> </v>
      </c>
      <c r="T122" s="334" t="str">
        <f aca="false">IF((E122="b"),G122," ")</f>
        <v> </v>
      </c>
      <c r="U122" s="334" t="str">
        <f aca="false">IF((E122="i"),G122," ")</f>
        <v> </v>
      </c>
      <c r="V122" s="334" t="str">
        <f aca="false">IF((E122="o"),G122," ")</f>
        <v> </v>
      </c>
      <c r="W122" s="334" t="str">
        <f aca="false">IF((E122="f"),G122," ")</f>
        <v> </v>
      </c>
    </row>
    <row r="123" customFormat="false" ht="12.75" hidden="false" customHeight="false" outlineLevel="0" collapsed="false">
      <c r="A123" s="355"/>
      <c r="E123" s="365" t="str">
        <f aca="false">IF((G123&lt;&gt;0),"Enter Letter"," ")</f>
        <v> </v>
      </c>
      <c r="H123" s="338" t="str">
        <f aca="false">IF((G123&lt;&gt;0),IF((D123&gt;0)," ",G123)," ")</f>
        <v> </v>
      </c>
      <c r="I123" s="367" t="str">
        <f aca="false">IF((G123&lt;&gt;0),IF((D123&gt;0)," ",(I$1-A123))," ")</f>
        <v> </v>
      </c>
      <c r="J123" s="334" t="str">
        <f aca="false">IF((E123="s"),G123," ")</f>
        <v> </v>
      </c>
      <c r="K123" s="334" t="str">
        <f aca="false">IF((E123="d"),G123," ")</f>
        <v> </v>
      </c>
      <c r="L123" s="334" t="str">
        <f aca="false">IF((E123="e"),G123," ")</f>
        <v> </v>
      </c>
      <c r="M123" s="334" t="str">
        <f aca="false">IF((E123="p"),G123," ")</f>
        <v> </v>
      </c>
      <c r="N123" s="334" t="str">
        <f aca="false">IF((E123="r"),G123," ")</f>
        <v> </v>
      </c>
      <c r="O123" s="334" t="str">
        <f aca="false">IF((E123="g"),G123," ")</f>
        <v> </v>
      </c>
      <c r="P123" s="334" t="str">
        <f aca="false">IF((E123="m"),G123," ")</f>
        <v> </v>
      </c>
      <c r="Q123" s="334" t="str">
        <f aca="false">IF((E123="t"),G123," ")</f>
        <v> </v>
      </c>
      <c r="R123" s="334" t="str">
        <f aca="false">IF((E123="a"),G123," ")</f>
        <v> </v>
      </c>
      <c r="S123" s="334" t="str">
        <f aca="false">IF((E123="l"),G123," ")</f>
        <v> </v>
      </c>
      <c r="T123" s="334" t="str">
        <f aca="false">IF((E123="b"),G123," ")</f>
        <v> </v>
      </c>
      <c r="U123" s="334" t="str">
        <f aca="false">IF((E123="i"),G123," ")</f>
        <v> </v>
      </c>
      <c r="V123" s="334" t="str">
        <f aca="false">IF((E123="o"),G123," ")</f>
        <v> </v>
      </c>
      <c r="W123" s="334" t="str">
        <f aca="false">IF((E123="f"),G123," ")</f>
        <v> </v>
      </c>
    </row>
    <row r="124" customFormat="false" ht="12.75" hidden="false" customHeight="false" outlineLevel="0" collapsed="false">
      <c r="A124" s="355"/>
      <c r="E124" s="365" t="str">
        <f aca="false">IF((G124&lt;&gt;0),"Enter Letter"," ")</f>
        <v> </v>
      </c>
      <c r="H124" s="338" t="str">
        <f aca="false">IF((G124&lt;&gt;0),IF((D124&gt;0)," ",G124)," ")</f>
        <v> </v>
      </c>
      <c r="I124" s="367" t="str">
        <f aca="false">IF((G124&lt;&gt;0),IF((D124&gt;0)," ",(I$1-A124))," ")</f>
        <v> </v>
      </c>
      <c r="J124" s="334" t="str">
        <f aca="false">IF((E124="s"),G124," ")</f>
        <v> </v>
      </c>
      <c r="K124" s="334" t="str">
        <f aca="false">IF((E124="d"),G124," ")</f>
        <v> </v>
      </c>
      <c r="L124" s="334" t="str">
        <f aca="false">IF((E124="e"),G124," ")</f>
        <v> </v>
      </c>
      <c r="M124" s="334" t="str">
        <f aca="false">IF((E124="p"),G124," ")</f>
        <v> </v>
      </c>
      <c r="N124" s="334" t="str">
        <f aca="false">IF((E124="r"),G124," ")</f>
        <v> </v>
      </c>
      <c r="O124" s="334" t="str">
        <f aca="false">IF((E124="g"),G124," ")</f>
        <v> </v>
      </c>
      <c r="P124" s="334" t="str">
        <f aca="false">IF((E124="m"),G124," ")</f>
        <v> </v>
      </c>
      <c r="Q124" s="334" t="str">
        <f aca="false">IF((E124="t"),G124," ")</f>
        <v> </v>
      </c>
      <c r="R124" s="334" t="str">
        <f aca="false">IF((E124="a"),G124," ")</f>
        <v> </v>
      </c>
      <c r="S124" s="334" t="str">
        <f aca="false">IF((E124="l"),G124," ")</f>
        <v> </v>
      </c>
      <c r="T124" s="334" t="str">
        <f aca="false">IF((E124="b"),G124," ")</f>
        <v> </v>
      </c>
      <c r="U124" s="334" t="str">
        <f aca="false">IF((E124="i"),G124," ")</f>
        <v> </v>
      </c>
      <c r="V124" s="334" t="str">
        <f aca="false">IF((E124="o"),G124," ")</f>
        <v> </v>
      </c>
      <c r="W124" s="334" t="str">
        <f aca="false">IF((E124="f"),G124," ")</f>
        <v> </v>
      </c>
    </row>
    <row r="125" customFormat="false" ht="12.75" hidden="false" customHeight="false" outlineLevel="0" collapsed="false">
      <c r="A125" s="355"/>
      <c r="E125" s="365" t="str">
        <f aca="false">IF((G125&lt;&gt;0),"Enter Letter"," ")</f>
        <v> </v>
      </c>
      <c r="H125" s="338" t="str">
        <f aca="false">IF((G125&lt;&gt;0),IF((D125&gt;0)," ",G125)," ")</f>
        <v> </v>
      </c>
      <c r="I125" s="367" t="str">
        <f aca="false">IF((G125&lt;&gt;0),IF((D125&gt;0)," ",(I$1-A125))," ")</f>
        <v> </v>
      </c>
      <c r="J125" s="334" t="str">
        <f aca="false">IF((E125="s"),G125," ")</f>
        <v> </v>
      </c>
      <c r="K125" s="334" t="str">
        <f aca="false">IF((E125="d"),G125," ")</f>
        <v> </v>
      </c>
      <c r="L125" s="334" t="str">
        <f aca="false">IF((E125="e"),G125," ")</f>
        <v> </v>
      </c>
      <c r="M125" s="334" t="str">
        <f aca="false">IF((E125="p"),G125," ")</f>
        <v> </v>
      </c>
      <c r="N125" s="334" t="str">
        <f aca="false">IF((E125="r"),G125," ")</f>
        <v> </v>
      </c>
      <c r="O125" s="334" t="str">
        <f aca="false">IF((E125="g"),G125," ")</f>
        <v> </v>
      </c>
      <c r="P125" s="334" t="str">
        <f aca="false">IF((E125="m"),G125," ")</f>
        <v> </v>
      </c>
      <c r="Q125" s="334" t="str">
        <f aca="false">IF((E125="t"),G125," ")</f>
        <v> </v>
      </c>
      <c r="R125" s="334" t="str">
        <f aca="false">IF((E125="a"),G125," ")</f>
        <v> </v>
      </c>
      <c r="S125" s="334" t="str">
        <f aca="false">IF((E125="l"),G125," ")</f>
        <v> </v>
      </c>
      <c r="T125" s="334" t="str">
        <f aca="false">IF((E125="b"),G125," ")</f>
        <v> </v>
      </c>
      <c r="U125" s="334" t="str">
        <f aca="false">IF((E125="i"),G125," ")</f>
        <v> </v>
      </c>
      <c r="V125" s="334" t="str">
        <f aca="false">IF((E125="o"),G125," ")</f>
        <v> </v>
      </c>
      <c r="W125" s="334" t="str">
        <f aca="false">IF((E125="f"),G125," ")</f>
        <v> </v>
      </c>
    </row>
    <row r="126" customFormat="false" ht="12.75" hidden="false" customHeight="false" outlineLevel="0" collapsed="false">
      <c r="A126" s="355"/>
      <c r="E126" s="365" t="str">
        <f aca="false">IF((G126&lt;&gt;0),"Enter Letter"," ")</f>
        <v> </v>
      </c>
      <c r="H126" s="338" t="str">
        <f aca="false">IF((G126&lt;&gt;0),IF((D126&gt;0)," ",G126)," ")</f>
        <v> </v>
      </c>
      <c r="I126" s="367" t="str">
        <f aca="false">IF((G126&lt;&gt;0),IF((D126&gt;0)," ",(I$1-A126))," ")</f>
        <v> </v>
      </c>
      <c r="J126" s="334" t="str">
        <f aca="false">IF((E126="s"),G126," ")</f>
        <v> </v>
      </c>
      <c r="K126" s="334" t="str">
        <f aca="false">IF((E126="d"),G126," ")</f>
        <v> </v>
      </c>
      <c r="L126" s="334" t="str">
        <f aca="false">IF((E126="e"),G126," ")</f>
        <v> </v>
      </c>
      <c r="M126" s="334" t="str">
        <f aca="false">IF((E126="p"),G126," ")</f>
        <v> </v>
      </c>
      <c r="N126" s="334" t="str">
        <f aca="false">IF((E126="r"),G126," ")</f>
        <v> </v>
      </c>
      <c r="O126" s="334" t="str">
        <f aca="false">IF((E126="g"),G126," ")</f>
        <v> </v>
      </c>
      <c r="P126" s="334" t="str">
        <f aca="false">IF((E126="m"),G126," ")</f>
        <v> </v>
      </c>
      <c r="Q126" s="334" t="str">
        <f aca="false">IF((E126="t"),G126," ")</f>
        <v> </v>
      </c>
      <c r="R126" s="334" t="str">
        <f aca="false">IF((E126="a"),G126," ")</f>
        <v> </v>
      </c>
      <c r="S126" s="334" t="str">
        <f aca="false">IF((E126="l"),G126," ")</f>
        <v> </v>
      </c>
      <c r="T126" s="334" t="str">
        <f aca="false">IF((E126="b"),G126," ")</f>
        <v> </v>
      </c>
      <c r="U126" s="334" t="str">
        <f aca="false">IF((E126="i"),G126," ")</f>
        <v> </v>
      </c>
      <c r="V126" s="334" t="str">
        <f aca="false">IF((E126="o"),G126," ")</f>
        <v> </v>
      </c>
      <c r="W126" s="334" t="str">
        <f aca="false">IF((E126="f"),G126," ")</f>
        <v> </v>
      </c>
    </row>
    <row r="127" customFormat="false" ht="12.75" hidden="false" customHeight="false" outlineLevel="0" collapsed="false">
      <c r="A127" s="355"/>
      <c r="E127" s="365" t="str">
        <f aca="false">IF((G127&lt;&gt;0),"Enter Letter"," ")</f>
        <v> </v>
      </c>
      <c r="H127" s="338" t="str">
        <f aca="false">IF((G127&lt;&gt;0),IF((D127&gt;0)," ",G127)," ")</f>
        <v> </v>
      </c>
      <c r="I127" s="367" t="str">
        <f aca="false">IF((G127&lt;&gt;0),IF((D127&gt;0)," ",(I$1-A127))," ")</f>
        <v> </v>
      </c>
      <c r="J127" s="334" t="str">
        <f aca="false">IF((E127="s"),G127," ")</f>
        <v> </v>
      </c>
      <c r="K127" s="334" t="str">
        <f aca="false">IF((E127="d"),G127," ")</f>
        <v> </v>
      </c>
      <c r="L127" s="334" t="str">
        <f aca="false">IF((E127="e"),G127," ")</f>
        <v> </v>
      </c>
      <c r="M127" s="334" t="str">
        <f aca="false">IF((E127="p"),G127," ")</f>
        <v> </v>
      </c>
      <c r="N127" s="334" t="str">
        <f aca="false">IF((E127="r"),G127," ")</f>
        <v> </v>
      </c>
      <c r="O127" s="334" t="str">
        <f aca="false">IF((E127="g"),G127," ")</f>
        <v> </v>
      </c>
      <c r="P127" s="334" t="str">
        <f aca="false">IF((E127="m"),G127," ")</f>
        <v> </v>
      </c>
      <c r="Q127" s="334" t="str">
        <f aca="false">IF((E127="t"),G127," ")</f>
        <v> </v>
      </c>
      <c r="R127" s="334" t="str">
        <f aca="false">IF((E127="a"),G127," ")</f>
        <v> </v>
      </c>
      <c r="S127" s="334" t="str">
        <f aca="false">IF((E127="l"),G127," ")</f>
        <v> </v>
      </c>
      <c r="T127" s="334" t="str">
        <f aca="false">IF((E127="b"),G127," ")</f>
        <v> </v>
      </c>
      <c r="U127" s="334" t="str">
        <f aca="false">IF((E127="i"),G127," ")</f>
        <v> </v>
      </c>
      <c r="V127" s="334" t="str">
        <f aca="false">IF((E127="o"),G127," ")</f>
        <v> </v>
      </c>
      <c r="W127" s="334" t="str">
        <f aca="false">IF((E127="f"),G127," ")</f>
        <v> </v>
      </c>
    </row>
    <row r="128" customFormat="false" ht="12.75" hidden="false" customHeight="false" outlineLevel="0" collapsed="false">
      <c r="A128" s="355"/>
      <c r="E128" s="365" t="str">
        <f aca="false">IF((G128&lt;&gt;0),"Enter Letter"," ")</f>
        <v> </v>
      </c>
      <c r="H128" s="338" t="str">
        <f aca="false">IF((G128&lt;&gt;0),IF((D128&gt;0)," ",G128)," ")</f>
        <v> </v>
      </c>
      <c r="I128" s="367" t="str">
        <f aca="false">IF((G128&lt;&gt;0),IF((D128&gt;0)," ",(I$1-A128))," ")</f>
        <v> </v>
      </c>
      <c r="J128" s="334" t="str">
        <f aca="false">IF((E128="s"),G128," ")</f>
        <v> </v>
      </c>
      <c r="K128" s="334" t="str">
        <f aca="false">IF((E128="d"),G128," ")</f>
        <v> </v>
      </c>
      <c r="L128" s="334" t="str">
        <f aca="false">IF((E128="e"),G128," ")</f>
        <v> </v>
      </c>
      <c r="M128" s="334" t="str">
        <f aca="false">IF((E128="p"),G128," ")</f>
        <v> </v>
      </c>
      <c r="N128" s="334" t="str">
        <f aca="false">IF((E128="r"),G128," ")</f>
        <v> </v>
      </c>
      <c r="O128" s="334" t="str">
        <f aca="false">IF((E128="g"),G128," ")</f>
        <v> </v>
      </c>
      <c r="P128" s="334" t="str">
        <f aca="false">IF((E128="m"),G128," ")</f>
        <v> </v>
      </c>
      <c r="Q128" s="334" t="str">
        <f aca="false">IF((E128="t"),G128," ")</f>
        <v> </v>
      </c>
      <c r="R128" s="334" t="str">
        <f aca="false">IF((E128="a"),G128," ")</f>
        <v> </v>
      </c>
      <c r="S128" s="334" t="str">
        <f aca="false">IF((E128="l"),G128," ")</f>
        <v> </v>
      </c>
      <c r="T128" s="334" t="str">
        <f aca="false">IF((E128="b"),G128," ")</f>
        <v> </v>
      </c>
      <c r="U128" s="334" t="str">
        <f aca="false">IF((E128="i"),G128," ")</f>
        <v> </v>
      </c>
      <c r="V128" s="334" t="str">
        <f aca="false">IF((E128="o"),G128," ")</f>
        <v> </v>
      </c>
      <c r="W128" s="334" t="str">
        <f aca="false">IF((E128="f"),G128," ")</f>
        <v> </v>
      </c>
    </row>
    <row r="129" customFormat="false" ht="12.75" hidden="false" customHeight="false" outlineLevel="0" collapsed="false">
      <c r="A129" s="355"/>
      <c r="E129" s="365" t="str">
        <f aca="false">IF((G129&lt;&gt;0),"Enter Letter"," ")</f>
        <v> </v>
      </c>
      <c r="H129" s="338" t="str">
        <f aca="false">IF((G129&lt;&gt;0),IF((D129&gt;0)," ",G129)," ")</f>
        <v> </v>
      </c>
      <c r="I129" s="367" t="str">
        <f aca="false">IF((G129&lt;&gt;0),IF((D129&gt;0)," ",(I$1-A129))," ")</f>
        <v> </v>
      </c>
      <c r="J129" s="334" t="str">
        <f aca="false">IF((E129="s"),G129," ")</f>
        <v> </v>
      </c>
      <c r="K129" s="334" t="str">
        <f aca="false">IF((E129="d"),G129," ")</f>
        <v> </v>
      </c>
      <c r="L129" s="334" t="str">
        <f aca="false">IF((E129="e"),G129," ")</f>
        <v> </v>
      </c>
      <c r="M129" s="334" t="str">
        <f aca="false">IF((E129="p"),G129," ")</f>
        <v> </v>
      </c>
      <c r="N129" s="334" t="str">
        <f aca="false">IF((E129="r"),G129," ")</f>
        <v> </v>
      </c>
      <c r="O129" s="334" t="str">
        <f aca="false">IF((E129="g"),G129," ")</f>
        <v> </v>
      </c>
      <c r="P129" s="334" t="str">
        <f aca="false">IF((E129="m"),G129," ")</f>
        <v> </v>
      </c>
      <c r="Q129" s="334" t="str">
        <f aca="false">IF((E129="t"),G129," ")</f>
        <v> </v>
      </c>
      <c r="R129" s="334" t="str">
        <f aca="false">IF((E129="a"),G129," ")</f>
        <v> </v>
      </c>
      <c r="S129" s="334" t="str">
        <f aca="false">IF((E129="l"),G129," ")</f>
        <v> </v>
      </c>
      <c r="T129" s="334" t="str">
        <f aca="false">IF((E129="b"),G129," ")</f>
        <v> </v>
      </c>
      <c r="U129" s="334" t="str">
        <f aca="false">IF((E129="i"),G129," ")</f>
        <v> </v>
      </c>
      <c r="V129" s="334" t="str">
        <f aca="false">IF((E129="o"),G129," ")</f>
        <v> </v>
      </c>
      <c r="W129" s="334" t="str">
        <f aca="false">IF((E129="f"),G129," ")</f>
        <v> </v>
      </c>
    </row>
    <row r="130" customFormat="false" ht="12.75" hidden="false" customHeight="false" outlineLevel="0" collapsed="false">
      <c r="A130" s="355"/>
      <c r="E130" s="365" t="str">
        <f aca="false">IF((G130&lt;&gt;0),"Enter Letter"," ")</f>
        <v> </v>
      </c>
      <c r="H130" s="338" t="str">
        <f aca="false">IF((G130&lt;&gt;0),IF((D130&gt;0)," ",G130)," ")</f>
        <v> </v>
      </c>
      <c r="I130" s="367" t="str">
        <f aca="false">IF((G130&lt;&gt;0),IF((D130&gt;0)," ",(I$1-A130))," ")</f>
        <v> </v>
      </c>
      <c r="J130" s="334" t="str">
        <f aca="false">IF((E130="s"),G130," ")</f>
        <v> </v>
      </c>
      <c r="K130" s="334" t="str">
        <f aca="false">IF((E130="d"),G130," ")</f>
        <v> </v>
      </c>
      <c r="L130" s="334" t="str">
        <f aca="false">IF((E130="e"),G130," ")</f>
        <v> </v>
      </c>
      <c r="M130" s="334" t="str">
        <f aca="false">IF((E130="p"),G130," ")</f>
        <v> </v>
      </c>
      <c r="N130" s="334" t="str">
        <f aca="false">IF((E130="r"),G130," ")</f>
        <v> </v>
      </c>
      <c r="O130" s="334" t="str">
        <f aca="false">IF((E130="g"),G130," ")</f>
        <v> </v>
      </c>
      <c r="P130" s="334" t="str">
        <f aca="false">IF((E130="m"),G130," ")</f>
        <v> </v>
      </c>
      <c r="Q130" s="334" t="str">
        <f aca="false">IF((E130="t"),G130," ")</f>
        <v> </v>
      </c>
      <c r="R130" s="334" t="str">
        <f aca="false">IF((E130="a"),G130," ")</f>
        <v> </v>
      </c>
      <c r="S130" s="334" t="str">
        <f aca="false">IF((E130="l"),G130," ")</f>
        <v> </v>
      </c>
      <c r="T130" s="334" t="str">
        <f aca="false">IF((E130="b"),G130," ")</f>
        <v> </v>
      </c>
      <c r="U130" s="334" t="str">
        <f aca="false">IF((E130="i"),G130," ")</f>
        <v> </v>
      </c>
      <c r="V130" s="334" t="str">
        <f aca="false">IF((E130="o"),G130," ")</f>
        <v> </v>
      </c>
      <c r="W130" s="334" t="str">
        <f aca="false">IF((E130="f"),G130," ")</f>
        <v> </v>
      </c>
    </row>
    <row r="131" customFormat="false" ht="12.75" hidden="false" customHeight="false" outlineLevel="0" collapsed="false">
      <c r="A131" s="355"/>
      <c r="E131" s="365" t="str">
        <f aca="false">IF((G131&lt;&gt;0),"Enter Letter"," ")</f>
        <v> </v>
      </c>
      <c r="H131" s="338" t="str">
        <f aca="false">IF((G131&lt;&gt;0),IF((D131&gt;0)," ",G131)," ")</f>
        <v> </v>
      </c>
      <c r="I131" s="367" t="str">
        <f aca="false">IF((G131&lt;&gt;0),IF((D131&gt;0)," ",(I$1-A131))," ")</f>
        <v> </v>
      </c>
      <c r="J131" s="334" t="str">
        <f aca="false">IF((E131="s"),G131," ")</f>
        <v> </v>
      </c>
      <c r="K131" s="334" t="str">
        <f aca="false">IF((E131="d"),G131," ")</f>
        <v> </v>
      </c>
      <c r="L131" s="334" t="str">
        <f aca="false">IF((E131="e"),G131," ")</f>
        <v> </v>
      </c>
      <c r="M131" s="334" t="str">
        <f aca="false">IF((E131="p"),G131," ")</f>
        <v> </v>
      </c>
      <c r="N131" s="334" t="str">
        <f aca="false">IF((E131="r"),G131," ")</f>
        <v> </v>
      </c>
      <c r="O131" s="334" t="str">
        <f aca="false">IF((E131="g"),G131," ")</f>
        <v> </v>
      </c>
      <c r="P131" s="334" t="str">
        <f aca="false">IF((E131="m"),G131," ")</f>
        <v> </v>
      </c>
      <c r="Q131" s="334" t="str">
        <f aca="false">IF((E131="t"),G131," ")</f>
        <v> </v>
      </c>
      <c r="R131" s="334" t="str">
        <f aca="false">IF((E131="a"),G131," ")</f>
        <v> </v>
      </c>
      <c r="S131" s="334" t="str">
        <f aca="false">IF((E131="l"),G131," ")</f>
        <v> </v>
      </c>
      <c r="T131" s="334" t="str">
        <f aca="false">IF((E131="b"),G131," ")</f>
        <v> </v>
      </c>
      <c r="U131" s="334" t="str">
        <f aca="false">IF((E131="i"),G131," ")</f>
        <v> </v>
      </c>
      <c r="V131" s="334" t="str">
        <f aca="false">IF((E131="o"),G131," ")</f>
        <v> </v>
      </c>
      <c r="W131" s="334" t="str">
        <f aca="false">IF((E131="f"),G131," ")</f>
        <v> </v>
      </c>
    </row>
    <row r="132" customFormat="false" ht="12.75" hidden="false" customHeight="false" outlineLevel="0" collapsed="false">
      <c r="A132" s="355"/>
      <c r="E132" s="365" t="str">
        <f aca="false">IF((G132&lt;&gt;0),"Enter Letter"," ")</f>
        <v> </v>
      </c>
      <c r="H132" s="338" t="str">
        <f aca="false">IF((G132&lt;&gt;0),IF((D132&gt;0)," ",G132)," ")</f>
        <v> </v>
      </c>
      <c r="I132" s="367" t="str">
        <f aca="false">IF((G132&lt;&gt;0),IF((D132&gt;0)," ",(I$1-A132))," ")</f>
        <v> </v>
      </c>
      <c r="J132" s="334" t="str">
        <f aca="false">IF((E132="s"),G132," ")</f>
        <v> </v>
      </c>
      <c r="K132" s="334" t="str">
        <f aca="false">IF((E132="d"),G132," ")</f>
        <v> </v>
      </c>
      <c r="L132" s="334" t="str">
        <f aca="false">IF((E132="e"),G132," ")</f>
        <v> </v>
      </c>
      <c r="M132" s="334" t="str">
        <f aca="false">IF((E132="p"),G132," ")</f>
        <v> </v>
      </c>
      <c r="N132" s="334" t="str">
        <f aca="false">IF((E132="r"),G132," ")</f>
        <v> </v>
      </c>
      <c r="O132" s="334" t="str">
        <f aca="false">IF((E132="g"),G132," ")</f>
        <v> </v>
      </c>
      <c r="P132" s="334" t="str">
        <f aca="false">IF((E132="m"),G132," ")</f>
        <v> </v>
      </c>
      <c r="Q132" s="334" t="str">
        <f aca="false">IF((E132="t"),G132," ")</f>
        <v> </v>
      </c>
      <c r="R132" s="334" t="str">
        <f aca="false">IF((E132="a"),G132," ")</f>
        <v> </v>
      </c>
      <c r="S132" s="334" t="str">
        <f aca="false">IF((E132="l"),G132," ")</f>
        <v> </v>
      </c>
      <c r="T132" s="334" t="str">
        <f aca="false">IF((E132="b"),G132," ")</f>
        <v> </v>
      </c>
      <c r="U132" s="334" t="str">
        <f aca="false">IF((E132="i"),G132," ")</f>
        <v> </v>
      </c>
      <c r="V132" s="334" t="str">
        <f aca="false">IF((E132="o"),G132," ")</f>
        <v> </v>
      </c>
      <c r="W132" s="334" t="str">
        <f aca="false">IF((E132="f"),G132," ")</f>
        <v> </v>
      </c>
    </row>
    <row r="133" customFormat="false" ht="12.75" hidden="false" customHeight="false" outlineLevel="0" collapsed="false">
      <c r="A133" s="355"/>
      <c r="E133" s="365" t="str">
        <f aca="false">IF((G133&lt;&gt;0),"Enter Letter"," ")</f>
        <v> </v>
      </c>
      <c r="H133" s="338" t="str">
        <f aca="false">IF((G133&lt;&gt;0),IF((D133&gt;0)," ",G133)," ")</f>
        <v> </v>
      </c>
      <c r="I133" s="367" t="str">
        <f aca="false">IF((G133&lt;&gt;0),IF((D133&gt;0)," ",(I$1-A133))," ")</f>
        <v> </v>
      </c>
      <c r="J133" s="334" t="str">
        <f aca="false">IF((E133="s"),G133," ")</f>
        <v> </v>
      </c>
      <c r="K133" s="334" t="str">
        <f aca="false">IF((E133="d"),G133," ")</f>
        <v> </v>
      </c>
      <c r="L133" s="334" t="str">
        <f aca="false">IF((E133="e"),G133," ")</f>
        <v> </v>
      </c>
      <c r="M133" s="334" t="str">
        <f aca="false">IF((E133="p"),G133," ")</f>
        <v> </v>
      </c>
      <c r="N133" s="334" t="str">
        <f aca="false">IF((E133="r"),G133," ")</f>
        <v> </v>
      </c>
      <c r="O133" s="334" t="str">
        <f aca="false">IF((E133="g"),G133," ")</f>
        <v> </v>
      </c>
      <c r="P133" s="334" t="str">
        <f aca="false">IF((E133="m"),G133," ")</f>
        <v> </v>
      </c>
      <c r="Q133" s="334" t="str">
        <f aca="false">IF((E133="t"),G133," ")</f>
        <v> </v>
      </c>
      <c r="R133" s="334" t="str">
        <f aca="false">IF((E133="a"),G133," ")</f>
        <v> </v>
      </c>
      <c r="S133" s="334" t="str">
        <f aca="false">IF((E133="l"),G133," ")</f>
        <v> </v>
      </c>
      <c r="T133" s="334" t="str">
        <f aca="false">IF((E133="b"),G133," ")</f>
        <v> </v>
      </c>
      <c r="U133" s="334" t="str">
        <f aca="false">IF((E133="i"),G133," ")</f>
        <v> </v>
      </c>
      <c r="V133" s="334" t="str">
        <f aca="false">IF((E133="o"),G133," ")</f>
        <v> </v>
      </c>
      <c r="W133" s="334" t="str">
        <f aca="false">IF((E133="f"),G133," ")</f>
        <v> </v>
      </c>
    </row>
    <row r="134" customFormat="false" ht="12.75" hidden="false" customHeight="false" outlineLevel="0" collapsed="false">
      <c r="A134" s="355"/>
      <c r="E134" s="365" t="str">
        <f aca="false">IF((G134&lt;&gt;0),"Enter Letter"," ")</f>
        <v> </v>
      </c>
      <c r="H134" s="338" t="str">
        <f aca="false">IF((G134&lt;&gt;0),IF((D134&gt;0)," ",G134)," ")</f>
        <v> </v>
      </c>
      <c r="I134" s="367" t="str">
        <f aca="false">IF((G134&lt;&gt;0),IF((D134&gt;0)," ",(I$1-A134))," ")</f>
        <v> </v>
      </c>
      <c r="J134" s="334" t="str">
        <f aca="false">IF((E134="s"),G134," ")</f>
        <v> </v>
      </c>
      <c r="K134" s="334" t="str">
        <f aca="false">IF((E134="d"),G134," ")</f>
        <v> </v>
      </c>
      <c r="L134" s="334" t="str">
        <f aca="false">IF((E134="e"),G134," ")</f>
        <v> </v>
      </c>
      <c r="M134" s="334" t="str">
        <f aca="false">IF((E134="p"),G134," ")</f>
        <v> </v>
      </c>
      <c r="N134" s="334" t="str">
        <f aca="false">IF((E134="r"),G134," ")</f>
        <v> </v>
      </c>
      <c r="O134" s="334" t="str">
        <f aca="false">IF((E134="g"),G134," ")</f>
        <v> </v>
      </c>
      <c r="P134" s="334" t="str">
        <f aca="false">IF((E134="m"),G134," ")</f>
        <v> </v>
      </c>
      <c r="Q134" s="334" t="str">
        <f aca="false">IF((E134="t"),G134," ")</f>
        <v> </v>
      </c>
      <c r="R134" s="334" t="str">
        <f aca="false">IF((E134="a"),G134," ")</f>
        <v> </v>
      </c>
      <c r="S134" s="334" t="str">
        <f aca="false">IF((E134="l"),G134," ")</f>
        <v> </v>
      </c>
      <c r="T134" s="334" t="str">
        <f aca="false">IF((E134="b"),G134," ")</f>
        <v> </v>
      </c>
      <c r="U134" s="334" t="str">
        <f aca="false">IF((E134="i"),G134," ")</f>
        <v> </v>
      </c>
      <c r="V134" s="334" t="str">
        <f aca="false">IF((E134="o"),G134," ")</f>
        <v> </v>
      </c>
      <c r="W134" s="334" t="str">
        <f aca="false">IF((E134="f"),G134," ")</f>
        <v> </v>
      </c>
    </row>
    <row r="135" customFormat="false" ht="12.75" hidden="false" customHeight="false" outlineLevel="0" collapsed="false">
      <c r="A135" s="355"/>
      <c r="E135" s="365" t="str">
        <f aca="false">IF((G135&lt;&gt;0),"Enter Letter"," ")</f>
        <v> </v>
      </c>
      <c r="H135" s="338" t="str">
        <f aca="false">IF((G135&lt;&gt;0),IF((D135&gt;0)," ",G135)," ")</f>
        <v> </v>
      </c>
      <c r="I135" s="367" t="str">
        <f aca="false">IF((G135&lt;&gt;0),IF((D135&gt;0)," ",(I$1-A135))," ")</f>
        <v> </v>
      </c>
      <c r="J135" s="334" t="str">
        <f aca="false">IF((E135="s"),G135," ")</f>
        <v> </v>
      </c>
      <c r="K135" s="334" t="str">
        <f aca="false">IF((E135="d"),G135," ")</f>
        <v> </v>
      </c>
      <c r="L135" s="334" t="str">
        <f aca="false">IF((E135="e"),G135," ")</f>
        <v> </v>
      </c>
      <c r="M135" s="334" t="str">
        <f aca="false">IF((E135="p"),G135," ")</f>
        <v> </v>
      </c>
      <c r="N135" s="334" t="str">
        <f aca="false">IF((E135="r"),G135," ")</f>
        <v> </v>
      </c>
      <c r="O135" s="334" t="str">
        <f aca="false">IF((E135="g"),G135," ")</f>
        <v> </v>
      </c>
      <c r="P135" s="334" t="str">
        <f aca="false">IF((E135="m"),G135," ")</f>
        <v> </v>
      </c>
      <c r="Q135" s="334" t="str">
        <f aca="false">IF((E135="t"),G135," ")</f>
        <v> </v>
      </c>
      <c r="R135" s="334" t="str">
        <f aca="false">IF((E135="a"),G135," ")</f>
        <v> </v>
      </c>
      <c r="S135" s="334" t="str">
        <f aca="false">IF((E135="l"),G135," ")</f>
        <v> </v>
      </c>
      <c r="T135" s="334" t="str">
        <f aca="false">IF((E135="b"),G135," ")</f>
        <v> </v>
      </c>
      <c r="U135" s="334" t="str">
        <f aca="false">IF((E135="i"),G135," ")</f>
        <v> </v>
      </c>
      <c r="V135" s="334" t="str">
        <f aca="false">IF((E135="o"),G135," ")</f>
        <v> </v>
      </c>
      <c r="W135" s="334" t="str">
        <f aca="false">IF((E135="f"),G135," ")</f>
        <v> </v>
      </c>
    </row>
    <row r="136" customFormat="false" ht="12.75" hidden="false" customHeight="false" outlineLevel="0" collapsed="false">
      <c r="A136" s="355"/>
      <c r="E136" s="365" t="str">
        <f aca="false">IF((G136&lt;&gt;0),"Enter Letter"," ")</f>
        <v> </v>
      </c>
      <c r="H136" s="338" t="str">
        <f aca="false">IF((G136&lt;&gt;0),IF((D136&gt;0)," ",G136)," ")</f>
        <v> </v>
      </c>
      <c r="I136" s="367" t="str">
        <f aca="false">IF((G136&lt;&gt;0),IF((D136&gt;0)," ",(I$1-A136))," ")</f>
        <v> </v>
      </c>
      <c r="J136" s="334" t="str">
        <f aca="false">IF((E136="s"),G136," ")</f>
        <v> </v>
      </c>
      <c r="K136" s="334" t="str">
        <f aca="false">IF((E136="d"),G136," ")</f>
        <v> </v>
      </c>
      <c r="L136" s="334" t="str">
        <f aca="false">IF((E136="e"),G136," ")</f>
        <v> </v>
      </c>
      <c r="M136" s="334" t="str">
        <f aca="false">IF((E136="p"),G136," ")</f>
        <v> </v>
      </c>
      <c r="N136" s="334" t="str">
        <f aca="false">IF((E136="r"),G136," ")</f>
        <v> </v>
      </c>
      <c r="O136" s="334" t="str">
        <f aca="false">IF((E136="g"),G136," ")</f>
        <v> </v>
      </c>
      <c r="P136" s="334" t="str">
        <f aca="false">IF((E136="m"),G136," ")</f>
        <v> </v>
      </c>
      <c r="Q136" s="334" t="str">
        <f aca="false">IF((E136="t"),G136," ")</f>
        <v> </v>
      </c>
      <c r="R136" s="334" t="str">
        <f aca="false">IF((E136="a"),G136," ")</f>
        <v> </v>
      </c>
      <c r="S136" s="334" t="str">
        <f aca="false">IF((E136="l"),G136," ")</f>
        <v> </v>
      </c>
      <c r="T136" s="334" t="str">
        <f aca="false">IF((E136="b"),G136," ")</f>
        <v> </v>
      </c>
      <c r="U136" s="334" t="str">
        <f aca="false">IF((E136="i"),G136," ")</f>
        <v> </v>
      </c>
      <c r="V136" s="334" t="str">
        <f aca="false">IF((E136="o"),G136," ")</f>
        <v> </v>
      </c>
      <c r="W136" s="334" t="str">
        <f aca="false">IF((E136="f"),G136," ")</f>
        <v> </v>
      </c>
    </row>
    <row r="137" customFormat="false" ht="12.75" hidden="false" customHeight="false" outlineLevel="0" collapsed="false">
      <c r="A137" s="355"/>
      <c r="E137" s="365" t="str">
        <f aca="false">IF((G137&lt;&gt;0),"Enter Letter"," ")</f>
        <v> </v>
      </c>
      <c r="H137" s="338" t="str">
        <f aca="false">IF((G137&lt;&gt;0),IF((D137&gt;0)," ",G137)," ")</f>
        <v> </v>
      </c>
      <c r="I137" s="367" t="str">
        <f aca="false">IF((G137&lt;&gt;0),IF((D137&gt;0)," ",(I$1-A137))," ")</f>
        <v> </v>
      </c>
      <c r="J137" s="334" t="str">
        <f aca="false">IF((E137="s"),G137," ")</f>
        <v> </v>
      </c>
      <c r="K137" s="334" t="str">
        <f aca="false">IF((E137="d"),G137," ")</f>
        <v> </v>
      </c>
      <c r="L137" s="334" t="str">
        <f aca="false">IF((E137="e"),G137," ")</f>
        <v> </v>
      </c>
      <c r="M137" s="334" t="str">
        <f aca="false">IF((E137="p"),G137," ")</f>
        <v> </v>
      </c>
      <c r="N137" s="334" t="str">
        <f aca="false">IF((E137="r"),G137," ")</f>
        <v> </v>
      </c>
      <c r="O137" s="334" t="str">
        <f aca="false">IF((E137="g"),G137," ")</f>
        <v> </v>
      </c>
      <c r="P137" s="334" t="str">
        <f aca="false">IF((E137="m"),G137," ")</f>
        <v> </v>
      </c>
      <c r="Q137" s="334" t="str">
        <f aca="false">IF((E137="t"),G137," ")</f>
        <v> </v>
      </c>
      <c r="R137" s="334" t="str">
        <f aca="false">IF((E137="a"),G137," ")</f>
        <v> </v>
      </c>
      <c r="S137" s="334" t="str">
        <f aca="false">IF((E137="l"),G137," ")</f>
        <v> </v>
      </c>
      <c r="T137" s="334" t="str">
        <f aca="false">IF((E137="b"),G137," ")</f>
        <v> </v>
      </c>
      <c r="U137" s="334" t="str">
        <f aca="false">IF((E137="i"),G137," ")</f>
        <v> </v>
      </c>
      <c r="V137" s="334" t="str">
        <f aca="false">IF((E137="o"),G137," ")</f>
        <v> </v>
      </c>
      <c r="W137" s="334" t="str">
        <f aca="false">IF((E137="f"),G137," ")</f>
        <v> </v>
      </c>
    </row>
    <row r="138" customFormat="false" ht="12.75" hidden="false" customHeight="false" outlineLevel="0" collapsed="false">
      <c r="A138" s="355"/>
      <c r="E138" s="365" t="str">
        <f aca="false">IF((G138&lt;&gt;0),"Enter Letter"," ")</f>
        <v> </v>
      </c>
      <c r="H138" s="338" t="str">
        <f aca="false">IF((G138&lt;&gt;0),IF((D138&gt;0)," ",G138)," ")</f>
        <v> </v>
      </c>
      <c r="I138" s="367" t="str">
        <f aca="false">IF((G138&lt;&gt;0),IF((D138&gt;0)," ",(I$1-A138))," ")</f>
        <v> </v>
      </c>
      <c r="J138" s="334" t="str">
        <f aca="false">IF((E138="s"),G138," ")</f>
        <v> </v>
      </c>
      <c r="K138" s="334" t="str">
        <f aca="false">IF((E138="d"),G138," ")</f>
        <v> </v>
      </c>
      <c r="L138" s="334" t="str">
        <f aca="false">IF((E138="e"),G138," ")</f>
        <v> </v>
      </c>
      <c r="M138" s="334" t="str">
        <f aca="false">IF((E138="p"),G138," ")</f>
        <v> </v>
      </c>
      <c r="N138" s="334" t="str">
        <f aca="false">IF((E138="r"),G138," ")</f>
        <v> </v>
      </c>
      <c r="O138" s="334" t="str">
        <f aca="false">IF((E138="g"),G138," ")</f>
        <v> </v>
      </c>
      <c r="P138" s="334" t="str">
        <f aca="false">IF((E138="m"),G138," ")</f>
        <v> </v>
      </c>
      <c r="Q138" s="334" t="str">
        <f aca="false">IF((E138="t"),G138," ")</f>
        <v> </v>
      </c>
      <c r="R138" s="334" t="str">
        <f aca="false">IF((E138="a"),G138," ")</f>
        <v> </v>
      </c>
      <c r="S138" s="334" t="str">
        <f aca="false">IF((E138="l"),G138," ")</f>
        <v> </v>
      </c>
      <c r="T138" s="334" t="str">
        <f aca="false">IF((E138="b"),G138," ")</f>
        <v> </v>
      </c>
      <c r="U138" s="334" t="str">
        <f aca="false">IF((E138="i"),G138," ")</f>
        <v> </v>
      </c>
      <c r="V138" s="334" t="str">
        <f aca="false">IF((E138="o"),G138," ")</f>
        <v> </v>
      </c>
      <c r="W138" s="334" t="str">
        <f aca="false">IF((E138="f"),G138," ")</f>
        <v> </v>
      </c>
    </row>
    <row r="139" customFormat="false" ht="12.75" hidden="false" customHeight="false" outlineLevel="0" collapsed="false">
      <c r="A139" s="355"/>
      <c r="E139" s="365" t="str">
        <f aca="false">IF((G139&lt;&gt;0),"Enter Letter"," ")</f>
        <v> </v>
      </c>
      <c r="H139" s="338" t="str">
        <f aca="false">IF((G139&lt;&gt;0),IF((D139&gt;0)," ",G139)," ")</f>
        <v> </v>
      </c>
      <c r="I139" s="367" t="str">
        <f aca="false">IF((G139&lt;&gt;0),IF((D139&gt;0)," ",(I$1-A139))," ")</f>
        <v> </v>
      </c>
      <c r="J139" s="334" t="str">
        <f aca="false">IF((E139="s"),G139," ")</f>
        <v> </v>
      </c>
      <c r="K139" s="334" t="str">
        <f aca="false">IF((E139="d"),G139," ")</f>
        <v> </v>
      </c>
      <c r="L139" s="334" t="str">
        <f aca="false">IF((E139="e"),G139," ")</f>
        <v> </v>
      </c>
      <c r="M139" s="334" t="str">
        <f aca="false">IF((E139="p"),G139," ")</f>
        <v> </v>
      </c>
      <c r="N139" s="334" t="str">
        <f aca="false">IF((E139="r"),G139," ")</f>
        <v> </v>
      </c>
      <c r="O139" s="334" t="str">
        <f aca="false">IF((E139="g"),G139," ")</f>
        <v> </v>
      </c>
      <c r="P139" s="334" t="str">
        <f aca="false">IF((E139="m"),G139," ")</f>
        <v> </v>
      </c>
      <c r="Q139" s="334" t="str">
        <f aca="false">IF((E139="t"),G139," ")</f>
        <v> </v>
      </c>
      <c r="R139" s="334" t="str">
        <f aca="false">IF((E139="a"),G139," ")</f>
        <v> </v>
      </c>
      <c r="S139" s="334" t="str">
        <f aca="false">IF((E139="l"),G139," ")</f>
        <v> </v>
      </c>
      <c r="T139" s="334" t="str">
        <f aca="false">IF((E139="b"),G139," ")</f>
        <v> </v>
      </c>
      <c r="U139" s="334" t="str">
        <f aca="false">IF((E139="i"),G139," ")</f>
        <v> </v>
      </c>
      <c r="V139" s="334" t="str">
        <f aca="false">IF((E139="o"),G139," ")</f>
        <v> </v>
      </c>
      <c r="W139" s="334" t="str">
        <f aca="false">IF((E139="f"),G139," ")</f>
        <v> </v>
      </c>
    </row>
    <row r="140" customFormat="false" ht="12.75" hidden="false" customHeight="false" outlineLevel="0" collapsed="false">
      <c r="A140" s="355"/>
      <c r="E140" s="365" t="str">
        <f aca="false">IF((G140&lt;&gt;0),"Enter Letter"," ")</f>
        <v> </v>
      </c>
      <c r="H140" s="338" t="str">
        <f aca="false">IF((G140&lt;&gt;0),IF((D140&gt;0)," ",G140)," ")</f>
        <v> </v>
      </c>
      <c r="I140" s="367" t="str">
        <f aca="false">IF((G140&lt;&gt;0),IF((D140&gt;0)," ",(I$1-A140))," ")</f>
        <v> </v>
      </c>
      <c r="J140" s="334" t="str">
        <f aca="false">IF((E140="s"),G140," ")</f>
        <v> </v>
      </c>
      <c r="K140" s="334" t="str">
        <f aca="false">IF((E140="d"),G140," ")</f>
        <v> </v>
      </c>
      <c r="L140" s="334" t="str">
        <f aca="false">IF((E140="e"),G140," ")</f>
        <v> </v>
      </c>
      <c r="M140" s="334" t="str">
        <f aca="false">IF((E140="p"),G140," ")</f>
        <v> </v>
      </c>
      <c r="N140" s="334" t="str">
        <f aca="false">IF((E140="r"),G140," ")</f>
        <v> </v>
      </c>
      <c r="O140" s="334" t="str">
        <f aca="false">IF((E140="g"),G140," ")</f>
        <v> </v>
      </c>
      <c r="P140" s="334" t="str">
        <f aca="false">IF((E140="m"),G140," ")</f>
        <v> </v>
      </c>
      <c r="Q140" s="334" t="str">
        <f aca="false">IF((E140="t"),G140," ")</f>
        <v> </v>
      </c>
      <c r="R140" s="334" t="str">
        <f aca="false">IF((E140="a"),G140," ")</f>
        <v> </v>
      </c>
      <c r="S140" s="334" t="str">
        <f aca="false">IF((E140="l"),G140," ")</f>
        <v> </v>
      </c>
      <c r="T140" s="334" t="str">
        <f aca="false">IF((E140="b"),G140," ")</f>
        <v> </v>
      </c>
      <c r="U140" s="334" t="str">
        <f aca="false">IF((E140="i"),G140," ")</f>
        <v> </v>
      </c>
      <c r="V140" s="334" t="str">
        <f aca="false">IF((E140="o"),G140," ")</f>
        <v> </v>
      </c>
      <c r="W140" s="334" t="str">
        <f aca="false">IF((E140="f"),G140," ")</f>
        <v> </v>
      </c>
    </row>
    <row r="141" customFormat="false" ht="12.75" hidden="false" customHeight="false" outlineLevel="0" collapsed="false">
      <c r="A141" s="355"/>
      <c r="E141" s="365" t="str">
        <f aca="false">IF((G141&lt;&gt;0),"Enter Letter"," ")</f>
        <v> </v>
      </c>
      <c r="H141" s="338" t="str">
        <f aca="false">IF((G141&lt;&gt;0),IF((D141&gt;0)," ",G141)," ")</f>
        <v> </v>
      </c>
      <c r="I141" s="367" t="str">
        <f aca="false">IF((G141&lt;&gt;0),IF((D141&gt;0)," ",(I$1-A141))," ")</f>
        <v> </v>
      </c>
      <c r="J141" s="334" t="str">
        <f aca="false">IF((E141="s"),G141," ")</f>
        <v> </v>
      </c>
      <c r="K141" s="334" t="str">
        <f aca="false">IF((E141="d"),G141," ")</f>
        <v> </v>
      </c>
      <c r="L141" s="334" t="str">
        <f aca="false">IF((E141="e"),G141," ")</f>
        <v> </v>
      </c>
      <c r="M141" s="334" t="str">
        <f aca="false">IF((E141="p"),G141," ")</f>
        <v> </v>
      </c>
      <c r="N141" s="334" t="str">
        <f aca="false">IF((E141="r"),G141," ")</f>
        <v> </v>
      </c>
      <c r="O141" s="334" t="str">
        <f aca="false">IF((E141="g"),G141," ")</f>
        <v> </v>
      </c>
      <c r="P141" s="334" t="str">
        <f aca="false">IF((E141="m"),G141," ")</f>
        <v> </v>
      </c>
      <c r="Q141" s="334" t="str">
        <f aca="false">IF((E141="t"),G141," ")</f>
        <v> </v>
      </c>
      <c r="R141" s="334" t="str">
        <f aca="false">IF((E141="a"),G141," ")</f>
        <v> </v>
      </c>
      <c r="S141" s="334" t="str">
        <f aca="false">IF((E141="l"),G141," ")</f>
        <v> </v>
      </c>
      <c r="T141" s="334" t="str">
        <f aca="false">IF((E141="b"),G141," ")</f>
        <v> </v>
      </c>
      <c r="U141" s="334" t="str">
        <f aca="false">IF((E141="i"),G141," ")</f>
        <v> </v>
      </c>
      <c r="V141" s="334" t="str">
        <f aca="false">IF((E141="o"),G141," ")</f>
        <v> </v>
      </c>
      <c r="W141" s="334" t="str">
        <f aca="false">IF((E141="f"),G141," ")</f>
        <v> </v>
      </c>
    </row>
    <row r="142" customFormat="false" ht="12.75" hidden="false" customHeight="false" outlineLevel="0" collapsed="false">
      <c r="A142" s="355"/>
      <c r="E142" s="365" t="str">
        <f aca="false">IF((G142&lt;&gt;0),"Enter Letter"," ")</f>
        <v> </v>
      </c>
      <c r="H142" s="338" t="str">
        <f aca="false">IF((G142&lt;&gt;0),IF((D142&gt;0)," ",G142)," ")</f>
        <v> </v>
      </c>
      <c r="I142" s="367" t="str">
        <f aca="false">IF((G142&lt;&gt;0),IF((D142&gt;0)," ",(I$1-A142))," ")</f>
        <v> </v>
      </c>
      <c r="J142" s="334" t="str">
        <f aca="false">IF((E142="s"),G142," ")</f>
        <v> </v>
      </c>
      <c r="K142" s="334" t="str">
        <f aca="false">IF((E142="d"),G142," ")</f>
        <v> </v>
      </c>
      <c r="L142" s="334" t="str">
        <f aca="false">IF((E142="e"),G142," ")</f>
        <v> </v>
      </c>
      <c r="M142" s="334" t="str">
        <f aca="false">IF((E142="p"),G142," ")</f>
        <v> </v>
      </c>
      <c r="N142" s="334" t="str">
        <f aca="false">IF((E142="r"),G142," ")</f>
        <v> </v>
      </c>
      <c r="O142" s="334" t="str">
        <f aca="false">IF((E142="g"),G142," ")</f>
        <v> </v>
      </c>
      <c r="P142" s="334" t="str">
        <f aca="false">IF((E142="m"),G142," ")</f>
        <v> </v>
      </c>
      <c r="Q142" s="334" t="str">
        <f aca="false">IF((E142="t"),G142," ")</f>
        <v> </v>
      </c>
      <c r="R142" s="334" t="str">
        <f aca="false">IF((E142="a"),G142," ")</f>
        <v> </v>
      </c>
      <c r="S142" s="334" t="str">
        <f aca="false">IF((E142="l"),G142," ")</f>
        <v> </v>
      </c>
      <c r="T142" s="334" t="str">
        <f aca="false">IF((E142="b"),G142," ")</f>
        <v> </v>
      </c>
      <c r="U142" s="334" t="str">
        <f aca="false">IF((E142="i"),G142," ")</f>
        <v> </v>
      </c>
      <c r="V142" s="334" t="str">
        <f aca="false">IF((E142="o"),G142," ")</f>
        <v> </v>
      </c>
      <c r="W142" s="334" t="str">
        <f aca="false">IF((E142="f"),G142," ")</f>
        <v> </v>
      </c>
    </row>
    <row r="143" customFormat="false" ht="12.75" hidden="false" customHeight="false" outlineLevel="0" collapsed="false">
      <c r="A143" s="355"/>
      <c r="E143" s="365" t="str">
        <f aca="false">IF((G143&lt;&gt;0),"Enter Letter"," ")</f>
        <v> </v>
      </c>
      <c r="H143" s="338" t="str">
        <f aca="false">IF((G143&lt;&gt;0),IF((D143&gt;0)," ",G143)," ")</f>
        <v> </v>
      </c>
      <c r="I143" s="367" t="str">
        <f aca="false">IF((G143&lt;&gt;0),IF((D143&gt;0)," ",(I$1-A143))," ")</f>
        <v> </v>
      </c>
      <c r="J143" s="334" t="str">
        <f aca="false">IF((E143="s"),G143," ")</f>
        <v> </v>
      </c>
      <c r="K143" s="334" t="str">
        <f aca="false">IF((E143="d"),G143," ")</f>
        <v> </v>
      </c>
      <c r="L143" s="334" t="str">
        <f aca="false">IF((E143="e"),G143," ")</f>
        <v> </v>
      </c>
      <c r="M143" s="334" t="str">
        <f aca="false">IF((E143="p"),G143," ")</f>
        <v> </v>
      </c>
      <c r="N143" s="334" t="str">
        <f aca="false">IF((E143="r"),G143," ")</f>
        <v> </v>
      </c>
      <c r="O143" s="334" t="str">
        <f aca="false">IF((E143="g"),G143," ")</f>
        <v> </v>
      </c>
      <c r="P143" s="334" t="str">
        <f aca="false">IF((E143="m"),G143," ")</f>
        <v> </v>
      </c>
      <c r="Q143" s="334" t="str">
        <f aca="false">IF((E143="t"),G143," ")</f>
        <v> </v>
      </c>
      <c r="R143" s="334" t="str">
        <f aca="false">IF((E143="a"),G143," ")</f>
        <v> </v>
      </c>
      <c r="S143" s="334" t="str">
        <f aca="false">IF((E143="l"),G143," ")</f>
        <v> </v>
      </c>
      <c r="T143" s="334" t="str">
        <f aca="false">IF((E143="b"),G143," ")</f>
        <v> </v>
      </c>
      <c r="U143" s="334" t="str">
        <f aca="false">IF((E143="i"),G143," ")</f>
        <v> </v>
      </c>
      <c r="V143" s="334" t="str">
        <f aca="false">IF((E143="o"),G143," ")</f>
        <v> </v>
      </c>
      <c r="W143" s="334" t="str">
        <f aca="false">IF((E143="f"),G143," ")</f>
        <v> </v>
      </c>
    </row>
    <row r="144" customFormat="false" ht="12.75" hidden="false" customHeight="false" outlineLevel="0" collapsed="false">
      <c r="A144" s="355"/>
      <c r="E144" s="365" t="str">
        <f aca="false">IF((G144&lt;&gt;0),"Enter Letter"," ")</f>
        <v> </v>
      </c>
      <c r="H144" s="338" t="str">
        <f aca="false">IF((G144&lt;&gt;0),IF((D144&gt;0)," ",G144)," ")</f>
        <v> </v>
      </c>
      <c r="I144" s="367" t="str">
        <f aca="false">IF((G144&lt;&gt;0),IF((D144&gt;0)," ",(I$1-A144))," ")</f>
        <v> </v>
      </c>
      <c r="J144" s="334" t="str">
        <f aca="false">IF((E144="s"),G144," ")</f>
        <v> </v>
      </c>
      <c r="K144" s="334" t="str">
        <f aca="false">IF((E144="d"),G144," ")</f>
        <v> </v>
      </c>
      <c r="L144" s="334" t="str">
        <f aca="false">IF((E144="e"),G144," ")</f>
        <v> </v>
      </c>
      <c r="M144" s="334" t="str">
        <f aca="false">IF((E144="p"),G144," ")</f>
        <v> </v>
      </c>
      <c r="N144" s="334" t="str">
        <f aca="false">IF((E144="r"),G144," ")</f>
        <v> </v>
      </c>
      <c r="O144" s="334" t="str">
        <f aca="false">IF((E144="g"),G144," ")</f>
        <v> </v>
      </c>
      <c r="P144" s="334" t="str">
        <f aca="false">IF((E144="m"),G144," ")</f>
        <v> </v>
      </c>
      <c r="Q144" s="334" t="str">
        <f aca="false">IF((E144="t"),G144," ")</f>
        <v> </v>
      </c>
      <c r="R144" s="334" t="str">
        <f aca="false">IF((E144="a"),G144," ")</f>
        <v> </v>
      </c>
      <c r="S144" s="334" t="str">
        <f aca="false">IF((E144="l"),G144," ")</f>
        <v> </v>
      </c>
      <c r="T144" s="334" t="str">
        <f aca="false">IF((E144="b"),G144," ")</f>
        <v> </v>
      </c>
      <c r="U144" s="334" t="str">
        <f aca="false">IF((E144="i"),G144," ")</f>
        <v> </v>
      </c>
      <c r="V144" s="334" t="str">
        <f aca="false">IF((E144="o"),G144," ")</f>
        <v> </v>
      </c>
      <c r="W144" s="334" t="str">
        <f aca="false">IF((E144="f"),G144," ")</f>
        <v> </v>
      </c>
    </row>
    <row r="145" customFormat="false" ht="12.75" hidden="false" customHeight="false" outlineLevel="0" collapsed="false">
      <c r="A145" s="355"/>
      <c r="E145" s="365" t="str">
        <f aca="false">IF((G145&lt;&gt;0),"Enter Letter"," ")</f>
        <v> </v>
      </c>
      <c r="H145" s="338" t="str">
        <f aca="false">IF((G145&lt;&gt;0),IF((D145&gt;0)," ",G145)," ")</f>
        <v> </v>
      </c>
      <c r="I145" s="367" t="str">
        <f aca="false">IF((G145&lt;&gt;0),IF((D145&gt;0)," ",(I$1-A145))," ")</f>
        <v> </v>
      </c>
      <c r="J145" s="334" t="str">
        <f aca="false">IF((E145="s"),G145," ")</f>
        <v> </v>
      </c>
      <c r="K145" s="334" t="str">
        <f aca="false">IF((E145="d"),G145," ")</f>
        <v> </v>
      </c>
      <c r="L145" s="334" t="str">
        <f aca="false">IF((E145="e"),G145," ")</f>
        <v> </v>
      </c>
      <c r="M145" s="334" t="str">
        <f aca="false">IF((E145="p"),G145," ")</f>
        <v> </v>
      </c>
      <c r="N145" s="334" t="str">
        <f aca="false">IF((E145="r"),G145," ")</f>
        <v> </v>
      </c>
      <c r="O145" s="334" t="str">
        <f aca="false">IF((E145="g"),G145," ")</f>
        <v> </v>
      </c>
      <c r="P145" s="334" t="str">
        <f aca="false">IF((E145="m"),G145," ")</f>
        <v> </v>
      </c>
      <c r="Q145" s="334" t="str">
        <f aca="false">IF((E145="t"),G145," ")</f>
        <v> </v>
      </c>
      <c r="R145" s="334" t="str">
        <f aca="false">IF((E145="a"),G145," ")</f>
        <v> </v>
      </c>
      <c r="S145" s="334" t="str">
        <f aca="false">IF((E145="l"),G145," ")</f>
        <v> </v>
      </c>
      <c r="T145" s="334" t="str">
        <f aca="false">IF((E145="b"),G145," ")</f>
        <v> </v>
      </c>
      <c r="U145" s="334" t="str">
        <f aca="false">IF((E145="i"),G145," ")</f>
        <v> </v>
      </c>
      <c r="V145" s="334" t="str">
        <f aca="false">IF((E145="o"),G145," ")</f>
        <v> </v>
      </c>
      <c r="W145" s="334" t="str">
        <f aca="false">IF((E145="f"),G145," ")</f>
        <v> </v>
      </c>
    </row>
    <row r="146" customFormat="false" ht="12.75" hidden="false" customHeight="false" outlineLevel="0" collapsed="false">
      <c r="A146" s="355"/>
      <c r="E146" s="365" t="str">
        <f aca="false">IF((G146&lt;&gt;0),"Enter Letter"," ")</f>
        <v> </v>
      </c>
      <c r="H146" s="338" t="str">
        <f aca="false">IF((G146&lt;&gt;0),IF((D146&gt;0)," ",G146)," ")</f>
        <v> </v>
      </c>
      <c r="I146" s="367" t="str">
        <f aca="false">IF((G146&lt;&gt;0),IF((D146&gt;0)," ",(I$1-A146))," ")</f>
        <v> </v>
      </c>
      <c r="J146" s="334" t="str">
        <f aca="false">IF((E146="s"),G146," ")</f>
        <v> </v>
      </c>
      <c r="K146" s="334" t="str">
        <f aca="false">IF((E146="d"),G146," ")</f>
        <v> </v>
      </c>
      <c r="L146" s="334" t="str">
        <f aca="false">IF((E146="e"),G146," ")</f>
        <v> </v>
      </c>
      <c r="M146" s="334" t="str">
        <f aca="false">IF((E146="p"),G146," ")</f>
        <v> </v>
      </c>
      <c r="N146" s="334" t="str">
        <f aca="false">IF((E146="r"),G146," ")</f>
        <v> </v>
      </c>
      <c r="O146" s="334" t="str">
        <f aca="false">IF((E146="g"),G146," ")</f>
        <v> </v>
      </c>
      <c r="P146" s="334" t="str">
        <f aca="false">IF((E146="m"),G146," ")</f>
        <v> </v>
      </c>
      <c r="Q146" s="334" t="str">
        <f aca="false">IF((E146="t"),G146," ")</f>
        <v> </v>
      </c>
      <c r="R146" s="334" t="str">
        <f aca="false">IF((E146="a"),G146," ")</f>
        <v> </v>
      </c>
      <c r="S146" s="334" t="str">
        <f aca="false">IF((E146="l"),G146," ")</f>
        <v> </v>
      </c>
      <c r="T146" s="334" t="str">
        <f aca="false">IF((E146="b"),G146," ")</f>
        <v> </v>
      </c>
      <c r="U146" s="334" t="str">
        <f aca="false">IF((E146="i"),G146," ")</f>
        <v> </v>
      </c>
      <c r="V146" s="334" t="str">
        <f aca="false">IF((E146="o"),G146," ")</f>
        <v> </v>
      </c>
      <c r="W146" s="334" t="str">
        <f aca="false">IF((E146="f"),G146," ")</f>
        <v> </v>
      </c>
    </row>
    <row r="147" customFormat="false" ht="12.75" hidden="false" customHeight="false" outlineLevel="0" collapsed="false">
      <c r="A147" s="355"/>
      <c r="E147" s="365" t="str">
        <f aca="false">IF((G147&lt;&gt;0),"Enter Letter"," ")</f>
        <v> </v>
      </c>
      <c r="H147" s="338" t="str">
        <f aca="false">IF((G147&lt;&gt;0),IF((D147&gt;0)," ",G147)," ")</f>
        <v> </v>
      </c>
      <c r="I147" s="367" t="str">
        <f aca="false">IF((G147&lt;&gt;0),IF((D147&gt;0)," ",(I$1-A147))," ")</f>
        <v> </v>
      </c>
      <c r="J147" s="334" t="str">
        <f aca="false">IF((E147="s"),G147," ")</f>
        <v> </v>
      </c>
      <c r="K147" s="334" t="str">
        <f aca="false">IF((E147="d"),G147," ")</f>
        <v> </v>
      </c>
      <c r="L147" s="334" t="str">
        <f aca="false">IF((E147="e"),G147," ")</f>
        <v> </v>
      </c>
      <c r="M147" s="334" t="str">
        <f aca="false">IF((E147="p"),G147," ")</f>
        <v> </v>
      </c>
      <c r="N147" s="334" t="str">
        <f aca="false">IF((E147="r"),G147," ")</f>
        <v> </v>
      </c>
      <c r="O147" s="334" t="str">
        <f aca="false">IF((E147="g"),G147," ")</f>
        <v> </v>
      </c>
      <c r="P147" s="334" t="str">
        <f aca="false">IF((E147="m"),G147," ")</f>
        <v> </v>
      </c>
      <c r="Q147" s="334" t="str">
        <f aca="false">IF((E147="t"),G147," ")</f>
        <v> </v>
      </c>
      <c r="R147" s="334" t="str">
        <f aca="false">IF((E147="a"),G147," ")</f>
        <v> </v>
      </c>
      <c r="S147" s="334" t="str">
        <f aca="false">IF((E147="l"),G147," ")</f>
        <v> </v>
      </c>
      <c r="T147" s="334" t="str">
        <f aca="false">IF((E147="b"),G147," ")</f>
        <v> </v>
      </c>
      <c r="U147" s="334" t="str">
        <f aca="false">IF((E147="i"),G147," ")</f>
        <v> </v>
      </c>
      <c r="V147" s="334" t="str">
        <f aca="false">IF((E147="o"),G147," ")</f>
        <v> </v>
      </c>
      <c r="W147" s="334" t="str">
        <f aca="false">IF((E147="f"),G147," ")</f>
        <v> </v>
      </c>
    </row>
    <row r="148" customFormat="false" ht="12.75" hidden="false" customHeight="false" outlineLevel="0" collapsed="false">
      <c r="A148" s="355"/>
      <c r="E148" s="365" t="str">
        <f aca="false">IF((G148&lt;&gt;0),"Enter Letter"," ")</f>
        <v> </v>
      </c>
      <c r="H148" s="338" t="str">
        <f aca="false">IF((G148&lt;&gt;0),IF((D148&gt;0)," ",G148)," ")</f>
        <v> </v>
      </c>
      <c r="I148" s="367" t="str">
        <f aca="false">IF((G148&lt;&gt;0),IF((D148&gt;0)," ",(I$1-A148))," ")</f>
        <v> </v>
      </c>
      <c r="J148" s="334" t="str">
        <f aca="false">IF((E148="s"),G148," ")</f>
        <v> </v>
      </c>
      <c r="K148" s="334" t="str">
        <f aca="false">IF((E148="d"),G148," ")</f>
        <v> </v>
      </c>
      <c r="L148" s="334" t="str">
        <f aca="false">IF((E148="e"),G148," ")</f>
        <v> </v>
      </c>
      <c r="M148" s="334" t="str">
        <f aca="false">IF((E148="p"),G148," ")</f>
        <v> </v>
      </c>
      <c r="N148" s="334" t="str">
        <f aca="false">IF((E148="r"),G148," ")</f>
        <v> </v>
      </c>
      <c r="O148" s="334" t="str">
        <f aca="false">IF((E148="g"),G148," ")</f>
        <v> </v>
      </c>
      <c r="P148" s="334" t="str">
        <f aca="false">IF((E148="m"),G148," ")</f>
        <v> </v>
      </c>
      <c r="Q148" s="334" t="str">
        <f aca="false">IF((E148="t"),G148," ")</f>
        <v> </v>
      </c>
      <c r="R148" s="334" t="str">
        <f aca="false">IF((E148="a"),G148," ")</f>
        <v> </v>
      </c>
      <c r="S148" s="334" t="str">
        <f aca="false">IF((E148="l"),G148," ")</f>
        <v> </v>
      </c>
      <c r="T148" s="334" t="str">
        <f aca="false">IF((E148="b"),G148," ")</f>
        <v> </v>
      </c>
      <c r="U148" s="334" t="str">
        <f aca="false">IF((E148="i"),G148," ")</f>
        <v> </v>
      </c>
      <c r="V148" s="334" t="str">
        <f aca="false">IF((E148="o"),G148," ")</f>
        <v> </v>
      </c>
      <c r="W148" s="334" t="str">
        <f aca="false">IF((E148="f"),G148," ")</f>
        <v> </v>
      </c>
    </row>
    <row r="149" customFormat="false" ht="12.75" hidden="false" customHeight="false" outlineLevel="0" collapsed="false">
      <c r="A149" s="355"/>
      <c r="E149" s="365" t="str">
        <f aca="false">IF((G149&lt;&gt;0),"Enter Letter"," ")</f>
        <v> </v>
      </c>
      <c r="H149" s="338" t="str">
        <f aca="false">IF((G149&lt;&gt;0),IF((D149&gt;0)," ",G149)," ")</f>
        <v> </v>
      </c>
      <c r="I149" s="367" t="str">
        <f aca="false">IF((G149&lt;&gt;0),IF((D149&gt;0)," ",(I$1-A149))," ")</f>
        <v> </v>
      </c>
      <c r="J149" s="334" t="str">
        <f aca="false">IF((E149="s"),G149," ")</f>
        <v> </v>
      </c>
      <c r="K149" s="334" t="str">
        <f aca="false">IF((E149="d"),G149," ")</f>
        <v> </v>
      </c>
      <c r="L149" s="334" t="str">
        <f aca="false">IF((E149="e"),G149," ")</f>
        <v> </v>
      </c>
      <c r="M149" s="334" t="str">
        <f aca="false">IF((E149="p"),G149," ")</f>
        <v> </v>
      </c>
      <c r="N149" s="334" t="str">
        <f aca="false">IF((E149="r"),G149," ")</f>
        <v> </v>
      </c>
      <c r="O149" s="334" t="str">
        <f aca="false">IF((E149="g"),G149," ")</f>
        <v> </v>
      </c>
      <c r="P149" s="334" t="str">
        <f aca="false">IF((E149="m"),G149," ")</f>
        <v> </v>
      </c>
      <c r="Q149" s="334" t="str">
        <f aca="false">IF((E149="t"),G149," ")</f>
        <v> </v>
      </c>
      <c r="R149" s="334" t="str">
        <f aca="false">IF((E149="a"),G149," ")</f>
        <v> </v>
      </c>
      <c r="S149" s="334" t="str">
        <f aca="false">IF((E149="l"),G149," ")</f>
        <v> </v>
      </c>
      <c r="T149" s="334" t="str">
        <f aca="false">IF((E149="b"),G149," ")</f>
        <v> </v>
      </c>
      <c r="U149" s="334" t="str">
        <f aca="false">IF((E149="i"),G149," ")</f>
        <v> </v>
      </c>
      <c r="V149" s="334" t="str">
        <f aca="false">IF((E149="o"),G149," ")</f>
        <v> </v>
      </c>
      <c r="W149" s="334" t="str">
        <f aca="false">IF((E149="f"),G149," ")</f>
        <v> </v>
      </c>
    </row>
    <row r="150" customFormat="false" ht="12.75" hidden="false" customHeight="false" outlineLevel="0" collapsed="false">
      <c r="A150" s="355"/>
      <c r="E150" s="365" t="str">
        <f aca="false">IF((G150&lt;&gt;0),"Enter Letter"," ")</f>
        <v> </v>
      </c>
      <c r="H150" s="338" t="str">
        <f aca="false">IF((G150&lt;&gt;0),IF((D150&gt;0)," ",G150)," ")</f>
        <v> </v>
      </c>
      <c r="I150" s="367" t="str">
        <f aca="false">IF((G150&lt;&gt;0),IF((D150&gt;0)," ",(I$1-A150))," ")</f>
        <v> </v>
      </c>
      <c r="J150" s="334" t="str">
        <f aca="false">IF((E150="s"),G150," ")</f>
        <v> </v>
      </c>
      <c r="K150" s="334" t="str">
        <f aca="false">IF((E150="d"),G150," ")</f>
        <v> </v>
      </c>
      <c r="L150" s="334" t="str">
        <f aca="false">IF((E150="e"),G150," ")</f>
        <v> </v>
      </c>
      <c r="M150" s="334" t="str">
        <f aca="false">IF((E150="p"),G150," ")</f>
        <v> </v>
      </c>
      <c r="N150" s="334" t="str">
        <f aca="false">IF((E150="r"),G150," ")</f>
        <v> </v>
      </c>
      <c r="O150" s="334" t="str">
        <f aca="false">IF((E150="g"),G150," ")</f>
        <v> </v>
      </c>
      <c r="P150" s="334" t="str">
        <f aca="false">IF((E150="m"),G150," ")</f>
        <v> </v>
      </c>
      <c r="Q150" s="334" t="str">
        <f aca="false">IF((E150="t"),G150," ")</f>
        <v> </v>
      </c>
      <c r="R150" s="334" t="str">
        <f aca="false">IF((E150="a"),G150," ")</f>
        <v> </v>
      </c>
      <c r="S150" s="334" t="str">
        <f aca="false">IF((E150="l"),G150," ")</f>
        <v> </v>
      </c>
      <c r="T150" s="334" t="str">
        <f aca="false">IF((E150="b"),G150," ")</f>
        <v> </v>
      </c>
      <c r="U150" s="334" t="str">
        <f aca="false">IF((E150="i"),G150," ")</f>
        <v> </v>
      </c>
      <c r="V150" s="334" t="str">
        <f aca="false">IF((E150="o"),G150," ")</f>
        <v> </v>
      </c>
      <c r="W150" s="334" t="str">
        <f aca="false">IF((E150="f"),G150," ")</f>
        <v> </v>
      </c>
    </row>
    <row r="151" customFormat="false" ht="12.75" hidden="false" customHeight="false" outlineLevel="0" collapsed="false">
      <c r="A151" s="355"/>
      <c r="E151" s="365" t="str">
        <f aca="false">IF((G151&lt;&gt;0),"Enter Letter"," ")</f>
        <v> </v>
      </c>
      <c r="H151" s="338" t="str">
        <f aca="false">IF((G151&lt;&gt;0),IF((D151&gt;0)," ",G151)," ")</f>
        <v> </v>
      </c>
      <c r="I151" s="367" t="str">
        <f aca="false">IF((G151&lt;&gt;0),IF((D151&gt;0)," ",(I$1-A151))," ")</f>
        <v> </v>
      </c>
      <c r="J151" s="334" t="str">
        <f aca="false">IF((E151="s"),G151," ")</f>
        <v> </v>
      </c>
      <c r="K151" s="334" t="str">
        <f aca="false">IF((E151="d"),G151," ")</f>
        <v> </v>
      </c>
      <c r="L151" s="334" t="str">
        <f aca="false">IF((E151="e"),G151," ")</f>
        <v> </v>
      </c>
      <c r="M151" s="334" t="str">
        <f aca="false">IF((E151="p"),G151," ")</f>
        <v> </v>
      </c>
      <c r="N151" s="334" t="str">
        <f aca="false">IF((E151="r"),G151," ")</f>
        <v> </v>
      </c>
      <c r="O151" s="334" t="str">
        <f aca="false">IF((E151="g"),G151," ")</f>
        <v> </v>
      </c>
      <c r="P151" s="334" t="str">
        <f aca="false">IF((E151="m"),G151," ")</f>
        <v> </v>
      </c>
      <c r="Q151" s="334" t="str">
        <f aca="false">IF((E151="t"),G151," ")</f>
        <v> </v>
      </c>
      <c r="R151" s="334" t="str">
        <f aca="false">IF((E151="a"),G151," ")</f>
        <v> </v>
      </c>
      <c r="S151" s="334" t="str">
        <f aca="false">IF((E151="l"),G151," ")</f>
        <v> </v>
      </c>
      <c r="T151" s="334" t="str">
        <f aca="false">IF((E151="b"),G151," ")</f>
        <v> </v>
      </c>
      <c r="U151" s="334" t="str">
        <f aca="false">IF((E151="i"),G151," ")</f>
        <v> </v>
      </c>
      <c r="V151" s="334" t="str">
        <f aca="false">IF((E151="o"),G151," ")</f>
        <v> </v>
      </c>
      <c r="W151" s="334" t="str">
        <f aca="false">IF((E151="f"),G151," ")</f>
        <v> </v>
      </c>
    </row>
    <row r="152" customFormat="false" ht="12.75" hidden="false" customHeight="false" outlineLevel="0" collapsed="false">
      <c r="A152" s="355"/>
      <c r="E152" s="365" t="str">
        <f aca="false">IF((G152&lt;&gt;0),"Enter Letter"," ")</f>
        <v> </v>
      </c>
      <c r="H152" s="338" t="str">
        <f aca="false">IF((G152&lt;&gt;0),IF((D152&gt;0)," ",G152)," ")</f>
        <v> </v>
      </c>
      <c r="I152" s="367" t="str">
        <f aca="false">IF((G152&lt;&gt;0),IF((D152&gt;0)," ",(I$1-A152))," ")</f>
        <v> </v>
      </c>
      <c r="J152" s="334" t="str">
        <f aca="false">IF((E152="s"),G152," ")</f>
        <v> </v>
      </c>
      <c r="K152" s="334" t="str">
        <f aca="false">IF((E152="d"),G152," ")</f>
        <v> </v>
      </c>
      <c r="L152" s="334" t="str">
        <f aca="false">IF((E152="e"),G152," ")</f>
        <v> </v>
      </c>
      <c r="M152" s="334" t="str">
        <f aca="false">IF((E152="p"),G152," ")</f>
        <v> </v>
      </c>
      <c r="N152" s="334" t="str">
        <f aca="false">IF((E152="r"),G152," ")</f>
        <v> </v>
      </c>
      <c r="O152" s="334" t="str">
        <f aca="false">IF((E152="g"),G152," ")</f>
        <v> </v>
      </c>
      <c r="P152" s="334" t="str">
        <f aca="false">IF((E152="m"),G152," ")</f>
        <v> </v>
      </c>
      <c r="Q152" s="334" t="str">
        <f aca="false">IF((E152="t"),G152," ")</f>
        <v> </v>
      </c>
      <c r="R152" s="334" t="str">
        <f aca="false">IF((E152="a"),G152," ")</f>
        <v> </v>
      </c>
      <c r="S152" s="334" t="str">
        <f aca="false">IF((E152="l"),G152," ")</f>
        <v> </v>
      </c>
      <c r="T152" s="334" t="str">
        <f aca="false">IF((E152="b"),G152," ")</f>
        <v> </v>
      </c>
      <c r="U152" s="334" t="str">
        <f aca="false">IF((E152="i"),G152," ")</f>
        <v> </v>
      </c>
      <c r="V152" s="334" t="str">
        <f aca="false">IF((E152="o"),G152," ")</f>
        <v> </v>
      </c>
      <c r="W152" s="334" t="str">
        <f aca="false">IF((E152="f"),G152," ")</f>
        <v> </v>
      </c>
    </row>
    <row r="153" customFormat="false" ht="12.75" hidden="false" customHeight="false" outlineLevel="0" collapsed="false">
      <c r="A153" s="355"/>
      <c r="E153" s="365" t="str">
        <f aca="false">IF((G153&lt;&gt;0),"Enter Letter"," ")</f>
        <v> </v>
      </c>
      <c r="H153" s="338" t="str">
        <f aca="false">IF((G153&lt;&gt;0),IF((D153&gt;0)," ",G153)," ")</f>
        <v> </v>
      </c>
      <c r="I153" s="367" t="str">
        <f aca="false">IF((G153&lt;&gt;0),IF((D153&gt;0)," ",(I$1-A153))," ")</f>
        <v> </v>
      </c>
      <c r="J153" s="334" t="str">
        <f aca="false">IF((E153="s"),G153," ")</f>
        <v> </v>
      </c>
      <c r="K153" s="334" t="str">
        <f aca="false">IF((E153="d"),G153," ")</f>
        <v> </v>
      </c>
      <c r="L153" s="334" t="str">
        <f aca="false">IF((E153="e"),G153," ")</f>
        <v> </v>
      </c>
      <c r="M153" s="334" t="str">
        <f aca="false">IF((E153="p"),G153," ")</f>
        <v> </v>
      </c>
      <c r="N153" s="334" t="str">
        <f aca="false">IF((E153="r"),G153," ")</f>
        <v> </v>
      </c>
      <c r="O153" s="334" t="str">
        <f aca="false">IF((E153="g"),G153," ")</f>
        <v> </v>
      </c>
      <c r="P153" s="334" t="str">
        <f aca="false">IF((E153="m"),G153," ")</f>
        <v> </v>
      </c>
      <c r="Q153" s="334" t="str">
        <f aca="false">IF((E153="t"),G153," ")</f>
        <v> </v>
      </c>
      <c r="R153" s="334" t="str">
        <f aca="false">IF((E153="a"),G153," ")</f>
        <v> </v>
      </c>
      <c r="S153" s="334" t="str">
        <f aca="false">IF((E153="l"),G153," ")</f>
        <v> </v>
      </c>
      <c r="T153" s="334" t="str">
        <f aca="false">IF((E153="b"),G153," ")</f>
        <v> </v>
      </c>
      <c r="U153" s="334" t="str">
        <f aca="false">IF((E153="i"),G153," ")</f>
        <v> </v>
      </c>
      <c r="V153" s="334" t="str">
        <f aca="false">IF((E153="o"),G153," ")</f>
        <v> </v>
      </c>
      <c r="W153" s="334" t="str">
        <f aca="false">IF((E153="f"),G153," ")</f>
        <v> </v>
      </c>
    </row>
    <row r="154" customFormat="false" ht="12.75" hidden="false" customHeight="false" outlineLevel="0" collapsed="false">
      <c r="A154" s="355"/>
      <c r="E154" s="365" t="str">
        <f aca="false">IF((G154&lt;&gt;0),"Enter Letter"," ")</f>
        <v> </v>
      </c>
      <c r="H154" s="338" t="str">
        <f aca="false">IF((G154&lt;&gt;0),IF((D154&gt;0)," ",G154)," ")</f>
        <v> </v>
      </c>
      <c r="I154" s="367" t="str">
        <f aca="false">IF((G154&lt;&gt;0),IF((D154&gt;0)," ",(I$1-A154))," ")</f>
        <v> </v>
      </c>
      <c r="J154" s="334" t="str">
        <f aca="false">IF((E154="s"),G154," ")</f>
        <v> </v>
      </c>
      <c r="K154" s="334" t="str">
        <f aca="false">IF((E154="d"),G154," ")</f>
        <v> </v>
      </c>
      <c r="L154" s="334" t="str">
        <f aca="false">IF((E154="e"),G154," ")</f>
        <v> </v>
      </c>
      <c r="M154" s="334" t="str">
        <f aca="false">IF((E154="p"),G154," ")</f>
        <v> </v>
      </c>
      <c r="N154" s="334" t="str">
        <f aca="false">IF((E154="r"),G154," ")</f>
        <v> </v>
      </c>
      <c r="O154" s="334" t="str">
        <f aca="false">IF((E154="g"),G154," ")</f>
        <v> </v>
      </c>
      <c r="P154" s="334" t="str">
        <f aca="false">IF((E154="m"),G154," ")</f>
        <v> </v>
      </c>
      <c r="Q154" s="334" t="str">
        <f aca="false">IF((E154="t"),G154," ")</f>
        <v> </v>
      </c>
      <c r="R154" s="334" t="str">
        <f aca="false">IF((E154="a"),G154," ")</f>
        <v> </v>
      </c>
      <c r="S154" s="334" t="str">
        <f aca="false">IF((E154="l"),G154," ")</f>
        <v> </v>
      </c>
      <c r="T154" s="334" t="str">
        <f aca="false">IF((E154="b"),G154," ")</f>
        <v> </v>
      </c>
      <c r="U154" s="334" t="str">
        <f aca="false">IF((E154="i"),G154," ")</f>
        <v> </v>
      </c>
      <c r="V154" s="334" t="str">
        <f aca="false">IF((E154="o"),G154," ")</f>
        <v> </v>
      </c>
      <c r="W154" s="334" t="str">
        <f aca="false">IF((E154="f"),G154," ")</f>
        <v> </v>
      </c>
    </row>
    <row r="155" customFormat="false" ht="12.75" hidden="false" customHeight="false" outlineLevel="0" collapsed="false">
      <c r="A155" s="355"/>
      <c r="E155" s="365" t="str">
        <f aca="false">IF((G155&lt;&gt;0),"Enter Letter"," ")</f>
        <v> </v>
      </c>
      <c r="H155" s="338" t="str">
        <f aca="false">IF((G155&lt;&gt;0),IF((D155&gt;0)," ",G155)," ")</f>
        <v> </v>
      </c>
      <c r="I155" s="367" t="str">
        <f aca="false">IF((G155&lt;&gt;0),IF((D155&gt;0)," ",(I$1-A155))," ")</f>
        <v> </v>
      </c>
      <c r="J155" s="334" t="str">
        <f aca="false">IF((E155="s"),G155," ")</f>
        <v> </v>
      </c>
      <c r="K155" s="334" t="str">
        <f aca="false">IF((E155="d"),G155," ")</f>
        <v> </v>
      </c>
      <c r="L155" s="334" t="str">
        <f aca="false">IF((E155="e"),G155," ")</f>
        <v> </v>
      </c>
      <c r="M155" s="334" t="str">
        <f aca="false">IF((E155="p"),G155," ")</f>
        <v> </v>
      </c>
      <c r="N155" s="334" t="str">
        <f aca="false">IF((E155="r"),G155," ")</f>
        <v> </v>
      </c>
      <c r="O155" s="334" t="str">
        <f aca="false">IF((E155="g"),G155," ")</f>
        <v> </v>
      </c>
      <c r="P155" s="334" t="str">
        <f aca="false">IF((E155="m"),G155," ")</f>
        <v> </v>
      </c>
      <c r="Q155" s="334" t="str">
        <f aca="false">IF((E155="t"),G155," ")</f>
        <v> </v>
      </c>
      <c r="R155" s="334" t="str">
        <f aca="false">IF((E155="a"),G155," ")</f>
        <v> </v>
      </c>
      <c r="S155" s="334" t="str">
        <f aca="false">IF((E155="l"),G155," ")</f>
        <v> </v>
      </c>
      <c r="T155" s="334" t="str">
        <f aca="false">IF((E155="b"),G155," ")</f>
        <v> </v>
      </c>
      <c r="U155" s="334" t="str">
        <f aca="false">IF((E155="i"),G155," ")</f>
        <v> </v>
      </c>
      <c r="V155" s="334" t="str">
        <f aca="false">IF((E155="o"),G155," ")</f>
        <v> </v>
      </c>
      <c r="W155" s="334" t="str">
        <f aca="false">IF((E155="f"),G155," ")</f>
        <v> </v>
      </c>
    </row>
    <row r="156" customFormat="false" ht="12.75" hidden="false" customHeight="false" outlineLevel="0" collapsed="false">
      <c r="A156" s="355"/>
      <c r="E156" s="365" t="str">
        <f aca="false">IF((G156&lt;&gt;0),"Enter Letter"," ")</f>
        <v> </v>
      </c>
      <c r="H156" s="338" t="str">
        <f aca="false">IF((G156&lt;&gt;0),IF((D156&gt;0)," ",G156)," ")</f>
        <v> </v>
      </c>
      <c r="I156" s="367" t="str">
        <f aca="false">IF((G156&lt;&gt;0),IF((D156&gt;0)," ",(I$1-A156))," ")</f>
        <v> </v>
      </c>
      <c r="J156" s="334" t="str">
        <f aca="false">IF((E156="s"),G156," ")</f>
        <v> </v>
      </c>
      <c r="K156" s="334" t="str">
        <f aca="false">IF((E156="d"),G156," ")</f>
        <v> </v>
      </c>
      <c r="L156" s="334" t="str">
        <f aca="false">IF((E156="e"),G156," ")</f>
        <v> </v>
      </c>
      <c r="M156" s="334" t="str">
        <f aca="false">IF((E156="p"),G156," ")</f>
        <v> </v>
      </c>
      <c r="N156" s="334" t="str">
        <f aca="false">IF((E156="r"),G156," ")</f>
        <v> </v>
      </c>
      <c r="O156" s="334" t="str">
        <f aca="false">IF((E156="g"),G156," ")</f>
        <v> </v>
      </c>
      <c r="P156" s="334" t="str">
        <f aca="false">IF((E156="m"),G156," ")</f>
        <v> </v>
      </c>
      <c r="Q156" s="334" t="str">
        <f aca="false">IF((E156="t"),G156," ")</f>
        <v> </v>
      </c>
      <c r="R156" s="334" t="str">
        <f aca="false">IF((E156="a"),G156," ")</f>
        <v> </v>
      </c>
      <c r="S156" s="334" t="str">
        <f aca="false">IF((E156="l"),G156," ")</f>
        <v> </v>
      </c>
      <c r="T156" s="334" t="str">
        <f aca="false">IF((E156="b"),G156," ")</f>
        <v> </v>
      </c>
      <c r="U156" s="334" t="str">
        <f aca="false">IF((E156="i"),G156," ")</f>
        <v> </v>
      </c>
      <c r="V156" s="334" t="str">
        <f aca="false">IF((E156="o"),G156," ")</f>
        <v> </v>
      </c>
      <c r="W156" s="334" t="str">
        <f aca="false">IF((E156="f"),G156," ")</f>
        <v> </v>
      </c>
    </row>
    <row r="157" customFormat="false" ht="12.75" hidden="false" customHeight="false" outlineLevel="0" collapsed="false">
      <c r="A157" s="355"/>
      <c r="E157" s="365" t="str">
        <f aca="false">IF((G157&lt;&gt;0),"Enter Letter"," ")</f>
        <v> </v>
      </c>
      <c r="H157" s="338" t="str">
        <f aca="false">IF((G157&lt;&gt;0),IF((D157&gt;0)," ",G157)," ")</f>
        <v> </v>
      </c>
      <c r="I157" s="367" t="str">
        <f aca="false">IF((G157&lt;&gt;0),IF((D157&gt;0)," ",(I$1-A157))," ")</f>
        <v> </v>
      </c>
      <c r="J157" s="334" t="str">
        <f aca="false">IF((E157="s"),G157," ")</f>
        <v> </v>
      </c>
      <c r="K157" s="334" t="str">
        <f aca="false">IF((E157="d"),G157," ")</f>
        <v> </v>
      </c>
      <c r="L157" s="334" t="str">
        <f aca="false">IF((E157="e"),G157," ")</f>
        <v> </v>
      </c>
      <c r="M157" s="334" t="str">
        <f aca="false">IF((E157="p"),G157," ")</f>
        <v> </v>
      </c>
      <c r="N157" s="334" t="str">
        <f aca="false">IF((E157="r"),G157," ")</f>
        <v> </v>
      </c>
      <c r="O157" s="334" t="str">
        <f aca="false">IF((E157="g"),G157," ")</f>
        <v> </v>
      </c>
      <c r="P157" s="334" t="str">
        <f aca="false">IF((E157="m"),G157," ")</f>
        <v> </v>
      </c>
      <c r="Q157" s="334" t="str">
        <f aca="false">IF((E157="t"),G157," ")</f>
        <v> </v>
      </c>
      <c r="R157" s="334" t="str">
        <f aca="false">IF((E157="a"),G157," ")</f>
        <v> </v>
      </c>
      <c r="S157" s="334" t="str">
        <f aca="false">IF((E157="l"),G157," ")</f>
        <v> </v>
      </c>
      <c r="T157" s="334" t="str">
        <f aca="false">IF((E157="b"),G157," ")</f>
        <v> </v>
      </c>
      <c r="U157" s="334" t="str">
        <f aca="false">IF((E157="i"),G157," ")</f>
        <v> </v>
      </c>
      <c r="V157" s="334" t="str">
        <f aca="false">IF((E157="o"),G157," ")</f>
        <v> </v>
      </c>
      <c r="W157" s="334" t="str">
        <f aca="false">IF((E157="f"),G157," ")</f>
        <v> </v>
      </c>
    </row>
    <row r="158" customFormat="false" ht="12.75" hidden="false" customHeight="false" outlineLevel="0" collapsed="false">
      <c r="A158" s="355"/>
      <c r="E158" s="365" t="str">
        <f aca="false">IF((G158&lt;&gt;0),"Enter Letter"," ")</f>
        <v> </v>
      </c>
      <c r="H158" s="338" t="str">
        <f aca="false">IF((G158&lt;&gt;0),IF((D158&gt;0)," ",G158)," ")</f>
        <v> </v>
      </c>
      <c r="I158" s="367" t="str">
        <f aca="false">IF((G158&lt;&gt;0),IF((D158&gt;0)," ",(I$1-A158))," ")</f>
        <v> </v>
      </c>
      <c r="J158" s="334" t="str">
        <f aca="false">IF((E158="s"),G158," ")</f>
        <v> </v>
      </c>
      <c r="K158" s="334" t="str">
        <f aca="false">IF((E158="d"),G158," ")</f>
        <v> </v>
      </c>
      <c r="L158" s="334" t="str">
        <f aca="false">IF((E158="e"),G158," ")</f>
        <v> </v>
      </c>
      <c r="M158" s="334" t="str">
        <f aca="false">IF((E158="p"),G158," ")</f>
        <v> </v>
      </c>
      <c r="N158" s="334" t="str">
        <f aca="false">IF((E158="r"),G158," ")</f>
        <v> </v>
      </c>
      <c r="O158" s="334" t="str">
        <f aca="false">IF((E158="g"),G158," ")</f>
        <v> </v>
      </c>
      <c r="P158" s="334" t="str">
        <f aca="false">IF((E158="m"),G158," ")</f>
        <v> </v>
      </c>
      <c r="Q158" s="334" t="str">
        <f aca="false">IF((E158="t"),G158," ")</f>
        <v> </v>
      </c>
      <c r="R158" s="334" t="str">
        <f aca="false">IF((E158="a"),G158," ")</f>
        <v> </v>
      </c>
      <c r="S158" s="334" t="str">
        <f aca="false">IF((E158="l"),G158," ")</f>
        <v> </v>
      </c>
      <c r="T158" s="334" t="str">
        <f aca="false">IF((E158="b"),G158," ")</f>
        <v> </v>
      </c>
      <c r="U158" s="334" t="str">
        <f aca="false">IF((E158="i"),G158," ")</f>
        <v> </v>
      </c>
      <c r="V158" s="334" t="str">
        <f aca="false">IF((E158="o"),G158," ")</f>
        <v> </v>
      </c>
      <c r="W158" s="334" t="str">
        <f aca="false">IF((E158="f"),G158," ")</f>
        <v> </v>
      </c>
    </row>
    <row r="159" customFormat="false" ht="12.75" hidden="false" customHeight="false" outlineLevel="0" collapsed="false">
      <c r="A159" s="355"/>
      <c r="E159" s="365" t="str">
        <f aca="false">IF((G159&lt;&gt;0),"Enter Letter"," ")</f>
        <v> </v>
      </c>
      <c r="H159" s="338" t="str">
        <f aca="false">IF((G159&lt;&gt;0),IF((D159&gt;0)," ",G159)," ")</f>
        <v> </v>
      </c>
      <c r="I159" s="367" t="str">
        <f aca="false">IF((G159&lt;&gt;0),IF((D159&gt;0)," ",(I$1-A159))," ")</f>
        <v> </v>
      </c>
      <c r="J159" s="334" t="str">
        <f aca="false">IF((E159="s"),G159," ")</f>
        <v> </v>
      </c>
      <c r="K159" s="334" t="str">
        <f aca="false">IF((E159="d"),G159," ")</f>
        <v> </v>
      </c>
      <c r="L159" s="334" t="str">
        <f aca="false">IF((E159="e"),G159," ")</f>
        <v> </v>
      </c>
      <c r="M159" s="334" t="str">
        <f aca="false">IF((E159="p"),G159," ")</f>
        <v> </v>
      </c>
      <c r="N159" s="334" t="str">
        <f aca="false">IF((E159="r"),G159," ")</f>
        <v> </v>
      </c>
      <c r="O159" s="334" t="str">
        <f aca="false">IF((E159="g"),G159," ")</f>
        <v> </v>
      </c>
      <c r="P159" s="334" t="str">
        <f aca="false">IF((E159="m"),G159," ")</f>
        <v> </v>
      </c>
      <c r="Q159" s="334" t="str">
        <f aca="false">IF((E159="t"),G159," ")</f>
        <v> </v>
      </c>
      <c r="R159" s="334" t="str">
        <f aca="false">IF((E159="a"),G159," ")</f>
        <v> </v>
      </c>
      <c r="S159" s="334" t="str">
        <f aca="false">IF((E159="l"),G159," ")</f>
        <v> </v>
      </c>
      <c r="T159" s="334" t="str">
        <f aca="false">IF((E159="b"),G159," ")</f>
        <v> </v>
      </c>
      <c r="U159" s="334" t="str">
        <f aca="false">IF((E159="i"),G159," ")</f>
        <v> </v>
      </c>
      <c r="V159" s="334" t="str">
        <f aca="false">IF((E159="o"),G159," ")</f>
        <v> </v>
      </c>
      <c r="W159" s="334" t="str">
        <f aca="false">IF((E159="f"),G159," ")</f>
        <v> </v>
      </c>
    </row>
    <row r="160" customFormat="false" ht="12.75" hidden="false" customHeight="false" outlineLevel="0" collapsed="false">
      <c r="A160" s="355"/>
      <c r="E160" s="365" t="str">
        <f aca="false">IF((G160&lt;&gt;0),"Enter Letter"," ")</f>
        <v> </v>
      </c>
      <c r="H160" s="338" t="str">
        <f aca="false">IF((G160&lt;&gt;0),IF((D160&gt;0)," ",G160)," ")</f>
        <v> </v>
      </c>
      <c r="I160" s="367" t="str">
        <f aca="false">IF((G160&lt;&gt;0),IF((D160&gt;0)," ",(I$1-A160))," ")</f>
        <v> </v>
      </c>
      <c r="J160" s="334" t="str">
        <f aca="false">IF((E160="s"),G160," ")</f>
        <v> </v>
      </c>
      <c r="K160" s="334" t="str">
        <f aca="false">IF((E160="d"),G160," ")</f>
        <v> </v>
      </c>
      <c r="L160" s="334" t="str">
        <f aca="false">IF((E160="e"),G160," ")</f>
        <v> </v>
      </c>
      <c r="M160" s="334" t="str">
        <f aca="false">IF((E160="p"),G160," ")</f>
        <v> </v>
      </c>
      <c r="N160" s="334" t="str">
        <f aca="false">IF((E160="r"),G160," ")</f>
        <v> </v>
      </c>
      <c r="O160" s="334" t="str">
        <f aca="false">IF((E160="g"),G160," ")</f>
        <v> </v>
      </c>
      <c r="P160" s="334" t="str">
        <f aca="false">IF((E160="m"),G160," ")</f>
        <v> </v>
      </c>
      <c r="Q160" s="334" t="str">
        <f aca="false">IF((E160="t"),G160," ")</f>
        <v> </v>
      </c>
      <c r="R160" s="334" t="str">
        <f aca="false">IF((E160="a"),G160," ")</f>
        <v> </v>
      </c>
      <c r="S160" s="334" t="str">
        <f aca="false">IF((E160="l"),G160," ")</f>
        <v> </v>
      </c>
      <c r="T160" s="334" t="str">
        <f aca="false">IF((E160="b"),G160," ")</f>
        <v> </v>
      </c>
      <c r="U160" s="334" t="str">
        <f aca="false">IF((E160="i"),G160," ")</f>
        <v> </v>
      </c>
      <c r="V160" s="334" t="str">
        <f aca="false">IF((E160="o"),G160," ")</f>
        <v> </v>
      </c>
      <c r="W160" s="334" t="str">
        <f aca="false">IF((E160="f"),G160," ")</f>
        <v> </v>
      </c>
    </row>
    <row r="161" customFormat="false" ht="12.75" hidden="false" customHeight="false" outlineLevel="0" collapsed="false">
      <c r="A161" s="355"/>
      <c r="E161" s="365" t="str">
        <f aca="false">IF((G161&lt;&gt;0),"Enter Letter"," ")</f>
        <v> </v>
      </c>
      <c r="H161" s="338" t="str">
        <f aca="false">IF((G161&lt;&gt;0),IF((D161&gt;0)," ",G161)," ")</f>
        <v> </v>
      </c>
      <c r="I161" s="367" t="str">
        <f aca="false">IF((G161&lt;&gt;0),IF((D161&gt;0)," ",(I$1-A161))," ")</f>
        <v> </v>
      </c>
      <c r="J161" s="334" t="str">
        <f aca="false">IF((E161="s"),G161," ")</f>
        <v> </v>
      </c>
      <c r="K161" s="334" t="str">
        <f aca="false">IF((E161="d"),G161," ")</f>
        <v> </v>
      </c>
      <c r="L161" s="334" t="str">
        <f aca="false">IF((E161="e"),G161," ")</f>
        <v> </v>
      </c>
      <c r="M161" s="334" t="str">
        <f aca="false">IF((E161="p"),G161," ")</f>
        <v> </v>
      </c>
      <c r="N161" s="334" t="str">
        <f aca="false">IF((E161="r"),G161," ")</f>
        <v> </v>
      </c>
      <c r="O161" s="334" t="str">
        <f aca="false">IF((E161="g"),G161," ")</f>
        <v> </v>
      </c>
      <c r="P161" s="334" t="str">
        <f aca="false">IF((E161="m"),G161," ")</f>
        <v> </v>
      </c>
      <c r="Q161" s="334" t="str">
        <f aca="false">IF((E161="t"),G161," ")</f>
        <v> </v>
      </c>
      <c r="R161" s="334" t="str">
        <f aca="false">IF((E161="a"),G161," ")</f>
        <v> </v>
      </c>
      <c r="S161" s="334" t="str">
        <f aca="false">IF((E161="l"),G161," ")</f>
        <v> </v>
      </c>
      <c r="T161" s="334" t="str">
        <f aca="false">IF((E161="b"),G161," ")</f>
        <v> </v>
      </c>
      <c r="U161" s="334" t="str">
        <f aca="false">IF((E161="i"),G161," ")</f>
        <v> </v>
      </c>
      <c r="V161" s="334" t="str">
        <f aca="false">IF((E161="o"),G161," ")</f>
        <v> </v>
      </c>
      <c r="W161" s="334" t="str">
        <f aca="false">IF((E161="f"),G161," ")</f>
        <v> </v>
      </c>
    </row>
    <row r="162" customFormat="false" ht="12.75" hidden="false" customHeight="false" outlineLevel="0" collapsed="false">
      <c r="A162" s="355"/>
      <c r="E162" s="365" t="str">
        <f aca="false">IF((G162&lt;&gt;0),"Enter Letter"," ")</f>
        <v> </v>
      </c>
      <c r="H162" s="338" t="str">
        <f aca="false">IF((G162&lt;&gt;0),IF((D162&gt;0)," ",G162)," ")</f>
        <v> </v>
      </c>
      <c r="I162" s="367" t="str">
        <f aca="false">IF((G162&lt;&gt;0),IF((D162&gt;0)," ",(I$1-A162))," ")</f>
        <v> </v>
      </c>
      <c r="J162" s="334" t="str">
        <f aca="false">IF((E162="s"),G162," ")</f>
        <v> </v>
      </c>
      <c r="K162" s="334" t="str">
        <f aca="false">IF((E162="d"),G162," ")</f>
        <v> </v>
      </c>
      <c r="L162" s="334" t="str">
        <f aca="false">IF((E162="e"),G162," ")</f>
        <v> </v>
      </c>
      <c r="M162" s="334" t="str">
        <f aca="false">IF((E162="p"),G162," ")</f>
        <v> </v>
      </c>
      <c r="N162" s="334" t="str">
        <f aca="false">IF((E162="r"),G162," ")</f>
        <v> </v>
      </c>
      <c r="O162" s="334" t="str">
        <f aca="false">IF((E162="g"),G162," ")</f>
        <v> </v>
      </c>
      <c r="P162" s="334" t="str">
        <f aca="false">IF((E162="m"),G162," ")</f>
        <v> </v>
      </c>
      <c r="Q162" s="334" t="str">
        <f aca="false">IF((E162="t"),G162," ")</f>
        <v> </v>
      </c>
      <c r="R162" s="334" t="str">
        <f aca="false">IF((E162="a"),G162," ")</f>
        <v> </v>
      </c>
      <c r="S162" s="334" t="str">
        <f aca="false">IF((E162="l"),G162," ")</f>
        <v> </v>
      </c>
      <c r="T162" s="334" t="str">
        <f aca="false">IF((E162="b"),G162," ")</f>
        <v> </v>
      </c>
      <c r="U162" s="334" t="str">
        <f aca="false">IF((E162="i"),G162," ")</f>
        <v> </v>
      </c>
      <c r="V162" s="334" t="str">
        <f aca="false">IF((E162="o"),G162," ")</f>
        <v> </v>
      </c>
      <c r="W162" s="334" t="str">
        <f aca="false">IF((E162="f"),G162," ")</f>
        <v> </v>
      </c>
    </row>
    <row r="163" customFormat="false" ht="12.75" hidden="false" customHeight="false" outlineLevel="0" collapsed="false">
      <c r="A163" s="355"/>
      <c r="E163" s="365" t="str">
        <f aca="false">IF((G163&lt;&gt;0),"Enter Letter"," ")</f>
        <v> </v>
      </c>
      <c r="H163" s="338" t="str">
        <f aca="false">IF((G163&lt;&gt;0),IF((D163&gt;0)," ",G163)," ")</f>
        <v> </v>
      </c>
      <c r="I163" s="367" t="str">
        <f aca="false">IF((G163&lt;&gt;0),IF((D163&gt;0)," ",(I$1-A163))," ")</f>
        <v> </v>
      </c>
      <c r="J163" s="334" t="str">
        <f aca="false">IF((E163="s"),G163," ")</f>
        <v> </v>
      </c>
      <c r="K163" s="334" t="str">
        <f aca="false">IF((E163="d"),G163," ")</f>
        <v> </v>
      </c>
      <c r="L163" s="334" t="str">
        <f aca="false">IF((E163="e"),G163," ")</f>
        <v> </v>
      </c>
      <c r="M163" s="334" t="str">
        <f aca="false">IF((E163="p"),G163," ")</f>
        <v> </v>
      </c>
      <c r="N163" s="334" t="str">
        <f aca="false">IF((E163="r"),G163," ")</f>
        <v> </v>
      </c>
      <c r="O163" s="334" t="str">
        <f aca="false">IF((E163="g"),G163," ")</f>
        <v> </v>
      </c>
      <c r="P163" s="334" t="str">
        <f aca="false">IF((E163="m"),G163," ")</f>
        <v> </v>
      </c>
      <c r="Q163" s="334" t="str">
        <f aca="false">IF((E163="t"),G163," ")</f>
        <v> </v>
      </c>
      <c r="R163" s="334" t="str">
        <f aca="false">IF((E163="a"),G163," ")</f>
        <v> </v>
      </c>
      <c r="S163" s="334" t="str">
        <f aca="false">IF((E163="l"),G163," ")</f>
        <v> </v>
      </c>
      <c r="T163" s="334" t="str">
        <f aca="false">IF((E163="b"),G163," ")</f>
        <v> </v>
      </c>
      <c r="U163" s="334" t="str">
        <f aca="false">IF((E163="i"),G163," ")</f>
        <v> </v>
      </c>
      <c r="V163" s="334" t="str">
        <f aca="false">IF((E163="o"),G163," ")</f>
        <v> </v>
      </c>
      <c r="W163" s="334" t="str">
        <f aca="false">IF((E163="f"),G163," ")</f>
        <v> </v>
      </c>
    </row>
    <row r="164" customFormat="false" ht="12.75" hidden="false" customHeight="false" outlineLevel="0" collapsed="false">
      <c r="A164" s="355"/>
      <c r="E164" s="365" t="str">
        <f aca="false">IF((G164&lt;&gt;0),"Enter Letter"," ")</f>
        <v> </v>
      </c>
      <c r="H164" s="338" t="str">
        <f aca="false">IF((G164&lt;&gt;0),IF((D164&gt;0)," ",G164)," ")</f>
        <v> </v>
      </c>
      <c r="I164" s="367" t="str">
        <f aca="false">IF((G164&lt;&gt;0),IF((D164&gt;0)," ",(I$1-A164))," ")</f>
        <v> </v>
      </c>
      <c r="J164" s="334" t="str">
        <f aca="false">IF((E164="s"),G164," ")</f>
        <v> </v>
      </c>
      <c r="K164" s="334" t="str">
        <f aca="false">IF((E164="d"),G164," ")</f>
        <v> </v>
      </c>
      <c r="L164" s="334" t="str">
        <f aca="false">IF((E164="e"),G164," ")</f>
        <v> </v>
      </c>
      <c r="M164" s="334" t="str">
        <f aca="false">IF((E164="p"),G164," ")</f>
        <v> </v>
      </c>
      <c r="N164" s="334" t="str">
        <f aca="false">IF((E164="r"),G164," ")</f>
        <v> </v>
      </c>
      <c r="O164" s="334" t="str">
        <f aca="false">IF((E164="g"),G164," ")</f>
        <v> </v>
      </c>
      <c r="P164" s="334" t="str">
        <f aca="false">IF((E164="m"),G164," ")</f>
        <v> </v>
      </c>
      <c r="Q164" s="334" t="str">
        <f aca="false">IF((E164="t"),G164," ")</f>
        <v> </v>
      </c>
      <c r="R164" s="334" t="str">
        <f aca="false">IF((E164="a"),G164," ")</f>
        <v> </v>
      </c>
      <c r="S164" s="334" t="str">
        <f aca="false">IF((E164="l"),G164," ")</f>
        <v> </v>
      </c>
      <c r="T164" s="334" t="str">
        <f aca="false">IF((E164="b"),G164," ")</f>
        <v> </v>
      </c>
      <c r="U164" s="334" t="str">
        <f aca="false">IF((E164="i"),G164," ")</f>
        <v> </v>
      </c>
      <c r="V164" s="334" t="str">
        <f aca="false">IF((E164="o"),G164," ")</f>
        <v> </v>
      </c>
      <c r="W164" s="334" t="str">
        <f aca="false">IF((E164="f"),G164," ")</f>
        <v> </v>
      </c>
    </row>
    <row r="165" customFormat="false" ht="12.75" hidden="false" customHeight="false" outlineLevel="0" collapsed="false">
      <c r="A165" s="355"/>
      <c r="E165" s="365" t="str">
        <f aca="false">IF((G165&lt;&gt;0),"Enter Letter"," ")</f>
        <v> </v>
      </c>
      <c r="H165" s="338" t="str">
        <f aca="false">IF((G165&lt;&gt;0),IF((D165&gt;0)," ",G165)," ")</f>
        <v> </v>
      </c>
      <c r="I165" s="367" t="str">
        <f aca="false">IF((G165&lt;&gt;0),IF((D165&gt;0)," ",(I$1-A165))," ")</f>
        <v> </v>
      </c>
      <c r="J165" s="334" t="str">
        <f aca="false">IF((E165="s"),G165," ")</f>
        <v> </v>
      </c>
      <c r="K165" s="334" t="str">
        <f aca="false">IF((E165="d"),G165," ")</f>
        <v> </v>
      </c>
      <c r="L165" s="334" t="str">
        <f aca="false">IF((E165="e"),G165," ")</f>
        <v> </v>
      </c>
      <c r="M165" s="334" t="str">
        <f aca="false">IF((E165="p"),G165," ")</f>
        <v> </v>
      </c>
      <c r="N165" s="334" t="str">
        <f aca="false">IF((E165="r"),G165," ")</f>
        <v> </v>
      </c>
      <c r="O165" s="334" t="str">
        <f aca="false">IF((E165="g"),G165," ")</f>
        <v> </v>
      </c>
      <c r="P165" s="334" t="str">
        <f aca="false">IF((E165="m"),G165," ")</f>
        <v> </v>
      </c>
      <c r="Q165" s="334" t="str">
        <f aca="false">IF((E165="t"),G165," ")</f>
        <v> </v>
      </c>
      <c r="R165" s="334" t="str">
        <f aca="false">IF((E165="a"),G165," ")</f>
        <v> </v>
      </c>
      <c r="S165" s="334" t="str">
        <f aca="false">IF((E165="l"),G165," ")</f>
        <v> </v>
      </c>
      <c r="T165" s="334" t="str">
        <f aca="false">IF((E165="b"),G165," ")</f>
        <v> </v>
      </c>
      <c r="U165" s="334" t="str">
        <f aca="false">IF((E165="i"),G165," ")</f>
        <v> </v>
      </c>
      <c r="V165" s="334" t="str">
        <f aca="false">IF((E165="o"),G165," ")</f>
        <v> </v>
      </c>
      <c r="W165" s="334" t="str">
        <f aca="false">IF((E165="f"),G165," ")</f>
        <v> </v>
      </c>
    </row>
    <row r="166" customFormat="false" ht="12.75" hidden="false" customHeight="false" outlineLevel="0" collapsed="false">
      <c r="A166" s="355"/>
      <c r="E166" s="365" t="str">
        <f aca="false">IF((G166&lt;&gt;0),"Enter Letter"," ")</f>
        <v> </v>
      </c>
      <c r="H166" s="338" t="str">
        <f aca="false">IF((G166&lt;&gt;0),IF((D166&gt;0)," ",G166)," ")</f>
        <v> </v>
      </c>
      <c r="I166" s="367" t="str">
        <f aca="false">IF((G166&lt;&gt;0),IF((D166&gt;0)," ",(I$1-A166))," ")</f>
        <v> </v>
      </c>
      <c r="J166" s="334" t="str">
        <f aca="false">IF((E166="s"),G166," ")</f>
        <v> </v>
      </c>
      <c r="K166" s="334" t="str">
        <f aca="false">IF((E166="d"),G166," ")</f>
        <v> </v>
      </c>
      <c r="L166" s="334" t="str">
        <f aca="false">IF((E166="e"),G166," ")</f>
        <v> </v>
      </c>
      <c r="M166" s="334" t="str">
        <f aca="false">IF((E166="p"),G166," ")</f>
        <v> </v>
      </c>
      <c r="N166" s="334" t="str">
        <f aca="false">IF((E166="r"),G166," ")</f>
        <v> </v>
      </c>
      <c r="O166" s="334" t="str">
        <f aca="false">IF((E166="g"),G166," ")</f>
        <v> </v>
      </c>
      <c r="P166" s="334" t="str">
        <f aca="false">IF((E166="m"),G166," ")</f>
        <v> </v>
      </c>
      <c r="Q166" s="334" t="str">
        <f aca="false">IF((E166="t"),G166," ")</f>
        <v> </v>
      </c>
      <c r="R166" s="334" t="str">
        <f aca="false">IF((E166="a"),G166," ")</f>
        <v> </v>
      </c>
      <c r="S166" s="334" t="str">
        <f aca="false">IF((E166="l"),G166," ")</f>
        <v> </v>
      </c>
      <c r="T166" s="334" t="str">
        <f aca="false">IF((E166="b"),G166," ")</f>
        <v> </v>
      </c>
      <c r="U166" s="334" t="str">
        <f aca="false">IF((E166="i"),G166," ")</f>
        <v> </v>
      </c>
      <c r="V166" s="334" t="str">
        <f aca="false">IF((E166="o"),G166," ")</f>
        <v> </v>
      </c>
      <c r="W166" s="334" t="str">
        <f aca="false">IF((E166="f"),G166," ")</f>
        <v> </v>
      </c>
    </row>
    <row r="167" customFormat="false" ht="12.75" hidden="false" customHeight="false" outlineLevel="0" collapsed="false">
      <c r="A167" s="355"/>
      <c r="E167" s="365" t="str">
        <f aca="false">IF((G167&lt;&gt;0),"Enter Letter"," ")</f>
        <v> </v>
      </c>
      <c r="H167" s="338" t="str">
        <f aca="false">IF((G167&lt;&gt;0),IF((D167&gt;0)," ",G167)," ")</f>
        <v> </v>
      </c>
      <c r="I167" s="367" t="str">
        <f aca="false">IF((G167&lt;&gt;0),IF((D167&gt;0)," ",(I$1-A167))," ")</f>
        <v> </v>
      </c>
      <c r="J167" s="334" t="str">
        <f aca="false">IF((E167="s"),G167," ")</f>
        <v> </v>
      </c>
      <c r="K167" s="334" t="str">
        <f aca="false">IF((E167="d"),G167," ")</f>
        <v> </v>
      </c>
      <c r="L167" s="334" t="str">
        <f aca="false">IF((E167="e"),G167," ")</f>
        <v> </v>
      </c>
      <c r="M167" s="334" t="str">
        <f aca="false">IF((E167="p"),G167," ")</f>
        <v> </v>
      </c>
      <c r="N167" s="334" t="str">
        <f aca="false">IF((E167="r"),G167," ")</f>
        <v> </v>
      </c>
      <c r="O167" s="334" t="str">
        <f aca="false">IF((E167="g"),G167," ")</f>
        <v> </v>
      </c>
      <c r="P167" s="334" t="str">
        <f aca="false">IF((E167="m"),G167," ")</f>
        <v> </v>
      </c>
      <c r="Q167" s="334" t="str">
        <f aca="false">IF((E167="t"),G167," ")</f>
        <v> </v>
      </c>
      <c r="R167" s="334" t="str">
        <f aca="false">IF((E167="a"),G167," ")</f>
        <v> </v>
      </c>
      <c r="S167" s="334" t="str">
        <f aca="false">IF((E167="l"),G167," ")</f>
        <v> </v>
      </c>
      <c r="T167" s="334" t="str">
        <f aca="false">IF((E167="b"),G167," ")</f>
        <v> </v>
      </c>
      <c r="U167" s="334" t="str">
        <f aca="false">IF((E167="i"),G167," ")</f>
        <v> </v>
      </c>
      <c r="V167" s="334" t="str">
        <f aca="false">IF((E167="o"),G167," ")</f>
        <v> </v>
      </c>
      <c r="W167" s="334" t="str">
        <f aca="false">IF((E167="f"),G167," ")</f>
        <v> </v>
      </c>
    </row>
    <row r="168" customFormat="false" ht="12.75" hidden="false" customHeight="false" outlineLevel="0" collapsed="false">
      <c r="A168" s="355"/>
      <c r="E168" s="365" t="str">
        <f aca="false">IF((G168&lt;&gt;0),"Enter Letter"," ")</f>
        <v> </v>
      </c>
      <c r="H168" s="338" t="str">
        <f aca="false">IF((G168&lt;&gt;0),IF((D168&gt;0)," ",G168)," ")</f>
        <v> </v>
      </c>
      <c r="I168" s="367" t="str">
        <f aca="false">IF((G168&lt;&gt;0),IF((D168&gt;0)," ",(I$1-A168))," ")</f>
        <v> </v>
      </c>
      <c r="J168" s="334" t="str">
        <f aca="false">IF((E168="s"),G168," ")</f>
        <v> </v>
      </c>
      <c r="K168" s="334" t="str">
        <f aca="false">IF((E168="d"),G168," ")</f>
        <v> </v>
      </c>
      <c r="L168" s="334" t="str">
        <f aca="false">IF((E168="e"),G168," ")</f>
        <v> </v>
      </c>
      <c r="M168" s="334" t="str">
        <f aca="false">IF((E168="p"),G168," ")</f>
        <v> </v>
      </c>
      <c r="N168" s="334" t="str">
        <f aca="false">IF((E168="r"),G168," ")</f>
        <v> </v>
      </c>
      <c r="O168" s="334" t="str">
        <f aca="false">IF((E168="g"),G168," ")</f>
        <v> </v>
      </c>
      <c r="P168" s="334" t="str">
        <f aca="false">IF((E168="m"),G168," ")</f>
        <v> </v>
      </c>
      <c r="Q168" s="334" t="str">
        <f aca="false">IF((E168="t"),G168," ")</f>
        <v> </v>
      </c>
      <c r="R168" s="334" t="str">
        <f aca="false">IF((E168="a"),G168," ")</f>
        <v> </v>
      </c>
      <c r="S168" s="334" t="str">
        <f aca="false">IF((E168="l"),G168," ")</f>
        <v> </v>
      </c>
      <c r="T168" s="334" t="str">
        <f aca="false">IF((E168="b"),G168," ")</f>
        <v> </v>
      </c>
      <c r="U168" s="334" t="str">
        <f aca="false">IF((E168="i"),G168," ")</f>
        <v> </v>
      </c>
      <c r="V168" s="334" t="str">
        <f aca="false">IF((E168="o"),G168," ")</f>
        <v> </v>
      </c>
      <c r="W168" s="334" t="str">
        <f aca="false">IF((E168="f"),G168," ")</f>
        <v> </v>
      </c>
    </row>
    <row r="169" customFormat="false" ht="12.75" hidden="false" customHeight="false" outlineLevel="0" collapsed="false">
      <c r="A169" s="355"/>
      <c r="E169" s="365" t="str">
        <f aca="false">IF((G169&lt;&gt;0),"Enter Letter"," ")</f>
        <v> </v>
      </c>
      <c r="H169" s="338" t="str">
        <f aca="false">IF((G169&lt;&gt;0),IF((D169&gt;0)," ",G169)," ")</f>
        <v> </v>
      </c>
      <c r="I169" s="367" t="str">
        <f aca="false">IF((G169&lt;&gt;0),IF((D169&gt;0)," ",(I$1-A169))," ")</f>
        <v> </v>
      </c>
      <c r="J169" s="334" t="str">
        <f aca="false">IF((E169="s"),G169," ")</f>
        <v> </v>
      </c>
      <c r="K169" s="334" t="str">
        <f aca="false">IF((E169="d"),G169," ")</f>
        <v> </v>
      </c>
      <c r="L169" s="334" t="str">
        <f aca="false">IF((E169="e"),G169," ")</f>
        <v> </v>
      </c>
      <c r="M169" s="334" t="str">
        <f aca="false">IF((E169="p"),G169," ")</f>
        <v> </v>
      </c>
      <c r="N169" s="334" t="str">
        <f aca="false">IF((E169="r"),G169," ")</f>
        <v> </v>
      </c>
      <c r="O169" s="334" t="str">
        <f aca="false">IF((E169="g"),G169," ")</f>
        <v> </v>
      </c>
      <c r="P169" s="334" t="str">
        <f aca="false">IF((E169="m"),G169," ")</f>
        <v> </v>
      </c>
      <c r="Q169" s="334" t="str">
        <f aca="false">IF((E169="t"),G169," ")</f>
        <v> </v>
      </c>
      <c r="R169" s="334" t="str">
        <f aca="false">IF((E169="a"),G169," ")</f>
        <v> </v>
      </c>
      <c r="S169" s="334" t="str">
        <f aca="false">IF((E169="l"),G169," ")</f>
        <v> </v>
      </c>
      <c r="T169" s="334" t="str">
        <f aca="false">IF((E169="b"),G169," ")</f>
        <v> </v>
      </c>
      <c r="U169" s="334" t="str">
        <f aca="false">IF((E169="i"),G169," ")</f>
        <v> </v>
      </c>
      <c r="V169" s="334" t="str">
        <f aca="false">IF((E169="o"),G169," ")</f>
        <v> </v>
      </c>
      <c r="W169" s="334" t="str">
        <f aca="false">IF((E169="f"),G169," ")</f>
        <v> </v>
      </c>
    </row>
    <row r="170" customFormat="false" ht="12.75" hidden="false" customHeight="false" outlineLevel="0" collapsed="false">
      <c r="A170" s="355"/>
      <c r="E170" s="365" t="str">
        <f aca="false">IF((G170&lt;&gt;0),"Enter Letter"," ")</f>
        <v> </v>
      </c>
      <c r="H170" s="338" t="str">
        <f aca="false">IF((G170&lt;&gt;0),IF((D170&gt;0)," ",G170)," ")</f>
        <v> </v>
      </c>
      <c r="I170" s="367" t="str">
        <f aca="false">IF((G170&lt;&gt;0),IF((D170&gt;0)," ",(I$1-A170))," ")</f>
        <v> </v>
      </c>
      <c r="J170" s="334" t="str">
        <f aca="false">IF((E170="s"),G170," ")</f>
        <v> </v>
      </c>
      <c r="K170" s="334" t="str">
        <f aca="false">IF((E170="d"),G170," ")</f>
        <v> </v>
      </c>
      <c r="L170" s="334" t="str">
        <f aca="false">IF((E170="e"),G170," ")</f>
        <v> </v>
      </c>
      <c r="M170" s="334" t="str">
        <f aca="false">IF((E170="p"),G170," ")</f>
        <v> </v>
      </c>
      <c r="N170" s="334" t="str">
        <f aca="false">IF((E170="r"),G170," ")</f>
        <v> </v>
      </c>
      <c r="O170" s="334" t="str">
        <f aca="false">IF((E170="g"),G170," ")</f>
        <v> </v>
      </c>
      <c r="P170" s="334" t="str">
        <f aca="false">IF((E170="m"),G170," ")</f>
        <v> </v>
      </c>
      <c r="Q170" s="334" t="str">
        <f aca="false">IF((E170="t"),G170," ")</f>
        <v> </v>
      </c>
      <c r="R170" s="334" t="str">
        <f aca="false">IF((E170="a"),G170," ")</f>
        <v> </v>
      </c>
      <c r="S170" s="334" t="str">
        <f aca="false">IF((E170="l"),G170," ")</f>
        <v> </v>
      </c>
      <c r="T170" s="334" t="str">
        <f aca="false">IF((E170="b"),G170," ")</f>
        <v> </v>
      </c>
      <c r="U170" s="334" t="str">
        <f aca="false">IF((E170="i"),G170," ")</f>
        <v> </v>
      </c>
      <c r="V170" s="334" t="str">
        <f aca="false">IF((E170="o"),G170," ")</f>
        <v> </v>
      </c>
      <c r="W170" s="334" t="str">
        <f aca="false">IF((E170="f"),G170," ")</f>
        <v> </v>
      </c>
    </row>
    <row r="171" customFormat="false" ht="12.75" hidden="false" customHeight="false" outlineLevel="0" collapsed="false">
      <c r="A171" s="355"/>
      <c r="E171" s="365" t="str">
        <f aca="false">IF((G171&lt;&gt;0),"Enter Letter"," ")</f>
        <v> </v>
      </c>
      <c r="H171" s="338" t="str">
        <f aca="false">IF((G171&lt;&gt;0),IF((D171&gt;0)," ",G171)," ")</f>
        <v> </v>
      </c>
      <c r="I171" s="367" t="str">
        <f aca="false">IF((G171&lt;&gt;0),IF((D171&gt;0)," ",(I$1-A171))," ")</f>
        <v> </v>
      </c>
      <c r="J171" s="334" t="str">
        <f aca="false">IF((E171="s"),G171," ")</f>
        <v> </v>
      </c>
      <c r="K171" s="334" t="str">
        <f aca="false">IF((E171="d"),G171," ")</f>
        <v> </v>
      </c>
      <c r="L171" s="334" t="str">
        <f aca="false">IF((E171="e"),G171," ")</f>
        <v> </v>
      </c>
      <c r="M171" s="334" t="str">
        <f aca="false">IF((E171="p"),G171," ")</f>
        <v> </v>
      </c>
      <c r="N171" s="334" t="str">
        <f aca="false">IF((E171="r"),G171," ")</f>
        <v> </v>
      </c>
      <c r="O171" s="334" t="str">
        <f aca="false">IF((E171="g"),G171," ")</f>
        <v> </v>
      </c>
      <c r="P171" s="334" t="str">
        <f aca="false">IF((E171="m"),G171," ")</f>
        <v> </v>
      </c>
      <c r="Q171" s="334" t="str">
        <f aca="false">IF((E171="t"),G171," ")</f>
        <v> </v>
      </c>
      <c r="R171" s="334" t="str">
        <f aca="false">IF((E171="a"),G171," ")</f>
        <v> </v>
      </c>
      <c r="S171" s="334" t="str">
        <f aca="false">IF((E171="l"),G171," ")</f>
        <v> </v>
      </c>
      <c r="T171" s="334" t="str">
        <f aca="false">IF((E171="b"),G171," ")</f>
        <v> </v>
      </c>
      <c r="U171" s="334" t="str">
        <f aca="false">IF((E171="i"),G171," ")</f>
        <v> </v>
      </c>
      <c r="V171" s="334" t="str">
        <f aca="false">IF((E171="o"),G171," ")</f>
        <v> </v>
      </c>
      <c r="W171" s="334" t="str">
        <f aca="false">IF((E171="f"),G171," ")</f>
        <v> </v>
      </c>
    </row>
    <row r="172" customFormat="false" ht="12.75" hidden="false" customHeight="false" outlineLevel="0" collapsed="false">
      <c r="A172" s="355"/>
      <c r="E172" s="365" t="str">
        <f aca="false">IF((G172&lt;&gt;0),"Enter Letter"," ")</f>
        <v> </v>
      </c>
      <c r="H172" s="338" t="str">
        <f aca="false">IF((G172&lt;&gt;0),IF((D172&gt;0)," ",G172)," ")</f>
        <v> </v>
      </c>
      <c r="I172" s="367" t="str">
        <f aca="false">IF((G172&lt;&gt;0),IF((D172&gt;0)," ",(I$1-A172))," ")</f>
        <v> </v>
      </c>
      <c r="J172" s="334" t="str">
        <f aca="false">IF((E172="s"),G172," ")</f>
        <v> </v>
      </c>
      <c r="K172" s="334" t="str">
        <f aca="false">IF((E172="d"),G172," ")</f>
        <v> </v>
      </c>
      <c r="L172" s="334" t="str">
        <f aca="false">IF((E172="e"),G172," ")</f>
        <v> </v>
      </c>
      <c r="M172" s="334" t="str">
        <f aca="false">IF((E172="p"),G172," ")</f>
        <v> </v>
      </c>
      <c r="N172" s="334" t="str">
        <f aca="false">IF((E172="r"),G172," ")</f>
        <v> </v>
      </c>
      <c r="O172" s="334" t="str">
        <f aca="false">IF((E172="g"),G172," ")</f>
        <v> </v>
      </c>
      <c r="P172" s="334" t="str">
        <f aca="false">IF((E172="m"),G172," ")</f>
        <v> </v>
      </c>
      <c r="Q172" s="334" t="str">
        <f aca="false">IF((E172="t"),G172," ")</f>
        <v> </v>
      </c>
      <c r="R172" s="334" t="str">
        <f aca="false">IF((E172="a"),G172," ")</f>
        <v> </v>
      </c>
      <c r="S172" s="334" t="str">
        <f aca="false">IF((E172="l"),G172," ")</f>
        <v> </v>
      </c>
      <c r="T172" s="334" t="str">
        <f aca="false">IF((E172="b"),G172," ")</f>
        <v> </v>
      </c>
      <c r="U172" s="334" t="str">
        <f aca="false">IF((E172="i"),G172," ")</f>
        <v> </v>
      </c>
      <c r="V172" s="334" t="str">
        <f aca="false">IF((E172="o"),G172," ")</f>
        <v> </v>
      </c>
      <c r="W172" s="334" t="str">
        <f aca="false">IF((E172="f"),G172," ")</f>
        <v> </v>
      </c>
    </row>
    <row r="173" customFormat="false" ht="12.75" hidden="false" customHeight="false" outlineLevel="0" collapsed="false">
      <c r="A173" s="355"/>
      <c r="E173" s="365" t="str">
        <f aca="false">IF((G173&lt;&gt;0),"Enter Letter"," ")</f>
        <v> </v>
      </c>
      <c r="H173" s="338" t="str">
        <f aca="false">IF((G173&lt;&gt;0),IF((D173&gt;0)," ",G173)," ")</f>
        <v> </v>
      </c>
      <c r="I173" s="367" t="str">
        <f aca="false">IF((G173&lt;&gt;0),IF((D173&gt;0)," ",(I$1-A173))," ")</f>
        <v> </v>
      </c>
      <c r="J173" s="334" t="str">
        <f aca="false">IF((E173="s"),G173," ")</f>
        <v> </v>
      </c>
      <c r="K173" s="334" t="str">
        <f aca="false">IF((E173="d"),G173," ")</f>
        <v> </v>
      </c>
      <c r="L173" s="334" t="str">
        <f aca="false">IF((E173="e"),G173," ")</f>
        <v> </v>
      </c>
      <c r="M173" s="334" t="str">
        <f aca="false">IF((E173="p"),G173," ")</f>
        <v> </v>
      </c>
      <c r="N173" s="334" t="str">
        <f aca="false">IF((E173="r"),G173," ")</f>
        <v> </v>
      </c>
      <c r="O173" s="334" t="str">
        <f aca="false">IF((E173="g"),G173," ")</f>
        <v> </v>
      </c>
      <c r="P173" s="334" t="str">
        <f aca="false">IF((E173="m"),G173," ")</f>
        <v> </v>
      </c>
      <c r="Q173" s="334" t="str">
        <f aca="false">IF((E173="t"),G173," ")</f>
        <v> </v>
      </c>
      <c r="R173" s="334" t="str">
        <f aca="false">IF((E173="a"),G173," ")</f>
        <v> </v>
      </c>
      <c r="S173" s="334" t="str">
        <f aca="false">IF((E173="l"),G173," ")</f>
        <v> </v>
      </c>
      <c r="T173" s="334" t="str">
        <f aca="false">IF((E173="b"),G173," ")</f>
        <v> </v>
      </c>
      <c r="U173" s="334" t="str">
        <f aca="false">IF((E173="i"),G173," ")</f>
        <v> </v>
      </c>
      <c r="V173" s="334" t="str">
        <f aca="false">IF((E173="o"),G173," ")</f>
        <v> </v>
      </c>
      <c r="W173" s="334" t="str">
        <f aca="false">IF((E173="f"),G173," ")</f>
        <v> </v>
      </c>
    </row>
    <row r="174" customFormat="false" ht="12.75" hidden="false" customHeight="false" outlineLevel="0" collapsed="false">
      <c r="A174" s="355"/>
      <c r="E174" s="365" t="str">
        <f aca="false">IF((G174&lt;&gt;0),"Enter Letter"," ")</f>
        <v> </v>
      </c>
      <c r="H174" s="338" t="str">
        <f aca="false">IF((G174&lt;&gt;0),IF((D174&gt;0)," ",G174)," ")</f>
        <v> </v>
      </c>
      <c r="I174" s="367" t="str">
        <f aca="false">IF((G174&lt;&gt;0),IF((D174&gt;0)," ",(I$1-A174))," ")</f>
        <v> </v>
      </c>
      <c r="J174" s="334" t="str">
        <f aca="false">IF((E174="s"),G174," ")</f>
        <v> </v>
      </c>
      <c r="K174" s="334" t="str">
        <f aca="false">IF((E174="d"),G174," ")</f>
        <v> </v>
      </c>
      <c r="L174" s="334" t="str">
        <f aca="false">IF((E174="e"),G174," ")</f>
        <v> </v>
      </c>
      <c r="M174" s="334" t="str">
        <f aca="false">IF((E174="p"),G174," ")</f>
        <v> </v>
      </c>
      <c r="N174" s="334" t="str">
        <f aca="false">IF((E174="r"),G174," ")</f>
        <v> </v>
      </c>
      <c r="O174" s="334" t="str">
        <f aca="false">IF((E174="g"),G174," ")</f>
        <v> </v>
      </c>
      <c r="P174" s="334" t="str">
        <f aca="false">IF((E174="m"),G174," ")</f>
        <v> </v>
      </c>
      <c r="Q174" s="334" t="str">
        <f aca="false">IF((E174="t"),G174," ")</f>
        <v> </v>
      </c>
      <c r="R174" s="334" t="str">
        <f aca="false">IF((E174="a"),G174," ")</f>
        <v> </v>
      </c>
      <c r="S174" s="334" t="str">
        <f aca="false">IF((E174="l"),G174," ")</f>
        <v> </v>
      </c>
      <c r="T174" s="334" t="str">
        <f aca="false">IF((E174="b"),G174," ")</f>
        <v> </v>
      </c>
      <c r="U174" s="334" t="str">
        <f aca="false">IF((E174="i"),G174," ")</f>
        <v> </v>
      </c>
      <c r="V174" s="334" t="str">
        <f aca="false">IF((E174="o"),G174," ")</f>
        <v> </v>
      </c>
      <c r="W174" s="334" t="str">
        <f aca="false">IF((E174="f"),G174," ")</f>
        <v> </v>
      </c>
    </row>
    <row r="175" customFormat="false" ht="12.75" hidden="false" customHeight="false" outlineLevel="0" collapsed="false">
      <c r="A175" s="355"/>
      <c r="E175" s="365" t="str">
        <f aca="false">IF((G175&lt;&gt;0),"Enter Letter"," ")</f>
        <v> </v>
      </c>
      <c r="H175" s="338" t="str">
        <f aca="false">IF((G175&lt;&gt;0),IF((D175&gt;0)," ",G175)," ")</f>
        <v> </v>
      </c>
      <c r="I175" s="367" t="str">
        <f aca="false">IF((G175&lt;&gt;0),IF((D175&gt;0)," ",(I$1-A175))," ")</f>
        <v> </v>
      </c>
      <c r="J175" s="334" t="str">
        <f aca="false">IF((E175="s"),G175," ")</f>
        <v> </v>
      </c>
      <c r="K175" s="334" t="str">
        <f aca="false">IF((E175="d"),G175," ")</f>
        <v> </v>
      </c>
      <c r="L175" s="334" t="str">
        <f aca="false">IF((E175="e"),G175," ")</f>
        <v> </v>
      </c>
      <c r="M175" s="334" t="str">
        <f aca="false">IF((E175="p"),G175," ")</f>
        <v> </v>
      </c>
      <c r="N175" s="334" t="str">
        <f aca="false">IF((E175="r"),G175," ")</f>
        <v> </v>
      </c>
      <c r="O175" s="334" t="str">
        <f aca="false">IF((E175="g"),G175," ")</f>
        <v> </v>
      </c>
      <c r="P175" s="334" t="str">
        <f aca="false">IF((E175="m"),G175," ")</f>
        <v> </v>
      </c>
      <c r="Q175" s="334" t="str">
        <f aca="false">IF((E175="t"),G175," ")</f>
        <v> </v>
      </c>
      <c r="R175" s="334" t="str">
        <f aca="false">IF((E175="a"),G175," ")</f>
        <v> </v>
      </c>
      <c r="S175" s="334" t="str">
        <f aca="false">IF((E175="l"),G175," ")</f>
        <v> </v>
      </c>
      <c r="T175" s="334" t="str">
        <f aca="false">IF((E175="b"),G175," ")</f>
        <v> </v>
      </c>
      <c r="U175" s="334" t="str">
        <f aca="false">IF((E175="i"),G175," ")</f>
        <v> </v>
      </c>
      <c r="V175" s="334" t="str">
        <f aca="false">IF((E175="o"),G175," ")</f>
        <v> </v>
      </c>
      <c r="W175" s="334" t="str">
        <f aca="false">IF((E175="f"),G175," ")</f>
        <v> </v>
      </c>
    </row>
    <row r="176" customFormat="false" ht="12.75" hidden="false" customHeight="false" outlineLevel="0" collapsed="false">
      <c r="A176" s="355"/>
      <c r="E176" s="365" t="str">
        <f aca="false">IF((G176&lt;&gt;0),"Enter Letter"," ")</f>
        <v> </v>
      </c>
      <c r="H176" s="338" t="str">
        <f aca="false">IF((G176&lt;&gt;0),IF((D176&gt;0)," ",G176)," ")</f>
        <v> </v>
      </c>
      <c r="I176" s="367" t="str">
        <f aca="false">IF((G176&lt;&gt;0),IF((D176&gt;0)," ",(I$1-A176))," ")</f>
        <v> </v>
      </c>
      <c r="J176" s="334" t="str">
        <f aca="false">IF((E176="s"),G176," ")</f>
        <v> </v>
      </c>
      <c r="K176" s="334" t="str">
        <f aca="false">IF((E176="d"),G176," ")</f>
        <v> </v>
      </c>
      <c r="L176" s="334" t="str">
        <f aca="false">IF((E176="e"),G176," ")</f>
        <v> </v>
      </c>
      <c r="M176" s="334" t="str">
        <f aca="false">IF((E176="p"),G176," ")</f>
        <v> </v>
      </c>
      <c r="N176" s="334" t="str">
        <f aca="false">IF((E176="r"),G176," ")</f>
        <v> </v>
      </c>
      <c r="O176" s="334" t="str">
        <f aca="false">IF((E176="g"),G176," ")</f>
        <v> </v>
      </c>
      <c r="P176" s="334" t="str">
        <f aca="false">IF((E176="m"),G176," ")</f>
        <v> </v>
      </c>
      <c r="Q176" s="334" t="str">
        <f aca="false">IF((E176="t"),G176," ")</f>
        <v> </v>
      </c>
      <c r="R176" s="334" t="str">
        <f aca="false">IF((E176="a"),G176," ")</f>
        <v> </v>
      </c>
      <c r="S176" s="334" t="str">
        <f aca="false">IF((E176="l"),G176," ")</f>
        <v> </v>
      </c>
      <c r="T176" s="334" t="str">
        <f aca="false">IF((E176="b"),G176," ")</f>
        <v> </v>
      </c>
      <c r="U176" s="334" t="str">
        <f aca="false">IF((E176="i"),G176," ")</f>
        <v> </v>
      </c>
      <c r="V176" s="334" t="str">
        <f aca="false">IF((E176="o"),G176," ")</f>
        <v> </v>
      </c>
      <c r="W176" s="334" t="str">
        <f aca="false">IF((E176="f"),G176," ")</f>
        <v> </v>
      </c>
    </row>
    <row r="177" customFormat="false" ht="12.75" hidden="false" customHeight="false" outlineLevel="0" collapsed="false">
      <c r="A177" s="355"/>
      <c r="E177" s="365" t="str">
        <f aca="false">IF((G177&lt;&gt;0),"Enter Letter"," ")</f>
        <v> </v>
      </c>
      <c r="H177" s="338" t="str">
        <f aca="false">IF((G177&lt;&gt;0),IF((D177&gt;0)," ",G177)," ")</f>
        <v> </v>
      </c>
      <c r="I177" s="367" t="str">
        <f aca="false">IF((G177&lt;&gt;0),IF((D177&gt;0)," ",(I$1-A177))," ")</f>
        <v> </v>
      </c>
      <c r="J177" s="334" t="str">
        <f aca="false">IF((E177="s"),G177," ")</f>
        <v> </v>
      </c>
      <c r="K177" s="334" t="str">
        <f aca="false">IF((E177="d"),G177," ")</f>
        <v> </v>
      </c>
      <c r="L177" s="334" t="str">
        <f aca="false">IF((E177="e"),G177," ")</f>
        <v> </v>
      </c>
      <c r="M177" s="334" t="str">
        <f aca="false">IF((E177="p"),G177," ")</f>
        <v> </v>
      </c>
      <c r="N177" s="334" t="str">
        <f aca="false">IF((E177="r"),G177," ")</f>
        <v> </v>
      </c>
      <c r="O177" s="334" t="str">
        <f aca="false">IF((E177="g"),G177," ")</f>
        <v> </v>
      </c>
      <c r="P177" s="334" t="str">
        <f aca="false">IF((E177="m"),G177," ")</f>
        <v> </v>
      </c>
      <c r="Q177" s="334" t="str">
        <f aca="false">IF((E177="t"),G177," ")</f>
        <v> </v>
      </c>
      <c r="R177" s="334" t="str">
        <f aca="false">IF((E177="a"),G177," ")</f>
        <v> </v>
      </c>
      <c r="S177" s="334" t="str">
        <f aca="false">IF((E177="l"),G177," ")</f>
        <v> </v>
      </c>
      <c r="T177" s="334" t="str">
        <f aca="false">IF((E177="b"),G177," ")</f>
        <v> </v>
      </c>
      <c r="U177" s="334" t="str">
        <f aca="false">IF((E177="i"),G177," ")</f>
        <v> </v>
      </c>
      <c r="V177" s="334" t="str">
        <f aca="false">IF((E177="o"),G177," ")</f>
        <v> </v>
      </c>
      <c r="W177" s="334" t="str">
        <f aca="false">IF((E177="f"),G177," ")</f>
        <v> </v>
      </c>
    </row>
    <row r="178" customFormat="false" ht="12.75" hidden="false" customHeight="false" outlineLevel="0" collapsed="false">
      <c r="A178" s="355"/>
      <c r="E178" s="365" t="str">
        <f aca="false">IF((G178&lt;&gt;0),"Enter Letter"," ")</f>
        <v> </v>
      </c>
      <c r="H178" s="338" t="str">
        <f aca="false">IF((G178&lt;&gt;0),IF((D178&gt;0)," ",G178)," ")</f>
        <v> </v>
      </c>
      <c r="I178" s="367" t="str">
        <f aca="false">IF((G178&lt;&gt;0),IF((D178&gt;0)," ",(I$1-A178))," ")</f>
        <v> </v>
      </c>
      <c r="J178" s="334" t="str">
        <f aca="false">IF((E178="s"),G178," ")</f>
        <v> </v>
      </c>
      <c r="K178" s="334" t="str">
        <f aca="false">IF((E178="d"),G178," ")</f>
        <v> </v>
      </c>
      <c r="L178" s="334" t="str">
        <f aca="false">IF((E178="e"),G178," ")</f>
        <v> </v>
      </c>
      <c r="M178" s="334" t="str">
        <f aca="false">IF((E178="p"),G178," ")</f>
        <v> </v>
      </c>
      <c r="N178" s="334" t="str">
        <f aca="false">IF((E178="r"),G178," ")</f>
        <v> </v>
      </c>
      <c r="O178" s="334" t="str">
        <f aca="false">IF((E178="g"),G178," ")</f>
        <v> </v>
      </c>
      <c r="P178" s="334" t="str">
        <f aca="false">IF((E178="m"),G178," ")</f>
        <v> </v>
      </c>
      <c r="Q178" s="334" t="str">
        <f aca="false">IF((E178="t"),G178," ")</f>
        <v> </v>
      </c>
      <c r="R178" s="334" t="str">
        <f aca="false">IF((E178="a"),G178," ")</f>
        <v> </v>
      </c>
      <c r="S178" s="334" t="str">
        <f aca="false">IF((E178="l"),G178," ")</f>
        <v> </v>
      </c>
      <c r="T178" s="334" t="str">
        <f aca="false">IF((E178="b"),G178," ")</f>
        <v> </v>
      </c>
      <c r="U178" s="334" t="str">
        <f aca="false">IF((E178="i"),G178," ")</f>
        <v> </v>
      </c>
      <c r="V178" s="334" t="str">
        <f aca="false">IF((E178="o"),G178," ")</f>
        <v> </v>
      </c>
      <c r="W178" s="334" t="str">
        <f aca="false">IF((E178="f"),G178," ")</f>
        <v> </v>
      </c>
    </row>
    <row r="179" customFormat="false" ht="12.75" hidden="false" customHeight="false" outlineLevel="0" collapsed="false">
      <c r="A179" s="355"/>
      <c r="E179" s="365" t="str">
        <f aca="false">IF((G179&lt;&gt;0),"Enter Letter"," ")</f>
        <v> </v>
      </c>
      <c r="H179" s="338" t="str">
        <f aca="false">IF((G179&lt;&gt;0),IF((D179&gt;0)," ",G179)," ")</f>
        <v> </v>
      </c>
      <c r="I179" s="367" t="str">
        <f aca="false">IF((G179&lt;&gt;0),IF((D179&gt;0)," ",(I$1-A179))," ")</f>
        <v> </v>
      </c>
      <c r="J179" s="334" t="str">
        <f aca="false">IF((E179="s"),G179," ")</f>
        <v> </v>
      </c>
      <c r="K179" s="334" t="str">
        <f aca="false">IF((E179="d"),G179," ")</f>
        <v> </v>
      </c>
      <c r="L179" s="334" t="str">
        <f aca="false">IF((E179="e"),G179," ")</f>
        <v> </v>
      </c>
      <c r="M179" s="334" t="str">
        <f aca="false">IF((E179="p"),G179," ")</f>
        <v> </v>
      </c>
      <c r="N179" s="334" t="str">
        <f aca="false">IF((E179="r"),G179," ")</f>
        <v> </v>
      </c>
      <c r="O179" s="334" t="str">
        <f aca="false">IF((E179="g"),G179," ")</f>
        <v> </v>
      </c>
      <c r="P179" s="334" t="str">
        <f aca="false">IF((E179="m"),G179," ")</f>
        <v> </v>
      </c>
      <c r="Q179" s="334" t="str">
        <f aca="false">IF((E179="t"),G179," ")</f>
        <v> </v>
      </c>
      <c r="R179" s="334" t="str">
        <f aca="false">IF((E179="a"),G179," ")</f>
        <v> </v>
      </c>
      <c r="S179" s="334" t="str">
        <f aca="false">IF((E179="l"),G179," ")</f>
        <v> </v>
      </c>
      <c r="T179" s="334" t="str">
        <f aca="false">IF((E179="b"),G179," ")</f>
        <v> </v>
      </c>
      <c r="U179" s="334" t="str">
        <f aca="false">IF((E179="i"),G179," ")</f>
        <v> </v>
      </c>
      <c r="V179" s="334" t="str">
        <f aca="false">IF((E179="o"),G179," ")</f>
        <v> </v>
      </c>
      <c r="W179" s="334" t="str">
        <f aca="false">IF((E179="f"),G179," ")</f>
        <v> </v>
      </c>
    </row>
    <row r="180" customFormat="false" ht="12.75" hidden="false" customHeight="false" outlineLevel="0" collapsed="false">
      <c r="A180" s="355"/>
      <c r="E180" s="365" t="str">
        <f aca="false">IF((G180&lt;&gt;0),"Enter Letter"," ")</f>
        <v> </v>
      </c>
      <c r="H180" s="338" t="str">
        <f aca="false">IF((G180&lt;&gt;0),IF((D180&gt;0)," ",G180)," ")</f>
        <v> </v>
      </c>
      <c r="I180" s="367" t="str">
        <f aca="false">IF((G180&lt;&gt;0),IF((D180&gt;0)," ",(I$1-A180))," ")</f>
        <v> </v>
      </c>
      <c r="J180" s="334" t="str">
        <f aca="false">IF((E180="s"),G180," ")</f>
        <v> </v>
      </c>
      <c r="K180" s="334" t="str">
        <f aca="false">IF((E180="d"),G180," ")</f>
        <v> </v>
      </c>
      <c r="L180" s="334" t="str">
        <f aca="false">IF((E180="e"),G180," ")</f>
        <v> </v>
      </c>
      <c r="M180" s="334" t="str">
        <f aca="false">IF((E180="p"),G180," ")</f>
        <v> </v>
      </c>
      <c r="N180" s="334" t="str">
        <f aca="false">IF((E180="r"),G180," ")</f>
        <v> </v>
      </c>
      <c r="O180" s="334" t="str">
        <f aca="false">IF((E180="g"),G180," ")</f>
        <v> </v>
      </c>
      <c r="P180" s="334" t="str">
        <f aca="false">IF((E180="m"),G180," ")</f>
        <v> </v>
      </c>
      <c r="Q180" s="334" t="str">
        <f aca="false">IF((E180="t"),G180," ")</f>
        <v> </v>
      </c>
      <c r="R180" s="334" t="str">
        <f aca="false">IF((E180="a"),G180," ")</f>
        <v> </v>
      </c>
      <c r="S180" s="334" t="str">
        <f aca="false">IF((E180="l"),G180," ")</f>
        <v> </v>
      </c>
      <c r="T180" s="334" t="str">
        <f aca="false">IF((E180="b"),G180," ")</f>
        <v> </v>
      </c>
      <c r="U180" s="334" t="str">
        <f aca="false">IF((E180="i"),G180," ")</f>
        <v> </v>
      </c>
      <c r="V180" s="334" t="str">
        <f aca="false">IF((E180="o"),G180," ")</f>
        <v> </v>
      </c>
      <c r="W180" s="334" t="str">
        <f aca="false">IF((E180="f"),G180," ")</f>
        <v> </v>
      </c>
    </row>
    <row r="181" customFormat="false" ht="12.75" hidden="false" customHeight="false" outlineLevel="0" collapsed="false">
      <c r="A181" s="355"/>
      <c r="E181" s="365" t="str">
        <f aca="false">IF((G181&lt;&gt;0),"Enter Letter"," ")</f>
        <v> </v>
      </c>
      <c r="H181" s="338" t="str">
        <f aca="false">IF((G181&lt;&gt;0),IF((D181&gt;0)," ",G181)," ")</f>
        <v> </v>
      </c>
      <c r="I181" s="367" t="str">
        <f aca="false">IF((G181&lt;&gt;0),IF((D181&gt;0)," ",(I$1-A181))," ")</f>
        <v> </v>
      </c>
      <c r="J181" s="334" t="str">
        <f aca="false">IF((E181="s"),G181," ")</f>
        <v> </v>
      </c>
      <c r="K181" s="334" t="str">
        <f aca="false">IF((E181="d"),G181," ")</f>
        <v> </v>
      </c>
      <c r="L181" s="334" t="str">
        <f aca="false">IF((E181="e"),G181," ")</f>
        <v> </v>
      </c>
      <c r="M181" s="334" t="str">
        <f aca="false">IF((E181="p"),G181," ")</f>
        <v> </v>
      </c>
      <c r="N181" s="334" t="str">
        <f aca="false">IF((E181="r"),G181," ")</f>
        <v> </v>
      </c>
      <c r="O181" s="334" t="str">
        <f aca="false">IF((E181="g"),G181," ")</f>
        <v> </v>
      </c>
      <c r="P181" s="334" t="str">
        <f aca="false">IF((E181="m"),G181," ")</f>
        <v> </v>
      </c>
      <c r="Q181" s="334" t="str">
        <f aca="false">IF((E181="t"),G181," ")</f>
        <v> </v>
      </c>
      <c r="R181" s="334" t="str">
        <f aca="false">IF((E181="a"),G181," ")</f>
        <v> </v>
      </c>
      <c r="S181" s="334" t="str">
        <f aca="false">IF((E181="l"),G181," ")</f>
        <v> </v>
      </c>
      <c r="T181" s="334" t="str">
        <f aca="false">IF((E181="b"),G181," ")</f>
        <v> </v>
      </c>
      <c r="U181" s="334" t="str">
        <f aca="false">IF((E181="i"),G181," ")</f>
        <v> </v>
      </c>
      <c r="V181" s="334" t="str">
        <f aca="false">IF((E181="o"),G181," ")</f>
        <v> </v>
      </c>
      <c r="W181" s="334" t="str">
        <f aca="false">IF((E181="f"),G181," ")</f>
        <v> </v>
      </c>
    </row>
    <row r="182" customFormat="false" ht="12.75" hidden="false" customHeight="false" outlineLevel="0" collapsed="false">
      <c r="A182" s="355"/>
      <c r="E182" s="365" t="str">
        <f aca="false">IF((G182&lt;&gt;0),"Enter Letter"," ")</f>
        <v> </v>
      </c>
      <c r="H182" s="338" t="str">
        <f aca="false">IF((G182&lt;&gt;0),IF((D182&gt;0)," ",G182)," ")</f>
        <v> </v>
      </c>
      <c r="I182" s="367" t="str">
        <f aca="false">IF((G182&lt;&gt;0),IF((D182&gt;0)," ",(I$1-A182))," ")</f>
        <v> </v>
      </c>
      <c r="J182" s="334" t="str">
        <f aca="false">IF((E182="s"),G182," ")</f>
        <v> </v>
      </c>
      <c r="K182" s="334" t="str">
        <f aca="false">IF((E182="d"),G182," ")</f>
        <v> </v>
      </c>
      <c r="L182" s="334" t="str">
        <f aca="false">IF((E182="e"),G182," ")</f>
        <v> </v>
      </c>
      <c r="M182" s="334" t="str">
        <f aca="false">IF((E182="p"),G182," ")</f>
        <v> </v>
      </c>
      <c r="N182" s="334" t="str">
        <f aca="false">IF((E182="r"),G182," ")</f>
        <v> </v>
      </c>
      <c r="O182" s="334" t="str">
        <f aca="false">IF((E182="g"),G182," ")</f>
        <v> </v>
      </c>
      <c r="P182" s="334" t="str">
        <f aca="false">IF((E182="m"),G182," ")</f>
        <v> </v>
      </c>
      <c r="Q182" s="334" t="str">
        <f aca="false">IF((E182="t"),G182," ")</f>
        <v> </v>
      </c>
      <c r="R182" s="334" t="str">
        <f aca="false">IF((E182="a"),G182," ")</f>
        <v> </v>
      </c>
      <c r="S182" s="334" t="str">
        <f aca="false">IF((E182="l"),G182," ")</f>
        <v> </v>
      </c>
      <c r="T182" s="334" t="str">
        <f aca="false">IF((E182="b"),G182," ")</f>
        <v> </v>
      </c>
      <c r="U182" s="334" t="str">
        <f aca="false">IF((E182="i"),G182," ")</f>
        <v> </v>
      </c>
      <c r="V182" s="334" t="str">
        <f aca="false">IF((E182="o"),G182," ")</f>
        <v> </v>
      </c>
      <c r="W182" s="334" t="str">
        <f aca="false">IF((E182="f"),G182," ")</f>
        <v> </v>
      </c>
    </row>
    <row r="183" customFormat="false" ht="12.75" hidden="false" customHeight="false" outlineLevel="0" collapsed="false">
      <c r="A183" s="355"/>
      <c r="E183" s="365" t="str">
        <f aca="false">IF((G183&lt;&gt;0),"Enter Letter"," ")</f>
        <v> </v>
      </c>
      <c r="H183" s="338" t="str">
        <f aca="false">IF((G183&lt;&gt;0),IF((D183&gt;0)," ",G183)," ")</f>
        <v> </v>
      </c>
      <c r="I183" s="367" t="str">
        <f aca="false">IF((G183&lt;&gt;0),IF((D183&gt;0)," ",(I$1-A183))," ")</f>
        <v> </v>
      </c>
      <c r="J183" s="334" t="str">
        <f aca="false">IF((E183="s"),G183," ")</f>
        <v> </v>
      </c>
      <c r="K183" s="334" t="str">
        <f aca="false">IF((E183="d"),G183," ")</f>
        <v> </v>
      </c>
      <c r="L183" s="334" t="str">
        <f aca="false">IF((E183="e"),G183," ")</f>
        <v> </v>
      </c>
      <c r="M183" s="334" t="str">
        <f aca="false">IF((E183="p"),G183," ")</f>
        <v> </v>
      </c>
      <c r="N183" s="334" t="str">
        <f aca="false">IF((E183="r"),G183," ")</f>
        <v> </v>
      </c>
      <c r="O183" s="334" t="str">
        <f aca="false">IF((E183="g"),G183," ")</f>
        <v> </v>
      </c>
      <c r="P183" s="334" t="str">
        <f aca="false">IF((E183="m"),G183," ")</f>
        <v> </v>
      </c>
      <c r="Q183" s="334" t="str">
        <f aca="false">IF((E183="t"),G183," ")</f>
        <v> </v>
      </c>
      <c r="R183" s="334" t="str">
        <f aca="false">IF((E183="a"),G183," ")</f>
        <v> </v>
      </c>
      <c r="S183" s="334" t="str">
        <f aca="false">IF((E183="l"),G183," ")</f>
        <v> </v>
      </c>
      <c r="T183" s="334" t="str">
        <f aca="false">IF((E183="b"),G183," ")</f>
        <v> </v>
      </c>
      <c r="U183" s="334" t="str">
        <f aca="false">IF((E183="i"),G183," ")</f>
        <v> </v>
      </c>
      <c r="V183" s="334" t="str">
        <f aca="false">IF((E183="o"),G183," ")</f>
        <v> </v>
      </c>
      <c r="W183" s="334" t="str">
        <f aca="false">IF((E183="f"),G183," ")</f>
        <v> </v>
      </c>
    </row>
    <row r="184" customFormat="false" ht="12.75" hidden="false" customHeight="false" outlineLevel="0" collapsed="false">
      <c r="A184" s="355"/>
      <c r="E184" s="365" t="str">
        <f aca="false">IF((G184&lt;&gt;0),"Enter Letter"," ")</f>
        <v> </v>
      </c>
      <c r="H184" s="338" t="str">
        <f aca="false">IF((G184&lt;&gt;0),IF((D184&gt;0)," ",G184)," ")</f>
        <v> </v>
      </c>
      <c r="I184" s="367" t="str">
        <f aca="false">IF((G184&lt;&gt;0),IF((D184&gt;0)," ",(I$1-A184))," ")</f>
        <v> </v>
      </c>
      <c r="J184" s="334" t="str">
        <f aca="false">IF((E184="s"),G184," ")</f>
        <v> </v>
      </c>
      <c r="K184" s="334" t="str">
        <f aca="false">IF((E184="d"),G184," ")</f>
        <v> </v>
      </c>
      <c r="L184" s="334" t="str">
        <f aca="false">IF((E184="e"),G184," ")</f>
        <v> </v>
      </c>
      <c r="M184" s="334" t="str">
        <f aca="false">IF((E184="p"),G184," ")</f>
        <v> </v>
      </c>
      <c r="N184" s="334" t="str">
        <f aca="false">IF((E184="r"),G184," ")</f>
        <v> </v>
      </c>
      <c r="O184" s="334" t="str">
        <f aca="false">IF((E184="g"),G184," ")</f>
        <v> </v>
      </c>
      <c r="P184" s="334" t="str">
        <f aca="false">IF((E184="m"),G184," ")</f>
        <v> </v>
      </c>
      <c r="Q184" s="334" t="str">
        <f aca="false">IF((E184="t"),G184," ")</f>
        <v> </v>
      </c>
      <c r="R184" s="334" t="str">
        <f aca="false">IF((E184="a"),G184," ")</f>
        <v> </v>
      </c>
      <c r="S184" s="334" t="str">
        <f aca="false">IF((E184="l"),G184," ")</f>
        <v> </v>
      </c>
      <c r="T184" s="334" t="str">
        <f aca="false">IF((E184="b"),G184," ")</f>
        <v> </v>
      </c>
      <c r="U184" s="334" t="str">
        <f aca="false">IF((E184="i"),G184," ")</f>
        <v> </v>
      </c>
      <c r="V184" s="334" t="str">
        <f aca="false">IF((E184="o"),G184," ")</f>
        <v> </v>
      </c>
      <c r="W184" s="334" t="str">
        <f aca="false">IF((E184="f"),G184," ")</f>
        <v> </v>
      </c>
    </row>
    <row r="185" customFormat="false" ht="12.75" hidden="false" customHeight="false" outlineLevel="0" collapsed="false">
      <c r="A185" s="355"/>
      <c r="E185" s="365" t="str">
        <f aca="false">IF((G185&lt;&gt;0),"Enter Letter"," ")</f>
        <v> </v>
      </c>
      <c r="H185" s="338" t="str">
        <f aca="false">IF((G185&lt;&gt;0),IF((D185&gt;0)," ",G185)," ")</f>
        <v> </v>
      </c>
      <c r="I185" s="367" t="str">
        <f aca="false">IF((G185&lt;&gt;0),IF((D185&gt;0)," ",(I$1-A185))," ")</f>
        <v> </v>
      </c>
      <c r="J185" s="334" t="str">
        <f aca="false">IF((E185="s"),G185," ")</f>
        <v> </v>
      </c>
      <c r="K185" s="334" t="str">
        <f aca="false">IF((E185="d"),G185," ")</f>
        <v> </v>
      </c>
      <c r="L185" s="334" t="str">
        <f aca="false">IF((E185="e"),G185," ")</f>
        <v> </v>
      </c>
      <c r="M185" s="334" t="str">
        <f aca="false">IF((E185="p"),G185," ")</f>
        <v> </v>
      </c>
      <c r="N185" s="334" t="str">
        <f aca="false">IF((E185="r"),G185," ")</f>
        <v> </v>
      </c>
      <c r="O185" s="334" t="str">
        <f aca="false">IF((E185="g"),G185," ")</f>
        <v> </v>
      </c>
      <c r="P185" s="334" t="str">
        <f aca="false">IF((E185="m"),G185," ")</f>
        <v> </v>
      </c>
      <c r="Q185" s="334" t="str">
        <f aca="false">IF((E185="t"),G185," ")</f>
        <v> </v>
      </c>
      <c r="R185" s="334" t="str">
        <f aca="false">IF((E185="a"),G185," ")</f>
        <v> </v>
      </c>
      <c r="S185" s="334" t="str">
        <f aca="false">IF((E185="l"),G185," ")</f>
        <v> </v>
      </c>
      <c r="T185" s="334" t="str">
        <f aca="false">IF((E185="b"),G185," ")</f>
        <v> </v>
      </c>
      <c r="U185" s="334" t="str">
        <f aca="false">IF((E185="i"),G185," ")</f>
        <v> </v>
      </c>
      <c r="V185" s="334" t="str">
        <f aca="false">IF((E185="o"),G185," ")</f>
        <v> </v>
      </c>
      <c r="W185" s="334" t="str">
        <f aca="false">IF((E185="f"),G185," ")</f>
        <v> </v>
      </c>
    </row>
    <row r="186" customFormat="false" ht="12.75" hidden="false" customHeight="false" outlineLevel="0" collapsed="false">
      <c r="A186" s="355"/>
      <c r="E186" s="365" t="str">
        <f aca="false">IF((G186&lt;&gt;0),"Enter Letter"," ")</f>
        <v> </v>
      </c>
      <c r="H186" s="338" t="str">
        <f aca="false">IF((G186&lt;&gt;0),IF((D186&gt;0)," ",G186)," ")</f>
        <v> </v>
      </c>
      <c r="I186" s="367" t="str">
        <f aca="false">IF((G186&lt;&gt;0),IF((D186&gt;0)," ",(I$1-A186))," ")</f>
        <v> </v>
      </c>
      <c r="J186" s="334" t="str">
        <f aca="false">IF((E186="s"),G186," ")</f>
        <v> </v>
      </c>
      <c r="K186" s="334" t="str">
        <f aca="false">IF((E186="d"),G186," ")</f>
        <v> </v>
      </c>
      <c r="L186" s="334" t="str">
        <f aca="false">IF((E186="e"),G186," ")</f>
        <v> </v>
      </c>
      <c r="M186" s="334" t="str">
        <f aca="false">IF((E186="p"),G186," ")</f>
        <v> </v>
      </c>
      <c r="N186" s="334" t="str">
        <f aca="false">IF((E186="r"),G186," ")</f>
        <v> </v>
      </c>
      <c r="O186" s="334" t="str">
        <f aca="false">IF((E186="g"),G186," ")</f>
        <v> </v>
      </c>
      <c r="P186" s="334" t="str">
        <f aca="false">IF((E186="m"),G186," ")</f>
        <v> </v>
      </c>
      <c r="Q186" s="334" t="str">
        <f aca="false">IF((E186="t"),G186," ")</f>
        <v> </v>
      </c>
      <c r="R186" s="334" t="str">
        <f aca="false">IF((E186="a"),G186," ")</f>
        <v> </v>
      </c>
      <c r="S186" s="334" t="str">
        <f aca="false">IF((E186="l"),G186," ")</f>
        <v> </v>
      </c>
      <c r="T186" s="334" t="str">
        <f aca="false">IF((E186="b"),G186," ")</f>
        <v> </v>
      </c>
      <c r="U186" s="334" t="str">
        <f aca="false">IF((E186="i"),G186," ")</f>
        <v> </v>
      </c>
      <c r="V186" s="334" t="str">
        <f aca="false">IF((E186="o"),G186," ")</f>
        <v> </v>
      </c>
      <c r="W186" s="334" t="str">
        <f aca="false">IF((E186="f"),G186," ")</f>
        <v> </v>
      </c>
    </row>
    <row r="187" customFormat="false" ht="12.75" hidden="false" customHeight="false" outlineLevel="0" collapsed="false">
      <c r="A187" s="355"/>
      <c r="E187" s="365" t="str">
        <f aca="false">IF((G187&lt;&gt;0),"Enter Letter"," ")</f>
        <v> </v>
      </c>
      <c r="H187" s="338" t="str">
        <f aca="false">IF((G187&lt;&gt;0),IF((D187&gt;0)," ",G187)," ")</f>
        <v> </v>
      </c>
      <c r="I187" s="367" t="str">
        <f aca="false">IF((G187&lt;&gt;0),IF((D187&gt;0)," ",(I$1-A187))," ")</f>
        <v> </v>
      </c>
      <c r="J187" s="334" t="str">
        <f aca="false">IF((E187="s"),G187," ")</f>
        <v> </v>
      </c>
      <c r="K187" s="334" t="str">
        <f aca="false">IF((E187="d"),G187," ")</f>
        <v> </v>
      </c>
      <c r="L187" s="334" t="str">
        <f aca="false">IF((E187="e"),G187," ")</f>
        <v> </v>
      </c>
      <c r="M187" s="334" t="str">
        <f aca="false">IF((E187="p"),G187," ")</f>
        <v> </v>
      </c>
      <c r="N187" s="334" t="str">
        <f aca="false">IF((E187="r"),G187," ")</f>
        <v> </v>
      </c>
      <c r="O187" s="334" t="str">
        <f aca="false">IF((E187="g"),G187," ")</f>
        <v> </v>
      </c>
      <c r="P187" s="334" t="str">
        <f aca="false">IF((E187="m"),G187," ")</f>
        <v> </v>
      </c>
      <c r="Q187" s="334" t="str">
        <f aca="false">IF((E187="t"),G187," ")</f>
        <v> </v>
      </c>
      <c r="R187" s="334" t="str">
        <f aca="false">IF((E187="a"),G187," ")</f>
        <v> </v>
      </c>
      <c r="S187" s="334" t="str">
        <f aca="false">IF((E187="l"),G187," ")</f>
        <v> </v>
      </c>
      <c r="T187" s="334" t="str">
        <f aca="false">IF((E187="b"),G187," ")</f>
        <v> </v>
      </c>
      <c r="U187" s="334" t="str">
        <f aca="false">IF((E187="i"),G187," ")</f>
        <v> </v>
      </c>
      <c r="V187" s="334" t="str">
        <f aca="false">IF((E187="o"),G187," ")</f>
        <v> </v>
      </c>
      <c r="W187" s="334" t="str">
        <f aca="false">IF((E187="f"),G187," ")</f>
        <v> </v>
      </c>
    </row>
    <row r="188" customFormat="false" ht="12.75" hidden="false" customHeight="false" outlineLevel="0" collapsed="false">
      <c r="A188" s="355"/>
      <c r="E188" s="365" t="str">
        <f aca="false">IF((G188&lt;&gt;0),"Enter Letter"," ")</f>
        <v> </v>
      </c>
      <c r="H188" s="338" t="str">
        <f aca="false">IF((G188&lt;&gt;0),IF((D188&gt;0)," ",G188)," ")</f>
        <v> </v>
      </c>
      <c r="I188" s="367" t="str">
        <f aca="false">IF((G188&lt;&gt;0),IF((D188&gt;0)," ",(I$1-A188))," ")</f>
        <v> </v>
      </c>
      <c r="J188" s="334" t="str">
        <f aca="false">IF((E188="s"),G188," ")</f>
        <v> </v>
      </c>
      <c r="K188" s="334" t="str">
        <f aca="false">IF((E188="d"),G188," ")</f>
        <v> </v>
      </c>
      <c r="L188" s="334" t="str">
        <f aca="false">IF((E188="e"),G188," ")</f>
        <v> </v>
      </c>
      <c r="M188" s="334" t="str">
        <f aca="false">IF((E188="p"),G188," ")</f>
        <v> </v>
      </c>
      <c r="N188" s="334" t="str">
        <f aca="false">IF((E188="r"),G188," ")</f>
        <v> </v>
      </c>
      <c r="O188" s="334" t="str">
        <f aca="false">IF((E188="g"),G188," ")</f>
        <v> </v>
      </c>
      <c r="P188" s="334" t="str">
        <f aca="false">IF((E188="m"),G188," ")</f>
        <v> </v>
      </c>
      <c r="Q188" s="334" t="str">
        <f aca="false">IF((E188="t"),G188," ")</f>
        <v> </v>
      </c>
      <c r="R188" s="334" t="str">
        <f aca="false">IF((E188="a"),G188," ")</f>
        <v> </v>
      </c>
      <c r="S188" s="334" t="str">
        <f aca="false">IF((E188="l"),G188," ")</f>
        <v> </v>
      </c>
      <c r="T188" s="334" t="str">
        <f aca="false">IF((E188="b"),G188," ")</f>
        <v> </v>
      </c>
      <c r="U188" s="334" t="str">
        <f aca="false">IF((E188="i"),G188," ")</f>
        <v> </v>
      </c>
      <c r="V188" s="334" t="str">
        <f aca="false">IF((E188="o"),G188," ")</f>
        <v> </v>
      </c>
      <c r="W188" s="334" t="str">
        <f aca="false">IF((E188="f"),G188," ")</f>
        <v> </v>
      </c>
    </row>
    <row r="189" customFormat="false" ht="12.75" hidden="false" customHeight="false" outlineLevel="0" collapsed="false">
      <c r="A189" s="355"/>
      <c r="E189" s="365" t="str">
        <f aca="false">IF((G189&lt;&gt;0),"Enter Letter"," ")</f>
        <v> </v>
      </c>
      <c r="H189" s="338" t="str">
        <f aca="false">IF((G189&lt;&gt;0),IF((D189&gt;0)," ",G189)," ")</f>
        <v> </v>
      </c>
      <c r="I189" s="367" t="str">
        <f aca="false">IF((G189&lt;&gt;0),IF((D189&gt;0)," ",(I$1-A189))," ")</f>
        <v> </v>
      </c>
      <c r="J189" s="334" t="str">
        <f aca="false">IF((E189="s"),G189," ")</f>
        <v> </v>
      </c>
      <c r="K189" s="334" t="str">
        <f aca="false">IF((E189="d"),G189," ")</f>
        <v> </v>
      </c>
      <c r="L189" s="334" t="str">
        <f aca="false">IF((E189="e"),G189," ")</f>
        <v> </v>
      </c>
      <c r="M189" s="334" t="str">
        <f aca="false">IF((E189="p"),G189," ")</f>
        <v> </v>
      </c>
      <c r="N189" s="334" t="str">
        <f aca="false">IF((E189="r"),G189," ")</f>
        <v> </v>
      </c>
      <c r="O189" s="334" t="str">
        <f aca="false">IF((E189="g"),G189," ")</f>
        <v> </v>
      </c>
      <c r="P189" s="334" t="str">
        <f aca="false">IF((E189="m"),G189," ")</f>
        <v> </v>
      </c>
      <c r="Q189" s="334" t="str">
        <f aca="false">IF((E189="t"),G189," ")</f>
        <v> </v>
      </c>
      <c r="R189" s="334" t="str">
        <f aca="false">IF((E189="a"),G189," ")</f>
        <v> </v>
      </c>
      <c r="S189" s="334" t="str">
        <f aca="false">IF((E189="l"),G189," ")</f>
        <v> </v>
      </c>
      <c r="T189" s="334" t="str">
        <f aca="false">IF((E189="b"),G189," ")</f>
        <v> </v>
      </c>
      <c r="U189" s="334" t="str">
        <f aca="false">IF((E189="i"),G189," ")</f>
        <v> </v>
      </c>
      <c r="V189" s="334" t="str">
        <f aca="false">IF((E189="o"),G189," ")</f>
        <v> </v>
      </c>
      <c r="W189" s="334" t="str">
        <f aca="false">IF((E189="f"),G189," ")</f>
        <v> </v>
      </c>
    </row>
    <row r="190" customFormat="false" ht="12.75" hidden="false" customHeight="false" outlineLevel="0" collapsed="false">
      <c r="A190" s="355"/>
      <c r="E190" s="365" t="str">
        <f aca="false">IF((G190&lt;&gt;0),"Enter Letter"," ")</f>
        <v> </v>
      </c>
      <c r="H190" s="338" t="str">
        <f aca="false">IF((G190&lt;&gt;0),IF((D190&gt;0)," ",G190)," ")</f>
        <v> </v>
      </c>
      <c r="I190" s="367" t="str">
        <f aca="false">IF((G190&lt;&gt;0),IF((D190&gt;0)," ",(I$1-A190))," ")</f>
        <v> </v>
      </c>
      <c r="J190" s="334" t="str">
        <f aca="false">IF((E190="s"),G190," ")</f>
        <v> </v>
      </c>
      <c r="K190" s="334" t="str">
        <f aca="false">IF((E190="d"),G190," ")</f>
        <v> </v>
      </c>
      <c r="L190" s="334" t="str">
        <f aca="false">IF((E190="e"),G190," ")</f>
        <v> </v>
      </c>
      <c r="M190" s="334" t="str">
        <f aca="false">IF((E190="p"),G190," ")</f>
        <v> </v>
      </c>
      <c r="N190" s="334" t="str">
        <f aca="false">IF((E190="r"),G190," ")</f>
        <v> </v>
      </c>
      <c r="O190" s="334" t="str">
        <f aca="false">IF((E190="g"),G190," ")</f>
        <v> </v>
      </c>
      <c r="P190" s="334" t="str">
        <f aca="false">IF((E190="m"),G190," ")</f>
        <v> </v>
      </c>
      <c r="Q190" s="334" t="str">
        <f aca="false">IF((E190="t"),G190," ")</f>
        <v> </v>
      </c>
      <c r="R190" s="334" t="str">
        <f aca="false">IF((E190="a"),G190," ")</f>
        <v> </v>
      </c>
      <c r="S190" s="334" t="str">
        <f aca="false">IF((E190="l"),G190," ")</f>
        <v> </v>
      </c>
      <c r="T190" s="334" t="str">
        <f aca="false">IF((E190="b"),G190," ")</f>
        <v> </v>
      </c>
      <c r="U190" s="334" t="str">
        <f aca="false">IF((E190="i"),G190," ")</f>
        <v> </v>
      </c>
      <c r="V190" s="334" t="str">
        <f aca="false">IF((E190="o"),G190," ")</f>
        <v> </v>
      </c>
      <c r="W190" s="334" t="str">
        <f aca="false">IF((E190="f"),G190," ")</f>
        <v> </v>
      </c>
    </row>
    <row r="191" customFormat="false" ht="12.75" hidden="false" customHeight="false" outlineLevel="0" collapsed="false">
      <c r="A191" s="355"/>
      <c r="E191" s="365" t="str">
        <f aca="false">IF((G191&lt;&gt;0),"Enter Letter"," ")</f>
        <v> </v>
      </c>
      <c r="H191" s="338" t="str">
        <f aca="false">IF((G191&lt;&gt;0),IF((D191&gt;0)," ",G191)," ")</f>
        <v> </v>
      </c>
      <c r="I191" s="367" t="str">
        <f aca="false">IF((G191&lt;&gt;0),IF((D191&gt;0)," ",(I$1-A191))," ")</f>
        <v> </v>
      </c>
      <c r="J191" s="334" t="str">
        <f aca="false">IF((E191="s"),G191," ")</f>
        <v> </v>
      </c>
      <c r="K191" s="334" t="str">
        <f aca="false">IF((E191="d"),G191," ")</f>
        <v> </v>
      </c>
      <c r="L191" s="334" t="str">
        <f aca="false">IF((E191="e"),G191," ")</f>
        <v> </v>
      </c>
      <c r="M191" s="334" t="str">
        <f aca="false">IF((E191="p"),G191," ")</f>
        <v> </v>
      </c>
      <c r="N191" s="334" t="str">
        <f aca="false">IF((E191="r"),G191," ")</f>
        <v> </v>
      </c>
      <c r="O191" s="334" t="str">
        <f aca="false">IF((E191="g"),G191," ")</f>
        <v> </v>
      </c>
      <c r="P191" s="334" t="str">
        <f aca="false">IF((E191="m"),G191," ")</f>
        <v> </v>
      </c>
      <c r="Q191" s="334" t="str">
        <f aca="false">IF((E191="t"),G191," ")</f>
        <v> </v>
      </c>
      <c r="R191" s="334" t="str">
        <f aca="false">IF((E191="a"),G191," ")</f>
        <v> </v>
      </c>
      <c r="S191" s="334" t="str">
        <f aca="false">IF((E191="l"),G191," ")</f>
        <v> </v>
      </c>
      <c r="T191" s="334" t="str">
        <f aca="false">IF((E191="b"),G191," ")</f>
        <v> </v>
      </c>
      <c r="U191" s="334" t="str">
        <f aca="false">IF((E191="i"),G191," ")</f>
        <v> </v>
      </c>
      <c r="V191" s="334" t="str">
        <f aca="false">IF((E191="o"),G191," ")</f>
        <v> </v>
      </c>
      <c r="W191" s="334" t="str">
        <f aca="false">IF((E191="f"),G191," ")</f>
        <v> </v>
      </c>
    </row>
    <row r="192" customFormat="false" ht="12.75" hidden="false" customHeight="false" outlineLevel="0" collapsed="false">
      <c r="A192" s="355"/>
      <c r="E192" s="365" t="str">
        <f aca="false">IF((G192&lt;&gt;0),"Enter Letter"," ")</f>
        <v> </v>
      </c>
      <c r="H192" s="338" t="str">
        <f aca="false">IF((G192&lt;&gt;0),IF((D192&gt;0)," ",G192)," ")</f>
        <v> </v>
      </c>
      <c r="I192" s="367" t="str">
        <f aca="false">IF((G192&lt;&gt;0),IF((D192&gt;0)," ",(I$1-A192))," ")</f>
        <v> </v>
      </c>
      <c r="J192" s="334" t="str">
        <f aca="false">IF((E192="s"),G192," ")</f>
        <v> </v>
      </c>
      <c r="K192" s="334" t="str">
        <f aca="false">IF((E192="d"),G192," ")</f>
        <v> </v>
      </c>
      <c r="L192" s="334" t="str">
        <f aca="false">IF((E192="e"),G192," ")</f>
        <v> </v>
      </c>
      <c r="M192" s="334" t="str">
        <f aca="false">IF((E192="p"),G192," ")</f>
        <v> </v>
      </c>
      <c r="N192" s="334" t="str">
        <f aca="false">IF((E192="r"),G192," ")</f>
        <v> </v>
      </c>
      <c r="O192" s="334" t="str">
        <f aca="false">IF((E192="g"),G192," ")</f>
        <v> </v>
      </c>
      <c r="P192" s="334" t="str">
        <f aca="false">IF((E192="m"),G192," ")</f>
        <v> </v>
      </c>
      <c r="Q192" s="334" t="str">
        <f aca="false">IF((E192="t"),G192," ")</f>
        <v> </v>
      </c>
      <c r="R192" s="334" t="str">
        <f aca="false">IF((E192="a"),G192," ")</f>
        <v> </v>
      </c>
      <c r="S192" s="334" t="str">
        <f aca="false">IF((E192="l"),G192," ")</f>
        <v> </v>
      </c>
      <c r="T192" s="334" t="str">
        <f aca="false">IF((E192="b"),G192," ")</f>
        <v> </v>
      </c>
      <c r="U192" s="334" t="str">
        <f aca="false">IF((E192="i"),G192," ")</f>
        <v> </v>
      </c>
      <c r="V192" s="334" t="str">
        <f aca="false">IF((E192="o"),G192," ")</f>
        <v> </v>
      </c>
      <c r="W192" s="334" t="str">
        <f aca="false">IF((E192="f"),G192," ")</f>
        <v> </v>
      </c>
    </row>
    <row r="193" customFormat="false" ht="12.75" hidden="false" customHeight="false" outlineLevel="0" collapsed="false">
      <c r="A193" s="355"/>
      <c r="E193" s="365" t="str">
        <f aca="false">IF((G193&lt;&gt;0),"Enter Letter"," ")</f>
        <v> </v>
      </c>
      <c r="H193" s="338" t="str">
        <f aca="false">IF((G193&lt;&gt;0),IF((D193&gt;0)," ",G193)," ")</f>
        <v> </v>
      </c>
      <c r="I193" s="367" t="str">
        <f aca="false">IF((G193&lt;&gt;0),IF((D193&gt;0)," ",(I$1-A193))," ")</f>
        <v> </v>
      </c>
      <c r="J193" s="334" t="str">
        <f aca="false">IF((E193="s"),G193," ")</f>
        <v> </v>
      </c>
      <c r="K193" s="334" t="str">
        <f aca="false">IF((E193="d"),G193," ")</f>
        <v> </v>
      </c>
      <c r="L193" s="334" t="str">
        <f aca="false">IF((E193="e"),G193," ")</f>
        <v> </v>
      </c>
      <c r="M193" s="334" t="str">
        <f aca="false">IF((E193="p"),G193," ")</f>
        <v> </v>
      </c>
      <c r="N193" s="334" t="str">
        <f aca="false">IF((E193="r"),G193," ")</f>
        <v> </v>
      </c>
      <c r="O193" s="334" t="str">
        <f aca="false">IF((E193="g"),G193," ")</f>
        <v> </v>
      </c>
      <c r="P193" s="334" t="str">
        <f aca="false">IF((E193="m"),G193," ")</f>
        <v> </v>
      </c>
      <c r="Q193" s="334" t="str">
        <f aca="false">IF((E193="t"),G193," ")</f>
        <v> </v>
      </c>
      <c r="R193" s="334" t="str">
        <f aca="false">IF((E193="a"),G193," ")</f>
        <v> </v>
      </c>
      <c r="S193" s="334" t="str">
        <f aca="false">IF((E193="l"),G193," ")</f>
        <v> </v>
      </c>
      <c r="T193" s="334" t="str">
        <f aca="false">IF((E193="b"),G193," ")</f>
        <v> </v>
      </c>
      <c r="U193" s="334" t="str">
        <f aca="false">IF((E193="i"),G193," ")</f>
        <v> </v>
      </c>
      <c r="V193" s="334" t="str">
        <f aca="false">IF((E193="o"),G193," ")</f>
        <v> </v>
      </c>
      <c r="W193" s="334" t="str">
        <f aca="false">IF((E193="f"),G193," ")</f>
        <v> </v>
      </c>
    </row>
    <row r="194" customFormat="false" ht="12.75" hidden="false" customHeight="false" outlineLevel="0" collapsed="false">
      <c r="A194" s="355"/>
      <c r="E194" s="365" t="str">
        <f aca="false">IF((G194&lt;&gt;0),"Enter Letter"," ")</f>
        <v> </v>
      </c>
      <c r="H194" s="338" t="str">
        <f aca="false">IF((G194&lt;&gt;0),IF((D194&gt;0)," ",G194)," ")</f>
        <v> </v>
      </c>
      <c r="I194" s="367" t="str">
        <f aca="false">IF((G194&lt;&gt;0),IF((D194&gt;0)," ",(I$1-A194))," ")</f>
        <v> </v>
      </c>
      <c r="J194" s="334" t="str">
        <f aca="false">IF((E194="s"),G194," ")</f>
        <v> </v>
      </c>
      <c r="K194" s="334" t="str">
        <f aca="false">IF((E194="d"),G194," ")</f>
        <v> </v>
      </c>
      <c r="L194" s="334" t="str">
        <f aca="false">IF((E194="e"),G194," ")</f>
        <v> </v>
      </c>
      <c r="M194" s="334" t="str">
        <f aca="false">IF((E194="p"),G194," ")</f>
        <v> </v>
      </c>
      <c r="N194" s="334" t="str">
        <f aca="false">IF((E194="r"),G194," ")</f>
        <v> </v>
      </c>
      <c r="O194" s="334" t="str">
        <f aca="false">IF((E194="g"),G194," ")</f>
        <v> </v>
      </c>
      <c r="P194" s="334" t="str">
        <f aca="false">IF((E194="m"),G194," ")</f>
        <v> </v>
      </c>
      <c r="Q194" s="334" t="str">
        <f aca="false">IF((E194="t"),G194," ")</f>
        <v> </v>
      </c>
      <c r="R194" s="334" t="str">
        <f aca="false">IF((E194="a"),G194," ")</f>
        <v> </v>
      </c>
      <c r="S194" s="334" t="str">
        <f aca="false">IF((E194="l"),G194," ")</f>
        <v> </v>
      </c>
      <c r="T194" s="334" t="str">
        <f aca="false">IF((E194="b"),G194," ")</f>
        <v> </v>
      </c>
      <c r="U194" s="334" t="str">
        <f aca="false">IF((E194="i"),G194," ")</f>
        <v> </v>
      </c>
      <c r="V194" s="334" t="str">
        <f aca="false">IF((E194="o"),G194," ")</f>
        <v> </v>
      </c>
      <c r="W194" s="334" t="str">
        <f aca="false">IF((E194="f"),G194," ")</f>
        <v> </v>
      </c>
    </row>
    <row r="195" customFormat="false" ht="12.75" hidden="false" customHeight="false" outlineLevel="0" collapsed="false">
      <c r="A195" s="355"/>
      <c r="E195" s="365" t="str">
        <f aca="false">IF((G195&lt;&gt;0),"Enter Letter"," ")</f>
        <v> </v>
      </c>
      <c r="H195" s="338" t="str">
        <f aca="false">IF((G195&lt;&gt;0),IF((D195&gt;0)," ",G195)," ")</f>
        <v> </v>
      </c>
      <c r="I195" s="367" t="str">
        <f aca="false">IF((G195&lt;&gt;0),IF((D195&gt;0)," ",(I$1-A195))," ")</f>
        <v> </v>
      </c>
      <c r="J195" s="334" t="str">
        <f aca="false">IF((E195="s"),G195," ")</f>
        <v> </v>
      </c>
      <c r="K195" s="334" t="str">
        <f aca="false">IF((E195="d"),G195," ")</f>
        <v> </v>
      </c>
      <c r="L195" s="334" t="str">
        <f aca="false">IF((E195="e"),G195," ")</f>
        <v> </v>
      </c>
      <c r="M195" s="334" t="str">
        <f aca="false">IF((E195="p"),G195," ")</f>
        <v> </v>
      </c>
      <c r="N195" s="334" t="str">
        <f aca="false">IF((E195="r"),G195," ")</f>
        <v> </v>
      </c>
      <c r="O195" s="334" t="str">
        <f aca="false">IF((E195="g"),G195," ")</f>
        <v> </v>
      </c>
      <c r="P195" s="334" t="str">
        <f aca="false">IF((E195="m"),G195," ")</f>
        <v> </v>
      </c>
      <c r="Q195" s="334" t="str">
        <f aca="false">IF((E195="t"),G195," ")</f>
        <v> </v>
      </c>
      <c r="R195" s="334" t="str">
        <f aca="false">IF((E195="a"),G195," ")</f>
        <v> </v>
      </c>
      <c r="S195" s="334" t="str">
        <f aca="false">IF((E195="l"),G195," ")</f>
        <v> </v>
      </c>
      <c r="T195" s="334" t="str">
        <f aca="false">IF((E195="b"),G195," ")</f>
        <v> </v>
      </c>
      <c r="U195" s="334" t="str">
        <f aca="false">IF((E195="i"),G195," ")</f>
        <v> </v>
      </c>
      <c r="V195" s="334" t="str">
        <f aca="false">IF((E195="o"),G195," ")</f>
        <v> </v>
      </c>
      <c r="W195" s="334" t="str">
        <f aca="false">IF((E195="f"),G195," ")</f>
        <v> </v>
      </c>
    </row>
    <row r="196" customFormat="false" ht="12.75" hidden="false" customHeight="false" outlineLevel="0" collapsed="false">
      <c r="A196" s="355"/>
      <c r="E196" s="365" t="str">
        <f aca="false">IF((G196&lt;&gt;0),"Enter Letter"," ")</f>
        <v> </v>
      </c>
      <c r="H196" s="338" t="str">
        <f aca="false">IF((G196&lt;&gt;0),IF((D196&gt;0)," ",G196)," ")</f>
        <v> </v>
      </c>
      <c r="I196" s="367" t="str">
        <f aca="false">IF((G196&lt;&gt;0),IF((D196&gt;0)," ",(I$1-A196))," ")</f>
        <v> </v>
      </c>
      <c r="J196" s="334" t="str">
        <f aca="false">IF((E196="s"),G196," ")</f>
        <v> </v>
      </c>
      <c r="K196" s="334" t="str">
        <f aca="false">IF((E196="d"),G196," ")</f>
        <v> </v>
      </c>
      <c r="L196" s="334" t="str">
        <f aca="false">IF((E196="e"),G196," ")</f>
        <v> </v>
      </c>
      <c r="M196" s="334" t="str">
        <f aca="false">IF((E196="p"),G196," ")</f>
        <v> </v>
      </c>
      <c r="N196" s="334" t="str">
        <f aca="false">IF((E196="r"),G196," ")</f>
        <v> </v>
      </c>
      <c r="O196" s="334" t="str">
        <f aca="false">IF((E196="g"),G196," ")</f>
        <v> </v>
      </c>
      <c r="P196" s="334" t="str">
        <f aca="false">IF((E196="m"),G196," ")</f>
        <v> </v>
      </c>
      <c r="Q196" s="334" t="str">
        <f aca="false">IF((E196="t"),G196," ")</f>
        <v> </v>
      </c>
      <c r="R196" s="334" t="str">
        <f aca="false">IF((E196="a"),G196," ")</f>
        <v> </v>
      </c>
      <c r="S196" s="334" t="str">
        <f aca="false">IF((E196="l"),G196," ")</f>
        <v> </v>
      </c>
      <c r="T196" s="334" t="str">
        <f aca="false">IF((E196="b"),G196," ")</f>
        <v> </v>
      </c>
      <c r="U196" s="334" t="str">
        <f aca="false">IF((E196="i"),G196," ")</f>
        <v> </v>
      </c>
      <c r="V196" s="334" t="str">
        <f aca="false">IF((E196="o"),G196," ")</f>
        <v> </v>
      </c>
      <c r="W196" s="334" t="str">
        <f aca="false">IF((E196="f"),G196," ")</f>
        <v> </v>
      </c>
    </row>
    <row r="197" customFormat="false" ht="12.75" hidden="false" customHeight="false" outlineLevel="0" collapsed="false">
      <c r="A197" s="355"/>
      <c r="E197" s="365" t="str">
        <f aca="false">IF((G197&lt;&gt;0),"Enter Letter"," ")</f>
        <v> </v>
      </c>
      <c r="H197" s="338" t="str">
        <f aca="false">IF((G197&lt;&gt;0),IF((D197&gt;0)," ",G197)," ")</f>
        <v> </v>
      </c>
      <c r="I197" s="367" t="str">
        <f aca="false">IF((G197&lt;&gt;0),IF((D197&gt;0)," ",(I$1-A197))," ")</f>
        <v> </v>
      </c>
      <c r="J197" s="334" t="str">
        <f aca="false">IF((E197="s"),G197," ")</f>
        <v> </v>
      </c>
      <c r="K197" s="334" t="str">
        <f aca="false">IF((E197="d"),G197," ")</f>
        <v> </v>
      </c>
      <c r="L197" s="334" t="str">
        <f aca="false">IF((E197="e"),G197," ")</f>
        <v> </v>
      </c>
      <c r="M197" s="334" t="str">
        <f aca="false">IF((E197="p"),G197," ")</f>
        <v> </v>
      </c>
      <c r="N197" s="334" t="str">
        <f aca="false">IF((E197="r"),G197," ")</f>
        <v> </v>
      </c>
      <c r="O197" s="334" t="str">
        <f aca="false">IF((E197="g"),G197," ")</f>
        <v> </v>
      </c>
      <c r="P197" s="334" t="str">
        <f aca="false">IF((E197="m"),G197," ")</f>
        <v> </v>
      </c>
      <c r="Q197" s="334" t="str">
        <f aca="false">IF((E197="t"),G197," ")</f>
        <v> </v>
      </c>
      <c r="R197" s="334" t="str">
        <f aca="false">IF((E197="a"),G197," ")</f>
        <v> </v>
      </c>
      <c r="S197" s="334" t="str">
        <f aca="false">IF((E197="l"),G197," ")</f>
        <v> </v>
      </c>
      <c r="T197" s="334" t="str">
        <f aca="false">IF((E197="b"),G197," ")</f>
        <v> </v>
      </c>
      <c r="U197" s="334" t="str">
        <f aca="false">IF((E197="i"),G197," ")</f>
        <v> </v>
      </c>
      <c r="V197" s="334" t="str">
        <f aca="false">IF((E197="o"),G197," ")</f>
        <v> </v>
      </c>
      <c r="W197" s="334" t="str">
        <f aca="false">IF((E197="f"),G197," ")</f>
        <v> </v>
      </c>
    </row>
    <row r="198" customFormat="false" ht="12.75" hidden="false" customHeight="false" outlineLevel="0" collapsed="false">
      <c r="A198" s="355"/>
      <c r="E198" s="365" t="str">
        <f aca="false">IF((G198&lt;&gt;0),"Enter Letter"," ")</f>
        <v> </v>
      </c>
      <c r="H198" s="338" t="str">
        <f aca="false">IF((G198&lt;&gt;0),IF((D198&gt;0)," ",G198)," ")</f>
        <v> </v>
      </c>
      <c r="I198" s="367" t="str">
        <f aca="false">IF((G198&lt;&gt;0),IF((D198&gt;0)," ",(I$1-A198))," ")</f>
        <v> </v>
      </c>
      <c r="J198" s="334" t="str">
        <f aca="false">IF((E198="s"),G198," ")</f>
        <v> </v>
      </c>
      <c r="K198" s="334" t="str">
        <f aca="false">IF((E198="d"),G198," ")</f>
        <v> </v>
      </c>
      <c r="L198" s="334" t="str">
        <f aca="false">IF((E198="e"),G198," ")</f>
        <v> </v>
      </c>
      <c r="M198" s="334" t="str">
        <f aca="false">IF((E198="p"),G198," ")</f>
        <v> </v>
      </c>
      <c r="N198" s="334" t="str">
        <f aca="false">IF((E198="r"),G198," ")</f>
        <v> </v>
      </c>
      <c r="O198" s="334" t="str">
        <f aca="false">IF((E198="g"),G198," ")</f>
        <v> </v>
      </c>
      <c r="P198" s="334" t="str">
        <f aca="false">IF((E198="m"),G198," ")</f>
        <v> </v>
      </c>
      <c r="Q198" s="334" t="str">
        <f aca="false">IF((E198="t"),G198," ")</f>
        <v> </v>
      </c>
      <c r="R198" s="334" t="str">
        <f aca="false">IF((E198="a"),G198," ")</f>
        <v> </v>
      </c>
      <c r="S198" s="334" t="str">
        <f aca="false">IF((E198="l"),G198," ")</f>
        <v> </v>
      </c>
      <c r="T198" s="334" t="str">
        <f aca="false">IF((E198="b"),G198," ")</f>
        <v> </v>
      </c>
      <c r="U198" s="334" t="str">
        <f aca="false">IF((E198="i"),G198," ")</f>
        <v> </v>
      </c>
      <c r="V198" s="334" t="str">
        <f aca="false">IF((E198="o"),G198," ")</f>
        <v> </v>
      </c>
      <c r="W198" s="334" t="str">
        <f aca="false">IF((E198="f"),G198," ")</f>
        <v> </v>
      </c>
    </row>
    <row r="199" customFormat="false" ht="12.75" hidden="false" customHeight="false" outlineLevel="0" collapsed="false">
      <c r="A199" s="355"/>
      <c r="E199" s="365" t="str">
        <f aca="false">IF((G199&lt;&gt;0),"Enter Letter"," ")</f>
        <v> </v>
      </c>
      <c r="H199" s="338" t="str">
        <f aca="false">IF((G199&lt;&gt;0),IF((D199&gt;0)," ",G199)," ")</f>
        <v> </v>
      </c>
      <c r="I199" s="367" t="str">
        <f aca="false">IF((G199&lt;&gt;0),IF((D199&gt;0)," ",(I$1-A199))," ")</f>
        <v> </v>
      </c>
      <c r="J199" s="334" t="str">
        <f aca="false">IF((E199="s"),G199," ")</f>
        <v> </v>
      </c>
      <c r="K199" s="334" t="str">
        <f aca="false">IF((E199="d"),G199," ")</f>
        <v> </v>
      </c>
      <c r="L199" s="334" t="str">
        <f aca="false">IF((E199="e"),G199," ")</f>
        <v> </v>
      </c>
      <c r="M199" s="334" t="str">
        <f aca="false">IF((E199="p"),G199," ")</f>
        <v> </v>
      </c>
      <c r="N199" s="334" t="str">
        <f aca="false">IF((E199="r"),G199," ")</f>
        <v> </v>
      </c>
      <c r="O199" s="334" t="str">
        <f aca="false">IF((E199="g"),G199," ")</f>
        <v> </v>
      </c>
      <c r="P199" s="334" t="str">
        <f aca="false">IF((E199="m"),G199," ")</f>
        <v> </v>
      </c>
      <c r="Q199" s="334" t="str">
        <f aca="false">IF((E199="t"),G199," ")</f>
        <v> </v>
      </c>
      <c r="R199" s="334" t="str">
        <f aca="false">IF((E199="a"),G199," ")</f>
        <v> </v>
      </c>
      <c r="S199" s="334" t="str">
        <f aca="false">IF((E199="l"),G199," ")</f>
        <v> </v>
      </c>
      <c r="T199" s="334" t="str">
        <f aca="false">IF((E199="b"),G199," ")</f>
        <v> </v>
      </c>
      <c r="U199" s="334" t="str">
        <f aca="false">IF((E199="i"),G199," ")</f>
        <v> </v>
      </c>
      <c r="V199" s="334" t="str">
        <f aca="false">IF((E199="o"),G199," ")</f>
        <v> </v>
      </c>
      <c r="W199" s="334" t="str">
        <f aca="false">IF((E199="f"),G199," ")</f>
        <v> </v>
      </c>
    </row>
    <row r="200" customFormat="false" ht="12.75" hidden="false" customHeight="false" outlineLevel="0" collapsed="false">
      <c r="A200" s="355"/>
      <c r="E200" s="365" t="str">
        <f aca="false">IF((G200&lt;&gt;0),"Enter Letter"," ")</f>
        <v> </v>
      </c>
      <c r="H200" s="338" t="str">
        <f aca="false">IF((G200&lt;&gt;0),IF((D200&gt;0)," ",G200)," ")</f>
        <v> </v>
      </c>
      <c r="I200" s="367" t="str">
        <f aca="false">IF((G200&lt;&gt;0),IF((D200&gt;0)," ",(I$1-A200))," ")</f>
        <v> </v>
      </c>
      <c r="J200" s="334" t="str">
        <f aca="false">IF((E200="s"),G200," ")</f>
        <v> </v>
      </c>
      <c r="K200" s="334" t="str">
        <f aca="false">IF((E200="d"),G200," ")</f>
        <v> </v>
      </c>
      <c r="L200" s="334" t="str">
        <f aca="false">IF((E200="e"),G200," ")</f>
        <v> </v>
      </c>
      <c r="M200" s="334" t="str">
        <f aca="false">IF((E200="p"),G200," ")</f>
        <v> </v>
      </c>
      <c r="N200" s="334" t="str">
        <f aca="false">IF((E200="r"),G200," ")</f>
        <v> </v>
      </c>
      <c r="O200" s="334" t="str">
        <f aca="false">IF((E200="g"),G200," ")</f>
        <v> </v>
      </c>
      <c r="P200" s="334" t="str">
        <f aca="false">IF((E200="m"),G200," ")</f>
        <v> </v>
      </c>
      <c r="Q200" s="334" t="str">
        <f aca="false">IF((E200="t"),G200," ")</f>
        <v> </v>
      </c>
      <c r="R200" s="334" t="str">
        <f aca="false">IF((E200="a"),G200," ")</f>
        <v> </v>
      </c>
      <c r="S200" s="334" t="str">
        <f aca="false">IF((E200="l"),G200," ")</f>
        <v> </v>
      </c>
      <c r="T200" s="334" t="str">
        <f aca="false">IF((E200="b"),G200," ")</f>
        <v> </v>
      </c>
      <c r="U200" s="334" t="str">
        <f aca="false">IF((E200="i"),G200," ")</f>
        <v> </v>
      </c>
      <c r="V200" s="334" t="str">
        <f aca="false">IF((E200="o"),G200," ")</f>
        <v> </v>
      </c>
      <c r="W200" s="334" t="str">
        <f aca="false">IF((E200="f"),G200," ")</f>
        <v> </v>
      </c>
      <c r="Y200" s="399"/>
      <c r="Z200" s="399"/>
    </row>
    <row r="201" customFormat="false" ht="12.75" hidden="false" customHeight="false" outlineLevel="0" collapsed="false">
      <c r="A201" s="355"/>
      <c r="E201" s="365" t="str">
        <f aca="false">IF((G201&lt;&gt;0),"Enter Letter"," ")</f>
        <v> </v>
      </c>
      <c r="H201" s="338" t="str">
        <f aca="false">IF((G201&lt;&gt;0),IF((D201&gt;0)," ",G201)," ")</f>
        <v> </v>
      </c>
      <c r="I201" s="367" t="str">
        <f aca="false">IF((G201&lt;&gt;0),IF((D201&gt;0)," ",(I$1-A201))," ")</f>
        <v> </v>
      </c>
      <c r="J201" s="334" t="str">
        <f aca="false">IF((E201="s"),G201," ")</f>
        <v> </v>
      </c>
      <c r="K201" s="334" t="str">
        <f aca="false">IF((E201="d"),G201," ")</f>
        <v> </v>
      </c>
      <c r="L201" s="334" t="str">
        <f aca="false">IF((E201="e"),G201," ")</f>
        <v> </v>
      </c>
      <c r="M201" s="334" t="str">
        <f aca="false">IF((E201="p"),G201," ")</f>
        <v> </v>
      </c>
      <c r="N201" s="334" t="str">
        <f aca="false">IF((E201="r"),G201," ")</f>
        <v> </v>
      </c>
      <c r="O201" s="334" t="str">
        <f aca="false">IF((E201="g"),G201," ")</f>
        <v> </v>
      </c>
      <c r="P201" s="334" t="str">
        <f aca="false">IF((E201="m"),G201," ")</f>
        <v> </v>
      </c>
      <c r="Q201" s="334" t="str">
        <f aca="false">IF((E201="t"),G201," ")</f>
        <v> </v>
      </c>
      <c r="R201" s="334" t="str">
        <f aca="false">IF((E201="a"),G201," ")</f>
        <v> </v>
      </c>
      <c r="S201" s="334" t="str">
        <f aca="false">IF((E201="l"),G201," ")</f>
        <v> </v>
      </c>
      <c r="T201" s="334" t="str">
        <f aca="false">IF((E201="b"),G201," ")</f>
        <v> </v>
      </c>
      <c r="U201" s="334" t="str">
        <f aca="false">IF((E201="i"),G201," ")</f>
        <v> </v>
      </c>
      <c r="V201" s="334" t="str">
        <f aca="false">IF((E201="o"),G201," ")</f>
        <v> </v>
      </c>
      <c r="W201" s="334" t="str">
        <f aca="false">IF((E201="f"),G201," ")</f>
        <v> </v>
      </c>
    </row>
    <row r="202" customFormat="false" ht="12.75" hidden="false" customHeight="false" outlineLevel="0" collapsed="false">
      <c r="A202" s="355"/>
      <c r="E202" s="365" t="str">
        <f aca="false">IF((G202&lt;&gt;0),"Enter Letter"," ")</f>
        <v> </v>
      </c>
      <c r="H202" s="338" t="str">
        <f aca="false">IF((G202&lt;&gt;0),IF((D202&gt;0)," ",G202)," ")</f>
        <v> </v>
      </c>
      <c r="I202" s="367" t="str">
        <f aca="false">IF((G202&lt;&gt;0),IF((D202&gt;0)," ",(I$1-A202))," ")</f>
        <v> </v>
      </c>
      <c r="J202" s="334" t="str">
        <f aca="false">IF((E202="s"),G202," ")</f>
        <v> </v>
      </c>
      <c r="K202" s="334" t="str">
        <f aca="false">IF((E202="d"),G202," ")</f>
        <v> </v>
      </c>
      <c r="L202" s="334" t="str">
        <f aca="false">IF((E202="e"),G202," ")</f>
        <v> </v>
      </c>
      <c r="M202" s="334" t="str">
        <f aca="false">IF((E202="p"),G202," ")</f>
        <v> </v>
      </c>
      <c r="N202" s="334" t="str">
        <f aca="false">IF((E202="r"),G202," ")</f>
        <v> </v>
      </c>
      <c r="O202" s="334" t="str">
        <f aca="false">IF((E202="g"),G202," ")</f>
        <v> </v>
      </c>
      <c r="P202" s="334" t="str">
        <f aca="false">IF((E202="m"),G202," ")</f>
        <v> </v>
      </c>
      <c r="Q202" s="334" t="str">
        <f aca="false">IF((E202="t"),G202," ")</f>
        <v> </v>
      </c>
      <c r="R202" s="334" t="str">
        <f aca="false">IF((E202="a"),G202," ")</f>
        <v> </v>
      </c>
      <c r="S202" s="334" t="str">
        <f aca="false">IF((E202="l"),G202," ")</f>
        <v> </v>
      </c>
      <c r="T202" s="334" t="str">
        <f aca="false">IF((E202="b"),G202," ")</f>
        <v> </v>
      </c>
      <c r="U202" s="334" t="str">
        <f aca="false">IF((E202="i"),G202," ")</f>
        <v> </v>
      </c>
      <c r="V202" s="334" t="str">
        <f aca="false">IF((E202="o"),G202," ")</f>
        <v> </v>
      </c>
      <c r="W202" s="334" t="str">
        <f aca="false">IF((E202="f"),G202," ")</f>
        <v> </v>
      </c>
    </row>
    <row r="203" customFormat="false" ht="12.75" hidden="false" customHeight="false" outlineLevel="0" collapsed="false">
      <c r="A203" s="355"/>
      <c r="E203" s="365" t="str">
        <f aca="false">IF((G203&lt;&gt;0),"Enter Letter"," ")</f>
        <v> </v>
      </c>
      <c r="H203" s="338" t="str">
        <f aca="false">IF((G203&lt;&gt;0),IF((D203&gt;0)," ",G203)," ")</f>
        <v> </v>
      </c>
      <c r="I203" s="367" t="str">
        <f aca="false">IF((G203&lt;&gt;0),IF((D203&gt;0)," ",(I$1-A203))," ")</f>
        <v> </v>
      </c>
      <c r="J203" s="334" t="str">
        <f aca="false">IF((E203="s"),G203," ")</f>
        <v> </v>
      </c>
      <c r="K203" s="334" t="str">
        <f aca="false">IF((E203="d"),G203," ")</f>
        <v> </v>
      </c>
      <c r="L203" s="334" t="str">
        <f aca="false">IF((E203="e"),G203," ")</f>
        <v> </v>
      </c>
      <c r="M203" s="334" t="str">
        <f aca="false">IF((E203="p"),G203," ")</f>
        <v> </v>
      </c>
      <c r="N203" s="334" t="str">
        <f aca="false">IF((E203="r"),G203," ")</f>
        <v> </v>
      </c>
      <c r="O203" s="334" t="str">
        <f aca="false">IF((E203="g"),G203," ")</f>
        <v> </v>
      </c>
      <c r="P203" s="334" t="str">
        <f aca="false">IF((E203="m"),G203," ")</f>
        <v> </v>
      </c>
      <c r="Q203" s="334" t="str">
        <f aca="false">IF((E203="t"),G203," ")</f>
        <v> </v>
      </c>
      <c r="R203" s="334" t="str">
        <f aca="false">IF((E203="a"),G203," ")</f>
        <v> </v>
      </c>
      <c r="S203" s="334" t="str">
        <f aca="false">IF((E203="l"),G203," ")</f>
        <v> </v>
      </c>
      <c r="T203" s="334" t="str">
        <f aca="false">IF((E203="b"),G203," ")</f>
        <v> </v>
      </c>
      <c r="U203" s="334" t="str">
        <f aca="false">IF((E203="i"),G203," ")</f>
        <v> </v>
      </c>
      <c r="V203" s="334" t="str">
        <f aca="false">IF((E203="o"),G203," ")</f>
        <v> </v>
      </c>
      <c r="W203" s="334" t="str">
        <f aca="false">IF((E203="f"),G203," ")</f>
        <v> </v>
      </c>
    </row>
    <row r="204" customFormat="false" ht="12.75" hidden="false" customHeight="false" outlineLevel="0" collapsed="false">
      <c r="A204" s="355"/>
      <c r="E204" s="365" t="str">
        <f aca="false">IF((G204&lt;&gt;0),"Enter Letter"," ")</f>
        <v> </v>
      </c>
      <c r="H204" s="338" t="str">
        <f aca="false">IF((G204&lt;&gt;0),IF((D204&gt;0)," ",G204)," ")</f>
        <v> </v>
      </c>
      <c r="I204" s="367" t="str">
        <f aca="false">IF((G204&lt;&gt;0),IF((D204&gt;0)," ",(I$1-A204))," ")</f>
        <v> </v>
      </c>
      <c r="J204" s="334" t="str">
        <f aca="false">IF((E204="s"),G204," ")</f>
        <v> </v>
      </c>
      <c r="K204" s="334" t="str">
        <f aca="false">IF((E204="d"),G204," ")</f>
        <v> </v>
      </c>
      <c r="L204" s="334" t="str">
        <f aca="false">IF((E204="e"),G204," ")</f>
        <v> </v>
      </c>
      <c r="M204" s="334" t="str">
        <f aca="false">IF((E204="p"),G204," ")</f>
        <v> </v>
      </c>
      <c r="N204" s="334" t="str">
        <f aca="false">IF((E204="r"),G204," ")</f>
        <v> </v>
      </c>
      <c r="O204" s="334" t="str">
        <f aca="false">IF((E204="g"),G204," ")</f>
        <v> </v>
      </c>
      <c r="P204" s="334" t="str">
        <f aca="false">IF((E204="m"),G204," ")</f>
        <v> </v>
      </c>
      <c r="Q204" s="334" t="str">
        <f aca="false">IF((E204="t"),G204," ")</f>
        <v> </v>
      </c>
      <c r="R204" s="334" t="str">
        <f aca="false">IF((E204="a"),G204," ")</f>
        <v> </v>
      </c>
      <c r="S204" s="334" t="str">
        <f aca="false">IF((E204="l"),G204," ")</f>
        <v> </v>
      </c>
      <c r="T204" s="334" t="str">
        <f aca="false">IF((E204="b"),G204," ")</f>
        <v> </v>
      </c>
      <c r="U204" s="334" t="str">
        <f aca="false">IF((E204="i"),G204," ")</f>
        <v> </v>
      </c>
      <c r="V204" s="334" t="str">
        <f aca="false">IF((E204="o"),G204," ")</f>
        <v> </v>
      </c>
      <c r="W204" s="334" t="str">
        <f aca="false">IF((E204="f"),G204," ")</f>
        <v> </v>
      </c>
    </row>
    <row r="205" customFormat="false" ht="12.75" hidden="false" customHeight="false" outlineLevel="0" collapsed="false">
      <c r="A205" s="355"/>
      <c r="E205" s="365" t="str">
        <f aca="false">IF((G205&lt;&gt;0),"Enter Letter"," ")</f>
        <v> </v>
      </c>
      <c r="J205" s="334" t="str">
        <f aca="false">IF((E205="s"),G205," ")</f>
        <v> </v>
      </c>
      <c r="K205" s="334" t="str">
        <f aca="false">IF((E205="d"),G205," ")</f>
        <v> </v>
      </c>
      <c r="L205" s="334" t="str">
        <f aca="false">IF((E205="e"),G205," ")</f>
        <v> </v>
      </c>
      <c r="M205" s="334" t="str">
        <f aca="false">IF((E205="p"),G205," ")</f>
        <v> </v>
      </c>
      <c r="N205" s="334" t="str">
        <f aca="false">IF((E205="r"),G205," ")</f>
        <v> </v>
      </c>
      <c r="O205" s="334" t="str">
        <f aca="false">IF((E205="g"),G205," ")</f>
        <v> </v>
      </c>
      <c r="P205" s="334" t="str">
        <f aca="false">IF((E205="m"),G205," ")</f>
        <v> </v>
      </c>
      <c r="Q205" s="334" t="str">
        <f aca="false">IF((E205="t"),G205," ")</f>
        <v> </v>
      </c>
      <c r="R205" s="334" t="str">
        <f aca="false">IF((E205="a"),G205," ")</f>
        <v> </v>
      </c>
      <c r="S205" s="334" t="str">
        <f aca="false">IF((E205="l"),G205," ")</f>
        <v> </v>
      </c>
      <c r="T205" s="334" t="str">
        <f aca="false">IF((E205="b"),G205," ")</f>
        <v> </v>
      </c>
      <c r="U205" s="334" t="str">
        <f aca="false">IF((E205="i"),G205," ")</f>
        <v> </v>
      </c>
      <c r="V205" s="334" t="str">
        <f aca="false">IF((E205="o"),G205," ")</f>
        <v> </v>
      </c>
      <c r="W205" s="334" t="str">
        <f aca="false">IF((E205="f"),G205," ")</f>
        <v> </v>
      </c>
    </row>
    <row r="206" customFormat="false" ht="12.75" hidden="false" customHeight="false" outlineLevel="0" collapsed="false">
      <c r="A206" s="355"/>
      <c r="E206" s="365" t="str">
        <f aca="false">IF((G206&lt;&gt;0),"Enter Letter"," ")</f>
        <v> </v>
      </c>
      <c r="J206" s="334" t="str">
        <f aca="false">IF((E206="s"),G206," ")</f>
        <v> </v>
      </c>
      <c r="K206" s="334" t="str">
        <f aca="false">IF((E206="d"),G206," ")</f>
        <v> </v>
      </c>
      <c r="L206" s="334" t="str">
        <f aca="false">IF((E206="e"),G206," ")</f>
        <v> </v>
      </c>
      <c r="M206" s="334" t="str">
        <f aca="false">IF((E206="p"),G206," ")</f>
        <v> </v>
      </c>
      <c r="N206" s="334" t="str">
        <f aca="false">IF((E206="r"),G206," ")</f>
        <v> </v>
      </c>
      <c r="O206" s="334" t="str">
        <f aca="false">IF((E206="g"),G206," ")</f>
        <v> </v>
      </c>
      <c r="P206" s="334" t="str">
        <f aca="false">IF((E206="m"),G206," ")</f>
        <v> </v>
      </c>
      <c r="Q206" s="334" t="str">
        <f aca="false">IF((E206="t"),G206," ")</f>
        <v> </v>
      </c>
      <c r="R206" s="334" t="str">
        <f aca="false">IF((E206="a"),G206," ")</f>
        <v> </v>
      </c>
      <c r="S206" s="334" t="str">
        <f aca="false">IF((E206="l"),G206," ")</f>
        <v> </v>
      </c>
      <c r="T206" s="334" t="str">
        <f aca="false">IF((E206="b"),G206," ")</f>
        <v> </v>
      </c>
      <c r="U206" s="334" t="str">
        <f aca="false">IF((E206="i"),G206," ")</f>
        <v> </v>
      </c>
      <c r="V206" s="334" t="str">
        <f aca="false">IF((E206="o"),G206," ")</f>
        <v> </v>
      </c>
      <c r="W206" s="334" t="str">
        <f aca="false">IF((E206="f"),G206," ")</f>
        <v> </v>
      </c>
    </row>
    <row r="207" customFormat="false" ht="12.75" hidden="false" customHeight="false" outlineLevel="0" collapsed="false">
      <c r="A207" s="355"/>
      <c r="E207" s="365" t="str">
        <f aca="false">IF((G207&lt;&gt;0),"Enter Letter"," ")</f>
        <v> </v>
      </c>
      <c r="J207" s="334" t="str">
        <f aca="false">IF((E207="s"),G207," ")</f>
        <v> </v>
      </c>
      <c r="K207" s="334" t="str">
        <f aca="false">IF((E207="d"),G207," ")</f>
        <v> </v>
      </c>
      <c r="L207" s="334" t="str">
        <f aca="false">IF((E207="e"),G207," ")</f>
        <v> </v>
      </c>
      <c r="M207" s="334" t="str">
        <f aca="false">IF((E207="p"),G207," ")</f>
        <v> </v>
      </c>
      <c r="N207" s="334" t="str">
        <f aca="false">IF((E207="r"),G207," ")</f>
        <v> </v>
      </c>
      <c r="O207" s="334" t="str">
        <f aca="false">IF((E207="g"),G207," ")</f>
        <v> </v>
      </c>
      <c r="P207" s="334" t="str">
        <f aca="false">IF((E207="m"),G207," ")</f>
        <v> </v>
      </c>
      <c r="Q207" s="334" t="str">
        <f aca="false">IF((E207="t"),G207," ")</f>
        <v> </v>
      </c>
      <c r="R207" s="334" t="str">
        <f aca="false">IF((E207="a"),G207," ")</f>
        <v> </v>
      </c>
      <c r="S207" s="334" t="str">
        <f aca="false">IF((E207="l"),G207," ")</f>
        <v> </v>
      </c>
      <c r="T207" s="334" t="str">
        <f aca="false">IF((E207="b"),G207," ")</f>
        <v> </v>
      </c>
      <c r="U207" s="334" t="str">
        <f aca="false">IF((E207="i"),G207," ")</f>
        <v> </v>
      </c>
      <c r="V207" s="334" t="str">
        <f aca="false">IF((E207="o"),G207," ")</f>
        <v> </v>
      </c>
      <c r="W207" s="334" t="str">
        <f aca="false">IF((E207="f"),G207," ")</f>
        <v> </v>
      </c>
    </row>
    <row r="208" customFormat="false" ht="12.75" hidden="false" customHeight="false" outlineLevel="0" collapsed="false">
      <c r="A208" s="355"/>
      <c r="E208" s="365" t="str">
        <f aca="false">IF((G208&lt;&gt;0),"Enter Letter"," ")</f>
        <v> </v>
      </c>
      <c r="J208" s="334" t="str">
        <f aca="false">IF((E208="s"),G208," ")</f>
        <v> </v>
      </c>
      <c r="K208" s="334" t="str">
        <f aca="false">IF((E208="d"),G208," ")</f>
        <v> </v>
      </c>
      <c r="L208" s="334" t="str">
        <f aca="false">IF((E208="e"),G208," ")</f>
        <v> </v>
      </c>
      <c r="M208" s="334" t="str">
        <f aca="false">IF((E208="p"),G208," ")</f>
        <v> </v>
      </c>
      <c r="N208" s="334" t="str">
        <f aca="false">IF((E208="r"),G208," ")</f>
        <v> </v>
      </c>
      <c r="O208" s="334" t="str">
        <f aca="false">IF((E208="g"),G208," ")</f>
        <v> </v>
      </c>
      <c r="P208" s="334" t="str">
        <f aca="false">IF((E208="m"),G208," ")</f>
        <v> </v>
      </c>
      <c r="Q208" s="334" t="str">
        <f aca="false">IF((E208="t"),G208," ")</f>
        <v> </v>
      </c>
      <c r="R208" s="334" t="str">
        <f aca="false">IF((E208="a"),G208," ")</f>
        <v> </v>
      </c>
      <c r="S208" s="334" t="str">
        <f aca="false">IF((E208="l"),G208," ")</f>
        <v> </v>
      </c>
      <c r="T208" s="334" t="str">
        <f aca="false">IF((E208="b"),G208," ")</f>
        <v> </v>
      </c>
      <c r="U208" s="334" t="str">
        <f aca="false">IF((E208="i"),G208," ")</f>
        <v> </v>
      </c>
      <c r="V208" s="334" t="str">
        <f aca="false">IF((E208="o"),G208," ")</f>
        <v> </v>
      </c>
      <c r="W208" s="334" t="str">
        <f aca="false">IF((E208="f"),G208," ")</f>
        <v> </v>
      </c>
    </row>
    <row r="209" customFormat="false" ht="12.75" hidden="false" customHeight="false" outlineLevel="0" collapsed="false">
      <c r="A209" s="355"/>
      <c r="E209" s="365" t="str">
        <f aca="false">IF((G209&lt;&gt;0),"Enter Letter"," ")</f>
        <v> </v>
      </c>
      <c r="J209" s="334" t="str">
        <f aca="false">IF((E209="s"),G209," ")</f>
        <v> </v>
      </c>
      <c r="K209" s="334" t="str">
        <f aca="false">IF((E209="d"),G209," ")</f>
        <v> </v>
      </c>
      <c r="L209" s="334" t="str">
        <f aca="false">IF((E209="e"),G209," ")</f>
        <v> </v>
      </c>
      <c r="M209" s="334" t="str">
        <f aca="false">IF((E209="p"),G209," ")</f>
        <v> </v>
      </c>
      <c r="N209" s="334" t="str">
        <f aca="false">IF((E209="r"),G209," ")</f>
        <v> </v>
      </c>
      <c r="O209" s="334" t="str">
        <f aca="false">IF((E209="g"),G209," ")</f>
        <v> </v>
      </c>
      <c r="P209" s="334" t="str">
        <f aca="false">IF((E209="m"),G209," ")</f>
        <v> </v>
      </c>
      <c r="Q209" s="334" t="str">
        <f aca="false">IF((E209="t"),G209," ")</f>
        <v> </v>
      </c>
      <c r="R209" s="334" t="str">
        <f aca="false">IF((E209="a"),G209," ")</f>
        <v> </v>
      </c>
      <c r="S209" s="334" t="str">
        <f aca="false">IF((E209="l"),G209," ")</f>
        <v> </v>
      </c>
      <c r="T209" s="334" t="str">
        <f aca="false">IF((E209="b"),G209," ")</f>
        <v> </v>
      </c>
      <c r="U209" s="334" t="str">
        <f aca="false">IF((E209="i"),G209," ")</f>
        <v> </v>
      </c>
      <c r="V209" s="334" t="str">
        <f aca="false">IF((E209="o"),G209," ")</f>
        <v> </v>
      </c>
      <c r="W209" s="334" t="str">
        <f aca="false">IF((E209="f"),G209," ")</f>
        <v> </v>
      </c>
    </row>
    <row r="210" customFormat="false" ht="12.75" hidden="false" customHeight="false" outlineLevel="0" collapsed="false">
      <c r="A210" s="355"/>
      <c r="E210" s="365" t="str">
        <f aca="false">IF((G210&lt;&gt;0),"Enter Letter"," ")</f>
        <v> </v>
      </c>
      <c r="J210" s="334" t="str">
        <f aca="false">IF((E210="s"),G210," ")</f>
        <v> </v>
      </c>
      <c r="K210" s="334" t="str">
        <f aca="false">IF((E210="d"),G210," ")</f>
        <v> </v>
      </c>
      <c r="L210" s="334" t="str">
        <f aca="false">IF((E210="e"),G210," ")</f>
        <v> </v>
      </c>
      <c r="M210" s="334" t="str">
        <f aca="false">IF((E210="p"),G210," ")</f>
        <v> </v>
      </c>
      <c r="N210" s="334" t="str">
        <f aca="false">IF((E210="r"),G210," ")</f>
        <v> </v>
      </c>
      <c r="O210" s="334" t="str">
        <f aca="false">IF((E210="g"),G210," ")</f>
        <v> </v>
      </c>
      <c r="P210" s="334" t="str">
        <f aca="false">IF((E210="m"),G210," ")</f>
        <v> </v>
      </c>
      <c r="Q210" s="334" t="str">
        <f aca="false">IF((E210="t"),G210," ")</f>
        <v> </v>
      </c>
      <c r="R210" s="334" t="str">
        <f aca="false">IF((E210="a"),G210," ")</f>
        <v> </v>
      </c>
      <c r="S210" s="334" t="str">
        <f aca="false">IF((E210="l"),G210," ")</f>
        <v> </v>
      </c>
      <c r="T210" s="334" t="str">
        <f aca="false">IF((E210="b"),G210," ")</f>
        <v> </v>
      </c>
      <c r="U210" s="334" t="str">
        <f aca="false">IF((E210="i"),G210," ")</f>
        <v> </v>
      </c>
      <c r="V210" s="334" t="str">
        <f aca="false">IF((E210="o"),G210," ")</f>
        <v> </v>
      </c>
      <c r="W210" s="334" t="str">
        <f aca="false">IF((E210="f"),G210," ")</f>
        <v> </v>
      </c>
    </row>
    <row r="211" customFormat="false" ht="12.75" hidden="false" customHeight="false" outlineLevel="0" collapsed="false">
      <c r="A211" s="355"/>
      <c r="E211" s="365" t="str">
        <f aca="false">IF((G211&lt;&gt;0),"Enter Letter"," ")</f>
        <v> </v>
      </c>
      <c r="J211" s="334" t="str">
        <f aca="false">IF((E211="s"),G211," ")</f>
        <v> </v>
      </c>
      <c r="K211" s="334" t="str">
        <f aca="false">IF((E211="d"),G211," ")</f>
        <v> </v>
      </c>
      <c r="L211" s="334" t="str">
        <f aca="false">IF((E211="e"),G211," ")</f>
        <v> </v>
      </c>
      <c r="M211" s="334" t="str">
        <f aca="false">IF((E211="p"),G211," ")</f>
        <v> </v>
      </c>
      <c r="N211" s="334" t="str">
        <f aca="false">IF((E211="r"),G211," ")</f>
        <v> </v>
      </c>
      <c r="O211" s="334" t="str">
        <f aca="false">IF((E211="g"),G211," ")</f>
        <v> </v>
      </c>
      <c r="P211" s="334" t="str">
        <f aca="false">IF((E211="m"),G211," ")</f>
        <v> </v>
      </c>
      <c r="Q211" s="334" t="str">
        <f aca="false">IF((E211="t"),G211," ")</f>
        <v> </v>
      </c>
      <c r="R211" s="334" t="str">
        <f aca="false">IF((E211="a"),G211," ")</f>
        <v> </v>
      </c>
      <c r="S211" s="334" t="str">
        <f aca="false">IF((E211="l"),G211," ")</f>
        <v> </v>
      </c>
      <c r="T211" s="334" t="str">
        <f aca="false">IF((E211="b"),G211," ")</f>
        <v> </v>
      </c>
      <c r="U211" s="334" t="str">
        <f aca="false">IF((E211="i"),G211," ")</f>
        <v> </v>
      </c>
      <c r="V211" s="334" t="str">
        <f aca="false">IF((E211="o"),G211," ")</f>
        <v> </v>
      </c>
      <c r="W211" s="334" t="str">
        <f aca="false">IF((E211="f"),G211," ")</f>
        <v> </v>
      </c>
    </row>
    <row r="212" customFormat="false" ht="12.75" hidden="false" customHeight="false" outlineLevel="0" collapsed="false">
      <c r="A212" s="355"/>
      <c r="E212" s="365" t="str">
        <f aca="false">IF((G212&lt;&gt;0),"Enter Letter"," ")</f>
        <v> </v>
      </c>
      <c r="J212" s="334" t="str">
        <f aca="false">IF((E212="s"),G212," ")</f>
        <v> </v>
      </c>
      <c r="K212" s="334" t="str">
        <f aca="false">IF((E212="d"),G212," ")</f>
        <v> </v>
      </c>
      <c r="L212" s="334" t="str">
        <f aca="false">IF((E212="e"),G212," ")</f>
        <v> </v>
      </c>
      <c r="M212" s="334" t="str">
        <f aca="false">IF((E212="p"),G212," ")</f>
        <v> </v>
      </c>
      <c r="N212" s="334" t="str">
        <f aca="false">IF((E212="r"),G212," ")</f>
        <v> </v>
      </c>
      <c r="O212" s="334" t="str">
        <f aca="false">IF((E212="g"),G212," ")</f>
        <v> </v>
      </c>
      <c r="P212" s="334" t="str">
        <f aca="false">IF((E212="m"),G212," ")</f>
        <v> </v>
      </c>
      <c r="Q212" s="334" t="str">
        <f aca="false">IF((E212="t"),G212," ")</f>
        <v> </v>
      </c>
      <c r="R212" s="334" t="str">
        <f aca="false">IF((E212="a"),G212," ")</f>
        <v> </v>
      </c>
      <c r="S212" s="334" t="str">
        <f aca="false">IF((E212="l"),G212," ")</f>
        <v> </v>
      </c>
      <c r="T212" s="334" t="str">
        <f aca="false">IF((E212="b"),G212," ")</f>
        <v> </v>
      </c>
      <c r="U212" s="334" t="str">
        <f aca="false">IF((E212="i"),G212," ")</f>
        <v> </v>
      </c>
      <c r="V212" s="334" t="str">
        <f aca="false">IF((E212="o"),G212," ")</f>
        <v> </v>
      </c>
      <c r="W212" s="334" t="str">
        <f aca="false">IF((E212="f"),G212," ")</f>
        <v> </v>
      </c>
    </row>
    <row r="213" customFormat="false" ht="12.75" hidden="false" customHeight="false" outlineLevel="0" collapsed="false">
      <c r="A213" s="355"/>
      <c r="E213" s="365" t="str">
        <f aca="false">IF((G213&lt;&gt;0),"Enter Letter"," ")</f>
        <v> </v>
      </c>
      <c r="J213" s="334" t="str">
        <f aca="false">IF((E213="s"),G213," ")</f>
        <v> </v>
      </c>
      <c r="K213" s="334" t="str">
        <f aca="false">IF((E213="d"),G213," ")</f>
        <v> </v>
      </c>
      <c r="L213" s="334" t="str">
        <f aca="false">IF((E213="e"),G213," ")</f>
        <v> </v>
      </c>
      <c r="M213" s="334" t="str">
        <f aca="false">IF((E213="p"),G213," ")</f>
        <v> </v>
      </c>
      <c r="N213" s="334" t="str">
        <f aca="false">IF((E213="r"),G213," ")</f>
        <v> </v>
      </c>
      <c r="O213" s="334" t="str">
        <f aca="false">IF((E213="g"),G213," ")</f>
        <v> </v>
      </c>
      <c r="P213" s="334" t="str">
        <f aca="false">IF((E213="m"),G213," ")</f>
        <v> </v>
      </c>
      <c r="Q213" s="334" t="str">
        <f aca="false">IF((E213="t"),G213," ")</f>
        <v> </v>
      </c>
      <c r="R213" s="334" t="str">
        <f aca="false">IF((E213="a"),G213," ")</f>
        <v> </v>
      </c>
      <c r="S213" s="334" t="str">
        <f aca="false">IF((E213="l"),G213," ")</f>
        <v> </v>
      </c>
      <c r="T213" s="334" t="str">
        <f aca="false">IF((E213="b"),G213," ")</f>
        <v> </v>
      </c>
      <c r="U213" s="334" t="str">
        <f aca="false">IF((E213="i"),G213," ")</f>
        <v> </v>
      </c>
      <c r="V213" s="334" t="str">
        <f aca="false">IF((E213="o"),G213," ")</f>
        <v> </v>
      </c>
      <c r="W213" s="334" t="str">
        <f aca="false">IF((E213="f"),G213," ")</f>
        <v> </v>
      </c>
    </row>
    <row r="214" customFormat="false" ht="12.75" hidden="false" customHeight="false" outlineLevel="0" collapsed="false">
      <c r="A214" s="355"/>
      <c r="E214" s="365" t="str">
        <f aca="false">IF((G214&lt;&gt;0),"Enter Letter"," ")</f>
        <v> </v>
      </c>
      <c r="J214" s="334" t="str">
        <f aca="false">IF((E214="s"),G214," ")</f>
        <v> </v>
      </c>
      <c r="K214" s="334" t="str">
        <f aca="false">IF((E214="d"),G214," ")</f>
        <v> </v>
      </c>
      <c r="L214" s="334" t="str">
        <f aca="false">IF((E214="e"),G214," ")</f>
        <v> </v>
      </c>
      <c r="M214" s="334" t="str">
        <f aca="false">IF((E214="p"),G214," ")</f>
        <v> </v>
      </c>
      <c r="N214" s="334" t="str">
        <f aca="false">IF((E214="r"),G214," ")</f>
        <v> </v>
      </c>
      <c r="O214" s="334" t="str">
        <f aca="false">IF((E214="g"),G214," ")</f>
        <v> </v>
      </c>
      <c r="P214" s="334" t="str">
        <f aca="false">IF((E214="m"),G214," ")</f>
        <v> </v>
      </c>
      <c r="Q214" s="334" t="str">
        <f aca="false">IF((E214="t"),G214," ")</f>
        <v> </v>
      </c>
      <c r="R214" s="334" t="str">
        <f aca="false">IF((E214="a"),G214," ")</f>
        <v> </v>
      </c>
      <c r="S214" s="334" t="str">
        <f aca="false">IF((E214="l"),G214," ")</f>
        <v> </v>
      </c>
      <c r="T214" s="334" t="str">
        <f aca="false">IF((E214="b"),G214," ")</f>
        <v> </v>
      </c>
      <c r="U214" s="334" t="str">
        <f aca="false">IF((E214="i"),G214," ")</f>
        <v> </v>
      </c>
      <c r="V214" s="334" t="str">
        <f aca="false">IF((E214="o"),G214," ")</f>
        <v> </v>
      </c>
      <c r="W214" s="334" t="str">
        <f aca="false">IF((E214="f"),G214," ")</f>
        <v> </v>
      </c>
    </row>
    <row r="215" customFormat="false" ht="12.75" hidden="false" customHeight="false" outlineLevel="0" collapsed="false">
      <c r="A215" s="355"/>
      <c r="E215" s="365" t="str">
        <f aca="false">IF((G215&lt;&gt;0),"Enter Letter"," ")</f>
        <v> </v>
      </c>
      <c r="J215" s="334" t="str">
        <f aca="false">IF((E215="s"),G215," ")</f>
        <v> </v>
      </c>
      <c r="K215" s="334" t="str">
        <f aca="false">IF((E215="d"),G215," ")</f>
        <v> </v>
      </c>
      <c r="L215" s="334" t="str">
        <f aca="false">IF((E215="e"),G215," ")</f>
        <v> </v>
      </c>
      <c r="M215" s="334" t="str">
        <f aca="false">IF((E215="p"),G215," ")</f>
        <v> </v>
      </c>
      <c r="N215" s="334" t="str">
        <f aca="false">IF((E215="r"),G215," ")</f>
        <v> </v>
      </c>
      <c r="O215" s="334" t="str">
        <f aca="false">IF((E215="g"),G215," ")</f>
        <v> </v>
      </c>
      <c r="P215" s="334" t="str">
        <f aca="false">IF((E215="m"),G215," ")</f>
        <v> </v>
      </c>
      <c r="Q215" s="334" t="str">
        <f aca="false">IF((E215="t"),G215," ")</f>
        <v> </v>
      </c>
      <c r="R215" s="334" t="str">
        <f aca="false">IF((E215="a"),G215," ")</f>
        <v> </v>
      </c>
      <c r="S215" s="334" t="str">
        <f aca="false">IF((E215="l"),G215," ")</f>
        <v> </v>
      </c>
      <c r="T215" s="334" t="str">
        <f aca="false">IF((E215="b"),G215," ")</f>
        <v> </v>
      </c>
      <c r="U215" s="334" t="str">
        <f aca="false">IF((E215="i"),G215," ")</f>
        <v> </v>
      </c>
      <c r="V215" s="334" t="str">
        <f aca="false">IF((E215="o"),G215," ")</f>
        <v> </v>
      </c>
      <c r="W215" s="334" t="str">
        <f aca="false">IF((E215="f"),G215," ")</f>
        <v> </v>
      </c>
    </row>
    <row r="216" customFormat="false" ht="12.75" hidden="false" customHeight="false" outlineLevel="0" collapsed="false">
      <c r="A216" s="355"/>
      <c r="E216" s="365" t="str">
        <f aca="false">IF((G216&lt;&gt;0),"Enter Letter"," ")</f>
        <v> </v>
      </c>
      <c r="J216" s="334" t="str">
        <f aca="false">IF((E216="s"),G216," ")</f>
        <v> </v>
      </c>
      <c r="K216" s="334" t="str">
        <f aca="false">IF((E216="d"),G216," ")</f>
        <v> </v>
      </c>
      <c r="L216" s="334" t="str">
        <f aca="false">IF((E216="e"),G216," ")</f>
        <v> </v>
      </c>
      <c r="M216" s="334" t="str">
        <f aca="false">IF((E216="p"),G216," ")</f>
        <v> </v>
      </c>
      <c r="N216" s="334" t="str">
        <f aca="false">IF((E216="r"),G216," ")</f>
        <v> </v>
      </c>
      <c r="O216" s="334" t="str">
        <f aca="false">IF((E216="g"),G216," ")</f>
        <v> </v>
      </c>
      <c r="P216" s="334" t="str">
        <f aca="false">IF((E216="m"),G216," ")</f>
        <v> </v>
      </c>
      <c r="Q216" s="334" t="str">
        <f aca="false">IF((E216="t"),G216," ")</f>
        <v> </v>
      </c>
      <c r="R216" s="334" t="str">
        <f aca="false">IF((E216="a"),G216," ")</f>
        <v> </v>
      </c>
      <c r="S216" s="334" t="str">
        <f aca="false">IF((E216="l"),G216," ")</f>
        <v> </v>
      </c>
      <c r="T216" s="334" t="str">
        <f aca="false">IF((E216="b"),G216," ")</f>
        <v> </v>
      </c>
      <c r="U216" s="334" t="str">
        <f aca="false">IF((E216="i"),G216," ")</f>
        <v> </v>
      </c>
      <c r="V216" s="334" t="str">
        <f aca="false">IF((E216="o"),G216," ")</f>
        <v> </v>
      </c>
      <c r="W216" s="334" t="str">
        <f aca="false">IF((E216="f"),G216," ")</f>
        <v> </v>
      </c>
    </row>
    <row r="217" customFormat="false" ht="12.75" hidden="false" customHeight="false" outlineLevel="0" collapsed="false">
      <c r="A217" s="355"/>
      <c r="E217" s="365" t="str">
        <f aca="false">IF((G217&lt;&gt;0),"Enter Letter"," ")</f>
        <v> </v>
      </c>
      <c r="J217" s="334" t="str">
        <f aca="false">IF((E217="s"),G217," ")</f>
        <v> </v>
      </c>
      <c r="K217" s="334" t="str">
        <f aca="false">IF((E217="d"),G217," ")</f>
        <v> </v>
      </c>
      <c r="L217" s="334" t="str">
        <f aca="false">IF((E217="e"),G217," ")</f>
        <v> </v>
      </c>
      <c r="M217" s="334" t="str">
        <f aca="false">IF((E217="p"),G217," ")</f>
        <v> </v>
      </c>
      <c r="N217" s="334" t="str">
        <f aca="false">IF((E217="r"),G217," ")</f>
        <v> </v>
      </c>
      <c r="O217" s="334" t="str">
        <f aca="false">IF((E217="g"),G217," ")</f>
        <v> </v>
      </c>
      <c r="P217" s="334" t="str">
        <f aca="false">IF((E217="m"),G217," ")</f>
        <v> </v>
      </c>
      <c r="Q217" s="334" t="str">
        <f aca="false">IF((E217="t"),G217," ")</f>
        <v> </v>
      </c>
      <c r="R217" s="334" t="str">
        <f aca="false">IF((E217="a"),G217," ")</f>
        <v> </v>
      </c>
      <c r="S217" s="334" t="str">
        <f aca="false">IF((E217="l"),G217," ")</f>
        <v> </v>
      </c>
      <c r="T217" s="334" t="str">
        <f aca="false">IF((E217="b"),G217," ")</f>
        <v> </v>
      </c>
      <c r="U217" s="334" t="str">
        <f aca="false">IF((E217="i"),G217," ")</f>
        <v> </v>
      </c>
      <c r="V217" s="334" t="str">
        <f aca="false">IF((E217="o"),G217," ")</f>
        <v> </v>
      </c>
      <c r="W217" s="334" t="str">
        <f aca="false">IF((E217="f"),G217," ")</f>
        <v> </v>
      </c>
    </row>
    <row r="218" customFormat="false" ht="12.75" hidden="false" customHeight="false" outlineLevel="0" collapsed="false">
      <c r="A218" s="355"/>
      <c r="E218" s="365" t="str">
        <f aca="false">IF((G218&lt;&gt;0),"Enter Letter"," ")</f>
        <v> </v>
      </c>
      <c r="J218" s="334" t="str">
        <f aca="false">IF((E218="s"),G218," ")</f>
        <v> </v>
      </c>
      <c r="K218" s="334" t="str">
        <f aca="false">IF((E218="d"),G218," ")</f>
        <v> </v>
      </c>
      <c r="L218" s="334" t="str">
        <f aca="false">IF((E218="e"),G218," ")</f>
        <v> </v>
      </c>
      <c r="M218" s="334" t="str">
        <f aca="false">IF((E218="p"),G218," ")</f>
        <v> </v>
      </c>
      <c r="N218" s="334" t="str">
        <f aca="false">IF((E218="r"),G218," ")</f>
        <v> </v>
      </c>
      <c r="O218" s="334" t="str">
        <f aca="false">IF((E218="g"),G218," ")</f>
        <v> </v>
      </c>
      <c r="P218" s="334" t="str">
        <f aca="false">IF((E218="m"),G218," ")</f>
        <v> </v>
      </c>
      <c r="Q218" s="334" t="str">
        <f aca="false">IF((E218="t"),G218," ")</f>
        <v> </v>
      </c>
      <c r="R218" s="334" t="str">
        <f aca="false">IF((E218="a"),G218," ")</f>
        <v> </v>
      </c>
      <c r="S218" s="334" t="str">
        <f aca="false">IF((E218="l"),G218," ")</f>
        <v> </v>
      </c>
      <c r="T218" s="334" t="str">
        <f aca="false">IF((E218="b"),G218," ")</f>
        <v> </v>
      </c>
      <c r="U218" s="334" t="str">
        <f aca="false">IF((E218="i"),G218," ")</f>
        <v> </v>
      </c>
      <c r="V218" s="334" t="str">
        <f aca="false">IF((E218="o"),G218," ")</f>
        <v> </v>
      </c>
      <c r="W218" s="334" t="str">
        <f aca="false">IF((E218="f"),G218," ")</f>
        <v> </v>
      </c>
    </row>
    <row r="219" customFormat="false" ht="12.75" hidden="false" customHeight="false" outlineLevel="0" collapsed="false">
      <c r="A219" s="355"/>
      <c r="E219" s="365" t="str">
        <f aca="false">IF((G219&lt;&gt;0),"Enter Letter"," ")</f>
        <v> </v>
      </c>
      <c r="J219" s="334" t="str">
        <f aca="false">IF((E219="s"),G219," ")</f>
        <v> </v>
      </c>
      <c r="K219" s="334" t="str">
        <f aca="false">IF((E219="d"),G219," ")</f>
        <v> </v>
      </c>
      <c r="L219" s="334" t="str">
        <f aca="false">IF((E219="e"),G219," ")</f>
        <v> </v>
      </c>
      <c r="M219" s="334" t="str">
        <f aca="false">IF((E219="p"),G219," ")</f>
        <v> </v>
      </c>
      <c r="N219" s="334" t="str">
        <f aca="false">IF((E219="r"),G219," ")</f>
        <v> </v>
      </c>
      <c r="O219" s="334" t="str">
        <f aca="false">IF((E219="g"),G219," ")</f>
        <v> </v>
      </c>
      <c r="P219" s="334" t="str">
        <f aca="false">IF((E219="m"),G219," ")</f>
        <v> </v>
      </c>
      <c r="Q219" s="334" t="str">
        <f aca="false">IF((E219="t"),G219," ")</f>
        <v> </v>
      </c>
      <c r="R219" s="334" t="str">
        <f aca="false">IF((E219="a"),G219," ")</f>
        <v> </v>
      </c>
      <c r="S219" s="334" t="str">
        <f aca="false">IF((E219="l"),G219," ")</f>
        <v> </v>
      </c>
      <c r="T219" s="334" t="str">
        <f aca="false">IF((E219="b"),G219," ")</f>
        <v> </v>
      </c>
      <c r="U219" s="334" t="str">
        <f aca="false">IF((E219="i"),G219," ")</f>
        <v> </v>
      </c>
      <c r="V219" s="334" t="str">
        <f aca="false">IF((E219="o"),G219," ")</f>
        <v> </v>
      </c>
      <c r="W219" s="334" t="str">
        <f aca="false">IF((E219="f"),G219," ")</f>
        <v> </v>
      </c>
    </row>
    <row r="220" customFormat="false" ht="12.75" hidden="false" customHeight="false" outlineLevel="0" collapsed="false">
      <c r="A220" s="355"/>
      <c r="E220" s="365" t="str">
        <f aca="false">IF((G220&lt;&gt;0),"Enter Letter"," ")</f>
        <v> </v>
      </c>
      <c r="J220" s="334" t="str">
        <f aca="false">IF((E220="s"),G220," ")</f>
        <v> </v>
      </c>
      <c r="K220" s="334" t="str">
        <f aca="false">IF((E220="d"),G220," ")</f>
        <v> </v>
      </c>
      <c r="L220" s="334" t="str">
        <f aca="false">IF((E220="e"),G220," ")</f>
        <v> </v>
      </c>
      <c r="M220" s="334" t="str">
        <f aca="false">IF((E220="p"),G220," ")</f>
        <v> </v>
      </c>
      <c r="N220" s="334" t="str">
        <f aca="false">IF((E220="r"),G220," ")</f>
        <v> </v>
      </c>
      <c r="O220" s="334" t="str">
        <f aca="false">IF((E220="g"),G220," ")</f>
        <v> </v>
      </c>
      <c r="P220" s="334" t="str">
        <f aca="false">IF((E220="m"),G220," ")</f>
        <v> </v>
      </c>
      <c r="Q220" s="334" t="str">
        <f aca="false">IF((E220="t"),G220," ")</f>
        <v> </v>
      </c>
      <c r="R220" s="334" t="str">
        <f aca="false">IF((E220="a"),G220," ")</f>
        <v> </v>
      </c>
      <c r="S220" s="334" t="str">
        <f aca="false">IF((E220="l"),G220," ")</f>
        <v> </v>
      </c>
      <c r="T220" s="334" t="str">
        <f aca="false">IF((E220="b"),G220," ")</f>
        <v> </v>
      </c>
      <c r="U220" s="334" t="str">
        <f aca="false">IF((E220="i"),G220," ")</f>
        <v> </v>
      </c>
      <c r="V220" s="334" t="str">
        <f aca="false">IF((E220="o"),G220," ")</f>
        <v> </v>
      </c>
      <c r="W220" s="334" t="str">
        <f aca="false">IF((E220="f"),G220," ")</f>
        <v> </v>
      </c>
    </row>
    <row r="221" customFormat="false" ht="12.75" hidden="false" customHeight="false" outlineLevel="0" collapsed="false">
      <c r="A221" s="355"/>
      <c r="E221" s="365" t="str">
        <f aca="false">IF((G221&lt;&gt;0),"Enter Letter"," ")</f>
        <v> </v>
      </c>
      <c r="J221" s="334" t="str">
        <f aca="false">IF((E221="s"),G221," ")</f>
        <v> </v>
      </c>
      <c r="K221" s="334" t="str">
        <f aca="false">IF((E221="d"),G221," ")</f>
        <v> </v>
      </c>
      <c r="L221" s="334" t="str">
        <f aca="false">IF((E221="e"),G221," ")</f>
        <v> </v>
      </c>
      <c r="M221" s="334" t="str">
        <f aca="false">IF((E221="p"),G221," ")</f>
        <v> </v>
      </c>
      <c r="N221" s="334" t="str">
        <f aca="false">IF((E221="r"),G221," ")</f>
        <v> </v>
      </c>
      <c r="O221" s="334" t="str">
        <f aca="false">IF((E221="g"),G221," ")</f>
        <v> </v>
      </c>
      <c r="P221" s="334" t="str">
        <f aca="false">IF((E221="m"),G221," ")</f>
        <v> </v>
      </c>
      <c r="Q221" s="334" t="str">
        <f aca="false">IF((E221="t"),G221," ")</f>
        <v> </v>
      </c>
      <c r="R221" s="334" t="str">
        <f aca="false">IF((E221="a"),G221," ")</f>
        <v> </v>
      </c>
      <c r="S221" s="334" t="str">
        <f aca="false">IF((E221="l"),G221," ")</f>
        <v> </v>
      </c>
      <c r="T221" s="334" t="str">
        <f aca="false">IF((E221="b"),G221," ")</f>
        <v> </v>
      </c>
      <c r="U221" s="334" t="str">
        <f aca="false">IF((E221="i"),G221," ")</f>
        <v> </v>
      </c>
      <c r="V221" s="334" t="str">
        <f aca="false">IF((E221="o"),G221," ")</f>
        <v> </v>
      </c>
      <c r="W221" s="334" t="str">
        <f aca="false">IF((E221="f"),G221," ")</f>
        <v> </v>
      </c>
    </row>
    <row r="222" customFormat="false" ht="12.75" hidden="false" customHeight="false" outlineLevel="0" collapsed="false">
      <c r="A222" s="355"/>
      <c r="E222" s="365" t="str">
        <f aca="false">IF((G222&lt;&gt;0),"Enter Letter"," ")</f>
        <v> </v>
      </c>
      <c r="J222" s="334" t="str">
        <f aca="false">IF((E222="s"),G222," ")</f>
        <v> </v>
      </c>
      <c r="K222" s="334" t="str">
        <f aca="false">IF((E222="d"),G222," ")</f>
        <v> </v>
      </c>
      <c r="L222" s="334" t="str">
        <f aca="false">IF((E222="e"),G222," ")</f>
        <v> </v>
      </c>
      <c r="M222" s="334" t="str">
        <f aca="false">IF((E222="p"),G222," ")</f>
        <v> </v>
      </c>
      <c r="N222" s="334" t="str">
        <f aca="false">IF((E222="r"),G222," ")</f>
        <v> </v>
      </c>
      <c r="O222" s="334" t="str">
        <f aca="false">IF((E222="g"),G222," ")</f>
        <v> </v>
      </c>
      <c r="P222" s="334" t="str">
        <f aca="false">IF((E222="m"),G222," ")</f>
        <v> </v>
      </c>
      <c r="Q222" s="334" t="str">
        <f aca="false">IF((E222="t"),G222," ")</f>
        <v> </v>
      </c>
      <c r="R222" s="334" t="str">
        <f aca="false">IF((E222="a"),G222," ")</f>
        <v> </v>
      </c>
      <c r="S222" s="334" t="str">
        <f aca="false">IF((E222="l"),G222," ")</f>
        <v> </v>
      </c>
      <c r="T222" s="334" t="str">
        <f aca="false">IF((E222="b"),G222," ")</f>
        <v> </v>
      </c>
      <c r="U222" s="334" t="str">
        <f aca="false">IF((E222="i"),G222," ")</f>
        <v> </v>
      </c>
      <c r="V222" s="334" t="str">
        <f aca="false">IF((E222="o"),G222," ")</f>
        <v> </v>
      </c>
      <c r="W222" s="334" t="str">
        <f aca="false">IF((E222="f"),G222," ")</f>
        <v> </v>
      </c>
    </row>
    <row r="223" customFormat="false" ht="12.75" hidden="false" customHeight="false" outlineLevel="0" collapsed="false">
      <c r="A223" s="355"/>
      <c r="E223" s="365" t="str">
        <f aca="false">IF((G223&lt;&gt;0),"Enter Letter"," ")</f>
        <v> </v>
      </c>
      <c r="J223" s="334" t="str">
        <f aca="false">IF((E223="s"),G223," ")</f>
        <v> </v>
      </c>
      <c r="K223" s="334" t="str">
        <f aca="false">IF((E223="d"),G223," ")</f>
        <v> </v>
      </c>
      <c r="L223" s="334" t="str">
        <f aca="false">IF((E223="e"),G223," ")</f>
        <v> </v>
      </c>
      <c r="M223" s="334" t="str">
        <f aca="false">IF((E223="p"),G223," ")</f>
        <v> </v>
      </c>
      <c r="N223" s="334" t="str">
        <f aca="false">IF((E223="r"),G223," ")</f>
        <v> </v>
      </c>
      <c r="O223" s="334" t="str">
        <f aca="false">IF((E223="g"),G223," ")</f>
        <v> </v>
      </c>
      <c r="P223" s="334" t="str">
        <f aca="false">IF((E223="m"),G223," ")</f>
        <v> </v>
      </c>
      <c r="Q223" s="334" t="str">
        <f aca="false">IF((E223="t"),G223," ")</f>
        <v> </v>
      </c>
      <c r="R223" s="334" t="str">
        <f aca="false">IF((E223="a"),G223," ")</f>
        <v> </v>
      </c>
      <c r="S223" s="334" t="str">
        <f aca="false">IF((E223="l"),G223," ")</f>
        <v> </v>
      </c>
      <c r="T223" s="334" t="str">
        <f aca="false">IF((E223="b"),G223," ")</f>
        <v> </v>
      </c>
      <c r="U223" s="334" t="str">
        <f aca="false">IF((E223="i"),G223," ")</f>
        <v> </v>
      </c>
      <c r="V223" s="334" t="str">
        <f aca="false">IF((E223="o"),G223," ")</f>
        <v> </v>
      </c>
      <c r="W223" s="334" t="str">
        <f aca="false">IF((E223="f"),G223," ")</f>
        <v> </v>
      </c>
    </row>
    <row r="224" customFormat="false" ht="12.75" hidden="false" customHeight="false" outlineLevel="0" collapsed="false">
      <c r="A224" s="355"/>
      <c r="E224" s="365" t="str">
        <f aca="false">IF((G224&lt;&gt;0),"Enter Letter"," ")</f>
        <v> </v>
      </c>
      <c r="J224" s="334" t="str">
        <f aca="false">IF((E224="s"),G224," ")</f>
        <v> </v>
      </c>
      <c r="K224" s="334" t="str">
        <f aca="false">IF((E224="d"),G224," ")</f>
        <v> </v>
      </c>
      <c r="L224" s="334" t="str">
        <f aca="false">IF((E224="e"),G224," ")</f>
        <v> </v>
      </c>
      <c r="M224" s="334" t="str">
        <f aca="false">IF((E224="p"),G224," ")</f>
        <v> </v>
      </c>
      <c r="N224" s="334" t="str">
        <f aca="false">IF((E224="r"),G224," ")</f>
        <v> </v>
      </c>
      <c r="O224" s="334" t="str">
        <f aca="false">IF((E224="g"),G224," ")</f>
        <v> </v>
      </c>
      <c r="P224" s="334" t="str">
        <f aca="false">IF((E224="m"),G224," ")</f>
        <v> </v>
      </c>
      <c r="Q224" s="334" t="str">
        <f aca="false">IF((E224="t"),G224," ")</f>
        <v> </v>
      </c>
      <c r="R224" s="334" t="str">
        <f aca="false">IF((E224="a"),G224," ")</f>
        <v> </v>
      </c>
      <c r="S224" s="334" t="str">
        <f aca="false">IF((E224="l"),G224," ")</f>
        <v> </v>
      </c>
      <c r="T224" s="334" t="str">
        <f aca="false">IF((E224="b"),G224," ")</f>
        <v> </v>
      </c>
      <c r="U224" s="334" t="str">
        <f aca="false">IF((E224="i"),G224," ")</f>
        <v> </v>
      </c>
      <c r="V224" s="334" t="str">
        <f aca="false">IF((E224="o"),G224," ")</f>
        <v> </v>
      </c>
      <c r="W224" s="334" t="str">
        <f aca="false">IF((E224="f"),G224," ")</f>
        <v> </v>
      </c>
    </row>
    <row r="225" customFormat="false" ht="12.75" hidden="false" customHeight="false" outlineLevel="0" collapsed="false">
      <c r="A225" s="355"/>
      <c r="E225" s="365" t="str">
        <f aca="false">IF((G225&lt;&gt;0),"Enter Letter"," ")</f>
        <v> </v>
      </c>
      <c r="J225" s="334" t="str">
        <f aca="false">IF((E225="s"),G225," ")</f>
        <v> </v>
      </c>
      <c r="K225" s="334" t="str">
        <f aca="false">IF((E225="d"),G225," ")</f>
        <v> </v>
      </c>
      <c r="L225" s="334" t="str">
        <f aca="false">IF((E225="e"),G225," ")</f>
        <v> </v>
      </c>
      <c r="M225" s="334" t="str">
        <f aca="false">IF((E225="p"),G225," ")</f>
        <v> </v>
      </c>
      <c r="N225" s="334" t="str">
        <f aca="false">IF((E225="r"),G225," ")</f>
        <v> </v>
      </c>
      <c r="O225" s="334" t="str">
        <f aca="false">IF((E225="g"),G225," ")</f>
        <v> </v>
      </c>
      <c r="P225" s="334" t="str">
        <f aca="false">IF((E225="m"),G225," ")</f>
        <v> </v>
      </c>
      <c r="Q225" s="334" t="str">
        <f aca="false">IF((E225="t"),G225," ")</f>
        <v> </v>
      </c>
      <c r="R225" s="334" t="str">
        <f aca="false">IF((E225="a"),G225," ")</f>
        <v> </v>
      </c>
      <c r="S225" s="334" t="str">
        <f aca="false">IF((E225="l"),G225," ")</f>
        <v> </v>
      </c>
      <c r="T225" s="334" t="str">
        <f aca="false">IF((E225="b"),G225," ")</f>
        <v> </v>
      </c>
      <c r="U225" s="334" t="str">
        <f aca="false">IF((E225="i"),G225," ")</f>
        <v> </v>
      </c>
      <c r="V225" s="334" t="str">
        <f aca="false">IF((E225="o"),G225," ")</f>
        <v> </v>
      </c>
      <c r="W225" s="334" t="str">
        <f aca="false">IF((E225="f"),G225," ")</f>
        <v> </v>
      </c>
    </row>
    <row r="226" customFormat="false" ht="12.75" hidden="false" customHeight="false" outlineLevel="0" collapsed="false">
      <c r="A226" s="355"/>
      <c r="E226" s="365" t="str">
        <f aca="false">IF((G226&lt;&gt;0),"Enter Letter"," ")</f>
        <v> </v>
      </c>
      <c r="J226" s="334" t="str">
        <f aca="false">IF((E226="s"),G226," ")</f>
        <v> </v>
      </c>
      <c r="K226" s="334" t="str">
        <f aca="false">IF((E226="d"),G226," ")</f>
        <v> </v>
      </c>
      <c r="L226" s="334" t="str">
        <f aca="false">IF((E226="e"),G226," ")</f>
        <v> </v>
      </c>
      <c r="M226" s="334" t="str">
        <f aca="false">IF((E226="p"),G226," ")</f>
        <v> </v>
      </c>
      <c r="N226" s="334" t="str">
        <f aca="false">IF((E226="r"),G226," ")</f>
        <v> </v>
      </c>
      <c r="O226" s="334" t="str">
        <f aca="false">IF((E226="g"),G226," ")</f>
        <v> </v>
      </c>
      <c r="P226" s="334" t="str">
        <f aca="false">IF((E226="m"),G226," ")</f>
        <v> </v>
      </c>
      <c r="Q226" s="334" t="str">
        <f aca="false">IF((E226="t"),G226," ")</f>
        <v> </v>
      </c>
      <c r="R226" s="334" t="str">
        <f aca="false">IF((E226="a"),G226," ")</f>
        <v> </v>
      </c>
      <c r="S226" s="334" t="str">
        <f aca="false">IF((E226="l"),G226," ")</f>
        <v> </v>
      </c>
      <c r="T226" s="334" t="str">
        <f aca="false">IF((E226="b"),G226," ")</f>
        <v> </v>
      </c>
      <c r="U226" s="334" t="str">
        <f aca="false">IF((E226="i"),G226," ")</f>
        <v> </v>
      </c>
      <c r="V226" s="334" t="str">
        <f aca="false">IF((E226="o"),G226," ")</f>
        <v> </v>
      </c>
      <c r="W226" s="334" t="str">
        <f aca="false">IF((E226="f"),G226," ")</f>
        <v> </v>
      </c>
    </row>
    <row r="227" customFormat="false" ht="12.75" hidden="false" customHeight="false" outlineLevel="0" collapsed="false">
      <c r="A227" s="355"/>
      <c r="E227" s="365" t="str">
        <f aca="false">IF((G227&lt;&gt;0),"Enter Letter"," ")</f>
        <v> </v>
      </c>
      <c r="J227" s="334" t="str">
        <f aca="false">IF((E227="s"),G227," ")</f>
        <v> </v>
      </c>
      <c r="K227" s="334" t="str">
        <f aca="false">IF((E227="d"),G227," ")</f>
        <v> </v>
      </c>
      <c r="L227" s="334" t="str">
        <f aca="false">IF((E227="e"),G227," ")</f>
        <v> </v>
      </c>
      <c r="M227" s="334" t="str">
        <f aca="false">IF((E227="p"),G227," ")</f>
        <v> </v>
      </c>
      <c r="N227" s="334" t="str">
        <f aca="false">IF((E227="r"),G227," ")</f>
        <v> </v>
      </c>
      <c r="O227" s="334" t="str">
        <f aca="false">IF((E227="g"),G227," ")</f>
        <v> </v>
      </c>
      <c r="P227" s="334" t="str">
        <f aca="false">IF((E227="m"),G227," ")</f>
        <v> </v>
      </c>
      <c r="Q227" s="334" t="str">
        <f aca="false">IF((E227="t"),G227," ")</f>
        <v> </v>
      </c>
      <c r="R227" s="334" t="str">
        <f aca="false">IF((E227="a"),G227," ")</f>
        <v> </v>
      </c>
      <c r="S227" s="334" t="str">
        <f aca="false">IF((E227="l"),G227," ")</f>
        <v> </v>
      </c>
      <c r="T227" s="334" t="str">
        <f aca="false">IF((E227="b"),G227," ")</f>
        <v> </v>
      </c>
      <c r="U227" s="334" t="str">
        <f aca="false">IF((E227="i"),G227," ")</f>
        <v> </v>
      </c>
      <c r="V227" s="334" t="str">
        <f aca="false">IF((E227="o"),G227," ")</f>
        <v> </v>
      </c>
      <c r="W227" s="334" t="str">
        <f aca="false">IF((E227="f"),G227," ")</f>
        <v> </v>
      </c>
    </row>
    <row r="228" customFormat="false" ht="12.75" hidden="false" customHeight="false" outlineLevel="0" collapsed="false">
      <c r="A228" s="355"/>
      <c r="E228" s="365" t="str">
        <f aca="false">IF((G228&lt;&gt;0),"Enter Letter"," ")</f>
        <v> </v>
      </c>
      <c r="J228" s="334" t="str">
        <f aca="false">IF((E228="s"),G228," ")</f>
        <v> </v>
      </c>
      <c r="K228" s="334" t="str">
        <f aca="false">IF((E228="d"),G228," ")</f>
        <v> </v>
      </c>
      <c r="L228" s="334" t="str">
        <f aca="false">IF((E228="e"),G228," ")</f>
        <v> </v>
      </c>
      <c r="M228" s="334" t="str">
        <f aca="false">IF((E228="p"),G228," ")</f>
        <v> </v>
      </c>
      <c r="N228" s="334" t="str">
        <f aca="false">IF((E228="r"),G228," ")</f>
        <v> </v>
      </c>
      <c r="O228" s="334" t="str">
        <f aca="false">IF((E228="g"),G228," ")</f>
        <v> </v>
      </c>
      <c r="P228" s="334" t="str">
        <f aca="false">IF((E228="m"),G228," ")</f>
        <v> </v>
      </c>
      <c r="Q228" s="334" t="str">
        <f aca="false">IF((E228="t"),G228," ")</f>
        <v> </v>
      </c>
      <c r="R228" s="334" t="str">
        <f aca="false">IF((E228="a"),G228," ")</f>
        <v> </v>
      </c>
      <c r="S228" s="334" t="str">
        <f aca="false">IF((E228="l"),G228," ")</f>
        <v> </v>
      </c>
      <c r="T228" s="334" t="str">
        <f aca="false">IF((E228="b"),G228," ")</f>
        <v> </v>
      </c>
      <c r="U228" s="334" t="str">
        <f aca="false">IF((E228="i"),G228," ")</f>
        <v> </v>
      </c>
      <c r="V228" s="334" t="str">
        <f aca="false">IF((E228="o"),G228," ")</f>
        <v> </v>
      </c>
      <c r="W228" s="334" t="str">
        <f aca="false">IF((E228="f"),G228," ")</f>
        <v> </v>
      </c>
    </row>
    <row r="229" customFormat="false" ht="12.75" hidden="false" customHeight="false" outlineLevel="0" collapsed="false">
      <c r="A229" s="355"/>
      <c r="E229" s="365" t="str">
        <f aca="false">IF((G229&lt;&gt;0),"Enter Letter"," ")</f>
        <v> </v>
      </c>
      <c r="J229" s="334" t="str">
        <f aca="false">IF((E229="s"),G229," ")</f>
        <v> </v>
      </c>
      <c r="K229" s="334" t="str">
        <f aca="false">IF((E229="d"),G229," ")</f>
        <v> </v>
      </c>
      <c r="L229" s="334" t="str">
        <f aca="false">IF((E229="e"),G229," ")</f>
        <v> </v>
      </c>
      <c r="M229" s="334" t="str">
        <f aca="false">IF((E229="p"),G229," ")</f>
        <v> </v>
      </c>
      <c r="N229" s="334" t="str">
        <f aca="false">IF((E229="r"),G229," ")</f>
        <v> </v>
      </c>
      <c r="O229" s="334" t="str">
        <f aca="false">IF((E229="g"),G229," ")</f>
        <v> </v>
      </c>
      <c r="P229" s="334" t="str">
        <f aca="false">IF((E229="m"),G229," ")</f>
        <v> </v>
      </c>
      <c r="Q229" s="334" t="str">
        <f aca="false">IF((E229="t"),G229," ")</f>
        <v> </v>
      </c>
      <c r="R229" s="334" t="str">
        <f aca="false">IF((E229="a"),G229," ")</f>
        <v> </v>
      </c>
      <c r="S229" s="334" t="str">
        <f aca="false">IF((E229="l"),G229," ")</f>
        <v> </v>
      </c>
      <c r="T229" s="334" t="str">
        <f aca="false">IF((E229="b"),G229," ")</f>
        <v> </v>
      </c>
      <c r="U229" s="334" t="str">
        <f aca="false">IF((E229="i"),G229," ")</f>
        <v> </v>
      </c>
      <c r="V229" s="334" t="str">
        <f aca="false">IF((E229="o"),G229," ")</f>
        <v> </v>
      </c>
      <c r="W229" s="334" t="str">
        <f aca="false">IF((E229="f"),G229," ")</f>
        <v> </v>
      </c>
    </row>
    <row r="230" customFormat="false" ht="12.75" hidden="false" customHeight="false" outlineLevel="0" collapsed="false">
      <c r="A230" s="355"/>
      <c r="E230" s="365" t="str">
        <f aca="false">IF((G230&lt;&gt;0),"Enter Letter"," ")</f>
        <v> </v>
      </c>
      <c r="J230" s="334" t="str">
        <f aca="false">IF((E230="s"),G230," ")</f>
        <v> </v>
      </c>
      <c r="K230" s="334" t="str">
        <f aca="false">IF((E230="d"),G230," ")</f>
        <v> </v>
      </c>
      <c r="L230" s="334" t="str">
        <f aca="false">IF((E230="e"),G230," ")</f>
        <v> </v>
      </c>
      <c r="M230" s="334" t="str">
        <f aca="false">IF((E230="p"),G230," ")</f>
        <v> </v>
      </c>
      <c r="N230" s="334" t="str">
        <f aca="false">IF((E230="r"),G230," ")</f>
        <v> </v>
      </c>
      <c r="O230" s="334" t="str">
        <f aca="false">IF((E230="g"),G230," ")</f>
        <v> </v>
      </c>
      <c r="P230" s="334" t="str">
        <f aca="false">IF((E230="m"),G230," ")</f>
        <v> </v>
      </c>
      <c r="Q230" s="334" t="str">
        <f aca="false">IF((E230="t"),G230," ")</f>
        <v> </v>
      </c>
      <c r="R230" s="334" t="str">
        <f aca="false">IF((E230="a"),G230," ")</f>
        <v> </v>
      </c>
      <c r="S230" s="334" t="str">
        <f aca="false">IF((E230="l"),G230," ")</f>
        <v> </v>
      </c>
      <c r="T230" s="334" t="str">
        <f aca="false">IF((E230="b"),G230," ")</f>
        <v> </v>
      </c>
      <c r="U230" s="334" t="str">
        <f aca="false">IF((E230="i"),G230," ")</f>
        <v> </v>
      </c>
      <c r="V230" s="334" t="str">
        <f aca="false">IF((E230="o"),G230," ")</f>
        <v> </v>
      </c>
      <c r="W230" s="334" t="str">
        <f aca="false">IF((E230="f"),G230," ")</f>
        <v> </v>
      </c>
    </row>
    <row r="231" customFormat="false" ht="12.75" hidden="false" customHeight="false" outlineLevel="0" collapsed="false">
      <c r="A231" s="355"/>
      <c r="E231" s="365" t="str">
        <f aca="false">IF((G231&lt;&gt;0),"Enter Letter"," ")</f>
        <v> </v>
      </c>
      <c r="J231" s="334" t="str">
        <f aca="false">IF((E231="s"),G231," ")</f>
        <v> </v>
      </c>
      <c r="K231" s="334" t="str">
        <f aca="false">IF((E231="d"),G231," ")</f>
        <v> </v>
      </c>
      <c r="L231" s="334" t="str">
        <f aca="false">IF((E231="e"),G231," ")</f>
        <v> </v>
      </c>
      <c r="M231" s="334" t="str">
        <f aca="false">IF((E231="p"),G231," ")</f>
        <v> </v>
      </c>
      <c r="N231" s="334" t="str">
        <f aca="false">IF((E231="r"),G231," ")</f>
        <v> </v>
      </c>
      <c r="O231" s="334" t="str">
        <f aca="false">IF((E231="g"),G231," ")</f>
        <v> </v>
      </c>
      <c r="P231" s="334" t="str">
        <f aca="false">IF((E231="m"),G231," ")</f>
        <v> </v>
      </c>
      <c r="Q231" s="334" t="str">
        <f aca="false">IF((E231="t"),G231," ")</f>
        <v> </v>
      </c>
      <c r="R231" s="334" t="str">
        <f aca="false">IF((E231="a"),G231," ")</f>
        <v> </v>
      </c>
      <c r="S231" s="334" t="str">
        <f aca="false">IF((E231="l"),G231," ")</f>
        <v> </v>
      </c>
      <c r="T231" s="334" t="str">
        <f aca="false">IF((E231="b"),G231," ")</f>
        <v> </v>
      </c>
      <c r="U231" s="334" t="str">
        <f aca="false">IF((E231="i"),G231," ")</f>
        <v> </v>
      </c>
      <c r="V231" s="334" t="str">
        <f aca="false">IF((E231="o"),G231," ")</f>
        <v> </v>
      </c>
      <c r="W231" s="334" t="str">
        <f aca="false">IF((E231="f"),G231," ")</f>
        <v> </v>
      </c>
    </row>
    <row r="232" customFormat="false" ht="12.75" hidden="false" customHeight="false" outlineLevel="0" collapsed="false">
      <c r="A232" s="355"/>
      <c r="E232" s="365" t="str">
        <f aca="false">IF((G232&lt;&gt;0),"Enter Letter"," ")</f>
        <v> </v>
      </c>
      <c r="J232" s="334" t="str">
        <f aca="false">IF((E232="s"),G232," ")</f>
        <v> </v>
      </c>
      <c r="K232" s="334" t="str">
        <f aca="false">IF((E232="d"),G232," ")</f>
        <v> </v>
      </c>
      <c r="L232" s="334" t="str">
        <f aca="false">IF((E232="e"),G232," ")</f>
        <v> </v>
      </c>
      <c r="M232" s="334" t="str">
        <f aca="false">IF((E232="p"),G232," ")</f>
        <v> </v>
      </c>
      <c r="N232" s="334" t="str">
        <f aca="false">IF((E232="r"),G232," ")</f>
        <v> </v>
      </c>
      <c r="O232" s="334" t="str">
        <f aca="false">IF((E232="g"),G232," ")</f>
        <v> </v>
      </c>
      <c r="P232" s="334" t="str">
        <f aca="false">IF((E232="m"),G232," ")</f>
        <v> </v>
      </c>
      <c r="Q232" s="334" t="str">
        <f aca="false">IF((E232="t"),G232," ")</f>
        <v> </v>
      </c>
      <c r="R232" s="334" t="str">
        <f aca="false">IF((E232="a"),G232," ")</f>
        <v> </v>
      </c>
      <c r="S232" s="334" t="str">
        <f aca="false">IF((E232="l"),G232," ")</f>
        <v> </v>
      </c>
      <c r="T232" s="334" t="str">
        <f aca="false">IF((E232="b"),G232," ")</f>
        <v> </v>
      </c>
      <c r="U232" s="334" t="str">
        <f aca="false">IF((E232="i"),G232," ")</f>
        <v> </v>
      </c>
      <c r="V232" s="334" t="str">
        <f aca="false">IF((E232="o"),G232," ")</f>
        <v> </v>
      </c>
      <c r="W232" s="334" t="str">
        <f aca="false">IF((E232="f"),G232," ")</f>
        <v> </v>
      </c>
    </row>
    <row r="233" customFormat="false" ht="12.75" hidden="false" customHeight="false" outlineLevel="0" collapsed="false">
      <c r="A233" s="355"/>
      <c r="E233" s="365" t="str">
        <f aca="false">IF((G233&lt;&gt;0),"Enter Letter"," ")</f>
        <v> </v>
      </c>
      <c r="J233" s="334" t="str">
        <f aca="false">IF((E233="s"),G233," ")</f>
        <v> </v>
      </c>
      <c r="K233" s="334" t="str">
        <f aca="false">IF((E233="d"),G233," ")</f>
        <v> </v>
      </c>
      <c r="L233" s="334" t="str">
        <f aca="false">IF((E233="e"),G233," ")</f>
        <v> </v>
      </c>
      <c r="M233" s="334" t="str">
        <f aca="false">IF((E233="p"),G233," ")</f>
        <v> </v>
      </c>
      <c r="N233" s="334" t="str">
        <f aca="false">IF((E233="r"),G233," ")</f>
        <v> </v>
      </c>
      <c r="O233" s="334" t="str">
        <f aca="false">IF((E233="g"),G233," ")</f>
        <v> </v>
      </c>
      <c r="P233" s="334" t="str">
        <f aca="false">IF((E233="m"),G233," ")</f>
        <v> </v>
      </c>
      <c r="Q233" s="334" t="str">
        <f aca="false">IF((E233="t"),G233," ")</f>
        <v> </v>
      </c>
      <c r="R233" s="334" t="str">
        <f aca="false">IF((E233="a"),G233," ")</f>
        <v> </v>
      </c>
      <c r="S233" s="334" t="str">
        <f aca="false">IF((E233="l"),G233," ")</f>
        <v> </v>
      </c>
      <c r="T233" s="334" t="str">
        <f aca="false">IF((E233="b"),G233," ")</f>
        <v> </v>
      </c>
      <c r="U233" s="334" t="str">
        <f aca="false">IF((E233="i"),G233," ")</f>
        <v> </v>
      </c>
      <c r="V233" s="334" t="str">
        <f aca="false">IF((E233="o"),G233," ")</f>
        <v> </v>
      </c>
      <c r="W233" s="334" t="str">
        <f aca="false">IF((E233="f"),G233," ")</f>
        <v> </v>
      </c>
    </row>
    <row r="234" customFormat="false" ht="12.75" hidden="false" customHeight="false" outlineLevel="0" collapsed="false">
      <c r="A234" s="355"/>
      <c r="E234" s="365" t="str">
        <f aca="false">IF((G234&lt;&gt;0),"Enter Letter"," ")</f>
        <v> </v>
      </c>
      <c r="J234" s="334" t="str">
        <f aca="false">IF((E234="s"),G234," ")</f>
        <v> </v>
      </c>
      <c r="K234" s="334" t="str">
        <f aca="false">IF((E234="d"),G234," ")</f>
        <v> </v>
      </c>
      <c r="L234" s="334" t="str">
        <f aca="false">IF((E234="e"),G234," ")</f>
        <v> </v>
      </c>
      <c r="M234" s="334" t="str">
        <f aca="false">IF((E234="p"),G234," ")</f>
        <v> </v>
      </c>
      <c r="N234" s="334" t="str">
        <f aca="false">IF((E234="r"),G234," ")</f>
        <v> </v>
      </c>
      <c r="O234" s="334" t="str">
        <f aca="false">IF((E234="g"),G234," ")</f>
        <v> </v>
      </c>
      <c r="P234" s="334" t="str">
        <f aca="false">IF((E234="m"),G234," ")</f>
        <v> </v>
      </c>
      <c r="Q234" s="334" t="str">
        <f aca="false">IF((E234="t"),G234," ")</f>
        <v> </v>
      </c>
      <c r="R234" s="334" t="str">
        <f aca="false">IF((E234="a"),G234," ")</f>
        <v> </v>
      </c>
      <c r="S234" s="334" t="str">
        <f aca="false">IF((E234="l"),G234," ")</f>
        <v> </v>
      </c>
      <c r="T234" s="334" t="str">
        <f aca="false">IF((E234="b"),G234," ")</f>
        <v> </v>
      </c>
      <c r="U234" s="334" t="str">
        <f aca="false">IF((E234="i"),G234," ")</f>
        <v> </v>
      </c>
      <c r="V234" s="334" t="str">
        <f aca="false">IF((E234="o"),G234," ")</f>
        <v> </v>
      </c>
      <c r="W234" s="334" t="str">
        <f aca="false">IF((E234="f"),G234," ")</f>
        <v> </v>
      </c>
    </row>
    <row r="235" customFormat="false" ht="12.75" hidden="false" customHeight="false" outlineLevel="0" collapsed="false">
      <c r="A235" s="355"/>
      <c r="E235" s="365" t="str">
        <f aca="false">IF((G235&lt;&gt;0),"Enter Letter"," ")</f>
        <v> </v>
      </c>
      <c r="J235" s="334" t="str">
        <f aca="false">IF((E235="s"),G235," ")</f>
        <v> </v>
      </c>
      <c r="K235" s="334" t="str">
        <f aca="false">IF((E235="d"),G235," ")</f>
        <v> </v>
      </c>
      <c r="L235" s="334" t="str">
        <f aca="false">IF((E235="e"),G235," ")</f>
        <v> </v>
      </c>
      <c r="M235" s="334" t="str">
        <f aca="false">IF((E235="p"),G235," ")</f>
        <v> </v>
      </c>
      <c r="N235" s="334" t="str">
        <f aca="false">IF((E235="r"),G235," ")</f>
        <v> </v>
      </c>
      <c r="O235" s="334" t="str">
        <f aca="false">IF((E235="g"),G235," ")</f>
        <v> </v>
      </c>
      <c r="P235" s="334" t="str">
        <f aca="false">IF((E235="m"),G235," ")</f>
        <v> </v>
      </c>
      <c r="Q235" s="334" t="str">
        <f aca="false">IF((E235="t"),G235," ")</f>
        <v> </v>
      </c>
      <c r="R235" s="334" t="str">
        <f aca="false">IF((E235="a"),G235," ")</f>
        <v> </v>
      </c>
      <c r="S235" s="334" t="str">
        <f aca="false">IF((E235="l"),G235," ")</f>
        <v> </v>
      </c>
      <c r="T235" s="334" t="str">
        <f aca="false">IF((E235="b"),G235," ")</f>
        <v> </v>
      </c>
      <c r="U235" s="334" t="str">
        <f aca="false">IF((E235="i"),G235," ")</f>
        <v> </v>
      </c>
      <c r="V235" s="334" t="str">
        <f aca="false">IF((E235="o"),G235," ")</f>
        <v> </v>
      </c>
      <c r="W235" s="334" t="str">
        <f aca="false">IF((E235="f"),G235," ")</f>
        <v> </v>
      </c>
    </row>
    <row r="236" customFormat="false" ht="12.75" hidden="false" customHeight="false" outlineLevel="0" collapsed="false">
      <c r="A236" s="355"/>
      <c r="E236" s="365" t="str">
        <f aca="false">IF((G236&lt;&gt;0),"Enter Letter"," ")</f>
        <v> </v>
      </c>
      <c r="J236" s="334" t="str">
        <f aca="false">IF((E236="s"),G236," ")</f>
        <v> </v>
      </c>
      <c r="K236" s="334" t="str">
        <f aca="false">IF((E236="d"),G236," ")</f>
        <v> </v>
      </c>
      <c r="L236" s="334" t="str">
        <f aca="false">IF((E236="e"),G236," ")</f>
        <v> </v>
      </c>
      <c r="M236" s="334" t="str">
        <f aca="false">IF((E236="p"),G236," ")</f>
        <v> </v>
      </c>
      <c r="N236" s="334" t="str">
        <f aca="false">IF((E236="r"),G236," ")</f>
        <v> </v>
      </c>
      <c r="O236" s="334" t="str">
        <f aca="false">IF((E236="g"),G236," ")</f>
        <v> </v>
      </c>
      <c r="P236" s="334" t="str">
        <f aca="false">IF((E236="m"),G236," ")</f>
        <v> </v>
      </c>
      <c r="Q236" s="334" t="str">
        <f aca="false">IF((E236="t"),G236," ")</f>
        <v> </v>
      </c>
      <c r="R236" s="334" t="str">
        <f aca="false">IF((E236="a"),G236," ")</f>
        <v> </v>
      </c>
      <c r="S236" s="334" t="str">
        <f aca="false">IF((E236="l"),G236," ")</f>
        <v> </v>
      </c>
      <c r="T236" s="334" t="str">
        <f aca="false">IF((E236="b"),G236," ")</f>
        <v> </v>
      </c>
      <c r="U236" s="334" t="str">
        <f aca="false">IF((E236="i"),G236," ")</f>
        <v> </v>
      </c>
      <c r="V236" s="334" t="str">
        <f aca="false">IF((E236="o"),G236," ")</f>
        <v> </v>
      </c>
      <c r="W236" s="334" t="str">
        <f aca="false">IF((E236="f"),G236," ")</f>
        <v> </v>
      </c>
    </row>
    <row r="237" customFormat="false" ht="12.75" hidden="false" customHeight="false" outlineLevel="0" collapsed="false">
      <c r="A237" s="355"/>
      <c r="E237" s="365" t="str">
        <f aca="false">IF((G237&lt;&gt;0),"Enter Letter"," ")</f>
        <v> </v>
      </c>
      <c r="J237" s="334" t="str">
        <f aca="false">IF((E237="s"),G237," ")</f>
        <v> </v>
      </c>
      <c r="K237" s="334" t="str">
        <f aca="false">IF((E237="d"),G237," ")</f>
        <v> </v>
      </c>
      <c r="L237" s="334" t="str">
        <f aca="false">IF((E237="e"),G237," ")</f>
        <v> </v>
      </c>
      <c r="M237" s="334" t="str">
        <f aca="false">IF((E237="p"),G237," ")</f>
        <v> </v>
      </c>
      <c r="N237" s="334" t="str">
        <f aca="false">IF((E237="r"),G237," ")</f>
        <v> </v>
      </c>
      <c r="O237" s="334" t="str">
        <f aca="false">IF((E237="g"),G237," ")</f>
        <v> </v>
      </c>
      <c r="P237" s="334" t="str">
        <f aca="false">IF((E237="m"),G237," ")</f>
        <v> </v>
      </c>
      <c r="Q237" s="334" t="str">
        <f aca="false">IF((E237="t"),G237," ")</f>
        <v> </v>
      </c>
      <c r="R237" s="334" t="str">
        <f aca="false">IF((E237="a"),G237," ")</f>
        <v> </v>
      </c>
      <c r="S237" s="334" t="str">
        <f aca="false">IF((E237="l"),G237," ")</f>
        <v> </v>
      </c>
      <c r="T237" s="334" t="str">
        <f aca="false">IF((E237="b"),G237," ")</f>
        <v> </v>
      </c>
      <c r="U237" s="334" t="str">
        <f aca="false">IF((E237="i"),G237," ")</f>
        <v> </v>
      </c>
      <c r="V237" s="334" t="str">
        <f aca="false">IF((E237="o"),G237," ")</f>
        <v> </v>
      </c>
      <c r="W237" s="334" t="str">
        <f aca="false">IF((E237="f"),G237," ")</f>
        <v> </v>
      </c>
    </row>
    <row r="238" customFormat="false" ht="12.75" hidden="false" customHeight="false" outlineLevel="0" collapsed="false">
      <c r="A238" s="355"/>
      <c r="E238" s="365" t="str">
        <f aca="false">IF((G238&lt;&gt;0),"Enter Letter"," ")</f>
        <v> </v>
      </c>
      <c r="J238" s="334" t="str">
        <f aca="false">IF((E238="s"),G238," ")</f>
        <v> </v>
      </c>
      <c r="K238" s="334" t="str">
        <f aca="false">IF((E238="d"),G238," ")</f>
        <v> </v>
      </c>
      <c r="L238" s="334" t="str">
        <f aca="false">IF((E238="e"),G238," ")</f>
        <v> </v>
      </c>
      <c r="M238" s="334" t="str">
        <f aca="false">IF((E238="p"),G238," ")</f>
        <v> </v>
      </c>
      <c r="N238" s="334" t="str">
        <f aca="false">IF((E238="r"),G238," ")</f>
        <v> </v>
      </c>
      <c r="O238" s="334" t="str">
        <f aca="false">IF((E238="g"),G238," ")</f>
        <v> </v>
      </c>
      <c r="P238" s="334" t="str">
        <f aca="false">IF((E238="m"),G238," ")</f>
        <v> </v>
      </c>
      <c r="Q238" s="334" t="str">
        <f aca="false">IF((E238="t"),G238," ")</f>
        <v> </v>
      </c>
      <c r="R238" s="334" t="str">
        <f aca="false">IF((E238="a"),G238," ")</f>
        <v> </v>
      </c>
      <c r="S238" s="334" t="str">
        <f aca="false">IF((E238="l"),G238," ")</f>
        <v> </v>
      </c>
      <c r="T238" s="334" t="str">
        <f aca="false">IF((E238="b"),G238," ")</f>
        <v> </v>
      </c>
      <c r="U238" s="334" t="str">
        <f aca="false">IF((E238="i"),G238," ")</f>
        <v> </v>
      </c>
      <c r="V238" s="334" t="str">
        <f aca="false">IF((E238="o"),G238," ")</f>
        <v> </v>
      </c>
      <c r="W238" s="334" t="str">
        <f aca="false">IF((E238="f"),G238," ")</f>
        <v> </v>
      </c>
    </row>
    <row r="239" customFormat="false" ht="12.75" hidden="false" customHeight="false" outlineLevel="0" collapsed="false">
      <c r="A239" s="355"/>
      <c r="E239" s="365" t="str">
        <f aca="false">IF((G239&lt;&gt;0),"Enter Letter"," ")</f>
        <v> </v>
      </c>
      <c r="J239" s="334" t="str">
        <f aca="false">IF((E239="s"),G239," ")</f>
        <v> </v>
      </c>
      <c r="K239" s="334" t="str">
        <f aca="false">IF((E239="d"),G239," ")</f>
        <v> </v>
      </c>
      <c r="L239" s="334" t="str">
        <f aca="false">IF((E239="e"),G239," ")</f>
        <v> </v>
      </c>
      <c r="M239" s="334" t="str">
        <f aca="false">IF((E239="p"),G239," ")</f>
        <v> </v>
      </c>
      <c r="N239" s="334" t="str">
        <f aca="false">IF((E239="r"),G239," ")</f>
        <v> </v>
      </c>
      <c r="O239" s="334" t="str">
        <f aca="false">IF((E239="g"),G239," ")</f>
        <v> </v>
      </c>
      <c r="P239" s="334" t="str">
        <f aca="false">IF((E239="m"),G239," ")</f>
        <v> </v>
      </c>
      <c r="Q239" s="334" t="str">
        <f aca="false">IF((E239="t"),G239," ")</f>
        <v> </v>
      </c>
      <c r="R239" s="334" t="str">
        <f aca="false">IF((E239="a"),G239," ")</f>
        <v> </v>
      </c>
      <c r="S239" s="334" t="str">
        <f aca="false">IF((E239="l"),G239," ")</f>
        <v> </v>
      </c>
      <c r="T239" s="334" t="str">
        <f aca="false">IF((E239="b"),G239," ")</f>
        <v> </v>
      </c>
      <c r="U239" s="334" t="str">
        <f aca="false">IF((E239="i"),G239," ")</f>
        <v> </v>
      </c>
      <c r="V239" s="334" t="str">
        <f aca="false">IF((E239="o"),G239," ")</f>
        <v> </v>
      </c>
      <c r="W239" s="334" t="str">
        <f aca="false">IF((E239="f"),G239," ")</f>
        <v> </v>
      </c>
    </row>
    <row r="240" customFormat="false" ht="12.75" hidden="false" customHeight="false" outlineLevel="0" collapsed="false">
      <c r="A240" s="355"/>
      <c r="E240" s="365" t="str">
        <f aca="false">IF((G240&lt;&gt;0),"Enter Letter"," ")</f>
        <v> </v>
      </c>
      <c r="J240" s="334" t="str">
        <f aca="false">IF((E240="s"),G240," ")</f>
        <v> </v>
      </c>
      <c r="K240" s="334" t="str">
        <f aca="false">IF((E240="d"),G240," ")</f>
        <v> </v>
      </c>
      <c r="L240" s="334" t="str">
        <f aca="false">IF((E240="e"),G240," ")</f>
        <v> </v>
      </c>
      <c r="M240" s="334" t="str">
        <f aca="false">IF((E240="p"),G240," ")</f>
        <v> </v>
      </c>
      <c r="N240" s="334" t="str">
        <f aca="false">IF((E240="r"),G240," ")</f>
        <v> </v>
      </c>
      <c r="O240" s="334" t="str">
        <f aca="false">IF((E240="g"),G240," ")</f>
        <v> </v>
      </c>
      <c r="P240" s="334" t="str">
        <f aca="false">IF((E240="m"),G240," ")</f>
        <v> </v>
      </c>
      <c r="Q240" s="334" t="str">
        <f aca="false">IF((E240="t"),G240," ")</f>
        <v> </v>
      </c>
      <c r="R240" s="334" t="str">
        <f aca="false">IF((E240="a"),G240," ")</f>
        <v> </v>
      </c>
      <c r="S240" s="334" t="str">
        <f aca="false">IF((E240="l"),G240," ")</f>
        <v> </v>
      </c>
      <c r="T240" s="334" t="str">
        <f aca="false">IF((E240="b"),G240," ")</f>
        <v> </v>
      </c>
      <c r="U240" s="334" t="str">
        <f aca="false">IF((E240="i"),G240," ")</f>
        <v> </v>
      </c>
      <c r="V240" s="334" t="str">
        <f aca="false">IF((E240="o"),G240," ")</f>
        <v> </v>
      </c>
      <c r="W240" s="334" t="str">
        <f aca="false">IF((E240="f"),G240," ")</f>
        <v> </v>
      </c>
    </row>
    <row r="241" customFormat="false" ht="12.75" hidden="false" customHeight="false" outlineLevel="0" collapsed="false">
      <c r="A241" s="355"/>
      <c r="E241" s="365" t="str">
        <f aca="false">IF((G241&lt;&gt;0),"Enter Letter"," ")</f>
        <v> </v>
      </c>
      <c r="J241" s="334" t="str">
        <f aca="false">IF((E241="s"),G241," ")</f>
        <v> </v>
      </c>
      <c r="K241" s="334" t="str">
        <f aca="false">IF((E241="d"),G241," ")</f>
        <v> </v>
      </c>
      <c r="L241" s="334" t="str">
        <f aca="false">IF((E241="e"),G241," ")</f>
        <v> </v>
      </c>
      <c r="M241" s="334" t="str">
        <f aca="false">IF((E241="p"),G241," ")</f>
        <v> </v>
      </c>
      <c r="N241" s="334" t="str">
        <f aca="false">IF((E241="r"),G241," ")</f>
        <v> </v>
      </c>
      <c r="O241" s="334" t="str">
        <f aca="false">IF((E241="g"),G241," ")</f>
        <v> </v>
      </c>
      <c r="P241" s="334" t="str">
        <f aca="false">IF((E241="m"),G241," ")</f>
        <v> </v>
      </c>
      <c r="Q241" s="334" t="str">
        <f aca="false">IF((E241="t"),G241," ")</f>
        <v> </v>
      </c>
      <c r="R241" s="334" t="str">
        <f aca="false">IF((E241="a"),G241," ")</f>
        <v> </v>
      </c>
      <c r="S241" s="334" t="str">
        <f aca="false">IF((E241="l"),G241," ")</f>
        <v> </v>
      </c>
      <c r="T241" s="334" t="str">
        <f aca="false">IF((E241="b"),G241," ")</f>
        <v> </v>
      </c>
      <c r="U241" s="334" t="str">
        <f aca="false">IF((E241="i"),G241," ")</f>
        <v> </v>
      </c>
      <c r="V241" s="334" t="str">
        <f aca="false">IF((E241="o"),G241," ")</f>
        <v> </v>
      </c>
      <c r="W241" s="334" t="str">
        <f aca="false">IF((E241="f"),G241," ")</f>
        <v> </v>
      </c>
    </row>
    <row r="242" customFormat="false" ht="12.75" hidden="false" customHeight="false" outlineLevel="0" collapsed="false">
      <c r="A242" s="355"/>
      <c r="E242" s="365" t="str">
        <f aca="false">IF((G242&lt;&gt;0),"Enter Letter"," ")</f>
        <v> </v>
      </c>
      <c r="J242" s="334" t="str">
        <f aca="false">IF((E242="s"),G242," ")</f>
        <v> </v>
      </c>
      <c r="K242" s="334" t="str">
        <f aca="false">IF((E242="d"),G242," ")</f>
        <v> </v>
      </c>
      <c r="L242" s="334" t="str">
        <f aca="false">IF((E242="e"),G242," ")</f>
        <v> </v>
      </c>
      <c r="M242" s="334" t="str">
        <f aca="false">IF((E242="p"),G242," ")</f>
        <v> </v>
      </c>
      <c r="N242" s="334" t="str">
        <f aca="false">IF((E242="r"),G242," ")</f>
        <v> </v>
      </c>
      <c r="O242" s="334" t="str">
        <f aca="false">IF((E242="g"),G242," ")</f>
        <v> </v>
      </c>
      <c r="P242" s="334" t="str">
        <f aca="false">IF((E242="m"),G242," ")</f>
        <v> </v>
      </c>
      <c r="Q242" s="334" t="str">
        <f aca="false">IF((E242="t"),G242," ")</f>
        <v> </v>
      </c>
      <c r="R242" s="334" t="str">
        <f aca="false">IF((E242="a"),G242," ")</f>
        <v> </v>
      </c>
      <c r="S242" s="334" t="str">
        <f aca="false">IF((E242="l"),G242," ")</f>
        <v> </v>
      </c>
      <c r="T242" s="334" t="str">
        <f aca="false">IF((E242="b"),G242," ")</f>
        <v> </v>
      </c>
      <c r="U242" s="334" t="str">
        <f aca="false">IF((E242="i"),G242," ")</f>
        <v> </v>
      </c>
      <c r="V242" s="334" t="str">
        <f aca="false">IF((E242="o"),G242," ")</f>
        <v> </v>
      </c>
      <c r="W242" s="334" t="str">
        <f aca="false">IF((E242="f"),G242," ")</f>
        <v> </v>
      </c>
    </row>
    <row r="243" customFormat="false" ht="12.75" hidden="false" customHeight="false" outlineLevel="0" collapsed="false">
      <c r="A243" s="355"/>
      <c r="E243" s="365" t="str">
        <f aca="false">IF((G243&lt;&gt;0),"Enter Letter"," ")</f>
        <v> </v>
      </c>
      <c r="J243" s="334" t="str">
        <f aca="false">IF((E243="s"),G243," ")</f>
        <v> </v>
      </c>
      <c r="K243" s="334" t="str">
        <f aca="false">IF((E243="d"),G243," ")</f>
        <v> </v>
      </c>
      <c r="L243" s="334" t="str">
        <f aca="false">IF((E243="e"),G243," ")</f>
        <v> </v>
      </c>
      <c r="M243" s="334" t="str">
        <f aca="false">IF((E243="p"),G243," ")</f>
        <v> </v>
      </c>
      <c r="N243" s="334" t="str">
        <f aca="false">IF((E243="r"),G243," ")</f>
        <v> </v>
      </c>
      <c r="O243" s="334" t="str">
        <f aca="false">IF((E243="g"),G243," ")</f>
        <v> </v>
      </c>
      <c r="P243" s="334" t="str">
        <f aca="false">IF((E243="m"),G243," ")</f>
        <v> </v>
      </c>
      <c r="Q243" s="334" t="str">
        <f aca="false">IF((E243="t"),G243," ")</f>
        <v> </v>
      </c>
      <c r="R243" s="334" t="str">
        <f aca="false">IF((E243="a"),G243," ")</f>
        <v> </v>
      </c>
      <c r="S243" s="334" t="str">
        <f aca="false">IF((E243="l"),G243," ")</f>
        <v> </v>
      </c>
      <c r="T243" s="334" t="str">
        <f aca="false">IF((E243="b"),G243," ")</f>
        <v> </v>
      </c>
      <c r="U243" s="334" t="str">
        <f aca="false">IF((E243="i"),G243," ")</f>
        <v> </v>
      </c>
      <c r="V243" s="334" t="str">
        <f aca="false">IF((E243="o"),G243," ")</f>
        <v> </v>
      </c>
      <c r="W243" s="334" t="str">
        <f aca="false">IF((E243="f"),G243," ")</f>
        <v> </v>
      </c>
    </row>
    <row r="244" customFormat="false" ht="12.75" hidden="false" customHeight="false" outlineLevel="0" collapsed="false">
      <c r="A244" s="355"/>
      <c r="E244" s="365" t="str">
        <f aca="false">IF((G244&lt;&gt;0),"Enter Letter"," ")</f>
        <v> </v>
      </c>
      <c r="J244" s="334" t="str">
        <f aca="false">IF((E244="s"),G244," ")</f>
        <v> </v>
      </c>
      <c r="K244" s="334" t="str">
        <f aca="false">IF((E244="d"),G244," ")</f>
        <v> </v>
      </c>
      <c r="L244" s="334" t="str">
        <f aca="false">IF((E244="e"),G244," ")</f>
        <v> </v>
      </c>
      <c r="M244" s="334" t="str">
        <f aca="false">IF((E244="p"),G244," ")</f>
        <v> </v>
      </c>
      <c r="N244" s="334" t="str">
        <f aca="false">IF((E244="r"),G244," ")</f>
        <v> </v>
      </c>
      <c r="O244" s="334" t="str">
        <f aca="false">IF((E244="g"),G244," ")</f>
        <v> </v>
      </c>
      <c r="P244" s="334" t="str">
        <f aca="false">IF((E244="m"),G244," ")</f>
        <v> </v>
      </c>
      <c r="Q244" s="334" t="str">
        <f aca="false">IF((E244="t"),G244," ")</f>
        <v> </v>
      </c>
      <c r="R244" s="334" t="str">
        <f aca="false">IF((E244="a"),G244," ")</f>
        <v> </v>
      </c>
      <c r="S244" s="334" t="str">
        <f aca="false">IF((E244="l"),G244," ")</f>
        <v> </v>
      </c>
      <c r="T244" s="334" t="str">
        <f aca="false">IF((E244="b"),G244," ")</f>
        <v> </v>
      </c>
      <c r="U244" s="334" t="str">
        <f aca="false">IF((E244="i"),G244," ")</f>
        <v> </v>
      </c>
      <c r="V244" s="334" t="str">
        <f aca="false">IF((E244="o"),G244," ")</f>
        <v> </v>
      </c>
      <c r="W244" s="334" t="str">
        <f aca="false">IF((E244="f"),G244," ")</f>
        <v> </v>
      </c>
    </row>
    <row r="245" customFormat="false" ht="12.75" hidden="false" customHeight="false" outlineLevel="0" collapsed="false">
      <c r="A245" s="355"/>
      <c r="E245" s="365" t="str">
        <f aca="false">IF((G245&lt;&gt;0),"Enter Letter"," ")</f>
        <v> </v>
      </c>
      <c r="J245" s="334" t="str">
        <f aca="false">IF((E245="s"),G245," ")</f>
        <v> </v>
      </c>
      <c r="K245" s="334" t="str">
        <f aca="false">IF((E245="d"),G245," ")</f>
        <v> </v>
      </c>
      <c r="L245" s="334" t="str">
        <f aca="false">IF((E245="e"),G245," ")</f>
        <v> </v>
      </c>
      <c r="M245" s="334" t="str">
        <f aca="false">IF((E245="p"),G245," ")</f>
        <v> </v>
      </c>
      <c r="N245" s="334" t="str">
        <f aca="false">IF((E245="r"),G245," ")</f>
        <v> </v>
      </c>
      <c r="O245" s="334" t="str">
        <f aca="false">IF((E245="g"),G245," ")</f>
        <v> </v>
      </c>
      <c r="P245" s="334" t="str">
        <f aca="false">IF((E245="m"),G245," ")</f>
        <v> </v>
      </c>
      <c r="Q245" s="334" t="str">
        <f aca="false">IF((E245="t"),G245," ")</f>
        <v> </v>
      </c>
      <c r="R245" s="334" t="str">
        <f aca="false">IF((E245="a"),G245," ")</f>
        <v> </v>
      </c>
      <c r="S245" s="334" t="str">
        <f aca="false">IF((E245="l"),G245," ")</f>
        <v> </v>
      </c>
      <c r="T245" s="334" t="str">
        <f aca="false">IF((E245="b"),G245," ")</f>
        <v> </v>
      </c>
      <c r="U245" s="334" t="str">
        <f aca="false">IF((E245="i"),G245," ")</f>
        <v> </v>
      </c>
      <c r="V245" s="334" t="str">
        <f aca="false">IF((E245="o"),G245," ")</f>
        <v> </v>
      </c>
      <c r="W245" s="334" t="str">
        <f aca="false">IF((E245="f"),G245," ")</f>
        <v> </v>
      </c>
    </row>
    <row r="246" customFormat="false" ht="12.75" hidden="false" customHeight="false" outlineLevel="0" collapsed="false">
      <c r="A246" s="355"/>
      <c r="E246" s="365" t="str">
        <f aca="false">IF((G246&lt;&gt;0),"Enter Letter"," ")</f>
        <v> </v>
      </c>
      <c r="J246" s="334" t="str">
        <f aca="false">IF((E246="s"),G246," ")</f>
        <v> </v>
      </c>
      <c r="K246" s="334" t="str">
        <f aca="false">IF((E246="d"),G246," ")</f>
        <v> </v>
      </c>
      <c r="L246" s="334" t="str">
        <f aca="false">IF((E246="e"),G246," ")</f>
        <v> </v>
      </c>
      <c r="M246" s="334" t="str">
        <f aca="false">IF((E246="p"),G246," ")</f>
        <v> </v>
      </c>
      <c r="N246" s="334" t="str">
        <f aca="false">IF((E246="r"),G246," ")</f>
        <v> </v>
      </c>
      <c r="O246" s="334" t="str">
        <f aca="false">IF((E246="g"),G246," ")</f>
        <v> </v>
      </c>
      <c r="P246" s="334" t="str">
        <f aca="false">IF((E246="m"),G246," ")</f>
        <v> </v>
      </c>
      <c r="Q246" s="334" t="str">
        <f aca="false">IF((E246="t"),G246," ")</f>
        <v> </v>
      </c>
      <c r="R246" s="334" t="str">
        <f aca="false">IF((E246="a"),G246," ")</f>
        <v> </v>
      </c>
      <c r="S246" s="334" t="str">
        <f aca="false">IF((E246="l"),G246," ")</f>
        <v> </v>
      </c>
      <c r="T246" s="334" t="str">
        <f aca="false">IF((E246="b"),G246," ")</f>
        <v> </v>
      </c>
      <c r="U246" s="334" t="str">
        <f aca="false">IF((E246="i"),G246," ")</f>
        <v> </v>
      </c>
      <c r="V246" s="334" t="str">
        <f aca="false">IF((E246="o"),G246," ")</f>
        <v> </v>
      </c>
      <c r="W246" s="334" t="str">
        <f aca="false">IF((E246="f"),G246," ")</f>
        <v> </v>
      </c>
    </row>
    <row r="247" customFormat="false" ht="12.75" hidden="false" customHeight="false" outlineLevel="0" collapsed="false">
      <c r="A247" s="355"/>
      <c r="E247" s="365" t="str">
        <f aca="false">IF((G247&lt;&gt;0),"Enter Letter"," ")</f>
        <v> </v>
      </c>
      <c r="J247" s="334" t="str">
        <f aca="false">IF((E247="s"),G247," ")</f>
        <v> </v>
      </c>
      <c r="K247" s="334" t="str">
        <f aca="false">IF((E247="d"),G247," ")</f>
        <v> </v>
      </c>
      <c r="L247" s="334" t="str">
        <f aca="false">IF((E247="e"),G247," ")</f>
        <v> </v>
      </c>
      <c r="M247" s="334" t="str">
        <f aca="false">IF((E247="p"),G247," ")</f>
        <v> </v>
      </c>
      <c r="N247" s="334" t="str">
        <f aca="false">IF((E247="r"),G247," ")</f>
        <v> </v>
      </c>
      <c r="O247" s="334" t="str">
        <f aca="false">IF((E247="g"),G247," ")</f>
        <v> </v>
      </c>
      <c r="P247" s="334" t="str">
        <f aca="false">IF((E247="m"),G247," ")</f>
        <v> </v>
      </c>
      <c r="Q247" s="334" t="str">
        <f aca="false">IF((E247="t"),G247," ")</f>
        <v> </v>
      </c>
      <c r="R247" s="334" t="str">
        <f aca="false">IF((E247="a"),G247," ")</f>
        <v> </v>
      </c>
      <c r="S247" s="334" t="str">
        <f aca="false">IF((E247="l"),G247," ")</f>
        <v> </v>
      </c>
      <c r="T247" s="334" t="str">
        <f aca="false">IF((E247="b"),G247," ")</f>
        <v> </v>
      </c>
      <c r="U247" s="334" t="str">
        <f aca="false">IF((E247="i"),G247," ")</f>
        <v> </v>
      </c>
      <c r="V247" s="334" t="str">
        <f aca="false">IF((E247="o"),G247," ")</f>
        <v> </v>
      </c>
      <c r="W247" s="334" t="str">
        <f aca="false">IF((E247="f"),G247," ")</f>
        <v> </v>
      </c>
    </row>
    <row r="248" customFormat="false" ht="12.75" hidden="false" customHeight="false" outlineLevel="0" collapsed="false">
      <c r="A248" s="355"/>
      <c r="E248" s="365" t="str">
        <f aca="false">IF((G248&lt;&gt;0),"Enter Letter"," ")</f>
        <v> </v>
      </c>
      <c r="J248" s="334" t="str">
        <f aca="false">IF((E248="s"),G248," ")</f>
        <v> </v>
      </c>
      <c r="K248" s="334" t="str">
        <f aca="false">IF((E248="d"),G248," ")</f>
        <v> </v>
      </c>
      <c r="L248" s="334" t="str">
        <f aca="false">IF((E248="e"),G248," ")</f>
        <v> </v>
      </c>
      <c r="M248" s="334" t="str">
        <f aca="false">IF((E248="p"),G248," ")</f>
        <v> </v>
      </c>
      <c r="N248" s="334" t="str">
        <f aca="false">IF((E248="r"),G248," ")</f>
        <v> </v>
      </c>
      <c r="O248" s="334" t="str">
        <f aca="false">IF((E248="g"),G248," ")</f>
        <v> </v>
      </c>
      <c r="P248" s="334" t="str">
        <f aca="false">IF((E248="m"),G248," ")</f>
        <v> </v>
      </c>
      <c r="Q248" s="334" t="str">
        <f aca="false">IF((E248="t"),G248," ")</f>
        <v> </v>
      </c>
      <c r="R248" s="334" t="str">
        <f aca="false">IF((E248="a"),G248," ")</f>
        <v> </v>
      </c>
      <c r="S248" s="334" t="str">
        <f aca="false">IF((E248="l"),G248," ")</f>
        <v> </v>
      </c>
      <c r="T248" s="334" t="str">
        <f aca="false">IF((E248="b"),G248," ")</f>
        <v> </v>
      </c>
      <c r="U248" s="334" t="str">
        <f aca="false">IF((E248="i"),G248," ")</f>
        <v> </v>
      </c>
      <c r="V248" s="334" t="str">
        <f aca="false">IF((E248="o"),G248," ")</f>
        <v> </v>
      </c>
      <c r="W248" s="334" t="str">
        <f aca="false">IF((E248="f"),G248," ")</f>
        <v> </v>
      </c>
    </row>
    <row r="249" customFormat="false" ht="12.75" hidden="false" customHeight="false" outlineLevel="0" collapsed="false">
      <c r="A249" s="355"/>
      <c r="E249" s="365" t="str">
        <f aca="false">IF((G249&lt;&gt;0),"Enter Letter"," ")</f>
        <v> </v>
      </c>
      <c r="J249" s="334" t="str">
        <f aca="false">IF((E249="s"),G249," ")</f>
        <v> </v>
      </c>
      <c r="K249" s="334" t="str">
        <f aca="false">IF((E249="d"),G249," ")</f>
        <v> </v>
      </c>
      <c r="L249" s="334" t="str">
        <f aca="false">IF((E249="e"),G249," ")</f>
        <v> </v>
      </c>
      <c r="M249" s="334" t="str">
        <f aca="false">IF((E249="p"),G249," ")</f>
        <v> </v>
      </c>
      <c r="N249" s="334" t="str">
        <f aca="false">IF((E249="r"),G249," ")</f>
        <v> </v>
      </c>
      <c r="O249" s="334" t="str">
        <f aca="false">IF((E249="g"),G249," ")</f>
        <v> </v>
      </c>
      <c r="P249" s="334" t="str">
        <f aca="false">IF((E249="m"),G249," ")</f>
        <v> </v>
      </c>
      <c r="Q249" s="334" t="str">
        <f aca="false">IF((E249="t"),G249," ")</f>
        <v> </v>
      </c>
      <c r="R249" s="334" t="str">
        <f aca="false">IF((E249="a"),G249," ")</f>
        <v> </v>
      </c>
      <c r="S249" s="334" t="str">
        <f aca="false">IF((E249="l"),G249," ")</f>
        <v> </v>
      </c>
      <c r="T249" s="334" t="str">
        <f aca="false">IF((E249="b"),G249," ")</f>
        <v> </v>
      </c>
      <c r="U249" s="334" t="str">
        <f aca="false">IF((E249="i"),G249," ")</f>
        <v> </v>
      </c>
      <c r="V249" s="334" t="str">
        <f aca="false">IF((E249="o"),G249," ")</f>
        <v> </v>
      </c>
      <c r="W249" s="334" t="str">
        <f aca="false">IF((E249="f"),G249," ")</f>
        <v> </v>
      </c>
    </row>
    <row r="250" customFormat="false" ht="12.75" hidden="false" customHeight="false" outlineLevel="0" collapsed="false">
      <c r="A250" s="355"/>
      <c r="E250" s="365" t="str">
        <f aca="false">IF((G250&lt;&gt;0),"Enter Letter"," ")</f>
        <v> </v>
      </c>
      <c r="J250" s="334" t="str">
        <f aca="false">IF((E250="s"),G250," ")</f>
        <v> </v>
      </c>
      <c r="K250" s="334" t="str">
        <f aca="false">IF((E250="d"),G250," ")</f>
        <v> </v>
      </c>
      <c r="L250" s="334" t="str">
        <f aca="false">IF((E250="e"),G250," ")</f>
        <v> </v>
      </c>
      <c r="M250" s="334" t="str">
        <f aca="false">IF((E250="p"),G250," ")</f>
        <v> </v>
      </c>
      <c r="N250" s="334" t="str">
        <f aca="false">IF((E250="r"),G250," ")</f>
        <v> </v>
      </c>
      <c r="O250" s="334" t="str">
        <f aca="false">IF((E250="g"),G250," ")</f>
        <v> </v>
      </c>
      <c r="P250" s="334" t="str">
        <f aca="false">IF((E250="m"),G250," ")</f>
        <v> </v>
      </c>
      <c r="Q250" s="334" t="str">
        <f aca="false">IF((E250="t"),G250," ")</f>
        <v> </v>
      </c>
      <c r="R250" s="334" t="str">
        <f aca="false">IF((E250="a"),G250," ")</f>
        <v> </v>
      </c>
      <c r="S250" s="334" t="str">
        <f aca="false">IF((E250="l"),G250," ")</f>
        <v> </v>
      </c>
      <c r="T250" s="334" t="str">
        <f aca="false">IF((E250="b"),G250," ")</f>
        <v> </v>
      </c>
      <c r="U250" s="334" t="str">
        <f aca="false">IF((E250="i"),G250," ")</f>
        <v> </v>
      </c>
      <c r="V250" s="334" t="str">
        <f aca="false">IF((E250="o"),G250," ")</f>
        <v> </v>
      </c>
      <c r="W250" s="334" t="str">
        <f aca="false">IF((E250="f"),G250," ")</f>
        <v> </v>
      </c>
    </row>
    <row r="251" customFormat="false" ht="12.75" hidden="false" customHeight="false" outlineLevel="0" collapsed="false">
      <c r="A251" s="355"/>
      <c r="E251" s="365" t="str">
        <f aca="false">IF((G251&lt;&gt;0),"Enter Letter"," ")</f>
        <v> </v>
      </c>
      <c r="J251" s="334" t="str">
        <f aca="false">IF((E251="s"),G251," ")</f>
        <v> </v>
      </c>
      <c r="K251" s="334" t="str">
        <f aca="false">IF((E251="d"),G251," ")</f>
        <v> </v>
      </c>
      <c r="L251" s="334" t="str">
        <f aca="false">IF((E251="e"),G251," ")</f>
        <v> </v>
      </c>
      <c r="M251" s="334" t="str">
        <f aca="false">IF((E251="p"),G251," ")</f>
        <v> </v>
      </c>
      <c r="N251" s="334" t="str">
        <f aca="false">IF((E251="r"),G251," ")</f>
        <v> </v>
      </c>
      <c r="O251" s="334" t="str">
        <f aca="false">IF((E251="g"),G251," ")</f>
        <v> </v>
      </c>
      <c r="P251" s="334" t="str">
        <f aca="false">IF((E251="m"),G251," ")</f>
        <v> </v>
      </c>
      <c r="Q251" s="334" t="str">
        <f aca="false">IF((E251="t"),G251," ")</f>
        <v> </v>
      </c>
      <c r="R251" s="334" t="str">
        <f aca="false">IF((E251="a"),G251," ")</f>
        <v> </v>
      </c>
      <c r="S251" s="334" t="str">
        <f aca="false">IF((E251="l"),G251," ")</f>
        <v> </v>
      </c>
      <c r="T251" s="334" t="str">
        <f aca="false">IF((E251="b"),G251," ")</f>
        <v> </v>
      </c>
      <c r="U251" s="334" t="str">
        <f aca="false">IF((E251="i"),G251," ")</f>
        <v> </v>
      </c>
      <c r="V251" s="334" t="str">
        <f aca="false">IF((E251="o"),G251," ")</f>
        <v> </v>
      </c>
      <c r="W251" s="334" t="str">
        <f aca="false">IF((E251="f"),G251," ")</f>
        <v> </v>
      </c>
    </row>
    <row r="252" customFormat="false" ht="12.75" hidden="false" customHeight="false" outlineLevel="0" collapsed="false">
      <c r="A252" s="355"/>
      <c r="E252" s="365" t="str">
        <f aca="false">IF((G252&lt;&gt;0),"Enter Letter"," ")</f>
        <v> </v>
      </c>
      <c r="J252" s="334" t="str">
        <f aca="false">IF((E252="s"),G252," ")</f>
        <v> </v>
      </c>
      <c r="K252" s="334" t="str">
        <f aca="false">IF((E252="d"),G252," ")</f>
        <v> </v>
      </c>
      <c r="L252" s="334" t="str">
        <f aca="false">IF((E252="e"),G252," ")</f>
        <v> </v>
      </c>
      <c r="M252" s="334" t="str">
        <f aca="false">IF((E252="p"),G252," ")</f>
        <v> </v>
      </c>
      <c r="N252" s="334" t="str">
        <f aca="false">IF((E252="r"),G252," ")</f>
        <v> </v>
      </c>
      <c r="O252" s="334" t="str">
        <f aca="false">IF((E252="g"),G252," ")</f>
        <v> </v>
      </c>
      <c r="P252" s="334" t="str">
        <f aca="false">IF((E252="m"),G252," ")</f>
        <v> </v>
      </c>
      <c r="Q252" s="334" t="str">
        <f aca="false">IF((E252="t"),G252," ")</f>
        <v> </v>
      </c>
      <c r="R252" s="334" t="str">
        <f aca="false">IF((E252="a"),G252," ")</f>
        <v> </v>
      </c>
      <c r="S252" s="334" t="str">
        <f aca="false">IF((E252="l"),G252," ")</f>
        <v> </v>
      </c>
      <c r="T252" s="334" t="str">
        <f aca="false">IF((E252="b"),G252," ")</f>
        <v> </v>
      </c>
      <c r="U252" s="334" t="str">
        <f aca="false">IF((E252="i"),G252," ")</f>
        <v> </v>
      </c>
      <c r="V252" s="334" t="str">
        <f aca="false">IF((E252="o"),G252," ")</f>
        <v> </v>
      </c>
      <c r="W252" s="334" t="str">
        <f aca="false">IF((E252="f"),G252," ")</f>
        <v> </v>
      </c>
    </row>
    <row r="253" customFormat="false" ht="12.75" hidden="false" customHeight="false" outlineLevel="0" collapsed="false">
      <c r="A253" s="355"/>
      <c r="E253" s="365" t="str">
        <f aca="false">IF((G253&lt;&gt;0),"Enter Letter"," ")</f>
        <v> </v>
      </c>
      <c r="J253" s="334" t="str">
        <f aca="false">IF((E253="s"),G253," ")</f>
        <v> </v>
      </c>
      <c r="K253" s="334" t="str">
        <f aca="false">IF((E253="d"),G253," ")</f>
        <v> </v>
      </c>
      <c r="L253" s="334" t="str">
        <f aca="false">IF((E253="e"),G253," ")</f>
        <v> </v>
      </c>
      <c r="M253" s="334" t="str">
        <f aca="false">IF((E253="p"),G253," ")</f>
        <v> </v>
      </c>
      <c r="N253" s="334" t="str">
        <f aca="false">IF((E253="r"),G253," ")</f>
        <v> </v>
      </c>
      <c r="O253" s="334" t="str">
        <f aca="false">IF((E253="g"),G253," ")</f>
        <v> </v>
      </c>
      <c r="P253" s="334" t="str">
        <f aca="false">IF((E253="m"),G253," ")</f>
        <v> </v>
      </c>
      <c r="Q253" s="334" t="str">
        <f aca="false">IF((E253="t"),G253," ")</f>
        <v> </v>
      </c>
      <c r="R253" s="334" t="str">
        <f aca="false">IF((E253="a"),G253," ")</f>
        <v> </v>
      </c>
      <c r="S253" s="334" t="str">
        <f aca="false">IF((E253="l"),G253," ")</f>
        <v> </v>
      </c>
      <c r="T253" s="334" t="str">
        <f aca="false">IF((E253="b"),G253," ")</f>
        <v> </v>
      </c>
      <c r="U253" s="334" t="str">
        <f aca="false">IF((E253="i"),G253," ")</f>
        <v> </v>
      </c>
      <c r="V253" s="334" t="str">
        <f aca="false">IF((E253="o"),G253," ")</f>
        <v> </v>
      </c>
      <c r="W253" s="334" t="str">
        <f aca="false">IF((E253="f"),G253," ")</f>
        <v> </v>
      </c>
    </row>
    <row r="254" customFormat="false" ht="12.75" hidden="false" customHeight="false" outlineLevel="0" collapsed="false">
      <c r="A254" s="355"/>
      <c r="E254" s="365" t="str">
        <f aca="false">IF((G254&lt;&gt;0),"Enter Letter"," ")</f>
        <v> </v>
      </c>
      <c r="J254" s="334" t="str">
        <f aca="false">IF((E254="s"),G254," ")</f>
        <v> </v>
      </c>
      <c r="K254" s="334" t="str">
        <f aca="false">IF((E254="d"),G254," ")</f>
        <v> </v>
      </c>
      <c r="L254" s="334" t="str">
        <f aca="false">IF((E254="e"),G254," ")</f>
        <v> </v>
      </c>
      <c r="M254" s="334" t="str">
        <f aca="false">IF((E254="p"),G254," ")</f>
        <v> </v>
      </c>
      <c r="N254" s="334" t="str">
        <f aca="false">IF((E254="r"),G254," ")</f>
        <v> </v>
      </c>
      <c r="O254" s="334" t="str">
        <f aca="false">IF((E254="g"),G254," ")</f>
        <v> </v>
      </c>
      <c r="P254" s="334" t="str">
        <f aca="false">IF((E254="m"),G254," ")</f>
        <v> </v>
      </c>
      <c r="Q254" s="334" t="str">
        <f aca="false">IF((E254="t"),G254," ")</f>
        <v> </v>
      </c>
      <c r="R254" s="334" t="str">
        <f aca="false">IF((E254="a"),G254," ")</f>
        <v> </v>
      </c>
      <c r="S254" s="334" t="str">
        <f aca="false">IF((E254="l"),G254," ")</f>
        <v> </v>
      </c>
      <c r="T254" s="334" t="str">
        <f aca="false">IF((E254="b"),G254," ")</f>
        <v> </v>
      </c>
      <c r="U254" s="334" t="str">
        <f aca="false">IF((E254="i"),G254," ")</f>
        <v> </v>
      </c>
      <c r="V254" s="334" t="str">
        <f aca="false">IF((E254="o"),G254," ")</f>
        <v> </v>
      </c>
      <c r="W254" s="334" t="str">
        <f aca="false">IF((E254="f"),G254," ")</f>
        <v> </v>
      </c>
    </row>
    <row r="255" customFormat="false" ht="12.75" hidden="false" customHeight="false" outlineLevel="0" collapsed="false">
      <c r="A255" s="355"/>
      <c r="E255" s="365" t="str">
        <f aca="false">IF((G255&lt;&gt;0),"Enter Letter"," ")</f>
        <v> </v>
      </c>
      <c r="J255" s="334" t="str">
        <f aca="false">IF((E255="s"),G255," ")</f>
        <v> </v>
      </c>
      <c r="K255" s="334" t="str">
        <f aca="false">IF((E255="d"),G255," ")</f>
        <v> </v>
      </c>
      <c r="L255" s="334" t="str">
        <f aca="false">IF((E255="e"),G255," ")</f>
        <v> </v>
      </c>
      <c r="M255" s="334" t="str">
        <f aca="false">IF((E255="p"),G255," ")</f>
        <v> </v>
      </c>
      <c r="N255" s="334" t="str">
        <f aca="false">IF((E255="r"),G255," ")</f>
        <v> </v>
      </c>
      <c r="O255" s="334" t="str">
        <f aca="false">IF((E255="g"),G255," ")</f>
        <v> </v>
      </c>
      <c r="P255" s="334" t="str">
        <f aca="false">IF((E255="m"),G255," ")</f>
        <v> </v>
      </c>
      <c r="Q255" s="334" t="str">
        <f aca="false">IF((E255="t"),G255," ")</f>
        <v> </v>
      </c>
      <c r="R255" s="334" t="str">
        <f aca="false">IF((E255="a"),G255," ")</f>
        <v> </v>
      </c>
      <c r="S255" s="334" t="str">
        <f aca="false">IF((E255="l"),G255," ")</f>
        <v> </v>
      </c>
      <c r="T255" s="334" t="str">
        <f aca="false">IF((E255="b"),G255," ")</f>
        <v> </v>
      </c>
      <c r="U255" s="334" t="str">
        <f aca="false">IF((E255="i"),G255," ")</f>
        <v> </v>
      </c>
      <c r="V255" s="334" t="str">
        <f aca="false">IF((E255="o"),G255," ")</f>
        <v> </v>
      </c>
      <c r="W255" s="334" t="str">
        <f aca="false">IF((E255="f"),G255," ")</f>
        <v> </v>
      </c>
    </row>
    <row r="256" customFormat="false" ht="12.75" hidden="false" customHeight="false" outlineLevel="0" collapsed="false">
      <c r="A256" s="355"/>
      <c r="E256" s="365" t="str">
        <f aca="false">IF((G256&lt;&gt;0),"Enter Letter"," ")</f>
        <v> </v>
      </c>
      <c r="J256" s="334" t="str">
        <f aca="false">IF((E256="s"),G256," ")</f>
        <v> </v>
      </c>
      <c r="K256" s="334" t="str">
        <f aca="false">IF((E256="d"),G256," ")</f>
        <v> </v>
      </c>
      <c r="L256" s="334" t="str">
        <f aca="false">IF((E256="e"),G256," ")</f>
        <v> </v>
      </c>
      <c r="M256" s="334" t="str">
        <f aca="false">IF((E256="p"),G256," ")</f>
        <v> </v>
      </c>
      <c r="N256" s="334" t="str">
        <f aca="false">IF((E256="r"),G256," ")</f>
        <v> </v>
      </c>
      <c r="O256" s="334" t="str">
        <f aca="false">IF((E256="g"),G256," ")</f>
        <v> </v>
      </c>
      <c r="P256" s="334" t="str">
        <f aca="false">IF((E256="m"),G256," ")</f>
        <v> </v>
      </c>
      <c r="Q256" s="334" t="str">
        <f aca="false">IF((E256="t"),G256," ")</f>
        <v> </v>
      </c>
      <c r="R256" s="334" t="str">
        <f aca="false">IF((E256="a"),G256," ")</f>
        <v> </v>
      </c>
      <c r="S256" s="334" t="str">
        <f aca="false">IF((E256="l"),G256," ")</f>
        <v> </v>
      </c>
      <c r="T256" s="334" t="str">
        <f aca="false">IF((E256="b"),G256," ")</f>
        <v> </v>
      </c>
      <c r="U256" s="334" t="str">
        <f aca="false">IF((E256="i"),G256," ")</f>
        <v> </v>
      </c>
      <c r="V256" s="334" t="str">
        <f aca="false">IF((E256="o"),G256," ")</f>
        <v> </v>
      </c>
      <c r="W256" s="334" t="str">
        <f aca="false">IF((E256="f"),G256," ")</f>
        <v> </v>
      </c>
    </row>
    <row r="257" customFormat="false" ht="12.75" hidden="false" customHeight="false" outlineLevel="0" collapsed="false">
      <c r="A257" s="355"/>
      <c r="E257" s="365" t="str">
        <f aca="false">IF((G257&lt;&gt;0),"Enter Letter"," ")</f>
        <v> </v>
      </c>
      <c r="J257" s="334" t="str">
        <f aca="false">IF((E257="s"),G257," ")</f>
        <v> </v>
      </c>
      <c r="K257" s="334" t="str">
        <f aca="false">IF((E257="d"),G257," ")</f>
        <v> </v>
      </c>
      <c r="L257" s="334" t="str">
        <f aca="false">IF((E257="e"),G257," ")</f>
        <v> </v>
      </c>
      <c r="M257" s="334" t="str">
        <f aca="false">IF((E257="p"),G257," ")</f>
        <v> </v>
      </c>
      <c r="N257" s="334" t="str">
        <f aca="false">IF((E257="r"),G257," ")</f>
        <v> </v>
      </c>
      <c r="O257" s="334" t="str">
        <f aca="false">IF((E257="g"),G257," ")</f>
        <v> </v>
      </c>
      <c r="P257" s="334" t="str">
        <f aca="false">IF((E257="m"),G257," ")</f>
        <v> </v>
      </c>
      <c r="Q257" s="334" t="str">
        <f aca="false">IF((E257="t"),G257," ")</f>
        <v> </v>
      </c>
      <c r="R257" s="334" t="str">
        <f aca="false">IF((E257="a"),G257," ")</f>
        <v> </v>
      </c>
      <c r="S257" s="334" t="str">
        <f aca="false">IF((E257="l"),G257," ")</f>
        <v> </v>
      </c>
      <c r="T257" s="334" t="str">
        <f aca="false">IF((E257="b"),G257," ")</f>
        <v> </v>
      </c>
      <c r="U257" s="334" t="str">
        <f aca="false">IF((E257="i"),G257," ")</f>
        <v> </v>
      </c>
      <c r="V257" s="334" t="str">
        <f aca="false">IF((E257="o"),G257," ")</f>
        <v> </v>
      </c>
      <c r="W257" s="334" t="str">
        <f aca="false">IF((E257="f"),G257," ")</f>
        <v> </v>
      </c>
    </row>
    <row r="258" customFormat="false" ht="12.75" hidden="false" customHeight="false" outlineLevel="0" collapsed="false">
      <c r="A258" s="355"/>
      <c r="E258" s="365" t="str">
        <f aca="false">IF((G258&lt;&gt;0),"Enter Letter"," ")</f>
        <v> </v>
      </c>
      <c r="J258" s="334" t="str">
        <f aca="false">IF((E258="s"),G258," ")</f>
        <v> </v>
      </c>
      <c r="K258" s="334" t="str">
        <f aca="false">IF((E258="d"),G258," ")</f>
        <v> </v>
      </c>
      <c r="L258" s="334" t="str">
        <f aca="false">IF((E258="e"),G258," ")</f>
        <v> </v>
      </c>
      <c r="M258" s="334" t="str">
        <f aca="false">IF((E258="p"),G258," ")</f>
        <v> </v>
      </c>
      <c r="N258" s="334" t="str">
        <f aca="false">IF((E258="r"),G258," ")</f>
        <v> </v>
      </c>
      <c r="O258" s="334" t="str">
        <f aca="false">IF((E258="g"),G258," ")</f>
        <v> </v>
      </c>
      <c r="P258" s="334" t="str">
        <f aca="false">IF((E258="m"),G258," ")</f>
        <v> </v>
      </c>
      <c r="Q258" s="334" t="str">
        <f aca="false">IF((E258="t"),G258," ")</f>
        <v> </v>
      </c>
      <c r="R258" s="334" t="str">
        <f aca="false">IF((E258="a"),G258," ")</f>
        <v> </v>
      </c>
      <c r="S258" s="334" t="str">
        <f aca="false">IF((E258="l"),G258," ")</f>
        <v> </v>
      </c>
      <c r="T258" s="334" t="str">
        <f aca="false">IF((E258="b"),G258," ")</f>
        <v> </v>
      </c>
      <c r="U258" s="334" t="str">
        <f aca="false">IF((E258="i"),G258," ")</f>
        <v> </v>
      </c>
      <c r="V258" s="334" t="str">
        <f aca="false">IF((E258="o"),G258," ")</f>
        <v> </v>
      </c>
      <c r="W258" s="334" t="str">
        <f aca="false">IF((E258="f"),G258," ")</f>
        <v> </v>
      </c>
    </row>
    <row r="259" customFormat="false" ht="12.75" hidden="false" customHeight="false" outlineLevel="0" collapsed="false">
      <c r="A259" s="355"/>
      <c r="E259" s="365" t="str">
        <f aca="false">IF((G259&lt;&gt;0),"Enter Letter"," ")</f>
        <v> </v>
      </c>
      <c r="J259" s="334" t="str">
        <f aca="false">IF((E259="s"),G259," ")</f>
        <v> </v>
      </c>
      <c r="K259" s="334" t="str">
        <f aca="false">IF((E259="d"),G259," ")</f>
        <v> </v>
      </c>
      <c r="L259" s="334" t="str">
        <f aca="false">IF((E259="e"),G259," ")</f>
        <v> </v>
      </c>
      <c r="M259" s="334" t="str">
        <f aca="false">IF((E259="p"),G259," ")</f>
        <v> </v>
      </c>
      <c r="N259" s="334" t="str">
        <f aca="false">IF((E259="r"),G259," ")</f>
        <v> </v>
      </c>
      <c r="O259" s="334" t="str">
        <f aca="false">IF((E259="g"),G259," ")</f>
        <v> </v>
      </c>
      <c r="P259" s="334" t="str">
        <f aca="false">IF((E259="m"),G259," ")</f>
        <v> </v>
      </c>
      <c r="Q259" s="334" t="str">
        <f aca="false">IF((E259="t"),G259," ")</f>
        <v> </v>
      </c>
      <c r="R259" s="334" t="str">
        <f aca="false">IF((E259="a"),G259," ")</f>
        <v> </v>
      </c>
      <c r="S259" s="334" t="str">
        <f aca="false">IF((E259="l"),G259," ")</f>
        <v> </v>
      </c>
      <c r="T259" s="334" t="str">
        <f aca="false">IF((E259="b"),G259," ")</f>
        <v> </v>
      </c>
      <c r="U259" s="334" t="str">
        <f aca="false">IF((E259="i"),G259," ")</f>
        <v> </v>
      </c>
      <c r="V259" s="334" t="str">
        <f aca="false">IF((E259="o"),G259," ")</f>
        <v> </v>
      </c>
      <c r="W259" s="334" t="str">
        <f aca="false">IF((E259="f"),G259," ")</f>
        <v> </v>
      </c>
    </row>
    <row r="260" customFormat="false" ht="12.75" hidden="false" customHeight="false" outlineLevel="0" collapsed="false">
      <c r="A260" s="355"/>
      <c r="E260" s="365" t="str">
        <f aca="false">IF((G260&lt;&gt;0),"Enter Letter"," ")</f>
        <v> </v>
      </c>
      <c r="J260" s="334" t="str">
        <f aca="false">IF((E260="s"),G260," ")</f>
        <v> </v>
      </c>
      <c r="K260" s="334" t="str">
        <f aca="false">IF((E260="d"),G260," ")</f>
        <v> </v>
      </c>
      <c r="L260" s="334" t="str">
        <f aca="false">IF((E260="e"),G260," ")</f>
        <v> </v>
      </c>
      <c r="M260" s="334" t="str">
        <f aca="false">IF((E260="p"),G260," ")</f>
        <v> </v>
      </c>
      <c r="N260" s="334" t="str">
        <f aca="false">IF((E260="r"),G260," ")</f>
        <v> </v>
      </c>
      <c r="O260" s="334" t="str">
        <f aca="false">IF((E260="g"),G260," ")</f>
        <v> </v>
      </c>
      <c r="P260" s="334" t="str">
        <f aca="false">IF((E260="m"),G260," ")</f>
        <v> </v>
      </c>
      <c r="Q260" s="334" t="str">
        <f aca="false">IF((E260="t"),G260," ")</f>
        <v> </v>
      </c>
      <c r="R260" s="334" t="str">
        <f aca="false">IF((E260="a"),G260," ")</f>
        <v> </v>
      </c>
      <c r="S260" s="334" t="str">
        <f aca="false">IF((E260="l"),G260," ")</f>
        <v> </v>
      </c>
      <c r="T260" s="334" t="str">
        <f aca="false">IF((E260="b"),G260," ")</f>
        <v> </v>
      </c>
      <c r="U260" s="334" t="str">
        <f aca="false">IF((E260="i"),G260," ")</f>
        <v> </v>
      </c>
      <c r="V260" s="334" t="str">
        <f aca="false">IF((E260="o"),G260," ")</f>
        <v> </v>
      </c>
      <c r="W260" s="334" t="str">
        <f aca="false">IF((E260="f"),G260," ")</f>
        <v> </v>
      </c>
    </row>
    <row r="261" customFormat="false" ht="12.75" hidden="false" customHeight="false" outlineLevel="0" collapsed="false">
      <c r="A261" s="355"/>
      <c r="E261" s="365" t="str">
        <f aca="false">IF((G261&lt;&gt;0),"Enter Letter"," ")</f>
        <v> </v>
      </c>
      <c r="J261" s="334" t="str">
        <f aca="false">IF((E261="s"),G261," ")</f>
        <v> </v>
      </c>
      <c r="K261" s="334" t="str">
        <f aca="false">IF((E261="d"),G261," ")</f>
        <v> </v>
      </c>
      <c r="L261" s="334" t="str">
        <f aca="false">IF((E261="e"),G261," ")</f>
        <v> </v>
      </c>
      <c r="M261" s="334" t="str">
        <f aca="false">IF((E261="p"),G261," ")</f>
        <v> </v>
      </c>
      <c r="N261" s="334" t="str">
        <f aca="false">IF((E261="r"),G261," ")</f>
        <v> </v>
      </c>
      <c r="O261" s="334" t="str">
        <f aca="false">IF((E261="g"),G261," ")</f>
        <v> </v>
      </c>
      <c r="P261" s="334" t="str">
        <f aca="false">IF((E261="m"),G261," ")</f>
        <v> </v>
      </c>
      <c r="Q261" s="334" t="str">
        <f aca="false">IF((E261="t"),G261," ")</f>
        <v> </v>
      </c>
      <c r="R261" s="334" t="str">
        <f aca="false">IF((E261="a"),G261," ")</f>
        <v> </v>
      </c>
      <c r="S261" s="334" t="str">
        <f aca="false">IF((E261="l"),G261," ")</f>
        <v> </v>
      </c>
      <c r="T261" s="334" t="str">
        <f aca="false">IF((E261="b"),G261," ")</f>
        <v> </v>
      </c>
      <c r="U261" s="334" t="str">
        <f aca="false">IF((E261="i"),G261," ")</f>
        <v> </v>
      </c>
      <c r="V261" s="334" t="str">
        <f aca="false">IF((E261="o"),G261," ")</f>
        <v> </v>
      </c>
      <c r="W261" s="334" t="str">
        <f aca="false">IF((E261="f"),G261," ")</f>
        <v> </v>
      </c>
    </row>
    <row r="262" customFormat="false" ht="12.75" hidden="false" customHeight="false" outlineLevel="0" collapsed="false">
      <c r="A262" s="355"/>
      <c r="E262" s="365" t="str">
        <f aca="false">IF((G262&lt;&gt;0),"Enter Letter"," ")</f>
        <v> </v>
      </c>
      <c r="J262" s="334" t="str">
        <f aca="false">IF((E262="s"),G262," ")</f>
        <v> </v>
      </c>
      <c r="K262" s="334" t="str">
        <f aca="false">IF((E262="d"),G262," ")</f>
        <v> </v>
      </c>
      <c r="L262" s="334" t="str">
        <f aca="false">IF((E262="e"),G262," ")</f>
        <v> </v>
      </c>
      <c r="M262" s="334" t="str">
        <f aca="false">IF((E262="p"),G262," ")</f>
        <v> </v>
      </c>
      <c r="N262" s="334" t="str">
        <f aca="false">IF((E262="r"),G262," ")</f>
        <v> </v>
      </c>
      <c r="O262" s="334" t="str">
        <f aca="false">IF((E262="g"),G262," ")</f>
        <v> </v>
      </c>
      <c r="P262" s="334" t="str">
        <f aca="false">IF((E262="m"),G262," ")</f>
        <v> </v>
      </c>
      <c r="Q262" s="334" t="str">
        <f aca="false">IF((E262="t"),G262," ")</f>
        <v> </v>
      </c>
      <c r="R262" s="334" t="str">
        <f aca="false">IF((E262="a"),G262," ")</f>
        <v> </v>
      </c>
      <c r="S262" s="334" t="str">
        <f aca="false">IF((E262="l"),G262," ")</f>
        <v> </v>
      </c>
      <c r="T262" s="334" t="str">
        <f aca="false">IF((E262="b"),G262," ")</f>
        <v> </v>
      </c>
      <c r="U262" s="334" t="str">
        <f aca="false">IF((E262="i"),G262," ")</f>
        <v> </v>
      </c>
      <c r="V262" s="334" t="str">
        <f aca="false">IF((E262="o"),G262," ")</f>
        <v> </v>
      </c>
      <c r="W262" s="334" t="str">
        <f aca="false">IF((E262="f"),G262," ")</f>
        <v> </v>
      </c>
    </row>
    <row r="263" customFormat="false" ht="12.75" hidden="false" customHeight="false" outlineLevel="0" collapsed="false">
      <c r="A263" s="355"/>
      <c r="E263" s="365" t="str">
        <f aca="false">IF((G263&lt;&gt;0),"Enter Letter"," ")</f>
        <v> </v>
      </c>
      <c r="J263" s="334" t="str">
        <f aca="false">IF((E263="s"),G263," ")</f>
        <v> </v>
      </c>
      <c r="K263" s="334" t="str">
        <f aca="false">IF((E263="d"),G263," ")</f>
        <v> </v>
      </c>
      <c r="L263" s="334" t="str">
        <f aca="false">IF((E263="e"),G263," ")</f>
        <v> </v>
      </c>
      <c r="M263" s="334" t="str">
        <f aca="false">IF((E263="p"),G263," ")</f>
        <v> </v>
      </c>
      <c r="N263" s="334" t="str">
        <f aca="false">IF((E263="r"),G263," ")</f>
        <v> </v>
      </c>
      <c r="O263" s="334" t="str">
        <f aca="false">IF((E263="g"),G263," ")</f>
        <v> </v>
      </c>
      <c r="P263" s="334" t="str">
        <f aca="false">IF((E263="m"),G263," ")</f>
        <v> </v>
      </c>
      <c r="Q263" s="334" t="str">
        <f aca="false">IF((E263="t"),G263," ")</f>
        <v> </v>
      </c>
      <c r="R263" s="334" t="str">
        <f aca="false">IF((E263="a"),G263," ")</f>
        <v> </v>
      </c>
      <c r="S263" s="334" t="str">
        <f aca="false">IF((E263="l"),G263," ")</f>
        <v> </v>
      </c>
      <c r="T263" s="334" t="str">
        <f aca="false">IF((E263="b"),G263," ")</f>
        <v> </v>
      </c>
      <c r="U263" s="334" t="str">
        <f aca="false">IF((E263="i"),G263," ")</f>
        <v> </v>
      </c>
      <c r="V263" s="334" t="str">
        <f aca="false">IF((E263="o"),G263," ")</f>
        <v> </v>
      </c>
      <c r="W263" s="334" t="str">
        <f aca="false">IF((E263="f"),G263," ")</f>
        <v> </v>
      </c>
    </row>
    <row r="264" customFormat="false" ht="12.75" hidden="false" customHeight="false" outlineLevel="0" collapsed="false">
      <c r="A264" s="355"/>
      <c r="E264" s="365" t="str">
        <f aca="false">IF((G264&lt;&gt;0),"Enter Letter"," ")</f>
        <v> </v>
      </c>
      <c r="J264" s="334" t="str">
        <f aca="false">IF((E264="s"),G264," ")</f>
        <v> </v>
      </c>
      <c r="K264" s="334" t="str">
        <f aca="false">IF((E264="d"),G264," ")</f>
        <v> </v>
      </c>
      <c r="L264" s="334" t="str">
        <f aca="false">IF((E264="e"),G264," ")</f>
        <v> </v>
      </c>
      <c r="M264" s="334" t="str">
        <f aca="false">IF((E264="p"),G264," ")</f>
        <v> </v>
      </c>
      <c r="N264" s="334" t="str">
        <f aca="false">IF((E264="r"),G264," ")</f>
        <v> </v>
      </c>
      <c r="O264" s="334" t="str">
        <f aca="false">IF((E264="g"),G264," ")</f>
        <v> </v>
      </c>
      <c r="P264" s="334" t="str">
        <f aca="false">IF((E264="m"),G264," ")</f>
        <v> </v>
      </c>
      <c r="Q264" s="334" t="str">
        <f aca="false">IF((E264="t"),G264," ")</f>
        <v> </v>
      </c>
      <c r="R264" s="334" t="str">
        <f aca="false">IF((E264="a"),G264," ")</f>
        <v> </v>
      </c>
      <c r="S264" s="334" t="str">
        <f aca="false">IF((E264="l"),G264," ")</f>
        <v> </v>
      </c>
      <c r="T264" s="334" t="str">
        <f aca="false">IF((E264="b"),G264," ")</f>
        <v> </v>
      </c>
      <c r="U264" s="334" t="str">
        <f aca="false">IF((E264="i"),G264," ")</f>
        <v> </v>
      </c>
      <c r="V264" s="334" t="str">
        <f aca="false">IF((E264="o"),G264," ")</f>
        <v> </v>
      </c>
      <c r="W264" s="334" t="str">
        <f aca="false">IF((E264="f"),G264," ")</f>
        <v> </v>
      </c>
    </row>
    <row r="265" customFormat="false" ht="12.75" hidden="false" customHeight="false" outlineLevel="0" collapsed="false">
      <c r="A265" s="355"/>
      <c r="E265" s="365" t="str">
        <f aca="false">IF((G265&lt;&gt;0),"Enter Letter"," ")</f>
        <v> </v>
      </c>
      <c r="J265" s="334" t="str">
        <f aca="false">IF((E265="s"),G265," ")</f>
        <v> </v>
      </c>
      <c r="K265" s="334" t="str">
        <f aca="false">IF((E265="d"),G265," ")</f>
        <v> </v>
      </c>
      <c r="L265" s="334" t="str">
        <f aca="false">IF((E265="e"),G265," ")</f>
        <v> </v>
      </c>
      <c r="M265" s="334" t="str">
        <f aca="false">IF((E265="p"),G265," ")</f>
        <v> </v>
      </c>
      <c r="N265" s="334" t="str">
        <f aca="false">IF((E265="r"),G265," ")</f>
        <v> </v>
      </c>
      <c r="O265" s="334" t="str">
        <f aca="false">IF((E265="g"),G265," ")</f>
        <v> </v>
      </c>
      <c r="P265" s="334" t="str">
        <f aca="false">IF((E265="m"),G265," ")</f>
        <v> </v>
      </c>
      <c r="Q265" s="334" t="str">
        <f aca="false">IF((E265="t"),G265," ")</f>
        <v> </v>
      </c>
      <c r="R265" s="334" t="str">
        <f aca="false">IF((E265="a"),G265," ")</f>
        <v> </v>
      </c>
      <c r="S265" s="334" t="str">
        <f aca="false">IF((E265="l"),G265," ")</f>
        <v> </v>
      </c>
      <c r="T265" s="334" t="str">
        <f aca="false">IF((E265="b"),G265," ")</f>
        <v> </v>
      </c>
      <c r="U265" s="334" t="str">
        <f aca="false">IF((E265="i"),G265," ")</f>
        <v> </v>
      </c>
      <c r="V265" s="334" t="str">
        <f aca="false">IF((E265="o"),G265," ")</f>
        <v> </v>
      </c>
      <c r="W265" s="334" t="str">
        <f aca="false">IF((E265="f"),G265," ")</f>
        <v> </v>
      </c>
    </row>
    <row r="266" customFormat="false" ht="12.75" hidden="false" customHeight="false" outlineLevel="0" collapsed="false">
      <c r="A266" s="355"/>
      <c r="E266" s="365" t="str">
        <f aca="false">IF((G266&lt;&gt;0),"Enter Letter"," ")</f>
        <v> </v>
      </c>
      <c r="J266" s="334" t="str">
        <f aca="false">IF((E266="s"),G266," ")</f>
        <v> </v>
      </c>
      <c r="K266" s="334" t="str">
        <f aca="false">IF((E266="d"),G266," ")</f>
        <v> </v>
      </c>
      <c r="L266" s="334" t="str">
        <f aca="false">IF((E266="e"),G266," ")</f>
        <v> </v>
      </c>
      <c r="M266" s="334" t="str">
        <f aca="false">IF((E266="p"),G266," ")</f>
        <v> </v>
      </c>
      <c r="N266" s="334" t="str">
        <f aca="false">IF((E266="r"),G266," ")</f>
        <v> </v>
      </c>
      <c r="O266" s="334" t="str">
        <f aca="false">IF((E266="g"),G266," ")</f>
        <v> </v>
      </c>
      <c r="P266" s="334" t="str">
        <f aca="false">IF((E266="m"),G266," ")</f>
        <v> </v>
      </c>
      <c r="Q266" s="334" t="str">
        <f aca="false">IF((E266="t"),G266," ")</f>
        <v> </v>
      </c>
      <c r="R266" s="334" t="str">
        <f aca="false">IF((E266="a"),G266," ")</f>
        <v> </v>
      </c>
      <c r="S266" s="334" t="str">
        <f aca="false">IF((E266="l"),G266," ")</f>
        <v> </v>
      </c>
      <c r="T266" s="334" t="str">
        <f aca="false">IF((E266="b"),G266," ")</f>
        <v> </v>
      </c>
      <c r="U266" s="334" t="str">
        <f aca="false">IF((E266="i"),G266," ")</f>
        <v> </v>
      </c>
      <c r="V266" s="334" t="str">
        <f aca="false">IF((E266="o"),G266," ")</f>
        <v> </v>
      </c>
      <c r="W266" s="334" t="str">
        <f aca="false">IF((E266="f"),G266," ")</f>
        <v> </v>
      </c>
    </row>
    <row r="267" customFormat="false" ht="12.75" hidden="false" customHeight="false" outlineLevel="0" collapsed="false">
      <c r="A267" s="355"/>
      <c r="E267" s="365" t="str">
        <f aca="false">IF((G267&lt;&gt;0),"Enter Letter"," ")</f>
        <v> </v>
      </c>
      <c r="J267" s="334" t="str">
        <f aca="false">IF((E267="s"),G267," ")</f>
        <v> </v>
      </c>
      <c r="K267" s="334" t="str">
        <f aca="false">IF((E267="d"),G267," ")</f>
        <v> </v>
      </c>
      <c r="L267" s="334" t="str">
        <f aca="false">IF((E267="e"),G267," ")</f>
        <v> </v>
      </c>
      <c r="M267" s="334" t="str">
        <f aca="false">IF((E267="p"),G267," ")</f>
        <v> </v>
      </c>
      <c r="N267" s="334" t="str">
        <f aca="false">IF((E267="r"),G267," ")</f>
        <v> </v>
      </c>
      <c r="O267" s="334" t="str">
        <f aca="false">IF((E267="g"),G267," ")</f>
        <v> </v>
      </c>
      <c r="P267" s="334" t="str">
        <f aca="false">IF((E267="m"),G267," ")</f>
        <v> </v>
      </c>
      <c r="Q267" s="334" t="str">
        <f aca="false">IF((E267="t"),G267," ")</f>
        <v> </v>
      </c>
      <c r="R267" s="334" t="str">
        <f aca="false">IF((E267="a"),G267," ")</f>
        <v> </v>
      </c>
      <c r="S267" s="334" t="str">
        <f aca="false">IF((E267="l"),G267," ")</f>
        <v> </v>
      </c>
      <c r="T267" s="334" t="str">
        <f aca="false">IF((E267="b"),G267," ")</f>
        <v> </v>
      </c>
      <c r="U267" s="334" t="str">
        <f aca="false">IF((E267="i"),G267," ")</f>
        <v> </v>
      </c>
      <c r="V267" s="334" t="str">
        <f aca="false">IF((E267="o"),G267," ")</f>
        <v> </v>
      </c>
      <c r="W267" s="334" t="str">
        <f aca="false">IF((E267="f"),G267," ")</f>
        <v> </v>
      </c>
    </row>
    <row r="268" customFormat="false" ht="12.75" hidden="false" customHeight="false" outlineLevel="0" collapsed="false">
      <c r="A268" s="355"/>
      <c r="E268" s="365" t="str">
        <f aca="false">IF((G268&lt;&gt;0),"Enter Letter"," ")</f>
        <v> </v>
      </c>
      <c r="J268" s="334" t="str">
        <f aca="false">IF((E268="s"),G268," ")</f>
        <v> </v>
      </c>
      <c r="K268" s="334" t="str">
        <f aca="false">IF((E268="d"),G268," ")</f>
        <v> </v>
      </c>
      <c r="L268" s="334" t="str">
        <f aca="false">IF((E268="e"),G268," ")</f>
        <v> </v>
      </c>
      <c r="M268" s="334" t="str">
        <f aca="false">IF((E268="p"),G268," ")</f>
        <v> </v>
      </c>
      <c r="N268" s="334" t="str">
        <f aca="false">IF((E268="r"),G268," ")</f>
        <v> </v>
      </c>
      <c r="O268" s="334" t="str">
        <f aca="false">IF((E268="g"),G268," ")</f>
        <v> </v>
      </c>
      <c r="P268" s="334" t="str">
        <f aca="false">IF((E268="m"),G268," ")</f>
        <v> </v>
      </c>
      <c r="Q268" s="334" t="str">
        <f aca="false">IF((E268="t"),G268," ")</f>
        <v> </v>
      </c>
      <c r="R268" s="334" t="str">
        <f aca="false">IF((E268="a"),G268," ")</f>
        <v> </v>
      </c>
      <c r="S268" s="334" t="str">
        <f aca="false">IF((E268="l"),G268," ")</f>
        <v> </v>
      </c>
      <c r="T268" s="334" t="str">
        <f aca="false">IF((E268="b"),G268," ")</f>
        <v> </v>
      </c>
      <c r="U268" s="334" t="str">
        <f aca="false">IF((E268="i"),G268," ")</f>
        <v> </v>
      </c>
      <c r="V268" s="334" t="str">
        <f aca="false">IF((E268="o"),G268," ")</f>
        <v> </v>
      </c>
      <c r="W268" s="334" t="str">
        <f aca="false">IF((E268="f"),G268," ")</f>
        <v> </v>
      </c>
    </row>
    <row r="269" customFormat="false" ht="12.75" hidden="false" customHeight="false" outlineLevel="0" collapsed="false">
      <c r="A269" s="355"/>
      <c r="E269" s="365" t="str">
        <f aca="false">IF((G269&lt;&gt;0),"Enter Letter"," ")</f>
        <v> </v>
      </c>
      <c r="J269" s="334" t="str">
        <f aca="false">IF((E269="s"),G269," ")</f>
        <v> </v>
      </c>
      <c r="K269" s="334" t="str">
        <f aca="false">IF((E269="d"),G269," ")</f>
        <v> </v>
      </c>
      <c r="L269" s="334" t="str">
        <f aca="false">IF((E269="e"),G269," ")</f>
        <v> </v>
      </c>
      <c r="M269" s="334" t="str">
        <f aca="false">IF((E269="p"),G269," ")</f>
        <v> </v>
      </c>
      <c r="N269" s="334" t="str">
        <f aca="false">IF((E269="r"),G269," ")</f>
        <v> </v>
      </c>
      <c r="O269" s="334" t="str">
        <f aca="false">IF((E269="g"),G269," ")</f>
        <v> </v>
      </c>
      <c r="P269" s="334" t="str">
        <f aca="false">IF((E269="m"),G269," ")</f>
        <v> </v>
      </c>
      <c r="Q269" s="334" t="str">
        <f aca="false">IF((E269="t"),G269," ")</f>
        <v> </v>
      </c>
      <c r="R269" s="334" t="str">
        <f aca="false">IF((E269="a"),G269," ")</f>
        <v> </v>
      </c>
      <c r="S269" s="334" t="str">
        <f aca="false">IF((E269="l"),G269," ")</f>
        <v> </v>
      </c>
      <c r="T269" s="334" t="str">
        <f aca="false">IF((E269="b"),G269," ")</f>
        <v> </v>
      </c>
      <c r="U269" s="334" t="str">
        <f aca="false">IF((E269="i"),G269," ")</f>
        <v> </v>
      </c>
      <c r="V269" s="334" t="str">
        <f aca="false">IF((E269="o"),G269," ")</f>
        <v> </v>
      </c>
      <c r="W269" s="334" t="str">
        <f aca="false">IF((E269="f"),G269," ")</f>
        <v> </v>
      </c>
    </row>
    <row r="270" customFormat="false" ht="12.75" hidden="false" customHeight="false" outlineLevel="0" collapsed="false">
      <c r="A270" s="355"/>
      <c r="E270" s="365" t="str">
        <f aca="false">IF((G270&lt;&gt;0),"Enter Letter"," ")</f>
        <v> </v>
      </c>
      <c r="J270" s="334" t="str">
        <f aca="false">IF((E270="s"),G270," ")</f>
        <v> </v>
      </c>
      <c r="K270" s="334" t="str">
        <f aca="false">IF((E270="d"),G270," ")</f>
        <v> </v>
      </c>
      <c r="L270" s="334" t="str">
        <f aca="false">IF((E270="e"),G270," ")</f>
        <v> </v>
      </c>
      <c r="M270" s="334" t="str">
        <f aca="false">IF((E270="p"),G270," ")</f>
        <v> </v>
      </c>
      <c r="N270" s="334" t="str">
        <f aca="false">IF((E270="r"),G270," ")</f>
        <v> </v>
      </c>
      <c r="O270" s="334" t="str">
        <f aca="false">IF((E270="g"),G270," ")</f>
        <v> </v>
      </c>
      <c r="P270" s="334" t="str">
        <f aca="false">IF((E270="m"),G270," ")</f>
        <v> </v>
      </c>
      <c r="Q270" s="334" t="str">
        <f aca="false">IF((E270="t"),G270," ")</f>
        <v> </v>
      </c>
      <c r="R270" s="334" t="str">
        <f aca="false">IF((E270="a"),G270," ")</f>
        <v> </v>
      </c>
      <c r="S270" s="334" t="str">
        <f aca="false">IF((E270="l"),G270," ")</f>
        <v> </v>
      </c>
      <c r="T270" s="334" t="str">
        <f aca="false">IF((E270="b"),G270," ")</f>
        <v> </v>
      </c>
      <c r="U270" s="334" t="str">
        <f aca="false">IF((E270="i"),G270," ")</f>
        <v> </v>
      </c>
      <c r="V270" s="334" t="str">
        <f aca="false">IF((E270="o"),G270," ")</f>
        <v> </v>
      </c>
      <c r="W270" s="334" t="str">
        <f aca="false">IF((E270="f"),G270," ")</f>
        <v> </v>
      </c>
    </row>
    <row r="271" customFormat="false" ht="12.75" hidden="false" customHeight="false" outlineLevel="0" collapsed="false">
      <c r="A271" s="355"/>
      <c r="E271" s="365" t="str">
        <f aca="false">IF((G271&lt;&gt;0),"Enter Letter"," ")</f>
        <v> </v>
      </c>
      <c r="J271" s="334" t="str">
        <f aca="false">IF((E271="s"),G271," ")</f>
        <v> </v>
      </c>
      <c r="K271" s="334" t="str">
        <f aca="false">IF((E271="d"),G271," ")</f>
        <v> </v>
      </c>
      <c r="L271" s="334" t="str">
        <f aca="false">IF((E271="e"),G271," ")</f>
        <v> </v>
      </c>
      <c r="M271" s="334" t="str">
        <f aca="false">IF((E271="p"),G271," ")</f>
        <v> </v>
      </c>
      <c r="N271" s="334" t="str">
        <f aca="false">IF((E271="r"),G271," ")</f>
        <v> </v>
      </c>
      <c r="O271" s="334" t="str">
        <f aca="false">IF((E271="g"),G271," ")</f>
        <v> </v>
      </c>
      <c r="P271" s="334" t="str">
        <f aca="false">IF((E271="m"),G271," ")</f>
        <v> </v>
      </c>
      <c r="Q271" s="334" t="str">
        <f aca="false">IF((E271="t"),G271," ")</f>
        <v> </v>
      </c>
      <c r="R271" s="334" t="str">
        <f aca="false">IF((E271="a"),G271," ")</f>
        <v> </v>
      </c>
      <c r="S271" s="334" t="str">
        <f aca="false">IF((E271="l"),G271," ")</f>
        <v> </v>
      </c>
      <c r="T271" s="334" t="str">
        <f aca="false">IF((E271="b"),G271," ")</f>
        <v> </v>
      </c>
      <c r="U271" s="334" t="str">
        <f aca="false">IF((E271="i"),G271," ")</f>
        <v> </v>
      </c>
      <c r="V271" s="334" t="str">
        <f aca="false">IF((E271="o"),G271," ")</f>
        <v> </v>
      </c>
      <c r="W271" s="334" t="str">
        <f aca="false">IF((E271="f"),G271," ")</f>
        <v> </v>
      </c>
    </row>
    <row r="272" customFormat="false" ht="12.75" hidden="false" customHeight="false" outlineLevel="0" collapsed="false">
      <c r="A272" s="355"/>
      <c r="E272" s="365" t="str">
        <f aca="false">IF((G272&lt;&gt;0),"Enter Letter"," ")</f>
        <v> </v>
      </c>
      <c r="J272" s="334" t="str">
        <f aca="false">IF((E272="s"),G272," ")</f>
        <v> </v>
      </c>
      <c r="K272" s="334" t="str">
        <f aca="false">IF((E272="d"),G272," ")</f>
        <v> </v>
      </c>
      <c r="L272" s="334" t="str">
        <f aca="false">IF((E272="e"),G272," ")</f>
        <v> </v>
      </c>
      <c r="M272" s="334" t="str">
        <f aca="false">IF((E272="p"),G272," ")</f>
        <v> </v>
      </c>
      <c r="N272" s="334" t="str">
        <f aca="false">IF((E272="r"),G272," ")</f>
        <v> </v>
      </c>
      <c r="O272" s="334" t="str">
        <f aca="false">IF((E272="g"),G272," ")</f>
        <v> </v>
      </c>
      <c r="P272" s="334" t="str">
        <f aca="false">IF((E272="m"),G272," ")</f>
        <v> </v>
      </c>
      <c r="Q272" s="334" t="str">
        <f aca="false">IF((E272="t"),G272," ")</f>
        <v> </v>
      </c>
      <c r="R272" s="334" t="str">
        <f aca="false">IF((E272="a"),G272," ")</f>
        <v> </v>
      </c>
      <c r="S272" s="334" t="str">
        <f aca="false">IF((E272="l"),G272," ")</f>
        <v> </v>
      </c>
      <c r="T272" s="334" t="str">
        <f aca="false">IF((E272="b"),G272," ")</f>
        <v> </v>
      </c>
      <c r="U272" s="334" t="str">
        <f aca="false">IF((E272="i"),G272," ")</f>
        <v> </v>
      </c>
      <c r="V272" s="334" t="str">
        <f aca="false">IF((E272="o"),G272," ")</f>
        <v> </v>
      </c>
      <c r="W272" s="334" t="str">
        <f aca="false">IF((E272="f"),G272," ")</f>
        <v> </v>
      </c>
    </row>
    <row r="273" customFormat="false" ht="12.75" hidden="false" customHeight="false" outlineLevel="0" collapsed="false">
      <c r="A273" s="355"/>
      <c r="E273" s="365" t="str">
        <f aca="false">IF((G273&lt;&gt;0),"Enter Letter"," ")</f>
        <v> </v>
      </c>
      <c r="J273" s="334" t="str">
        <f aca="false">IF((E273="s"),G273," ")</f>
        <v> </v>
      </c>
      <c r="K273" s="334" t="str">
        <f aca="false">IF((E273="d"),G273," ")</f>
        <v> </v>
      </c>
      <c r="L273" s="334" t="str">
        <f aca="false">IF((E273="e"),G273," ")</f>
        <v> </v>
      </c>
      <c r="M273" s="334" t="str">
        <f aca="false">IF((E273="p"),G273," ")</f>
        <v> </v>
      </c>
      <c r="N273" s="334" t="str">
        <f aca="false">IF((E273="r"),G273," ")</f>
        <v> </v>
      </c>
      <c r="O273" s="334" t="str">
        <f aca="false">IF((E273="g"),G273," ")</f>
        <v> </v>
      </c>
      <c r="P273" s="334" t="str">
        <f aca="false">IF((E273="m"),G273," ")</f>
        <v> </v>
      </c>
      <c r="Q273" s="334" t="str">
        <f aca="false">IF((E273="t"),G273," ")</f>
        <v> </v>
      </c>
      <c r="R273" s="334" t="str">
        <f aca="false">IF((E273="a"),G273," ")</f>
        <v> </v>
      </c>
      <c r="S273" s="334" t="str">
        <f aca="false">IF((E273="l"),G273," ")</f>
        <v> </v>
      </c>
      <c r="T273" s="334" t="str">
        <f aca="false">IF((E273="b"),G273," ")</f>
        <v> </v>
      </c>
      <c r="U273" s="334" t="str">
        <f aca="false">IF((E273="i"),G273," ")</f>
        <v> </v>
      </c>
      <c r="V273" s="334" t="str">
        <f aca="false">IF((E273="o"),G273," ")</f>
        <v> </v>
      </c>
      <c r="W273" s="334" t="str">
        <f aca="false">IF((E273="f"),G273," ")</f>
        <v> </v>
      </c>
    </row>
    <row r="274" customFormat="false" ht="12.75" hidden="false" customHeight="false" outlineLevel="0" collapsed="false">
      <c r="A274" s="355"/>
      <c r="E274" s="365" t="str">
        <f aca="false">IF((G274&lt;&gt;0),"Enter Letter"," ")</f>
        <v> </v>
      </c>
      <c r="J274" s="334" t="str">
        <f aca="false">IF((E274="s"),G274," ")</f>
        <v> </v>
      </c>
      <c r="K274" s="334" t="str">
        <f aca="false">IF((E274="d"),G274," ")</f>
        <v> </v>
      </c>
      <c r="L274" s="334" t="str">
        <f aca="false">IF((E274="e"),G274," ")</f>
        <v> </v>
      </c>
      <c r="M274" s="334" t="str">
        <f aca="false">IF((E274="p"),G274," ")</f>
        <v> </v>
      </c>
      <c r="N274" s="334" t="str">
        <f aca="false">IF((E274="r"),G274," ")</f>
        <v> </v>
      </c>
      <c r="O274" s="334" t="str">
        <f aca="false">IF((E274="g"),G274," ")</f>
        <v> </v>
      </c>
      <c r="P274" s="334" t="str">
        <f aca="false">IF((E274="m"),G274," ")</f>
        <v> </v>
      </c>
      <c r="Q274" s="334" t="str">
        <f aca="false">IF((E274="t"),G274," ")</f>
        <v> </v>
      </c>
      <c r="R274" s="334" t="str">
        <f aca="false">IF((E274="a"),G274," ")</f>
        <v> </v>
      </c>
      <c r="S274" s="334" t="str">
        <f aca="false">IF((E274="l"),G274," ")</f>
        <v> </v>
      </c>
      <c r="T274" s="334" t="str">
        <f aca="false">IF((E274="b"),G274," ")</f>
        <v> </v>
      </c>
      <c r="U274" s="334" t="str">
        <f aca="false">IF((E274="i"),G274," ")</f>
        <v> </v>
      </c>
      <c r="V274" s="334" t="str">
        <f aca="false">IF((E274="o"),G274," ")</f>
        <v> </v>
      </c>
      <c r="W274" s="334" t="str">
        <f aca="false">IF((E274="f"),G274," ")</f>
        <v> </v>
      </c>
    </row>
    <row r="275" customFormat="false" ht="12.75" hidden="false" customHeight="false" outlineLevel="0" collapsed="false">
      <c r="A275" s="355"/>
      <c r="E275" s="365" t="str">
        <f aca="false">IF((G275&lt;&gt;0),"Enter Letter"," ")</f>
        <v> </v>
      </c>
      <c r="J275" s="334" t="str">
        <f aca="false">IF((E275="s"),G275," ")</f>
        <v> </v>
      </c>
      <c r="K275" s="334" t="str">
        <f aca="false">IF((E275="d"),G275," ")</f>
        <v> </v>
      </c>
      <c r="L275" s="334" t="str">
        <f aca="false">IF((E275="e"),G275," ")</f>
        <v> </v>
      </c>
      <c r="M275" s="334" t="str">
        <f aca="false">IF((E275="p"),G275," ")</f>
        <v> </v>
      </c>
      <c r="N275" s="334" t="str">
        <f aca="false">IF((E275="r"),G275," ")</f>
        <v> </v>
      </c>
      <c r="O275" s="334" t="str">
        <f aca="false">IF((E275="g"),G275," ")</f>
        <v> </v>
      </c>
      <c r="P275" s="334" t="str">
        <f aca="false">IF((E275="m"),G275," ")</f>
        <v> </v>
      </c>
      <c r="Q275" s="334" t="str">
        <f aca="false">IF((E275="t"),G275," ")</f>
        <v> </v>
      </c>
      <c r="R275" s="334" t="str">
        <f aca="false">IF((E275="a"),G275," ")</f>
        <v> </v>
      </c>
      <c r="S275" s="334" t="str">
        <f aca="false">IF((E275="l"),G275," ")</f>
        <v> </v>
      </c>
      <c r="T275" s="334" t="str">
        <f aca="false">IF((E275="b"),G275," ")</f>
        <v> </v>
      </c>
      <c r="U275" s="334" t="str">
        <f aca="false">IF((E275="i"),G275," ")</f>
        <v> </v>
      </c>
      <c r="V275" s="334" t="str">
        <f aca="false">IF((E275="o"),G275," ")</f>
        <v> </v>
      </c>
      <c r="W275" s="334" t="str">
        <f aca="false">IF((E275="f"),G275," ")</f>
        <v> </v>
      </c>
    </row>
    <row r="276" customFormat="false" ht="12.75" hidden="false" customHeight="false" outlineLevel="0" collapsed="false">
      <c r="A276" s="355"/>
      <c r="E276" s="365" t="str">
        <f aca="false">IF((G276&lt;&gt;0),"Enter Letter"," ")</f>
        <v> </v>
      </c>
      <c r="J276" s="334" t="str">
        <f aca="false">IF((E276="s"),G276," ")</f>
        <v> </v>
      </c>
      <c r="K276" s="334" t="str">
        <f aca="false">IF((E276="d"),G276," ")</f>
        <v> </v>
      </c>
      <c r="L276" s="334" t="str">
        <f aca="false">IF((E276="e"),G276," ")</f>
        <v> </v>
      </c>
      <c r="M276" s="334" t="str">
        <f aca="false">IF((E276="p"),G276," ")</f>
        <v> </v>
      </c>
      <c r="N276" s="334" t="str">
        <f aca="false">IF((E276="r"),G276," ")</f>
        <v> </v>
      </c>
      <c r="O276" s="334" t="str">
        <f aca="false">IF((E276="g"),G276," ")</f>
        <v> </v>
      </c>
      <c r="P276" s="334" t="str">
        <f aca="false">IF((E276="m"),G276," ")</f>
        <v> </v>
      </c>
      <c r="Q276" s="334" t="str">
        <f aca="false">IF((E276="t"),G276," ")</f>
        <v> </v>
      </c>
      <c r="R276" s="334" t="str">
        <f aca="false">IF((E276="a"),G276," ")</f>
        <v> </v>
      </c>
      <c r="S276" s="334" t="str">
        <f aca="false">IF((E276="l"),G276," ")</f>
        <v> </v>
      </c>
      <c r="T276" s="334" t="str">
        <f aca="false">IF((E276="b"),G276," ")</f>
        <v> </v>
      </c>
      <c r="U276" s="334" t="str">
        <f aca="false">IF((E276="i"),G276," ")</f>
        <v> </v>
      </c>
      <c r="V276" s="334" t="str">
        <f aca="false">IF((E276="o"),G276," ")</f>
        <v> </v>
      </c>
      <c r="W276" s="334" t="str">
        <f aca="false">IF((E276="f"),G276," ")</f>
        <v> </v>
      </c>
    </row>
    <row r="277" customFormat="false" ht="12.75" hidden="false" customHeight="false" outlineLevel="0" collapsed="false">
      <c r="A277" s="355"/>
      <c r="E277" s="365" t="str">
        <f aca="false">IF((G277&lt;&gt;0),"Enter Letter"," ")</f>
        <v> </v>
      </c>
      <c r="J277" s="334" t="str">
        <f aca="false">IF((E277="s"),G277," ")</f>
        <v> </v>
      </c>
      <c r="K277" s="334" t="str">
        <f aca="false">IF((E277="d"),G277," ")</f>
        <v> </v>
      </c>
      <c r="L277" s="334" t="str">
        <f aca="false">IF((E277="e"),G277," ")</f>
        <v> </v>
      </c>
      <c r="M277" s="334" t="str">
        <f aca="false">IF((E277="p"),G277," ")</f>
        <v> </v>
      </c>
      <c r="N277" s="334" t="str">
        <f aca="false">IF((E277="r"),G277," ")</f>
        <v> </v>
      </c>
      <c r="O277" s="334" t="str">
        <f aca="false">IF((E277="g"),G277," ")</f>
        <v> </v>
      </c>
      <c r="P277" s="334" t="str">
        <f aca="false">IF((E277="m"),G277," ")</f>
        <v> </v>
      </c>
      <c r="Q277" s="334" t="str">
        <f aca="false">IF((E277="t"),G277," ")</f>
        <v> </v>
      </c>
      <c r="R277" s="334" t="str">
        <f aca="false">IF((E277="a"),G277," ")</f>
        <v> </v>
      </c>
      <c r="S277" s="334" t="str">
        <f aca="false">IF((E277="l"),G277," ")</f>
        <v> </v>
      </c>
      <c r="T277" s="334" t="str">
        <f aca="false">IF((E277="b"),G277," ")</f>
        <v> </v>
      </c>
      <c r="U277" s="334" t="str">
        <f aca="false">IF((E277="i"),G277," ")</f>
        <v> </v>
      </c>
      <c r="V277" s="334" t="str">
        <f aca="false">IF((E277="o"),G277," ")</f>
        <v> </v>
      </c>
      <c r="W277" s="334" t="str">
        <f aca="false">IF((E277="f"),G277," ")</f>
        <v> </v>
      </c>
    </row>
    <row r="278" customFormat="false" ht="12.75" hidden="false" customHeight="false" outlineLevel="0" collapsed="false">
      <c r="A278" s="355"/>
      <c r="E278" s="365" t="str">
        <f aca="false">IF((G278&lt;&gt;0),"Enter Letter"," ")</f>
        <v> </v>
      </c>
      <c r="J278" s="334" t="str">
        <f aca="false">IF((E278="s"),G278," ")</f>
        <v> </v>
      </c>
      <c r="K278" s="334" t="str">
        <f aca="false">IF((E278="d"),G278," ")</f>
        <v> </v>
      </c>
      <c r="L278" s="334" t="str">
        <f aca="false">IF((E278="e"),G278," ")</f>
        <v> </v>
      </c>
      <c r="M278" s="334" t="str">
        <f aca="false">IF((E278="p"),G278," ")</f>
        <v> </v>
      </c>
      <c r="N278" s="334" t="str">
        <f aca="false">IF((E278="r"),G278," ")</f>
        <v> </v>
      </c>
      <c r="O278" s="334" t="str">
        <f aca="false">IF((E278="g"),G278," ")</f>
        <v> </v>
      </c>
      <c r="P278" s="334" t="str">
        <f aca="false">IF((E278="m"),G278," ")</f>
        <v> </v>
      </c>
      <c r="Q278" s="334" t="str">
        <f aca="false">IF((E278="t"),G278," ")</f>
        <v> </v>
      </c>
      <c r="R278" s="334" t="str">
        <f aca="false">IF((E278="a"),G278," ")</f>
        <v> </v>
      </c>
      <c r="S278" s="334" t="str">
        <f aca="false">IF((E278="l"),G278," ")</f>
        <v> </v>
      </c>
      <c r="T278" s="334" t="str">
        <f aca="false">IF((E278="b"),G278," ")</f>
        <v> </v>
      </c>
      <c r="U278" s="334" t="str">
        <f aca="false">IF((E278="i"),G278," ")</f>
        <v> </v>
      </c>
      <c r="V278" s="334" t="str">
        <f aca="false">IF((E278="o"),G278," ")</f>
        <v> </v>
      </c>
      <c r="W278" s="334" t="str">
        <f aca="false">IF((E278="f"),G278," ")</f>
        <v> </v>
      </c>
    </row>
    <row r="279" customFormat="false" ht="12.75" hidden="false" customHeight="false" outlineLevel="0" collapsed="false">
      <c r="A279" s="355"/>
      <c r="E279" s="365" t="str">
        <f aca="false">IF((G279&lt;&gt;0),"Enter Letter"," ")</f>
        <v> </v>
      </c>
      <c r="J279" s="334" t="str">
        <f aca="false">IF((E279="s"),G279," ")</f>
        <v> </v>
      </c>
      <c r="K279" s="334" t="str">
        <f aca="false">IF((E279="d"),G279," ")</f>
        <v> </v>
      </c>
      <c r="L279" s="334" t="str">
        <f aca="false">IF((E279="e"),G279," ")</f>
        <v> </v>
      </c>
      <c r="M279" s="334" t="str">
        <f aca="false">IF((E279="p"),G279," ")</f>
        <v> </v>
      </c>
      <c r="N279" s="334" t="str">
        <f aca="false">IF((E279="r"),G279," ")</f>
        <v> </v>
      </c>
      <c r="O279" s="334" t="str">
        <f aca="false">IF((E279="g"),G279," ")</f>
        <v> </v>
      </c>
      <c r="P279" s="334" t="str">
        <f aca="false">IF((E279="m"),G279," ")</f>
        <v> </v>
      </c>
      <c r="Q279" s="334" t="str">
        <f aca="false">IF((E279="t"),G279," ")</f>
        <v> </v>
      </c>
      <c r="R279" s="334" t="str">
        <f aca="false">IF((E279="a"),G279," ")</f>
        <v> </v>
      </c>
      <c r="S279" s="334" t="str">
        <f aca="false">IF((E279="l"),G279," ")</f>
        <v> </v>
      </c>
      <c r="T279" s="334" t="str">
        <f aca="false">IF((E279="b"),G279," ")</f>
        <v> </v>
      </c>
      <c r="U279" s="334" t="str">
        <f aca="false">IF((E279="i"),G279," ")</f>
        <v> </v>
      </c>
      <c r="V279" s="334" t="str">
        <f aca="false">IF((E279="o"),G279," ")</f>
        <v> </v>
      </c>
      <c r="W279" s="334" t="str">
        <f aca="false">IF((E279="f"),G279," ")</f>
        <v> </v>
      </c>
    </row>
    <row r="280" customFormat="false" ht="12.75" hidden="false" customHeight="false" outlineLevel="0" collapsed="false">
      <c r="A280" s="355"/>
      <c r="E280" s="365" t="str">
        <f aca="false">IF((G280&lt;&gt;0),"Enter Letter"," ")</f>
        <v> </v>
      </c>
      <c r="J280" s="334" t="str">
        <f aca="false">IF((E280="s"),G280," ")</f>
        <v> </v>
      </c>
      <c r="K280" s="334" t="str">
        <f aca="false">IF((E280="d"),G280," ")</f>
        <v> </v>
      </c>
      <c r="L280" s="334" t="str">
        <f aca="false">IF((E280="e"),G280," ")</f>
        <v> </v>
      </c>
      <c r="M280" s="334" t="str">
        <f aca="false">IF((E280="p"),G280," ")</f>
        <v> </v>
      </c>
      <c r="N280" s="334" t="str">
        <f aca="false">IF((E280="r"),G280," ")</f>
        <v> </v>
      </c>
      <c r="O280" s="334" t="str">
        <f aca="false">IF((E280="g"),G280," ")</f>
        <v> </v>
      </c>
      <c r="P280" s="334" t="str">
        <f aca="false">IF((E280="m"),G280," ")</f>
        <v> </v>
      </c>
      <c r="Q280" s="334" t="str">
        <f aca="false">IF((E280="t"),G280," ")</f>
        <v> </v>
      </c>
      <c r="R280" s="334" t="str">
        <f aca="false">IF((E280="a"),G280," ")</f>
        <v> </v>
      </c>
      <c r="S280" s="334" t="str">
        <f aca="false">IF((E280="l"),G280," ")</f>
        <v> </v>
      </c>
      <c r="T280" s="334" t="str">
        <f aca="false">IF((E280="b"),G280," ")</f>
        <v> </v>
      </c>
      <c r="U280" s="334" t="str">
        <f aca="false">IF((E280="i"),G280," ")</f>
        <v> </v>
      </c>
      <c r="V280" s="334" t="str">
        <f aca="false">IF((E280="o"),G280," ")</f>
        <v> </v>
      </c>
      <c r="W280" s="334" t="str">
        <f aca="false">IF((E280="f"),G280," ")</f>
        <v> </v>
      </c>
    </row>
    <row r="281" customFormat="false" ht="12.75" hidden="false" customHeight="false" outlineLevel="0" collapsed="false">
      <c r="A281" s="355"/>
      <c r="E281" s="365" t="str">
        <f aca="false">IF((G281&lt;&gt;0),"Enter Letter"," ")</f>
        <v> </v>
      </c>
      <c r="J281" s="334" t="str">
        <f aca="false">IF((E281="s"),G281," ")</f>
        <v> </v>
      </c>
      <c r="K281" s="334" t="str">
        <f aca="false">IF((E281="d"),G281," ")</f>
        <v> </v>
      </c>
      <c r="L281" s="334" t="str">
        <f aca="false">IF((E281="e"),G281," ")</f>
        <v> </v>
      </c>
      <c r="M281" s="334" t="str">
        <f aca="false">IF((E281="p"),G281," ")</f>
        <v> </v>
      </c>
      <c r="N281" s="334" t="str">
        <f aca="false">IF((E281="r"),G281," ")</f>
        <v> </v>
      </c>
      <c r="O281" s="334" t="str">
        <f aca="false">IF((E281="g"),G281," ")</f>
        <v> </v>
      </c>
      <c r="P281" s="334" t="str">
        <f aca="false">IF((E281="m"),G281," ")</f>
        <v> </v>
      </c>
      <c r="Q281" s="334" t="str">
        <f aca="false">IF((E281="t"),G281," ")</f>
        <v> </v>
      </c>
      <c r="R281" s="334" t="str">
        <f aca="false">IF((E281="a"),G281," ")</f>
        <v> </v>
      </c>
      <c r="S281" s="334" t="str">
        <f aca="false">IF((E281="l"),G281," ")</f>
        <v> </v>
      </c>
      <c r="T281" s="334" t="str">
        <f aca="false">IF((E281="b"),G281," ")</f>
        <v> </v>
      </c>
      <c r="U281" s="334" t="str">
        <f aca="false">IF((E281="i"),G281," ")</f>
        <v> </v>
      </c>
      <c r="V281" s="334" t="str">
        <f aca="false">IF((E281="o"),G281," ")</f>
        <v> </v>
      </c>
      <c r="W281" s="334" t="str">
        <f aca="false">IF((E281="f"),G281," ")</f>
        <v> </v>
      </c>
    </row>
    <row r="282" customFormat="false" ht="12.75" hidden="false" customHeight="false" outlineLevel="0" collapsed="false">
      <c r="A282" s="355"/>
      <c r="E282" s="365" t="str">
        <f aca="false">IF((G282&lt;&gt;0),"Enter Letter"," ")</f>
        <v> </v>
      </c>
      <c r="J282" s="334" t="str">
        <f aca="false">IF((E282="s"),G282," ")</f>
        <v> </v>
      </c>
      <c r="K282" s="334" t="str">
        <f aca="false">IF((E282="d"),G282," ")</f>
        <v> </v>
      </c>
      <c r="L282" s="334" t="str">
        <f aca="false">IF((E282="e"),G282," ")</f>
        <v> </v>
      </c>
      <c r="M282" s="334" t="str">
        <f aca="false">IF((E282="p"),G282," ")</f>
        <v> </v>
      </c>
      <c r="N282" s="334" t="str">
        <f aca="false">IF((E282="r"),G282," ")</f>
        <v> </v>
      </c>
      <c r="O282" s="334" t="str">
        <f aca="false">IF((E282="g"),G282," ")</f>
        <v> </v>
      </c>
      <c r="P282" s="334" t="str">
        <f aca="false">IF((E282="m"),G282," ")</f>
        <v> </v>
      </c>
      <c r="Q282" s="334" t="str">
        <f aca="false">IF((E282="t"),G282," ")</f>
        <v> </v>
      </c>
      <c r="R282" s="334" t="str">
        <f aca="false">IF((E282="a"),G282," ")</f>
        <v> </v>
      </c>
      <c r="S282" s="334" t="str">
        <f aca="false">IF((E282="l"),G282," ")</f>
        <v> </v>
      </c>
      <c r="T282" s="334" t="str">
        <f aca="false">IF((E282="b"),G282," ")</f>
        <v> </v>
      </c>
      <c r="U282" s="334" t="str">
        <f aca="false">IF((E282="i"),G282," ")</f>
        <v> </v>
      </c>
      <c r="V282" s="334" t="str">
        <f aca="false">IF((E282="o"),G282," ")</f>
        <v> </v>
      </c>
      <c r="W282" s="334" t="str">
        <f aca="false">IF((E282="f"),G282," ")</f>
        <v> </v>
      </c>
    </row>
    <row r="283" customFormat="false" ht="12.75" hidden="false" customHeight="false" outlineLevel="0" collapsed="false">
      <c r="A283" s="355"/>
      <c r="E283" s="365" t="str">
        <f aca="false">IF((G283&lt;&gt;0),"Enter Letter"," ")</f>
        <v> </v>
      </c>
      <c r="J283" s="334" t="str">
        <f aca="false">IF((E283="s"),G283," ")</f>
        <v> </v>
      </c>
      <c r="K283" s="334" t="str">
        <f aca="false">IF((E283="d"),G283," ")</f>
        <v> </v>
      </c>
      <c r="L283" s="334" t="str">
        <f aca="false">IF((E283="e"),G283," ")</f>
        <v> </v>
      </c>
      <c r="M283" s="334" t="str">
        <f aca="false">IF((E283="p"),G283," ")</f>
        <v> </v>
      </c>
      <c r="N283" s="334" t="str">
        <f aca="false">IF((E283="r"),G283," ")</f>
        <v> </v>
      </c>
      <c r="O283" s="334" t="str">
        <f aca="false">IF((E283="g"),G283," ")</f>
        <v> </v>
      </c>
      <c r="P283" s="334" t="str">
        <f aca="false">IF((E283="m"),G283," ")</f>
        <v> </v>
      </c>
      <c r="Q283" s="334" t="str">
        <f aca="false">IF((E283="t"),G283," ")</f>
        <v> </v>
      </c>
      <c r="R283" s="334" t="str">
        <f aca="false">IF((E283="a"),G283," ")</f>
        <v> </v>
      </c>
      <c r="S283" s="334" t="str">
        <f aca="false">IF((E283="l"),G283," ")</f>
        <v> </v>
      </c>
      <c r="T283" s="334" t="str">
        <f aca="false">IF((E283="b"),G283," ")</f>
        <v> </v>
      </c>
      <c r="U283" s="334" t="str">
        <f aca="false">IF((E283="i"),G283," ")</f>
        <v> </v>
      </c>
      <c r="V283" s="334" t="str">
        <f aca="false">IF((E283="o"),G283," ")</f>
        <v> </v>
      </c>
      <c r="W283" s="334" t="str">
        <f aca="false">IF((E283="f"),G283," ")</f>
        <v> </v>
      </c>
    </row>
    <row r="284" customFormat="false" ht="12.75" hidden="false" customHeight="false" outlineLevel="0" collapsed="false">
      <c r="A284" s="355"/>
      <c r="E284" s="365" t="str">
        <f aca="false">IF((G284&lt;&gt;0),"Enter Letter"," ")</f>
        <v> </v>
      </c>
      <c r="J284" s="334" t="str">
        <f aca="false">IF((E284="s"),G284," ")</f>
        <v> </v>
      </c>
      <c r="K284" s="334" t="str">
        <f aca="false">IF((E284="d"),G284," ")</f>
        <v> </v>
      </c>
      <c r="L284" s="334" t="str">
        <f aca="false">IF((E284="e"),G284," ")</f>
        <v> </v>
      </c>
      <c r="M284" s="334" t="str">
        <f aca="false">IF((E284="p"),G284," ")</f>
        <v> </v>
      </c>
      <c r="N284" s="334" t="str">
        <f aca="false">IF((E284="r"),G284," ")</f>
        <v> </v>
      </c>
      <c r="O284" s="334" t="str">
        <f aca="false">IF((E284="g"),G284," ")</f>
        <v> </v>
      </c>
      <c r="P284" s="334" t="str">
        <f aca="false">IF((E284="m"),G284," ")</f>
        <v> </v>
      </c>
      <c r="Q284" s="334" t="str">
        <f aca="false">IF((E284="t"),G284," ")</f>
        <v> </v>
      </c>
      <c r="R284" s="334" t="str">
        <f aca="false">IF((E284="a"),G284," ")</f>
        <v> </v>
      </c>
      <c r="S284" s="334" t="str">
        <f aca="false">IF((E284="l"),G284," ")</f>
        <v> </v>
      </c>
      <c r="T284" s="334" t="str">
        <f aca="false">IF((E284="b"),G284," ")</f>
        <v> </v>
      </c>
      <c r="U284" s="334" t="str">
        <f aca="false">IF((E284="i"),G284," ")</f>
        <v> </v>
      </c>
      <c r="V284" s="334" t="str">
        <f aca="false">IF((E284="o"),G284," ")</f>
        <v> </v>
      </c>
      <c r="W284" s="334" t="str">
        <f aca="false">IF((E284="f"),G284," ")</f>
        <v> </v>
      </c>
    </row>
    <row r="285" customFormat="false" ht="12.75" hidden="false" customHeight="false" outlineLevel="0" collapsed="false">
      <c r="A285" s="355"/>
      <c r="E285" s="365" t="str">
        <f aca="false">IF((G285&lt;&gt;0),"Enter Letter"," ")</f>
        <v> </v>
      </c>
      <c r="J285" s="334" t="str">
        <f aca="false">IF((E285="s"),G285," ")</f>
        <v> </v>
      </c>
      <c r="K285" s="334" t="str">
        <f aca="false">IF((E285="d"),G285," ")</f>
        <v> </v>
      </c>
      <c r="L285" s="334" t="str">
        <f aca="false">IF((E285="e"),G285," ")</f>
        <v> </v>
      </c>
      <c r="M285" s="334" t="str">
        <f aca="false">IF((E285="p"),G285," ")</f>
        <v> </v>
      </c>
      <c r="N285" s="334" t="str">
        <f aca="false">IF((E285="r"),G285," ")</f>
        <v> </v>
      </c>
      <c r="O285" s="334" t="str">
        <f aca="false">IF((E285="g"),G285," ")</f>
        <v> </v>
      </c>
      <c r="P285" s="334" t="str">
        <f aca="false">IF((E285="m"),G285," ")</f>
        <v> </v>
      </c>
      <c r="Q285" s="334" t="str">
        <f aca="false">IF((E285="t"),G285," ")</f>
        <v> </v>
      </c>
      <c r="R285" s="334" t="str">
        <f aca="false">IF((E285="a"),G285," ")</f>
        <v> </v>
      </c>
      <c r="S285" s="334" t="str">
        <f aca="false">IF((E285="l"),G285," ")</f>
        <v> </v>
      </c>
      <c r="T285" s="334" t="str">
        <f aca="false">IF((E285="b"),G285," ")</f>
        <v> </v>
      </c>
      <c r="U285" s="334" t="str">
        <f aca="false">IF((E285="i"),G285," ")</f>
        <v> </v>
      </c>
      <c r="V285" s="334" t="str">
        <f aca="false">IF((E285="o"),G285," ")</f>
        <v> </v>
      </c>
      <c r="W285" s="334" t="str">
        <f aca="false">IF((E285="f"),G285," ")</f>
        <v> </v>
      </c>
    </row>
    <row r="286" customFormat="false" ht="12.75" hidden="false" customHeight="false" outlineLevel="0" collapsed="false">
      <c r="A286" s="355"/>
      <c r="E286" s="365" t="str">
        <f aca="false">IF((G286&lt;&gt;0),"Enter Letter"," ")</f>
        <v> </v>
      </c>
      <c r="J286" s="334" t="str">
        <f aca="false">IF((E286="s"),G286," ")</f>
        <v> </v>
      </c>
      <c r="K286" s="334" t="str">
        <f aca="false">IF((E286="d"),G286," ")</f>
        <v> </v>
      </c>
      <c r="L286" s="334" t="str">
        <f aca="false">IF((E286="e"),G286," ")</f>
        <v> </v>
      </c>
      <c r="M286" s="334" t="str">
        <f aca="false">IF((E286="p"),G286," ")</f>
        <v> </v>
      </c>
      <c r="N286" s="334" t="str">
        <f aca="false">IF((E286="r"),G286," ")</f>
        <v> </v>
      </c>
      <c r="O286" s="334" t="str">
        <f aca="false">IF((E286="g"),G286," ")</f>
        <v> </v>
      </c>
      <c r="P286" s="334" t="str">
        <f aca="false">IF((E286="m"),G286," ")</f>
        <v> </v>
      </c>
      <c r="Q286" s="334" t="str">
        <f aca="false">IF((E286="t"),G286," ")</f>
        <v> </v>
      </c>
      <c r="R286" s="334" t="str">
        <f aca="false">IF((E286="a"),G286," ")</f>
        <v> </v>
      </c>
      <c r="S286" s="334" t="str">
        <f aca="false">IF((E286="l"),G286," ")</f>
        <v> </v>
      </c>
      <c r="T286" s="334" t="str">
        <f aca="false">IF((E286="b"),G286," ")</f>
        <v> </v>
      </c>
      <c r="U286" s="334" t="str">
        <f aca="false">IF((E286="i"),G286," ")</f>
        <v> </v>
      </c>
      <c r="V286" s="334" t="str">
        <f aca="false">IF((E286="o"),G286," ")</f>
        <v> </v>
      </c>
      <c r="W286" s="334" t="str">
        <f aca="false">IF((E286="f"),G286," ")</f>
        <v> </v>
      </c>
    </row>
    <row r="287" customFormat="false" ht="12.75" hidden="false" customHeight="false" outlineLevel="0" collapsed="false">
      <c r="A287" s="355"/>
      <c r="E287" s="365" t="str">
        <f aca="false">IF((G287&lt;&gt;0),"Enter Letter"," ")</f>
        <v> </v>
      </c>
      <c r="J287" s="334" t="str">
        <f aca="false">IF((E287="s"),G287," ")</f>
        <v> </v>
      </c>
      <c r="K287" s="334" t="str">
        <f aca="false">IF((E287="d"),G287," ")</f>
        <v> </v>
      </c>
      <c r="L287" s="334" t="str">
        <f aca="false">IF((E287="e"),G287," ")</f>
        <v> </v>
      </c>
      <c r="M287" s="334" t="str">
        <f aca="false">IF((E287="p"),G287," ")</f>
        <v> </v>
      </c>
      <c r="N287" s="334" t="str">
        <f aca="false">IF((E287="r"),G287," ")</f>
        <v> </v>
      </c>
      <c r="O287" s="334" t="str">
        <f aca="false">IF((E287="g"),G287," ")</f>
        <v> </v>
      </c>
      <c r="P287" s="334" t="str">
        <f aca="false">IF((E287="m"),G287," ")</f>
        <v> </v>
      </c>
      <c r="Q287" s="334" t="str">
        <f aca="false">IF((E287="t"),G287," ")</f>
        <v> </v>
      </c>
      <c r="R287" s="334" t="str">
        <f aca="false">IF((E287="a"),G287," ")</f>
        <v> </v>
      </c>
      <c r="S287" s="334" t="str">
        <f aca="false">IF((E287="l"),G287," ")</f>
        <v> </v>
      </c>
      <c r="T287" s="334" t="str">
        <f aca="false">IF((E287="b"),G287," ")</f>
        <v> </v>
      </c>
      <c r="U287" s="334" t="str">
        <f aca="false">IF((E287="i"),G287," ")</f>
        <v> </v>
      </c>
      <c r="V287" s="334" t="str">
        <f aca="false">IF((E287="o"),G287," ")</f>
        <v> </v>
      </c>
      <c r="W287" s="334" t="str">
        <f aca="false">IF((E287="f"),G287," ")</f>
        <v> </v>
      </c>
    </row>
    <row r="288" customFormat="false" ht="12.75" hidden="false" customHeight="false" outlineLevel="0" collapsed="false">
      <c r="A288" s="355"/>
      <c r="E288" s="365" t="str">
        <f aca="false">IF((G288&lt;&gt;0),"Enter Letter"," ")</f>
        <v> </v>
      </c>
      <c r="J288" s="334" t="str">
        <f aca="false">IF((E288="s"),G288," ")</f>
        <v> </v>
      </c>
      <c r="K288" s="334" t="str">
        <f aca="false">IF((E288="d"),G288," ")</f>
        <v> </v>
      </c>
      <c r="L288" s="334" t="str">
        <f aca="false">IF((E288="e"),G288," ")</f>
        <v> </v>
      </c>
      <c r="M288" s="334" t="str">
        <f aca="false">IF((E288="p"),G288," ")</f>
        <v> </v>
      </c>
      <c r="N288" s="334" t="str">
        <f aca="false">IF((E288="r"),G288," ")</f>
        <v> </v>
      </c>
      <c r="O288" s="334" t="str">
        <f aca="false">IF((E288="g"),G288," ")</f>
        <v> </v>
      </c>
      <c r="P288" s="334" t="str">
        <f aca="false">IF((E288="m"),G288," ")</f>
        <v> </v>
      </c>
      <c r="Q288" s="334" t="str">
        <f aca="false">IF((E288="t"),G288," ")</f>
        <v> </v>
      </c>
      <c r="R288" s="334" t="str">
        <f aca="false">IF((E288="a"),G288," ")</f>
        <v> </v>
      </c>
      <c r="S288" s="334" t="str">
        <f aca="false">IF((E288="l"),G288," ")</f>
        <v> </v>
      </c>
      <c r="T288" s="334" t="str">
        <f aca="false">IF((E288="b"),G288," ")</f>
        <v> </v>
      </c>
      <c r="U288" s="334" t="str">
        <f aca="false">IF((E288="i"),G288," ")</f>
        <v> </v>
      </c>
      <c r="V288" s="334" t="str">
        <f aca="false">IF((E288="o"),G288," ")</f>
        <v> </v>
      </c>
      <c r="W288" s="334" t="str">
        <f aca="false">IF((E288="f"),G288," ")</f>
        <v> </v>
      </c>
    </row>
    <row r="289" customFormat="false" ht="12.75" hidden="false" customHeight="false" outlineLevel="0" collapsed="false">
      <c r="A289" s="355"/>
      <c r="E289" s="365" t="str">
        <f aca="false">IF((G289&lt;&gt;0),"Enter Letter"," ")</f>
        <v> </v>
      </c>
      <c r="J289" s="334" t="str">
        <f aca="false">IF((E289="s"),G289," ")</f>
        <v> </v>
      </c>
      <c r="K289" s="334" t="str">
        <f aca="false">IF((E289="d"),G289," ")</f>
        <v> </v>
      </c>
      <c r="L289" s="334" t="str">
        <f aca="false">IF((E289="e"),G289," ")</f>
        <v> </v>
      </c>
      <c r="M289" s="334" t="str">
        <f aca="false">IF((E289="p"),G289," ")</f>
        <v> </v>
      </c>
      <c r="N289" s="334" t="str">
        <f aca="false">IF((E289="r"),G289," ")</f>
        <v> </v>
      </c>
      <c r="O289" s="334" t="str">
        <f aca="false">IF((E289="g"),G289," ")</f>
        <v> </v>
      </c>
      <c r="P289" s="334" t="str">
        <f aca="false">IF((E289="m"),G289," ")</f>
        <v> </v>
      </c>
      <c r="Q289" s="334" t="str">
        <f aca="false">IF((E289="t"),G289," ")</f>
        <v> </v>
      </c>
      <c r="R289" s="334" t="str">
        <f aca="false">IF((E289="a"),G289," ")</f>
        <v> </v>
      </c>
      <c r="S289" s="334" t="str">
        <f aca="false">IF((E289="l"),G289," ")</f>
        <v> </v>
      </c>
      <c r="T289" s="334" t="str">
        <f aca="false">IF((E289="b"),G289," ")</f>
        <v> </v>
      </c>
      <c r="U289" s="334" t="str">
        <f aca="false">IF((E289="i"),G289," ")</f>
        <v> </v>
      </c>
      <c r="V289" s="334" t="str">
        <f aca="false">IF((E289="o"),G289," ")</f>
        <v> </v>
      </c>
      <c r="W289" s="334" t="str">
        <f aca="false">IF((E289="f"),G289," ")</f>
        <v> </v>
      </c>
    </row>
    <row r="290" customFormat="false" ht="12.75" hidden="false" customHeight="false" outlineLevel="0" collapsed="false">
      <c r="A290" s="355"/>
      <c r="E290" s="365" t="str">
        <f aca="false">IF((G290&lt;&gt;0),"Enter Letter"," ")</f>
        <v> </v>
      </c>
      <c r="J290" s="334" t="str">
        <f aca="false">IF((E290="s"),G290," ")</f>
        <v> </v>
      </c>
      <c r="K290" s="334" t="str">
        <f aca="false">IF((E290="d"),G290," ")</f>
        <v> </v>
      </c>
      <c r="L290" s="334" t="str">
        <f aca="false">IF((E290="e"),G290," ")</f>
        <v> </v>
      </c>
      <c r="M290" s="334" t="str">
        <f aca="false">IF((E290="p"),G290," ")</f>
        <v> </v>
      </c>
      <c r="N290" s="334" t="str">
        <f aca="false">IF((E290="r"),G290," ")</f>
        <v> </v>
      </c>
      <c r="O290" s="334" t="str">
        <f aca="false">IF((E290="g"),G290," ")</f>
        <v> </v>
      </c>
      <c r="P290" s="334" t="str">
        <f aca="false">IF((E290="m"),G290," ")</f>
        <v> </v>
      </c>
      <c r="Q290" s="334" t="str">
        <f aca="false">IF((E290="t"),G290," ")</f>
        <v> </v>
      </c>
      <c r="R290" s="334" t="str">
        <f aca="false">IF((E290="a"),G290," ")</f>
        <v> </v>
      </c>
      <c r="S290" s="334" t="str">
        <f aca="false">IF((E290="l"),G290," ")</f>
        <v> </v>
      </c>
      <c r="T290" s="334" t="str">
        <f aca="false">IF((E290="b"),G290," ")</f>
        <v> </v>
      </c>
      <c r="U290" s="334" t="str">
        <f aca="false">IF((E290="i"),G290," ")</f>
        <v> </v>
      </c>
      <c r="V290" s="334" t="str">
        <f aca="false">IF((E290="o"),G290," ")</f>
        <v> </v>
      </c>
      <c r="W290" s="334" t="str">
        <f aca="false">IF((E290="f"),G290," ")</f>
        <v> </v>
      </c>
    </row>
    <row r="291" customFormat="false" ht="12.75" hidden="false" customHeight="false" outlineLevel="0" collapsed="false">
      <c r="A291" s="355"/>
      <c r="E291" s="365" t="str">
        <f aca="false">IF((G291&lt;&gt;0),"Enter Letter"," ")</f>
        <v> </v>
      </c>
      <c r="J291" s="334" t="str">
        <f aca="false">IF((E291="s"),G291," ")</f>
        <v> </v>
      </c>
      <c r="K291" s="334" t="str">
        <f aca="false">IF((E291="d"),G291," ")</f>
        <v> </v>
      </c>
      <c r="L291" s="334" t="str">
        <f aca="false">IF((E291="e"),G291," ")</f>
        <v> </v>
      </c>
      <c r="M291" s="334" t="str">
        <f aca="false">IF((E291="p"),G291," ")</f>
        <v> </v>
      </c>
      <c r="N291" s="334" t="str">
        <f aca="false">IF((E291="r"),G291," ")</f>
        <v> </v>
      </c>
      <c r="O291" s="334" t="str">
        <f aca="false">IF((E291="g"),G291," ")</f>
        <v> </v>
      </c>
      <c r="P291" s="334" t="str">
        <f aca="false">IF((E291="m"),G291," ")</f>
        <v> </v>
      </c>
      <c r="Q291" s="334" t="str">
        <f aca="false">IF((E291="t"),G291," ")</f>
        <v> </v>
      </c>
      <c r="R291" s="334" t="str">
        <f aca="false">IF((E291="a"),G291," ")</f>
        <v> </v>
      </c>
      <c r="S291" s="334" t="str">
        <f aca="false">IF((E291="l"),G291," ")</f>
        <v> </v>
      </c>
      <c r="T291" s="334" t="str">
        <f aca="false">IF((E291="b"),G291," ")</f>
        <v> </v>
      </c>
      <c r="U291" s="334" t="str">
        <f aca="false">IF((E291="i"),G291," ")</f>
        <v> </v>
      </c>
      <c r="V291" s="334" t="str">
        <f aca="false">IF((E291="o"),G291," ")</f>
        <v> </v>
      </c>
      <c r="W291" s="334" t="str">
        <f aca="false">IF((E291="f"),G291," ")</f>
        <v> </v>
      </c>
    </row>
    <row r="292" customFormat="false" ht="12.75" hidden="false" customHeight="false" outlineLevel="0" collapsed="false">
      <c r="A292" s="355"/>
      <c r="E292" s="365" t="str">
        <f aca="false">IF((G292&lt;&gt;0),"Enter Letter"," ")</f>
        <v> </v>
      </c>
      <c r="J292" s="334" t="str">
        <f aca="false">IF((E292="s"),G292," ")</f>
        <v> </v>
      </c>
      <c r="K292" s="334" t="str">
        <f aca="false">IF((E292="d"),G292," ")</f>
        <v> </v>
      </c>
      <c r="L292" s="334" t="str">
        <f aca="false">IF((E292="e"),G292," ")</f>
        <v> </v>
      </c>
      <c r="M292" s="334" t="str">
        <f aca="false">IF((E292="p"),G292," ")</f>
        <v> </v>
      </c>
      <c r="N292" s="334" t="str">
        <f aca="false">IF((E292="r"),G292," ")</f>
        <v> </v>
      </c>
      <c r="O292" s="334" t="str">
        <f aca="false">IF((E292="g"),G292," ")</f>
        <v> </v>
      </c>
      <c r="P292" s="334" t="str">
        <f aca="false">IF((E292="m"),G292," ")</f>
        <v> </v>
      </c>
      <c r="Q292" s="334" t="str">
        <f aca="false">IF((E292="t"),G292," ")</f>
        <v> </v>
      </c>
      <c r="R292" s="334" t="str">
        <f aca="false">IF((E292="a"),G292," ")</f>
        <v> </v>
      </c>
      <c r="S292" s="334" t="str">
        <f aca="false">IF((E292="l"),G292," ")</f>
        <v> </v>
      </c>
      <c r="T292" s="334" t="str">
        <f aca="false">IF((E292="b"),G292," ")</f>
        <v> </v>
      </c>
      <c r="U292" s="334" t="str">
        <f aca="false">IF((E292="i"),G292," ")</f>
        <v> </v>
      </c>
      <c r="V292" s="334" t="str">
        <f aca="false">IF((E292="o"),G292," ")</f>
        <v> </v>
      </c>
      <c r="W292" s="334" t="str">
        <f aca="false">IF((E292="f"),G292," ")</f>
        <v> </v>
      </c>
    </row>
    <row r="293" customFormat="false" ht="12.75" hidden="false" customHeight="false" outlineLevel="0" collapsed="false">
      <c r="A293" s="355"/>
      <c r="E293" s="365" t="str">
        <f aca="false">IF((G293&lt;&gt;0),"Enter Letter"," ")</f>
        <v> </v>
      </c>
      <c r="J293" s="334" t="str">
        <f aca="false">IF((E293="s"),G293," ")</f>
        <v> </v>
      </c>
      <c r="K293" s="334" t="str">
        <f aca="false">IF((E293="d"),G293," ")</f>
        <v> </v>
      </c>
      <c r="L293" s="334" t="str">
        <f aca="false">IF((E293="e"),G293," ")</f>
        <v> </v>
      </c>
      <c r="M293" s="334" t="str">
        <f aca="false">IF((E293="p"),G293," ")</f>
        <v> </v>
      </c>
      <c r="N293" s="334" t="str">
        <f aca="false">IF((E293="r"),G293," ")</f>
        <v> </v>
      </c>
      <c r="O293" s="334" t="str">
        <f aca="false">IF((E293="g"),G293," ")</f>
        <v> </v>
      </c>
      <c r="P293" s="334" t="str">
        <f aca="false">IF((E293="m"),G293," ")</f>
        <v> </v>
      </c>
      <c r="Q293" s="334" t="str">
        <f aca="false">IF((E293="t"),G293," ")</f>
        <v> </v>
      </c>
      <c r="R293" s="334" t="str">
        <f aca="false">IF((E293="a"),G293," ")</f>
        <v> </v>
      </c>
      <c r="S293" s="334" t="str">
        <f aca="false">IF((E293="l"),G293," ")</f>
        <v> </v>
      </c>
      <c r="T293" s="334" t="str">
        <f aca="false">IF((E293="b"),G293," ")</f>
        <v> </v>
      </c>
      <c r="U293" s="334" t="str">
        <f aca="false">IF((E293="i"),G293," ")</f>
        <v> </v>
      </c>
      <c r="V293" s="334" t="str">
        <f aca="false">IF((E293="o"),G293," ")</f>
        <v> </v>
      </c>
      <c r="W293" s="334" t="str">
        <f aca="false">IF((E293="f"),G293," ")</f>
        <v> </v>
      </c>
    </row>
    <row r="294" customFormat="false" ht="12.75" hidden="false" customHeight="false" outlineLevel="0" collapsed="false">
      <c r="A294" s="355"/>
      <c r="E294" s="365" t="str">
        <f aca="false">IF((G294&lt;&gt;0),"Enter Letter"," ")</f>
        <v> </v>
      </c>
      <c r="J294" s="334" t="str">
        <f aca="false">IF((E294="s"),G294," ")</f>
        <v> </v>
      </c>
      <c r="K294" s="334" t="str">
        <f aca="false">IF((E294="d"),G294," ")</f>
        <v> </v>
      </c>
      <c r="L294" s="334" t="str">
        <f aca="false">IF((E294="e"),G294," ")</f>
        <v> </v>
      </c>
      <c r="M294" s="334" t="str">
        <f aca="false">IF((E294="p"),G294," ")</f>
        <v> </v>
      </c>
      <c r="N294" s="334" t="str">
        <f aca="false">IF((E294="r"),G294," ")</f>
        <v> </v>
      </c>
      <c r="O294" s="334" t="str">
        <f aca="false">IF((E294="g"),G294," ")</f>
        <v> </v>
      </c>
      <c r="P294" s="334" t="str">
        <f aca="false">IF((E294="m"),G294," ")</f>
        <v> </v>
      </c>
      <c r="Q294" s="334" t="str">
        <f aca="false">IF((E294="t"),G294," ")</f>
        <v> </v>
      </c>
      <c r="R294" s="334" t="str">
        <f aca="false">IF((E294="a"),G294," ")</f>
        <v> </v>
      </c>
      <c r="S294" s="334" t="str">
        <f aca="false">IF((E294="l"),G294," ")</f>
        <v> </v>
      </c>
      <c r="T294" s="334" t="str">
        <f aca="false">IF((E294="b"),G294," ")</f>
        <v> </v>
      </c>
      <c r="U294" s="334" t="str">
        <f aca="false">IF((E294="i"),G294," ")</f>
        <v> </v>
      </c>
      <c r="V294" s="334" t="str">
        <f aca="false">IF((E294="o"),G294," ")</f>
        <v> </v>
      </c>
      <c r="W294" s="334" t="str">
        <f aca="false">IF((E294="f"),G294," ")</f>
        <v> </v>
      </c>
    </row>
    <row r="295" customFormat="false" ht="12.75" hidden="false" customHeight="false" outlineLevel="0" collapsed="false">
      <c r="A295" s="355"/>
      <c r="E295" s="365" t="str">
        <f aca="false">IF((G295&lt;&gt;0),"Enter Letter"," ")</f>
        <v> </v>
      </c>
      <c r="J295" s="334" t="str">
        <f aca="false">IF((E295="s"),G295," ")</f>
        <v> </v>
      </c>
      <c r="K295" s="334" t="str">
        <f aca="false">IF((E295="d"),G295," ")</f>
        <v> </v>
      </c>
      <c r="L295" s="334" t="str">
        <f aca="false">IF((E295="e"),G295," ")</f>
        <v> </v>
      </c>
      <c r="M295" s="334" t="str">
        <f aca="false">IF((E295="p"),G295," ")</f>
        <v> </v>
      </c>
      <c r="N295" s="334" t="str">
        <f aca="false">IF((E295="r"),G295," ")</f>
        <v> </v>
      </c>
      <c r="O295" s="334" t="str">
        <f aca="false">IF((E295="g"),G295," ")</f>
        <v> </v>
      </c>
      <c r="P295" s="334" t="str">
        <f aca="false">IF((E295="m"),G295," ")</f>
        <v> </v>
      </c>
      <c r="Q295" s="334" t="str">
        <f aca="false">IF((E295="t"),G295," ")</f>
        <v> </v>
      </c>
      <c r="R295" s="334" t="str">
        <f aca="false">IF((E295="a"),G295," ")</f>
        <v> </v>
      </c>
      <c r="S295" s="334" t="str">
        <f aca="false">IF((E295="l"),G295," ")</f>
        <v> </v>
      </c>
      <c r="T295" s="334" t="str">
        <f aca="false">IF((E295="b"),G295," ")</f>
        <v> </v>
      </c>
      <c r="U295" s="334" t="str">
        <f aca="false">IF((E295="i"),G295," ")</f>
        <v> </v>
      </c>
      <c r="V295" s="334" t="str">
        <f aca="false">IF((E295="o"),G295," ")</f>
        <v> </v>
      </c>
      <c r="W295" s="334" t="str">
        <f aca="false">IF((E295="f"),G295," ")</f>
        <v> </v>
      </c>
    </row>
    <row r="296" customFormat="false" ht="12.75" hidden="false" customHeight="false" outlineLevel="0" collapsed="false">
      <c r="A296" s="355"/>
      <c r="E296" s="365" t="str">
        <f aca="false">IF((G296&lt;&gt;0),"Enter Letter"," ")</f>
        <v> </v>
      </c>
      <c r="J296" s="334" t="str">
        <f aca="false">IF((E296="s"),G296," ")</f>
        <v> </v>
      </c>
      <c r="K296" s="334" t="str">
        <f aca="false">IF((E296="d"),G296," ")</f>
        <v> </v>
      </c>
      <c r="L296" s="334" t="str">
        <f aca="false">IF((E296="e"),G296," ")</f>
        <v> </v>
      </c>
      <c r="M296" s="334" t="str">
        <f aca="false">IF((E296="p"),G296," ")</f>
        <v> </v>
      </c>
      <c r="N296" s="334" t="str">
        <f aca="false">IF((E296="r"),G296," ")</f>
        <v> </v>
      </c>
      <c r="O296" s="334" t="str">
        <f aca="false">IF((E296="g"),G296," ")</f>
        <v> </v>
      </c>
      <c r="P296" s="334" t="str">
        <f aca="false">IF((E296="m"),G296," ")</f>
        <v> </v>
      </c>
      <c r="Q296" s="334" t="str">
        <f aca="false">IF((E296="t"),G296," ")</f>
        <v> </v>
      </c>
      <c r="R296" s="334" t="str">
        <f aca="false">IF((E296="a"),G296," ")</f>
        <v> </v>
      </c>
      <c r="S296" s="334" t="str">
        <f aca="false">IF((E296="l"),G296," ")</f>
        <v> </v>
      </c>
      <c r="T296" s="334" t="str">
        <f aca="false">IF((E296="b"),G296," ")</f>
        <v> </v>
      </c>
      <c r="U296" s="334" t="str">
        <f aca="false">IF((E296="i"),G296," ")</f>
        <v> </v>
      </c>
      <c r="V296" s="334" t="str">
        <f aca="false">IF((E296="o"),G296," ")</f>
        <v> </v>
      </c>
      <c r="W296" s="334" t="str">
        <f aca="false">IF((E296="f"),G296," ")</f>
        <v> </v>
      </c>
    </row>
    <row r="297" customFormat="false" ht="12.75" hidden="false" customHeight="false" outlineLevel="0" collapsed="false">
      <c r="A297" s="355"/>
      <c r="E297" s="365" t="str">
        <f aca="false">IF((G297&lt;&gt;0),"Enter Letter"," ")</f>
        <v> </v>
      </c>
      <c r="J297" s="334" t="str">
        <f aca="false">IF((E297="s"),G297," ")</f>
        <v> </v>
      </c>
      <c r="K297" s="334" t="str">
        <f aca="false">IF((E297="d"),G297," ")</f>
        <v> </v>
      </c>
      <c r="L297" s="334" t="str">
        <f aca="false">IF((E297="e"),G297," ")</f>
        <v> </v>
      </c>
      <c r="M297" s="334" t="str">
        <f aca="false">IF((E297="p"),G297," ")</f>
        <v> </v>
      </c>
      <c r="N297" s="334" t="str">
        <f aca="false">IF((E297="r"),G297," ")</f>
        <v> </v>
      </c>
      <c r="O297" s="334" t="str">
        <f aca="false">IF((E297="g"),G297," ")</f>
        <v> </v>
      </c>
      <c r="P297" s="334" t="str">
        <f aca="false">IF((E297="m"),G297," ")</f>
        <v> </v>
      </c>
      <c r="Q297" s="334" t="str">
        <f aca="false">IF((E297="t"),G297," ")</f>
        <v> </v>
      </c>
      <c r="R297" s="334" t="str">
        <f aca="false">IF((E297="a"),G297," ")</f>
        <v> </v>
      </c>
      <c r="S297" s="334" t="str">
        <f aca="false">IF((E297="l"),G297," ")</f>
        <v> </v>
      </c>
      <c r="T297" s="334" t="str">
        <f aca="false">IF((E297="b"),G297," ")</f>
        <v> </v>
      </c>
      <c r="U297" s="334" t="str">
        <f aca="false">IF((E297="i"),G297," ")</f>
        <v> </v>
      </c>
      <c r="V297" s="334" t="str">
        <f aca="false">IF((E297="o"),G297," ")</f>
        <v> </v>
      </c>
      <c r="W297" s="334" t="str">
        <f aca="false">IF((E297="f"),G297," ")</f>
        <v> </v>
      </c>
    </row>
    <row r="298" customFormat="false" ht="12.75" hidden="false" customHeight="false" outlineLevel="0" collapsed="false">
      <c r="A298" s="355"/>
      <c r="E298" s="365" t="str">
        <f aca="false">IF((G298&lt;&gt;0),"Enter Letter"," ")</f>
        <v> </v>
      </c>
      <c r="J298" s="334" t="str">
        <f aca="false">IF((E298="s"),G298," ")</f>
        <v> </v>
      </c>
      <c r="K298" s="334" t="str">
        <f aca="false">IF((E298="d"),G298," ")</f>
        <v> </v>
      </c>
      <c r="L298" s="334" t="str">
        <f aca="false">IF((E298="e"),G298," ")</f>
        <v> </v>
      </c>
      <c r="M298" s="334" t="str">
        <f aca="false">IF((E298="p"),G298," ")</f>
        <v> </v>
      </c>
      <c r="N298" s="334" t="str">
        <f aca="false">IF((E298="r"),G298," ")</f>
        <v> </v>
      </c>
      <c r="O298" s="334" t="str">
        <f aca="false">IF((E298="g"),G298," ")</f>
        <v> </v>
      </c>
      <c r="P298" s="334" t="str">
        <f aca="false">IF((E298="m"),G298," ")</f>
        <v> </v>
      </c>
      <c r="Q298" s="334" t="str">
        <f aca="false">IF((E298="t"),G298," ")</f>
        <v> </v>
      </c>
      <c r="R298" s="334" t="str">
        <f aca="false">IF((E298="a"),G298," ")</f>
        <v> </v>
      </c>
      <c r="S298" s="334" t="str">
        <f aca="false">IF((E298="l"),G298," ")</f>
        <v> </v>
      </c>
      <c r="T298" s="334" t="str">
        <f aca="false">IF((E298="b"),G298," ")</f>
        <v> </v>
      </c>
      <c r="U298" s="334" t="str">
        <f aca="false">IF((E298="i"),G298," ")</f>
        <v> </v>
      </c>
      <c r="V298" s="334" t="str">
        <f aca="false">IF((E298="o"),G298," ")</f>
        <v> </v>
      </c>
      <c r="W298" s="334" t="str">
        <f aca="false">IF((E298="f"),G298," ")</f>
        <v> </v>
      </c>
    </row>
    <row r="299" customFormat="false" ht="12.75" hidden="false" customHeight="false" outlineLevel="0" collapsed="false">
      <c r="A299" s="355"/>
      <c r="E299" s="365" t="str">
        <f aca="false">IF((G299&lt;&gt;0),"Enter Letter"," ")</f>
        <v> </v>
      </c>
      <c r="J299" s="334" t="str">
        <f aca="false">IF((E299="s"),G299," ")</f>
        <v> </v>
      </c>
      <c r="K299" s="334" t="str">
        <f aca="false">IF((E299="d"),G299," ")</f>
        <v> </v>
      </c>
      <c r="L299" s="334" t="str">
        <f aca="false">IF((E299="e"),G299," ")</f>
        <v> </v>
      </c>
      <c r="M299" s="334" t="str">
        <f aca="false">IF((E299="p"),G299," ")</f>
        <v> </v>
      </c>
      <c r="N299" s="334" t="str">
        <f aca="false">IF((E299="r"),G299," ")</f>
        <v> </v>
      </c>
      <c r="O299" s="334" t="str">
        <f aca="false">IF((E299="g"),G299," ")</f>
        <v> </v>
      </c>
      <c r="P299" s="334" t="str">
        <f aca="false">IF((E299="m"),G299," ")</f>
        <v> </v>
      </c>
      <c r="Q299" s="334" t="str">
        <f aca="false">IF((E299="t"),G299," ")</f>
        <v> </v>
      </c>
      <c r="R299" s="334" t="str">
        <f aca="false">IF((E299="a"),G299," ")</f>
        <v> </v>
      </c>
      <c r="S299" s="334" t="str">
        <f aca="false">IF((E299="l"),G299," ")</f>
        <v> </v>
      </c>
      <c r="T299" s="334" t="str">
        <f aca="false">IF((E299="b"),G299," ")</f>
        <v> </v>
      </c>
      <c r="U299" s="334" t="str">
        <f aca="false">IF((E299="i"),G299," ")</f>
        <v> </v>
      </c>
      <c r="V299" s="334" t="str">
        <f aca="false">IF((E299="o"),G299," ")</f>
        <v> </v>
      </c>
      <c r="W299" s="334" t="str">
        <f aca="false">IF((E299="f"),G299," ")</f>
        <v> </v>
      </c>
    </row>
    <row r="300" customFormat="false" ht="12.75" hidden="false" customHeight="false" outlineLevel="0" collapsed="false">
      <c r="A300" s="355"/>
      <c r="B300" s="393"/>
      <c r="C300" s="393"/>
      <c r="D300" s="394"/>
      <c r="E300" s="395" t="str">
        <f aca="false">IF((G300&lt;&gt;0),"Enter Letter"," ")</f>
        <v> </v>
      </c>
      <c r="F300" s="396"/>
      <c r="G300" s="397"/>
      <c r="H300" s="360"/>
      <c r="I300" s="398"/>
      <c r="J300" s="356" t="str">
        <f aca="false">IF((E300="s"),G300," ")</f>
        <v> </v>
      </c>
      <c r="K300" s="356" t="str">
        <f aca="false">IF((E300="d"),G300," ")</f>
        <v> </v>
      </c>
      <c r="L300" s="356" t="str">
        <f aca="false">IF((E300="e"),G300," ")</f>
        <v> </v>
      </c>
      <c r="M300" s="356" t="str">
        <f aca="false">IF((E300="p"),G300," ")</f>
        <v> </v>
      </c>
      <c r="N300" s="356" t="str">
        <f aca="false">IF((E300="r"),G300," ")</f>
        <v> </v>
      </c>
      <c r="O300" s="356" t="str">
        <f aca="false">IF((E300="g"),G300," ")</f>
        <v> </v>
      </c>
      <c r="P300" s="356" t="str">
        <f aca="false">IF((E300="m"),G300," ")</f>
        <v> </v>
      </c>
      <c r="Q300" s="356" t="str">
        <f aca="false">IF((E300="t"),G300," ")</f>
        <v> </v>
      </c>
      <c r="R300" s="356" t="str">
        <f aca="false">IF((E300="a"),G300," ")</f>
        <v> </v>
      </c>
      <c r="S300" s="356" t="str">
        <f aca="false">IF((E300="l"),G300," ")</f>
        <v> </v>
      </c>
      <c r="T300" s="356" t="str">
        <f aca="false">IF((E300="b"),G300," ")</f>
        <v> </v>
      </c>
      <c r="U300" s="356" t="str">
        <f aca="false">IF((E300="i"),G300," ")</f>
        <v> </v>
      </c>
      <c r="V300" s="356" t="str">
        <f aca="false">IF((E300="o"),G300," ")</f>
        <v> </v>
      </c>
      <c r="W300" s="356" t="str">
        <f aca="false">IF((E300="f"),G300," ")</f>
        <v> </v>
      </c>
    </row>
  </sheetData>
  <mergeCells count="25">
    <mergeCell ref="A2:A4"/>
    <mergeCell ref="B2:B4"/>
    <mergeCell ref="C2:C4"/>
    <mergeCell ref="D2:D4"/>
    <mergeCell ref="E2:E3"/>
    <mergeCell ref="F2:F4"/>
    <mergeCell ref="G2:G3"/>
    <mergeCell ref="H2:H4"/>
    <mergeCell ref="I2:I4"/>
    <mergeCell ref="J2:J3"/>
    <mergeCell ref="K2:K3"/>
    <mergeCell ref="L2:L3"/>
    <mergeCell ref="M2:M3"/>
    <mergeCell ref="N2:N3"/>
    <mergeCell ref="O2:O3"/>
    <mergeCell ref="Q2:Q3"/>
    <mergeCell ref="R2:R3"/>
    <mergeCell ref="S2:S3"/>
    <mergeCell ref="T2:T3"/>
    <mergeCell ref="U2:U3"/>
    <mergeCell ref="V2:V3"/>
    <mergeCell ref="W2:W3"/>
    <mergeCell ref="X2:X4"/>
    <mergeCell ref="Y2:Z2"/>
    <mergeCell ref="Y3:Z3"/>
  </mergeCells>
  <dataValidations count="3">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5:A300" type="date">
      <formula1>38353</formula1>
      <formula2>53327</formula2>
    </dataValidation>
    <dataValidation allowBlank="true" errorStyle="stop" operator="between" prompt="An amount in this cell shows the total purchases in cell G1 does not agree with the totals in the analysis columns cells J1 to W&#10;&#10;CHECK all expense code letters have been entered correctly or any manual entries in the analysis correct&#10;" promptTitle="ERROR ALERT" showDropDown="false" showErrorMessage="true" showInputMessage="true" sqref="E1" type="none">
      <formula1>0</formula1>
      <formula2>0</formula2>
    </dataValidation>
    <dataValidation allowBlank="true" errorStyle="stop" operator="between" showDropDown="false" showErrorMessage="true" showInputMessage="false" sqref="E5:E300" type="list">
      <formula1>$J$4:$W$4</formula1>
      <formula2>0</formula2>
    </dataValidation>
  </dataValidations>
  <printOptions headings="false" gridLines="true" gridLinesSet="true" horizontalCentered="false" verticalCentered="false"/>
  <pageMargins left="0.315277777777778" right="0.472222222222222"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2" manualBreakCount="2">
    <brk id="9" man="true" max="65535" min="0"/>
    <brk id="22" man="true" max="65535" min="0"/>
  </colBreak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false" hidden="false" outlineLevel="0" max="1" min="1" style="333" width="9.15"/>
    <col collapsed="false" customWidth="true" hidden="false" outlineLevel="0" max="2" min="2" style="334" width="17.66"/>
    <col collapsed="false" customWidth="true" hidden="false" outlineLevel="0" max="3" min="3" style="335" width="11.32"/>
    <col collapsed="false" customWidth="true" hidden="false" outlineLevel="0" max="4" min="4" style="336" width="14.49"/>
    <col collapsed="false" customWidth="true" hidden="false" outlineLevel="0" max="5" min="5" style="337" width="7.66"/>
    <col collapsed="false" customWidth="true" hidden="false" outlineLevel="0" max="7" min="6" style="334" width="9.66"/>
    <col collapsed="false" customWidth="true" hidden="false" outlineLevel="0" max="8" min="8" style="338" width="9.66"/>
    <col collapsed="false" customWidth="true" hidden="false" outlineLevel="0" max="9" min="9" style="339" width="10.5"/>
    <col collapsed="false" customWidth="false" hidden="false" outlineLevel="0" max="257" min="10" style="334" width="9.15"/>
  </cols>
  <sheetData>
    <row r="1" s="348" customFormat="true" ht="12.75" hidden="false" customHeight="true" outlineLevel="0" collapsed="false">
      <c r="A1" s="340" t="s">
        <v>246</v>
      </c>
      <c r="B1" s="341" t="s">
        <v>247</v>
      </c>
      <c r="C1" s="342"/>
      <c r="D1" s="343" t="s">
        <v>248</v>
      </c>
      <c r="E1" s="344" t="n">
        <f aca="false">SUM(E4:E300)</f>
        <v>0</v>
      </c>
      <c r="F1" s="343" t="n">
        <f aca="false">SUM(F4:F300)</f>
        <v>35320</v>
      </c>
      <c r="G1" s="343" t="n">
        <f aca="false">SUM(G4:G300)</f>
        <v>0</v>
      </c>
      <c r="H1" s="345" t="n">
        <f aca="false">SUM(H4:H300)</f>
        <v>0</v>
      </c>
      <c r="I1" s="346" t="n">
        <f aca="true">TODAY()</f>
        <v>46138</v>
      </c>
      <c r="J1" s="343" t="n">
        <f aca="false">SUM(J4:J300)</f>
        <v>0</v>
      </c>
      <c r="K1" s="347" t="n">
        <f aca="false">J1+SalesOct!K1</f>
        <v>0</v>
      </c>
    </row>
    <row r="2" s="348" customFormat="true" ht="12.75" hidden="false" customHeight="true" outlineLevel="0" collapsed="false">
      <c r="A2" s="340"/>
      <c r="B2" s="341"/>
      <c r="C2" s="349" t="s">
        <v>249</v>
      </c>
      <c r="D2" s="350" t="s">
        <v>250</v>
      </c>
      <c r="E2" s="351" t="s">
        <v>251</v>
      </c>
      <c r="F2" s="341" t="s">
        <v>252</v>
      </c>
      <c r="G2" s="341" t="s">
        <v>253</v>
      </c>
      <c r="H2" s="352" t="s">
        <v>254</v>
      </c>
      <c r="I2" s="353" t="s">
        <v>255</v>
      </c>
      <c r="J2" s="341" t="s">
        <v>256</v>
      </c>
      <c r="K2" s="341"/>
    </row>
    <row r="3" s="354" customFormat="true" ht="38.25" hidden="false" customHeight="true" outlineLevel="0" collapsed="false">
      <c r="A3" s="340"/>
      <c r="B3" s="341"/>
      <c r="C3" s="349"/>
      <c r="D3" s="350"/>
      <c r="E3" s="351"/>
      <c r="F3" s="351"/>
      <c r="G3" s="351"/>
      <c r="H3" s="352"/>
      <c r="I3" s="353"/>
      <c r="J3" s="341" t="s">
        <v>257</v>
      </c>
      <c r="K3" s="341" t="s">
        <v>258</v>
      </c>
    </row>
    <row r="4" customFormat="false" ht="12.75" hidden="false" customHeight="false" outlineLevel="0" collapsed="false">
      <c r="A4" s="355" t="n">
        <v>45964</v>
      </c>
      <c r="B4" s="334" t="s">
        <v>259</v>
      </c>
      <c r="F4" s="334" t="n">
        <v>360</v>
      </c>
      <c r="I4" s="339" t="n">
        <f aca="false">IF((F4&lt;&gt;0),IF((D4&gt;0)," ",(I$1-A4))," ")</f>
        <v>174</v>
      </c>
    </row>
    <row r="5" customFormat="false" ht="12.75" hidden="false" customHeight="false" outlineLevel="0" collapsed="false">
      <c r="A5" s="355" t="n">
        <v>45966</v>
      </c>
      <c r="B5" s="334" t="s">
        <v>260</v>
      </c>
      <c r="F5" s="334" t="n">
        <v>600</v>
      </c>
      <c r="I5" s="339" t="n">
        <f aca="false">IF((F5&lt;&gt;0),IF((D5&gt;0)," ",(I$1-A5))," ")</f>
        <v>172</v>
      </c>
    </row>
    <row r="6" customFormat="false" ht="12.75" hidden="false" customHeight="false" outlineLevel="0" collapsed="false">
      <c r="A6" s="355" t="n">
        <v>45969</v>
      </c>
      <c r="B6" s="334" t="s">
        <v>261</v>
      </c>
      <c r="F6" s="334" t="n">
        <v>480</v>
      </c>
      <c r="I6" s="339" t="n">
        <f aca="false">IF((F6&lt;&gt;0),IF((D6&gt;0)," ",(I$1-A6))," ")</f>
        <v>169</v>
      </c>
    </row>
    <row r="7" customFormat="false" ht="12.75" hidden="false" customHeight="false" outlineLevel="0" collapsed="false">
      <c r="A7" s="355" t="n">
        <v>45971</v>
      </c>
      <c r="B7" s="334" t="s">
        <v>262</v>
      </c>
      <c r="F7" s="334" t="n">
        <v>720</v>
      </c>
      <c r="I7" s="339" t="n">
        <f aca="false">IF((F7&lt;&gt;0),IF((D7&gt;0)," ",(I$1-A7))," ")</f>
        <v>167</v>
      </c>
    </row>
    <row r="8" customFormat="false" ht="12.75" hidden="false" customHeight="false" outlineLevel="0" collapsed="false">
      <c r="A8" s="355" t="n">
        <v>45973</v>
      </c>
      <c r="B8" s="334" t="s">
        <v>341</v>
      </c>
      <c r="F8" s="334" t="n">
        <v>960</v>
      </c>
      <c r="I8" s="339" t="n">
        <f aca="false">IF((F8&lt;&gt;0),IF((D8&gt;0)," ",(I$1-A8))," ")</f>
        <v>165</v>
      </c>
    </row>
    <row r="9" customFormat="false" ht="12.75" hidden="false" customHeight="false" outlineLevel="0" collapsed="false">
      <c r="A9" s="355" t="n">
        <v>45976</v>
      </c>
      <c r="B9" s="334" t="s">
        <v>235</v>
      </c>
      <c r="F9" s="334" t="n">
        <v>25000</v>
      </c>
      <c r="I9" s="339" t="n">
        <f aca="false">IF((F9&lt;&gt;0),IF((D9&gt;0)," ",(I$1-A9))," ")</f>
        <v>162</v>
      </c>
    </row>
    <row r="10" customFormat="false" ht="12.75" hidden="false" customHeight="false" outlineLevel="0" collapsed="false">
      <c r="A10" s="355" t="n">
        <v>45979</v>
      </c>
      <c r="B10" s="334" t="s">
        <v>237</v>
      </c>
      <c r="F10" s="334" t="n">
        <v>2400</v>
      </c>
      <c r="I10" s="339" t="n">
        <f aca="false">IF((F10&lt;&gt;0),IF((D10&gt;0)," ",(I$1-A10))," ")</f>
        <v>159</v>
      </c>
    </row>
    <row r="11" customFormat="false" ht="12.75" hidden="false" customHeight="false" outlineLevel="0" collapsed="false">
      <c r="A11" s="355" t="n">
        <v>45981</v>
      </c>
      <c r="B11" s="334" t="s">
        <v>381</v>
      </c>
      <c r="F11" s="334" t="n">
        <v>3600</v>
      </c>
      <c r="I11" s="339" t="n">
        <f aca="false">IF((F11&lt;&gt;0),IF((D11&gt;0)," ",(I$1-A11))," ")</f>
        <v>157</v>
      </c>
    </row>
    <row r="12" customFormat="false" ht="12.75" hidden="false" customHeight="false" outlineLevel="0" collapsed="false">
      <c r="A12" s="355" t="n">
        <v>45986</v>
      </c>
      <c r="B12" s="334" t="s">
        <v>343</v>
      </c>
      <c r="F12" s="334" t="n">
        <v>1200</v>
      </c>
      <c r="I12" s="339" t="n">
        <f aca="false">IF((F12&lt;&gt;0),IF((D12&gt;0)," ",(I$1-A12))," ")</f>
        <v>152</v>
      </c>
    </row>
    <row r="13" customFormat="false" ht="12.75" hidden="false" customHeight="false" outlineLevel="0" collapsed="false">
      <c r="A13" s="355"/>
      <c r="I13" s="339" t="str">
        <f aca="false">IF((F13&lt;&gt;0),IF((D13&gt;0)," ",(I$1-A13))," ")</f>
        <v> </v>
      </c>
    </row>
    <row r="14" customFormat="false" ht="12.75" hidden="false" customHeight="false" outlineLevel="0" collapsed="false">
      <c r="A14" s="355"/>
      <c r="I14" s="339" t="str">
        <f aca="false">IF((F14&lt;&gt;0),IF((D14&gt;0)," ",(I$1-A14))," ")</f>
        <v> </v>
      </c>
    </row>
    <row r="15" customFormat="false" ht="12.75" hidden="false" customHeight="false" outlineLevel="0" collapsed="false">
      <c r="A15" s="355"/>
      <c r="I15" s="339" t="str">
        <f aca="false">IF((F15&lt;&gt;0),IF((D15&gt;0)," ",(I$1-A15))," ")</f>
        <v> </v>
      </c>
    </row>
    <row r="16" customFormat="false" ht="12.75" hidden="false" customHeight="false" outlineLevel="0" collapsed="false">
      <c r="A16" s="355"/>
      <c r="I16" s="339" t="str">
        <f aca="false">IF((F16&lt;&gt;0),IF((D16&gt;0)," ",(I$1-A16))," ")</f>
        <v> </v>
      </c>
    </row>
    <row r="17" customFormat="false" ht="12.75" hidden="false" customHeight="false" outlineLevel="0" collapsed="false">
      <c r="A17" s="355"/>
      <c r="I17" s="339" t="str">
        <f aca="false">IF((F17&lt;&gt;0),IF((D17&gt;0)," ",(I$1-A17))," ")</f>
        <v> </v>
      </c>
    </row>
    <row r="18" customFormat="false" ht="12.75" hidden="false" customHeight="false" outlineLevel="0" collapsed="false">
      <c r="A18" s="355"/>
      <c r="I18" s="339" t="str">
        <f aca="false">IF((F18&lt;&gt;0),IF((D18&gt;0)," ",(I$1-A18))," ")</f>
        <v> </v>
      </c>
    </row>
    <row r="19" customFormat="false" ht="12.75" hidden="false" customHeight="false" outlineLevel="0" collapsed="false">
      <c r="A19" s="355"/>
      <c r="I19" s="339" t="str">
        <f aca="false">IF((F19&lt;&gt;0),IF((D19&gt;0)," ",(I$1-A19))," ")</f>
        <v> </v>
      </c>
    </row>
    <row r="20" customFormat="false" ht="12.75" hidden="false" customHeight="false" outlineLevel="0" collapsed="false">
      <c r="A20" s="355"/>
      <c r="I20" s="339" t="str">
        <f aca="false">IF((F20&lt;&gt;0),IF((D20&gt;0)," ",(I$1-A20))," ")</f>
        <v> </v>
      </c>
    </row>
    <row r="21" customFormat="false" ht="12.75" hidden="false" customHeight="false" outlineLevel="0" collapsed="false">
      <c r="A21" s="355"/>
      <c r="I21" s="339" t="str">
        <f aca="false">IF((F21&lt;&gt;0),IF((D21&gt;0)," ",(I$1-A21))," ")</f>
        <v> </v>
      </c>
    </row>
    <row r="22" customFormat="false" ht="12.75" hidden="false" customHeight="false" outlineLevel="0" collapsed="false">
      <c r="A22" s="355"/>
      <c r="I22" s="339" t="str">
        <f aca="false">IF((F22&lt;&gt;0),IF((D22&gt;0)," ",(I$1-A22))," ")</f>
        <v> </v>
      </c>
    </row>
    <row r="23" customFormat="false" ht="12.75" hidden="false" customHeight="false" outlineLevel="0" collapsed="false">
      <c r="A23" s="355"/>
      <c r="I23" s="339" t="str">
        <f aca="false">IF((F23&lt;&gt;0),IF((D23&gt;0)," ",(I$1-A23))," ")</f>
        <v> </v>
      </c>
    </row>
    <row r="24" customFormat="false" ht="12.75" hidden="false" customHeight="false" outlineLevel="0" collapsed="false">
      <c r="A24" s="355"/>
      <c r="I24" s="339" t="str">
        <f aca="false">IF((F24&lt;&gt;0),IF((D24&gt;0)," ",(I$1-A24))," ")</f>
        <v> </v>
      </c>
    </row>
    <row r="25" customFormat="false" ht="12.75" hidden="false" customHeight="false" outlineLevel="0" collapsed="false">
      <c r="A25" s="355"/>
      <c r="I25" s="339" t="str">
        <f aca="false">IF((F25&lt;&gt;0),IF((D25&gt;0)," ",(I$1-A25))," ")</f>
        <v> </v>
      </c>
    </row>
    <row r="26" customFormat="false" ht="12.75" hidden="false" customHeight="false" outlineLevel="0" collapsed="false">
      <c r="A26" s="355"/>
      <c r="I26" s="339" t="str">
        <f aca="false">IF((F26&lt;&gt;0),IF((D26&gt;0)," ",(I$1-A26))," ")</f>
        <v> </v>
      </c>
    </row>
    <row r="27" customFormat="false" ht="12.75" hidden="false" customHeight="false" outlineLevel="0" collapsed="false">
      <c r="A27" s="355"/>
      <c r="I27" s="339" t="str">
        <f aca="false">IF((F27&lt;&gt;0),IF((D27&gt;0)," ",(I$1-A27))," ")</f>
        <v> </v>
      </c>
    </row>
    <row r="28" customFormat="false" ht="12.75" hidden="false" customHeight="false" outlineLevel="0" collapsed="false">
      <c r="A28" s="355"/>
      <c r="I28" s="339" t="str">
        <f aca="false">IF((F28&lt;&gt;0),IF((D28&gt;0)," ",(I$1-A28))," ")</f>
        <v> </v>
      </c>
    </row>
    <row r="29" customFormat="false" ht="12.75" hidden="false" customHeight="false" outlineLevel="0" collapsed="false">
      <c r="A29" s="355"/>
      <c r="I29" s="339" t="str">
        <f aca="false">IF((F29&lt;&gt;0),IF((D29&gt;0)," ",(I$1-A29))," ")</f>
        <v> </v>
      </c>
    </row>
    <row r="30" customFormat="false" ht="12.75" hidden="false" customHeight="false" outlineLevel="0" collapsed="false">
      <c r="A30" s="355"/>
      <c r="I30" s="339" t="str">
        <f aca="false">IF((F30&lt;&gt;0),IF((D30&gt;0)," ",(I$1-A30))," ")</f>
        <v> </v>
      </c>
    </row>
    <row r="31" customFormat="false" ht="12.75" hidden="false" customHeight="false" outlineLevel="0" collapsed="false">
      <c r="A31" s="355"/>
      <c r="I31" s="339" t="str">
        <f aca="false">IF((F31&lt;&gt;0),IF((D31&gt;0)," ",(I$1-A31))," ")</f>
        <v> </v>
      </c>
    </row>
    <row r="32" customFormat="false" ht="12.75" hidden="false" customHeight="false" outlineLevel="0" collapsed="false">
      <c r="A32" s="355"/>
      <c r="I32" s="339" t="str">
        <f aca="false">IF((F32&lt;&gt;0),IF((D32&gt;0)," ",(I$1-A32))," ")</f>
        <v> </v>
      </c>
    </row>
    <row r="33" customFormat="false" ht="12.75" hidden="false" customHeight="false" outlineLevel="0" collapsed="false">
      <c r="A33" s="355"/>
      <c r="I33" s="339" t="str">
        <f aca="false">IF((F33&lt;&gt;0),IF((D33&gt;0)," ",(I$1-A33))," ")</f>
        <v> </v>
      </c>
    </row>
    <row r="34" customFormat="false" ht="12.75" hidden="false" customHeight="false" outlineLevel="0" collapsed="false">
      <c r="A34" s="355"/>
      <c r="I34" s="339" t="str">
        <f aca="false">IF((F34&lt;&gt;0),IF((D34&gt;0)," ",(I$1-A34))," ")</f>
        <v> </v>
      </c>
    </row>
    <row r="35" customFormat="false" ht="12.75" hidden="false" customHeight="false" outlineLevel="0" collapsed="false">
      <c r="A35" s="355"/>
      <c r="I35" s="339" t="str">
        <f aca="false">IF((F35&lt;&gt;0),IF((D35&gt;0)," ",(I$1-A35))," ")</f>
        <v> </v>
      </c>
    </row>
    <row r="36" customFormat="false" ht="12.75" hidden="false" customHeight="false" outlineLevel="0" collapsed="false">
      <c r="A36" s="355"/>
      <c r="I36" s="339" t="str">
        <f aca="false">IF((F36&lt;&gt;0),IF((D36&gt;0)," ",(I$1-A36))," ")</f>
        <v> </v>
      </c>
    </row>
    <row r="37" customFormat="false" ht="12.75" hidden="false" customHeight="false" outlineLevel="0" collapsed="false">
      <c r="A37" s="355"/>
      <c r="I37" s="339" t="str">
        <f aca="false">IF((F37&lt;&gt;0),IF((D37&gt;0)," ",(I$1-A37))," ")</f>
        <v> </v>
      </c>
    </row>
    <row r="38" customFormat="false" ht="12.75" hidden="false" customHeight="false" outlineLevel="0" collapsed="false">
      <c r="A38" s="355"/>
      <c r="I38" s="339" t="str">
        <f aca="false">IF((F38&lt;&gt;0),IF((D38&gt;0)," ",(I$1-A38))," ")</f>
        <v> </v>
      </c>
    </row>
    <row r="39" customFormat="false" ht="12.75" hidden="false" customHeight="false" outlineLevel="0" collapsed="false">
      <c r="A39" s="355"/>
      <c r="I39" s="339" t="str">
        <f aca="false">IF((F39&lt;&gt;0),IF((D39&gt;0)," ",(I$1-A39))," ")</f>
        <v> </v>
      </c>
    </row>
    <row r="40" customFormat="false" ht="12.75" hidden="false" customHeight="false" outlineLevel="0" collapsed="false">
      <c r="A40" s="355"/>
      <c r="I40" s="339" t="str">
        <f aca="false">IF((F40&lt;&gt;0),IF((D40&gt;0)," ",(I$1-A40))," ")</f>
        <v> </v>
      </c>
    </row>
    <row r="41" customFormat="false" ht="12.75" hidden="false" customHeight="false" outlineLevel="0" collapsed="false">
      <c r="A41" s="355"/>
      <c r="I41" s="339" t="str">
        <f aca="false">IF((F41&lt;&gt;0),IF((D41&gt;0)," ",(I$1-A41))," ")</f>
        <v> </v>
      </c>
    </row>
    <row r="42" customFormat="false" ht="12.75" hidden="false" customHeight="false" outlineLevel="0" collapsed="false">
      <c r="A42" s="355"/>
      <c r="I42" s="339" t="str">
        <f aca="false">IF((F42&lt;&gt;0),IF((D42&gt;0)," ",(I$1-A42))," ")</f>
        <v> </v>
      </c>
    </row>
    <row r="43" customFormat="false" ht="12.75" hidden="false" customHeight="false" outlineLevel="0" collapsed="false">
      <c r="A43" s="355"/>
      <c r="I43" s="339" t="str">
        <f aca="false">IF((F43&lt;&gt;0),IF((D43&gt;0)," ",(I$1-A43))," ")</f>
        <v> </v>
      </c>
    </row>
    <row r="44" customFormat="false" ht="12.75" hidden="false" customHeight="false" outlineLevel="0" collapsed="false">
      <c r="A44" s="355"/>
      <c r="I44" s="339" t="str">
        <f aca="false">IF((F44&lt;&gt;0),IF((D44&gt;0)," ",(I$1-A44))," ")</f>
        <v> </v>
      </c>
    </row>
    <row r="45" customFormat="false" ht="12.75" hidden="false" customHeight="false" outlineLevel="0" collapsed="false">
      <c r="A45" s="355"/>
      <c r="I45" s="339" t="str">
        <f aca="false">IF((F45&lt;&gt;0),IF((D45&gt;0)," ",(I$1-A45))," ")</f>
        <v> </v>
      </c>
    </row>
    <row r="46" customFormat="false" ht="12.75" hidden="false" customHeight="false" outlineLevel="0" collapsed="false">
      <c r="A46" s="355"/>
      <c r="I46" s="339" t="str">
        <f aca="false">IF((F46&lt;&gt;0),IF((D46&gt;0)," ",(I$1-A46))," ")</f>
        <v> </v>
      </c>
    </row>
    <row r="47" customFormat="false" ht="12.75" hidden="false" customHeight="false" outlineLevel="0" collapsed="false">
      <c r="A47" s="355"/>
      <c r="I47" s="339" t="str">
        <f aca="false">IF((F47&lt;&gt;0),IF((D47&gt;0)," ",(I$1-A47))," ")</f>
        <v> </v>
      </c>
    </row>
    <row r="48" customFormat="false" ht="12.75" hidden="false" customHeight="false" outlineLevel="0" collapsed="false">
      <c r="A48" s="355"/>
      <c r="I48" s="339" t="str">
        <f aca="false">IF((F48&lt;&gt;0),IF((D48&gt;0)," ",(I$1-A48))," ")</f>
        <v> </v>
      </c>
    </row>
    <row r="49" customFormat="false" ht="12.75" hidden="false" customHeight="false" outlineLevel="0" collapsed="false">
      <c r="A49" s="355"/>
      <c r="I49" s="339" t="str">
        <f aca="false">IF((F49&lt;&gt;0),IF((D49&gt;0)," ",(I$1-A49))," ")</f>
        <v> </v>
      </c>
    </row>
    <row r="50" customFormat="false" ht="12.75" hidden="false" customHeight="false" outlineLevel="0" collapsed="false">
      <c r="A50" s="355"/>
      <c r="I50" s="339" t="str">
        <f aca="false">IF((F50&lt;&gt;0),IF((D50&gt;0)," ",(I$1-A50))," ")</f>
        <v> </v>
      </c>
    </row>
    <row r="51" customFormat="false" ht="12.75" hidden="false" customHeight="false" outlineLevel="0" collapsed="false">
      <c r="A51" s="355"/>
      <c r="I51" s="339" t="str">
        <f aca="false">IF((F51&lt;&gt;0),IF((D51&gt;0)," ",(I$1-A51))," ")</f>
        <v> </v>
      </c>
    </row>
    <row r="52" customFormat="false" ht="12.75" hidden="false" customHeight="false" outlineLevel="0" collapsed="false">
      <c r="A52" s="355"/>
      <c r="I52" s="339" t="str">
        <f aca="false">IF((F52&lt;&gt;0),IF((D52&gt;0)," ",(I$1-A52))," ")</f>
        <v> </v>
      </c>
    </row>
    <row r="53" customFormat="false" ht="12.75" hidden="false" customHeight="false" outlineLevel="0" collapsed="false">
      <c r="A53" s="355"/>
      <c r="I53" s="339" t="str">
        <f aca="false">IF((F53&lt;&gt;0),IF((D53&gt;0)," ",(I$1-A53))," ")</f>
        <v> </v>
      </c>
    </row>
    <row r="54" customFormat="false" ht="12.75" hidden="false" customHeight="false" outlineLevel="0" collapsed="false">
      <c r="A54" s="355"/>
      <c r="I54" s="339" t="str">
        <f aca="false">IF((F54&lt;&gt;0),IF((D54&gt;0)," ",(I$1-A54))," ")</f>
        <v> </v>
      </c>
    </row>
    <row r="55" customFormat="false" ht="12.75" hidden="false" customHeight="false" outlineLevel="0" collapsed="false">
      <c r="A55" s="355"/>
      <c r="I55" s="339" t="str">
        <f aca="false">IF((F55&lt;&gt;0),IF((D55&gt;0)," ",(I$1-A55))," ")</f>
        <v> </v>
      </c>
    </row>
    <row r="56" customFormat="false" ht="12.75" hidden="false" customHeight="false" outlineLevel="0" collapsed="false">
      <c r="A56" s="355"/>
      <c r="I56" s="339" t="str">
        <f aca="false">IF((F56&lt;&gt;0),IF((D56&gt;0)," ",(I$1-A56))," ")</f>
        <v> </v>
      </c>
    </row>
    <row r="57" customFormat="false" ht="12.75" hidden="false" customHeight="false" outlineLevel="0" collapsed="false">
      <c r="A57" s="355"/>
      <c r="I57" s="339" t="str">
        <f aca="false">IF((F57&lt;&gt;0),IF((D57&gt;0)," ",(I$1-A57))," ")</f>
        <v> </v>
      </c>
    </row>
    <row r="58" customFormat="false" ht="12.75" hidden="false" customHeight="false" outlineLevel="0" collapsed="false">
      <c r="A58" s="355"/>
      <c r="I58" s="339" t="str">
        <f aca="false">IF((F58&lt;&gt;0),IF((D58&gt;0)," ",(I$1-A58))," ")</f>
        <v> </v>
      </c>
    </row>
    <row r="59" customFormat="false" ht="12.75" hidden="false" customHeight="false" outlineLevel="0" collapsed="false">
      <c r="A59" s="355"/>
      <c r="I59" s="339" t="str">
        <f aca="false">IF((F59&lt;&gt;0),IF((D59&gt;0)," ",(I$1-A59))," ")</f>
        <v> </v>
      </c>
    </row>
    <row r="60" customFormat="false" ht="12.75" hidden="false" customHeight="false" outlineLevel="0" collapsed="false">
      <c r="A60" s="355"/>
      <c r="I60" s="339" t="str">
        <f aca="false">IF((F60&lt;&gt;0),IF((D60&gt;0)," ",(I$1-A60))," ")</f>
        <v> </v>
      </c>
    </row>
    <row r="61" customFormat="false" ht="12.75" hidden="false" customHeight="false" outlineLevel="0" collapsed="false">
      <c r="A61" s="355"/>
      <c r="I61" s="339" t="str">
        <f aca="false">IF((F61&lt;&gt;0),IF((D61&gt;0)," ",(I$1-A61))," ")</f>
        <v> </v>
      </c>
    </row>
    <row r="62" customFormat="false" ht="12.75" hidden="false" customHeight="false" outlineLevel="0" collapsed="false">
      <c r="A62" s="355"/>
      <c r="I62" s="339" t="str">
        <f aca="false">IF((F62&lt;&gt;0),IF((D62&gt;0)," ",(I$1-A62))," ")</f>
        <v> </v>
      </c>
    </row>
    <row r="63" customFormat="false" ht="12.75" hidden="false" customHeight="false" outlineLevel="0" collapsed="false">
      <c r="A63" s="355"/>
      <c r="I63" s="339" t="str">
        <f aca="false">IF((F63&lt;&gt;0),IF((D63&gt;0)," ",(I$1-A63))," ")</f>
        <v> </v>
      </c>
    </row>
    <row r="64" customFormat="false" ht="12.75" hidden="false" customHeight="false" outlineLevel="0" collapsed="false">
      <c r="A64" s="355"/>
      <c r="I64" s="339" t="str">
        <f aca="false">IF((F64&lt;&gt;0),IF((D64&gt;0)," ",(I$1-A64))," ")</f>
        <v> </v>
      </c>
    </row>
    <row r="65" customFormat="false" ht="12.75" hidden="false" customHeight="false" outlineLevel="0" collapsed="false">
      <c r="A65" s="355"/>
      <c r="I65" s="339" t="str">
        <f aca="false">IF((F65&lt;&gt;0),IF((D65&gt;0)," ",(I$1-A65))," ")</f>
        <v> </v>
      </c>
    </row>
    <row r="66" customFormat="false" ht="12.75" hidden="false" customHeight="false" outlineLevel="0" collapsed="false">
      <c r="A66" s="355"/>
      <c r="I66" s="339" t="str">
        <f aca="false">IF((F66&lt;&gt;0),IF((D66&gt;0)," ",(I$1-A66))," ")</f>
        <v> </v>
      </c>
    </row>
    <row r="67" customFormat="false" ht="12.75" hidden="false" customHeight="false" outlineLevel="0" collapsed="false">
      <c r="A67" s="355"/>
      <c r="I67" s="339" t="str">
        <f aca="false">IF((F67&lt;&gt;0),IF((D67&gt;0)," ",(I$1-A67))," ")</f>
        <v> </v>
      </c>
    </row>
    <row r="68" customFormat="false" ht="12.75" hidden="false" customHeight="false" outlineLevel="0" collapsed="false">
      <c r="A68" s="355"/>
      <c r="H68" s="338" t="str">
        <f aca="false">IF((F68&lt;&gt;0),IF((D68&gt;0)," ",F68)," ")</f>
        <v> </v>
      </c>
      <c r="I68" s="339" t="str">
        <f aca="false">IF((F68&lt;&gt;0),IF((D68&gt;0)," ",(I$1-A68))," ")</f>
        <v> </v>
      </c>
    </row>
    <row r="69" customFormat="false" ht="12.75" hidden="false" customHeight="false" outlineLevel="0" collapsed="false">
      <c r="A69" s="355"/>
      <c r="H69" s="338" t="str">
        <f aca="false">IF((F69&lt;&gt;0),IF((D69&gt;0)," ",F69)," ")</f>
        <v> </v>
      </c>
      <c r="I69" s="339" t="str">
        <f aca="false">IF((F69&lt;&gt;0),IF((D69&gt;0)," ",(I$1-A69))," ")</f>
        <v> </v>
      </c>
    </row>
    <row r="70" customFormat="false" ht="12.75" hidden="false" customHeight="false" outlineLevel="0" collapsed="false">
      <c r="A70" s="355"/>
      <c r="H70" s="338" t="str">
        <f aca="false">IF((F70&lt;&gt;0),IF((D70&gt;0)," ",F70)," ")</f>
        <v> </v>
      </c>
      <c r="I70" s="339" t="str">
        <f aca="false">IF((F70&lt;&gt;0),IF((D70&gt;0)," ",(I$1-A70))," ")</f>
        <v> </v>
      </c>
    </row>
    <row r="71" customFormat="false" ht="12.75" hidden="false" customHeight="false" outlineLevel="0" collapsed="false">
      <c r="A71" s="355"/>
      <c r="H71" s="338" t="str">
        <f aca="false">IF((F71&lt;&gt;0),IF((D71&gt;0)," ",F71)," ")</f>
        <v> </v>
      </c>
      <c r="I71" s="339" t="str">
        <f aca="false">IF((F71&lt;&gt;0),IF((D71&gt;0)," ",(I$1-A71))," ")</f>
        <v> </v>
      </c>
    </row>
    <row r="72" customFormat="false" ht="12.75" hidden="false" customHeight="false" outlineLevel="0" collapsed="false">
      <c r="A72" s="355"/>
      <c r="H72" s="338" t="str">
        <f aca="false">IF((F72&lt;&gt;0),IF((D72&gt;0)," ",F72)," ")</f>
        <v> </v>
      </c>
      <c r="I72" s="339" t="str">
        <f aca="false">IF((F72&lt;&gt;0),IF((D72&gt;0)," ",(I$1-A72))," ")</f>
        <v> </v>
      </c>
    </row>
    <row r="73" customFormat="false" ht="12.75" hidden="false" customHeight="false" outlineLevel="0" collapsed="false">
      <c r="A73" s="355"/>
      <c r="H73" s="338" t="str">
        <f aca="false">IF((F73&lt;&gt;0),IF((D73&gt;0)," ",F73)," ")</f>
        <v> </v>
      </c>
      <c r="I73" s="339" t="str">
        <f aca="false">IF((F73&lt;&gt;0),IF((D73&gt;0)," ",(I$1-A73))," ")</f>
        <v> </v>
      </c>
    </row>
    <row r="74" customFormat="false" ht="12.75" hidden="false" customHeight="false" outlineLevel="0" collapsed="false">
      <c r="A74" s="355"/>
      <c r="H74" s="338" t="str">
        <f aca="false">IF((F74&lt;&gt;0),IF((D74&gt;0)," ",F74)," ")</f>
        <v> </v>
      </c>
      <c r="I74" s="339" t="str">
        <f aca="false">IF((F74&lt;&gt;0),IF((D74&gt;0)," ",(I$1-A74))," ")</f>
        <v> </v>
      </c>
    </row>
    <row r="75" customFormat="false" ht="12.75" hidden="false" customHeight="false" outlineLevel="0" collapsed="false">
      <c r="A75" s="355"/>
      <c r="H75" s="338" t="str">
        <f aca="false">IF((F75&lt;&gt;0),IF((D75&gt;0)," ",F75)," ")</f>
        <v> </v>
      </c>
      <c r="I75" s="339" t="str">
        <f aca="false">IF((F75&lt;&gt;0),IF((D75&gt;0)," ",(I$1-A75))," ")</f>
        <v> </v>
      </c>
    </row>
    <row r="76" customFormat="false" ht="12.75" hidden="false" customHeight="false" outlineLevel="0" collapsed="false">
      <c r="A76" s="355"/>
      <c r="H76" s="338" t="str">
        <f aca="false">IF((F76&lt;&gt;0),IF((D76&gt;0)," ",F76)," ")</f>
        <v> </v>
      </c>
      <c r="I76" s="339" t="str">
        <f aca="false">IF((F76&lt;&gt;0),IF((D76&gt;0)," ",(I$1-A76))," ")</f>
        <v> </v>
      </c>
    </row>
    <row r="77" customFormat="false" ht="12.75" hidden="false" customHeight="false" outlineLevel="0" collapsed="false">
      <c r="A77" s="355"/>
      <c r="H77" s="338" t="str">
        <f aca="false">IF((F77&lt;&gt;0),IF((D77&gt;0)," ",F77)," ")</f>
        <v> </v>
      </c>
      <c r="I77" s="339" t="str">
        <f aca="false">IF((F77&lt;&gt;0),IF((D77&gt;0)," ",(I$1-A77))," ")</f>
        <v> </v>
      </c>
    </row>
    <row r="78" customFormat="false" ht="12.75" hidden="false" customHeight="false" outlineLevel="0" collapsed="false">
      <c r="A78" s="355"/>
      <c r="H78" s="338" t="str">
        <f aca="false">IF((F78&lt;&gt;0),IF((D78&gt;0)," ",F78)," ")</f>
        <v> </v>
      </c>
      <c r="I78" s="339" t="str">
        <f aca="false">IF((F78&lt;&gt;0),IF((D78&gt;0)," ",(I$1-A78))," ")</f>
        <v> </v>
      </c>
    </row>
    <row r="79" customFormat="false" ht="12.75" hidden="false" customHeight="false" outlineLevel="0" collapsed="false">
      <c r="A79" s="355"/>
      <c r="H79" s="338" t="str">
        <f aca="false">IF((F79&lt;&gt;0),IF((D79&gt;0)," ",F79)," ")</f>
        <v> </v>
      </c>
      <c r="I79" s="339" t="str">
        <f aca="false">IF((F79&lt;&gt;0),IF((D79&gt;0)," ",(I$1-A79))," ")</f>
        <v> </v>
      </c>
    </row>
    <row r="80" customFormat="false" ht="12.75" hidden="false" customHeight="false" outlineLevel="0" collapsed="false">
      <c r="A80" s="355"/>
      <c r="H80" s="338" t="str">
        <f aca="false">IF((F80&lt;&gt;0),IF((D80&gt;0)," ",F80)," ")</f>
        <v> </v>
      </c>
      <c r="I80" s="339" t="str">
        <f aca="false">IF((F80&lt;&gt;0),IF((D80&gt;0)," ",(I$1-A80))," ")</f>
        <v> </v>
      </c>
    </row>
    <row r="81" customFormat="false" ht="12.75" hidden="false" customHeight="false" outlineLevel="0" collapsed="false">
      <c r="A81" s="355"/>
      <c r="H81" s="338" t="str">
        <f aca="false">IF((F81&lt;&gt;0),IF((D81&gt;0)," ",F81)," ")</f>
        <v> </v>
      </c>
      <c r="I81" s="339" t="str">
        <f aca="false">IF((F81&lt;&gt;0),IF((D81&gt;0)," ",(I$1-A81))," ")</f>
        <v> </v>
      </c>
    </row>
    <row r="82" customFormat="false" ht="12.75" hidden="false" customHeight="false" outlineLevel="0" collapsed="false">
      <c r="A82" s="355"/>
      <c r="H82" s="338" t="str">
        <f aca="false">IF((F82&lt;&gt;0),IF((D82&gt;0)," ",F82)," ")</f>
        <v> </v>
      </c>
      <c r="I82" s="339" t="str">
        <f aca="false">IF((F82&lt;&gt;0),IF((D82&gt;0)," ",(I$1-A82))," ")</f>
        <v> </v>
      </c>
    </row>
    <row r="83" customFormat="false" ht="12.75" hidden="false" customHeight="false" outlineLevel="0" collapsed="false">
      <c r="A83" s="355"/>
      <c r="H83" s="338" t="str">
        <f aca="false">IF((F83&lt;&gt;0),IF((D83&gt;0)," ",F83)," ")</f>
        <v> </v>
      </c>
      <c r="I83" s="339" t="str">
        <f aca="false">IF((F83&lt;&gt;0),IF((D83&gt;0)," ",(I$1-A83))," ")</f>
        <v> </v>
      </c>
    </row>
    <row r="84" customFormat="false" ht="12.75" hidden="false" customHeight="false" outlineLevel="0" collapsed="false">
      <c r="A84" s="355"/>
      <c r="H84" s="338" t="str">
        <f aca="false">IF((F84&lt;&gt;0),IF((D84&gt;0)," ",F84)," ")</f>
        <v> </v>
      </c>
      <c r="I84" s="339" t="str">
        <f aca="false">IF((F84&lt;&gt;0),IF((D84&gt;0)," ",(I$1-A84))," ")</f>
        <v> </v>
      </c>
    </row>
    <row r="85" customFormat="false" ht="12.75" hidden="false" customHeight="false" outlineLevel="0" collapsed="false">
      <c r="A85" s="355"/>
      <c r="H85" s="338" t="str">
        <f aca="false">IF((F85&lt;&gt;0),IF((D85&gt;0)," ",F85)," ")</f>
        <v> </v>
      </c>
      <c r="I85" s="339" t="str">
        <f aca="false">IF((F85&lt;&gt;0),IF((D85&gt;0)," ",(I$1-A85))," ")</f>
        <v> </v>
      </c>
    </row>
    <row r="86" customFormat="false" ht="12.75" hidden="false" customHeight="false" outlineLevel="0" collapsed="false">
      <c r="A86" s="355"/>
      <c r="H86" s="338" t="str">
        <f aca="false">IF((F86&lt;&gt;0),IF((D86&gt;0)," ",F86)," ")</f>
        <v> </v>
      </c>
      <c r="I86" s="339" t="str">
        <f aca="false">IF((F86&lt;&gt;0),IF((D86&gt;0)," ",(I$1-A86))," ")</f>
        <v> </v>
      </c>
    </row>
    <row r="87" customFormat="false" ht="12.75" hidden="false" customHeight="false" outlineLevel="0" collapsed="false">
      <c r="A87" s="355"/>
      <c r="H87" s="338" t="str">
        <f aca="false">IF((F87&lt;&gt;0),IF((D87&gt;0)," ",F87)," ")</f>
        <v> </v>
      </c>
      <c r="I87" s="339" t="str">
        <f aca="false">IF((F87&lt;&gt;0),IF((D87&gt;0)," ",(I$1-A87))," ")</f>
        <v> </v>
      </c>
    </row>
    <row r="88" customFormat="false" ht="12.75" hidden="false" customHeight="false" outlineLevel="0" collapsed="false">
      <c r="A88" s="355"/>
      <c r="H88" s="338" t="str">
        <f aca="false">IF((F88&lt;&gt;0),IF((D88&gt;0)," ",F88)," ")</f>
        <v> </v>
      </c>
      <c r="I88" s="339" t="str">
        <f aca="false">IF((F88&lt;&gt;0),IF((D88&gt;0)," ",(I$1-A88))," ")</f>
        <v> </v>
      </c>
    </row>
    <row r="89" customFormat="false" ht="12.75" hidden="false" customHeight="false" outlineLevel="0" collapsed="false">
      <c r="A89" s="355"/>
      <c r="H89" s="338" t="str">
        <f aca="false">IF((F89&lt;&gt;0),IF((D89&gt;0)," ",F89)," ")</f>
        <v> </v>
      </c>
      <c r="I89" s="339" t="str">
        <f aca="false">IF((F89&lt;&gt;0),IF((D89&gt;0)," ",(I$1-A89))," ")</f>
        <v> </v>
      </c>
    </row>
    <row r="90" customFormat="false" ht="12.75" hidden="false" customHeight="false" outlineLevel="0" collapsed="false">
      <c r="A90" s="355"/>
      <c r="H90" s="338" t="str">
        <f aca="false">IF((F90&lt;&gt;0),IF((D90&gt;0)," ",F90)," ")</f>
        <v> </v>
      </c>
      <c r="I90" s="339" t="str">
        <f aca="false">IF((F90&lt;&gt;0),IF((D90&gt;0)," ",(I$1-A90))," ")</f>
        <v> </v>
      </c>
    </row>
    <row r="91" customFormat="false" ht="12.75" hidden="false" customHeight="false" outlineLevel="0" collapsed="false">
      <c r="A91" s="355"/>
      <c r="H91" s="338" t="str">
        <f aca="false">IF((F91&lt;&gt;0),IF((D91&gt;0)," ",F91)," ")</f>
        <v> </v>
      </c>
      <c r="I91" s="339" t="str">
        <f aca="false">IF((F91&lt;&gt;0),IF((D91&gt;0)," ",(I$1-A91))," ")</f>
        <v> </v>
      </c>
    </row>
    <row r="92" customFormat="false" ht="12.75" hidden="false" customHeight="false" outlineLevel="0" collapsed="false">
      <c r="A92" s="355"/>
      <c r="H92" s="338" t="str">
        <f aca="false">IF((F92&lt;&gt;0),IF((D92&gt;0)," ",F92)," ")</f>
        <v> </v>
      </c>
      <c r="I92" s="339" t="str">
        <f aca="false">IF((F92&lt;&gt;0),IF((D92&gt;0)," ",(I$1-A92))," ")</f>
        <v> </v>
      </c>
    </row>
    <row r="93" customFormat="false" ht="12.75" hidden="false" customHeight="false" outlineLevel="0" collapsed="false">
      <c r="A93" s="355"/>
      <c r="H93" s="338" t="str">
        <f aca="false">IF((F93&lt;&gt;0),IF((D93&gt;0)," ",F93)," ")</f>
        <v> </v>
      </c>
      <c r="I93" s="339" t="str">
        <f aca="false">IF((F93&lt;&gt;0),IF((D93&gt;0)," ",(I$1-A93))," ")</f>
        <v> </v>
      </c>
    </row>
    <row r="94" customFormat="false" ht="12.75" hidden="false" customHeight="false" outlineLevel="0" collapsed="false">
      <c r="A94" s="355"/>
      <c r="H94" s="338" t="str">
        <f aca="false">IF((F94&lt;&gt;0),IF((D94&gt;0)," ",F94)," ")</f>
        <v> </v>
      </c>
      <c r="I94" s="339" t="str">
        <f aca="false">IF((F94&lt;&gt;0),IF((D94&gt;0)," ",(I$1-A94))," ")</f>
        <v> </v>
      </c>
    </row>
    <row r="95" customFormat="false" ht="12.75" hidden="false" customHeight="false" outlineLevel="0" collapsed="false">
      <c r="A95" s="355"/>
      <c r="H95" s="338" t="str">
        <f aca="false">IF((F95&lt;&gt;0),IF((D95&gt;0)," ",F95)," ")</f>
        <v> </v>
      </c>
      <c r="I95" s="339" t="str">
        <f aca="false">IF((F95&lt;&gt;0),IF((D95&gt;0)," ",(I$1-A95))," ")</f>
        <v> </v>
      </c>
    </row>
    <row r="96" customFormat="false" ht="12.75" hidden="false" customHeight="false" outlineLevel="0" collapsed="false">
      <c r="A96" s="355"/>
      <c r="H96" s="338" t="str">
        <f aca="false">IF((F96&lt;&gt;0),IF((D96&gt;0)," ",F96)," ")</f>
        <v> </v>
      </c>
      <c r="I96" s="339" t="str">
        <f aca="false">IF((F96&lt;&gt;0),IF((D96&gt;0)," ",(I$1-A96))," ")</f>
        <v> </v>
      </c>
    </row>
    <row r="97" customFormat="false" ht="12.75" hidden="false" customHeight="false" outlineLevel="0" collapsed="false">
      <c r="A97" s="355"/>
      <c r="H97" s="338" t="str">
        <f aca="false">IF((F97&lt;&gt;0),IF((D97&gt;0)," ",F97)," ")</f>
        <v> </v>
      </c>
      <c r="I97" s="339" t="str">
        <f aca="false">IF((F97&lt;&gt;0),IF((D97&gt;0)," ",(I$1-A97))," ")</f>
        <v> </v>
      </c>
    </row>
    <row r="98" customFormat="false" ht="12.75" hidden="false" customHeight="false" outlineLevel="0" collapsed="false">
      <c r="A98" s="355"/>
      <c r="H98" s="338" t="str">
        <f aca="false">IF((F98&lt;&gt;0),IF((D98&gt;0)," ",F98)," ")</f>
        <v> </v>
      </c>
      <c r="I98" s="339" t="str">
        <f aca="false">IF((F98&lt;&gt;0),IF((D98&gt;0)," ",(I$1-A98))," ")</f>
        <v> </v>
      </c>
    </row>
    <row r="99" customFormat="false" ht="12.75" hidden="false" customHeight="false" outlineLevel="0" collapsed="false">
      <c r="A99" s="355"/>
      <c r="H99" s="338" t="str">
        <f aca="false">IF((F99&lt;&gt;0),IF((D99&gt;0)," ",F99)," ")</f>
        <v> </v>
      </c>
      <c r="I99" s="339" t="str">
        <f aca="false">IF((F99&lt;&gt;0),IF((D99&gt;0)," ",(I$1-A99))," ")</f>
        <v> </v>
      </c>
    </row>
    <row r="100" customFormat="false" ht="12.75" hidden="false" customHeight="false" outlineLevel="0" collapsed="false">
      <c r="A100" s="355"/>
      <c r="H100" s="338" t="str">
        <f aca="false">IF((F100&lt;&gt;0),IF((D100&gt;0)," ",F100)," ")</f>
        <v> </v>
      </c>
      <c r="I100" s="339" t="str">
        <f aca="false">IF((F100&lt;&gt;0),IF((D100&gt;0)," ",(I$1-A100))," ")</f>
        <v> </v>
      </c>
    </row>
    <row r="101" customFormat="false" ht="12.75" hidden="false" customHeight="false" outlineLevel="0" collapsed="false">
      <c r="A101" s="355"/>
      <c r="H101" s="338" t="str">
        <f aca="false">IF((F101&lt;&gt;0),IF((D101&gt;0)," ",F101)," ")</f>
        <v> </v>
      </c>
      <c r="I101" s="339" t="str">
        <f aca="false">IF((F101&lt;&gt;0),IF((D101&gt;0)," ",(I$1-A101))," ")</f>
        <v> </v>
      </c>
    </row>
    <row r="102" customFormat="false" ht="12.75" hidden="false" customHeight="false" outlineLevel="0" collapsed="false">
      <c r="A102" s="355"/>
      <c r="H102" s="338" t="str">
        <f aca="false">IF((F102&lt;&gt;0),IF((D102&gt;0)," ",F102)," ")</f>
        <v> </v>
      </c>
      <c r="I102" s="339" t="str">
        <f aca="false">IF((F102&lt;&gt;0),IF((D102&gt;0)," ",(I$1-A102))," ")</f>
        <v> </v>
      </c>
    </row>
    <row r="103" customFormat="false" ht="12.75" hidden="false" customHeight="false" outlineLevel="0" collapsed="false">
      <c r="A103" s="355"/>
      <c r="H103" s="338" t="str">
        <f aca="false">IF((F103&lt;&gt;0),IF((D103&gt;0)," ",F103)," ")</f>
        <v> </v>
      </c>
      <c r="I103" s="339" t="str">
        <f aca="false">IF((F103&lt;&gt;0),IF((D103&gt;0)," ",(I$1-A103))," ")</f>
        <v> </v>
      </c>
    </row>
    <row r="104" customFormat="false" ht="12.75" hidden="false" customHeight="false" outlineLevel="0" collapsed="false">
      <c r="A104" s="355"/>
      <c r="H104" s="338" t="str">
        <f aca="false">IF((F104&lt;&gt;0),IF((D104&gt;0)," ",F104)," ")</f>
        <v> </v>
      </c>
      <c r="I104" s="339" t="str">
        <f aca="false">IF((F104&lt;&gt;0),IF((D104&gt;0)," ",(I$1-A104))," ")</f>
        <v> </v>
      </c>
    </row>
    <row r="105" customFormat="false" ht="12.75" hidden="false" customHeight="false" outlineLevel="0" collapsed="false">
      <c r="A105" s="355"/>
      <c r="H105" s="338" t="str">
        <f aca="false">IF((F105&lt;&gt;0),IF((D105&gt;0)," ",F105)," ")</f>
        <v> </v>
      </c>
      <c r="I105" s="339" t="str">
        <f aca="false">IF((F105&lt;&gt;0),IF((D105&gt;0)," ",(I$1-A105))," ")</f>
        <v> </v>
      </c>
    </row>
    <row r="106" customFormat="false" ht="12.75" hidden="false" customHeight="false" outlineLevel="0" collapsed="false">
      <c r="A106" s="355"/>
      <c r="H106" s="338" t="str">
        <f aca="false">IF((F106&lt;&gt;0),IF((D106&gt;0)," ",F106)," ")</f>
        <v> </v>
      </c>
      <c r="I106" s="339" t="str">
        <f aca="false">IF((F106&lt;&gt;0),IF((D106&gt;0)," ",(I$1-A106))," ")</f>
        <v> </v>
      </c>
    </row>
    <row r="107" customFormat="false" ht="12.75" hidden="false" customHeight="false" outlineLevel="0" collapsed="false">
      <c r="A107" s="355"/>
      <c r="H107" s="338" t="str">
        <f aca="false">IF((F107&lt;&gt;0),IF((D107&gt;0)," ",F107)," ")</f>
        <v> </v>
      </c>
      <c r="I107" s="339" t="str">
        <f aca="false">IF((F107&lt;&gt;0),IF((D107&gt;0)," ",(I$1-A107))," ")</f>
        <v> </v>
      </c>
    </row>
    <row r="108" customFormat="false" ht="12.75" hidden="false" customHeight="false" outlineLevel="0" collapsed="false">
      <c r="A108" s="355"/>
      <c r="H108" s="338" t="str">
        <f aca="false">IF((F108&lt;&gt;0),IF((D108&gt;0)," ",F108)," ")</f>
        <v> </v>
      </c>
      <c r="I108" s="339" t="str">
        <f aca="false">IF((F108&lt;&gt;0),IF((D108&gt;0)," ",(I$1-A108))," ")</f>
        <v> </v>
      </c>
    </row>
    <row r="109" customFormat="false" ht="12.75" hidden="false" customHeight="false" outlineLevel="0" collapsed="false">
      <c r="A109" s="355"/>
      <c r="H109" s="338" t="str">
        <f aca="false">IF((F109&lt;&gt;0),IF((D109&gt;0)," ",F109)," ")</f>
        <v> </v>
      </c>
      <c r="I109" s="339" t="str">
        <f aca="false">IF((F109&lt;&gt;0),IF((D109&gt;0)," ",(I$1-A109))," ")</f>
        <v> </v>
      </c>
    </row>
    <row r="110" customFormat="false" ht="12.75" hidden="false" customHeight="false" outlineLevel="0" collapsed="false">
      <c r="A110" s="355"/>
      <c r="H110" s="338" t="str">
        <f aca="false">IF((F110&lt;&gt;0),IF((D110&gt;0)," ",F110)," ")</f>
        <v> </v>
      </c>
      <c r="I110" s="339" t="str">
        <f aca="false">IF((F110&lt;&gt;0),IF((D110&gt;0)," ",(I$1-A110))," ")</f>
        <v> </v>
      </c>
    </row>
    <row r="111" customFormat="false" ht="12.75" hidden="false" customHeight="false" outlineLevel="0" collapsed="false">
      <c r="A111" s="355"/>
      <c r="H111" s="338" t="str">
        <f aca="false">IF((F111&lt;&gt;0),IF((D111&gt;0)," ",F111)," ")</f>
        <v> </v>
      </c>
      <c r="I111" s="339" t="str">
        <f aca="false">IF((F111&lt;&gt;0),IF((D111&gt;0)," ",(I$1-A111))," ")</f>
        <v> </v>
      </c>
    </row>
    <row r="112" customFormat="false" ht="12.75" hidden="false" customHeight="false" outlineLevel="0" collapsed="false">
      <c r="A112" s="355"/>
      <c r="H112" s="338" t="str">
        <f aca="false">IF((F112&lt;&gt;0),IF((D112&gt;0)," ",F112)," ")</f>
        <v> </v>
      </c>
      <c r="I112" s="339" t="str">
        <f aca="false">IF((F112&lt;&gt;0),IF((D112&gt;0)," ",(I$1-A112))," ")</f>
        <v> </v>
      </c>
    </row>
    <row r="113" customFormat="false" ht="12.75" hidden="false" customHeight="false" outlineLevel="0" collapsed="false">
      <c r="A113" s="355"/>
      <c r="H113" s="338" t="str">
        <f aca="false">IF((F113&lt;&gt;0),IF((D113&gt;0)," ",F113)," ")</f>
        <v> </v>
      </c>
      <c r="I113" s="339" t="str">
        <f aca="false">IF((F113&lt;&gt;0),IF((D113&gt;0)," ",(I$1-A113))," ")</f>
        <v> </v>
      </c>
    </row>
    <row r="114" customFormat="false" ht="12.75" hidden="false" customHeight="false" outlineLevel="0" collapsed="false">
      <c r="A114" s="355"/>
      <c r="H114" s="338" t="str">
        <f aca="false">IF((F114&lt;&gt;0),IF((D114&gt;0)," ",F114)," ")</f>
        <v> </v>
      </c>
      <c r="I114" s="339" t="str">
        <f aca="false">IF((F114&lt;&gt;0),IF((D114&gt;0)," ",(I$1-A114))," ")</f>
        <v> </v>
      </c>
    </row>
    <row r="115" customFormat="false" ht="12.75" hidden="false" customHeight="false" outlineLevel="0" collapsed="false">
      <c r="A115" s="355"/>
      <c r="H115" s="338" t="str">
        <f aca="false">IF((F115&lt;&gt;0),IF((D115&gt;0)," ",F115)," ")</f>
        <v> </v>
      </c>
      <c r="I115" s="339" t="str">
        <f aca="false">IF((F115&lt;&gt;0),IF((D115&gt;0)," ",(I$1-A115))," ")</f>
        <v> </v>
      </c>
    </row>
    <row r="116" customFormat="false" ht="12.75" hidden="false" customHeight="false" outlineLevel="0" collapsed="false">
      <c r="A116" s="355"/>
      <c r="H116" s="338" t="str">
        <f aca="false">IF((F116&lt;&gt;0),IF((D116&gt;0)," ",F116)," ")</f>
        <v> </v>
      </c>
      <c r="I116" s="339" t="str">
        <f aca="false">IF((F116&lt;&gt;0),IF((D116&gt;0)," ",(I$1-A116))," ")</f>
        <v> </v>
      </c>
    </row>
    <row r="117" customFormat="false" ht="12.75" hidden="false" customHeight="false" outlineLevel="0" collapsed="false">
      <c r="A117" s="355"/>
      <c r="H117" s="338" t="str">
        <f aca="false">IF((F117&lt;&gt;0),IF((D117&gt;0)," ",F117)," ")</f>
        <v> </v>
      </c>
      <c r="I117" s="339" t="str">
        <f aca="false">IF((F117&lt;&gt;0),IF((D117&gt;0)," ",(I$1-A117))," ")</f>
        <v> </v>
      </c>
    </row>
    <row r="118" customFormat="false" ht="12.75" hidden="false" customHeight="false" outlineLevel="0" collapsed="false">
      <c r="A118" s="355"/>
      <c r="H118" s="338" t="str">
        <f aca="false">IF((F118&lt;&gt;0),IF((D118&gt;0)," ",F118)," ")</f>
        <v> </v>
      </c>
      <c r="I118" s="339" t="str">
        <f aca="false">IF((F118&lt;&gt;0),IF((D118&gt;0)," ",(I$1-A118))," ")</f>
        <v> </v>
      </c>
    </row>
    <row r="119" customFormat="false" ht="12.75" hidden="false" customHeight="false" outlineLevel="0" collapsed="false">
      <c r="A119" s="355"/>
      <c r="H119" s="338" t="str">
        <f aca="false">IF((F119&lt;&gt;0),IF((D119&gt;0)," ",F119)," ")</f>
        <v> </v>
      </c>
      <c r="I119" s="339" t="str">
        <f aca="false">IF((F119&lt;&gt;0),IF((D119&gt;0)," ",(I$1-A119))," ")</f>
        <v> </v>
      </c>
    </row>
    <row r="120" customFormat="false" ht="12.75" hidden="false" customHeight="false" outlineLevel="0" collapsed="false">
      <c r="A120" s="355"/>
      <c r="H120" s="338" t="str">
        <f aca="false">IF((F120&lt;&gt;0),IF((D120&gt;0)," ",F120)," ")</f>
        <v> </v>
      </c>
      <c r="I120" s="339" t="str">
        <f aca="false">IF((F120&lt;&gt;0),IF((D120&gt;0)," ",(I$1-A120))," ")</f>
        <v> </v>
      </c>
    </row>
    <row r="121" customFormat="false" ht="12.75" hidden="false" customHeight="false" outlineLevel="0" collapsed="false">
      <c r="A121" s="355"/>
      <c r="H121" s="338" t="str">
        <f aca="false">IF((F121&lt;&gt;0),IF((D121&gt;0)," ",F121)," ")</f>
        <v> </v>
      </c>
      <c r="I121" s="339" t="str">
        <f aca="false">IF((F121&lt;&gt;0),IF((D121&gt;0)," ",(I$1-A121))," ")</f>
        <v> </v>
      </c>
    </row>
    <row r="122" customFormat="false" ht="12.75" hidden="false" customHeight="false" outlineLevel="0" collapsed="false">
      <c r="A122" s="355"/>
      <c r="H122" s="338" t="str">
        <f aca="false">IF((F122&lt;&gt;0),IF((D122&gt;0)," ",F122)," ")</f>
        <v> </v>
      </c>
      <c r="I122" s="339" t="str">
        <f aca="false">IF((F122&lt;&gt;0),IF((D122&gt;0)," ",(I$1-A122))," ")</f>
        <v> </v>
      </c>
    </row>
    <row r="123" customFormat="false" ht="12.75" hidden="false" customHeight="false" outlineLevel="0" collapsed="false">
      <c r="A123" s="355"/>
      <c r="H123" s="338" t="str">
        <f aca="false">IF((F123&lt;&gt;0),IF((D123&gt;0)," ",F123)," ")</f>
        <v> </v>
      </c>
      <c r="I123" s="339" t="str">
        <f aca="false">IF((F123&lt;&gt;0),IF((D123&gt;0)," ",(I$1-A123))," ")</f>
        <v> </v>
      </c>
    </row>
    <row r="124" customFormat="false" ht="12.75" hidden="false" customHeight="false" outlineLevel="0" collapsed="false">
      <c r="A124" s="355"/>
      <c r="H124" s="338" t="str">
        <f aca="false">IF((F124&lt;&gt;0),IF((D124&gt;0)," ",F124)," ")</f>
        <v> </v>
      </c>
      <c r="I124" s="339" t="str">
        <f aca="false">IF((F124&lt;&gt;0),IF((D124&gt;0)," ",(I$1-A124))," ")</f>
        <v> </v>
      </c>
    </row>
    <row r="125" customFormat="false" ht="12.75" hidden="false" customHeight="false" outlineLevel="0" collapsed="false">
      <c r="A125" s="355"/>
      <c r="H125" s="338" t="str">
        <f aca="false">IF((F125&lt;&gt;0),IF((D125&gt;0)," ",F125)," ")</f>
        <v> </v>
      </c>
      <c r="I125" s="339" t="str">
        <f aca="false">IF((F125&lt;&gt;0),IF((D125&gt;0)," ",(I$1-A125))," ")</f>
        <v> </v>
      </c>
    </row>
    <row r="126" customFormat="false" ht="12.75" hidden="false" customHeight="false" outlineLevel="0" collapsed="false">
      <c r="A126" s="355"/>
      <c r="H126" s="338" t="str">
        <f aca="false">IF((F126&lt;&gt;0),IF((D126&gt;0)," ",F126)," ")</f>
        <v> </v>
      </c>
      <c r="I126" s="339" t="str">
        <f aca="false">IF((F126&lt;&gt;0),IF((D126&gt;0)," ",(I$1-A126))," ")</f>
        <v> </v>
      </c>
    </row>
    <row r="127" customFormat="false" ht="12.75" hidden="false" customHeight="false" outlineLevel="0" collapsed="false">
      <c r="A127" s="355"/>
      <c r="H127" s="338" t="str">
        <f aca="false">IF((F127&lt;&gt;0),IF((D127&gt;0)," ",F127)," ")</f>
        <v> </v>
      </c>
      <c r="I127" s="339" t="str">
        <f aca="false">IF((F127&lt;&gt;0),IF((D127&gt;0)," ",(I$1-A127))," ")</f>
        <v> </v>
      </c>
    </row>
    <row r="128" customFormat="false" ht="12.75" hidden="false" customHeight="false" outlineLevel="0" collapsed="false">
      <c r="A128" s="355"/>
      <c r="H128" s="338" t="str">
        <f aca="false">IF((F128&lt;&gt;0),IF((D128&gt;0)," ",F128)," ")</f>
        <v> </v>
      </c>
      <c r="I128" s="339" t="str">
        <f aca="false">IF((F128&lt;&gt;0),IF((D128&gt;0)," ",(I$1-A128))," ")</f>
        <v> </v>
      </c>
    </row>
    <row r="129" customFormat="false" ht="12.75" hidden="false" customHeight="false" outlineLevel="0" collapsed="false">
      <c r="A129" s="355"/>
      <c r="H129" s="338" t="str">
        <f aca="false">IF((F129&lt;&gt;0),IF((D129&gt;0)," ",F129)," ")</f>
        <v> </v>
      </c>
      <c r="I129" s="339" t="str">
        <f aca="false">IF((F129&lt;&gt;0),IF((D129&gt;0)," ",(I$1-A129))," ")</f>
        <v> </v>
      </c>
    </row>
    <row r="130" customFormat="false" ht="12.75" hidden="false" customHeight="false" outlineLevel="0" collapsed="false">
      <c r="A130" s="355"/>
      <c r="H130" s="338" t="str">
        <f aca="false">IF((F130&lt;&gt;0),IF((D130&gt;0)," ",F130)," ")</f>
        <v> </v>
      </c>
      <c r="I130" s="339" t="str">
        <f aca="false">IF((F130&lt;&gt;0),IF((D130&gt;0)," ",(I$1-A130))," ")</f>
        <v> </v>
      </c>
    </row>
    <row r="131" customFormat="false" ht="12.75" hidden="false" customHeight="false" outlineLevel="0" collapsed="false">
      <c r="A131" s="355"/>
      <c r="H131" s="338" t="str">
        <f aca="false">IF((F131&lt;&gt;0),IF((D131&gt;0)," ",F131)," ")</f>
        <v> </v>
      </c>
      <c r="I131" s="339" t="str">
        <f aca="false">IF((F131&lt;&gt;0),IF((D131&gt;0)," ",(I$1-A131))," ")</f>
        <v> </v>
      </c>
    </row>
    <row r="132" customFormat="false" ht="12.75" hidden="false" customHeight="false" outlineLevel="0" collapsed="false">
      <c r="A132" s="355"/>
      <c r="H132" s="338" t="str">
        <f aca="false">IF((F132&lt;&gt;0),IF((D132&gt;0)," ",F132)," ")</f>
        <v> </v>
      </c>
      <c r="I132" s="339" t="str">
        <f aca="false">IF((F132&lt;&gt;0),IF((D132&gt;0)," ",(I$1-A132))," ")</f>
        <v> </v>
      </c>
    </row>
    <row r="133" customFormat="false" ht="12.75" hidden="false" customHeight="false" outlineLevel="0" collapsed="false">
      <c r="A133" s="355"/>
      <c r="H133" s="338" t="str">
        <f aca="false">IF((F133&lt;&gt;0),IF((D133&gt;0)," ",F133)," ")</f>
        <v> </v>
      </c>
      <c r="I133" s="339" t="str">
        <f aca="false">IF((F133&lt;&gt;0),IF((D133&gt;0)," ",(I$1-A133))," ")</f>
        <v> </v>
      </c>
    </row>
    <row r="134" customFormat="false" ht="12.75" hidden="false" customHeight="false" outlineLevel="0" collapsed="false">
      <c r="A134" s="355"/>
      <c r="H134" s="338" t="str">
        <f aca="false">IF((F134&lt;&gt;0),IF((D134&gt;0)," ",F134)," ")</f>
        <v> </v>
      </c>
      <c r="I134" s="339" t="str">
        <f aca="false">IF((F134&lt;&gt;0),IF((D134&gt;0)," ",(I$1-A134))," ")</f>
        <v> </v>
      </c>
    </row>
    <row r="135" customFormat="false" ht="12.75" hidden="false" customHeight="false" outlineLevel="0" collapsed="false">
      <c r="A135" s="355"/>
      <c r="H135" s="338" t="str">
        <f aca="false">IF((F135&lt;&gt;0),IF((D135&gt;0)," ",F135)," ")</f>
        <v> </v>
      </c>
      <c r="I135" s="339" t="str">
        <f aca="false">IF((F135&lt;&gt;0),IF((D135&gt;0)," ",(I$1-A135))," ")</f>
        <v> </v>
      </c>
    </row>
    <row r="136" customFormat="false" ht="12.75" hidden="false" customHeight="false" outlineLevel="0" collapsed="false">
      <c r="A136" s="355"/>
      <c r="H136" s="338" t="str">
        <f aca="false">IF((F136&lt;&gt;0),IF((D136&gt;0)," ",F136)," ")</f>
        <v> </v>
      </c>
      <c r="I136" s="339" t="str">
        <f aca="false">IF((F136&lt;&gt;0),IF((D136&gt;0)," ",(I$1-A136))," ")</f>
        <v> </v>
      </c>
    </row>
    <row r="137" customFormat="false" ht="12.75" hidden="false" customHeight="false" outlineLevel="0" collapsed="false">
      <c r="A137" s="355"/>
      <c r="H137" s="338" t="str">
        <f aca="false">IF((F137&lt;&gt;0),IF((D137&gt;0)," ",F137)," ")</f>
        <v> </v>
      </c>
      <c r="I137" s="339" t="str">
        <f aca="false">IF((F137&lt;&gt;0),IF((D137&gt;0)," ",(I$1-A137))," ")</f>
        <v> </v>
      </c>
    </row>
    <row r="138" customFormat="false" ht="12.75" hidden="false" customHeight="false" outlineLevel="0" collapsed="false">
      <c r="A138" s="355"/>
      <c r="H138" s="338" t="str">
        <f aca="false">IF((F138&lt;&gt;0),IF((D138&gt;0)," ",F138)," ")</f>
        <v> </v>
      </c>
      <c r="I138" s="339" t="str">
        <f aca="false">IF((F138&lt;&gt;0),IF((D138&gt;0)," ",(I$1-A138))," ")</f>
        <v> </v>
      </c>
    </row>
    <row r="139" customFormat="false" ht="12.75" hidden="false" customHeight="false" outlineLevel="0" collapsed="false">
      <c r="A139" s="355"/>
      <c r="H139" s="338" t="str">
        <f aca="false">IF((F139&lt;&gt;0),IF((D139&gt;0)," ",F139)," ")</f>
        <v> </v>
      </c>
      <c r="I139" s="339" t="str">
        <f aca="false">IF((F139&lt;&gt;0),IF((D139&gt;0)," ",(I$1-A139))," ")</f>
        <v> </v>
      </c>
    </row>
    <row r="140" customFormat="false" ht="12.75" hidden="false" customHeight="false" outlineLevel="0" collapsed="false">
      <c r="A140" s="355"/>
      <c r="H140" s="338" t="str">
        <f aca="false">IF((F140&lt;&gt;0),IF((D140&gt;0)," ",F140)," ")</f>
        <v> </v>
      </c>
      <c r="I140" s="339" t="str">
        <f aca="false">IF((F140&lt;&gt;0),IF((D140&gt;0)," ",(I$1-A140))," ")</f>
        <v> </v>
      </c>
    </row>
    <row r="141" customFormat="false" ht="12.75" hidden="false" customHeight="false" outlineLevel="0" collapsed="false">
      <c r="A141" s="355"/>
      <c r="H141" s="338" t="str">
        <f aca="false">IF((F141&lt;&gt;0),IF((D141&gt;0)," ",F141)," ")</f>
        <v> </v>
      </c>
      <c r="I141" s="339" t="str">
        <f aca="false">IF((F141&lt;&gt;0),IF((D141&gt;0)," ",(I$1-A141))," ")</f>
        <v> </v>
      </c>
    </row>
    <row r="142" customFormat="false" ht="12.75" hidden="false" customHeight="false" outlineLevel="0" collapsed="false">
      <c r="A142" s="355"/>
      <c r="H142" s="338" t="str">
        <f aca="false">IF((F142&lt;&gt;0),IF((D142&gt;0)," ",F142)," ")</f>
        <v> </v>
      </c>
      <c r="I142" s="339" t="str">
        <f aca="false">IF((F142&lt;&gt;0),IF((D142&gt;0)," ",(I$1-A142))," ")</f>
        <v> </v>
      </c>
    </row>
    <row r="143" customFormat="false" ht="12.75" hidden="false" customHeight="false" outlineLevel="0" collapsed="false">
      <c r="A143" s="355"/>
      <c r="H143" s="338" t="str">
        <f aca="false">IF((F143&lt;&gt;0),IF((D143&gt;0)," ",F143)," ")</f>
        <v> </v>
      </c>
      <c r="I143" s="339" t="str">
        <f aca="false">IF((F143&lt;&gt;0),IF((D143&gt;0)," ",(I$1-A143))," ")</f>
        <v> </v>
      </c>
    </row>
    <row r="144" customFormat="false" ht="12.75" hidden="false" customHeight="false" outlineLevel="0" collapsed="false">
      <c r="A144" s="355"/>
      <c r="H144" s="338" t="str">
        <f aca="false">IF((F144&lt;&gt;0),IF((D144&gt;0)," ",F144)," ")</f>
        <v> </v>
      </c>
      <c r="I144" s="339" t="str">
        <f aca="false">IF((F144&lt;&gt;0),IF((D144&gt;0)," ",(I$1-A144))," ")</f>
        <v> </v>
      </c>
    </row>
    <row r="145" customFormat="false" ht="12.75" hidden="false" customHeight="false" outlineLevel="0" collapsed="false">
      <c r="A145" s="355"/>
      <c r="H145" s="338" t="str">
        <f aca="false">IF((F145&lt;&gt;0),IF((D145&gt;0)," ",F145)," ")</f>
        <v> </v>
      </c>
      <c r="I145" s="339" t="str">
        <f aca="false">IF((F145&lt;&gt;0),IF((D145&gt;0)," ",(I$1-A145))," ")</f>
        <v> </v>
      </c>
    </row>
    <row r="146" customFormat="false" ht="12.75" hidden="false" customHeight="false" outlineLevel="0" collapsed="false">
      <c r="A146" s="355"/>
      <c r="H146" s="338" t="str">
        <f aca="false">IF((F146&lt;&gt;0),IF((D146&gt;0)," ",F146)," ")</f>
        <v> </v>
      </c>
      <c r="I146" s="339" t="str">
        <f aca="false">IF((F146&lt;&gt;0),IF((D146&gt;0)," ",(I$1-A146))," ")</f>
        <v> </v>
      </c>
    </row>
    <row r="147" customFormat="false" ht="12.75" hidden="false" customHeight="false" outlineLevel="0" collapsed="false">
      <c r="A147" s="355"/>
      <c r="H147" s="338" t="str">
        <f aca="false">IF((F147&lt;&gt;0),IF((D147&gt;0)," ",F147)," ")</f>
        <v> </v>
      </c>
      <c r="I147" s="339" t="str">
        <f aca="false">IF((F147&lt;&gt;0),IF((D147&gt;0)," ",(I$1-A147))," ")</f>
        <v> </v>
      </c>
    </row>
    <row r="148" customFormat="false" ht="12.75" hidden="false" customHeight="false" outlineLevel="0" collapsed="false">
      <c r="A148" s="355"/>
      <c r="H148" s="338" t="str">
        <f aca="false">IF((F148&lt;&gt;0),IF((D148&gt;0)," ",F148)," ")</f>
        <v> </v>
      </c>
      <c r="I148" s="339" t="str">
        <f aca="false">IF((F148&lt;&gt;0),IF((D148&gt;0)," ",(I$1-A148))," ")</f>
        <v> </v>
      </c>
    </row>
    <row r="149" customFormat="false" ht="12.75" hidden="false" customHeight="false" outlineLevel="0" collapsed="false">
      <c r="A149" s="355"/>
      <c r="H149" s="338" t="str">
        <f aca="false">IF((F149&lt;&gt;0),IF((D149&gt;0)," ",F149)," ")</f>
        <v> </v>
      </c>
      <c r="I149" s="339" t="str">
        <f aca="false">IF((F149&lt;&gt;0),IF((D149&gt;0)," ",(I$1-A149))," ")</f>
        <v> </v>
      </c>
    </row>
    <row r="150" customFormat="false" ht="12.75" hidden="false" customHeight="false" outlineLevel="0" collapsed="false">
      <c r="A150" s="355"/>
      <c r="H150" s="338" t="str">
        <f aca="false">IF((F150&lt;&gt;0),IF((D150&gt;0)," ",F150)," ")</f>
        <v> </v>
      </c>
      <c r="I150" s="339" t="str">
        <f aca="false">IF((F150&lt;&gt;0),IF((D150&gt;0)," ",(I$1-A150))," ")</f>
        <v> </v>
      </c>
    </row>
    <row r="151" customFormat="false" ht="12.75" hidden="false" customHeight="false" outlineLevel="0" collapsed="false">
      <c r="A151" s="355"/>
      <c r="H151" s="338" t="str">
        <f aca="false">IF((F151&lt;&gt;0),IF((D151&gt;0)," ",F151)," ")</f>
        <v> </v>
      </c>
      <c r="I151" s="339" t="str">
        <f aca="false">IF((F151&lt;&gt;0),IF((D151&gt;0)," ",(I$1-A151))," ")</f>
        <v> </v>
      </c>
    </row>
    <row r="152" customFormat="false" ht="12.75" hidden="false" customHeight="false" outlineLevel="0" collapsed="false">
      <c r="A152" s="355"/>
      <c r="H152" s="338" t="str">
        <f aca="false">IF((F152&lt;&gt;0),IF((D152&gt;0)," ",F152)," ")</f>
        <v> </v>
      </c>
      <c r="I152" s="339" t="str">
        <f aca="false">IF((F152&lt;&gt;0),IF((D152&gt;0)," ",(I$1-A152))," ")</f>
        <v> </v>
      </c>
    </row>
    <row r="153" customFormat="false" ht="12.75" hidden="false" customHeight="false" outlineLevel="0" collapsed="false">
      <c r="A153" s="355"/>
      <c r="H153" s="338" t="str">
        <f aca="false">IF((F153&lt;&gt;0),IF((D153&gt;0)," ",F153)," ")</f>
        <v> </v>
      </c>
      <c r="I153" s="339" t="str">
        <f aca="false">IF((F153&lt;&gt;0),IF((D153&gt;0)," ",(I$1-A153))," ")</f>
        <v> </v>
      </c>
    </row>
    <row r="154" customFormat="false" ht="12.75" hidden="false" customHeight="false" outlineLevel="0" collapsed="false">
      <c r="A154" s="355"/>
      <c r="H154" s="338" t="str">
        <f aca="false">IF((F154&lt;&gt;0),IF((D154&gt;0)," ",F154)," ")</f>
        <v> </v>
      </c>
      <c r="I154" s="339" t="str">
        <f aca="false">IF((F154&lt;&gt;0),IF((D154&gt;0)," ",(I$1-A154))," ")</f>
        <v> </v>
      </c>
    </row>
    <row r="155" customFormat="false" ht="12.75" hidden="false" customHeight="false" outlineLevel="0" collapsed="false">
      <c r="A155" s="355"/>
      <c r="H155" s="338" t="str">
        <f aca="false">IF((F155&lt;&gt;0),IF((D155&gt;0)," ",F155)," ")</f>
        <v> </v>
      </c>
      <c r="I155" s="339" t="str">
        <f aca="false">IF((F155&lt;&gt;0),IF((D155&gt;0)," ",(I$1-A155))," ")</f>
        <v> </v>
      </c>
    </row>
    <row r="156" customFormat="false" ht="12.75" hidden="false" customHeight="false" outlineLevel="0" collapsed="false">
      <c r="A156" s="355"/>
      <c r="H156" s="338" t="str">
        <f aca="false">IF((F156&lt;&gt;0),IF((D156&gt;0)," ",F156)," ")</f>
        <v> </v>
      </c>
      <c r="I156" s="339" t="str">
        <f aca="false">IF((F156&lt;&gt;0),IF((D156&gt;0)," ",(I$1-A156))," ")</f>
        <v> </v>
      </c>
    </row>
    <row r="157" customFormat="false" ht="12.75" hidden="false" customHeight="false" outlineLevel="0" collapsed="false">
      <c r="A157" s="355"/>
      <c r="H157" s="338" t="str">
        <f aca="false">IF((F157&lt;&gt;0),IF((D157&gt;0)," ",F157)," ")</f>
        <v> </v>
      </c>
      <c r="I157" s="339" t="str">
        <f aca="false">IF((F157&lt;&gt;0),IF((D157&gt;0)," ",(I$1-A157))," ")</f>
        <v> </v>
      </c>
    </row>
    <row r="158" customFormat="false" ht="12.75" hidden="false" customHeight="false" outlineLevel="0" collapsed="false">
      <c r="A158" s="355"/>
      <c r="H158" s="338" t="str">
        <f aca="false">IF((F158&lt;&gt;0),IF((D158&gt;0)," ",F158)," ")</f>
        <v> </v>
      </c>
      <c r="I158" s="339" t="str">
        <f aca="false">IF((F158&lt;&gt;0),IF((D158&gt;0)," ",(I$1-A158))," ")</f>
        <v> </v>
      </c>
    </row>
    <row r="159" customFormat="false" ht="12.75" hidden="false" customHeight="false" outlineLevel="0" collapsed="false">
      <c r="A159" s="355"/>
      <c r="H159" s="338" t="str">
        <f aca="false">IF((F159&lt;&gt;0),IF((D159&gt;0)," ",F159)," ")</f>
        <v> </v>
      </c>
      <c r="I159" s="339" t="str">
        <f aca="false">IF((F159&lt;&gt;0),IF((D159&gt;0)," ",(I$1-A159))," ")</f>
        <v> </v>
      </c>
    </row>
    <row r="160" customFormat="false" ht="12.75" hidden="false" customHeight="false" outlineLevel="0" collapsed="false">
      <c r="A160" s="355"/>
      <c r="H160" s="338" t="str">
        <f aca="false">IF((F160&lt;&gt;0),IF((D160&gt;0)," ",F160)," ")</f>
        <v> </v>
      </c>
      <c r="I160" s="339" t="str">
        <f aca="false">IF((F160&lt;&gt;0),IF((D160&gt;0)," ",(I$1-A160))," ")</f>
        <v> </v>
      </c>
    </row>
    <row r="161" customFormat="false" ht="12.75" hidden="false" customHeight="false" outlineLevel="0" collapsed="false">
      <c r="A161" s="355"/>
      <c r="H161" s="338" t="str">
        <f aca="false">IF((F161&lt;&gt;0),IF((D161&gt;0)," ",F161)," ")</f>
        <v> </v>
      </c>
      <c r="I161" s="339" t="str">
        <f aca="false">IF((F161&lt;&gt;0),IF((D161&gt;0)," ",(I$1-A161))," ")</f>
        <v> </v>
      </c>
    </row>
    <row r="162" customFormat="false" ht="12.75" hidden="false" customHeight="false" outlineLevel="0" collapsed="false">
      <c r="A162" s="355"/>
      <c r="H162" s="338" t="str">
        <f aca="false">IF((F162&lt;&gt;0),IF((D162&gt;0)," ",F162)," ")</f>
        <v> </v>
      </c>
      <c r="I162" s="339" t="str">
        <f aca="false">IF((F162&lt;&gt;0),IF((D162&gt;0)," ",(I$1-A162))," ")</f>
        <v> </v>
      </c>
    </row>
    <row r="163" customFormat="false" ht="12.75" hidden="false" customHeight="false" outlineLevel="0" collapsed="false">
      <c r="A163" s="355"/>
      <c r="H163" s="338" t="str">
        <f aca="false">IF((F163&lt;&gt;0),IF((D163&gt;0)," ",F163)," ")</f>
        <v> </v>
      </c>
      <c r="I163" s="339" t="str">
        <f aca="false">IF((F163&lt;&gt;0),IF((D163&gt;0)," ",(I$1-A163))," ")</f>
        <v> </v>
      </c>
    </row>
    <row r="164" customFormat="false" ht="12.75" hidden="false" customHeight="false" outlineLevel="0" collapsed="false">
      <c r="A164" s="355"/>
      <c r="H164" s="338" t="str">
        <f aca="false">IF((F164&lt;&gt;0),IF((D164&gt;0)," ",F164)," ")</f>
        <v> </v>
      </c>
      <c r="I164" s="339" t="str">
        <f aca="false">IF((F164&lt;&gt;0),IF((D164&gt;0)," ",(I$1-A164))," ")</f>
        <v> </v>
      </c>
    </row>
    <row r="165" customFormat="false" ht="12.75" hidden="false" customHeight="false" outlineLevel="0" collapsed="false">
      <c r="A165" s="355"/>
      <c r="H165" s="338" t="str">
        <f aca="false">IF((F165&lt;&gt;0),IF((D165&gt;0)," ",F165)," ")</f>
        <v> </v>
      </c>
      <c r="I165" s="339" t="str">
        <f aca="false">IF((F165&lt;&gt;0),IF((D165&gt;0)," ",(I$1-A165))," ")</f>
        <v> </v>
      </c>
    </row>
    <row r="166" customFormat="false" ht="12.75" hidden="false" customHeight="false" outlineLevel="0" collapsed="false">
      <c r="A166" s="355"/>
      <c r="H166" s="338" t="str">
        <f aca="false">IF((F166&lt;&gt;0),IF((D166&gt;0)," ",F166)," ")</f>
        <v> </v>
      </c>
      <c r="I166" s="339" t="str">
        <f aca="false">IF((F166&lt;&gt;0),IF((D166&gt;0)," ",(I$1-A166))," ")</f>
        <v> </v>
      </c>
    </row>
    <row r="167" customFormat="false" ht="12.75" hidden="false" customHeight="false" outlineLevel="0" collapsed="false">
      <c r="A167" s="355"/>
      <c r="H167" s="338" t="str">
        <f aca="false">IF((F167&lt;&gt;0),IF((D167&gt;0)," ",F167)," ")</f>
        <v> </v>
      </c>
      <c r="I167" s="339" t="str">
        <f aca="false">IF((F167&lt;&gt;0),IF((D167&gt;0)," ",(I$1-A167))," ")</f>
        <v> </v>
      </c>
    </row>
    <row r="168" customFormat="false" ht="12.75" hidden="false" customHeight="false" outlineLevel="0" collapsed="false">
      <c r="A168" s="355"/>
      <c r="H168" s="338" t="str">
        <f aca="false">IF((F168&lt;&gt;0),IF((D168&gt;0)," ",F168)," ")</f>
        <v> </v>
      </c>
      <c r="I168" s="339" t="str">
        <f aca="false">IF((F168&lt;&gt;0),IF((D168&gt;0)," ",(I$1-A168))," ")</f>
        <v> </v>
      </c>
    </row>
    <row r="169" customFormat="false" ht="12.75" hidden="false" customHeight="false" outlineLevel="0" collapsed="false">
      <c r="A169" s="355"/>
      <c r="H169" s="338" t="str">
        <f aca="false">IF((F169&lt;&gt;0),IF((D169&gt;0)," ",F169)," ")</f>
        <v> </v>
      </c>
      <c r="I169" s="339" t="str">
        <f aca="false">IF((F169&lt;&gt;0),IF((D169&gt;0)," ",(I$1-A169))," ")</f>
        <v> </v>
      </c>
    </row>
    <row r="170" customFormat="false" ht="12.75" hidden="false" customHeight="false" outlineLevel="0" collapsed="false">
      <c r="A170" s="355"/>
      <c r="H170" s="338" t="str">
        <f aca="false">IF((F170&lt;&gt;0),IF((D170&gt;0)," ",F170)," ")</f>
        <v> </v>
      </c>
      <c r="I170" s="339" t="str">
        <f aca="false">IF((F170&lt;&gt;0),IF((D170&gt;0)," ",(I$1-A170))," ")</f>
        <v> </v>
      </c>
    </row>
    <row r="171" customFormat="false" ht="12.75" hidden="false" customHeight="false" outlineLevel="0" collapsed="false">
      <c r="A171" s="355"/>
      <c r="H171" s="338" t="str">
        <f aca="false">IF((F171&lt;&gt;0),IF((D171&gt;0)," ",F171)," ")</f>
        <v> </v>
      </c>
      <c r="I171" s="339" t="str">
        <f aca="false">IF((F171&lt;&gt;0),IF((D171&gt;0)," ",(I$1-A171))," ")</f>
        <v> </v>
      </c>
    </row>
    <row r="172" customFormat="false" ht="12.75" hidden="false" customHeight="false" outlineLevel="0" collapsed="false">
      <c r="A172" s="355"/>
      <c r="H172" s="338" t="str">
        <f aca="false">IF((F172&lt;&gt;0),IF((D172&gt;0)," ",F172)," ")</f>
        <v> </v>
      </c>
      <c r="I172" s="339" t="str">
        <f aca="false">IF((F172&lt;&gt;0),IF((D172&gt;0)," ",(I$1-A172))," ")</f>
        <v> </v>
      </c>
    </row>
    <row r="173" customFormat="false" ht="12.75" hidden="false" customHeight="false" outlineLevel="0" collapsed="false">
      <c r="A173" s="355"/>
      <c r="H173" s="338" t="str">
        <f aca="false">IF((F173&lt;&gt;0),IF((D173&gt;0)," ",F173)," ")</f>
        <v> </v>
      </c>
      <c r="I173" s="339" t="str">
        <f aca="false">IF((F173&lt;&gt;0),IF((D173&gt;0)," ",(I$1-A173))," ")</f>
        <v> </v>
      </c>
    </row>
    <row r="174" customFormat="false" ht="12.75" hidden="false" customHeight="false" outlineLevel="0" collapsed="false">
      <c r="A174" s="355"/>
      <c r="H174" s="338" t="str">
        <f aca="false">IF((F174&lt;&gt;0),IF((D174&gt;0)," ",F174)," ")</f>
        <v> </v>
      </c>
      <c r="I174" s="339" t="str">
        <f aca="false">IF((F174&lt;&gt;0),IF((D174&gt;0)," ",(I$1-A174))," ")</f>
        <v> </v>
      </c>
    </row>
    <row r="175" customFormat="false" ht="12.75" hidden="false" customHeight="false" outlineLevel="0" collapsed="false">
      <c r="A175" s="355"/>
      <c r="H175" s="338" t="str">
        <f aca="false">IF((F175&lt;&gt;0),IF((D175&gt;0)," ",F175)," ")</f>
        <v> </v>
      </c>
      <c r="I175" s="339" t="str">
        <f aca="false">IF((F175&lt;&gt;0),IF((D175&gt;0)," ",(I$1-A175))," ")</f>
        <v> </v>
      </c>
    </row>
    <row r="176" customFormat="false" ht="12.75" hidden="false" customHeight="false" outlineLevel="0" collapsed="false">
      <c r="A176" s="355"/>
      <c r="H176" s="338" t="str">
        <f aca="false">IF((F176&lt;&gt;0),IF((D176&gt;0)," ",F176)," ")</f>
        <v> </v>
      </c>
      <c r="I176" s="339" t="str">
        <f aca="false">IF((F176&lt;&gt;0),IF((D176&gt;0)," ",(I$1-A176))," ")</f>
        <v> </v>
      </c>
    </row>
    <row r="177" customFormat="false" ht="12.75" hidden="false" customHeight="false" outlineLevel="0" collapsed="false">
      <c r="A177" s="355"/>
      <c r="H177" s="338" t="str">
        <f aca="false">IF((F177&lt;&gt;0),IF((D177&gt;0)," ",F177)," ")</f>
        <v> </v>
      </c>
      <c r="I177" s="339" t="str">
        <f aca="false">IF((F177&lt;&gt;0),IF((D177&gt;0)," ",(I$1-A177))," ")</f>
        <v> </v>
      </c>
    </row>
    <row r="178" customFormat="false" ht="12.75" hidden="false" customHeight="false" outlineLevel="0" collapsed="false">
      <c r="A178" s="355"/>
      <c r="H178" s="338" t="str">
        <f aca="false">IF((F178&lt;&gt;0),IF((D178&gt;0)," ",F178)," ")</f>
        <v> </v>
      </c>
      <c r="I178" s="339" t="str">
        <f aca="false">IF((F178&lt;&gt;0),IF((D178&gt;0)," ",(I$1-A178))," ")</f>
        <v> </v>
      </c>
    </row>
    <row r="179" customFormat="false" ht="12.75" hidden="false" customHeight="false" outlineLevel="0" collapsed="false">
      <c r="A179" s="355"/>
      <c r="H179" s="338" t="str">
        <f aca="false">IF((F179&lt;&gt;0),IF((D179&gt;0)," ",F179)," ")</f>
        <v> </v>
      </c>
      <c r="I179" s="339" t="str">
        <f aca="false">IF((F179&lt;&gt;0),IF((D179&gt;0)," ",(I$1-A179))," ")</f>
        <v> </v>
      </c>
    </row>
    <row r="180" customFormat="false" ht="12.75" hidden="false" customHeight="false" outlineLevel="0" collapsed="false">
      <c r="A180" s="355"/>
      <c r="H180" s="338" t="str">
        <f aca="false">IF((F180&lt;&gt;0),IF((D180&gt;0)," ",F180)," ")</f>
        <v> </v>
      </c>
      <c r="I180" s="339" t="str">
        <f aca="false">IF((F180&lt;&gt;0),IF((D180&gt;0)," ",(I$1-A180))," ")</f>
        <v> </v>
      </c>
    </row>
    <row r="181" customFormat="false" ht="12.75" hidden="false" customHeight="false" outlineLevel="0" collapsed="false">
      <c r="A181" s="355"/>
      <c r="H181" s="338" t="str">
        <f aca="false">IF((F181&lt;&gt;0),IF((D181&gt;0)," ",F181)," ")</f>
        <v> </v>
      </c>
      <c r="I181" s="339" t="str">
        <f aca="false">IF((F181&lt;&gt;0),IF((D181&gt;0)," ",(I$1-A181))," ")</f>
        <v> </v>
      </c>
    </row>
    <row r="182" customFormat="false" ht="12.75" hidden="false" customHeight="false" outlineLevel="0" collapsed="false">
      <c r="A182" s="355"/>
      <c r="H182" s="338" t="str">
        <f aca="false">IF((F182&lt;&gt;0),IF((D182&gt;0)," ",F182)," ")</f>
        <v> </v>
      </c>
      <c r="I182" s="339" t="str">
        <f aca="false">IF((F182&lt;&gt;0),IF((D182&gt;0)," ",(I$1-A182))," ")</f>
        <v> </v>
      </c>
    </row>
    <row r="183" customFormat="false" ht="12.75" hidden="false" customHeight="false" outlineLevel="0" collapsed="false">
      <c r="A183" s="355"/>
      <c r="H183" s="338" t="str">
        <f aca="false">IF((F183&lt;&gt;0),IF((D183&gt;0)," ",F183)," ")</f>
        <v> </v>
      </c>
      <c r="I183" s="339" t="str">
        <f aca="false">IF((F183&lt;&gt;0),IF((D183&gt;0)," ",(I$1-A183))," ")</f>
        <v> </v>
      </c>
    </row>
    <row r="184" customFormat="false" ht="12.75" hidden="false" customHeight="false" outlineLevel="0" collapsed="false">
      <c r="A184" s="355"/>
      <c r="H184" s="338" t="str">
        <f aca="false">IF((F184&lt;&gt;0),IF((D184&gt;0)," ",F184)," ")</f>
        <v> </v>
      </c>
      <c r="I184" s="339" t="str">
        <f aca="false">IF((F184&lt;&gt;0),IF((D184&gt;0)," ",(I$1-A184))," ")</f>
        <v> </v>
      </c>
    </row>
    <row r="185" customFormat="false" ht="12.75" hidden="false" customHeight="false" outlineLevel="0" collapsed="false">
      <c r="A185" s="355"/>
      <c r="H185" s="338" t="str">
        <f aca="false">IF((F185&lt;&gt;0),IF((D185&gt;0)," ",F185)," ")</f>
        <v> </v>
      </c>
      <c r="I185" s="339" t="str">
        <f aca="false">IF((F185&lt;&gt;0),IF((D185&gt;0)," ",(I$1-A185))," ")</f>
        <v> </v>
      </c>
    </row>
    <row r="186" customFormat="false" ht="12.75" hidden="false" customHeight="false" outlineLevel="0" collapsed="false">
      <c r="A186" s="355"/>
      <c r="H186" s="338" t="str">
        <f aca="false">IF((F186&lt;&gt;0),IF((D186&gt;0)," ",F186)," ")</f>
        <v> </v>
      </c>
      <c r="I186" s="339" t="str">
        <f aca="false">IF((F186&lt;&gt;0),IF((D186&gt;0)," ",(I$1-A186))," ")</f>
        <v> </v>
      </c>
    </row>
    <row r="187" customFormat="false" ht="12.75" hidden="false" customHeight="false" outlineLevel="0" collapsed="false">
      <c r="A187" s="355"/>
      <c r="H187" s="338" t="str">
        <f aca="false">IF((F187&lt;&gt;0),IF((D187&gt;0)," ",F187)," ")</f>
        <v> </v>
      </c>
      <c r="I187" s="339" t="str">
        <f aca="false">IF((F187&lt;&gt;0),IF((D187&gt;0)," ",(I$1-A187))," ")</f>
        <v> </v>
      </c>
    </row>
    <row r="188" customFormat="false" ht="12.75" hidden="false" customHeight="false" outlineLevel="0" collapsed="false">
      <c r="A188" s="355"/>
      <c r="H188" s="338" t="str">
        <f aca="false">IF((F188&lt;&gt;0),IF((D188&gt;0)," ",F188)," ")</f>
        <v> </v>
      </c>
      <c r="I188" s="339" t="str">
        <f aca="false">IF((F188&lt;&gt;0),IF((D188&gt;0)," ",(I$1-A188))," ")</f>
        <v> </v>
      </c>
    </row>
    <row r="189" customFormat="false" ht="12.75" hidden="false" customHeight="false" outlineLevel="0" collapsed="false">
      <c r="A189" s="355"/>
      <c r="H189" s="338" t="str">
        <f aca="false">IF((F189&lt;&gt;0),IF((D189&gt;0)," ",F189)," ")</f>
        <v> </v>
      </c>
      <c r="I189" s="339" t="str">
        <f aca="false">IF((F189&lt;&gt;0),IF((D189&gt;0)," ",(I$1-A189))," ")</f>
        <v> </v>
      </c>
    </row>
    <row r="190" customFormat="false" ht="12.75" hidden="false" customHeight="false" outlineLevel="0" collapsed="false">
      <c r="A190" s="355"/>
      <c r="H190" s="338" t="str">
        <f aca="false">IF((F190&lt;&gt;0),IF((D190&gt;0)," ",F190)," ")</f>
        <v> </v>
      </c>
      <c r="I190" s="339" t="str">
        <f aca="false">IF((F190&lt;&gt;0),IF((D190&gt;0)," ",(I$1-A190))," ")</f>
        <v> </v>
      </c>
    </row>
    <row r="191" customFormat="false" ht="12.75" hidden="false" customHeight="false" outlineLevel="0" collapsed="false">
      <c r="A191" s="355"/>
      <c r="H191" s="338" t="str">
        <f aca="false">IF((F191&lt;&gt;0),IF((D191&gt;0)," ",F191)," ")</f>
        <v> </v>
      </c>
      <c r="I191" s="339" t="str">
        <f aca="false">IF((F191&lt;&gt;0),IF((D191&gt;0)," ",(I$1-A191))," ")</f>
        <v> </v>
      </c>
    </row>
    <row r="192" customFormat="false" ht="12.75" hidden="false" customHeight="false" outlineLevel="0" collapsed="false">
      <c r="A192" s="355"/>
      <c r="H192" s="338" t="str">
        <f aca="false">IF((F192&lt;&gt;0),IF((D192&gt;0)," ",F192)," ")</f>
        <v> </v>
      </c>
      <c r="I192" s="339" t="str">
        <f aca="false">IF((F192&lt;&gt;0),IF((D192&gt;0)," ",(I$1-A192))," ")</f>
        <v> </v>
      </c>
    </row>
    <row r="193" customFormat="false" ht="12.75" hidden="false" customHeight="false" outlineLevel="0" collapsed="false">
      <c r="A193" s="355"/>
      <c r="H193" s="338" t="str">
        <f aca="false">IF((F193&lt;&gt;0),IF((D193&gt;0)," ",F193)," ")</f>
        <v> </v>
      </c>
      <c r="I193" s="339" t="str">
        <f aca="false">IF((F193&lt;&gt;0),IF((D193&gt;0)," ",(I$1-A193))," ")</f>
        <v> </v>
      </c>
    </row>
    <row r="194" customFormat="false" ht="12.75" hidden="false" customHeight="false" outlineLevel="0" collapsed="false">
      <c r="A194" s="355"/>
      <c r="H194" s="338" t="str">
        <f aca="false">IF((F194&lt;&gt;0),IF((D194&gt;0)," ",F194)," ")</f>
        <v> </v>
      </c>
      <c r="I194" s="339" t="str">
        <f aca="false">IF((F194&lt;&gt;0),IF((D194&gt;0)," ",(I$1-A194))," ")</f>
        <v> </v>
      </c>
    </row>
    <row r="195" customFormat="false" ht="12.75" hidden="false" customHeight="false" outlineLevel="0" collapsed="false">
      <c r="A195" s="355"/>
      <c r="H195" s="338" t="str">
        <f aca="false">IF((F195&lt;&gt;0),IF((D195&gt;0)," ",F195)," ")</f>
        <v> </v>
      </c>
      <c r="I195" s="339" t="str">
        <f aca="false">IF((F195&lt;&gt;0),IF((D195&gt;0)," ",(I$1-A195))," ")</f>
        <v> </v>
      </c>
    </row>
    <row r="196" customFormat="false" ht="12.75" hidden="false" customHeight="false" outlineLevel="0" collapsed="false">
      <c r="A196" s="355"/>
      <c r="H196" s="338" t="str">
        <f aca="false">IF((F196&lt;&gt;0),IF((D196&gt;0)," ",F196)," ")</f>
        <v> </v>
      </c>
      <c r="I196" s="339" t="str">
        <f aca="false">IF((F196&lt;&gt;0),IF((D196&gt;0)," ",(I$1-A196))," ")</f>
        <v> </v>
      </c>
    </row>
    <row r="197" customFormat="false" ht="12.75" hidden="false" customHeight="false" outlineLevel="0" collapsed="false">
      <c r="A197" s="355"/>
      <c r="H197" s="338" t="str">
        <f aca="false">IF((F197&lt;&gt;0),IF((D197&gt;0)," ",F197)," ")</f>
        <v> </v>
      </c>
      <c r="I197" s="339" t="str">
        <f aca="false">IF((F197&lt;&gt;0),IF((D197&gt;0)," ",(I$1-A197))," ")</f>
        <v> </v>
      </c>
    </row>
    <row r="198" customFormat="false" ht="12.75" hidden="false" customHeight="false" outlineLevel="0" collapsed="false">
      <c r="A198" s="355"/>
      <c r="H198" s="338" t="str">
        <f aca="false">IF((F198&lt;&gt;0),IF((D198&gt;0)," ",F198)," ")</f>
        <v> </v>
      </c>
      <c r="I198" s="339" t="str">
        <f aca="false">IF((F198&lt;&gt;0),IF((D198&gt;0)," ",(I$1-A198))," ")</f>
        <v> </v>
      </c>
    </row>
    <row r="199" customFormat="false" ht="12.75" hidden="false" customHeight="false" outlineLevel="0" collapsed="false">
      <c r="A199" s="355"/>
      <c r="H199" s="338" t="str">
        <f aca="false">IF((F199&lt;&gt;0),IF((D199&gt;0)," ",F199)," ")</f>
        <v> </v>
      </c>
      <c r="I199" s="339" t="str">
        <f aca="false">IF((F199&lt;&gt;0),IF((D199&gt;0)," ",(I$1-A199))," ")</f>
        <v> </v>
      </c>
    </row>
    <row r="200" customFormat="false" ht="12.75" hidden="false" customHeight="false" outlineLevel="0" collapsed="false">
      <c r="A200" s="355"/>
      <c r="H200" s="338" t="str">
        <f aca="false">IF((F200&lt;&gt;0),IF((D200&gt;0)," ",F200)," ")</f>
        <v> </v>
      </c>
      <c r="I200" s="339" t="str">
        <f aca="false">IF((F200&lt;&gt;0),IF((D200&gt;0)," ",(I$1-A200))," ")</f>
        <v> </v>
      </c>
    </row>
    <row r="201" customFormat="false" ht="12.75" hidden="false" customHeight="false" outlineLevel="0" collapsed="false">
      <c r="A201" s="355"/>
      <c r="H201" s="338" t="str">
        <f aca="false">IF((F201&lt;&gt;0),IF((D201&gt;0)," ",F201)," ")</f>
        <v> </v>
      </c>
      <c r="I201" s="339" t="str">
        <f aca="false">IF((F201&lt;&gt;0),IF((D201&gt;0)," ",(I$1-A201))," ")</f>
        <v> </v>
      </c>
    </row>
    <row r="202" customFormat="false" ht="12.75" hidden="false" customHeight="false" outlineLevel="0" collapsed="false">
      <c r="A202" s="355"/>
      <c r="H202" s="338" t="str">
        <f aca="false">IF((F202&lt;&gt;0),IF((D202&gt;0)," ",F202)," ")</f>
        <v> </v>
      </c>
      <c r="I202" s="339" t="str">
        <f aca="false">IF((F202&lt;&gt;0),IF((D202&gt;0)," ",(I$1-A202))," ")</f>
        <v> </v>
      </c>
    </row>
    <row r="203" customFormat="false" ht="12.75" hidden="false" customHeight="false" outlineLevel="0" collapsed="false">
      <c r="A203" s="355"/>
      <c r="H203" s="338" t="str">
        <f aca="false">IF((F203&lt;&gt;0),IF((D203&gt;0)," ",F203)," ")</f>
        <v> </v>
      </c>
      <c r="I203" s="339" t="str">
        <f aca="false">IF((F203&lt;&gt;0),IF((D203&gt;0)," ",(I$1-A203))," ")</f>
        <v> </v>
      </c>
    </row>
    <row r="204" customFormat="false" ht="12.75" hidden="false" customHeight="false" outlineLevel="0" collapsed="false">
      <c r="A204" s="355"/>
      <c r="H204" s="338" t="str">
        <f aca="false">IF((F204&lt;&gt;0),IF((D204&gt;0)," ",F204)," ")</f>
        <v> </v>
      </c>
      <c r="I204" s="339" t="str">
        <f aca="false">IF((F204&lt;&gt;0),IF((D204&gt;0)," ",(I$1-A204))," ")</f>
        <v> </v>
      </c>
    </row>
    <row r="205" customFormat="false" ht="12.75" hidden="false" customHeight="false" outlineLevel="0" collapsed="false">
      <c r="A205" s="355"/>
    </row>
    <row r="206" customFormat="false" ht="12.75" hidden="false" customHeight="false" outlineLevel="0" collapsed="false">
      <c r="A206" s="355"/>
    </row>
    <row r="207" customFormat="false" ht="12.75" hidden="false" customHeight="false" outlineLevel="0" collapsed="false">
      <c r="A207" s="355"/>
    </row>
    <row r="208" customFormat="false" ht="12.75" hidden="false" customHeight="false" outlineLevel="0" collapsed="false">
      <c r="A208" s="355"/>
    </row>
    <row r="209" customFormat="false" ht="12.75" hidden="false" customHeight="false" outlineLevel="0" collapsed="false">
      <c r="A209" s="355"/>
    </row>
    <row r="210" customFormat="false" ht="12.75" hidden="false" customHeight="false" outlineLevel="0" collapsed="false">
      <c r="A210" s="355"/>
    </row>
    <row r="211" customFormat="false" ht="12.75" hidden="false" customHeight="false" outlineLevel="0" collapsed="false">
      <c r="A211" s="355"/>
    </row>
    <row r="212" customFormat="false" ht="12.75" hidden="false" customHeight="false" outlineLevel="0" collapsed="false">
      <c r="A212" s="355"/>
    </row>
    <row r="213" customFormat="false" ht="12.75" hidden="false" customHeight="false" outlineLevel="0" collapsed="false">
      <c r="A213" s="355"/>
    </row>
    <row r="214" customFormat="false" ht="12.75" hidden="false" customHeight="false" outlineLevel="0" collapsed="false">
      <c r="A214" s="355"/>
    </row>
    <row r="215" customFormat="false" ht="12.75" hidden="false" customHeight="false" outlineLevel="0" collapsed="false">
      <c r="A215" s="355"/>
    </row>
    <row r="216" customFormat="false" ht="12.75" hidden="false" customHeight="false" outlineLevel="0" collapsed="false">
      <c r="A216" s="355"/>
    </row>
    <row r="217" customFormat="false" ht="12.75" hidden="false" customHeight="false" outlineLevel="0" collapsed="false">
      <c r="A217" s="355"/>
    </row>
    <row r="218" customFormat="false" ht="12.75" hidden="false" customHeight="false" outlineLevel="0" collapsed="false">
      <c r="A218" s="355"/>
    </row>
    <row r="219" customFormat="false" ht="12.75" hidden="false" customHeight="false" outlineLevel="0" collapsed="false">
      <c r="A219" s="355"/>
    </row>
    <row r="220" customFormat="false" ht="12.75" hidden="false" customHeight="false" outlineLevel="0" collapsed="false">
      <c r="A220" s="355"/>
    </row>
    <row r="221" customFormat="false" ht="12.75" hidden="false" customHeight="false" outlineLevel="0" collapsed="false">
      <c r="A221" s="355"/>
    </row>
    <row r="222" customFormat="false" ht="12.75" hidden="false" customHeight="false" outlineLevel="0" collapsed="false">
      <c r="A222" s="355"/>
    </row>
    <row r="223" customFormat="false" ht="12.75" hidden="false" customHeight="false" outlineLevel="0" collapsed="false">
      <c r="A223" s="355"/>
    </row>
    <row r="224" customFormat="false" ht="12.75" hidden="false" customHeight="false" outlineLevel="0" collapsed="false">
      <c r="A224" s="355"/>
    </row>
    <row r="225" customFormat="false" ht="12.75" hidden="false" customHeight="false" outlineLevel="0" collapsed="false">
      <c r="A225" s="355"/>
    </row>
    <row r="226" customFormat="false" ht="12.75" hidden="false" customHeight="false" outlineLevel="0" collapsed="false">
      <c r="A226" s="355"/>
    </row>
    <row r="227" customFormat="false" ht="12.75" hidden="false" customHeight="false" outlineLevel="0" collapsed="false">
      <c r="A227" s="355"/>
    </row>
    <row r="228" customFormat="false" ht="12.75" hidden="false" customHeight="false" outlineLevel="0" collapsed="false">
      <c r="A228" s="355"/>
    </row>
    <row r="229" customFormat="false" ht="12.75" hidden="false" customHeight="false" outlineLevel="0" collapsed="false">
      <c r="A229" s="355"/>
    </row>
    <row r="230" customFormat="false" ht="12.75" hidden="false" customHeight="false" outlineLevel="0" collapsed="false">
      <c r="A230" s="355"/>
    </row>
    <row r="231" customFormat="false" ht="12.75" hidden="false" customHeight="false" outlineLevel="0" collapsed="false">
      <c r="A231" s="355"/>
    </row>
    <row r="232" customFormat="false" ht="12.75" hidden="false" customHeight="false" outlineLevel="0" collapsed="false">
      <c r="A232" s="355"/>
    </row>
    <row r="233" customFormat="false" ht="12.75" hidden="false" customHeight="false" outlineLevel="0" collapsed="false">
      <c r="A233" s="355"/>
    </row>
    <row r="234" customFormat="false" ht="12.75" hidden="false" customHeight="false" outlineLevel="0" collapsed="false">
      <c r="A234" s="355"/>
    </row>
    <row r="235" customFormat="false" ht="12.75" hidden="false" customHeight="false" outlineLevel="0" collapsed="false">
      <c r="A235" s="355"/>
    </row>
    <row r="236" customFormat="false" ht="12.75" hidden="false" customHeight="false" outlineLevel="0" collapsed="false">
      <c r="A236" s="355"/>
    </row>
    <row r="237" customFormat="false" ht="12.75" hidden="false" customHeight="false" outlineLevel="0" collapsed="false">
      <c r="A237" s="355"/>
    </row>
    <row r="238" customFormat="false" ht="12.75" hidden="false" customHeight="false" outlineLevel="0" collapsed="false">
      <c r="A238" s="355"/>
    </row>
    <row r="239" customFormat="false" ht="12.75" hidden="false" customHeight="false" outlineLevel="0" collapsed="false">
      <c r="A239" s="355"/>
    </row>
    <row r="240" customFormat="false" ht="12.75" hidden="false" customHeight="false" outlineLevel="0" collapsed="false">
      <c r="A240" s="355"/>
    </row>
    <row r="241" customFormat="false" ht="12.75" hidden="false" customHeight="false" outlineLevel="0" collapsed="false">
      <c r="A241" s="355"/>
    </row>
    <row r="242" customFormat="false" ht="12.75" hidden="false" customHeight="false" outlineLevel="0" collapsed="false">
      <c r="A242" s="355"/>
    </row>
    <row r="243" customFormat="false" ht="12.75" hidden="false" customHeight="false" outlineLevel="0" collapsed="false">
      <c r="A243" s="355"/>
    </row>
    <row r="244" customFormat="false" ht="12.75" hidden="false" customHeight="false" outlineLevel="0" collapsed="false">
      <c r="A244" s="355"/>
    </row>
    <row r="245" customFormat="false" ht="12.75" hidden="false" customHeight="false" outlineLevel="0" collapsed="false">
      <c r="A245" s="355"/>
    </row>
    <row r="246" customFormat="false" ht="12.75" hidden="false" customHeight="false" outlineLevel="0" collapsed="false">
      <c r="A246" s="355"/>
    </row>
    <row r="247" customFormat="false" ht="12.75" hidden="false" customHeight="false" outlineLevel="0" collapsed="false">
      <c r="A247" s="355"/>
    </row>
    <row r="248" customFormat="false" ht="12.75" hidden="false" customHeight="false" outlineLevel="0" collapsed="false">
      <c r="A248" s="355"/>
    </row>
    <row r="249" customFormat="false" ht="12.75" hidden="false" customHeight="false" outlineLevel="0" collapsed="false">
      <c r="A249" s="355"/>
    </row>
    <row r="250" customFormat="false" ht="12.75" hidden="false" customHeight="false" outlineLevel="0" collapsed="false">
      <c r="A250" s="355"/>
    </row>
    <row r="251" customFormat="false" ht="12.75" hidden="false" customHeight="false" outlineLevel="0" collapsed="false">
      <c r="A251" s="355"/>
    </row>
    <row r="252" customFormat="false" ht="12.75" hidden="false" customHeight="false" outlineLevel="0" collapsed="false">
      <c r="A252" s="355"/>
    </row>
    <row r="253" customFormat="false" ht="12.75" hidden="false" customHeight="false" outlineLevel="0" collapsed="false">
      <c r="A253" s="355"/>
    </row>
    <row r="254" customFormat="false" ht="12.75" hidden="false" customHeight="false" outlineLevel="0" collapsed="false">
      <c r="A254" s="355"/>
    </row>
    <row r="255" customFormat="false" ht="12.75" hidden="false" customHeight="false" outlineLevel="0" collapsed="false">
      <c r="A255" s="355"/>
    </row>
    <row r="256" customFormat="false" ht="12.75" hidden="false" customHeight="false" outlineLevel="0" collapsed="false">
      <c r="A256" s="355"/>
    </row>
    <row r="257" customFormat="false" ht="12.75" hidden="false" customHeight="false" outlineLevel="0" collapsed="false">
      <c r="A257" s="355"/>
    </row>
    <row r="258" customFormat="false" ht="12.75" hidden="false" customHeight="false" outlineLevel="0" collapsed="false">
      <c r="A258" s="355"/>
    </row>
    <row r="259" customFormat="false" ht="12.75" hidden="false" customHeight="false" outlineLevel="0" collapsed="false">
      <c r="A259" s="355"/>
    </row>
    <row r="260" customFormat="false" ht="12.75" hidden="false" customHeight="false" outlineLevel="0" collapsed="false">
      <c r="A260" s="355"/>
    </row>
    <row r="261" customFormat="false" ht="12.75" hidden="false" customHeight="false" outlineLevel="0" collapsed="false">
      <c r="A261" s="355"/>
    </row>
    <row r="262" customFormat="false" ht="12.75" hidden="false" customHeight="false" outlineLevel="0" collapsed="false">
      <c r="A262" s="355"/>
    </row>
    <row r="263" customFormat="false" ht="12.75" hidden="false" customHeight="false" outlineLevel="0" collapsed="false">
      <c r="A263" s="355"/>
    </row>
    <row r="264" customFormat="false" ht="12.75" hidden="false" customHeight="false" outlineLevel="0" collapsed="false">
      <c r="A264" s="355"/>
    </row>
    <row r="265" customFormat="false" ht="12.75" hidden="false" customHeight="false" outlineLevel="0" collapsed="false">
      <c r="A265" s="355"/>
    </row>
    <row r="266" customFormat="false" ht="12.75" hidden="false" customHeight="false" outlineLevel="0" collapsed="false">
      <c r="A266" s="355"/>
    </row>
    <row r="267" customFormat="false" ht="12.75" hidden="false" customHeight="false" outlineLevel="0" collapsed="false">
      <c r="A267" s="355"/>
    </row>
    <row r="268" customFormat="false" ht="12.75" hidden="false" customHeight="false" outlineLevel="0" collapsed="false">
      <c r="A268" s="355"/>
    </row>
    <row r="269" customFormat="false" ht="12.75" hidden="false" customHeight="false" outlineLevel="0" collapsed="false">
      <c r="A269" s="355"/>
    </row>
    <row r="270" customFormat="false" ht="12.75" hidden="false" customHeight="false" outlineLevel="0" collapsed="false">
      <c r="A270" s="355"/>
    </row>
    <row r="271" customFormat="false" ht="12.75" hidden="false" customHeight="false" outlineLevel="0" collapsed="false">
      <c r="A271" s="355"/>
    </row>
    <row r="272" customFormat="false" ht="12.75" hidden="false" customHeight="false" outlineLevel="0" collapsed="false">
      <c r="A272" s="355"/>
    </row>
    <row r="273" customFormat="false" ht="12.75" hidden="false" customHeight="false" outlineLevel="0" collapsed="false">
      <c r="A273" s="355"/>
    </row>
    <row r="274" customFormat="false" ht="12.75" hidden="false" customHeight="false" outlineLevel="0" collapsed="false">
      <c r="A274" s="355"/>
    </row>
    <row r="275" customFormat="false" ht="12.75" hidden="false" customHeight="false" outlineLevel="0" collapsed="false">
      <c r="A275" s="355"/>
    </row>
    <row r="276" customFormat="false" ht="12.75" hidden="false" customHeight="false" outlineLevel="0" collapsed="false">
      <c r="A276" s="355"/>
    </row>
    <row r="277" customFormat="false" ht="12.75" hidden="false" customHeight="false" outlineLevel="0" collapsed="false">
      <c r="A277" s="355"/>
    </row>
    <row r="278" customFormat="false" ht="12.75" hidden="false" customHeight="false" outlineLevel="0" collapsed="false">
      <c r="A278" s="355"/>
    </row>
    <row r="279" customFormat="false" ht="12.75" hidden="false" customHeight="false" outlineLevel="0" collapsed="false">
      <c r="A279" s="355"/>
    </row>
    <row r="280" customFormat="false" ht="12.75" hidden="false" customHeight="false" outlineLevel="0" collapsed="false">
      <c r="A280" s="355"/>
    </row>
    <row r="281" customFormat="false" ht="12.75" hidden="false" customHeight="false" outlineLevel="0" collapsed="false">
      <c r="A281" s="355"/>
    </row>
    <row r="282" customFormat="false" ht="12.75" hidden="false" customHeight="false" outlineLevel="0" collapsed="false">
      <c r="A282" s="355"/>
    </row>
    <row r="283" customFormat="false" ht="12.75" hidden="false" customHeight="false" outlineLevel="0" collapsed="false">
      <c r="A283" s="355"/>
    </row>
    <row r="284" customFormat="false" ht="12.75" hidden="false" customHeight="false" outlineLevel="0" collapsed="false">
      <c r="A284" s="355"/>
    </row>
    <row r="285" customFormat="false" ht="12.75" hidden="false" customHeight="false" outlineLevel="0" collapsed="false">
      <c r="A285" s="355"/>
    </row>
    <row r="286" customFormat="false" ht="12.75" hidden="false" customHeight="false" outlineLevel="0" collapsed="false">
      <c r="A286" s="355"/>
    </row>
    <row r="287" customFormat="false" ht="12.75" hidden="false" customHeight="false" outlineLevel="0" collapsed="false">
      <c r="A287" s="355"/>
    </row>
    <row r="288" customFormat="false" ht="12.75" hidden="false" customHeight="false" outlineLevel="0" collapsed="false">
      <c r="A288" s="355"/>
    </row>
    <row r="289" customFormat="false" ht="12.75" hidden="false" customHeight="false" outlineLevel="0" collapsed="false">
      <c r="A289" s="355"/>
    </row>
    <row r="290" customFormat="false" ht="12.75" hidden="false" customHeight="false" outlineLevel="0" collapsed="false">
      <c r="A290" s="355"/>
    </row>
    <row r="291" customFormat="false" ht="12.75" hidden="false" customHeight="false" outlineLevel="0" collapsed="false">
      <c r="A291" s="355"/>
    </row>
    <row r="292" customFormat="false" ht="12.75" hidden="false" customHeight="false" outlineLevel="0" collapsed="false">
      <c r="A292" s="355"/>
    </row>
    <row r="293" customFormat="false" ht="12.75" hidden="false" customHeight="false" outlineLevel="0" collapsed="false">
      <c r="A293" s="355"/>
    </row>
    <row r="294" customFormat="false" ht="12.75" hidden="false" customHeight="false" outlineLevel="0" collapsed="false">
      <c r="A294" s="355"/>
    </row>
    <row r="295" customFormat="false" ht="12.75" hidden="false" customHeight="false" outlineLevel="0" collapsed="false">
      <c r="A295" s="355"/>
    </row>
    <row r="296" customFormat="false" ht="12.75" hidden="false" customHeight="false" outlineLevel="0" collapsed="false">
      <c r="A296" s="355"/>
    </row>
    <row r="297" customFormat="false" ht="12.75" hidden="false" customHeight="false" outlineLevel="0" collapsed="false">
      <c r="A297" s="355"/>
    </row>
    <row r="298" customFormat="false" ht="12.75" hidden="false" customHeight="false" outlineLevel="0" collapsed="false">
      <c r="A298" s="355"/>
    </row>
    <row r="299" customFormat="false" ht="12.75" hidden="false" customHeight="false" outlineLevel="0" collapsed="false">
      <c r="A299" s="355"/>
    </row>
    <row r="300" customFormat="false" ht="12.75" hidden="false" customHeight="false" outlineLevel="0" collapsed="false">
      <c r="A300" s="355"/>
      <c r="B300" s="356"/>
      <c r="C300" s="357"/>
      <c r="D300" s="358"/>
      <c r="E300" s="359"/>
      <c r="F300" s="356"/>
      <c r="G300" s="356"/>
      <c r="H300" s="360"/>
      <c r="I300" s="361"/>
      <c r="J300" s="356"/>
    </row>
    <row r="301" customFormat="false" ht="12.75" hidden="false" customHeight="false" outlineLevel="0" collapsed="false">
      <c r="A301" s="333" t="s">
        <v>265</v>
      </c>
    </row>
  </sheetData>
  <mergeCells count="10">
    <mergeCell ref="A1:A3"/>
    <mergeCell ref="B1:B3"/>
    <mergeCell ref="C2:C3"/>
    <mergeCell ref="D2:D3"/>
    <mergeCell ref="E2:E3"/>
    <mergeCell ref="F2:F3"/>
    <mergeCell ref="G2:G3"/>
    <mergeCell ref="H2:H3"/>
    <mergeCell ref="I2:I3"/>
    <mergeCell ref="J2:K2"/>
  </mergeCells>
  <dataValidations count="1">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4:A300" type="date">
      <formula1>38353</formula1>
      <formula2>53327</formula2>
    </dataValidation>
  </dataValidations>
  <printOptions headings="false" gridLines="true" gridLinesSet="true" horizontalCentered="false" verticalCentered="false"/>
  <pageMargins left="0.196527777777778" right="0.39375" top="0.590972222222222" bottom="0.590972222222222"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&amp;C&amp;"Arial,Bold"&amp;11Sales Turnover</oddHeader>
    <oddFooter>&amp;L&amp;D  &amp;T&amp;C&amp;P  of  &amp;N&amp;R&amp;F  &amp;A</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62" width="9.66"/>
    <col collapsed="false" customWidth="true" hidden="false" outlineLevel="0" max="2" min="2" style="363" width="23.99"/>
    <col collapsed="false" customWidth="true" hidden="false" outlineLevel="0" max="3" min="3" style="363" width="15.99"/>
    <col collapsed="false" customWidth="true" hidden="false" outlineLevel="0" max="4" min="4" style="364" width="16.15"/>
    <col collapsed="false" customWidth="true" hidden="false" outlineLevel="0" max="5" min="5" style="365" width="9.49"/>
    <col collapsed="false" customWidth="true" hidden="false" outlineLevel="0" max="6" min="6" style="365" width="8.66"/>
    <col collapsed="false" customWidth="true" hidden="false" outlineLevel="0" max="7" min="7" style="366" width="12.66"/>
    <col collapsed="false" customWidth="true" hidden="false" outlineLevel="0" max="8" min="8" style="338" width="11.5"/>
    <col collapsed="false" customWidth="true" hidden="false" outlineLevel="0" max="9" min="9" style="367" width="10.5"/>
    <col collapsed="false" customWidth="true" hidden="false" outlineLevel="0" max="19" min="10" style="334" width="9.66"/>
    <col collapsed="false" customWidth="true" hidden="false" outlineLevel="0" max="22" min="20" style="334" width="7.66"/>
    <col collapsed="false" customWidth="true" hidden="false" outlineLevel="0" max="23" min="23" style="334" width="9.66"/>
    <col collapsed="false" customWidth="true" hidden="false" outlineLevel="0" max="24" min="24" style="363" width="24.66"/>
    <col collapsed="false" customWidth="false" hidden="false" outlineLevel="0" max="25" min="25" style="368" width="9.15"/>
    <col collapsed="false" customWidth="true" hidden="false" outlineLevel="0" max="26" min="26" style="368" width="12.66"/>
    <col collapsed="false" customWidth="false" hidden="false" outlineLevel="0" max="257" min="27" style="363" width="9.15"/>
  </cols>
  <sheetData>
    <row r="1" s="334" customFormat="true" ht="13.5" hidden="false" customHeight="true" outlineLevel="0" collapsed="false">
      <c r="A1" s="369" t="n">
        <f aca="false">G4+PurchasesOct!A1</f>
        <v>0</v>
      </c>
      <c r="B1" s="370" t="s">
        <v>266</v>
      </c>
      <c r="C1" s="344" t="n">
        <f aca="false">PurchasesOct!C1+PurchasesNov!F1+SalesNov!$E$1</f>
        <v>0</v>
      </c>
      <c r="D1" s="369" t="s">
        <v>248</v>
      </c>
      <c r="E1" s="371" t="str">
        <f aca="false">IF((G1-SUM(J1:W1)&lt;&gt;0),(G1-SUM(J1:W1))," ")</f>
        <v> </v>
      </c>
      <c r="F1" s="344" t="n">
        <f aca="false">SUM(F5:F300)</f>
        <v>0</v>
      </c>
      <c r="G1" s="343" t="n">
        <f aca="false">SUM(G4:G300)</f>
        <v>6918</v>
      </c>
      <c r="H1" s="372" t="n">
        <f aca="false">SUM(H5:H300)</f>
        <v>6918</v>
      </c>
      <c r="I1" s="373" t="n">
        <f aca="true">TODAY()</f>
        <v>46138</v>
      </c>
      <c r="J1" s="343" t="n">
        <f aca="false">SUM(J5:J300)</f>
        <v>840</v>
      </c>
      <c r="K1" s="343" t="n">
        <f aca="false">SUM(K5:K300)</f>
        <v>3000</v>
      </c>
      <c r="L1" s="343" t="n">
        <f aca="false">SUM(L5:L300)</f>
        <v>0</v>
      </c>
      <c r="M1" s="343" t="n">
        <f aca="false">SUM(M5:M300)</f>
        <v>1200</v>
      </c>
      <c r="N1" s="343" t="n">
        <f aca="false">SUM(N5:N300)</f>
        <v>0</v>
      </c>
      <c r="O1" s="343" t="n">
        <f aca="false">SUM(O5:O300)</f>
        <v>165</v>
      </c>
      <c r="P1" s="343" t="n">
        <f aca="false">SUM(P3:P300)</f>
        <v>645</v>
      </c>
      <c r="Q1" s="343" t="n">
        <f aca="false">SUM(Q5:Q300)</f>
        <v>164</v>
      </c>
      <c r="R1" s="343" t="n">
        <f aca="false">SUM(R5:R300)</f>
        <v>0</v>
      </c>
      <c r="S1" s="343" t="n">
        <f aca="false">SUM(S5:S300)</f>
        <v>300</v>
      </c>
      <c r="T1" s="343" t="n">
        <f aca="false">SUM(T5:T300)</f>
        <v>0</v>
      </c>
      <c r="U1" s="343" t="n">
        <f aca="false">SUM(U5:U300)</f>
        <v>0</v>
      </c>
      <c r="V1" s="343" t="n">
        <f aca="false">SUM(V5:V300)</f>
        <v>604</v>
      </c>
      <c r="W1" s="345" t="n">
        <f aca="false">SUM(W5:W300)</f>
        <v>0</v>
      </c>
      <c r="X1" s="374" t="n">
        <f aca="false">W1+PurchasesOct!X1</f>
        <v>39000</v>
      </c>
      <c r="Y1" s="375" t="n">
        <f aca="false">SUM(Y5:Y200)</f>
        <v>0</v>
      </c>
      <c r="Z1" s="376" t="n">
        <f aca="false">Y1+PurchasesOct!Z1</f>
        <v>0</v>
      </c>
    </row>
    <row r="2" s="384" customFormat="true" ht="24" hidden="false" customHeight="true" outlineLevel="0" collapsed="false">
      <c r="A2" s="377" t="s">
        <v>267</v>
      </c>
      <c r="B2" s="378" t="str">
        <f aca="false">IF((G1-SUM(J1:W1)&lt;&gt;0),"COMPLETE EXPENSE ANALYSIS by inserting expense letter in col E","Supplier")</f>
        <v>Supplier</v>
      </c>
      <c r="C2" s="379" t="s">
        <v>268</v>
      </c>
      <c r="D2" s="379" t="s">
        <v>269</v>
      </c>
      <c r="E2" s="379" t="s">
        <v>270</v>
      </c>
      <c r="F2" s="379" t="s">
        <v>344</v>
      </c>
      <c r="G2" s="380" t="s">
        <v>272</v>
      </c>
      <c r="H2" s="381" t="s">
        <v>273</v>
      </c>
      <c r="I2" s="382" t="s">
        <v>274</v>
      </c>
      <c r="J2" s="380" t="s">
        <v>275</v>
      </c>
      <c r="K2" s="380" t="s">
        <v>276</v>
      </c>
      <c r="L2" s="380" t="s">
        <v>277</v>
      </c>
      <c r="M2" s="380" t="s">
        <v>278</v>
      </c>
      <c r="N2" s="380" t="s">
        <v>279</v>
      </c>
      <c r="O2" s="380" t="s">
        <v>280</v>
      </c>
      <c r="P2" s="380" t="s">
        <v>281</v>
      </c>
      <c r="Q2" s="380" t="s">
        <v>282</v>
      </c>
      <c r="R2" s="380" t="s">
        <v>283</v>
      </c>
      <c r="S2" s="380" t="s">
        <v>284</v>
      </c>
      <c r="T2" s="380" t="s">
        <v>285</v>
      </c>
      <c r="U2" s="380" t="s">
        <v>286</v>
      </c>
      <c r="V2" s="380" t="s">
        <v>287</v>
      </c>
      <c r="W2" s="381" t="s">
        <v>288</v>
      </c>
      <c r="X2" s="383" t="str">
        <f aca="false">IF(X1&gt;('Fixed Assets'!$E$110),"FIXED ASSETS requires updating with new additions","Fixed Assets Description  (Vehicles: make, model, date reg. and reg. mark)")</f>
        <v>FIXED ASSETS requires updating with new additions</v>
      </c>
      <c r="Y2" s="380" t="s">
        <v>289</v>
      </c>
      <c r="Z2" s="380"/>
    </row>
    <row r="3" s="386" customFormat="true" ht="12" hidden="false" customHeight="true" outlineLevel="0" collapsed="false">
      <c r="A3" s="377"/>
      <c r="B3" s="377"/>
      <c r="C3" s="377"/>
      <c r="D3" s="377"/>
      <c r="E3" s="379"/>
      <c r="F3" s="379"/>
      <c r="G3" s="380"/>
      <c r="H3" s="381"/>
      <c r="I3" s="381"/>
      <c r="J3" s="380"/>
      <c r="K3" s="380"/>
      <c r="L3" s="380"/>
      <c r="M3" s="380"/>
      <c r="N3" s="380"/>
      <c r="O3" s="380"/>
      <c r="P3" s="385" t="n">
        <f aca="false">IF((E$4="m"),G$4," ")</f>
        <v>0</v>
      </c>
      <c r="Q3" s="380"/>
      <c r="R3" s="380"/>
      <c r="S3" s="380"/>
      <c r="T3" s="380"/>
      <c r="U3" s="380"/>
      <c r="V3" s="380"/>
      <c r="W3" s="381"/>
      <c r="X3" s="383"/>
      <c r="Y3" s="380" t="s">
        <v>290</v>
      </c>
      <c r="Z3" s="380"/>
    </row>
    <row r="4" s="365" customFormat="true" ht="12.75" hidden="false" customHeight="false" outlineLevel="0" collapsed="false">
      <c r="A4" s="377"/>
      <c r="B4" s="377"/>
      <c r="C4" s="377"/>
      <c r="D4" s="377"/>
      <c r="E4" s="387" t="s">
        <v>291</v>
      </c>
      <c r="F4" s="379"/>
      <c r="G4" s="400" t="n">
        <f aca="false">IF((C1&lt;Admin!$F$22),((C1-PurchasesOct!C1)*Admin!$G$21),(C1*Admin!$G$21-(C1-Admin!$F$21)*(Admin!$G$21-Admin!$G$22)-PurchasesOct!A1))</f>
        <v>0</v>
      </c>
      <c r="H4" s="381"/>
      <c r="I4" s="381"/>
      <c r="J4" s="389" t="s">
        <v>292</v>
      </c>
      <c r="K4" s="390" t="s">
        <v>293</v>
      </c>
      <c r="L4" s="390" t="s">
        <v>294</v>
      </c>
      <c r="M4" s="390" t="s">
        <v>295</v>
      </c>
      <c r="N4" s="390" t="s">
        <v>296</v>
      </c>
      <c r="O4" s="390" t="s">
        <v>297</v>
      </c>
      <c r="P4" s="391" t="s">
        <v>298</v>
      </c>
      <c r="Q4" s="390" t="s">
        <v>299</v>
      </c>
      <c r="R4" s="390" t="s">
        <v>300</v>
      </c>
      <c r="S4" s="390" t="s">
        <v>301</v>
      </c>
      <c r="T4" s="390" t="s">
        <v>302</v>
      </c>
      <c r="U4" s="390" t="s">
        <v>303</v>
      </c>
      <c r="V4" s="390" t="s">
        <v>304</v>
      </c>
      <c r="W4" s="392" t="s">
        <v>305</v>
      </c>
      <c r="X4" s="383"/>
      <c r="Y4" s="380" t="s">
        <v>306</v>
      </c>
      <c r="Z4" s="380" t="s">
        <v>307</v>
      </c>
    </row>
    <row r="5" customFormat="false" ht="12.75" hidden="false" customHeight="false" outlineLevel="0" collapsed="false">
      <c r="A5" s="355" t="n">
        <v>45962</v>
      </c>
      <c r="B5" s="363" t="s">
        <v>239</v>
      </c>
      <c r="E5" s="365" t="s">
        <v>308</v>
      </c>
      <c r="G5" s="366" t="n">
        <v>1200</v>
      </c>
      <c r="H5" s="338" t="n">
        <f aca="false">IF((G5&lt;&gt;0),IF((D5&gt;0)," ",G5)," ")</f>
        <v>1200</v>
      </c>
      <c r="I5" s="367" t="n">
        <f aca="false">IF((G5&lt;&gt;0),IF((D5&gt;0)," ",(I$1-A5))," ")</f>
        <v>176</v>
      </c>
      <c r="J5" s="334" t="str">
        <f aca="false">IF((E5="s"),G5," ")</f>
        <v> </v>
      </c>
      <c r="K5" s="334" t="str">
        <f aca="false">IF((E5="d"),G5," ")</f>
        <v> </v>
      </c>
      <c r="L5" s="334" t="str">
        <f aca="false">IF((E5="e"),G5," ")</f>
        <v> </v>
      </c>
      <c r="M5" s="334" t="n">
        <f aca="false">IF((E5="p"),G5," ")</f>
        <v>1200</v>
      </c>
      <c r="N5" s="334" t="str">
        <f aca="false">IF((E5="r"),G5," ")</f>
        <v> </v>
      </c>
      <c r="O5" s="334" t="str">
        <f aca="false">IF((E5="g"),G5," ")</f>
        <v> </v>
      </c>
      <c r="P5" s="334" t="str">
        <f aca="false">IF((E5="m"),G5," ")</f>
        <v> </v>
      </c>
      <c r="Q5" s="334" t="str">
        <f aca="false">IF((E5="t"),G5," ")</f>
        <v> </v>
      </c>
      <c r="R5" s="334" t="str">
        <f aca="false">IF((E5="a"),G5," ")</f>
        <v> </v>
      </c>
      <c r="S5" s="334" t="str">
        <f aca="false">IF((E5="l"),G5," ")</f>
        <v> </v>
      </c>
      <c r="T5" s="334" t="str">
        <f aca="false">IF((E5="b"),G5," ")</f>
        <v> </v>
      </c>
      <c r="U5" s="334" t="str">
        <f aca="false">IF((E5="i"),G5," ")</f>
        <v> </v>
      </c>
      <c r="V5" s="334" t="str">
        <f aca="false">IF((E5="o"),G5," ")</f>
        <v> </v>
      </c>
      <c r="W5" s="334" t="str">
        <f aca="false">IF((E5="f"),G5," ")</f>
        <v> </v>
      </c>
    </row>
    <row r="6" customFormat="false" ht="12.75" hidden="false" customHeight="false" outlineLevel="0" collapsed="false">
      <c r="A6" s="355" t="n">
        <v>45962</v>
      </c>
      <c r="B6" s="363" t="s">
        <v>309</v>
      </c>
      <c r="E6" s="365" t="s">
        <v>310</v>
      </c>
      <c r="G6" s="366" t="n">
        <v>30</v>
      </c>
      <c r="H6" s="338" t="n">
        <f aca="false">IF((G6&lt;&gt;0),IF((D6&gt;0)," ",G6)," ")</f>
        <v>30</v>
      </c>
      <c r="I6" s="367" t="n">
        <f aca="false">IF((G6&lt;&gt;0),IF((D6&gt;0)," ",(I$1-A6))," ")</f>
        <v>176</v>
      </c>
      <c r="J6" s="334" t="str">
        <f aca="false">IF((E6="s"),G6," ")</f>
        <v> </v>
      </c>
      <c r="K6" s="334" t="str">
        <f aca="false">IF((E6="d"),G6," ")</f>
        <v> </v>
      </c>
      <c r="L6" s="334" t="str">
        <f aca="false">IF((E6="e"),G6," ")</f>
        <v> </v>
      </c>
      <c r="M6" s="334" t="str">
        <f aca="false">IF((E6="p"),G6," ")</f>
        <v> </v>
      </c>
      <c r="N6" s="334" t="str">
        <f aca="false">IF((E6="r"),G6," ")</f>
        <v> </v>
      </c>
      <c r="O6" s="334" t="n">
        <f aca="false">IF((E6="g"),G6," ")</f>
        <v>30</v>
      </c>
      <c r="P6" s="334" t="str">
        <f aca="false">IF((E6="m"),G6," ")</f>
        <v> </v>
      </c>
      <c r="Q6" s="334" t="str">
        <f aca="false">IF((E6="t"),G6," ")</f>
        <v> </v>
      </c>
      <c r="R6" s="334" t="str">
        <f aca="false">IF((E6="a"),G6," ")</f>
        <v> </v>
      </c>
      <c r="S6" s="334" t="str">
        <f aca="false">IF((E6="l"),G6," ")</f>
        <v> </v>
      </c>
      <c r="T6" s="334" t="str">
        <f aca="false">IF((E6="b"),G6," ")</f>
        <v> </v>
      </c>
      <c r="U6" s="334" t="str">
        <f aca="false">IF((E6="i"),G6," ")</f>
        <v> </v>
      </c>
      <c r="V6" s="334" t="str">
        <f aca="false">IF((E6="o"),G6," ")</f>
        <v> </v>
      </c>
      <c r="W6" s="334" t="str">
        <f aca="false">IF((E6="f"),G6," ")</f>
        <v> </v>
      </c>
    </row>
    <row r="7" customFormat="false" ht="12.75" hidden="false" customHeight="false" outlineLevel="0" collapsed="false">
      <c r="A7" s="355" t="n">
        <v>45962</v>
      </c>
      <c r="B7" s="363" t="s">
        <v>311</v>
      </c>
      <c r="E7" s="365" t="s">
        <v>310</v>
      </c>
      <c r="G7" s="366" t="n">
        <v>15</v>
      </c>
      <c r="H7" s="338" t="n">
        <f aca="false">IF((G7&lt;&gt;0),IF((D7&gt;0)," ",G7)," ")</f>
        <v>15</v>
      </c>
      <c r="I7" s="367" t="n">
        <f aca="false">IF((G7&lt;&gt;0),IF((D7&gt;0)," ",(I$1-A7))," ")</f>
        <v>176</v>
      </c>
      <c r="J7" s="334" t="str">
        <f aca="false">IF((E7="s"),G7," ")</f>
        <v> </v>
      </c>
      <c r="K7" s="334" t="str">
        <f aca="false">IF((E7="d"),G7," ")</f>
        <v> </v>
      </c>
      <c r="L7" s="334" t="str">
        <f aca="false">IF((E7="e"),G7," ")</f>
        <v> </v>
      </c>
      <c r="M7" s="334" t="str">
        <f aca="false">IF((E7="p"),G7," ")</f>
        <v> </v>
      </c>
      <c r="N7" s="334" t="str">
        <f aca="false">IF((E7="r"),G7," ")</f>
        <v> </v>
      </c>
      <c r="O7" s="334" t="n">
        <f aca="false">IF((E7="g"),G7," ")</f>
        <v>15</v>
      </c>
      <c r="P7" s="334" t="str">
        <f aca="false">IF((E7="m"),G7," ")</f>
        <v> </v>
      </c>
      <c r="Q7" s="334" t="str">
        <f aca="false">IF((E7="t"),G7," ")</f>
        <v> </v>
      </c>
      <c r="R7" s="334" t="str">
        <f aca="false">IF((E7="a"),G7," ")</f>
        <v> </v>
      </c>
      <c r="S7" s="334" t="str">
        <f aca="false">IF((E7="l"),G7," ")</f>
        <v> </v>
      </c>
      <c r="T7" s="334" t="str">
        <f aca="false">IF((E7="b"),G7," ")</f>
        <v> </v>
      </c>
      <c r="U7" s="334" t="str">
        <f aca="false">IF((E7="i"),G7," ")</f>
        <v> </v>
      </c>
      <c r="V7" s="334" t="str">
        <f aca="false">IF((E7="o"),G7," ")</f>
        <v> </v>
      </c>
      <c r="W7" s="334" t="str">
        <f aca="false">IF((E7="f"),G7," ")</f>
        <v> </v>
      </c>
    </row>
    <row r="8" customFormat="false" ht="12.75" hidden="false" customHeight="false" outlineLevel="0" collapsed="false">
      <c r="A8" s="355" t="n">
        <v>45962</v>
      </c>
      <c r="B8" s="363" t="s">
        <v>312</v>
      </c>
      <c r="E8" s="365" t="s">
        <v>313</v>
      </c>
      <c r="G8" s="366" t="n">
        <v>45</v>
      </c>
      <c r="H8" s="338" t="n">
        <f aca="false">IF((G8&lt;&gt;0),IF((D8&gt;0)," ",G8)," ")</f>
        <v>45</v>
      </c>
      <c r="I8" s="367" t="n">
        <f aca="false">IF((G8&lt;&gt;0),IF((D8&gt;0)," ",(I$1-A8))," ")</f>
        <v>176</v>
      </c>
      <c r="J8" s="334" t="str">
        <f aca="false">IF((E8="s"),G8," ")</f>
        <v> </v>
      </c>
      <c r="K8" s="334" t="str">
        <f aca="false">IF((E8="d"),G8," ")</f>
        <v> </v>
      </c>
      <c r="L8" s="334" t="str">
        <f aca="false">IF((E8="e"),G8," ")</f>
        <v> </v>
      </c>
      <c r="M8" s="334" t="str">
        <f aca="false">IF((E8="p"),G8," ")</f>
        <v> </v>
      </c>
      <c r="N8" s="334" t="str">
        <f aca="false">IF((E8="r"),G8," ")</f>
        <v> </v>
      </c>
      <c r="O8" s="334" t="str">
        <f aca="false">IF((E8="g"),G8," ")</f>
        <v> </v>
      </c>
      <c r="P8" s="334" t="str">
        <f aca="false">IF((E8="m"),G8," ")</f>
        <v> </v>
      </c>
      <c r="Q8" s="334" t="str">
        <f aca="false">IF((E8="t"),G8," ")</f>
        <v> </v>
      </c>
      <c r="R8" s="334" t="str">
        <f aca="false">IF((E8="a"),G8," ")</f>
        <v> </v>
      </c>
      <c r="S8" s="334" t="str">
        <f aca="false">IF((E8="l"),G8," ")</f>
        <v> </v>
      </c>
      <c r="T8" s="334" t="str">
        <f aca="false">IF((E8="b"),G8," ")</f>
        <v> </v>
      </c>
      <c r="U8" s="334" t="str">
        <f aca="false">IF((E8="i"),G8," ")</f>
        <v> </v>
      </c>
      <c r="V8" s="334" t="n">
        <f aca="false">IF((E8="o"),G8," ")</f>
        <v>45</v>
      </c>
      <c r="W8" s="334" t="str">
        <f aca="false">IF((E8="f"),G8," ")</f>
        <v> </v>
      </c>
    </row>
    <row r="9" customFormat="false" ht="12.75" hidden="false" customHeight="false" outlineLevel="0" collapsed="false">
      <c r="A9" s="355" t="n">
        <v>45962</v>
      </c>
      <c r="B9" s="363" t="s">
        <v>315</v>
      </c>
      <c r="E9" s="365" t="s">
        <v>313</v>
      </c>
      <c r="G9" s="366" t="n">
        <v>24</v>
      </c>
      <c r="H9" s="338" t="n">
        <f aca="false">IF((G9&lt;&gt;0),IF((D9&gt;0)," ",G9)," ")</f>
        <v>24</v>
      </c>
      <c r="I9" s="367" t="n">
        <f aca="false">IF((G9&lt;&gt;0),IF((D9&gt;0)," ",(I$1-A9))," ")</f>
        <v>176</v>
      </c>
      <c r="J9" s="334" t="str">
        <f aca="false">IF((E9="s"),G9," ")</f>
        <v> </v>
      </c>
      <c r="K9" s="334" t="str">
        <f aca="false">IF((E9="d"),G9," ")</f>
        <v> </v>
      </c>
      <c r="L9" s="334" t="str">
        <f aca="false">IF((E9="e"),G9," ")</f>
        <v> </v>
      </c>
      <c r="M9" s="334" t="str">
        <f aca="false">IF((E9="p"),G9," ")</f>
        <v> </v>
      </c>
      <c r="N9" s="334" t="str">
        <f aca="false">IF((E9="r"),G9," ")</f>
        <v> </v>
      </c>
      <c r="O9" s="334" t="str">
        <f aca="false">IF((E9="g"),G9," ")</f>
        <v> </v>
      </c>
      <c r="P9" s="334" t="str">
        <f aca="false">IF((E9="m"),G9," ")</f>
        <v> </v>
      </c>
      <c r="Q9" s="334" t="str">
        <f aca="false">IF((E9="t"),G9," ")</f>
        <v> </v>
      </c>
      <c r="R9" s="334" t="str">
        <f aca="false">IF((E9="a"),G9," ")</f>
        <v> </v>
      </c>
      <c r="S9" s="334" t="str">
        <f aca="false">IF((E9="l"),G9," ")</f>
        <v> </v>
      </c>
      <c r="T9" s="334" t="str">
        <f aca="false">IF((E9="b"),G9," ")</f>
        <v> </v>
      </c>
      <c r="U9" s="334" t="str">
        <f aca="false">IF((E9="i"),G9," ")</f>
        <v> </v>
      </c>
      <c r="V9" s="334" t="n">
        <f aca="false">IF((E9="o"),G9," ")</f>
        <v>24</v>
      </c>
      <c r="W9" s="334" t="str">
        <f aca="false">IF((E9="f"),G9," ")</f>
        <v> </v>
      </c>
    </row>
    <row r="10" customFormat="false" ht="12.75" hidden="false" customHeight="false" outlineLevel="0" collapsed="false">
      <c r="A10" s="355" t="n">
        <v>45962</v>
      </c>
      <c r="B10" s="363" t="s">
        <v>316</v>
      </c>
      <c r="E10" s="365" t="s">
        <v>310</v>
      </c>
      <c r="G10" s="366" t="n">
        <v>18</v>
      </c>
      <c r="H10" s="338" t="n">
        <f aca="false">IF((G10&lt;&gt;0),IF((D10&gt;0)," ",G10)," ")</f>
        <v>18</v>
      </c>
      <c r="I10" s="367" t="n">
        <f aca="false">IF((G10&lt;&gt;0),IF((D10&gt;0)," ",(I$1-A10))," ")</f>
        <v>176</v>
      </c>
      <c r="J10" s="334" t="str">
        <f aca="false">IF((E10="s"),G10," ")</f>
        <v> </v>
      </c>
      <c r="K10" s="334" t="str">
        <f aca="false">IF((E10="d"),G10," ")</f>
        <v> </v>
      </c>
      <c r="L10" s="334" t="str">
        <f aca="false">IF((E10="e"),G10," ")</f>
        <v> </v>
      </c>
      <c r="M10" s="334" t="str">
        <f aca="false">IF((E10="p"),G10," ")</f>
        <v> </v>
      </c>
      <c r="N10" s="334" t="str">
        <f aca="false">IF((E10="r"),G10," ")</f>
        <v> </v>
      </c>
      <c r="O10" s="334" t="n">
        <f aca="false">IF((E10="g"),G10," ")</f>
        <v>18</v>
      </c>
      <c r="P10" s="334" t="str">
        <f aca="false">IF((E10="m"),G10," ")</f>
        <v> </v>
      </c>
      <c r="Q10" s="334" t="str">
        <f aca="false">IF((E10="t"),G10," ")</f>
        <v> </v>
      </c>
      <c r="R10" s="334" t="str">
        <f aca="false">IF((E10="a"),G10," ")</f>
        <v> </v>
      </c>
      <c r="S10" s="334" t="str">
        <f aca="false">IF((E10="l"),G10," ")</f>
        <v> </v>
      </c>
      <c r="T10" s="334" t="str">
        <f aca="false">IF((E10="b"),G10," ")</f>
        <v> </v>
      </c>
      <c r="U10" s="334" t="str">
        <f aca="false">IF((E10="i"),G10," ")</f>
        <v> </v>
      </c>
      <c r="V10" s="334" t="str">
        <f aca="false">IF((E10="o"),G10," ")</f>
        <v> </v>
      </c>
      <c r="W10" s="334" t="str">
        <f aca="false">IF((E10="f"),G10," ")</f>
        <v> </v>
      </c>
    </row>
    <row r="11" customFormat="false" ht="12.75" hidden="false" customHeight="false" outlineLevel="0" collapsed="false">
      <c r="A11" s="355" t="n">
        <v>45964</v>
      </c>
      <c r="B11" s="363" t="s">
        <v>317</v>
      </c>
      <c r="E11" s="365" t="s">
        <v>313</v>
      </c>
      <c r="G11" s="366" t="n">
        <v>180</v>
      </c>
      <c r="H11" s="338" t="n">
        <f aca="false">IF((G11&lt;&gt;0),IF((D11&gt;0)," ",G11)," ")</f>
        <v>180</v>
      </c>
      <c r="I11" s="367" t="n">
        <f aca="false">IF((G11&lt;&gt;0),IF((D11&gt;0)," ",(I$1-A11))," ")</f>
        <v>174</v>
      </c>
      <c r="J11" s="334" t="str">
        <f aca="false">IF((E11="s"),G11," ")</f>
        <v> </v>
      </c>
      <c r="K11" s="334" t="str">
        <f aca="false">IF((E11="d"),G11," ")</f>
        <v> </v>
      </c>
      <c r="L11" s="334" t="str">
        <f aca="false">IF((E11="e"),G11," ")</f>
        <v> </v>
      </c>
      <c r="M11" s="334" t="str">
        <f aca="false">IF((E11="p"),G11," ")</f>
        <v> </v>
      </c>
      <c r="N11" s="334" t="str">
        <f aca="false">IF((E11="r"),G11," ")</f>
        <v> </v>
      </c>
      <c r="O11" s="334" t="str">
        <f aca="false">IF((E11="g"),G11," ")</f>
        <v> </v>
      </c>
      <c r="P11" s="334" t="str">
        <f aca="false">IF((E11="m"),G11," ")</f>
        <v> </v>
      </c>
      <c r="Q11" s="334" t="str">
        <f aca="false">IF((E11="t"),G11," ")</f>
        <v> </v>
      </c>
      <c r="R11" s="334" t="str">
        <f aca="false">IF((E11="a"),G11," ")</f>
        <v> </v>
      </c>
      <c r="S11" s="334" t="str">
        <f aca="false">IF((E11="l"),G11," ")</f>
        <v> </v>
      </c>
      <c r="T11" s="334" t="str">
        <f aca="false">IF((E11="b"),G11," ")</f>
        <v> </v>
      </c>
      <c r="U11" s="334" t="str">
        <f aca="false">IF((E11="i"),G11," ")</f>
        <v> </v>
      </c>
      <c r="V11" s="334" t="n">
        <f aca="false">IF((E11="o"),G11," ")</f>
        <v>180</v>
      </c>
      <c r="W11" s="334" t="str">
        <f aca="false">IF((E11="f"),G11," ")</f>
        <v> </v>
      </c>
    </row>
    <row r="12" customFormat="false" ht="12.75" hidden="false" customHeight="false" outlineLevel="0" collapsed="false">
      <c r="A12" s="355" t="n">
        <v>45964</v>
      </c>
      <c r="B12" s="363" t="s">
        <v>318</v>
      </c>
      <c r="E12" s="365" t="s">
        <v>313</v>
      </c>
      <c r="G12" s="366" t="n">
        <v>22</v>
      </c>
      <c r="H12" s="338" t="n">
        <f aca="false">IF((G12&lt;&gt;0),IF((D12&gt;0)," ",G12)," ")</f>
        <v>22</v>
      </c>
      <c r="I12" s="367" t="n">
        <f aca="false">IF((G12&lt;&gt;0),IF((D12&gt;0)," ",(I$1-A12))," ")</f>
        <v>174</v>
      </c>
      <c r="J12" s="334" t="str">
        <f aca="false">IF((E12="s"),G12," ")</f>
        <v> </v>
      </c>
      <c r="K12" s="334" t="str">
        <f aca="false">IF((E12="d"),G12," ")</f>
        <v> </v>
      </c>
      <c r="L12" s="334" t="str">
        <f aca="false">IF((E12="e"),G12," ")</f>
        <v> </v>
      </c>
      <c r="M12" s="334" t="str">
        <f aca="false">IF((E12="p"),G12," ")</f>
        <v> </v>
      </c>
      <c r="N12" s="334" t="str">
        <f aca="false">IF((E12="r"),G12," ")</f>
        <v> </v>
      </c>
      <c r="O12" s="334" t="str">
        <f aca="false">IF((E12="g"),G12," ")</f>
        <v> </v>
      </c>
      <c r="P12" s="334" t="str">
        <f aca="false">IF((E12="m"),G12," ")</f>
        <v> </v>
      </c>
      <c r="Q12" s="334" t="str">
        <f aca="false">IF((E12="t"),G12," ")</f>
        <v> </v>
      </c>
      <c r="R12" s="334" t="str">
        <f aca="false">IF((E12="a"),G12," ")</f>
        <v> </v>
      </c>
      <c r="S12" s="334" t="str">
        <f aca="false">IF((E12="l"),G12," ")</f>
        <v> </v>
      </c>
      <c r="T12" s="334" t="str">
        <f aca="false">IF((E12="b"),G12," ")</f>
        <v> </v>
      </c>
      <c r="U12" s="334" t="str">
        <f aca="false">IF((E12="i"),G12," ")</f>
        <v> </v>
      </c>
      <c r="V12" s="334" t="n">
        <f aca="false">IF((E12="o"),G12," ")</f>
        <v>22</v>
      </c>
      <c r="W12" s="334" t="str">
        <f aca="false">IF((E12="f"),G12," ")</f>
        <v> </v>
      </c>
    </row>
    <row r="13" customFormat="false" ht="12.75" hidden="false" customHeight="false" outlineLevel="0" collapsed="false">
      <c r="A13" s="355" t="n">
        <v>45966</v>
      </c>
      <c r="B13" s="363" t="s">
        <v>319</v>
      </c>
      <c r="E13" s="365" t="s">
        <v>313</v>
      </c>
      <c r="G13" s="366" t="n">
        <v>24</v>
      </c>
      <c r="H13" s="338" t="n">
        <f aca="false">IF((G13&lt;&gt;0),IF((D13&gt;0)," ",G13)," ")</f>
        <v>24</v>
      </c>
      <c r="I13" s="367" t="n">
        <f aca="false">IF((G13&lt;&gt;0),IF((D13&gt;0)," ",(I$1-A13))," ")</f>
        <v>172</v>
      </c>
      <c r="J13" s="334" t="str">
        <f aca="false">IF((E13="s"),G13," ")</f>
        <v> </v>
      </c>
      <c r="K13" s="334" t="str">
        <f aca="false">IF((E13="d"),G13," ")</f>
        <v> </v>
      </c>
      <c r="L13" s="334" t="str">
        <f aca="false">IF((E13="e"),G13," ")</f>
        <v> </v>
      </c>
      <c r="M13" s="334" t="str">
        <f aca="false">IF((E13="p"),G13," ")</f>
        <v> </v>
      </c>
      <c r="N13" s="334" t="str">
        <f aca="false">IF((E13="r"),G13," ")</f>
        <v> </v>
      </c>
      <c r="O13" s="334" t="str">
        <f aca="false">IF((E13="g"),G13," ")</f>
        <v> </v>
      </c>
      <c r="P13" s="334" t="str">
        <f aca="false">IF((E13="m"),G13," ")</f>
        <v> </v>
      </c>
      <c r="Q13" s="334" t="str">
        <f aca="false">IF((E13="t"),G13," ")</f>
        <v> </v>
      </c>
      <c r="R13" s="334" t="str">
        <f aca="false">IF((E13="a"),G13," ")</f>
        <v> </v>
      </c>
      <c r="S13" s="334" t="str">
        <f aca="false">IF((E13="l"),G13," ")</f>
        <v> </v>
      </c>
      <c r="T13" s="334" t="str">
        <f aca="false">IF((E13="b"),G13," ")</f>
        <v> </v>
      </c>
      <c r="U13" s="334" t="str">
        <f aca="false">IF((E13="i"),G13," ")</f>
        <v> </v>
      </c>
      <c r="V13" s="334" t="n">
        <f aca="false">IF((E13="o"),G13," ")</f>
        <v>24</v>
      </c>
      <c r="W13" s="334" t="str">
        <f aca="false">IF((E13="f"),G13," ")</f>
        <v> </v>
      </c>
    </row>
    <row r="14" customFormat="false" ht="12.75" hidden="false" customHeight="false" outlineLevel="0" collapsed="false">
      <c r="A14" s="355" t="n">
        <v>45966</v>
      </c>
      <c r="B14" s="363" t="s">
        <v>320</v>
      </c>
      <c r="E14" s="365" t="s">
        <v>291</v>
      </c>
      <c r="G14" s="366" t="n">
        <v>180</v>
      </c>
      <c r="H14" s="338" t="n">
        <f aca="false">IF((G14&lt;&gt;0),IF((D14&gt;0)," ",G14)," ")</f>
        <v>180</v>
      </c>
      <c r="I14" s="367" t="n">
        <f aca="false">IF((G14&lt;&gt;0),IF((D14&gt;0)," ",(I$1-A14))," ")</f>
        <v>172</v>
      </c>
      <c r="J14" s="334" t="str">
        <f aca="false">IF((E14="s"),G14," ")</f>
        <v> </v>
      </c>
      <c r="K14" s="334" t="str">
        <f aca="false">IF((E14="d"),G14," ")</f>
        <v> </v>
      </c>
      <c r="L14" s="334" t="str">
        <f aca="false">IF((E14="e"),G14," ")</f>
        <v> </v>
      </c>
      <c r="M14" s="334" t="str">
        <f aca="false">IF((E14="p"),G14," ")</f>
        <v> </v>
      </c>
      <c r="N14" s="334" t="str">
        <f aca="false">IF((E14="r"),G14," ")</f>
        <v> </v>
      </c>
      <c r="O14" s="334" t="str">
        <f aca="false">IF((E14="g"),G14," ")</f>
        <v> </v>
      </c>
      <c r="P14" s="334" t="n">
        <f aca="false">IF((E14="m"),G14," ")</f>
        <v>180</v>
      </c>
      <c r="Q14" s="334" t="str">
        <f aca="false">IF((E14="t"),G14," ")</f>
        <v> </v>
      </c>
      <c r="R14" s="334" t="str">
        <f aca="false">IF((E14="a"),G14," ")</f>
        <v> </v>
      </c>
      <c r="S14" s="334" t="str">
        <f aca="false">IF((E14="l"),G14," ")</f>
        <v> </v>
      </c>
      <c r="T14" s="334" t="str">
        <f aca="false">IF((E14="b"),G14," ")</f>
        <v> </v>
      </c>
      <c r="U14" s="334" t="str">
        <f aca="false">IF((E14="i"),G14," ")</f>
        <v> </v>
      </c>
      <c r="V14" s="334" t="str">
        <f aca="false">IF((E14="o"),G14," ")</f>
        <v> </v>
      </c>
      <c r="W14" s="334" t="str">
        <f aca="false">IF((E14="f"),G14," ")</f>
        <v> </v>
      </c>
    </row>
    <row r="15" customFormat="false" ht="12.75" hidden="false" customHeight="false" outlineLevel="0" collapsed="false">
      <c r="A15" s="355" t="n">
        <v>45967</v>
      </c>
      <c r="B15" s="363" t="s">
        <v>345</v>
      </c>
      <c r="E15" s="365" t="s">
        <v>323</v>
      </c>
      <c r="G15" s="366" t="n">
        <v>72</v>
      </c>
      <c r="H15" s="338" t="n">
        <f aca="false">IF((G15&lt;&gt;0),IF((D15&gt;0)," ",G15)," ")</f>
        <v>72</v>
      </c>
      <c r="I15" s="367" t="n">
        <f aca="false">IF((G15&lt;&gt;0),IF((D15&gt;0)," ",(I$1-A15))," ")</f>
        <v>171</v>
      </c>
      <c r="J15" s="334" t="str">
        <f aca="false">IF((E15="s"),G15," ")</f>
        <v> </v>
      </c>
      <c r="K15" s="334" t="str">
        <f aca="false">IF((E15="d"),G15," ")</f>
        <v> </v>
      </c>
      <c r="L15" s="334" t="str">
        <f aca="false">IF((E15="e"),G15," ")</f>
        <v> </v>
      </c>
      <c r="M15" s="334" t="str">
        <f aca="false">IF((E15="p"),G15," ")</f>
        <v> </v>
      </c>
      <c r="N15" s="334" t="str">
        <f aca="false">IF((E15="r"),G15," ")</f>
        <v> </v>
      </c>
      <c r="O15" s="334" t="str">
        <f aca="false">IF((E15="g"),G15," ")</f>
        <v> </v>
      </c>
      <c r="P15" s="334" t="str">
        <f aca="false">IF((E15="m"),G15," ")</f>
        <v> </v>
      </c>
      <c r="Q15" s="334" t="n">
        <f aca="false">IF((E15="t"),G15," ")</f>
        <v>72</v>
      </c>
      <c r="R15" s="334" t="str">
        <f aca="false">IF((E15="a"),G15," ")</f>
        <v> </v>
      </c>
      <c r="S15" s="334" t="str">
        <f aca="false">IF((E15="l"),G15," ")</f>
        <v> </v>
      </c>
      <c r="T15" s="334" t="str">
        <f aca="false">IF((E15="b"),G15," ")</f>
        <v> </v>
      </c>
      <c r="U15" s="334" t="str">
        <f aca="false">IF((E15="i"),G15," ")</f>
        <v> </v>
      </c>
      <c r="V15" s="334" t="str">
        <f aca="false">IF((E15="o"),G15," ")</f>
        <v> </v>
      </c>
      <c r="W15" s="334" t="str">
        <f aca="false">IF((E15="f"),G15," ")</f>
        <v> </v>
      </c>
    </row>
    <row r="16" customFormat="false" ht="12.75" hidden="false" customHeight="false" outlineLevel="0" collapsed="false">
      <c r="A16" s="355" t="n">
        <v>45969</v>
      </c>
      <c r="B16" s="363" t="s">
        <v>322</v>
      </c>
      <c r="E16" s="365" t="s">
        <v>323</v>
      </c>
      <c r="G16" s="366" t="n">
        <v>48</v>
      </c>
      <c r="H16" s="338" t="n">
        <f aca="false">IF((G16&lt;&gt;0),IF((D16&gt;0)," ",G16)," ")</f>
        <v>48</v>
      </c>
      <c r="I16" s="367" t="n">
        <f aca="false">IF((G16&lt;&gt;0),IF((D16&gt;0)," ",(I$1-A16))," ")</f>
        <v>169</v>
      </c>
      <c r="J16" s="334" t="str">
        <f aca="false">IF((E16="s"),G16," ")</f>
        <v> </v>
      </c>
      <c r="K16" s="334" t="str">
        <f aca="false">IF((E16="d"),G16," ")</f>
        <v> </v>
      </c>
      <c r="L16" s="334" t="str">
        <f aca="false">IF((E16="e"),G16," ")</f>
        <v> </v>
      </c>
      <c r="M16" s="334" t="str">
        <f aca="false">IF((E16="p"),G16," ")</f>
        <v> </v>
      </c>
      <c r="N16" s="334" t="str">
        <f aca="false">IF((E16="r"),G16," ")</f>
        <v> </v>
      </c>
      <c r="O16" s="334" t="str">
        <f aca="false">IF((E16="g"),G16," ")</f>
        <v> </v>
      </c>
      <c r="P16" s="334" t="str">
        <f aca="false">IF((E16="m"),G16," ")</f>
        <v> </v>
      </c>
      <c r="Q16" s="334" t="n">
        <f aca="false">IF((E16="t"),G16," ")</f>
        <v>48</v>
      </c>
      <c r="R16" s="334" t="str">
        <f aca="false">IF((E16="a"),G16," ")</f>
        <v> </v>
      </c>
      <c r="S16" s="334" t="str">
        <f aca="false">IF((E16="l"),G16," ")</f>
        <v> </v>
      </c>
      <c r="T16" s="334" t="str">
        <f aca="false">IF((E16="b"),G16," ")</f>
        <v> </v>
      </c>
      <c r="U16" s="334" t="str">
        <f aca="false">IF((E16="i"),G16," ")</f>
        <v> </v>
      </c>
      <c r="V16" s="334" t="str">
        <f aca="false">IF((E16="o"),G16," ")</f>
        <v> </v>
      </c>
      <c r="W16" s="334" t="str">
        <f aca="false">IF((E16="f"),G16," ")</f>
        <v> </v>
      </c>
    </row>
    <row r="17" customFormat="false" ht="12.75" hidden="false" customHeight="false" outlineLevel="0" collapsed="false">
      <c r="A17" s="355" t="n">
        <v>45971</v>
      </c>
      <c r="B17" s="363" t="s">
        <v>324</v>
      </c>
      <c r="E17" s="365" t="s">
        <v>313</v>
      </c>
      <c r="G17" s="366" t="n">
        <v>36</v>
      </c>
      <c r="H17" s="338" t="n">
        <f aca="false">IF((G17&lt;&gt;0),IF((D17&gt;0)," ",G17)," ")</f>
        <v>36</v>
      </c>
      <c r="I17" s="367" t="n">
        <f aca="false">IF((G17&lt;&gt;0),IF((D17&gt;0)," ",(I$1-A17))," ")</f>
        <v>167</v>
      </c>
      <c r="J17" s="334" t="str">
        <f aca="false">IF((E17="s"),G17," ")</f>
        <v> </v>
      </c>
      <c r="K17" s="334" t="str">
        <f aca="false">IF((E17="d"),G17," ")</f>
        <v> </v>
      </c>
      <c r="L17" s="334" t="str">
        <f aca="false">IF((E17="e"),G17," ")</f>
        <v> </v>
      </c>
      <c r="M17" s="334" t="str">
        <f aca="false">IF((E17="p"),G17," ")</f>
        <v> </v>
      </c>
      <c r="N17" s="334" t="str">
        <f aca="false">IF((E17="r"),G17," ")</f>
        <v> </v>
      </c>
      <c r="O17" s="334" t="str">
        <f aca="false">IF((E17="g"),G17," ")</f>
        <v> </v>
      </c>
      <c r="P17" s="334" t="str">
        <f aca="false">IF((E17="m"),G17," ")</f>
        <v> </v>
      </c>
      <c r="Q17" s="334" t="str">
        <f aca="false">IF((E17="t"),G17," ")</f>
        <v> </v>
      </c>
      <c r="R17" s="334" t="str">
        <f aca="false">IF((E17="a"),G17," ")</f>
        <v> </v>
      </c>
      <c r="S17" s="334" t="str">
        <f aca="false">IF((E17="l"),G17," ")</f>
        <v> </v>
      </c>
      <c r="T17" s="334" t="str">
        <f aca="false">IF((E17="b"),G17," ")</f>
        <v> </v>
      </c>
      <c r="U17" s="334" t="str">
        <f aca="false">IF((E17="i"),G17," ")</f>
        <v> </v>
      </c>
      <c r="V17" s="334" t="n">
        <f aca="false">IF((E17="o"),G17," ")</f>
        <v>36</v>
      </c>
      <c r="W17" s="334" t="str">
        <f aca="false">IF((E17="f"),G17," ")</f>
        <v> </v>
      </c>
    </row>
    <row r="18" customFormat="false" ht="12.75" hidden="false" customHeight="false" outlineLevel="0" collapsed="false">
      <c r="A18" s="355" t="n">
        <v>45973</v>
      </c>
      <c r="B18" s="363" t="s">
        <v>328</v>
      </c>
      <c r="E18" s="365" t="s">
        <v>291</v>
      </c>
      <c r="G18" s="366" t="n">
        <v>18</v>
      </c>
      <c r="H18" s="338" t="n">
        <f aca="false">IF((G18&lt;&gt;0),IF((D18&gt;0)," ",G18)," ")</f>
        <v>18</v>
      </c>
      <c r="I18" s="367" t="n">
        <f aca="false">IF((G18&lt;&gt;0),IF((D18&gt;0)," ",(I$1-A18))," ")</f>
        <v>165</v>
      </c>
      <c r="J18" s="334" t="str">
        <f aca="false">IF((E18="s"),G18," ")</f>
        <v> </v>
      </c>
      <c r="K18" s="334" t="str">
        <f aca="false">IF((E18="d"),G18," ")</f>
        <v> </v>
      </c>
      <c r="L18" s="334" t="str">
        <f aca="false">IF((E18="e"),G18," ")</f>
        <v> </v>
      </c>
      <c r="M18" s="334" t="str">
        <f aca="false">IF((E18="p"),G18," ")</f>
        <v> </v>
      </c>
      <c r="N18" s="334" t="str">
        <f aca="false">IF((E18="r"),G18," ")</f>
        <v> </v>
      </c>
      <c r="O18" s="334" t="str">
        <f aca="false">IF((E18="g"),G18," ")</f>
        <v> </v>
      </c>
      <c r="P18" s="334" t="n">
        <f aca="false">IF((E18="m"),G18," ")</f>
        <v>18</v>
      </c>
      <c r="Q18" s="334" t="str">
        <f aca="false">IF((E18="t"),G18," ")</f>
        <v> </v>
      </c>
      <c r="R18" s="334" t="str">
        <f aca="false">IF((E18="a"),G18," ")</f>
        <v> </v>
      </c>
      <c r="S18" s="334" t="str">
        <f aca="false">IF((E18="l"),G18," ")</f>
        <v> </v>
      </c>
      <c r="T18" s="334" t="str">
        <f aca="false">IF((E18="b"),G18," ")</f>
        <v> </v>
      </c>
      <c r="U18" s="334" t="str">
        <f aca="false">IF((E18="i"),G18," ")</f>
        <v> </v>
      </c>
      <c r="V18" s="334" t="str">
        <f aca="false">IF((E18="o"),G18," ")</f>
        <v> </v>
      </c>
      <c r="W18" s="334" t="str">
        <f aca="false">IF((E18="f"),G18," ")</f>
        <v> </v>
      </c>
    </row>
    <row r="19" customFormat="false" ht="12.75" hidden="false" customHeight="false" outlineLevel="0" collapsed="false">
      <c r="A19" s="355" t="n">
        <v>45975</v>
      </c>
      <c r="B19" s="363" t="s">
        <v>330</v>
      </c>
      <c r="E19" s="365" t="s">
        <v>323</v>
      </c>
      <c r="G19" s="366" t="n">
        <v>24</v>
      </c>
      <c r="H19" s="338" t="n">
        <f aca="false">IF((G19&lt;&gt;0),IF((D19&gt;0)," ",G19)," ")</f>
        <v>24</v>
      </c>
      <c r="I19" s="367" t="n">
        <f aca="false">IF((G19&lt;&gt;0),IF((D19&gt;0)," ",(I$1-A19))," ")</f>
        <v>163</v>
      </c>
      <c r="J19" s="334" t="str">
        <f aca="false">IF((E19="s"),G19," ")</f>
        <v> </v>
      </c>
      <c r="K19" s="334" t="str">
        <f aca="false">IF((E19="d"),G19," ")</f>
        <v> </v>
      </c>
      <c r="L19" s="334" t="str">
        <f aca="false">IF((E19="e"),G19," ")</f>
        <v> </v>
      </c>
      <c r="M19" s="334" t="str">
        <f aca="false">IF((E19="p"),G19," ")</f>
        <v> </v>
      </c>
      <c r="N19" s="334" t="str">
        <f aca="false">IF((E19="r"),G19," ")</f>
        <v> </v>
      </c>
      <c r="O19" s="334" t="str">
        <f aca="false">IF((E19="g"),G19," ")</f>
        <v> </v>
      </c>
      <c r="P19" s="334" t="str">
        <f aca="false">IF((E19="m"),G19," ")</f>
        <v> </v>
      </c>
      <c r="Q19" s="334" t="n">
        <f aca="false">IF((E19="t"),G19," ")</f>
        <v>24</v>
      </c>
      <c r="R19" s="334" t="str">
        <f aca="false">IF((E19="a"),G19," ")</f>
        <v> </v>
      </c>
      <c r="S19" s="334" t="str">
        <f aca="false">IF((E19="l"),G19," ")</f>
        <v> </v>
      </c>
      <c r="T19" s="334" t="str">
        <f aca="false">IF((E19="b"),G19," ")</f>
        <v> </v>
      </c>
      <c r="U19" s="334" t="str">
        <f aca="false">IF((E19="i"),G19," ")</f>
        <v> </v>
      </c>
      <c r="V19" s="334" t="str">
        <f aca="false">IF((E19="o"),G19," ")</f>
        <v> </v>
      </c>
      <c r="W19" s="334" t="str">
        <f aca="false">IF((E19="f"),G19," ")</f>
        <v> </v>
      </c>
    </row>
    <row r="20" customFormat="false" ht="12.75" hidden="false" customHeight="false" outlineLevel="0" collapsed="false">
      <c r="A20" s="355" t="n">
        <v>45975</v>
      </c>
      <c r="B20" s="363" t="s">
        <v>331</v>
      </c>
      <c r="E20" s="365" t="s">
        <v>323</v>
      </c>
      <c r="G20" s="366" t="n">
        <v>12</v>
      </c>
      <c r="H20" s="338" t="n">
        <f aca="false">IF((G20&lt;&gt;0),IF((D20&gt;0)," ",G20)," ")</f>
        <v>12</v>
      </c>
      <c r="I20" s="367" t="n">
        <f aca="false">IF((G20&lt;&gt;0),IF((D20&gt;0)," ",(I$1-A20))," ")</f>
        <v>163</v>
      </c>
      <c r="J20" s="334" t="str">
        <f aca="false">IF((E20="s"),G20," ")</f>
        <v> </v>
      </c>
      <c r="K20" s="334" t="str">
        <f aca="false">IF((E20="d"),G20," ")</f>
        <v> </v>
      </c>
      <c r="L20" s="334" t="str">
        <f aca="false">IF((E20="e"),G20," ")</f>
        <v> </v>
      </c>
      <c r="M20" s="334" t="str">
        <f aca="false">IF((E20="p"),G20," ")</f>
        <v> </v>
      </c>
      <c r="N20" s="334" t="str">
        <f aca="false">IF((E20="r"),G20," ")</f>
        <v> </v>
      </c>
      <c r="O20" s="334" t="str">
        <f aca="false">IF((E20="g"),G20," ")</f>
        <v> </v>
      </c>
      <c r="P20" s="334" t="str">
        <f aca="false">IF((E20="m"),G20," ")</f>
        <v> </v>
      </c>
      <c r="Q20" s="334" t="n">
        <f aca="false">IF((E20="t"),G20," ")</f>
        <v>12</v>
      </c>
      <c r="R20" s="334" t="str">
        <f aca="false">IF((E20="a"),G20," ")</f>
        <v> </v>
      </c>
      <c r="S20" s="334" t="str">
        <f aca="false">IF((E20="l"),G20," ")</f>
        <v> </v>
      </c>
      <c r="T20" s="334" t="str">
        <f aca="false">IF((E20="b"),G20," ")</f>
        <v> </v>
      </c>
      <c r="U20" s="334" t="str">
        <f aca="false">IF((E20="i"),G20," ")</f>
        <v> </v>
      </c>
      <c r="V20" s="334" t="str">
        <f aca="false">IF((E20="o"),G20," ")</f>
        <v> </v>
      </c>
      <c r="W20" s="334" t="str">
        <f aca="false">IF((E20="f"),G20," ")</f>
        <v> </v>
      </c>
    </row>
    <row r="21" customFormat="false" ht="12.75" hidden="false" customHeight="false" outlineLevel="0" collapsed="false">
      <c r="A21" s="355" t="n">
        <v>45976</v>
      </c>
      <c r="B21" s="363" t="s">
        <v>243</v>
      </c>
      <c r="E21" s="365" t="s">
        <v>291</v>
      </c>
      <c r="G21" s="366" t="n">
        <v>150</v>
      </c>
      <c r="H21" s="338" t="n">
        <f aca="false">IF((G21&lt;&gt;0),IF((D21&gt;0)," ",G21)," ")</f>
        <v>150</v>
      </c>
      <c r="I21" s="367" t="n">
        <f aca="false">IF((G21&lt;&gt;0),IF((D21&gt;0)," ",(I$1-A21))," ")</f>
        <v>162</v>
      </c>
      <c r="J21" s="334" t="str">
        <f aca="false">IF((E21="s"),G21," ")</f>
        <v> </v>
      </c>
      <c r="K21" s="334" t="str">
        <f aca="false">IF((E21="d"),G21," ")</f>
        <v> </v>
      </c>
      <c r="L21" s="334" t="str">
        <f aca="false">IF((E21="e"),G21," ")</f>
        <v> </v>
      </c>
      <c r="M21" s="334" t="str">
        <f aca="false">IF((E21="p"),G21," ")</f>
        <v> </v>
      </c>
      <c r="N21" s="334" t="str">
        <f aca="false">IF((E21="r"),G21," ")</f>
        <v> </v>
      </c>
      <c r="O21" s="334" t="str">
        <f aca="false">IF((E21="g"),G21," ")</f>
        <v> </v>
      </c>
      <c r="P21" s="334" t="n">
        <f aca="false">IF((E21="m"),G21," ")</f>
        <v>150</v>
      </c>
      <c r="Q21" s="334" t="str">
        <f aca="false">IF((E21="t"),G21," ")</f>
        <v> </v>
      </c>
      <c r="R21" s="334" t="str">
        <f aca="false">IF((E21="a"),G21," ")</f>
        <v> </v>
      </c>
      <c r="S21" s="334" t="str">
        <f aca="false">IF((E21="l"),G21," ")</f>
        <v> </v>
      </c>
      <c r="T21" s="334" t="str">
        <f aca="false">IF((E21="b"),G21," ")</f>
        <v> </v>
      </c>
      <c r="U21" s="334" t="str">
        <f aca="false">IF((E21="i"),G21," ")</f>
        <v> </v>
      </c>
      <c r="V21" s="334" t="str">
        <f aca="false">IF((E21="o"),G21," ")</f>
        <v> </v>
      </c>
      <c r="W21" s="334" t="str">
        <f aca="false">IF((E21="f"),G21," ")</f>
        <v> </v>
      </c>
    </row>
    <row r="22" customFormat="false" ht="12.75" hidden="false" customHeight="false" outlineLevel="0" collapsed="false">
      <c r="A22" s="355" t="n">
        <v>45976</v>
      </c>
      <c r="B22" s="363" t="s">
        <v>332</v>
      </c>
      <c r="E22" s="365" t="s">
        <v>310</v>
      </c>
      <c r="G22" s="366" t="n">
        <v>12</v>
      </c>
      <c r="H22" s="338" t="n">
        <f aca="false">IF((G22&lt;&gt;0),IF((D22&gt;0)," ",G22)," ")</f>
        <v>12</v>
      </c>
      <c r="I22" s="367" t="n">
        <f aca="false">IF((G22&lt;&gt;0),IF((D22&gt;0)," ",(I$1-A22))," ")</f>
        <v>162</v>
      </c>
      <c r="J22" s="334" t="str">
        <f aca="false">IF((E22="s"),G22," ")</f>
        <v> </v>
      </c>
      <c r="K22" s="334" t="str">
        <f aca="false">IF((E22="d"),G22," ")</f>
        <v> </v>
      </c>
      <c r="L22" s="334" t="str">
        <f aca="false">IF((E22="e"),G22," ")</f>
        <v> </v>
      </c>
      <c r="M22" s="334" t="str">
        <f aca="false">IF((E22="p"),G22," ")</f>
        <v> </v>
      </c>
      <c r="N22" s="334" t="str">
        <f aca="false">IF((E22="r"),G22," ")</f>
        <v> </v>
      </c>
      <c r="O22" s="334" t="n">
        <f aca="false">IF((E22="g"),G22," ")</f>
        <v>12</v>
      </c>
      <c r="P22" s="334" t="str">
        <f aca="false">IF((E22="m"),G22," ")</f>
        <v> </v>
      </c>
      <c r="Q22" s="334" t="str">
        <f aca="false">IF((E22="t"),G22," ")</f>
        <v> </v>
      </c>
      <c r="R22" s="334" t="str">
        <f aca="false">IF((E22="a"),G22," ")</f>
        <v> </v>
      </c>
      <c r="S22" s="334" t="str">
        <f aca="false">IF((E22="l"),G22," ")</f>
        <v> </v>
      </c>
      <c r="T22" s="334" t="str">
        <f aca="false">IF((E22="b"),G22," ")</f>
        <v> </v>
      </c>
      <c r="U22" s="334" t="str">
        <f aca="false">IF((E22="i"),G22," ")</f>
        <v> </v>
      </c>
      <c r="V22" s="334" t="str">
        <f aca="false">IF((E22="o"),G22," ")</f>
        <v> </v>
      </c>
      <c r="W22" s="334" t="str">
        <f aca="false">IF((E22="f"),G22," ")</f>
        <v> </v>
      </c>
    </row>
    <row r="23" customFormat="false" ht="12.75" hidden="false" customHeight="false" outlineLevel="0" collapsed="false">
      <c r="A23" s="355" t="n">
        <v>45976</v>
      </c>
      <c r="B23" s="363" t="s">
        <v>349</v>
      </c>
      <c r="E23" s="365" t="s">
        <v>327</v>
      </c>
      <c r="G23" s="366" t="n">
        <v>540</v>
      </c>
      <c r="H23" s="338" t="n">
        <f aca="false">IF((G23&lt;&gt;0),IF((D23&gt;0)," ",G23)," ")</f>
        <v>540</v>
      </c>
      <c r="I23" s="367" t="n">
        <f aca="false">IF((G23&lt;&gt;0),IF((D23&gt;0)," ",(I$1-A23))," ")</f>
        <v>162</v>
      </c>
      <c r="J23" s="334" t="n">
        <f aca="false">IF((E23="s"),G23," ")</f>
        <v>540</v>
      </c>
      <c r="K23" s="334" t="str">
        <f aca="false">IF((E23="d"),G23," ")</f>
        <v> </v>
      </c>
      <c r="L23" s="334" t="str">
        <f aca="false">IF((E23="e"),G23," ")</f>
        <v> </v>
      </c>
      <c r="M23" s="334" t="str">
        <f aca="false">IF((E23="p"),G23," ")</f>
        <v> </v>
      </c>
      <c r="N23" s="334" t="str">
        <f aca="false">IF((E23="r"),G23," ")</f>
        <v> </v>
      </c>
      <c r="O23" s="334" t="str">
        <f aca="false">IF((E23="g"),G23," ")</f>
        <v> </v>
      </c>
      <c r="P23" s="334" t="str">
        <f aca="false">IF((E23="m"),G23," ")</f>
        <v> </v>
      </c>
      <c r="Q23" s="334" t="str">
        <f aca="false">IF((E23="t"),G23," ")</f>
        <v> </v>
      </c>
      <c r="R23" s="334" t="str">
        <f aca="false">IF((E23="a"),G23," ")</f>
        <v> </v>
      </c>
      <c r="S23" s="334" t="str">
        <f aca="false">IF((E23="l"),G23," ")</f>
        <v> </v>
      </c>
      <c r="T23" s="334" t="str">
        <f aca="false">IF((E23="b"),G23," ")</f>
        <v> </v>
      </c>
      <c r="U23" s="334" t="str">
        <f aca="false">IF((E23="i"),G23," ")</f>
        <v> </v>
      </c>
      <c r="V23" s="334" t="str">
        <f aca="false">IF((E23="o"),G23," ")</f>
        <v> </v>
      </c>
      <c r="W23" s="334" t="str">
        <f aca="false">IF((E23="f"),G23," ")</f>
        <v> </v>
      </c>
    </row>
    <row r="24" customFormat="false" ht="12.75" hidden="false" customHeight="false" outlineLevel="0" collapsed="false">
      <c r="A24" s="355" t="n">
        <v>45976</v>
      </c>
      <c r="B24" s="363" t="s">
        <v>358</v>
      </c>
      <c r="E24" s="365" t="s">
        <v>359</v>
      </c>
      <c r="G24" s="366" t="n">
        <v>3000</v>
      </c>
      <c r="H24" s="338" t="n">
        <f aca="false">IF((G24&lt;&gt;0),IF((D24&gt;0)," ",G24)," ")</f>
        <v>3000</v>
      </c>
      <c r="I24" s="367" t="n">
        <f aca="false">IF((G24&lt;&gt;0),IF((D24&gt;0)," ",(I$1-A24))," ")</f>
        <v>162</v>
      </c>
      <c r="J24" s="334" t="str">
        <f aca="false">IF((E24="s"),G24," ")</f>
        <v> </v>
      </c>
      <c r="K24" s="334" t="n">
        <f aca="false">IF((E24="d"),G24," ")</f>
        <v>3000</v>
      </c>
      <c r="L24" s="334" t="str">
        <f aca="false">IF((E24="e"),G24," ")</f>
        <v> </v>
      </c>
      <c r="M24" s="334" t="str">
        <f aca="false">IF((E24="p"),G24," ")</f>
        <v> </v>
      </c>
      <c r="N24" s="334" t="str">
        <f aca="false">IF((E24="r"),G24," ")</f>
        <v> </v>
      </c>
      <c r="O24" s="334" t="str">
        <f aca="false">IF((E24="g"),G24," ")</f>
        <v> </v>
      </c>
      <c r="P24" s="334" t="str">
        <f aca="false">IF((E24="m"),G24," ")</f>
        <v> </v>
      </c>
      <c r="Q24" s="334" t="str">
        <f aca="false">IF((E24="t"),G24," ")</f>
        <v> </v>
      </c>
      <c r="R24" s="334" t="str">
        <f aca="false">IF((E24="a"),G24," ")</f>
        <v> </v>
      </c>
      <c r="S24" s="334" t="str">
        <f aca="false">IF((E24="l"),G24," ")</f>
        <v> </v>
      </c>
      <c r="T24" s="334" t="str">
        <f aca="false">IF((E24="b"),G24," ")</f>
        <v> </v>
      </c>
      <c r="U24" s="334" t="str">
        <f aca="false">IF((E24="i"),G24," ")</f>
        <v> </v>
      </c>
      <c r="V24" s="334" t="str">
        <f aca="false">IF((E24="o"),G24," ")</f>
        <v> </v>
      </c>
      <c r="W24" s="334" t="str">
        <f aca="false">IF((E24="f"),G24," ")</f>
        <v> </v>
      </c>
    </row>
    <row r="25" customFormat="false" ht="12.75" hidden="false" customHeight="false" outlineLevel="0" collapsed="false">
      <c r="A25" s="355" t="n">
        <v>45977</v>
      </c>
      <c r="B25" s="363" t="s">
        <v>352</v>
      </c>
      <c r="E25" s="365" t="s">
        <v>310</v>
      </c>
      <c r="G25" s="366" t="n">
        <v>30</v>
      </c>
      <c r="H25" s="338" t="n">
        <f aca="false">IF((G25&lt;&gt;0),IF((D25&gt;0)," ",G25)," ")</f>
        <v>30</v>
      </c>
      <c r="I25" s="367" t="n">
        <f aca="false">IF((G25&lt;&gt;0),IF((D25&gt;0)," ",(I$1-A25))," ")</f>
        <v>161</v>
      </c>
      <c r="J25" s="334" t="str">
        <f aca="false">IF((E25="s"),G25," ")</f>
        <v> </v>
      </c>
      <c r="K25" s="334" t="str">
        <f aca="false">IF((E25="d"),G25," ")</f>
        <v> </v>
      </c>
      <c r="L25" s="334" t="str">
        <f aca="false">IF((E25="e"),G25," ")</f>
        <v> </v>
      </c>
      <c r="M25" s="334" t="str">
        <f aca="false">IF((E25="p"),G25," ")</f>
        <v> </v>
      </c>
      <c r="N25" s="334" t="str">
        <f aca="false">IF((E25="r"),G25," ")</f>
        <v> </v>
      </c>
      <c r="O25" s="334" t="n">
        <f aca="false">IF((E25="g"),G25," ")</f>
        <v>30</v>
      </c>
      <c r="P25" s="334" t="str">
        <f aca="false">IF((E25="m"),G25," ")</f>
        <v> </v>
      </c>
      <c r="Q25" s="334" t="str">
        <f aca="false">IF((E25="t"),G25," ")</f>
        <v> </v>
      </c>
      <c r="R25" s="334" t="str">
        <f aca="false">IF((E25="a"),G25," ")</f>
        <v> </v>
      </c>
      <c r="S25" s="334" t="str">
        <f aca="false">IF((E25="l"),G25," ")</f>
        <v> </v>
      </c>
      <c r="T25" s="334" t="str">
        <f aca="false">IF((E25="b"),G25," ")</f>
        <v> </v>
      </c>
      <c r="U25" s="334" t="str">
        <f aca="false">IF((E25="i"),G25," ")</f>
        <v> </v>
      </c>
      <c r="V25" s="334" t="str">
        <f aca="false">IF((E25="o"),G25," ")</f>
        <v> </v>
      </c>
      <c r="W25" s="334" t="str">
        <f aca="false">IF((E25="f"),G25," ")</f>
        <v> </v>
      </c>
    </row>
    <row r="26" customFormat="false" ht="12.75" hidden="false" customHeight="false" outlineLevel="0" collapsed="false">
      <c r="A26" s="355" t="n">
        <v>45979</v>
      </c>
      <c r="B26" s="363" t="s">
        <v>333</v>
      </c>
      <c r="E26" s="365" t="s">
        <v>291</v>
      </c>
      <c r="G26" s="366" t="n">
        <v>96</v>
      </c>
      <c r="H26" s="338" t="n">
        <f aca="false">IF((G26&lt;&gt;0),IF((D26&gt;0)," ",G26)," ")</f>
        <v>96</v>
      </c>
      <c r="I26" s="367" t="n">
        <f aca="false">IF((G26&lt;&gt;0),IF((D26&gt;0)," ",(I$1-A26))," ")</f>
        <v>159</v>
      </c>
      <c r="J26" s="334" t="str">
        <f aca="false">IF((E26="s"),G26," ")</f>
        <v> </v>
      </c>
      <c r="K26" s="334" t="str">
        <f aca="false">IF((E26="d"),G26," ")</f>
        <v> </v>
      </c>
      <c r="L26" s="334" t="str">
        <f aca="false">IF((E26="e"),G26," ")</f>
        <v> </v>
      </c>
      <c r="M26" s="334" t="str">
        <f aca="false">IF((E26="p"),G26," ")</f>
        <v> </v>
      </c>
      <c r="N26" s="334" t="str">
        <f aca="false">IF((E26="r"),G26," ")</f>
        <v> </v>
      </c>
      <c r="O26" s="334" t="str">
        <f aca="false">IF((E26="g"),G26," ")</f>
        <v> </v>
      </c>
      <c r="P26" s="334" t="n">
        <f aca="false">IF((E26="m"),G26," ")</f>
        <v>96</v>
      </c>
      <c r="Q26" s="334" t="str">
        <f aca="false">IF((E26="t"),G26," ")</f>
        <v> </v>
      </c>
      <c r="R26" s="334" t="str">
        <f aca="false">IF((E26="a"),G26," ")</f>
        <v> </v>
      </c>
      <c r="S26" s="334" t="str">
        <f aca="false">IF((E26="l"),G26," ")</f>
        <v> </v>
      </c>
      <c r="T26" s="334" t="str">
        <f aca="false">IF((E26="b"),G26," ")</f>
        <v> </v>
      </c>
      <c r="U26" s="334" t="str">
        <f aca="false">IF((E26="i"),G26," ")</f>
        <v> </v>
      </c>
      <c r="V26" s="334" t="str">
        <f aca="false">IF((E26="o"),G26," ")</f>
        <v> </v>
      </c>
      <c r="W26" s="334" t="str">
        <f aca="false">IF((E26="f"),G26," ")</f>
        <v> </v>
      </c>
    </row>
    <row r="27" customFormat="false" ht="12.75" hidden="false" customHeight="false" outlineLevel="0" collapsed="false">
      <c r="A27" s="355" t="n">
        <v>45981</v>
      </c>
      <c r="B27" s="363" t="s">
        <v>242</v>
      </c>
      <c r="E27" s="365" t="s">
        <v>310</v>
      </c>
      <c r="G27" s="366" t="n">
        <v>60</v>
      </c>
      <c r="H27" s="338" t="n">
        <f aca="false">IF((G27&lt;&gt;0),IF((D27&gt;0)," ",G27)," ")</f>
        <v>60</v>
      </c>
      <c r="I27" s="367" t="n">
        <f aca="false">IF((G27&lt;&gt;0),IF((D27&gt;0)," ",(I$1-A27))," ")</f>
        <v>157</v>
      </c>
      <c r="J27" s="334" t="str">
        <f aca="false">IF((E27="s"),G27," ")</f>
        <v> </v>
      </c>
      <c r="K27" s="334" t="str">
        <f aca="false">IF((E27="d"),G27," ")</f>
        <v> </v>
      </c>
      <c r="L27" s="334" t="str">
        <f aca="false">IF((E27="e"),G27," ")</f>
        <v> </v>
      </c>
      <c r="M27" s="334" t="str">
        <f aca="false">IF((E27="p"),G27," ")</f>
        <v> </v>
      </c>
      <c r="N27" s="334" t="str">
        <f aca="false">IF((E27="r"),G27," ")</f>
        <v> </v>
      </c>
      <c r="O27" s="334" t="n">
        <f aca="false">IF((E27="g"),G27," ")</f>
        <v>60</v>
      </c>
      <c r="P27" s="334" t="str">
        <f aca="false">IF((E27="m"),G27," ")</f>
        <v> </v>
      </c>
      <c r="Q27" s="334" t="str">
        <f aca="false">IF((E27="t"),G27," ")</f>
        <v> </v>
      </c>
      <c r="R27" s="334" t="str">
        <f aca="false">IF((E27="a"),G27," ")</f>
        <v> </v>
      </c>
      <c r="S27" s="334" t="str">
        <f aca="false">IF((E27="l"),G27," ")</f>
        <v> </v>
      </c>
      <c r="T27" s="334" t="str">
        <f aca="false">IF((E27="b"),G27," ")</f>
        <v> </v>
      </c>
      <c r="U27" s="334" t="str">
        <f aca="false">IF((E27="i"),G27," ")</f>
        <v> </v>
      </c>
      <c r="V27" s="334" t="str">
        <f aca="false">IF((E27="o"),G27," ")</f>
        <v> </v>
      </c>
      <c r="W27" s="334" t="str">
        <f aca="false">IF((E27="f"),G27," ")</f>
        <v> </v>
      </c>
    </row>
    <row r="28" customFormat="false" ht="12.75" hidden="false" customHeight="false" outlineLevel="0" collapsed="false">
      <c r="A28" s="355" t="n">
        <v>45981</v>
      </c>
      <c r="B28" s="363" t="s">
        <v>353</v>
      </c>
      <c r="E28" s="365" t="s">
        <v>313</v>
      </c>
      <c r="G28" s="366" t="n">
        <v>240</v>
      </c>
      <c r="H28" s="338" t="n">
        <f aca="false">IF((G28&lt;&gt;0),IF((D28&gt;0)," ",G28)," ")</f>
        <v>240</v>
      </c>
      <c r="I28" s="367" t="n">
        <f aca="false">IF((G28&lt;&gt;0),IF((D28&gt;0)," ",(I$1-A28))," ")</f>
        <v>157</v>
      </c>
      <c r="J28" s="334" t="str">
        <f aca="false">IF((E28="s"),G28," ")</f>
        <v> </v>
      </c>
      <c r="K28" s="334" t="str">
        <f aca="false">IF((E28="d"),G28," ")</f>
        <v> </v>
      </c>
      <c r="L28" s="334" t="str">
        <f aca="false">IF((E28="e"),G28," ")</f>
        <v> </v>
      </c>
      <c r="M28" s="334" t="str">
        <f aca="false">IF((E28="p"),G28," ")</f>
        <v> </v>
      </c>
      <c r="N28" s="334" t="str">
        <f aca="false">IF((E28="r"),G28," ")</f>
        <v> </v>
      </c>
      <c r="O28" s="334" t="str">
        <f aca="false">IF((E28="g"),G28," ")</f>
        <v> </v>
      </c>
      <c r="P28" s="334" t="str">
        <f aca="false">IF((E28="m"),G28," ")</f>
        <v> </v>
      </c>
      <c r="Q28" s="334" t="str">
        <f aca="false">IF((E28="t"),G28," ")</f>
        <v> </v>
      </c>
      <c r="R28" s="334" t="str">
        <f aca="false">IF((E28="a"),G28," ")</f>
        <v> </v>
      </c>
      <c r="S28" s="334" t="str">
        <f aca="false">IF((E28="l"),G28," ")</f>
        <v> </v>
      </c>
      <c r="T28" s="334" t="str">
        <f aca="false">IF((E28="b"),G28," ")</f>
        <v> </v>
      </c>
      <c r="U28" s="334" t="str">
        <f aca="false">IF((E28="i"),G28," ")</f>
        <v> </v>
      </c>
      <c r="V28" s="334" t="n">
        <f aca="false">IF((E28="o"),G28," ")</f>
        <v>240</v>
      </c>
      <c r="W28" s="334" t="str">
        <f aca="false">IF((E28="f"),G28," ")</f>
        <v> </v>
      </c>
    </row>
    <row r="29" customFormat="false" ht="12.75" hidden="false" customHeight="false" outlineLevel="0" collapsed="false">
      <c r="A29" s="355" t="n">
        <v>45981</v>
      </c>
      <c r="B29" s="363" t="s">
        <v>354</v>
      </c>
      <c r="E29" s="365" t="s">
        <v>327</v>
      </c>
      <c r="G29" s="366" t="n">
        <v>300</v>
      </c>
      <c r="H29" s="338" t="n">
        <f aca="false">IF((G29&lt;&gt;0),IF((D29&gt;0)," ",G29)," ")</f>
        <v>300</v>
      </c>
      <c r="I29" s="367" t="n">
        <f aca="false">IF((G29&lt;&gt;0),IF((D29&gt;0)," ",(I$1-A29))," ")</f>
        <v>157</v>
      </c>
      <c r="J29" s="334" t="n">
        <f aca="false">IF((E29="s"),G29," ")</f>
        <v>300</v>
      </c>
      <c r="K29" s="334" t="str">
        <f aca="false">IF((E29="d"),G29," ")</f>
        <v> </v>
      </c>
      <c r="L29" s="334" t="str">
        <f aca="false">IF((E29="e"),G29," ")</f>
        <v> </v>
      </c>
      <c r="M29" s="334" t="str">
        <f aca="false">IF((E29="p"),G29," ")</f>
        <v> </v>
      </c>
      <c r="N29" s="334" t="str">
        <f aca="false">IF((E29="r"),G29," ")</f>
        <v> </v>
      </c>
      <c r="O29" s="334" t="str">
        <f aca="false">IF((E29="g"),G29," ")</f>
        <v> </v>
      </c>
      <c r="P29" s="334" t="str">
        <f aca="false">IF((E29="m"),G29," ")</f>
        <v> </v>
      </c>
      <c r="Q29" s="334" t="str">
        <f aca="false">IF((E29="t"),G29," ")</f>
        <v> </v>
      </c>
      <c r="R29" s="334" t="str">
        <f aca="false">IF((E29="a"),G29," ")</f>
        <v> </v>
      </c>
      <c r="S29" s="334" t="str">
        <f aca="false">IF((E29="l"),G29," ")</f>
        <v> </v>
      </c>
      <c r="T29" s="334" t="str">
        <f aca="false">IF((E29="b"),G29," ")</f>
        <v> </v>
      </c>
      <c r="U29" s="334" t="str">
        <f aca="false">IF((E29="i"),G29," ")</f>
        <v> </v>
      </c>
      <c r="V29" s="334" t="str">
        <f aca="false">IF((E29="o"),G29," ")</f>
        <v> </v>
      </c>
      <c r="W29" s="334" t="str">
        <f aca="false">IF((E29="f"),G29," ")</f>
        <v> </v>
      </c>
    </row>
    <row r="30" customFormat="false" ht="12.75" hidden="false" customHeight="false" outlineLevel="0" collapsed="false">
      <c r="A30" s="355" t="n">
        <v>45982</v>
      </c>
      <c r="B30" s="363" t="s">
        <v>336</v>
      </c>
      <c r="E30" s="365" t="s">
        <v>323</v>
      </c>
      <c r="G30" s="366" t="n">
        <v>8</v>
      </c>
      <c r="H30" s="338" t="n">
        <f aca="false">IF((G30&lt;&gt;0),IF((D30&gt;0)," ",G30)," ")</f>
        <v>8</v>
      </c>
      <c r="I30" s="367" t="n">
        <f aca="false">IF((G30&lt;&gt;0),IF((D30&gt;0)," ",(I$1-A30))," ")</f>
        <v>156</v>
      </c>
      <c r="J30" s="334" t="str">
        <f aca="false">IF((E30="s"),G30," ")</f>
        <v> </v>
      </c>
      <c r="K30" s="334" t="str">
        <f aca="false">IF((E30="d"),G30," ")</f>
        <v> </v>
      </c>
      <c r="L30" s="334" t="str">
        <f aca="false">IF((E30="e"),G30," ")</f>
        <v> </v>
      </c>
      <c r="M30" s="334" t="str">
        <f aca="false">IF((E30="p"),G30," ")</f>
        <v> </v>
      </c>
      <c r="N30" s="334" t="str">
        <f aca="false">IF((E30="r"),G30," ")</f>
        <v> </v>
      </c>
      <c r="O30" s="334" t="str">
        <f aca="false">IF((E30="g"),G30," ")</f>
        <v> </v>
      </c>
      <c r="P30" s="334" t="str">
        <f aca="false">IF((E30="m"),G30," ")</f>
        <v> </v>
      </c>
      <c r="Q30" s="334" t="n">
        <f aca="false">IF((E30="t"),G30," ")</f>
        <v>8</v>
      </c>
      <c r="R30" s="334" t="str">
        <f aca="false">IF((E30="a"),G30," ")</f>
        <v> </v>
      </c>
      <c r="S30" s="334" t="str">
        <f aca="false">IF((E30="l"),G30," ")</f>
        <v> </v>
      </c>
      <c r="T30" s="334" t="str">
        <f aca="false">IF((E30="b"),G30," ")</f>
        <v> </v>
      </c>
      <c r="U30" s="334" t="str">
        <f aca="false">IF((E30="i"),G30," ")</f>
        <v> </v>
      </c>
      <c r="V30" s="334" t="str">
        <f aca="false">IF((E30="o"),G30," ")</f>
        <v> </v>
      </c>
      <c r="W30" s="334" t="str">
        <f aca="false">IF((E30="f"),G30," ")</f>
        <v> </v>
      </c>
    </row>
    <row r="31" customFormat="false" ht="12.75" hidden="false" customHeight="false" outlineLevel="0" collapsed="false">
      <c r="A31" s="355" t="n">
        <v>45983</v>
      </c>
      <c r="B31" s="363" t="s">
        <v>337</v>
      </c>
      <c r="E31" s="365" t="s">
        <v>313</v>
      </c>
      <c r="G31" s="366" t="n">
        <v>18</v>
      </c>
      <c r="H31" s="338" t="n">
        <f aca="false">IF((G31&lt;&gt;0),IF((D31&gt;0)," ",G31)," ")</f>
        <v>18</v>
      </c>
      <c r="I31" s="367" t="n">
        <f aca="false">IF((G31&lt;&gt;0),IF((D31&gt;0)," ",(I$1-A31))," ")</f>
        <v>155</v>
      </c>
      <c r="J31" s="334" t="str">
        <f aca="false">IF((E31="s"),G31," ")</f>
        <v> </v>
      </c>
      <c r="K31" s="334" t="str">
        <f aca="false">IF((E31="d"),G31," ")</f>
        <v> </v>
      </c>
      <c r="L31" s="334" t="str">
        <f aca="false">IF((E31="e"),G31," ")</f>
        <v> </v>
      </c>
      <c r="M31" s="334" t="str">
        <f aca="false">IF((E31="p"),G31," ")</f>
        <v> </v>
      </c>
      <c r="N31" s="334" t="str">
        <f aca="false">IF((E31="r"),G31," ")</f>
        <v> </v>
      </c>
      <c r="O31" s="334" t="str">
        <f aca="false">IF((E31="g"),G31," ")</f>
        <v> </v>
      </c>
      <c r="P31" s="334" t="str">
        <f aca="false">IF((E31="m"),G31," ")</f>
        <v> </v>
      </c>
      <c r="Q31" s="334" t="str">
        <f aca="false">IF((E31="t"),G31," ")</f>
        <v> </v>
      </c>
      <c r="R31" s="334" t="str">
        <f aca="false">IF((E31="a"),G31," ")</f>
        <v> </v>
      </c>
      <c r="S31" s="334" t="str">
        <f aca="false">IF((E31="l"),G31," ")</f>
        <v> </v>
      </c>
      <c r="T31" s="334" t="str">
        <f aca="false">IF((E31="b"),G31," ")</f>
        <v> </v>
      </c>
      <c r="U31" s="334" t="str">
        <f aca="false">IF((E31="i"),G31," ")</f>
        <v> </v>
      </c>
      <c r="V31" s="334" t="n">
        <f aca="false">IF((E31="o"),G31," ")</f>
        <v>18</v>
      </c>
      <c r="W31" s="334" t="str">
        <f aca="false">IF((E31="f"),G31," ")</f>
        <v> </v>
      </c>
    </row>
    <row r="32" customFormat="false" ht="12.75" hidden="false" customHeight="false" outlineLevel="0" collapsed="false">
      <c r="A32" s="355" t="n">
        <v>45986</v>
      </c>
      <c r="B32" s="363" t="s">
        <v>338</v>
      </c>
      <c r="E32" s="365" t="s">
        <v>313</v>
      </c>
      <c r="G32" s="366" t="n">
        <v>15</v>
      </c>
      <c r="H32" s="338" t="n">
        <f aca="false">IF((G32&lt;&gt;0),IF((D32&gt;0)," ",G32)," ")</f>
        <v>15</v>
      </c>
      <c r="I32" s="367" t="n">
        <f aca="false">IF((G32&lt;&gt;0),IF((D32&gt;0)," ",(I$1-A32))," ")</f>
        <v>152</v>
      </c>
      <c r="J32" s="334" t="str">
        <f aca="false">IF((E32="s"),G32," ")</f>
        <v> </v>
      </c>
      <c r="K32" s="334" t="str">
        <f aca="false">IF((E32="d"),G32," ")</f>
        <v> </v>
      </c>
      <c r="L32" s="334" t="str">
        <f aca="false">IF((E32="e"),G32," ")</f>
        <v> </v>
      </c>
      <c r="M32" s="334" t="str">
        <f aca="false">IF((E32="p"),G32," ")</f>
        <v> </v>
      </c>
      <c r="N32" s="334" t="str">
        <f aca="false">IF((E32="r"),G32," ")</f>
        <v> </v>
      </c>
      <c r="O32" s="334" t="str">
        <f aca="false">IF((E32="g"),G32," ")</f>
        <v> </v>
      </c>
      <c r="P32" s="334" t="str">
        <f aca="false">IF((E32="m"),G32," ")</f>
        <v> </v>
      </c>
      <c r="Q32" s="334" t="str">
        <f aca="false">IF((E32="t"),G32," ")</f>
        <v> </v>
      </c>
      <c r="R32" s="334" t="str">
        <f aca="false">IF((E32="a"),G32," ")</f>
        <v> </v>
      </c>
      <c r="S32" s="334" t="str">
        <f aca="false">IF((E32="l"),G32," ")</f>
        <v> </v>
      </c>
      <c r="T32" s="334" t="str">
        <f aca="false">IF((E32="b"),G32," ")</f>
        <v> </v>
      </c>
      <c r="U32" s="334" t="str">
        <f aca="false">IF((E32="i"),G32," ")</f>
        <v> </v>
      </c>
      <c r="V32" s="334" t="n">
        <f aca="false">IF((E32="o"),G32," ")</f>
        <v>15</v>
      </c>
      <c r="W32" s="334" t="str">
        <f aca="false">IF((E32="f"),G32," ")</f>
        <v> </v>
      </c>
    </row>
    <row r="33" customFormat="false" ht="12.75" hidden="false" customHeight="false" outlineLevel="0" collapsed="false">
      <c r="A33" s="355" t="n">
        <v>45986</v>
      </c>
      <c r="B33" s="363" t="s">
        <v>339</v>
      </c>
      <c r="E33" s="365" t="s">
        <v>291</v>
      </c>
      <c r="G33" s="366" t="n">
        <v>81</v>
      </c>
      <c r="H33" s="338" t="n">
        <f aca="false">IF((G33&lt;&gt;0),IF((D33&gt;0)," ",G33)," ")</f>
        <v>81</v>
      </c>
      <c r="I33" s="367" t="n">
        <f aca="false">IF((G33&lt;&gt;0),IF((D33&gt;0)," ",(I$1-A33))," ")</f>
        <v>152</v>
      </c>
      <c r="J33" s="334" t="str">
        <f aca="false">IF((E33="s"),G33," ")</f>
        <v> </v>
      </c>
      <c r="K33" s="334" t="str">
        <f aca="false">IF((E33="d"),G33," ")</f>
        <v> </v>
      </c>
      <c r="L33" s="334" t="str">
        <f aca="false">IF((E33="e"),G33," ")</f>
        <v> </v>
      </c>
      <c r="M33" s="334" t="str">
        <f aca="false">IF((E33="p"),G33," ")</f>
        <v> </v>
      </c>
      <c r="N33" s="334" t="str">
        <f aca="false">IF((E33="r"),G33," ")</f>
        <v> </v>
      </c>
      <c r="O33" s="334" t="str">
        <f aca="false">IF((E33="g"),G33," ")</f>
        <v> </v>
      </c>
      <c r="P33" s="334" t="n">
        <f aca="false">IF((E33="m"),G33," ")</f>
        <v>81</v>
      </c>
      <c r="Q33" s="334" t="str">
        <f aca="false">IF((E33="t"),G33," ")</f>
        <v> </v>
      </c>
      <c r="R33" s="334" t="str">
        <f aca="false">IF((E33="a"),G33," ")</f>
        <v> </v>
      </c>
      <c r="S33" s="334" t="str">
        <f aca="false">IF((E33="l"),G33," ")</f>
        <v> </v>
      </c>
      <c r="T33" s="334" t="str">
        <f aca="false">IF((E33="b"),G33," ")</f>
        <v> </v>
      </c>
      <c r="U33" s="334" t="str">
        <f aca="false">IF((E33="i"),G33," ")</f>
        <v> </v>
      </c>
      <c r="V33" s="334" t="str">
        <f aca="false">IF((E33="o"),G33," ")</f>
        <v> </v>
      </c>
      <c r="W33" s="334" t="str">
        <f aca="false">IF((E33="f"),G33," ")</f>
        <v> </v>
      </c>
    </row>
    <row r="34" customFormat="false" ht="12.75" hidden="false" customHeight="false" outlineLevel="0" collapsed="false">
      <c r="A34" s="355" t="n">
        <v>45989</v>
      </c>
      <c r="B34" s="363" t="s">
        <v>243</v>
      </c>
      <c r="E34" s="365" t="s">
        <v>291</v>
      </c>
      <c r="G34" s="366" t="n">
        <v>120</v>
      </c>
      <c r="H34" s="338" t="n">
        <f aca="false">IF((G34&lt;&gt;0),IF((D34&gt;0)," ",G34)," ")</f>
        <v>120</v>
      </c>
      <c r="I34" s="367" t="n">
        <f aca="false">IF((G34&lt;&gt;0),IF((D34&gt;0)," ",(I$1-A34))," ")</f>
        <v>149</v>
      </c>
      <c r="J34" s="334" t="str">
        <f aca="false">IF((E34="s"),G34," ")</f>
        <v> </v>
      </c>
      <c r="K34" s="334" t="str">
        <f aca="false">IF((E34="d"),G34," ")</f>
        <v> </v>
      </c>
      <c r="L34" s="334" t="str">
        <f aca="false">IF((E34="e"),G34," ")</f>
        <v> </v>
      </c>
      <c r="M34" s="334" t="str">
        <f aca="false">IF((E34="p"),G34," ")</f>
        <v> </v>
      </c>
      <c r="N34" s="334" t="str">
        <f aca="false">IF((E34="r"),G34," ")</f>
        <v> </v>
      </c>
      <c r="O34" s="334" t="str">
        <f aca="false">IF((E34="g"),G34," ")</f>
        <v> </v>
      </c>
      <c r="P34" s="334" t="n">
        <f aca="false">IF((E34="m"),G34," ")</f>
        <v>120</v>
      </c>
      <c r="Q34" s="334" t="str">
        <f aca="false">IF((E34="t"),G34," ")</f>
        <v> </v>
      </c>
      <c r="R34" s="334" t="str">
        <f aca="false">IF((E34="a"),G34," ")</f>
        <v> </v>
      </c>
      <c r="S34" s="334" t="str">
        <f aca="false">IF((E34="l"),G34," ")</f>
        <v> </v>
      </c>
      <c r="T34" s="334" t="str">
        <f aca="false">IF((E34="b"),G34," ")</f>
        <v> </v>
      </c>
      <c r="U34" s="334" t="str">
        <f aca="false">IF((E34="i"),G34," ")</f>
        <v> </v>
      </c>
      <c r="V34" s="334" t="str">
        <f aca="false">IF((E34="o"),G34," ")</f>
        <v> </v>
      </c>
      <c r="W34" s="334" t="str">
        <f aca="false">IF((E34="f"),G34," ")</f>
        <v> </v>
      </c>
    </row>
    <row r="35" customFormat="false" ht="12.75" hidden="false" customHeight="false" outlineLevel="0" collapsed="false">
      <c r="A35" s="355" t="n">
        <v>45991</v>
      </c>
      <c r="B35" s="363" t="s">
        <v>240</v>
      </c>
      <c r="E35" s="365" t="s">
        <v>340</v>
      </c>
      <c r="G35" s="366" t="n">
        <v>300</v>
      </c>
      <c r="H35" s="338" t="n">
        <f aca="false">IF((G35&lt;&gt;0),IF((D35&gt;0)," ",G35)," ")</f>
        <v>300</v>
      </c>
      <c r="I35" s="367" t="n">
        <f aca="false">IF((G35&lt;&gt;0),IF((D35&gt;0)," ",(I$1-A35))," ")</f>
        <v>147</v>
      </c>
      <c r="J35" s="334" t="str">
        <f aca="false">IF((E35="s"),G35," ")</f>
        <v> </v>
      </c>
      <c r="K35" s="334" t="str">
        <f aca="false">IF((E35="d"),G35," ")</f>
        <v> </v>
      </c>
      <c r="L35" s="334" t="str">
        <f aca="false">IF((E35="e"),G35," ")</f>
        <v> </v>
      </c>
      <c r="M35" s="334" t="str">
        <f aca="false">IF((E35="p"),G35," ")</f>
        <v> </v>
      </c>
      <c r="N35" s="334" t="str">
        <f aca="false">IF((E35="r"),G35," ")</f>
        <v> </v>
      </c>
      <c r="O35" s="334" t="str">
        <f aca="false">IF((E35="g"),G35," ")</f>
        <v> </v>
      </c>
      <c r="P35" s="334" t="str">
        <f aca="false">IF((E35="m"),G35," ")</f>
        <v> </v>
      </c>
      <c r="Q35" s="334" t="str">
        <f aca="false">IF((E35="t"),G35," ")</f>
        <v> </v>
      </c>
      <c r="R35" s="334" t="str">
        <f aca="false">IF((E35="a"),G35," ")</f>
        <v> </v>
      </c>
      <c r="S35" s="334" t="n">
        <f aca="false">IF((E35="l"),G35," ")</f>
        <v>300</v>
      </c>
      <c r="T35" s="334" t="str">
        <f aca="false">IF((E35="b"),G35," ")</f>
        <v> </v>
      </c>
      <c r="U35" s="334" t="str">
        <f aca="false">IF((E35="i"),G35," ")</f>
        <v> </v>
      </c>
      <c r="V35" s="334" t="str">
        <f aca="false">IF((E35="o"),G35," ")</f>
        <v> </v>
      </c>
      <c r="W35" s="334" t="str">
        <f aca="false">IF((E35="f"),G35," ")</f>
        <v> </v>
      </c>
    </row>
    <row r="36" customFormat="false" ht="12.75" hidden="false" customHeight="false" outlineLevel="0" collapsed="false">
      <c r="A36" s="355"/>
      <c r="H36" s="338" t="str">
        <f aca="false">IF((G36&lt;&gt;0),IF((D36&gt;0)," ",G36)," ")</f>
        <v> </v>
      </c>
      <c r="I36" s="367" t="str">
        <f aca="false">IF((G36&lt;&gt;0),IF((D36&gt;0)," ",(I$1-A36))," ")</f>
        <v> </v>
      </c>
      <c r="J36" s="334" t="str">
        <f aca="false">IF((E36="s"),G36," ")</f>
        <v> </v>
      </c>
      <c r="K36" s="334" t="str">
        <f aca="false">IF((E36="d"),G36," ")</f>
        <v> </v>
      </c>
      <c r="L36" s="334" t="str">
        <f aca="false">IF((E36="e"),G36," ")</f>
        <v> </v>
      </c>
      <c r="M36" s="334" t="str">
        <f aca="false">IF((E36="p"),G36," ")</f>
        <v> </v>
      </c>
      <c r="N36" s="334" t="str">
        <f aca="false">IF((E36="r"),G36," ")</f>
        <v> </v>
      </c>
      <c r="O36" s="334" t="str">
        <f aca="false">IF((E36="g"),G36," ")</f>
        <v> </v>
      </c>
      <c r="P36" s="334" t="str">
        <f aca="false">IF((E36="m"),G36," ")</f>
        <v> </v>
      </c>
      <c r="Q36" s="334" t="str">
        <f aca="false">IF((E36="t"),G36," ")</f>
        <v> </v>
      </c>
      <c r="R36" s="334" t="str">
        <f aca="false">IF((E36="a"),G36," ")</f>
        <v> </v>
      </c>
      <c r="S36" s="334" t="str">
        <f aca="false">IF((E36="l"),G36," ")</f>
        <v> </v>
      </c>
      <c r="T36" s="334" t="str">
        <f aca="false">IF((E36="b"),G36," ")</f>
        <v> </v>
      </c>
      <c r="U36" s="334" t="str">
        <f aca="false">IF((E36="i"),G36," ")</f>
        <v> </v>
      </c>
      <c r="V36" s="334" t="str">
        <f aca="false">IF((E36="o"),G36," ")</f>
        <v> </v>
      </c>
      <c r="W36" s="334" t="str">
        <f aca="false">IF((E36="f"),G36," ")</f>
        <v> </v>
      </c>
    </row>
    <row r="37" customFormat="false" ht="12.75" hidden="false" customHeight="false" outlineLevel="0" collapsed="false">
      <c r="A37" s="355"/>
      <c r="H37" s="338" t="str">
        <f aca="false">IF((G37&lt;&gt;0),IF((D37&gt;0)," ",G37)," ")</f>
        <v> </v>
      </c>
      <c r="I37" s="367" t="str">
        <f aca="false">IF((G37&lt;&gt;0),IF((D37&gt;0)," ",(I$1-A37))," ")</f>
        <v> </v>
      </c>
      <c r="J37" s="334" t="str">
        <f aca="false">IF((E37="s"),G37," ")</f>
        <v> </v>
      </c>
      <c r="K37" s="334" t="str">
        <f aca="false">IF((E37="d"),G37," ")</f>
        <v> </v>
      </c>
      <c r="L37" s="334" t="str">
        <f aca="false">IF((E37="e"),G37," ")</f>
        <v> </v>
      </c>
      <c r="M37" s="334" t="str">
        <f aca="false">IF((E37="p"),G37," ")</f>
        <v> </v>
      </c>
      <c r="N37" s="334" t="str">
        <f aca="false">IF((E37="r"),G37," ")</f>
        <v> </v>
      </c>
      <c r="O37" s="334" t="str">
        <f aca="false">IF((E37="g"),G37," ")</f>
        <v> </v>
      </c>
      <c r="P37" s="334" t="str">
        <f aca="false">IF((E37="m"),G37," ")</f>
        <v> </v>
      </c>
      <c r="Q37" s="334" t="str">
        <f aca="false">IF((E37="t"),G37," ")</f>
        <v> </v>
      </c>
      <c r="R37" s="334" t="str">
        <f aca="false">IF((E37="a"),G37," ")</f>
        <v> </v>
      </c>
      <c r="S37" s="334" t="str">
        <f aca="false">IF((E37="l"),G37," ")</f>
        <v> </v>
      </c>
      <c r="T37" s="334" t="str">
        <f aca="false">IF((E37="b"),G37," ")</f>
        <v> </v>
      </c>
      <c r="U37" s="334" t="str">
        <f aca="false">IF((E37="i"),G37," ")</f>
        <v> </v>
      </c>
      <c r="V37" s="334" t="str">
        <f aca="false">IF((E37="o"),G37," ")</f>
        <v> </v>
      </c>
      <c r="W37" s="334" t="str">
        <f aca="false">IF((E37="f"),G37," ")</f>
        <v> </v>
      </c>
    </row>
    <row r="38" customFormat="false" ht="12.75" hidden="false" customHeight="false" outlineLevel="0" collapsed="false">
      <c r="A38" s="355"/>
      <c r="H38" s="338" t="str">
        <f aca="false">IF((G38&lt;&gt;0),IF((D38&gt;0)," ",G38)," ")</f>
        <v> </v>
      </c>
      <c r="I38" s="367" t="str">
        <f aca="false">IF((G38&lt;&gt;0),IF((D38&gt;0)," ",(I$1-A38))," ")</f>
        <v> </v>
      </c>
      <c r="J38" s="334" t="str">
        <f aca="false">IF((E38="s"),G38," ")</f>
        <v> </v>
      </c>
      <c r="K38" s="334" t="str">
        <f aca="false">IF((E38="d"),G38," ")</f>
        <v> </v>
      </c>
      <c r="L38" s="334" t="str">
        <f aca="false">IF((E38="e"),G38," ")</f>
        <v> </v>
      </c>
      <c r="M38" s="334" t="str">
        <f aca="false">IF((E38="p"),G38," ")</f>
        <v> </v>
      </c>
      <c r="N38" s="334" t="str">
        <f aca="false">IF((E38="r"),G38," ")</f>
        <v> </v>
      </c>
      <c r="O38" s="334" t="str">
        <f aca="false">IF((E38="g"),G38," ")</f>
        <v> </v>
      </c>
      <c r="P38" s="334" t="str">
        <f aca="false">IF((E38="m"),G38," ")</f>
        <v> </v>
      </c>
      <c r="Q38" s="334" t="str">
        <f aca="false">IF((E38="t"),G38," ")</f>
        <v> </v>
      </c>
      <c r="R38" s="334" t="str">
        <f aca="false">IF((E38="a"),G38," ")</f>
        <v> </v>
      </c>
      <c r="S38" s="334" t="str">
        <f aca="false">IF((E38="l"),G38," ")</f>
        <v> </v>
      </c>
      <c r="T38" s="334" t="str">
        <f aca="false">IF((E38="b"),G38," ")</f>
        <v> </v>
      </c>
      <c r="U38" s="334" t="str">
        <f aca="false">IF((E38="i"),G38," ")</f>
        <v> </v>
      </c>
      <c r="V38" s="334" t="str">
        <f aca="false">IF((E38="o"),G38," ")</f>
        <v> </v>
      </c>
      <c r="W38" s="334" t="str">
        <f aca="false">IF((E38="f"),G38," ")</f>
        <v> </v>
      </c>
    </row>
    <row r="39" customFormat="false" ht="12.75" hidden="false" customHeight="false" outlineLevel="0" collapsed="false">
      <c r="A39" s="355"/>
      <c r="H39" s="338" t="str">
        <f aca="false">IF((G39&lt;&gt;0),IF((D39&gt;0)," ",G39)," ")</f>
        <v> </v>
      </c>
      <c r="I39" s="367" t="str">
        <f aca="false">IF((G39&lt;&gt;0),IF((D39&gt;0)," ",(I$1-A39))," ")</f>
        <v> </v>
      </c>
      <c r="J39" s="334" t="str">
        <f aca="false">IF((E39="s"),G39," ")</f>
        <v> </v>
      </c>
      <c r="K39" s="334" t="str">
        <f aca="false">IF((E39="d"),G39," ")</f>
        <v> </v>
      </c>
      <c r="L39" s="334" t="str">
        <f aca="false">IF((E39="e"),G39," ")</f>
        <v> </v>
      </c>
      <c r="M39" s="334" t="str">
        <f aca="false">IF((E39="p"),G39," ")</f>
        <v> </v>
      </c>
      <c r="N39" s="334" t="str">
        <f aca="false">IF((E39="r"),G39," ")</f>
        <v> </v>
      </c>
      <c r="O39" s="334" t="str">
        <f aca="false">IF((E39="g"),G39," ")</f>
        <v> </v>
      </c>
      <c r="P39" s="334" t="str">
        <f aca="false">IF((E39="m"),G39," ")</f>
        <v> </v>
      </c>
      <c r="Q39" s="334" t="str">
        <f aca="false">IF((E39="t"),G39," ")</f>
        <v> </v>
      </c>
      <c r="R39" s="334" t="str">
        <f aca="false">IF((E39="a"),G39," ")</f>
        <v> </v>
      </c>
      <c r="S39" s="334" t="str">
        <f aca="false">IF((E39="l"),G39," ")</f>
        <v> </v>
      </c>
      <c r="T39" s="334" t="str">
        <f aca="false">IF((E39="b"),G39," ")</f>
        <v> </v>
      </c>
      <c r="U39" s="334" t="str">
        <f aca="false">IF((E39="i"),G39," ")</f>
        <v> </v>
      </c>
      <c r="V39" s="334" t="str">
        <f aca="false">IF((E39="o"),G39," ")</f>
        <v> </v>
      </c>
      <c r="W39" s="334" t="str">
        <f aca="false">IF((E39="f"),G39," ")</f>
        <v> </v>
      </c>
    </row>
    <row r="40" customFormat="false" ht="12.75" hidden="false" customHeight="false" outlineLevel="0" collapsed="false">
      <c r="A40" s="355"/>
      <c r="H40" s="338" t="str">
        <f aca="false">IF((G40&lt;&gt;0),IF((D40&gt;0)," ",G40)," ")</f>
        <v> </v>
      </c>
      <c r="I40" s="367" t="str">
        <f aca="false">IF((G40&lt;&gt;0),IF((D40&gt;0)," ",(I$1-A40))," ")</f>
        <v> </v>
      </c>
      <c r="J40" s="334" t="str">
        <f aca="false">IF((E40="s"),G40," ")</f>
        <v> </v>
      </c>
      <c r="K40" s="334" t="str">
        <f aca="false">IF((E40="d"),G40," ")</f>
        <v> </v>
      </c>
      <c r="L40" s="334" t="str">
        <f aca="false">IF((E40="e"),G40," ")</f>
        <v> </v>
      </c>
      <c r="M40" s="334" t="str">
        <f aca="false">IF((E40="p"),G40," ")</f>
        <v> </v>
      </c>
      <c r="N40" s="334" t="str">
        <f aca="false">IF((E40="r"),G40," ")</f>
        <v> </v>
      </c>
      <c r="O40" s="334" t="str">
        <f aca="false">IF((E40="g"),G40," ")</f>
        <v> </v>
      </c>
      <c r="P40" s="334" t="str">
        <f aca="false">IF((E40="m"),G40," ")</f>
        <v> </v>
      </c>
      <c r="Q40" s="334" t="str">
        <f aca="false">IF((E40="t"),G40," ")</f>
        <v> </v>
      </c>
      <c r="R40" s="334" t="str">
        <f aca="false">IF((E40="a"),G40," ")</f>
        <v> </v>
      </c>
      <c r="S40" s="334" t="str">
        <f aca="false">IF((E40="l"),G40," ")</f>
        <v> </v>
      </c>
      <c r="T40" s="334" t="str">
        <f aca="false">IF((E40="b"),G40," ")</f>
        <v> </v>
      </c>
      <c r="U40" s="334" t="str">
        <f aca="false">IF((E40="i"),G40," ")</f>
        <v> </v>
      </c>
      <c r="V40" s="334" t="str">
        <f aca="false">IF((E40="o"),G40," ")</f>
        <v> </v>
      </c>
      <c r="W40" s="334" t="str">
        <f aca="false">IF((E40="f"),G40," ")</f>
        <v> </v>
      </c>
    </row>
    <row r="41" customFormat="false" ht="12.75" hidden="false" customHeight="false" outlineLevel="0" collapsed="false">
      <c r="A41" s="355"/>
      <c r="H41" s="338" t="str">
        <f aca="false">IF((G41&lt;&gt;0),IF((D41&gt;0)," ",G41)," ")</f>
        <v> </v>
      </c>
      <c r="I41" s="367" t="str">
        <f aca="false">IF((G41&lt;&gt;0),IF((D41&gt;0)," ",(I$1-A41))," ")</f>
        <v> </v>
      </c>
      <c r="J41" s="334" t="str">
        <f aca="false">IF((E41="s"),G41," ")</f>
        <v> </v>
      </c>
      <c r="K41" s="334" t="str">
        <f aca="false">IF((E41="d"),G41," ")</f>
        <v> </v>
      </c>
      <c r="L41" s="334" t="str">
        <f aca="false">IF((E41="e"),G41," ")</f>
        <v> </v>
      </c>
      <c r="M41" s="334" t="str">
        <f aca="false">IF((E41="p"),G41," ")</f>
        <v> </v>
      </c>
      <c r="N41" s="334" t="str">
        <f aca="false">IF((E41="r"),G41," ")</f>
        <v> </v>
      </c>
      <c r="O41" s="334" t="str">
        <f aca="false">IF((E41="g"),G41," ")</f>
        <v> </v>
      </c>
      <c r="P41" s="334" t="str">
        <f aca="false">IF((E41="m"),G41," ")</f>
        <v> </v>
      </c>
      <c r="Q41" s="334" t="str">
        <f aca="false">IF((E41="t"),G41," ")</f>
        <v> </v>
      </c>
      <c r="R41" s="334" t="str">
        <f aca="false">IF((E41="a"),G41," ")</f>
        <v> </v>
      </c>
      <c r="S41" s="334" t="str">
        <f aca="false">IF((E41="l"),G41," ")</f>
        <v> </v>
      </c>
      <c r="T41" s="334" t="str">
        <f aca="false">IF((E41="b"),G41," ")</f>
        <v> </v>
      </c>
      <c r="U41" s="334" t="str">
        <f aca="false">IF((E41="i"),G41," ")</f>
        <v> </v>
      </c>
      <c r="V41" s="334" t="str">
        <f aca="false">IF((E41="o"),G41," ")</f>
        <v> </v>
      </c>
      <c r="W41" s="334" t="str">
        <f aca="false">IF((E41="f"),G41," ")</f>
        <v> </v>
      </c>
    </row>
    <row r="42" customFormat="false" ht="12.75" hidden="false" customHeight="false" outlineLevel="0" collapsed="false">
      <c r="A42" s="355"/>
      <c r="H42" s="338" t="str">
        <f aca="false">IF((G42&lt;&gt;0),IF((D42&gt;0)," ",G42)," ")</f>
        <v> </v>
      </c>
      <c r="I42" s="367" t="str">
        <f aca="false">IF((G42&lt;&gt;0),IF((D42&gt;0)," ",(I$1-A42))," ")</f>
        <v> </v>
      </c>
      <c r="J42" s="334" t="str">
        <f aca="false">IF((E42="s"),G42," ")</f>
        <v> </v>
      </c>
      <c r="K42" s="334" t="str">
        <f aca="false">IF((E42="d"),G42," ")</f>
        <v> </v>
      </c>
      <c r="L42" s="334" t="str">
        <f aca="false">IF((E42="e"),G42," ")</f>
        <v> </v>
      </c>
      <c r="M42" s="334" t="str">
        <f aca="false">IF((E42="p"),G42," ")</f>
        <v> </v>
      </c>
      <c r="N42" s="334" t="str">
        <f aca="false">IF((E42="r"),G42," ")</f>
        <v> </v>
      </c>
      <c r="O42" s="334" t="str">
        <f aca="false">IF((E42="g"),G42," ")</f>
        <v> </v>
      </c>
      <c r="P42" s="334" t="str">
        <f aca="false">IF((E42="m"),G42," ")</f>
        <v> </v>
      </c>
      <c r="Q42" s="334" t="str">
        <f aca="false">IF((E42="t"),G42," ")</f>
        <v> </v>
      </c>
      <c r="R42" s="334" t="str">
        <f aca="false">IF((E42="a"),G42," ")</f>
        <v> </v>
      </c>
      <c r="S42" s="334" t="str">
        <f aca="false">IF((E42="l"),G42," ")</f>
        <v> </v>
      </c>
      <c r="T42" s="334" t="str">
        <f aca="false">IF((E42="b"),G42," ")</f>
        <v> </v>
      </c>
      <c r="U42" s="334" t="str">
        <f aca="false">IF((E42="i"),G42," ")</f>
        <v> </v>
      </c>
      <c r="V42" s="334" t="str">
        <f aca="false">IF((E42="o"),G42," ")</f>
        <v> </v>
      </c>
      <c r="W42" s="334" t="str">
        <f aca="false">IF((E42="f"),G42," ")</f>
        <v> </v>
      </c>
    </row>
    <row r="43" customFormat="false" ht="12.75" hidden="false" customHeight="false" outlineLevel="0" collapsed="false">
      <c r="A43" s="355"/>
      <c r="H43" s="338" t="str">
        <f aca="false">IF((G43&lt;&gt;0),IF((D43&gt;0)," ",G43)," ")</f>
        <v> </v>
      </c>
      <c r="I43" s="367" t="str">
        <f aca="false">IF((G43&lt;&gt;0),IF((D43&gt;0)," ",(I$1-A43))," ")</f>
        <v> </v>
      </c>
      <c r="J43" s="334" t="str">
        <f aca="false">IF((E43="s"),G43," ")</f>
        <v> </v>
      </c>
      <c r="K43" s="334" t="str">
        <f aca="false">IF((E43="d"),G43," ")</f>
        <v> </v>
      </c>
      <c r="L43" s="334" t="str">
        <f aca="false">IF((E43="e"),G43," ")</f>
        <v> </v>
      </c>
      <c r="M43" s="334" t="str">
        <f aca="false">IF((E43="p"),G43," ")</f>
        <v> </v>
      </c>
      <c r="N43" s="334" t="str">
        <f aca="false">IF((E43="r"),G43," ")</f>
        <v> </v>
      </c>
      <c r="O43" s="334" t="str">
        <f aca="false">IF((E43="g"),G43," ")</f>
        <v> </v>
      </c>
      <c r="P43" s="334" t="str">
        <f aca="false">IF((E43="m"),G43," ")</f>
        <v> </v>
      </c>
      <c r="Q43" s="334" t="str">
        <f aca="false">IF((E43="t"),G43," ")</f>
        <v> </v>
      </c>
      <c r="R43" s="334" t="str">
        <f aca="false">IF((E43="a"),G43," ")</f>
        <v> </v>
      </c>
      <c r="S43" s="334" t="str">
        <f aca="false">IF((E43="l"),G43," ")</f>
        <v> </v>
      </c>
      <c r="T43" s="334" t="str">
        <f aca="false">IF((E43="b"),G43," ")</f>
        <v> </v>
      </c>
      <c r="U43" s="334" t="str">
        <f aca="false">IF((E43="i"),G43," ")</f>
        <v> </v>
      </c>
      <c r="V43" s="334" t="str">
        <f aca="false">IF((E43="o"),G43," ")</f>
        <v> </v>
      </c>
      <c r="W43" s="334" t="str">
        <f aca="false">IF((E43="f"),G43," ")</f>
        <v> </v>
      </c>
    </row>
    <row r="44" customFormat="false" ht="12.75" hidden="false" customHeight="false" outlineLevel="0" collapsed="false">
      <c r="A44" s="355"/>
      <c r="H44" s="338" t="str">
        <f aca="false">IF((G44&lt;&gt;0),IF((D44&gt;0)," ",G44)," ")</f>
        <v> </v>
      </c>
      <c r="I44" s="367" t="str">
        <f aca="false">IF((G44&lt;&gt;0),IF((D44&gt;0)," ",(I$1-A44))," ")</f>
        <v> </v>
      </c>
      <c r="J44" s="334" t="str">
        <f aca="false">IF((E44="s"),G44," ")</f>
        <v> </v>
      </c>
      <c r="K44" s="334" t="str">
        <f aca="false">IF((E44="d"),G44," ")</f>
        <v> </v>
      </c>
      <c r="L44" s="334" t="str">
        <f aca="false">IF((E44="e"),G44," ")</f>
        <v> </v>
      </c>
      <c r="M44" s="334" t="str">
        <f aca="false">IF((E44="p"),G44," ")</f>
        <v> </v>
      </c>
      <c r="N44" s="334" t="str">
        <f aca="false">IF((E44="r"),G44," ")</f>
        <v> </v>
      </c>
      <c r="O44" s="334" t="str">
        <f aca="false">IF((E44="g"),G44," ")</f>
        <v> </v>
      </c>
      <c r="P44" s="334" t="str">
        <f aca="false">IF((E44="m"),G44," ")</f>
        <v> </v>
      </c>
      <c r="Q44" s="334" t="str">
        <f aca="false">IF((E44="t"),G44," ")</f>
        <v> </v>
      </c>
      <c r="R44" s="334" t="str">
        <f aca="false">IF((E44="a"),G44," ")</f>
        <v> </v>
      </c>
      <c r="S44" s="334" t="str">
        <f aca="false">IF((E44="l"),G44," ")</f>
        <v> </v>
      </c>
      <c r="T44" s="334" t="str">
        <f aca="false">IF((E44="b"),G44," ")</f>
        <v> </v>
      </c>
      <c r="U44" s="334" t="str">
        <f aca="false">IF((E44="i"),G44," ")</f>
        <v> </v>
      </c>
      <c r="V44" s="334" t="str">
        <f aca="false">IF((E44="o"),G44," ")</f>
        <v> </v>
      </c>
      <c r="W44" s="334" t="str">
        <f aca="false">IF((E44="f"),G44," ")</f>
        <v> </v>
      </c>
    </row>
    <row r="45" customFormat="false" ht="12.75" hidden="false" customHeight="false" outlineLevel="0" collapsed="false">
      <c r="A45" s="355"/>
      <c r="H45" s="338" t="str">
        <f aca="false">IF((G45&lt;&gt;0),IF((D45&gt;0)," ",G45)," ")</f>
        <v> </v>
      </c>
      <c r="I45" s="367" t="str">
        <f aca="false">IF((G45&lt;&gt;0),IF((D45&gt;0)," ",(I$1-A45))," ")</f>
        <v> </v>
      </c>
      <c r="J45" s="334" t="str">
        <f aca="false">IF((E45="s"),G45," ")</f>
        <v> </v>
      </c>
      <c r="K45" s="334" t="str">
        <f aca="false">IF((E45="d"),G45," ")</f>
        <v> </v>
      </c>
      <c r="L45" s="334" t="str">
        <f aca="false">IF((E45="e"),G45," ")</f>
        <v> </v>
      </c>
      <c r="M45" s="334" t="str">
        <f aca="false">IF((E45="p"),G45," ")</f>
        <v> </v>
      </c>
      <c r="N45" s="334" t="str">
        <f aca="false">IF((E45="r"),G45," ")</f>
        <v> </v>
      </c>
      <c r="O45" s="334" t="str">
        <f aca="false">IF((E45="g"),G45," ")</f>
        <v> </v>
      </c>
      <c r="P45" s="334" t="str">
        <f aca="false">IF((E45="m"),G45," ")</f>
        <v> </v>
      </c>
      <c r="Q45" s="334" t="str">
        <f aca="false">IF((E45="t"),G45," ")</f>
        <v> </v>
      </c>
      <c r="R45" s="334" t="str">
        <f aca="false">IF((E45="a"),G45," ")</f>
        <v> </v>
      </c>
      <c r="S45" s="334" t="str">
        <f aca="false">IF((E45="l"),G45," ")</f>
        <v> </v>
      </c>
      <c r="T45" s="334" t="str">
        <f aca="false">IF((E45="b"),G45," ")</f>
        <v> </v>
      </c>
      <c r="U45" s="334" t="str">
        <f aca="false">IF((E45="i"),G45," ")</f>
        <v> </v>
      </c>
      <c r="V45" s="334" t="str">
        <f aca="false">IF((E45="o"),G45," ")</f>
        <v> </v>
      </c>
      <c r="W45" s="334" t="str">
        <f aca="false">IF((E45="f"),G45," ")</f>
        <v> </v>
      </c>
    </row>
    <row r="46" customFormat="false" ht="12.75" hidden="false" customHeight="false" outlineLevel="0" collapsed="false">
      <c r="A46" s="355"/>
      <c r="H46" s="338" t="str">
        <f aca="false">IF((G46&lt;&gt;0),IF((D46&gt;0)," ",G46)," ")</f>
        <v> </v>
      </c>
      <c r="I46" s="367" t="str">
        <f aca="false">IF((G46&lt;&gt;0),IF((D46&gt;0)," ",(I$1-A46))," ")</f>
        <v> </v>
      </c>
      <c r="J46" s="334" t="str">
        <f aca="false">IF((E46="s"),G46," ")</f>
        <v> </v>
      </c>
      <c r="K46" s="334" t="str">
        <f aca="false">IF((E46="d"),G46," ")</f>
        <v> </v>
      </c>
      <c r="L46" s="334" t="str">
        <f aca="false">IF((E46="e"),G46," ")</f>
        <v> </v>
      </c>
      <c r="M46" s="334" t="str">
        <f aca="false">IF((E46="p"),G46," ")</f>
        <v> </v>
      </c>
      <c r="N46" s="334" t="str">
        <f aca="false">IF((E46="r"),G46," ")</f>
        <v> </v>
      </c>
      <c r="O46" s="334" t="str">
        <f aca="false">IF((E46="g"),G46," ")</f>
        <v> </v>
      </c>
      <c r="P46" s="334" t="str">
        <f aca="false">IF((E46="m"),G46," ")</f>
        <v> </v>
      </c>
      <c r="Q46" s="334" t="str">
        <f aca="false">IF((E46="t"),G46," ")</f>
        <v> </v>
      </c>
      <c r="R46" s="334" t="str">
        <f aca="false">IF((E46="a"),G46," ")</f>
        <v> </v>
      </c>
      <c r="S46" s="334" t="str">
        <f aca="false">IF((E46="l"),G46," ")</f>
        <v> </v>
      </c>
      <c r="T46" s="334" t="str">
        <f aca="false">IF((E46="b"),G46," ")</f>
        <v> </v>
      </c>
      <c r="U46" s="334" t="str">
        <f aca="false">IF((E46="i"),G46," ")</f>
        <v> </v>
      </c>
      <c r="V46" s="334" t="str">
        <f aca="false">IF((E46="o"),G46," ")</f>
        <v> </v>
      </c>
      <c r="W46" s="334" t="str">
        <f aca="false">IF((E46="f"),G46," ")</f>
        <v> </v>
      </c>
    </row>
    <row r="47" customFormat="false" ht="12.75" hidden="false" customHeight="false" outlineLevel="0" collapsed="false">
      <c r="A47" s="355"/>
      <c r="H47" s="338" t="str">
        <f aca="false">IF((G47&lt;&gt;0),IF((D47&gt;0)," ",G47)," ")</f>
        <v> </v>
      </c>
      <c r="I47" s="367" t="str">
        <f aca="false">IF((G47&lt;&gt;0),IF((D47&gt;0)," ",(I$1-A47))," ")</f>
        <v> </v>
      </c>
      <c r="J47" s="334" t="str">
        <f aca="false">IF((E47="s"),G47," ")</f>
        <v> </v>
      </c>
      <c r="K47" s="334" t="str">
        <f aca="false">IF((E47="d"),G47," ")</f>
        <v> </v>
      </c>
      <c r="L47" s="334" t="str">
        <f aca="false">IF((E47="e"),G47," ")</f>
        <v> </v>
      </c>
      <c r="M47" s="334" t="str">
        <f aca="false">IF((E47="p"),G47," ")</f>
        <v> </v>
      </c>
      <c r="N47" s="334" t="str">
        <f aca="false">IF((E47="r"),G47," ")</f>
        <v> </v>
      </c>
      <c r="O47" s="334" t="str">
        <f aca="false">IF((E47="g"),G47," ")</f>
        <v> </v>
      </c>
      <c r="P47" s="334" t="str">
        <f aca="false">IF((E47="m"),G47," ")</f>
        <v> </v>
      </c>
      <c r="Q47" s="334" t="str">
        <f aca="false">IF((E47="t"),G47," ")</f>
        <v> </v>
      </c>
      <c r="R47" s="334" t="str">
        <f aca="false">IF((E47="a"),G47," ")</f>
        <v> </v>
      </c>
      <c r="S47" s="334" t="str">
        <f aca="false">IF((E47="l"),G47," ")</f>
        <v> </v>
      </c>
      <c r="T47" s="334" t="str">
        <f aca="false">IF((E47="b"),G47," ")</f>
        <v> </v>
      </c>
      <c r="U47" s="334" t="str">
        <f aca="false">IF((E47="i"),G47," ")</f>
        <v> </v>
      </c>
      <c r="V47" s="334" t="str">
        <f aca="false">IF((E47="o"),G47," ")</f>
        <v> </v>
      </c>
      <c r="W47" s="334" t="str">
        <f aca="false">IF((E47="f"),G47," ")</f>
        <v> </v>
      </c>
    </row>
    <row r="48" customFormat="false" ht="12.75" hidden="false" customHeight="false" outlineLevel="0" collapsed="false">
      <c r="A48" s="355"/>
      <c r="H48" s="338" t="str">
        <f aca="false">IF((G48&lt;&gt;0),IF((D48&gt;0)," ",G48)," ")</f>
        <v> </v>
      </c>
      <c r="I48" s="367" t="str">
        <f aca="false">IF((G48&lt;&gt;0),IF((D48&gt;0)," ",(I$1-A48))," ")</f>
        <v> </v>
      </c>
      <c r="J48" s="334" t="str">
        <f aca="false">IF((E48="s"),G48," ")</f>
        <v> </v>
      </c>
      <c r="K48" s="334" t="str">
        <f aca="false">IF((E48="d"),G48," ")</f>
        <v> </v>
      </c>
      <c r="L48" s="334" t="str">
        <f aca="false">IF((E48="e"),G48," ")</f>
        <v> </v>
      </c>
      <c r="M48" s="334" t="str">
        <f aca="false">IF((E48="p"),G48," ")</f>
        <v> </v>
      </c>
      <c r="N48" s="334" t="str">
        <f aca="false">IF((E48="r"),G48," ")</f>
        <v> </v>
      </c>
      <c r="O48" s="334" t="str">
        <f aca="false">IF((E48="g"),G48," ")</f>
        <v> </v>
      </c>
      <c r="P48" s="334" t="str">
        <f aca="false">IF((E48="m"),G48," ")</f>
        <v> </v>
      </c>
      <c r="Q48" s="334" t="str">
        <f aca="false">IF((E48="t"),G48," ")</f>
        <v> </v>
      </c>
      <c r="R48" s="334" t="str">
        <f aca="false">IF((E48="a"),G48," ")</f>
        <v> </v>
      </c>
      <c r="S48" s="334" t="str">
        <f aca="false">IF((E48="l"),G48," ")</f>
        <v> </v>
      </c>
      <c r="T48" s="334" t="str">
        <f aca="false">IF((E48="b"),G48," ")</f>
        <v> </v>
      </c>
      <c r="U48" s="334" t="str">
        <f aca="false">IF((E48="i"),G48," ")</f>
        <v> </v>
      </c>
      <c r="V48" s="334" t="str">
        <f aca="false">IF((E48="o"),G48," ")</f>
        <v> </v>
      </c>
      <c r="W48" s="334" t="str">
        <f aca="false">IF((E48="f"),G48," ")</f>
        <v> </v>
      </c>
    </row>
    <row r="49" customFormat="false" ht="12.75" hidden="false" customHeight="false" outlineLevel="0" collapsed="false">
      <c r="A49" s="355"/>
      <c r="H49" s="338" t="str">
        <f aca="false">IF((G49&lt;&gt;0),IF((D49&gt;0)," ",G49)," ")</f>
        <v> </v>
      </c>
      <c r="I49" s="367" t="str">
        <f aca="false">IF((G49&lt;&gt;0),IF((D49&gt;0)," ",(I$1-A49))," ")</f>
        <v> </v>
      </c>
      <c r="J49" s="334" t="str">
        <f aca="false">IF((E49="s"),G49," ")</f>
        <v> </v>
      </c>
      <c r="K49" s="334" t="str">
        <f aca="false">IF((E49="d"),G49," ")</f>
        <v> </v>
      </c>
      <c r="L49" s="334" t="str">
        <f aca="false">IF((E49="e"),G49," ")</f>
        <v> </v>
      </c>
      <c r="M49" s="334" t="str">
        <f aca="false">IF((E49="p"),G49," ")</f>
        <v> </v>
      </c>
      <c r="N49" s="334" t="str">
        <f aca="false">IF((E49="r"),G49," ")</f>
        <v> </v>
      </c>
      <c r="O49" s="334" t="str">
        <f aca="false">IF((E49="g"),G49," ")</f>
        <v> </v>
      </c>
      <c r="P49" s="334" t="str">
        <f aca="false">IF((E49="m"),G49," ")</f>
        <v> </v>
      </c>
      <c r="Q49" s="334" t="str">
        <f aca="false">IF((E49="t"),G49," ")</f>
        <v> </v>
      </c>
      <c r="R49" s="334" t="str">
        <f aca="false">IF((E49="a"),G49," ")</f>
        <v> </v>
      </c>
      <c r="S49" s="334" t="str">
        <f aca="false">IF((E49="l"),G49," ")</f>
        <v> </v>
      </c>
      <c r="T49" s="334" t="str">
        <f aca="false">IF((E49="b"),G49," ")</f>
        <v> </v>
      </c>
      <c r="U49" s="334" t="str">
        <f aca="false">IF((E49="i"),G49," ")</f>
        <v> </v>
      </c>
      <c r="V49" s="334" t="str">
        <f aca="false">IF((E49="o"),G49," ")</f>
        <v> </v>
      </c>
      <c r="W49" s="334" t="str">
        <f aca="false">IF((E49="f"),G49," ")</f>
        <v> </v>
      </c>
    </row>
    <row r="50" customFormat="false" ht="12.75" hidden="false" customHeight="false" outlineLevel="0" collapsed="false">
      <c r="A50" s="355"/>
      <c r="H50" s="338" t="str">
        <f aca="false">IF((G50&lt;&gt;0),IF((D50&gt;0)," ",G50)," ")</f>
        <v> </v>
      </c>
      <c r="I50" s="367" t="str">
        <f aca="false">IF((G50&lt;&gt;0),IF((D50&gt;0)," ",(I$1-A50))," ")</f>
        <v> </v>
      </c>
      <c r="J50" s="334" t="str">
        <f aca="false">IF((E50="s"),G50," ")</f>
        <v> </v>
      </c>
      <c r="K50" s="334" t="str">
        <f aca="false">IF((E50="d"),G50," ")</f>
        <v> </v>
      </c>
      <c r="L50" s="334" t="str">
        <f aca="false">IF((E50="e"),G50," ")</f>
        <v> </v>
      </c>
      <c r="M50" s="334" t="str">
        <f aca="false">IF((E50="p"),G50," ")</f>
        <v> </v>
      </c>
      <c r="N50" s="334" t="str">
        <f aca="false">IF((E50="r"),G50," ")</f>
        <v> </v>
      </c>
      <c r="O50" s="334" t="str">
        <f aca="false">IF((E50="g"),G50," ")</f>
        <v> </v>
      </c>
      <c r="P50" s="334" t="str">
        <f aca="false">IF((E50="m"),G50," ")</f>
        <v> </v>
      </c>
      <c r="Q50" s="334" t="str">
        <f aca="false">IF((E50="t"),G50," ")</f>
        <v> </v>
      </c>
      <c r="R50" s="334" t="str">
        <f aca="false">IF((E50="a"),G50," ")</f>
        <v> </v>
      </c>
      <c r="S50" s="334" t="str">
        <f aca="false">IF((E50="l"),G50," ")</f>
        <v> </v>
      </c>
      <c r="T50" s="334" t="str">
        <f aca="false">IF((E50="b"),G50," ")</f>
        <v> </v>
      </c>
      <c r="U50" s="334" t="str">
        <f aca="false">IF((E50="i"),G50," ")</f>
        <v> </v>
      </c>
      <c r="V50" s="334" t="str">
        <f aca="false">IF((E50="o"),G50," ")</f>
        <v> </v>
      </c>
      <c r="W50" s="334" t="str">
        <f aca="false">IF((E50="f"),G50," ")</f>
        <v> </v>
      </c>
    </row>
    <row r="51" customFormat="false" ht="12.75" hidden="false" customHeight="false" outlineLevel="0" collapsed="false">
      <c r="A51" s="355"/>
      <c r="H51" s="338" t="str">
        <f aca="false">IF((G51&lt;&gt;0),IF((D51&gt;0)," ",G51)," ")</f>
        <v> </v>
      </c>
      <c r="I51" s="367" t="str">
        <f aca="false">IF((G51&lt;&gt;0),IF((D51&gt;0)," ",(I$1-A51))," ")</f>
        <v> </v>
      </c>
      <c r="J51" s="334" t="str">
        <f aca="false">IF((E51="s"),G51," ")</f>
        <v> </v>
      </c>
      <c r="K51" s="334" t="str">
        <f aca="false">IF((E51="d"),G51," ")</f>
        <v> </v>
      </c>
      <c r="L51" s="334" t="str">
        <f aca="false">IF((E51="e"),G51," ")</f>
        <v> </v>
      </c>
      <c r="M51" s="334" t="str">
        <f aca="false">IF((E51="p"),G51," ")</f>
        <v> </v>
      </c>
      <c r="N51" s="334" t="str">
        <f aca="false">IF((E51="r"),G51," ")</f>
        <v> </v>
      </c>
      <c r="O51" s="334" t="str">
        <f aca="false">IF((E51="g"),G51," ")</f>
        <v> </v>
      </c>
      <c r="P51" s="334" t="str">
        <f aca="false">IF((E51="m"),G51," ")</f>
        <v> </v>
      </c>
      <c r="Q51" s="334" t="str">
        <f aca="false">IF((E51="t"),G51," ")</f>
        <v> </v>
      </c>
      <c r="R51" s="334" t="str">
        <f aca="false">IF((E51="a"),G51," ")</f>
        <v> </v>
      </c>
      <c r="S51" s="334" t="str">
        <f aca="false">IF((E51="l"),G51," ")</f>
        <v> </v>
      </c>
      <c r="T51" s="334" t="str">
        <f aca="false">IF((E51="b"),G51," ")</f>
        <v> </v>
      </c>
      <c r="U51" s="334" t="str">
        <f aca="false">IF((E51="i"),G51," ")</f>
        <v> </v>
      </c>
      <c r="V51" s="334" t="str">
        <f aca="false">IF((E51="o"),G51," ")</f>
        <v> </v>
      </c>
      <c r="W51" s="334" t="str">
        <f aca="false">IF((E51="f"),G51," ")</f>
        <v> </v>
      </c>
    </row>
    <row r="52" customFormat="false" ht="12.75" hidden="false" customHeight="false" outlineLevel="0" collapsed="false">
      <c r="A52" s="355"/>
      <c r="H52" s="338" t="str">
        <f aca="false">IF((G52&lt;&gt;0),IF((D52&gt;0)," ",G52)," ")</f>
        <v> </v>
      </c>
      <c r="I52" s="367" t="str">
        <f aca="false">IF((G52&lt;&gt;0),IF((D52&gt;0)," ",(I$1-A52))," ")</f>
        <v> </v>
      </c>
      <c r="J52" s="334" t="str">
        <f aca="false">IF((E52="s"),G52," ")</f>
        <v> </v>
      </c>
      <c r="K52" s="334" t="str">
        <f aca="false">IF((E52="d"),G52," ")</f>
        <v> </v>
      </c>
      <c r="L52" s="334" t="str">
        <f aca="false">IF((E52="e"),G52," ")</f>
        <v> </v>
      </c>
      <c r="M52" s="334" t="str">
        <f aca="false">IF((E52="p"),G52," ")</f>
        <v> </v>
      </c>
      <c r="N52" s="334" t="str">
        <f aca="false">IF((E52="r"),G52," ")</f>
        <v> </v>
      </c>
      <c r="O52" s="334" t="str">
        <f aca="false">IF((E52="g"),G52," ")</f>
        <v> </v>
      </c>
      <c r="P52" s="334" t="str">
        <f aca="false">IF((E52="m"),G52," ")</f>
        <v> </v>
      </c>
      <c r="Q52" s="334" t="str">
        <f aca="false">IF((E52="t"),G52," ")</f>
        <v> </v>
      </c>
      <c r="R52" s="334" t="str">
        <f aca="false">IF((E52="a"),G52," ")</f>
        <v> </v>
      </c>
      <c r="S52" s="334" t="str">
        <f aca="false">IF((E52="l"),G52," ")</f>
        <v> </v>
      </c>
      <c r="T52" s="334" t="str">
        <f aca="false">IF((E52="b"),G52," ")</f>
        <v> </v>
      </c>
      <c r="U52" s="334" t="str">
        <f aca="false">IF((E52="i"),G52," ")</f>
        <v> </v>
      </c>
      <c r="V52" s="334" t="str">
        <f aca="false">IF((E52="o"),G52," ")</f>
        <v> </v>
      </c>
      <c r="W52" s="334" t="str">
        <f aca="false">IF((E52="f"),G52," ")</f>
        <v> </v>
      </c>
    </row>
    <row r="53" customFormat="false" ht="12.75" hidden="false" customHeight="false" outlineLevel="0" collapsed="false">
      <c r="A53" s="355"/>
      <c r="H53" s="338" t="str">
        <f aca="false">IF((G53&lt;&gt;0),IF((D53&gt;0)," ",G53)," ")</f>
        <v> </v>
      </c>
      <c r="I53" s="367" t="str">
        <f aca="false">IF((G53&lt;&gt;0),IF((D53&gt;0)," ",(I$1-A53))," ")</f>
        <v> </v>
      </c>
      <c r="J53" s="334" t="str">
        <f aca="false">IF((E53="s"),G53," ")</f>
        <v> </v>
      </c>
      <c r="K53" s="334" t="str">
        <f aca="false">IF((E53="d"),G53," ")</f>
        <v> </v>
      </c>
      <c r="L53" s="334" t="str">
        <f aca="false">IF((E53="e"),G53," ")</f>
        <v> </v>
      </c>
      <c r="M53" s="334" t="str">
        <f aca="false">IF((E53="p"),G53," ")</f>
        <v> </v>
      </c>
      <c r="N53" s="334" t="str">
        <f aca="false">IF((E53="r"),G53," ")</f>
        <v> </v>
      </c>
      <c r="O53" s="334" t="str">
        <f aca="false">IF((E53="g"),G53," ")</f>
        <v> </v>
      </c>
      <c r="P53" s="334" t="str">
        <f aca="false">IF((E53="m"),G53," ")</f>
        <v> </v>
      </c>
      <c r="Q53" s="334" t="str">
        <f aca="false">IF((E53="t"),G53," ")</f>
        <v> </v>
      </c>
      <c r="R53" s="334" t="str">
        <f aca="false">IF((E53="a"),G53," ")</f>
        <v> </v>
      </c>
      <c r="S53" s="334" t="str">
        <f aca="false">IF((E53="l"),G53," ")</f>
        <v> </v>
      </c>
      <c r="T53" s="334" t="str">
        <f aca="false">IF((E53="b"),G53," ")</f>
        <v> </v>
      </c>
      <c r="U53" s="334" t="str">
        <f aca="false">IF((E53="i"),G53," ")</f>
        <v> </v>
      </c>
      <c r="V53" s="334" t="str">
        <f aca="false">IF((E53="o"),G53," ")</f>
        <v> </v>
      </c>
      <c r="W53" s="334" t="str">
        <f aca="false">IF((E53="f"),G53," ")</f>
        <v> </v>
      </c>
    </row>
    <row r="54" customFormat="false" ht="12.75" hidden="false" customHeight="false" outlineLevel="0" collapsed="false">
      <c r="A54" s="355"/>
      <c r="H54" s="338" t="str">
        <f aca="false">IF((G54&lt;&gt;0),IF((D54&gt;0)," ",G54)," ")</f>
        <v> </v>
      </c>
      <c r="I54" s="367" t="str">
        <f aca="false">IF((G54&lt;&gt;0),IF((D54&gt;0)," ",(I$1-A54))," ")</f>
        <v> </v>
      </c>
      <c r="J54" s="334" t="str">
        <f aca="false">IF((E54="s"),G54," ")</f>
        <v> </v>
      </c>
      <c r="K54" s="334" t="str">
        <f aca="false">IF((E54="d"),G54," ")</f>
        <v> </v>
      </c>
      <c r="L54" s="334" t="str">
        <f aca="false">IF((E54="e"),G54," ")</f>
        <v> </v>
      </c>
      <c r="M54" s="334" t="str">
        <f aca="false">IF((E54="p"),G54," ")</f>
        <v> </v>
      </c>
      <c r="N54" s="334" t="str">
        <f aca="false">IF((E54="r"),G54," ")</f>
        <v> </v>
      </c>
      <c r="O54" s="334" t="str">
        <f aca="false">IF((E54="g"),G54," ")</f>
        <v> </v>
      </c>
      <c r="P54" s="334" t="str">
        <f aca="false">IF((E54="m"),G54," ")</f>
        <v> </v>
      </c>
      <c r="Q54" s="334" t="str">
        <f aca="false">IF((E54="t"),G54," ")</f>
        <v> </v>
      </c>
      <c r="R54" s="334" t="str">
        <f aca="false">IF((E54="a"),G54," ")</f>
        <v> </v>
      </c>
      <c r="S54" s="334" t="str">
        <f aca="false">IF((E54="l"),G54," ")</f>
        <v> </v>
      </c>
      <c r="T54" s="334" t="str">
        <f aca="false">IF((E54="b"),G54," ")</f>
        <v> </v>
      </c>
      <c r="U54" s="334" t="str">
        <f aca="false">IF((E54="i"),G54," ")</f>
        <v> </v>
      </c>
      <c r="V54" s="334" t="str">
        <f aca="false">IF((E54="o"),G54," ")</f>
        <v> </v>
      </c>
      <c r="W54" s="334" t="str">
        <f aca="false">IF((E54="f"),G54," ")</f>
        <v> </v>
      </c>
    </row>
    <row r="55" customFormat="false" ht="12.75" hidden="false" customHeight="false" outlineLevel="0" collapsed="false">
      <c r="A55" s="355"/>
      <c r="H55" s="338" t="str">
        <f aca="false">IF((G55&lt;&gt;0),IF((D55&gt;0)," ",G55)," ")</f>
        <v> </v>
      </c>
      <c r="I55" s="367" t="str">
        <f aca="false">IF((G55&lt;&gt;0),IF((D55&gt;0)," ",(I$1-A55))," ")</f>
        <v> </v>
      </c>
      <c r="J55" s="334" t="str">
        <f aca="false">IF((E55="s"),G55," ")</f>
        <v> </v>
      </c>
      <c r="K55" s="334" t="str">
        <f aca="false">IF((E55="d"),G55," ")</f>
        <v> </v>
      </c>
      <c r="L55" s="334" t="str">
        <f aca="false">IF((E55="e"),G55," ")</f>
        <v> </v>
      </c>
      <c r="M55" s="334" t="str">
        <f aca="false">IF((E55="p"),G55," ")</f>
        <v> </v>
      </c>
      <c r="N55" s="334" t="str">
        <f aca="false">IF((E55="r"),G55," ")</f>
        <v> </v>
      </c>
      <c r="O55" s="334" t="str">
        <f aca="false">IF((E55="g"),G55," ")</f>
        <v> </v>
      </c>
      <c r="P55" s="334" t="str">
        <f aca="false">IF((E55="m"),G55," ")</f>
        <v> </v>
      </c>
      <c r="Q55" s="334" t="str">
        <f aca="false">IF((E55="t"),G55," ")</f>
        <v> </v>
      </c>
      <c r="R55" s="334" t="str">
        <f aca="false">IF((E55="a"),G55," ")</f>
        <v> </v>
      </c>
      <c r="S55" s="334" t="str">
        <f aca="false">IF((E55="l"),G55," ")</f>
        <v> </v>
      </c>
      <c r="T55" s="334" t="str">
        <f aca="false">IF((E55="b"),G55," ")</f>
        <v> </v>
      </c>
      <c r="U55" s="334" t="str">
        <f aca="false">IF((E55="i"),G55," ")</f>
        <v> </v>
      </c>
      <c r="V55" s="334" t="str">
        <f aca="false">IF((E55="o"),G55," ")</f>
        <v> </v>
      </c>
      <c r="W55" s="334" t="str">
        <f aca="false">IF((E55="f"),G55," ")</f>
        <v> </v>
      </c>
    </row>
    <row r="56" customFormat="false" ht="12.75" hidden="false" customHeight="false" outlineLevel="0" collapsed="false">
      <c r="A56" s="355"/>
      <c r="H56" s="338" t="str">
        <f aca="false">IF((G56&lt;&gt;0),IF((D56&gt;0)," ",G56)," ")</f>
        <v> </v>
      </c>
      <c r="I56" s="367" t="str">
        <f aca="false">IF((G56&lt;&gt;0),IF((D56&gt;0)," ",(I$1-A56))," ")</f>
        <v> </v>
      </c>
      <c r="J56" s="334" t="str">
        <f aca="false">IF((E56="s"),G56," ")</f>
        <v> </v>
      </c>
      <c r="K56" s="334" t="str">
        <f aca="false">IF((E56="d"),G56," ")</f>
        <v> </v>
      </c>
      <c r="L56" s="334" t="str">
        <f aca="false">IF((E56="e"),G56," ")</f>
        <v> </v>
      </c>
      <c r="M56" s="334" t="str">
        <f aca="false">IF((E56="p"),G56," ")</f>
        <v> </v>
      </c>
      <c r="N56" s="334" t="str">
        <f aca="false">IF((E56="r"),G56," ")</f>
        <v> </v>
      </c>
      <c r="O56" s="334" t="str">
        <f aca="false">IF((E56="g"),G56," ")</f>
        <v> </v>
      </c>
      <c r="P56" s="334" t="str">
        <f aca="false">IF((E56="m"),G56," ")</f>
        <v> </v>
      </c>
      <c r="Q56" s="334" t="str">
        <f aca="false">IF((E56="t"),G56," ")</f>
        <v> </v>
      </c>
      <c r="R56" s="334" t="str">
        <f aca="false">IF((E56="a"),G56," ")</f>
        <v> </v>
      </c>
      <c r="S56" s="334" t="str">
        <f aca="false">IF((E56="l"),G56," ")</f>
        <v> </v>
      </c>
      <c r="T56" s="334" t="str">
        <f aca="false">IF((E56="b"),G56," ")</f>
        <v> </v>
      </c>
      <c r="U56" s="334" t="str">
        <f aca="false">IF((E56="i"),G56," ")</f>
        <v> </v>
      </c>
      <c r="V56" s="334" t="str">
        <f aca="false">IF((E56="o"),G56," ")</f>
        <v> </v>
      </c>
      <c r="W56" s="334" t="str">
        <f aca="false">IF((E56="f"),G56," ")</f>
        <v> </v>
      </c>
    </row>
    <row r="57" customFormat="false" ht="12.75" hidden="false" customHeight="false" outlineLevel="0" collapsed="false">
      <c r="A57" s="355"/>
      <c r="H57" s="338" t="str">
        <f aca="false">IF((G57&lt;&gt;0),IF((D57&gt;0)," ",G57)," ")</f>
        <v> </v>
      </c>
      <c r="I57" s="367" t="str">
        <f aca="false">IF((G57&lt;&gt;0),IF((D57&gt;0)," ",(I$1-A57))," ")</f>
        <v> </v>
      </c>
      <c r="J57" s="334" t="str">
        <f aca="false">IF((E57="s"),G57," ")</f>
        <v> </v>
      </c>
      <c r="K57" s="334" t="str">
        <f aca="false">IF((E57="d"),G57," ")</f>
        <v> </v>
      </c>
      <c r="L57" s="334" t="str">
        <f aca="false">IF((E57="e"),G57," ")</f>
        <v> </v>
      </c>
      <c r="M57" s="334" t="str">
        <f aca="false">IF((E57="p"),G57," ")</f>
        <v> </v>
      </c>
      <c r="N57" s="334" t="str">
        <f aca="false">IF((E57="r"),G57," ")</f>
        <v> </v>
      </c>
      <c r="O57" s="334" t="str">
        <f aca="false">IF((E57="g"),G57," ")</f>
        <v> </v>
      </c>
      <c r="P57" s="334" t="str">
        <f aca="false">IF((E57="m"),G57," ")</f>
        <v> </v>
      </c>
      <c r="Q57" s="334" t="str">
        <f aca="false">IF((E57="t"),G57," ")</f>
        <v> </v>
      </c>
      <c r="R57" s="334" t="str">
        <f aca="false">IF((E57="a"),G57," ")</f>
        <v> </v>
      </c>
      <c r="S57" s="334" t="str">
        <f aca="false">IF((E57="l"),G57," ")</f>
        <v> </v>
      </c>
      <c r="T57" s="334" t="str">
        <f aca="false">IF((E57="b"),G57," ")</f>
        <v> </v>
      </c>
      <c r="U57" s="334" t="str">
        <f aca="false">IF((E57="i"),G57," ")</f>
        <v> </v>
      </c>
      <c r="V57" s="334" t="str">
        <f aca="false">IF((E57="o"),G57," ")</f>
        <v> </v>
      </c>
      <c r="W57" s="334" t="str">
        <f aca="false">IF((E57="f"),G57," ")</f>
        <v> </v>
      </c>
    </row>
    <row r="58" customFormat="false" ht="12.75" hidden="false" customHeight="false" outlineLevel="0" collapsed="false">
      <c r="A58" s="355"/>
      <c r="H58" s="338" t="str">
        <f aca="false">IF((G58&lt;&gt;0),IF((D58&gt;0)," ",G58)," ")</f>
        <v> </v>
      </c>
      <c r="I58" s="367" t="str">
        <f aca="false">IF((G58&lt;&gt;0),IF((D58&gt;0)," ",(I$1-A58))," ")</f>
        <v> </v>
      </c>
      <c r="J58" s="334" t="str">
        <f aca="false">IF((E58="s"),G58," ")</f>
        <v> </v>
      </c>
      <c r="K58" s="334" t="str">
        <f aca="false">IF((E58="d"),G58," ")</f>
        <v> </v>
      </c>
      <c r="L58" s="334" t="str">
        <f aca="false">IF((E58="e"),G58," ")</f>
        <v> </v>
      </c>
      <c r="M58" s="334" t="str">
        <f aca="false">IF((E58="p"),G58," ")</f>
        <v> </v>
      </c>
      <c r="N58" s="334" t="str">
        <f aca="false">IF((E58="r"),G58," ")</f>
        <v> </v>
      </c>
      <c r="O58" s="334" t="str">
        <f aca="false">IF((E58="g"),G58," ")</f>
        <v> </v>
      </c>
      <c r="P58" s="334" t="str">
        <f aca="false">IF((E58="m"),G58," ")</f>
        <v> </v>
      </c>
      <c r="Q58" s="334" t="str">
        <f aca="false">IF((E58="t"),G58," ")</f>
        <v> </v>
      </c>
      <c r="R58" s="334" t="str">
        <f aca="false">IF((E58="a"),G58," ")</f>
        <v> </v>
      </c>
      <c r="S58" s="334" t="str">
        <f aca="false">IF((E58="l"),G58," ")</f>
        <v> </v>
      </c>
      <c r="T58" s="334" t="str">
        <f aca="false">IF((E58="b"),G58," ")</f>
        <v> </v>
      </c>
      <c r="U58" s="334" t="str">
        <f aca="false">IF((E58="i"),G58," ")</f>
        <v> </v>
      </c>
      <c r="V58" s="334" t="str">
        <f aca="false">IF((E58="o"),G58," ")</f>
        <v> </v>
      </c>
      <c r="W58" s="334" t="str">
        <f aca="false">IF((E58="f"),G58," ")</f>
        <v> </v>
      </c>
    </row>
    <row r="59" customFormat="false" ht="12.75" hidden="false" customHeight="false" outlineLevel="0" collapsed="false">
      <c r="A59" s="355"/>
      <c r="H59" s="338" t="str">
        <f aca="false">IF((G59&lt;&gt;0),IF((D59&gt;0)," ",G59)," ")</f>
        <v> </v>
      </c>
      <c r="I59" s="367" t="str">
        <f aca="false">IF((G59&lt;&gt;0),IF((D59&gt;0)," ",(I$1-A59))," ")</f>
        <v> </v>
      </c>
      <c r="J59" s="334" t="str">
        <f aca="false">IF((E59="s"),G59," ")</f>
        <v> </v>
      </c>
      <c r="K59" s="334" t="str">
        <f aca="false">IF((E59="d"),G59," ")</f>
        <v> </v>
      </c>
      <c r="L59" s="334" t="str">
        <f aca="false">IF((E59="e"),G59," ")</f>
        <v> </v>
      </c>
      <c r="M59" s="334" t="str">
        <f aca="false">IF((E59="p"),G59," ")</f>
        <v> </v>
      </c>
      <c r="N59" s="334" t="str">
        <f aca="false">IF((E59="r"),G59," ")</f>
        <v> </v>
      </c>
      <c r="O59" s="334" t="str">
        <f aca="false">IF((E59="g"),G59," ")</f>
        <v> </v>
      </c>
      <c r="P59" s="334" t="str">
        <f aca="false">IF((E59="m"),G59," ")</f>
        <v> </v>
      </c>
      <c r="Q59" s="334" t="str">
        <f aca="false">IF((E59="t"),G59," ")</f>
        <v> </v>
      </c>
      <c r="R59" s="334" t="str">
        <f aca="false">IF((E59="a"),G59," ")</f>
        <v> </v>
      </c>
      <c r="S59" s="334" t="str">
        <f aca="false">IF((E59="l"),G59," ")</f>
        <v> </v>
      </c>
      <c r="T59" s="334" t="str">
        <f aca="false">IF((E59="b"),G59," ")</f>
        <v> </v>
      </c>
      <c r="U59" s="334" t="str">
        <f aca="false">IF((E59="i"),G59," ")</f>
        <v> </v>
      </c>
      <c r="V59" s="334" t="str">
        <f aca="false">IF((E59="o"),G59," ")</f>
        <v> </v>
      </c>
      <c r="W59" s="334" t="str">
        <f aca="false">IF((E59="f"),G59," ")</f>
        <v> </v>
      </c>
    </row>
    <row r="60" customFormat="false" ht="12.75" hidden="false" customHeight="false" outlineLevel="0" collapsed="false">
      <c r="A60" s="355"/>
      <c r="H60" s="338" t="str">
        <f aca="false">IF((G60&lt;&gt;0),IF((D60&gt;0)," ",G60)," ")</f>
        <v> </v>
      </c>
      <c r="I60" s="367" t="str">
        <f aca="false">IF((G60&lt;&gt;0),IF((D60&gt;0)," ",(I$1-A60))," ")</f>
        <v> </v>
      </c>
      <c r="J60" s="334" t="str">
        <f aca="false">IF((E60="s"),G60," ")</f>
        <v> </v>
      </c>
      <c r="K60" s="334" t="str">
        <f aca="false">IF((E60="d"),G60," ")</f>
        <v> </v>
      </c>
      <c r="L60" s="334" t="str">
        <f aca="false">IF((E60="e"),G60," ")</f>
        <v> </v>
      </c>
      <c r="M60" s="334" t="str">
        <f aca="false">IF((E60="p"),G60," ")</f>
        <v> </v>
      </c>
      <c r="N60" s="334" t="str">
        <f aca="false">IF((E60="r"),G60," ")</f>
        <v> </v>
      </c>
      <c r="O60" s="334" t="str">
        <f aca="false">IF((E60="g"),G60," ")</f>
        <v> </v>
      </c>
      <c r="P60" s="334" t="str">
        <f aca="false">IF((E60="m"),G60," ")</f>
        <v> </v>
      </c>
      <c r="Q60" s="334" t="str">
        <f aca="false">IF((E60="t"),G60," ")</f>
        <v> </v>
      </c>
      <c r="R60" s="334" t="str">
        <f aca="false">IF((E60="a"),G60," ")</f>
        <v> </v>
      </c>
      <c r="S60" s="334" t="str">
        <f aca="false">IF((E60="l"),G60," ")</f>
        <v> </v>
      </c>
      <c r="T60" s="334" t="str">
        <f aca="false">IF((E60="b"),G60," ")</f>
        <v> </v>
      </c>
      <c r="U60" s="334" t="str">
        <f aca="false">IF((E60="i"),G60," ")</f>
        <v> </v>
      </c>
      <c r="V60" s="334" t="str">
        <f aca="false">IF((E60="o"),G60," ")</f>
        <v> </v>
      </c>
      <c r="W60" s="334" t="str">
        <f aca="false">IF((E60="f"),G60," ")</f>
        <v> </v>
      </c>
    </row>
    <row r="61" customFormat="false" ht="12.75" hidden="false" customHeight="false" outlineLevel="0" collapsed="false">
      <c r="A61" s="355"/>
      <c r="H61" s="338" t="str">
        <f aca="false">IF((G61&lt;&gt;0),IF((D61&gt;0)," ",G61)," ")</f>
        <v> </v>
      </c>
      <c r="I61" s="367" t="str">
        <f aca="false">IF((G61&lt;&gt;0),IF((D61&gt;0)," ",(I$1-A61))," ")</f>
        <v> </v>
      </c>
      <c r="J61" s="334" t="str">
        <f aca="false">IF((E61="s"),G61," ")</f>
        <v> </v>
      </c>
      <c r="K61" s="334" t="str">
        <f aca="false">IF((E61="d"),G61," ")</f>
        <v> </v>
      </c>
      <c r="L61" s="334" t="str">
        <f aca="false">IF((E61="e"),G61," ")</f>
        <v> </v>
      </c>
      <c r="M61" s="334" t="str">
        <f aca="false">IF((E61="p"),G61," ")</f>
        <v> </v>
      </c>
      <c r="N61" s="334" t="str">
        <f aca="false">IF((E61="r"),G61," ")</f>
        <v> </v>
      </c>
      <c r="O61" s="334" t="str">
        <f aca="false">IF((E61="g"),G61," ")</f>
        <v> </v>
      </c>
      <c r="P61" s="334" t="str">
        <f aca="false">IF((E61="m"),G61," ")</f>
        <v> </v>
      </c>
      <c r="Q61" s="334" t="str">
        <f aca="false">IF((E61="t"),G61," ")</f>
        <v> </v>
      </c>
      <c r="R61" s="334" t="str">
        <f aca="false">IF((E61="a"),G61," ")</f>
        <v> </v>
      </c>
      <c r="S61" s="334" t="str">
        <f aca="false">IF((E61="l"),G61," ")</f>
        <v> </v>
      </c>
      <c r="T61" s="334" t="str">
        <f aca="false">IF((E61="b"),G61," ")</f>
        <v> </v>
      </c>
      <c r="U61" s="334" t="str">
        <f aca="false">IF((E61="i"),G61," ")</f>
        <v> </v>
      </c>
      <c r="V61" s="334" t="str">
        <f aca="false">IF((E61="o"),G61," ")</f>
        <v> </v>
      </c>
      <c r="W61" s="334" t="str">
        <f aca="false">IF((E61="f"),G61," ")</f>
        <v> </v>
      </c>
    </row>
    <row r="62" customFormat="false" ht="12.75" hidden="false" customHeight="false" outlineLevel="0" collapsed="false">
      <c r="A62" s="355"/>
      <c r="H62" s="338" t="str">
        <f aca="false">IF((G62&lt;&gt;0),IF((D62&gt;0)," ",G62)," ")</f>
        <v> </v>
      </c>
      <c r="I62" s="367" t="str">
        <f aca="false">IF((G62&lt;&gt;0),IF((D62&gt;0)," ",(I$1-A62))," ")</f>
        <v> </v>
      </c>
      <c r="J62" s="334" t="str">
        <f aca="false">IF((E62="s"),G62," ")</f>
        <v> </v>
      </c>
      <c r="K62" s="334" t="str">
        <f aca="false">IF((E62="d"),G62," ")</f>
        <v> </v>
      </c>
      <c r="L62" s="334" t="str">
        <f aca="false">IF((E62="e"),G62," ")</f>
        <v> </v>
      </c>
      <c r="M62" s="334" t="str">
        <f aca="false">IF((E62="p"),G62," ")</f>
        <v> </v>
      </c>
      <c r="N62" s="334" t="str">
        <f aca="false">IF((E62="r"),G62," ")</f>
        <v> </v>
      </c>
      <c r="O62" s="334" t="str">
        <f aca="false">IF((E62="g"),G62," ")</f>
        <v> </v>
      </c>
      <c r="P62" s="334" t="str">
        <f aca="false">IF((E62="m"),G62," ")</f>
        <v> </v>
      </c>
      <c r="Q62" s="334" t="str">
        <f aca="false">IF((E62="t"),G62," ")</f>
        <v> </v>
      </c>
      <c r="R62" s="334" t="str">
        <f aca="false">IF((E62="a"),G62," ")</f>
        <v> </v>
      </c>
      <c r="S62" s="334" t="str">
        <f aca="false">IF((E62="l"),G62," ")</f>
        <v> </v>
      </c>
      <c r="T62" s="334" t="str">
        <f aca="false">IF((E62="b"),G62," ")</f>
        <v> </v>
      </c>
      <c r="U62" s="334" t="str">
        <f aca="false">IF((E62="i"),G62," ")</f>
        <v> </v>
      </c>
      <c r="V62" s="334" t="str">
        <f aca="false">IF((E62="o"),G62," ")</f>
        <v> </v>
      </c>
      <c r="W62" s="334" t="str">
        <f aca="false">IF((E62="f"),G62," ")</f>
        <v> </v>
      </c>
    </row>
    <row r="63" customFormat="false" ht="12.75" hidden="false" customHeight="false" outlineLevel="0" collapsed="false">
      <c r="A63" s="355"/>
      <c r="H63" s="338" t="str">
        <f aca="false">IF((G63&lt;&gt;0),IF((D63&gt;0)," ",G63)," ")</f>
        <v> </v>
      </c>
      <c r="I63" s="367" t="str">
        <f aca="false">IF((G63&lt;&gt;0),IF((D63&gt;0)," ",(I$1-A63))," ")</f>
        <v> </v>
      </c>
      <c r="J63" s="334" t="str">
        <f aca="false">IF((E63="s"),G63," ")</f>
        <v> </v>
      </c>
      <c r="K63" s="334" t="str">
        <f aca="false">IF((E63="d"),G63," ")</f>
        <v> </v>
      </c>
      <c r="L63" s="334" t="str">
        <f aca="false">IF((E63="e"),G63," ")</f>
        <v> </v>
      </c>
      <c r="M63" s="334" t="str">
        <f aca="false">IF((E63="p"),G63," ")</f>
        <v> </v>
      </c>
      <c r="N63" s="334" t="str">
        <f aca="false">IF((E63="r"),G63," ")</f>
        <v> </v>
      </c>
      <c r="O63" s="334" t="str">
        <f aca="false">IF((E63="g"),G63," ")</f>
        <v> </v>
      </c>
      <c r="P63" s="334" t="str">
        <f aca="false">IF((E63="m"),G63," ")</f>
        <v> </v>
      </c>
      <c r="Q63" s="334" t="str">
        <f aca="false">IF((E63="t"),G63," ")</f>
        <v> </v>
      </c>
      <c r="R63" s="334" t="str">
        <f aca="false">IF((E63="a"),G63," ")</f>
        <v> </v>
      </c>
      <c r="S63" s="334" t="str">
        <f aca="false">IF((E63="l"),G63," ")</f>
        <v> </v>
      </c>
      <c r="T63" s="334" t="str">
        <f aca="false">IF((E63="b"),G63," ")</f>
        <v> </v>
      </c>
      <c r="U63" s="334" t="str">
        <f aca="false">IF((E63="i"),G63," ")</f>
        <v> </v>
      </c>
      <c r="V63" s="334" t="str">
        <f aca="false">IF((E63="o"),G63," ")</f>
        <v> </v>
      </c>
      <c r="W63" s="334" t="str">
        <f aca="false">IF((E63="f"),G63," ")</f>
        <v> </v>
      </c>
    </row>
    <row r="64" customFormat="false" ht="12.75" hidden="false" customHeight="false" outlineLevel="0" collapsed="false">
      <c r="A64" s="355"/>
      <c r="H64" s="338" t="str">
        <f aca="false">IF((G64&lt;&gt;0),IF((D64&gt;0)," ",G64)," ")</f>
        <v> </v>
      </c>
      <c r="I64" s="367" t="str">
        <f aca="false">IF((G64&lt;&gt;0),IF((D64&gt;0)," ",(I$1-A64))," ")</f>
        <v> </v>
      </c>
      <c r="J64" s="334" t="str">
        <f aca="false">IF((E64="s"),G64," ")</f>
        <v> </v>
      </c>
      <c r="K64" s="334" t="str">
        <f aca="false">IF((E64="d"),G64," ")</f>
        <v> </v>
      </c>
      <c r="L64" s="334" t="str">
        <f aca="false">IF((E64="e"),G64," ")</f>
        <v> </v>
      </c>
      <c r="M64" s="334" t="str">
        <f aca="false">IF((E64="p"),G64," ")</f>
        <v> </v>
      </c>
      <c r="N64" s="334" t="str">
        <f aca="false">IF((E64="r"),G64," ")</f>
        <v> </v>
      </c>
      <c r="O64" s="334" t="str">
        <f aca="false">IF((E64="g"),G64," ")</f>
        <v> </v>
      </c>
      <c r="P64" s="334" t="str">
        <f aca="false">IF((E64="m"),G64," ")</f>
        <v> </v>
      </c>
      <c r="Q64" s="334" t="str">
        <f aca="false">IF((E64="t"),G64," ")</f>
        <v> </v>
      </c>
      <c r="R64" s="334" t="str">
        <f aca="false">IF((E64="a"),G64," ")</f>
        <v> </v>
      </c>
      <c r="S64" s="334" t="str">
        <f aca="false">IF((E64="l"),G64," ")</f>
        <v> </v>
      </c>
      <c r="T64" s="334" t="str">
        <f aca="false">IF((E64="b"),G64," ")</f>
        <v> </v>
      </c>
      <c r="U64" s="334" t="str">
        <f aca="false">IF((E64="i"),G64," ")</f>
        <v> </v>
      </c>
      <c r="V64" s="334" t="str">
        <f aca="false">IF((E64="o"),G64," ")</f>
        <v> </v>
      </c>
      <c r="W64" s="334" t="str">
        <f aca="false">IF((E64="f"),G64," ")</f>
        <v> </v>
      </c>
    </row>
    <row r="65" customFormat="false" ht="12.75" hidden="false" customHeight="false" outlineLevel="0" collapsed="false">
      <c r="A65" s="355"/>
      <c r="H65" s="338" t="str">
        <f aca="false">IF((G65&lt;&gt;0),IF((D65&gt;0)," ",G65)," ")</f>
        <v> </v>
      </c>
      <c r="I65" s="367" t="str">
        <f aca="false">IF((G65&lt;&gt;0),IF((D65&gt;0)," ",(I$1-A65))," ")</f>
        <v> </v>
      </c>
      <c r="J65" s="334" t="str">
        <f aca="false">IF((E65="s"),G65," ")</f>
        <v> </v>
      </c>
      <c r="K65" s="334" t="str">
        <f aca="false">IF((E65="d"),G65," ")</f>
        <v> </v>
      </c>
      <c r="L65" s="334" t="str">
        <f aca="false">IF((E65="e"),G65," ")</f>
        <v> </v>
      </c>
      <c r="M65" s="334" t="str">
        <f aca="false">IF((E65="p"),G65," ")</f>
        <v> </v>
      </c>
      <c r="N65" s="334" t="str">
        <f aca="false">IF((E65="r"),G65," ")</f>
        <v> </v>
      </c>
      <c r="O65" s="334" t="str">
        <f aca="false">IF((E65="g"),G65," ")</f>
        <v> </v>
      </c>
      <c r="P65" s="334" t="str">
        <f aca="false">IF((E65="m"),G65," ")</f>
        <v> </v>
      </c>
      <c r="Q65" s="334" t="str">
        <f aca="false">IF((E65="t"),G65," ")</f>
        <v> </v>
      </c>
      <c r="R65" s="334" t="str">
        <f aca="false">IF((E65="a"),G65," ")</f>
        <v> </v>
      </c>
      <c r="S65" s="334" t="str">
        <f aca="false">IF((E65="l"),G65," ")</f>
        <v> </v>
      </c>
      <c r="T65" s="334" t="str">
        <f aca="false">IF((E65="b"),G65," ")</f>
        <v> </v>
      </c>
      <c r="U65" s="334" t="str">
        <f aca="false">IF((E65="i"),G65," ")</f>
        <v> </v>
      </c>
      <c r="V65" s="334" t="str">
        <f aca="false">IF((E65="o"),G65," ")</f>
        <v> </v>
      </c>
      <c r="W65" s="334" t="str">
        <f aca="false">IF((E65="f"),G65," ")</f>
        <v> </v>
      </c>
    </row>
    <row r="66" customFormat="false" ht="12.75" hidden="false" customHeight="false" outlineLevel="0" collapsed="false">
      <c r="A66" s="355"/>
      <c r="H66" s="338" t="str">
        <f aca="false">IF((G66&lt;&gt;0),IF((D66&gt;0)," ",G66)," ")</f>
        <v> </v>
      </c>
      <c r="I66" s="367" t="str">
        <f aca="false">IF((G66&lt;&gt;0),IF((D66&gt;0)," ",(I$1-A66))," ")</f>
        <v> </v>
      </c>
      <c r="J66" s="334" t="str">
        <f aca="false">IF((E66="s"),G66," ")</f>
        <v> </v>
      </c>
      <c r="K66" s="334" t="str">
        <f aca="false">IF((E66="d"),G66," ")</f>
        <v> </v>
      </c>
      <c r="L66" s="334" t="str">
        <f aca="false">IF((E66="e"),G66," ")</f>
        <v> </v>
      </c>
      <c r="M66" s="334" t="str">
        <f aca="false">IF((E66="p"),G66," ")</f>
        <v> </v>
      </c>
      <c r="N66" s="334" t="str">
        <f aca="false">IF((E66="r"),G66," ")</f>
        <v> </v>
      </c>
      <c r="O66" s="334" t="str">
        <f aca="false">IF((E66="g"),G66," ")</f>
        <v> </v>
      </c>
      <c r="P66" s="334" t="str">
        <f aca="false">IF((E66="m"),G66," ")</f>
        <v> </v>
      </c>
      <c r="Q66" s="334" t="str">
        <f aca="false">IF((E66="t"),G66," ")</f>
        <v> </v>
      </c>
      <c r="R66" s="334" t="str">
        <f aca="false">IF((E66="a"),G66," ")</f>
        <v> </v>
      </c>
      <c r="S66" s="334" t="str">
        <f aca="false">IF((E66="l"),G66," ")</f>
        <v> </v>
      </c>
      <c r="T66" s="334" t="str">
        <f aca="false">IF((E66="b"),G66," ")</f>
        <v> </v>
      </c>
      <c r="U66" s="334" t="str">
        <f aca="false">IF((E66="i"),G66," ")</f>
        <v> </v>
      </c>
      <c r="V66" s="334" t="str">
        <f aca="false">IF((E66="o"),G66," ")</f>
        <v> </v>
      </c>
      <c r="W66" s="334" t="str">
        <f aca="false">IF((E66="f"),G66," ")</f>
        <v> </v>
      </c>
    </row>
    <row r="67" customFormat="false" ht="12.75" hidden="false" customHeight="false" outlineLevel="0" collapsed="false">
      <c r="A67" s="355"/>
      <c r="H67" s="338" t="str">
        <f aca="false">IF((G67&lt;&gt;0),IF((D67&gt;0)," ",G67)," ")</f>
        <v> </v>
      </c>
      <c r="I67" s="367" t="str">
        <f aca="false">IF((G67&lt;&gt;0),IF((D67&gt;0)," ",(I$1-A67))," ")</f>
        <v> </v>
      </c>
      <c r="J67" s="334" t="str">
        <f aca="false">IF((E67="s"),G67," ")</f>
        <v> </v>
      </c>
      <c r="K67" s="334" t="str">
        <f aca="false">IF((E67="d"),G67," ")</f>
        <v> </v>
      </c>
      <c r="L67" s="334" t="str">
        <f aca="false">IF((E67="e"),G67," ")</f>
        <v> </v>
      </c>
      <c r="M67" s="334" t="str">
        <f aca="false">IF((E67="p"),G67," ")</f>
        <v> </v>
      </c>
      <c r="N67" s="334" t="str">
        <f aca="false">IF((E67="r"),G67," ")</f>
        <v> </v>
      </c>
      <c r="O67" s="334" t="str">
        <f aca="false">IF((E67="g"),G67," ")</f>
        <v> </v>
      </c>
      <c r="P67" s="334" t="str">
        <f aca="false">IF((E67="m"),G67," ")</f>
        <v> </v>
      </c>
      <c r="Q67" s="334" t="str">
        <f aca="false">IF((E67="t"),G67," ")</f>
        <v> </v>
      </c>
      <c r="R67" s="334" t="str">
        <f aca="false">IF((E67="a"),G67," ")</f>
        <v> </v>
      </c>
      <c r="S67" s="334" t="str">
        <f aca="false">IF((E67="l"),G67," ")</f>
        <v> </v>
      </c>
      <c r="T67" s="334" t="str">
        <f aca="false">IF((E67="b"),G67," ")</f>
        <v> </v>
      </c>
      <c r="U67" s="334" t="str">
        <f aca="false">IF((E67="i"),G67," ")</f>
        <v> </v>
      </c>
      <c r="V67" s="334" t="str">
        <f aca="false">IF((E67="o"),G67," ")</f>
        <v> </v>
      </c>
      <c r="W67" s="334" t="str">
        <f aca="false">IF((E67="f"),G67," ")</f>
        <v> </v>
      </c>
    </row>
    <row r="68" customFormat="false" ht="12.75" hidden="false" customHeight="false" outlineLevel="0" collapsed="false">
      <c r="A68" s="355"/>
      <c r="H68" s="338" t="str">
        <f aca="false">IF((G68&lt;&gt;0),IF((D68&gt;0)," ",G68)," ")</f>
        <v> </v>
      </c>
      <c r="I68" s="367" t="str">
        <f aca="false">IF((G68&lt;&gt;0),IF((D68&gt;0)," ",(I$1-A68))," ")</f>
        <v> </v>
      </c>
      <c r="J68" s="334" t="str">
        <f aca="false">IF((E68="s"),G68," ")</f>
        <v> </v>
      </c>
      <c r="K68" s="334" t="str">
        <f aca="false">IF((E68="d"),G68," ")</f>
        <v> </v>
      </c>
      <c r="L68" s="334" t="str">
        <f aca="false">IF((E68="e"),G68," ")</f>
        <v> </v>
      </c>
      <c r="M68" s="334" t="str">
        <f aca="false">IF((E68="p"),G68," ")</f>
        <v> </v>
      </c>
      <c r="N68" s="334" t="str">
        <f aca="false">IF((E68="r"),G68," ")</f>
        <v> </v>
      </c>
      <c r="O68" s="334" t="str">
        <f aca="false">IF((E68="g"),G68," ")</f>
        <v> </v>
      </c>
      <c r="P68" s="334" t="str">
        <f aca="false">IF((E68="m"),G68," ")</f>
        <v> </v>
      </c>
      <c r="Q68" s="334" t="str">
        <f aca="false">IF((E68="t"),G68," ")</f>
        <v> </v>
      </c>
      <c r="R68" s="334" t="str">
        <f aca="false">IF((E68="a"),G68," ")</f>
        <v> </v>
      </c>
      <c r="S68" s="334" t="str">
        <f aca="false">IF((E68="l"),G68," ")</f>
        <v> </v>
      </c>
      <c r="T68" s="334" t="str">
        <f aca="false">IF((E68="b"),G68," ")</f>
        <v> </v>
      </c>
      <c r="U68" s="334" t="str">
        <f aca="false">IF((E68="i"),G68," ")</f>
        <v> </v>
      </c>
      <c r="V68" s="334" t="str">
        <f aca="false">IF((E68="o"),G68," ")</f>
        <v> </v>
      </c>
      <c r="W68" s="334" t="str">
        <f aca="false">IF((E68="f"),G68," ")</f>
        <v> </v>
      </c>
    </row>
    <row r="69" customFormat="false" ht="12.75" hidden="false" customHeight="false" outlineLevel="0" collapsed="false">
      <c r="A69" s="355"/>
      <c r="E69" s="365" t="str">
        <f aca="false">IF((G69&lt;&gt;0),"Enter Letter"," ")</f>
        <v> </v>
      </c>
      <c r="H69" s="338" t="str">
        <f aca="false">IF((G69&lt;&gt;0),IF((D69&gt;0)," ",G69)," ")</f>
        <v> </v>
      </c>
      <c r="I69" s="367" t="str">
        <f aca="false">IF((G69&lt;&gt;0),IF((D69&gt;0)," ",(I$1-A69))," ")</f>
        <v> </v>
      </c>
      <c r="J69" s="334" t="str">
        <f aca="false">IF((E69="s"),G69," ")</f>
        <v> </v>
      </c>
      <c r="K69" s="334" t="str">
        <f aca="false">IF((E69="d"),G69," ")</f>
        <v> </v>
      </c>
      <c r="L69" s="334" t="str">
        <f aca="false">IF((E69="e"),G69," ")</f>
        <v> </v>
      </c>
      <c r="M69" s="334" t="str">
        <f aca="false">IF((E69="p"),G69," ")</f>
        <v> </v>
      </c>
      <c r="N69" s="334" t="str">
        <f aca="false">IF((E69="r"),G69," ")</f>
        <v> </v>
      </c>
      <c r="O69" s="334" t="str">
        <f aca="false">IF((E69="g"),G69," ")</f>
        <v> </v>
      </c>
      <c r="P69" s="334" t="str">
        <f aca="false">IF((E69="m"),G69," ")</f>
        <v> </v>
      </c>
      <c r="Q69" s="334" t="str">
        <f aca="false">IF((E69="t"),G69," ")</f>
        <v> </v>
      </c>
      <c r="R69" s="334" t="str">
        <f aca="false">IF((E69="a"),G69," ")</f>
        <v> </v>
      </c>
      <c r="S69" s="334" t="str">
        <f aca="false">IF((E69="l"),G69," ")</f>
        <v> </v>
      </c>
      <c r="T69" s="334" t="str">
        <f aca="false">IF((E69="b"),G69," ")</f>
        <v> </v>
      </c>
      <c r="U69" s="334" t="str">
        <f aca="false">IF((E69="i"),G69," ")</f>
        <v> </v>
      </c>
      <c r="V69" s="334" t="str">
        <f aca="false">IF((E69="o"),G69," ")</f>
        <v> </v>
      </c>
      <c r="W69" s="334" t="str">
        <f aca="false">IF((E69="f"),G69," ")</f>
        <v> </v>
      </c>
    </row>
    <row r="70" customFormat="false" ht="12.75" hidden="false" customHeight="false" outlineLevel="0" collapsed="false">
      <c r="A70" s="355"/>
      <c r="E70" s="365" t="str">
        <f aca="false">IF((G70&lt;&gt;0),"Enter Letter"," ")</f>
        <v> </v>
      </c>
      <c r="H70" s="338" t="str">
        <f aca="false">IF((G70&lt;&gt;0),IF((D70&gt;0)," ",G70)," ")</f>
        <v> </v>
      </c>
      <c r="I70" s="367" t="str">
        <f aca="false">IF((G70&lt;&gt;0),IF((D70&gt;0)," ",(I$1-A70))," ")</f>
        <v> </v>
      </c>
      <c r="J70" s="334" t="str">
        <f aca="false">IF((E70="s"),G70," ")</f>
        <v> </v>
      </c>
      <c r="K70" s="334" t="str">
        <f aca="false">IF((E70="d"),G70," ")</f>
        <v> </v>
      </c>
      <c r="L70" s="334" t="str">
        <f aca="false">IF((E70="e"),G70," ")</f>
        <v> </v>
      </c>
      <c r="M70" s="334" t="str">
        <f aca="false">IF((E70="p"),G70," ")</f>
        <v> </v>
      </c>
      <c r="N70" s="334" t="str">
        <f aca="false">IF((E70="r"),G70," ")</f>
        <v> </v>
      </c>
      <c r="O70" s="334" t="str">
        <f aca="false">IF((E70="g"),G70," ")</f>
        <v> </v>
      </c>
      <c r="P70" s="334" t="str">
        <f aca="false">IF((E70="m"),G70," ")</f>
        <v> </v>
      </c>
      <c r="Q70" s="334" t="str">
        <f aca="false">IF((E70="t"),G70," ")</f>
        <v> </v>
      </c>
      <c r="R70" s="334" t="str">
        <f aca="false">IF((E70="a"),G70," ")</f>
        <v> </v>
      </c>
      <c r="S70" s="334" t="str">
        <f aca="false">IF((E70="l"),G70," ")</f>
        <v> </v>
      </c>
      <c r="T70" s="334" t="str">
        <f aca="false">IF((E70="b"),G70," ")</f>
        <v> </v>
      </c>
      <c r="U70" s="334" t="str">
        <f aca="false">IF((E70="i"),G70," ")</f>
        <v> </v>
      </c>
      <c r="V70" s="334" t="str">
        <f aca="false">IF((E70="o"),G70," ")</f>
        <v> </v>
      </c>
      <c r="W70" s="334" t="str">
        <f aca="false">IF((E70="f"),G70," ")</f>
        <v> </v>
      </c>
    </row>
    <row r="71" customFormat="false" ht="12.75" hidden="false" customHeight="false" outlineLevel="0" collapsed="false">
      <c r="A71" s="355"/>
      <c r="E71" s="365" t="str">
        <f aca="false">IF((G71&lt;&gt;0),"Enter Letter"," ")</f>
        <v> </v>
      </c>
      <c r="H71" s="338" t="str">
        <f aca="false">IF((G71&lt;&gt;0),IF((D71&gt;0)," ",G71)," ")</f>
        <v> </v>
      </c>
      <c r="I71" s="367" t="str">
        <f aca="false">IF((G71&lt;&gt;0),IF((D71&gt;0)," ",(I$1-A71))," ")</f>
        <v> </v>
      </c>
      <c r="J71" s="334" t="str">
        <f aca="false">IF((E71="s"),G71," ")</f>
        <v> </v>
      </c>
      <c r="K71" s="334" t="str">
        <f aca="false">IF((E71="d"),G71," ")</f>
        <v> </v>
      </c>
      <c r="L71" s="334" t="str">
        <f aca="false">IF((E71="e"),G71," ")</f>
        <v> </v>
      </c>
      <c r="M71" s="334" t="str">
        <f aca="false">IF((E71="p"),G71," ")</f>
        <v> </v>
      </c>
      <c r="N71" s="334" t="str">
        <f aca="false">IF((E71="r"),G71," ")</f>
        <v> </v>
      </c>
      <c r="O71" s="334" t="str">
        <f aca="false">IF((E71="g"),G71," ")</f>
        <v> </v>
      </c>
      <c r="P71" s="334" t="str">
        <f aca="false">IF((E71="m"),G71," ")</f>
        <v> </v>
      </c>
      <c r="Q71" s="334" t="str">
        <f aca="false">IF((E71="t"),G71," ")</f>
        <v> </v>
      </c>
      <c r="R71" s="334" t="str">
        <f aca="false">IF((E71="a"),G71," ")</f>
        <v> </v>
      </c>
      <c r="S71" s="334" t="str">
        <f aca="false">IF((E71="l"),G71," ")</f>
        <v> </v>
      </c>
      <c r="T71" s="334" t="str">
        <f aca="false">IF((E71="b"),G71," ")</f>
        <v> </v>
      </c>
      <c r="U71" s="334" t="str">
        <f aca="false">IF((E71="i"),G71," ")</f>
        <v> </v>
      </c>
      <c r="V71" s="334" t="str">
        <f aca="false">IF((E71="o"),G71," ")</f>
        <v> </v>
      </c>
      <c r="W71" s="334" t="str">
        <f aca="false">IF((E71="f"),G71," ")</f>
        <v> </v>
      </c>
    </row>
    <row r="72" customFormat="false" ht="12.75" hidden="false" customHeight="false" outlineLevel="0" collapsed="false">
      <c r="A72" s="355"/>
      <c r="E72" s="365" t="str">
        <f aca="false">IF((G72&lt;&gt;0),"Enter Letter"," ")</f>
        <v> </v>
      </c>
      <c r="H72" s="338" t="str">
        <f aca="false">IF((G72&lt;&gt;0),IF((D72&gt;0)," ",G72)," ")</f>
        <v> </v>
      </c>
      <c r="I72" s="367" t="str">
        <f aca="false">IF((G72&lt;&gt;0),IF((D72&gt;0)," ",(I$1-A72))," ")</f>
        <v> </v>
      </c>
      <c r="J72" s="334" t="str">
        <f aca="false">IF((E72="s"),G72," ")</f>
        <v> </v>
      </c>
      <c r="K72" s="334" t="str">
        <f aca="false">IF((E72="d"),G72," ")</f>
        <v> </v>
      </c>
      <c r="L72" s="334" t="str">
        <f aca="false">IF((E72="e"),G72," ")</f>
        <v> </v>
      </c>
      <c r="M72" s="334" t="str">
        <f aca="false">IF((E72="p"),G72," ")</f>
        <v> </v>
      </c>
      <c r="N72" s="334" t="str">
        <f aca="false">IF((E72="r"),G72," ")</f>
        <v> </v>
      </c>
      <c r="O72" s="334" t="str">
        <f aca="false">IF((E72="g"),G72," ")</f>
        <v> </v>
      </c>
      <c r="P72" s="334" t="str">
        <f aca="false">IF((E72="m"),G72," ")</f>
        <v> </v>
      </c>
      <c r="Q72" s="334" t="str">
        <f aca="false">IF((E72="t"),G72," ")</f>
        <v> </v>
      </c>
      <c r="R72" s="334" t="str">
        <f aca="false">IF((E72="a"),G72," ")</f>
        <v> </v>
      </c>
      <c r="S72" s="334" t="str">
        <f aca="false">IF((E72="l"),G72," ")</f>
        <v> </v>
      </c>
      <c r="T72" s="334" t="str">
        <f aca="false">IF((E72="b"),G72," ")</f>
        <v> </v>
      </c>
      <c r="U72" s="334" t="str">
        <f aca="false">IF((E72="i"),G72," ")</f>
        <v> </v>
      </c>
      <c r="V72" s="334" t="str">
        <f aca="false">IF((E72="o"),G72," ")</f>
        <v> </v>
      </c>
      <c r="W72" s="334" t="str">
        <f aca="false">IF((E72="f"),G72," ")</f>
        <v> </v>
      </c>
    </row>
    <row r="73" customFormat="false" ht="12.75" hidden="false" customHeight="false" outlineLevel="0" collapsed="false">
      <c r="A73" s="355"/>
      <c r="E73" s="365" t="str">
        <f aca="false">IF((G73&lt;&gt;0),"Enter Letter"," ")</f>
        <v> </v>
      </c>
      <c r="H73" s="338" t="str">
        <f aca="false">IF((G73&lt;&gt;0),IF((D73&gt;0)," ",G73)," ")</f>
        <v> </v>
      </c>
      <c r="I73" s="367" t="str">
        <f aca="false">IF((G73&lt;&gt;0),IF((D73&gt;0)," ",(I$1-A73))," ")</f>
        <v> </v>
      </c>
      <c r="J73" s="334" t="str">
        <f aca="false">IF((E73="s"),G73," ")</f>
        <v> </v>
      </c>
      <c r="K73" s="334" t="str">
        <f aca="false">IF((E73="d"),G73," ")</f>
        <v> </v>
      </c>
      <c r="L73" s="334" t="str">
        <f aca="false">IF((E73="e"),G73," ")</f>
        <v> </v>
      </c>
      <c r="M73" s="334" t="str">
        <f aca="false">IF((E73="p"),G73," ")</f>
        <v> </v>
      </c>
      <c r="N73" s="334" t="str">
        <f aca="false">IF((E73="r"),G73," ")</f>
        <v> </v>
      </c>
      <c r="O73" s="334" t="str">
        <f aca="false">IF((E73="g"),G73," ")</f>
        <v> </v>
      </c>
      <c r="P73" s="334" t="str">
        <f aca="false">IF((E73="m"),G73," ")</f>
        <v> </v>
      </c>
      <c r="Q73" s="334" t="str">
        <f aca="false">IF((E73="t"),G73," ")</f>
        <v> </v>
      </c>
      <c r="R73" s="334" t="str">
        <f aca="false">IF((E73="a"),G73," ")</f>
        <v> </v>
      </c>
      <c r="S73" s="334" t="str">
        <f aca="false">IF((E73="l"),G73," ")</f>
        <v> </v>
      </c>
      <c r="T73" s="334" t="str">
        <f aca="false">IF((E73="b"),G73," ")</f>
        <v> </v>
      </c>
      <c r="U73" s="334" t="str">
        <f aca="false">IF((E73="i"),G73," ")</f>
        <v> </v>
      </c>
      <c r="V73" s="334" t="str">
        <f aca="false">IF((E73="o"),G73," ")</f>
        <v> </v>
      </c>
      <c r="W73" s="334" t="str">
        <f aca="false">IF((E73="f"),G73," ")</f>
        <v> </v>
      </c>
    </row>
    <row r="74" customFormat="false" ht="12.75" hidden="false" customHeight="false" outlineLevel="0" collapsed="false">
      <c r="A74" s="355"/>
      <c r="E74" s="365" t="str">
        <f aca="false">IF((G74&lt;&gt;0),"Enter Letter"," ")</f>
        <v> </v>
      </c>
      <c r="H74" s="338" t="str">
        <f aca="false">IF((G74&lt;&gt;0),IF((D74&gt;0)," ",G74)," ")</f>
        <v> </v>
      </c>
      <c r="I74" s="367" t="str">
        <f aca="false">IF((G74&lt;&gt;0),IF((D74&gt;0)," ",(I$1-A74))," ")</f>
        <v> </v>
      </c>
      <c r="J74" s="334" t="str">
        <f aca="false">IF((E74="s"),G74," ")</f>
        <v> </v>
      </c>
      <c r="K74" s="334" t="str">
        <f aca="false">IF((E74="d"),G74," ")</f>
        <v> </v>
      </c>
      <c r="L74" s="334" t="str">
        <f aca="false">IF((E74="e"),G74," ")</f>
        <v> </v>
      </c>
      <c r="M74" s="334" t="str">
        <f aca="false">IF((E74="p"),G74," ")</f>
        <v> </v>
      </c>
      <c r="N74" s="334" t="str">
        <f aca="false">IF((E74="r"),G74," ")</f>
        <v> </v>
      </c>
      <c r="O74" s="334" t="str">
        <f aca="false">IF((E74="g"),G74," ")</f>
        <v> </v>
      </c>
      <c r="P74" s="334" t="str">
        <f aca="false">IF((E74="m"),G74," ")</f>
        <v> </v>
      </c>
      <c r="Q74" s="334" t="str">
        <f aca="false">IF((E74="t"),G74," ")</f>
        <v> </v>
      </c>
      <c r="R74" s="334" t="str">
        <f aca="false">IF((E74="a"),G74," ")</f>
        <v> </v>
      </c>
      <c r="S74" s="334" t="str">
        <f aca="false">IF((E74="l"),G74," ")</f>
        <v> </v>
      </c>
      <c r="T74" s="334" t="str">
        <f aca="false">IF((E74="b"),G74," ")</f>
        <v> </v>
      </c>
      <c r="U74" s="334" t="str">
        <f aca="false">IF((E74="i"),G74," ")</f>
        <v> </v>
      </c>
      <c r="V74" s="334" t="str">
        <f aca="false">IF((E74="o"),G74," ")</f>
        <v> </v>
      </c>
      <c r="W74" s="334" t="str">
        <f aca="false">IF((E74="f"),G74," ")</f>
        <v> </v>
      </c>
    </row>
    <row r="75" customFormat="false" ht="12.75" hidden="false" customHeight="false" outlineLevel="0" collapsed="false">
      <c r="A75" s="355"/>
      <c r="E75" s="365" t="str">
        <f aca="false">IF((G75&lt;&gt;0),"Enter Letter"," ")</f>
        <v> </v>
      </c>
      <c r="H75" s="338" t="str">
        <f aca="false">IF((G75&lt;&gt;0),IF((D75&gt;0)," ",G75)," ")</f>
        <v> </v>
      </c>
      <c r="I75" s="367" t="str">
        <f aca="false">IF((G75&lt;&gt;0),IF((D75&gt;0)," ",(I$1-A75))," ")</f>
        <v> </v>
      </c>
      <c r="J75" s="334" t="str">
        <f aca="false">IF((E75="s"),G75," ")</f>
        <v> </v>
      </c>
      <c r="K75" s="334" t="str">
        <f aca="false">IF((E75="d"),G75," ")</f>
        <v> </v>
      </c>
      <c r="L75" s="334" t="str">
        <f aca="false">IF((E75="e"),G75," ")</f>
        <v> </v>
      </c>
      <c r="M75" s="334" t="str">
        <f aca="false">IF((E75="p"),G75," ")</f>
        <v> </v>
      </c>
      <c r="N75" s="334" t="str">
        <f aca="false">IF((E75="r"),G75," ")</f>
        <v> </v>
      </c>
      <c r="O75" s="334" t="str">
        <f aca="false">IF((E75="g"),G75," ")</f>
        <v> </v>
      </c>
      <c r="P75" s="334" t="str">
        <f aca="false">IF((E75="m"),G75," ")</f>
        <v> </v>
      </c>
      <c r="Q75" s="334" t="str">
        <f aca="false">IF((E75="t"),G75," ")</f>
        <v> </v>
      </c>
      <c r="R75" s="334" t="str">
        <f aca="false">IF((E75="a"),G75," ")</f>
        <v> </v>
      </c>
      <c r="S75" s="334" t="str">
        <f aca="false">IF((E75="l"),G75," ")</f>
        <v> </v>
      </c>
      <c r="T75" s="334" t="str">
        <f aca="false">IF((E75="b"),G75," ")</f>
        <v> </v>
      </c>
      <c r="U75" s="334" t="str">
        <f aca="false">IF((E75="i"),G75," ")</f>
        <v> </v>
      </c>
      <c r="V75" s="334" t="str">
        <f aca="false">IF((E75="o"),G75," ")</f>
        <v> </v>
      </c>
      <c r="W75" s="334" t="str">
        <f aca="false">IF((E75="f"),G75," ")</f>
        <v> </v>
      </c>
    </row>
    <row r="76" customFormat="false" ht="12.75" hidden="false" customHeight="false" outlineLevel="0" collapsed="false">
      <c r="A76" s="355"/>
      <c r="E76" s="365" t="str">
        <f aca="false">IF((G76&lt;&gt;0),"Enter Letter"," ")</f>
        <v> </v>
      </c>
      <c r="H76" s="338" t="str">
        <f aca="false">IF((G76&lt;&gt;0),IF((D76&gt;0)," ",G76)," ")</f>
        <v> </v>
      </c>
      <c r="I76" s="367" t="str">
        <f aca="false">IF((G76&lt;&gt;0),IF((D76&gt;0)," ",(I$1-A76))," ")</f>
        <v> </v>
      </c>
      <c r="J76" s="334" t="str">
        <f aca="false">IF((E76="s"),G76," ")</f>
        <v> </v>
      </c>
      <c r="K76" s="334" t="str">
        <f aca="false">IF((E76="d"),G76," ")</f>
        <v> </v>
      </c>
      <c r="L76" s="334" t="str">
        <f aca="false">IF((E76="e"),G76," ")</f>
        <v> </v>
      </c>
      <c r="M76" s="334" t="str">
        <f aca="false">IF((E76="p"),G76," ")</f>
        <v> </v>
      </c>
      <c r="N76" s="334" t="str">
        <f aca="false">IF((E76="r"),G76," ")</f>
        <v> </v>
      </c>
      <c r="O76" s="334" t="str">
        <f aca="false">IF((E76="g"),G76," ")</f>
        <v> </v>
      </c>
      <c r="P76" s="334" t="str">
        <f aca="false">IF((E76="m"),G76," ")</f>
        <v> </v>
      </c>
      <c r="Q76" s="334" t="str">
        <f aca="false">IF((E76="t"),G76," ")</f>
        <v> </v>
      </c>
      <c r="R76" s="334" t="str">
        <f aca="false">IF((E76="a"),G76," ")</f>
        <v> </v>
      </c>
      <c r="S76" s="334" t="str">
        <f aca="false">IF((E76="l"),G76," ")</f>
        <v> </v>
      </c>
      <c r="T76" s="334" t="str">
        <f aca="false">IF((E76="b"),G76," ")</f>
        <v> </v>
      </c>
      <c r="U76" s="334" t="str">
        <f aca="false">IF((E76="i"),G76," ")</f>
        <v> </v>
      </c>
      <c r="V76" s="334" t="str">
        <f aca="false">IF((E76="o"),G76," ")</f>
        <v> </v>
      </c>
      <c r="W76" s="334" t="str">
        <f aca="false">IF((E76="f"),G76," ")</f>
        <v> </v>
      </c>
    </row>
    <row r="77" customFormat="false" ht="12.75" hidden="false" customHeight="false" outlineLevel="0" collapsed="false">
      <c r="A77" s="355"/>
      <c r="E77" s="365" t="str">
        <f aca="false">IF((G77&lt;&gt;0),"Enter Letter"," ")</f>
        <v> </v>
      </c>
      <c r="H77" s="338" t="str">
        <f aca="false">IF((G77&lt;&gt;0),IF((D77&gt;0)," ",G77)," ")</f>
        <v> </v>
      </c>
      <c r="I77" s="367" t="str">
        <f aca="false">IF((G77&lt;&gt;0),IF((D77&gt;0)," ",(I$1-A77))," ")</f>
        <v> </v>
      </c>
      <c r="J77" s="334" t="str">
        <f aca="false">IF((E77="s"),G77," ")</f>
        <v> </v>
      </c>
      <c r="K77" s="334" t="str">
        <f aca="false">IF((E77="d"),G77," ")</f>
        <v> </v>
      </c>
      <c r="L77" s="334" t="str">
        <f aca="false">IF((E77="e"),G77," ")</f>
        <v> </v>
      </c>
      <c r="M77" s="334" t="str">
        <f aca="false">IF((E77="p"),G77," ")</f>
        <v> </v>
      </c>
      <c r="N77" s="334" t="str">
        <f aca="false">IF((E77="r"),G77," ")</f>
        <v> </v>
      </c>
      <c r="O77" s="334" t="str">
        <f aca="false">IF((E77="g"),G77," ")</f>
        <v> </v>
      </c>
      <c r="P77" s="334" t="str">
        <f aca="false">IF((E77="m"),G77," ")</f>
        <v> </v>
      </c>
      <c r="Q77" s="334" t="str">
        <f aca="false">IF((E77="t"),G77," ")</f>
        <v> </v>
      </c>
      <c r="R77" s="334" t="str">
        <f aca="false">IF((E77="a"),G77," ")</f>
        <v> </v>
      </c>
      <c r="S77" s="334" t="str">
        <f aca="false">IF((E77="l"),G77," ")</f>
        <v> </v>
      </c>
      <c r="T77" s="334" t="str">
        <f aca="false">IF((E77="b"),G77," ")</f>
        <v> </v>
      </c>
      <c r="U77" s="334" t="str">
        <f aca="false">IF((E77="i"),G77," ")</f>
        <v> </v>
      </c>
      <c r="V77" s="334" t="str">
        <f aca="false">IF((E77="o"),G77," ")</f>
        <v> </v>
      </c>
      <c r="W77" s="334" t="str">
        <f aca="false">IF((E77="f"),G77," ")</f>
        <v> </v>
      </c>
    </row>
    <row r="78" customFormat="false" ht="12.75" hidden="false" customHeight="false" outlineLevel="0" collapsed="false">
      <c r="A78" s="355"/>
      <c r="E78" s="365" t="str">
        <f aca="false">IF((G78&lt;&gt;0),"Enter Letter"," ")</f>
        <v> </v>
      </c>
      <c r="H78" s="338" t="str">
        <f aca="false">IF((G78&lt;&gt;0),IF((D78&gt;0)," ",G78)," ")</f>
        <v> </v>
      </c>
      <c r="I78" s="367" t="str">
        <f aca="false">IF((G78&lt;&gt;0),IF((D78&gt;0)," ",(I$1-A78))," ")</f>
        <v> </v>
      </c>
      <c r="J78" s="334" t="str">
        <f aca="false">IF((E78="s"),G78," ")</f>
        <v> </v>
      </c>
      <c r="K78" s="334" t="str">
        <f aca="false">IF((E78="d"),G78," ")</f>
        <v> </v>
      </c>
      <c r="L78" s="334" t="str">
        <f aca="false">IF((E78="e"),G78," ")</f>
        <v> </v>
      </c>
      <c r="M78" s="334" t="str">
        <f aca="false">IF((E78="p"),G78," ")</f>
        <v> </v>
      </c>
      <c r="N78" s="334" t="str">
        <f aca="false">IF((E78="r"),G78," ")</f>
        <v> </v>
      </c>
      <c r="O78" s="334" t="str">
        <f aca="false">IF((E78="g"),G78," ")</f>
        <v> </v>
      </c>
      <c r="P78" s="334" t="str">
        <f aca="false">IF((E78="m"),G78," ")</f>
        <v> </v>
      </c>
      <c r="Q78" s="334" t="str">
        <f aca="false">IF((E78="t"),G78," ")</f>
        <v> </v>
      </c>
      <c r="R78" s="334" t="str">
        <f aca="false">IF((E78="a"),G78," ")</f>
        <v> </v>
      </c>
      <c r="S78" s="334" t="str">
        <f aca="false">IF((E78="l"),G78," ")</f>
        <v> </v>
      </c>
      <c r="T78" s="334" t="str">
        <f aca="false">IF((E78="b"),G78," ")</f>
        <v> </v>
      </c>
      <c r="U78" s="334" t="str">
        <f aca="false">IF((E78="i"),G78," ")</f>
        <v> </v>
      </c>
      <c r="V78" s="334" t="str">
        <f aca="false">IF((E78="o"),G78," ")</f>
        <v> </v>
      </c>
      <c r="W78" s="334" t="str">
        <f aca="false">IF((E78="f"),G78," ")</f>
        <v> </v>
      </c>
    </row>
    <row r="79" customFormat="false" ht="12.75" hidden="false" customHeight="false" outlineLevel="0" collapsed="false">
      <c r="A79" s="355"/>
      <c r="E79" s="365" t="str">
        <f aca="false">IF((G79&lt;&gt;0),"Enter Letter"," ")</f>
        <v> </v>
      </c>
      <c r="H79" s="338" t="str">
        <f aca="false">IF((G79&lt;&gt;0),IF((D79&gt;0)," ",G79)," ")</f>
        <v> </v>
      </c>
      <c r="I79" s="367" t="str">
        <f aca="false">IF((G79&lt;&gt;0),IF((D79&gt;0)," ",(I$1-A79))," ")</f>
        <v> </v>
      </c>
      <c r="J79" s="334" t="str">
        <f aca="false">IF((E79="s"),G79," ")</f>
        <v> </v>
      </c>
      <c r="K79" s="334" t="str">
        <f aca="false">IF((E79="d"),G79," ")</f>
        <v> </v>
      </c>
      <c r="L79" s="334" t="str">
        <f aca="false">IF((E79="e"),G79," ")</f>
        <v> </v>
      </c>
      <c r="M79" s="334" t="str">
        <f aca="false">IF((E79="p"),G79," ")</f>
        <v> </v>
      </c>
      <c r="N79" s="334" t="str">
        <f aca="false">IF((E79="r"),G79," ")</f>
        <v> </v>
      </c>
      <c r="O79" s="334" t="str">
        <f aca="false">IF((E79="g"),G79," ")</f>
        <v> </v>
      </c>
      <c r="P79" s="334" t="str">
        <f aca="false">IF((E79="m"),G79," ")</f>
        <v> </v>
      </c>
      <c r="Q79" s="334" t="str">
        <f aca="false">IF((E79="t"),G79," ")</f>
        <v> </v>
      </c>
      <c r="R79" s="334" t="str">
        <f aca="false">IF((E79="a"),G79," ")</f>
        <v> </v>
      </c>
      <c r="S79" s="334" t="str">
        <f aca="false">IF((E79="l"),G79," ")</f>
        <v> </v>
      </c>
      <c r="T79" s="334" t="str">
        <f aca="false">IF((E79="b"),G79," ")</f>
        <v> </v>
      </c>
      <c r="U79" s="334" t="str">
        <f aca="false">IF((E79="i"),G79," ")</f>
        <v> </v>
      </c>
      <c r="V79" s="334" t="str">
        <f aca="false">IF((E79="o"),G79," ")</f>
        <v> </v>
      </c>
      <c r="W79" s="334" t="str">
        <f aca="false">IF((E79="f"),G79," ")</f>
        <v> </v>
      </c>
    </row>
    <row r="80" customFormat="false" ht="12.75" hidden="false" customHeight="false" outlineLevel="0" collapsed="false">
      <c r="A80" s="355"/>
      <c r="E80" s="365" t="str">
        <f aca="false">IF((G80&lt;&gt;0),"Enter Letter"," ")</f>
        <v> </v>
      </c>
      <c r="H80" s="338" t="str">
        <f aca="false">IF((G80&lt;&gt;0),IF((D80&gt;0)," ",G80)," ")</f>
        <v> </v>
      </c>
      <c r="I80" s="367" t="str">
        <f aca="false">IF((G80&lt;&gt;0),IF((D80&gt;0)," ",(I$1-A80))," ")</f>
        <v> </v>
      </c>
      <c r="J80" s="334" t="str">
        <f aca="false">IF((E80="s"),G80," ")</f>
        <v> </v>
      </c>
      <c r="K80" s="334" t="str">
        <f aca="false">IF((E80="d"),G80," ")</f>
        <v> </v>
      </c>
      <c r="L80" s="334" t="str">
        <f aca="false">IF((E80="e"),G80," ")</f>
        <v> </v>
      </c>
      <c r="M80" s="334" t="str">
        <f aca="false">IF((E80="p"),G80," ")</f>
        <v> </v>
      </c>
      <c r="N80" s="334" t="str">
        <f aca="false">IF((E80="r"),G80," ")</f>
        <v> </v>
      </c>
      <c r="O80" s="334" t="str">
        <f aca="false">IF((E80="g"),G80," ")</f>
        <v> </v>
      </c>
      <c r="P80" s="334" t="str">
        <f aca="false">IF((E80="m"),G80," ")</f>
        <v> </v>
      </c>
      <c r="Q80" s="334" t="str">
        <f aca="false">IF((E80="t"),G80," ")</f>
        <v> </v>
      </c>
      <c r="R80" s="334" t="str">
        <f aca="false">IF((E80="a"),G80," ")</f>
        <v> </v>
      </c>
      <c r="S80" s="334" t="str">
        <f aca="false">IF((E80="l"),G80," ")</f>
        <v> </v>
      </c>
      <c r="T80" s="334" t="str">
        <f aca="false">IF((E80="b"),G80," ")</f>
        <v> </v>
      </c>
      <c r="U80" s="334" t="str">
        <f aca="false">IF((E80="i"),G80," ")</f>
        <v> </v>
      </c>
      <c r="V80" s="334" t="str">
        <f aca="false">IF((E80="o"),G80," ")</f>
        <v> </v>
      </c>
      <c r="W80" s="334" t="str">
        <f aca="false">IF((E80="f"),G80," ")</f>
        <v> </v>
      </c>
    </row>
    <row r="81" customFormat="false" ht="12.75" hidden="false" customHeight="false" outlineLevel="0" collapsed="false">
      <c r="A81" s="355"/>
      <c r="E81" s="365" t="str">
        <f aca="false">IF((G81&lt;&gt;0),"Enter Letter"," ")</f>
        <v> </v>
      </c>
      <c r="H81" s="338" t="str">
        <f aca="false">IF((G81&lt;&gt;0),IF((D81&gt;0)," ",G81)," ")</f>
        <v> </v>
      </c>
      <c r="I81" s="367" t="str">
        <f aca="false">IF((G81&lt;&gt;0),IF((D81&gt;0)," ",(I$1-A81))," ")</f>
        <v> </v>
      </c>
      <c r="J81" s="334" t="str">
        <f aca="false">IF((E81="s"),G81," ")</f>
        <v> </v>
      </c>
      <c r="K81" s="334" t="str">
        <f aca="false">IF((E81="d"),G81," ")</f>
        <v> </v>
      </c>
      <c r="L81" s="334" t="str">
        <f aca="false">IF((E81="e"),G81," ")</f>
        <v> </v>
      </c>
      <c r="M81" s="334" t="str">
        <f aca="false">IF((E81="p"),G81," ")</f>
        <v> </v>
      </c>
      <c r="N81" s="334" t="str">
        <f aca="false">IF((E81="r"),G81," ")</f>
        <v> </v>
      </c>
      <c r="O81" s="334" t="str">
        <f aca="false">IF((E81="g"),G81," ")</f>
        <v> </v>
      </c>
      <c r="P81" s="334" t="str">
        <f aca="false">IF((E81="m"),G81," ")</f>
        <v> </v>
      </c>
      <c r="Q81" s="334" t="str">
        <f aca="false">IF((E81="t"),G81," ")</f>
        <v> </v>
      </c>
      <c r="R81" s="334" t="str">
        <f aca="false">IF((E81="a"),G81," ")</f>
        <v> </v>
      </c>
      <c r="S81" s="334" t="str">
        <f aca="false">IF((E81="l"),G81," ")</f>
        <v> </v>
      </c>
      <c r="T81" s="334" t="str">
        <f aca="false">IF((E81="b"),G81," ")</f>
        <v> </v>
      </c>
      <c r="U81" s="334" t="str">
        <f aca="false">IF((E81="i"),G81," ")</f>
        <v> </v>
      </c>
      <c r="V81" s="334" t="str">
        <f aca="false">IF((E81="o"),G81," ")</f>
        <v> </v>
      </c>
      <c r="W81" s="334" t="str">
        <f aca="false">IF((E81="f"),G81," ")</f>
        <v> </v>
      </c>
    </row>
    <row r="82" customFormat="false" ht="12.75" hidden="false" customHeight="false" outlineLevel="0" collapsed="false">
      <c r="A82" s="355"/>
      <c r="E82" s="365" t="str">
        <f aca="false">IF((G82&lt;&gt;0),"Enter Letter"," ")</f>
        <v> </v>
      </c>
      <c r="H82" s="338" t="str">
        <f aca="false">IF((G82&lt;&gt;0),IF((D82&gt;0)," ",G82)," ")</f>
        <v> </v>
      </c>
      <c r="I82" s="367" t="str">
        <f aca="false">IF((G82&lt;&gt;0),IF((D82&gt;0)," ",(I$1-A82))," ")</f>
        <v> </v>
      </c>
      <c r="J82" s="334" t="str">
        <f aca="false">IF((E82="s"),G82," ")</f>
        <v> </v>
      </c>
      <c r="K82" s="334" t="str">
        <f aca="false">IF((E82="d"),G82," ")</f>
        <v> </v>
      </c>
      <c r="L82" s="334" t="str">
        <f aca="false">IF((E82="e"),G82," ")</f>
        <v> </v>
      </c>
      <c r="M82" s="334" t="str">
        <f aca="false">IF((E82="p"),G82," ")</f>
        <v> </v>
      </c>
      <c r="N82" s="334" t="str">
        <f aca="false">IF((E82="r"),G82," ")</f>
        <v> </v>
      </c>
      <c r="O82" s="334" t="str">
        <f aca="false">IF((E82="g"),G82," ")</f>
        <v> </v>
      </c>
      <c r="P82" s="334" t="str">
        <f aca="false">IF((E82="m"),G82," ")</f>
        <v> </v>
      </c>
      <c r="Q82" s="334" t="str">
        <f aca="false">IF((E82="t"),G82," ")</f>
        <v> </v>
      </c>
      <c r="R82" s="334" t="str">
        <f aca="false">IF((E82="a"),G82," ")</f>
        <v> </v>
      </c>
      <c r="S82" s="334" t="str">
        <f aca="false">IF((E82="l"),G82," ")</f>
        <v> </v>
      </c>
      <c r="T82" s="334" t="str">
        <f aca="false">IF((E82="b"),G82," ")</f>
        <v> </v>
      </c>
      <c r="U82" s="334" t="str">
        <f aca="false">IF((E82="i"),G82," ")</f>
        <v> </v>
      </c>
      <c r="V82" s="334" t="str">
        <f aca="false">IF((E82="o"),G82," ")</f>
        <v> </v>
      </c>
      <c r="W82" s="334" t="str">
        <f aca="false">IF((E82="f"),G82," ")</f>
        <v> </v>
      </c>
    </row>
    <row r="83" customFormat="false" ht="12.75" hidden="false" customHeight="false" outlineLevel="0" collapsed="false">
      <c r="A83" s="355"/>
      <c r="E83" s="365" t="str">
        <f aca="false">IF((G83&lt;&gt;0),"Enter Letter"," ")</f>
        <v> </v>
      </c>
      <c r="H83" s="338" t="str">
        <f aca="false">IF((G83&lt;&gt;0),IF((D83&gt;0)," ",G83)," ")</f>
        <v> </v>
      </c>
      <c r="I83" s="367" t="str">
        <f aca="false">IF((G83&lt;&gt;0),IF((D83&gt;0)," ",(I$1-A83))," ")</f>
        <v> </v>
      </c>
      <c r="J83" s="334" t="str">
        <f aca="false">IF((E83="s"),G83," ")</f>
        <v> </v>
      </c>
      <c r="K83" s="334" t="str">
        <f aca="false">IF((E83="d"),G83," ")</f>
        <v> </v>
      </c>
      <c r="L83" s="334" t="str">
        <f aca="false">IF((E83="e"),G83," ")</f>
        <v> </v>
      </c>
      <c r="M83" s="334" t="str">
        <f aca="false">IF((E83="p"),G83," ")</f>
        <v> </v>
      </c>
      <c r="N83" s="334" t="str">
        <f aca="false">IF((E83="r"),G83," ")</f>
        <v> </v>
      </c>
      <c r="O83" s="334" t="str">
        <f aca="false">IF((E83="g"),G83," ")</f>
        <v> </v>
      </c>
      <c r="P83" s="334" t="str">
        <f aca="false">IF((E83="m"),G83," ")</f>
        <v> </v>
      </c>
      <c r="Q83" s="334" t="str">
        <f aca="false">IF((E83="t"),G83," ")</f>
        <v> </v>
      </c>
      <c r="R83" s="334" t="str">
        <f aca="false">IF((E83="a"),G83," ")</f>
        <v> </v>
      </c>
      <c r="S83" s="334" t="str">
        <f aca="false">IF((E83="l"),G83," ")</f>
        <v> </v>
      </c>
      <c r="T83" s="334" t="str">
        <f aca="false">IF((E83="b"),G83," ")</f>
        <v> </v>
      </c>
      <c r="U83" s="334" t="str">
        <f aca="false">IF((E83="i"),G83," ")</f>
        <v> </v>
      </c>
      <c r="V83" s="334" t="str">
        <f aca="false">IF((E83="o"),G83," ")</f>
        <v> </v>
      </c>
      <c r="W83" s="334" t="str">
        <f aca="false">IF((E83="f"),G83," ")</f>
        <v> </v>
      </c>
    </row>
    <row r="84" customFormat="false" ht="12.75" hidden="false" customHeight="false" outlineLevel="0" collapsed="false">
      <c r="A84" s="355"/>
      <c r="E84" s="365" t="str">
        <f aca="false">IF((G84&lt;&gt;0),"Enter Letter"," ")</f>
        <v> </v>
      </c>
      <c r="H84" s="338" t="str">
        <f aca="false">IF((G84&lt;&gt;0),IF((D84&gt;0)," ",G84)," ")</f>
        <v> </v>
      </c>
      <c r="I84" s="367" t="str">
        <f aca="false">IF((G84&lt;&gt;0),IF((D84&gt;0)," ",(I$1-A84))," ")</f>
        <v> </v>
      </c>
      <c r="J84" s="334" t="str">
        <f aca="false">IF((E84="s"),G84," ")</f>
        <v> </v>
      </c>
      <c r="K84" s="334" t="str">
        <f aca="false">IF((E84="d"),G84," ")</f>
        <v> </v>
      </c>
      <c r="L84" s="334" t="str">
        <f aca="false">IF((E84="e"),G84," ")</f>
        <v> </v>
      </c>
      <c r="M84" s="334" t="str">
        <f aca="false">IF((E84="p"),G84," ")</f>
        <v> </v>
      </c>
      <c r="N84" s="334" t="str">
        <f aca="false">IF((E84="r"),G84," ")</f>
        <v> </v>
      </c>
      <c r="O84" s="334" t="str">
        <f aca="false">IF((E84="g"),G84," ")</f>
        <v> </v>
      </c>
      <c r="P84" s="334" t="str">
        <f aca="false">IF((E84="m"),G84," ")</f>
        <v> </v>
      </c>
      <c r="Q84" s="334" t="str">
        <f aca="false">IF((E84="t"),G84," ")</f>
        <v> </v>
      </c>
      <c r="R84" s="334" t="str">
        <f aca="false">IF((E84="a"),G84," ")</f>
        <v> </v>
      </c>
      <c r="S84" s="334" t="str">
        <f aca="false">IF((E84="l"),G84," ")</f>
        <v> </v>
      </c>
      <c r="T84" s="334" t="str">
        <f aca="false">IF((E84="b"),G84," ")</f>
        <v> </v>
      </c>
      <c r="U84" s="334" t="str">
        <f aca="false">IF((E84="i"),G84," ")</f>
        <v> </v>
      </c>
      <c r="V84" s="334" t="str">
        <f aca="false">IF((E84="o"),G84," ")</f>
        <v> </v>
      </c>
      <c r="W84" s="334" t="str">
        <f aca="false">IF((E84="f"),G84," ")</f>
        <v> </v>
      </c>
    </row>
    <row r="85" customFormat="false" ht="12.75" hidden="false" customHeight="false" outlineLevel="0" collapsed="false">
      <c r="A85" s="355"/>
      <c r="E85" s="365" t="str">
        <f aca="false">IF((G85&lt;&gt;0),"Enter Letter"," ")</f>
        <v> </v>
      </c>
      <c r="H85" s="338" t="str">
        <f aca="false">IF((G85&lt;&gt;0),IF((D85&gt;0)," ",G85)," ")</f>
        <v> </v>
      </c>
      <c r="I85" s="367" t="str">
        <f aca="false">IF((G85&lt;&gt;0),IF((D85&gt;0)," ",(I$1-A85))," ")</f>
        <v> </v>
      </c>
      <c r="J85" s="334" t="str">
        <f aca="false">IF((E85="s"),G85," ")</f>
        <v> </v>
      </c>
      <c r="K85" s="334" t="str">
        <f aca="false">IF((E85="d"),G85," ")</f>
        <v> </v>
      </c>
      <c r="L85" s="334" t="str">
        <f aca="false">IF((E85="e"),G85," ")</f>
        <v> </v>
      </c>
      <c r="M85" s="334" t="str">
        <f aca="false">IF((E85="p"),G85," ")</f>
        <v> </v>
      </c>
      <c r="N85" s="334" t="str">
        <f aca="false">IF((E85="r"),G85," ")</f>
        <v> </v>
      </c>
      <c r="O85" s="334" t="str">
        <f aca="false">IF((E85="g"),G85," ")</f>
        <v> </v>
      </c>
      <c r="P85" s="334" t="str">
        <f aca="false">IF((E85="m"),G85," ")</f>
        <v> </v>
      </c>
      <c r="Q85" s="334" t="str">
        <f aca="false">IF((E85="t"),G85," ")</f>
        <v> </v>
      </c>
      <c r="R85" s="334" t="str">
        <f aca="false">IF((E85="a"),G85," ")</f>
        <v> </v>
      </c>
      <c r="S85" s="334" t="str">
        <f aca="false">IF((E85="l"),G85," ")</f>
        <v> </v>
      </c>
      <c r="T85" s="334" t="str">
        <f aca="false">IF((E85="b"),G85," ")</f>
        <v> </v>
      </c>
      <c r="U85" s="334" t="str">
        <f aca="false">IF((E85="i"),G85," ")</f>
        <v> </v>
      </c>
      <c r="V85" s="334" t="str">
        <f aca="false">IF((E85="o"),G85," ")</f>
        <v> </v>
      </c>
      <c r="W85" s="334" t="str">
        <f aca="false">IF((E85="f"),G85," ")</f>
        <v> </v>
      </c>
    </row>
    <row r="86" customFormat="false" ht="12.75" hidden="false" customHeight="false" outlineLevel="0" collapsed="false">
      <c r="A86" s="355"/>
      <c r="E86" s="365" t="str">
        <f aca="false">IF((G86&lt;&gt;0),"Enter Letter"," ")</f>
        <v> </v>
      </c>
      <c r="H86" s="338" t="str">
        <f aca="false">IF((G86&lt;&gt;0),IF((D86&gt;0)," ",G86)," ")</f>
        <v> </v>
      </c>
      <c r="I86" s="367" t="str">
        <f aca="false">IF((G86&lt;&gt;0),IF((D86&gt;0)," ",(I$1-A86))," ")</f>
        <v> </v>
      </c>
      <c r="J86" s="334" t="str">
        <f aca="false">IF((E86="s"),G86," ")</f>
        <v> </v>
      </c>
      <c r="K86" s="334" t="str">
        <f aca="false">IF((E86="d"),G86," ")</f>
        <v> </v>
      </c>
      <c r="L86" s="334" t="str">
        <f aca="false">IF((E86="e"),G86," ")</f>
        <v> </v>
      </c>
      <c r="M86" s="334" t="str">
        <f aca="false">IF((E86="p"),G86," ")</f>
        <v> </v>
      </c>
      <c r="N86" s="334" t="str">
        <f aca="false">IF((E86="r"),G86," ")</f>
        <v> </v>
      </c>
      <c r="O86" s="334" t="str">
        <f aca="false">IF((E86="g"),G86," ")</f>
        <v> </v>
      </c>
      <c r="P86" s="334" t="str">
        <f aca="false">IF((E86="m"),G86," ")</f>
        <v> </v>
      </c>
      <c r="Q86" s="334" t="str">
        <f aca="false">IF((E86="t"),G86," ")</f>
        <v> </v>
      </c>
      <c r="R86" s="334" t="str">
        <f aca="false">IF((E86="a"),G86," ")</f>
        <v> </v>
      </c>
      <c r="S86" s="334" t="str">
        <f aca="false">IF((E86="l"),G86," ")</f>
        <v> </v>
      </c>
      <c r="T86" s="334" t="str">
        <f aca="false">IF((E86="b"),G86," ")</f>
        <v> </v>
      </c>
      <c r="U86" s="334" t="str">
        <f aca="false">IF((E86="i"),G86," ")</f>
        <v> </v>
      </c>
      <c r="V86" s="334" t="str">
        <f aca="false">IF((E86="o"),G86," ")</f>
        <v> </v>
      </c>
      <c r="W86" s="334" t="str">
        <f aca="false">IF((E86="f"),G86," ")</f>
        <v> </v>
      </c>
    </row>
    <row r="87" customFormat="false" ht="12.75" hidden="false" customHeight="false" outlineLevel="0" collapsed="false">
      <c r="A87" s="355"/>
      <c r="E87" s="365" t="str">
        <f aca="false">IF((G87&lt;&gt;0),"Enter Letter"," ")</f>
        <v> </v>
      </c>
      <c r="H87" s="338" t="str">
        <f aca="false">IF((G87&lt;&gt;0),IF((D87&gt;0)," ",G87)," ")</f>
        <v> </v>
      </c>
      <c r="I87" s="367" t="str">
        <f aca="false">IF((G87&lt;&gt;0),IF((D87&gt;0)," ",(I$1-A87))," ")</f>
        <v> </v>
      </c>
      <c r="J87" s="334" t="str">
        <f aca="false">IF((E87="s"),G87," ")</f>
        <v> </v>
      </c>
      <c r="K87" s="334" t="str">
        <f aca="false">IF((E87="d"),G87," ")</f>
        <v> </v>
      </c>
      <c r="L87" s="334" t="str">
        <f aca="false">IF((E87="e"),G87," ")</f>
        <v> </v>
      </c>
      <c r="M87" s="334" t="str">
        <f aca="false">IF((E87="p"),G87," ")</f>
        <v> </v>
      </c>
      <c r="N87" s="334" t="str">
        <f aca="false">IF((E87="r"),G87," ")</f>
        <v> </v>
      </c>
      <c r="O87" s="334" t="str">
        <f aca="false">IF((E87="g"),G87," ")</f>
        <v> </v>
      </c>
      <c r="P87" s="334" t="str">
        <f aca="false">IF((E87="m"),G87," ")</f>
        <v> </v>
      </c>
      <c r="Q87" s="334" t="str">
        <f aca="false">IF((E87="t"),G87," ")</f>
        <v> </v>
      </c>
      <c r="R87" s="334" t="str">
        <f aca="false">IF((E87="a"),G87," ")</f>
        <v> </v>
      </c>
      <c r="S87" s="334" t="str">
        <f aca="false">IF((E87="l"),G87," ")</f>
        <v> </v>
      </c>
      <c r="T87" s="334" t="str">
        <f aca="false">IF((E87="b"),G87," ")</f>
        <v> </v>
      </c>
      <c r="U87" s="334" t="str">
        <f aca="false">IF((E87="i"),G87," ")</f>
        <v> </v>
      </c>
      <c r="V87" s="334" t="str">
        <f aca="false">IF((E87="o"),G87," ")</f>
        <v> </v>
      </c>
      <c r="W87" s="334" t="str">
        <f aca="false">IF((E87="f"),G87," ")</f>
        <v> </v>
      </c>
    </row>
    <row r="88" customFormat="false" ht="12.75" hidden="false" customHeight="false" outlineLevel="0" collapsed="false">
      <c r="A88" s="355"/>
      <c r="E88" s="365" t="str">
        <f aca="false">IF((G88&lt;&gt;0),"Enter Letter"," ")</f>
        <v> </v>
      </c>
      <c r="H88" s="338" t="str">
        <f aca="false">IF((G88&lt;&gt;0),IF((D88&gt;0)," ",G88)," ")</f>
        <v> </v>
      </c>
      <c r="I88" s="367" t="str">
        <f aca="false">IF((G88&lt;&gt;0),IF((D88&gt;0)," ",(I$1-A88))," ")</f>
        <v> </v>
      </c>
      <c r="J88" s="334" t="str">
        <f aca="false">IF((E88="s"),G88," ")</f>
        <v> </v>
      </c>
      <c r="K88" s="334" t="str">
        <f aca="false">IF((E88="d"),G88," ")</f>
        <v> </v>
      </c>
      <c r="L88" s="334" t="str">
        <f aca="false">IF((E88="e"),G88," ")</f>
        <v> </v>
      </c>
      <c r="M88" s="334" t="str">
        <f aca="false">IF((E88="p"),G88," ")</f>
        <v> </v>
      </c>
      <c r="N88" s="334" t="str">
        <f aca="false">IF((E88="r"),G88," ")</f>
        <v> </v>
      </c>
      <c r="O88" s="334" t="str">
        <f aca="false">IF((E88="g"),G88," ")</f>
        <v> </v>
      </c>
      <c r="P88" s="334" t="str">
        <f aca="false">IF((E88="m"),G88," ")</f>
        <v> </v>
      </c>
      <c r="Q88" s="334" t="str">
        <f aca="false">IF((E88="t"),G88," ")</f>
        <v> </v>
      </c>
      <c r="R88" s="334" t="str">
        <f aca="false">IF((E88="a"),G88," ")</f>
        <v> </v>
      </c>
      <c r="S88" s="334" t="str">
        <f aca="false">IF((E88="l"),G88," ")</f>
        <v> </v>
      </c>
      <c r="T88" s="334" t="str">
        <f aca="false">IF((E88="b"),G88," ")</f>
        <v> </v>
      </c>
      <c r="U88" s="334" t="str">
        <f aca="false">IF((E88="i"),G88," ")</f>
        <v> </v>
      </c>
      <c r="V88" s="334" t="str">
        <f aca="false">IF((E88="o"),G88," ")</f>
        <v> </v>
      </c>
      <c r="W88" s="334" t="str">
        <f aca="false">IF((E88="f"),G88," ")</f>
        <v> </v>
      </c>
    </row>
    <row r="89" customFormat="false" ht="12.75" hidden="false" customHeight="false" outlineLevel="0" collapsed="false">
      <c r="A89" s="355"/>
      <c r="E89" s="365" t="str">
        <f aca="false">IF((G89&lt;&gt;0),"Enter Letter"," ")</f>
        <v> </v>
      </c>
      <c r="H89" s="338" t="str">
        <f aca="false">IF((G89&lt;&gt;0),IF((D89&gt;0)," ",G89)," ")</f>
        <v> </v>
      </c>
      <c r="I89" s="367" t="str">
        <f aca="false">IF((G89&lt;&gt;0),IF((D89&gt;0)," ",(I$1-A89))," ")</f>
        <v> </v>
      </c>
      <c r="J89" s="334" t="str">
        <f aca="false">IF((E89="s"),G89," ")</f>
        <v> </v>
      </c>
      <c r="K89" s="334" t="str">
        <f aca="false">IF((E89="d"),G89," ")</f>
        <v> </v>
      </c>
      <c r="L89" s="334" t="str">
        <f aca="false">IF((E89="e"),G89," ")</f>
        <v> </v>
      </c>
      <c r="M89" s="334" t="str">
        <f aca="false">IF((E89="p"),G89," ")</f>
        <v> </v>
      </c>
      <c r="N89" s="334" t="str">
        <f aca="false">IF((E89="r"),G89," ")</f>
        <v> </v>
      </c>
      <c r="O89" s="334" t="str">
        <f aca="false">IF((E89="g"),G89," ")</f>
        <v> </v>
      </c>
      <c r="P89" s="334" t="str">
        <f aca="false">IF((E89="m"),G89," ")</f>
        <v> </v>
      </c>
      <c r="Q89" s="334" t="str">
        <f aca="false">IF((E89="t"),G89," ")</f>
        <v> </v>
      </c>
      <c r="R89" s="334" t="str">
        <f aca="false">IF((E89="a"),G89," ")</f>
        <v> </v>
      </c>
      <c r="S89" s="334" t="str">
        <f aca="false">IF((E89="l"),G89," ")</f>
        <v> </v>
      </c>
      <c r="T89" s="334" t="str">
        <f aca="false">IF((E89="b"),G89," ")</f>
        <v> </v>
      </c>
      <c r="U89" s="334" t="str">
        <f aca="false">IF((E89="i"),G89," ")</f>
        <v> </v>
      </c>
      <c r="V89" s="334" t="str">
        <f aca="false">IF((E89="o"),G89," ")</f>
        <v> </v>
      </c>
      <c r="W89" s="334" t="str">
        <f aca="false">IF((E89="f"),G89," ")</f>
        <v> </v>
      </c>
    </row>
    <row r="90" customFormat="false" ht="12.75" hidden="false" customHeight="false" outlineLevel="0" collapsed="false">
      <c r="A90" s="355"/>
      <c r="E90" s="365" t="str">
        <f aca="false">IF((G90&lt;&gt;0),"Enter Letter"," ")</f>
        <v> </v>
      </c>
      <c r="H90" s="338" t="str">
        <f aca="false">IF((G90&lt;&gt;0),IF((D90&gt;0)," ",G90)," ")</f>
        <v> </v>
      </c>
      <c r="I90" s="367" t="str">
        <f aca="false">IF((G90&lt;&gt;0),IF((D90&gt;0)," ",(I$1-A90))," ")</f>
        <v> </v>
      </c>
      <c r="J90" s="334" t="str">
        <f aca="false">IF((E90="s"),G90," ")</f>
        <v> </v>
      </c>
      <c r="K90" s="334" t="str">
        <f aca="false">IF((E90="d"),G90," ")</f>
        <v> </v>
      </c>
      <c r="L90" s="334" t="str">
        <f aca="false">IF((E90="e"),G90," ")</f>
        <v> </v>
      </c>
      <c r="M90" s="334" t="str">
        <f aca="false">IF((E90="p"),G90," ")</f>
        <v> </v>
      </c>
      <c r="N90" s="334" t="str">
        <f aca="false">IF((E90="r"),G90," ")</f>
        <v> </v>
      </c>
      <c r="O90" s="334" t="str">
        <f aca="false">IF((E90="g"),G90," ")</f>
        <v> </v>
      </c>
      <c r="P90" s="334" t="str">
        <f aca="false">IF((E90="m"),G90," ")</f>
        <v> </v>
      </c>
      <c r="Q90" s="334" t="str">
        <f aca="false">IF((E90="t"),G90," ")</f>
        <v> </v>
      </c>
      <c r="R90" s="334" t="str">
        <f aca="false">IF((E90="a"),G90," ")</f>
        <v> </v>
      </c>
      <c r="S90" s="334" t="str">
        <f aca="false">IF((E90="l"),G90," ")</f>
        <v> </v>
      </c>
      <c r="T90" s="334" t="str">
        <f aca="false">IF((E90="b"),G90," ")</f>
        <v> </v>
      </c>
      <c r="U90" s="334" t="str">
        <f aca="false">IF((E90="i"),G90," ")</f>
        <v> </v>
      </c>
      <c r="V90" s="334" t="str">
        <f aca="false">IF((E90="o"),G90," ")</f>
        <v> </v>
      </c>
      <c r="W90" s="334" t="str">
        <f aca="false">IF((E90="f"),G90," ")</f>
        <v> </v>
      </c>
    </row>
    <row r="91" customFormat="false" ht="12.75" hidden="false" customHeight="false" outlineLevel="0" collapsed="false">
      <c r="A91" s="355"/>
      <c r="E91" s="365" t="str">
        <f aca="false">IF((G91&lt;&gt;0),"Enter Letter"," ")</f>
        <v> </v>
      </c>
      <c r="H91" s="338" t="str">
        <f aca="false">IF((G91&lt;&gt;0),IF((D91&gt;0)," ",G91)," ")</f>
        <v> </v>
      </c>
      <c r="I91" s="367" t="str">
        <f aca="false">IF((G91&lt;&gt;0),IF((D91&gt;0)," ",(I$1-A91))," ")</f>
        <v> </v>
      </c>
      <c r="J91" s="334" t="str">
        <f aca="false">IF((E91="s"),G91," ")</f>
        <v> </v>
      </c>
      <c r="K91" s="334" t="str">
        <f aca="false">IF((E91="d"),G91," ")</f>
        <v> </v>
      </c>
      <c r="L91" s="334" t="str">
        <f aca="false">IF((E91="e"),G91," ")</f>
        <v> </v>
      </c>
      <c r="M91" s="334" t="str">
        <f aca="false">IF((E91="p"),G91," ")</f>
        <v> </v>
      </c>
      <c r="N91" s="334" t="str">
        <f aca="false">IF((E91="r"),G91," ")</f>
        <v> </v>
      </c>
      <c r="O91" s="334" t="str">
        <f aca="false">IF((E91="g"),G91," ")</f>
        <v> </v>
      </c>
      <c r="P91" s="334" t="str">
        <f aca="false">IF((E91="m"),G91," ")</f>
        <v> </v>
      </c>
      <c r="Q91" s="334" t="str">
        <f aca="false">IF((E91="t"),G91," ")</f>
        <v> </v>
      </c>
      <c r="R91" s="334" t="str">
        <f aca="false">IF((E91="a"),G91," ")</f>
        <v> </v>
      </c>
      <c r="S91" s="334" t="str">
        <f aca="false">IF((E91="l"),G91," ")</f>
        <v> </v>
      </c>
      <c r="T91" s="334" t="str">
        <f aca="false">IF((E91="b"),G91," ")</f>
        <v> </v>
      </c>
      <c r="U91" s="334" t="str">
        <f aca="false">IF((E91="i"),G91," ")</f>
        <v> </v>
      </c>
      <c r="V91" s="334" t="str">
        <f aca="false">IF((E91="o"),G91," ")</f>
        <v> </v>
      </c>
      <c r="W91" s="334" t="str">
        <f aca="false">IF((E91="f"),G91," ")</f>
        <v> </v>
      </c>
    </row>
    <row r="92" customFormat="false" ht="12.75" hidden="false" customHeight="false" outlineLevel="0" collapsed="false">
      <c r="A92" s="355"/>
      <c r="E92" s="365" t="str">
        <f aca="false">IF((G92&lt;&gt;0),"Enter Letter"," ")</f>
        <v> </v>
      </c>
      <c r="H92" s="338" t="str">
        <f aca="false">IF((G92&lt;&gt;0),IF((D92&gt;0)," ",G92)," ")</f>
        <v> </v>
      </c>
      <c r="I92" s="367" t="str">
        <f aca="false">IF((G92&lt;&gt;0),IF((D92&gt;0)," ",(I$1-A92))," ")</f>
        <v> </v>
      </c>
      <c r="J92" s="334" t="str">
        <f aca="false">IF((E92="s"),G92," ")</f>
        <v> </v>
      </c>
      <c r="K92" s="334" t="str">
        <f aca="false">IF((E92="d"),G92," ")</f>
        <v> </v>
      </c>
      <c r="L92" s="334" t="str">
        <f aca="false">IF((E92="e"),G92," ")</f>
        <v> </v>
      </c>
      <c r="M92" s="334" t="str">
        <f aca="false">IF((E92="p"),G92," ")</f>
        <v> </v>
      </c>
      <c r="N92" s="334" t="str">
        <f aca="false">IF((E92="r"),G92," ")</f>
        <v> </v>
      </c>
      <c r="O92" s="334" t="str">
        <f aca="false">IF((E92="g"),G92," ")</f>
        <v> </v>
      </c>
      <c r="P92" s="334" t="str">
        <f aca="false">IF((E92="m"),G92," ")</f>
        <v> </v>
      </c>
      <c r="Q92" s="334" t="str">
        <f aca="false">IF((E92="t"),G92," ")</f>
        <v> </v>
      </c>
      <c r="R92" s="334" t="str">
        <f aca="false">IF((E92="a"),G92," ")</f>
        <v> </v>
      </c>
      <c r="S92" s="334" t="str">
        <f aca="false">IF((E92="l"),G92," ")</f>
        <v> </v>
      </c>
      <c r="T92" s="334" t="str">
        <f aca="false">IF((E92="b"),G92," ")</f>
        <v> </v>
      </c>
      <c r="U92" s="334" t="str">
        <f aca="false">IF((E92="i"),G92," ")</f>
        <v> </v>
      </c>
      <c r="V92" s="334" t="str">
        <f aca="false">IF((E92="o"),G92," ")</f>
        <v> </v>
      </c>
      <c r="W92" s="334" t="str">
        <f aca="false">IF((E92="f"),G92," ")</f>
        <v> </v>
      </c>
    </row>
    <row r="93" customFormat="false" ht="12.75" hidden="false" customHeight="false" outlineLevel="0" collapsed="false">
      <c r="A93" s="355"/>
      <c r="E93" s="365" t="str">
        <f aca="false">IF((G93&lt;&gt;0),"Enter Letter"," ")</f>
        <v> </v>
      </c>
      <c r="H93" s="338" t="str">
        <f aca="false">IF((G93&lt;&gt;0),IF((D93&gt;0)," ",G93)," ")</f>
        <v> </v>
      </c>
      <c r="I93" s="367" t="str">
        <f aca="false">IF((G93&lt;&gt;0),IF((D93&gt;0)," ",(I$1-A93))," ")</f>
        <v> </v>
      </c>
      <c r="J93" s="334" t="str">
        <f aca="false">IF((E93="s"),G93," ")</f>
        <v> </v>
      </c>
      <c r="K93" s="334" t="str">
        <f aca="false">IF((E93="d"),G93," ")</f>
        <v> </v>
      </c>
      <c r="L93" s="334" t="str">
        <f aca="false">IF((E93="e"),G93," ")</f>
        <v> </v>
      </c>
      <c r="M93" s="334" t="str">
        <f aca="false">IF((E93="p"),G93," ")</f>
        <v> </v>
      </c>
      <c r="N93" s="334" t="str">
        <f aca="false">IF((E93="r"),G93," ")</f>
        <v> </v>
      </c>
      <c r="O93" s="334" t="str">
        <f aca="false">IF((E93="g"),G93," ")</f>
        <v> </v>
      </c>
      <c r="P93" s="334" t="str">
        <f aca="false">IF((E93="m"),G93," ")</f>
        <v> </v>
      </c>
      <c r="Q93" s="334" t="str">
        <f aca="false">IF((E93="t"),G93," ")</f>
        <v> </v>
      </c>
      <c r="R93" s="334" t="str">
        <f aca="false">IF((E93="a"),G93," ")</f>
        <v> </v>
      </c>
      <c r="S93" s="334" t="str">
        <f aca="false">IF((E93="l"),G93," ")</f>
        <v> </v>
      </c>
      <c r="T93" s="334" t="str">
        <f aca="false">IF((E93="b"),G93," ")</f>
        <v> </v>
      </c>
      <c r="U93" s="334" t="str">
        <f aca="false">IF((E93="i"),G93," ")</f>
        <v> </v>
      </c>
      <c r="V93" s="334" t="str">
        <f aca="false">IF((E93="o"),G93," ")</f>
        <v> </v>
      </c>
      <c r="W93" s="334" t="str">
        <f aca="false">IF((E93="f"),G93," ")</f>
        <v> </v>
      </c>
    </row>
    <row r="94" customFormat="false" ht="12.75" hidden="false" customHeight="false" outlineLevel="0" collapsed="false">
      <c r="A94" s="355"/>
      <c r="E94" s="365" t="str">
        <f aca="false">IF((G94&lt;&gt;0),"Enter Letter"," ")</f>
        <v> </v>
      </c>
      <c r="H94" s="338" t="str">
        <f aca="false">IF((G94&lt;&gt;0),IF((D94&gt;0)," ",G94)," ")</f>
        <v> </v>
      </c>
      <c r="I94" s="367" t="str">
        <f aca="false">IF((G94&lt;&gt;0),IF((D94&gt;0)," ",(I$1-A94))," ")</f>
        <v> </v>
      </c>
      <c r="J94" s="334" t="str">
        <f aca="false">IF((E94="s"),G94," ")</f>
        <v> </v>
      </c>
      <c r="K94" s="334" t="str">
        <f aca="false">IF((E94="d"),G94," ")</f>
        <v> </v>
      </c>
      <c r="L94" s="334" t="str">
        <f aca="false">IF((E94="e"),G94," ")</f>
        <v> </v>
      </c>
      <c r="M94" s="334" t="str">
        <f aca="false">IF((E94="p"),G94," ")</f>
        <v> </v>
      </c>
      <c r="N94" s="334" t="str">
        <f aca="false">IF((E94="r"),G94," ")</f>
        <v> </v>
      </c>
      <c r="O94" s="334" t="str">
        <f aca="false">IF((E94="g"),G94," ")</f>
        <v> </v>
      </c>
      <c r="P94" s="334" t="str">
        <f aca="false">IF((E94="m"),G94," ")</f>
        <v> </v>
      </c>
      <c r="Q94" s="334" t="str">
        <f aca="false">IF((E94="t"),G94," ")</f>
        <v> </v>
      </c>
      <c r="R94" s="334" t="str">
        <f aca="false">IF((E94="a"),G94," ")</f>
        <v> </v>
      </c>
      <c r="S94" s="334" t="str">
        <f aca="false">IF((E94="l"),G94," ")</f>
        <v> </v>
      </c>
      <c r="T94" s="334" t="str">
        <f aca="false">IF((E94="b"),G94," ")</f>
        <v> </v>
      </c>
      <c r="U94" s="334" t="str">
        <f aca="false">IF((E94="i"),G94," ")</f>
        <v> </v>
      </c>
      <c r="V94" s="334" t="str">
        <f aca="false">IF((E94="o"),G94," ")</f>
        <v> </v>
      </c>
      <c r="W94" s="334" t="str">
        <f aca="false">IF((E94="f"),G94," ")</f>
        <v> </v>
      </c>
    </row>
    <row r="95" customFormat="false" ht="12.75" hidden="false" customHeight="false" outlineLevel="0" collapsed="false">
      <c r="A95" s="355"/>
      <c r="E95" s="365" t="str">
        <f aca="false">IF((G95&lt;&gt;0),"Enter Letter"," ")</f>
        <v> </v>
      </c>
      <c r="H95" s="338" t="str">
        <f aca="false">IF((G95&lt;&gt;0),IF((D95&gt;0)," ",G95)," ")</f>
        <v> </v>
      </c>
      <c r="I95" s="367" t="str">
        <f aca="false">IF((G95&lt;&gt;0),IF((D95&gt;0)," ",(I$1-A95))," ")</f>
        <v> </v>
      </c>
      <c r="J95" s="334" t="str">
        <f aca="false">IF((E95="s"),G95," ")</f>
        <v> </v>
      </c>
      <c r="K95" s="334" t="str">
        <f aca="false">IF((E95="d"),G95," ")</f>
        <v> </v>
      </c>
      <c r="L95" s="334" t="str">
        <f aca="false">IF((E95="e"),G95," ")</f>
        <v> </v>
      </c>
      <c r="M95" s="334" t="str">
        <f aca="false">IF((E95="p"),G95," ")</f>
        <v> </v>
      </c>
      <c r="N95" s="334" t="str">
        <f aca="false">IF((E95="r"),G95," ")</f>
        <v> </v>
      </c>
      <c r="O95" s="334" t="str">
        <f aca="false">IF((E95="g"),G95," ")</f>
        <v> </v>
      </c>
      <c r="P95" s="334" t="str">
        <f aca="false">IF((E95="m"),G95," ")</f>
        <v> </v>
      </c>
      <c r="Q95" s="334" t="str">
        <f aca="false">IF((E95="t"),G95," ")</f>
        <v> </v>
      </c>
      <c r="R95" s="334" t="str">
        <f aca="false">IF((E95="a"),G95," ")</f>
        <v> </v>
      </c>
      <c r="S95" s="334" t="str">
        <f aca="false">IF((E95="l"),G95," ")</f>
        <v> </v>
      </c>
      <c r="T95" s="334" t="str">
        <f aca="false">IF((E95="b"),G95," ")</f>
        <v> </v>
      </c>
      <c r="U95" s="334" t="str">
        <f aca="false">IF((E95="i"),G95," ")</f>
        <v> </v>
      </c>
      <c r="V95" s="334" t="str">
        <f aca="false">IF((E95="o"),G95," ")</f>
        <v> </v>
      </c>
      <c r="W95" s="334" t="str">
        <f aca="false">IF((E95="f"),G95," ")</f>
        <v> </v>
      </c>
    </row>
    <row r="96" customFormat="false" ht="12.75" hidden="false" customHeight="false" outlineLevel="0" collapsed="false">
      <c r="A96" s="355"/>
      <c r="E96" s="365" t="str">
        <f aca="false">IF((G96&lt;&gt;0),"Enter Letter"," ")</f>
        <v> </v>
      </c>
      <c r="H96" s="338" t="str">
        <f aca="false">IF((G96&lt;&gt;0),IF((D96&gt;0)," ",G96)," ")</f>
        <v> </v>
      </c>
      <c r="I96" s="367" t="str">
        <f aca="false">IF((G96&lt;&gt;0),IF((D96&gt;0)," ",(I$1-A96))," ")</f>
        <v> </v>
      </c>
      <c r="J96" s="334" t="str">
        <f aca="false">IF((E96="s"),G96," ")</f>
        <v> </v>
      </c>
      <c r="K96" s="334" t="str">
        <f aca="false">IF((E96="d"),G96," ")</f>
        <v> </v>
      </c>
      <c r="L96" s="334" t="str">
        <f aca="false">IF((E96="e"),G96," ")</f>
        <v> </v>
      </c>
      <c r="M96" s="334" t="str">
        <f aca="false">IF((E96="p"),G96," ")</f>
        <v> </v>
      </c>
      <c r="N96" s="334" t="str">
        <f aca="false">IF((E96="r"),G96," ")</f>
        <v> </v>
      </c>
      <c r="O96" s="334" t="str">
        <f aca="false">IF((E96="g"),G96," ")</f>
        <v> </v>
      </c>
      <c r="P96" s="334" t="str">
        <f aca="false">IF((E96="m"),G96," ")</f>
        <v> </v>
      </c>
      <c r="Q96" s="334" t="str">
        <f aca="false">IF((E96="t"),G96," ")</f>
        <v> </v>
      </c>
      <c r="R96" s="334" t="str">
        <f aca="false">IF((E96="a"),G96," ")</f>
        <v> </v>
      </c>
      <c r="S96" s="334" t="str">
        <f aca="false">IF((E96="l"),G96," ")</f>
        <v> </v>
      </c>
      <c r="T96" s="334" t="str">
        <f aca="false">IF((E96="b"),G96," ")</f>
        <v> </v>
      </c>
      <c r="U96" s="334" t="str">
        <f aca="false">IF((E96="i"),G96," ")</f>
        <v> </v>
      </c>
      <c r="V96" s="334" t="str">
        <f aca="false">IF((E96="o"),G96," ")</f>
        <v> </v>
      </c>
      <c r="W96" s="334" t="str">
        <f aca="false">IF((E96="f"),G96," ")</f>
        <v> </v>
      </c>
    </row>
    <row r="97" customFormat="false" ht="12.75" hidden="false" customHeight="false" outlineLevel="0" collapsed="false">
      <c r="A97" s="355"/>
      <c r="E97" s="365" t="str">
        <f aca="false">IF((G97&lt;&gt;0),"Enter Letter"," ")</f>
        <v> </v>
      </c>
      <c r="H97" s="338" t="str">
        <f aca="false">IF((G97&lt;&gt;0),IF((D97&gt;0)," ",G97)," ")</f>
        <v> </v>
      </c>
      <c r="I97" s="367" t="str">
        <f aca="false">IF((G97&lt;&gt;0),IF((D97&gt;0)," ",(I$1-A97))," ")</f>
        <v> </v>
      </c>
      <c r="J97" s="334" t="str">
        <f aca="false">IF((E97="s"),G97," ")</f>
        <v> </v>
      </c>
      <c r="K97" s="334" t="str">
        <f aca="false">IF((E97="d"),G97," ")</f>
        <v> </v>
      </c>
      <c r="L97" s="334" t="str">
        <f aca="false">IF((E97="e"),G97," ")</f>
        <v> </v>
      </c>
      <c r="M97" s="334" t="str">
        <f aca="false">IF((E97="p"),G97," ")</f>
        <v> </v>
      </c>
      <c r="N97" s="334" t="str">
        <f aca="false">IF((E97="r"),G97," ")</f>
        <v> </v>
      </c>
      <c r="O97" s="334" t="str">
        <f aca="false">IF((E97="g"),G97," ")</f>
        <v> </v>
      </c>
      <c r="P97" s="334" t="str">
        <f aca="false">IF((E97="m"),G97," ")</f>
        <v> </v>
      </c>
      <c r="Q97" s="334" t="str">
        <f aca="false">IF((E97="t"),G97," ")</f>
        <v> </v>
      </c>
      <c r="R97" s="334" t="str">
        <f aca="false">IF((E97="a"),G97," ")</f>
        <v> </v>
      </c>
      <c r="S97" s="334" t="str">
        <f aca="false">IF((E97="l"),G97," ")</f>
        <v> </v>
      </c>
      <c r="T97" s="334" t="str">
        <f aca="false">IF((E97="b"),G97," ")</f>
        <v> </v>
      </c>
      <c r="U97" s="334" t="str">
        <f aca="false">IF((E97="i"),G97," ")</f>
        <v> </v>
      </c>
      <c r="V97" s="334" t="str">
        <f aca="false">IF((E97="o"),G97," ")</f>
        <v> </v>
      </c>
      <c r="W97" s="334" t="str">
        <f aca="false">IF((E97="f"),G97," ")</f>
        <v> </v>
      </c>
    </row>
    <row r="98" customFormat="false" ht="12.75" hidden="false" customHeight="false" outlineLevel="0" collapsed="false">
      <c r="A98" s="355"/>
      <c r="E98" s="365" t="str">
        <f aca="false">IF((G98&lt;&gt;0),"Enter Letter"," ")</f>
        <v> </v>
      </c>
      <c r="H98" s="338" t="str">
        <f aca="false">IF((G98&lt;&gt;0),IF((D98&gt;0)," ",G98)," ")</f>
        <v> </v>
      </c>
      <c r="I98" s="367" t="str">
        <f aca="false">IF((G98&lt;&gt;0),IF((D98&gt;0)," ",(I$1-A98))," ")</f>
        <v> </v>
      </c>
      <c r="J98" s="334" t="str">
        <f aca="false">IF((E98="s"),G98," ")</f>
        <v> </v>
      </c>
      <c r="K98" s="334" t="str">
        <f aca="false">IF((E98="d"),G98," ")</f>
        <v> </v>
      </c>
      <c r="L98" s="334" t="str">
        <f aca="false">IF((E98="e"),G98," ")</f>
        <v> </v>
      </c>
      <c r="M98" s="334" t="str">
        <f aca="false">IF((E98="p"),G98," ")</f>
        <v> </v>
      </c>
      <c r="N98" s="334" t="str">
        <f aca="false">IF((E98="r"),G98," ")</f>
        <v> </v>
      </c>
      <c r="O98" s="334" t="str">
        <f aca="false">IF((E98="g"),G98," ")</f>
        <v> </v>
      </c>
      <c r="P98" s="334" t="str">
        <f aca="false">IF((E98="m"),G98," ")</f>
        <v> </v>
      </c>
      <c r="Q98" s="334" t="str">
        <f aca="false">IF((E98="t"),G98," ")</f>
        <v> </v>
      </c>
      <c r="R98" s="334" t="str">
        <f aca="false">IF((E98="a"),G98," ")</f>
        <v> </v>
      </c>
      <c r="S98" s="334" t="str">
        <f aca="false">IF((E98="l"),G98," ")</f>
        <v> </v>
      </c>
      <c r="T98" s="334" t="str">
        <f aca="false">IF((E98="b"),G98," ")</f>
        <v> </v>
      </c>
      <c r="U98" s="334" t="str">
        <f aca="false">IF((E98="i"),G98," ")</f>
        <v> </v>
      </c>
      <c r="V98" s="334" t="str">
        <f aca="false">IF((E98="o"),G98," ")</f>
        <v> </v>
      </c>
      <c r="W98" s="334" t="str">
        <f aca="false">IF((E98="f"),G98," ")</f>
        <v> </v>
      </c>
    </row>
    <row r="99" customFormat="false" ht="12.75" hidden="false" customHeight="false" outlineLevel="0" collapsed="false">
      <c r="A99" s="355"/>
      <c r="E99" s="365" t="str">
        <f aca="false">IF((G99&lt;&gt;0),"Enter Letter"," ")</f>
        <v> </v>
      </c>
      <c r="H99" s="338" t="str">
        <f aca="false">IF((G99&lt;&gt;0),IF((D99&gt;0)," ",G99)," ")</f>
        <v> </v>
      </c>
      <c r="I99" s="367" t="str">
        <f aca="false">IF((G99&lt;&gt;0),IF((D99&gt;0)," ",(I$1-A99))," ")</f>
        <v> </v>
      </c>
      <c r="J99" s="334" t="str">
        <f aca="false">IF((E99="s"),G99," ")</f>
        <v> </v>
      </c>
      <c r="K99" s="334" t="str">
        <f aca="false">IF((E99="d"),G99," ")</f>
        <v> </v>
      </c>
      <c r="L99" s="334" t="str">
        <f aca="false">IF((E99="e"),G99," ")</f>
        <v> </v>
      </c>
      <c r="M99" s="334" t="str">
        <f aca="false">IF((E99="p"),G99," ")</f>
        <v> </v>
      </c>
      <c r="N99" s="334" t="str">
        <f aca="false">IF((E99="r"),G99," ")</f>
        <v> </v>
      </c>
      <c r="O99" s="334" t="str">
        <f aca="false">IF((E99="g"),G99," ")</f>
        <v> </v>
      </c>
      <c r="P99" s="334" t="str">
        <f aca="false">IF((E99="m"),G99," ")</f>
        <v> </v>
      </c>
      <c r="Q99" s="334" t="str">
        <f aca="false">IF((E99="t"),G99," ")</f>
        <v> </v>
      </c>
      <c r="R99" s="334" t="str">
        <f aca="false">IF((E99="a"),G99," ")</f>
        <v> </v>
      </c>
      <c r="S99" s="334" t="str">
        <f aca="false">IF((E99="l"),G99," ")</f>
        <v> </v>
      </c>
      <c r="T99" s="334" t="str">
        <f aca="false">IF((E99="b"),G99," ")</f>
        <v> </v>
      </c>
      <c r="U99" s="334" t="str">
        <f aca="false">IF((E99="i"),G99," ")</f>
        <v> </v>
      </c>
      <c r="V99" s="334" t="str">
        <f aca="false">IF((E99="o"),G99," ")</f>
        <v> </v>
      </c>
      <c r="W99" s="334" t="str">
        <f aca="false">IF((E99="f"),G99," ")</f>
        <v> </v>
      </c>
    </row>
    <row r="100" customFormat="false" ht="12.75" hidden="false" customHeight="false" outlineLevel="0" collapsed="false">
      <c r="A100" s="355"/>
      <c r="E100" s="365" t="str">
        <f aca="false">IF((G100&lt;&gt;0),"Enter Letter"," ")</f>
        <v> </v>
      </c>
      <c r="H100" s="338" t="str">
        <f aca="false">IF((G100&lt;&gt;0),IF((D100&gt;0)," ",G100)," ")</f>
        <v> </v>
      </c>
      <c r="I100" s="367" t="str">
        <f aca="false">IF((G100&lt;&gt;0),IF((D100&gt;0)," ",(I$1-A100))," ")</f>
        <v> </v>
      </c>
      <c r="J100" s="334" t="str">
        <f aca="false">IF((E100="s"),G100," ")</f>
        <v> </v>
      </c>
      <c r="K100" s="334" t="str">
        <f aca="false">IF((E100="d"),G100," ")</f>
        <v> </v>
      </c>
      <c r="L100" s="334" t="str">
        <f aca="false">IF((E100="e"),G100," ")</f>
        <v> </v>
      </c>
      <c r="M100" s="334" t="str">
        <f aca="false">IF((E100="p"),G100," ")</f>
        <v> </v>
      </c>
      <c r="N100" s="334" t="str">
        <f aca="false">IF((E100="r"),G100," ")</f>
        <v> </v>
      </c>
      <c r="O100" s="334" t="str">
        <f aca="false">IF((E100="g"),G100," ")</f>
        <v> </v>
      </c>
      <c r="P100" s="334" t="str">
        <f aca="false">IF((E100="m"),G100," ")</f>
        <v> </v>
      </c>
      <c r="Q100" s="334" t="str">
        <f aca="false">IF((E100="t"),G100," ")</f>
        <v> </v>
      </c>
      <c r="R100" s="334" t="str">
        <f aca="false">IF((E100="a"),G100," ")</f>
        <v> </v>
      </c>
      <c r="S100" s="334" t="str">
        <f aca="false">IF((E100="l"),G100," ")</f>
        <v> </v>
      </c>
      <c r="T100" s="334" t="str">
        <f aca="false">IF((E100="b"),G100," ")</f>
        <v> </v>
      </c>
      <c r="U100" s="334" t="str">
        <f aca="false">IF((E100="i"),G100," ")</f>
        <v> </v>
      </c>
      <c r="V100" s="334" t="str">
        <f aca="false">IF((E100="o"),G100," ")</f>
        <v> </v>
      </c>
      <c r="W100" s="334" t="str">
        <f aca="false">IF((E100="f"),G100," ")</f>
        <v> </v>
      </c>
    </row>
    <row r="101" customFormat="false" ht="12.75" hidden="false" customHeight="false" outlineLevel="0" collapsed="false">
      <c r="A101" s="355"/>
      <c r="E101" s="365" t="str">
        <f aca="false">IF((G101&lt;&gt;0),"Enter Letter"," ")</f>
        <v> </v>
      </c>
      <c r="H101" s="338" t="str">
        <f aca="false">IF((G101&lt;&gt;0),IF((D101&gt;0)," ",G101)," ")</f>
        <v> </v>
      </c>
      <c r="I101" s="367" t="str">
        <f aca="false">IF((G101&lt;&gt;0),IF((D101&gt;0)," ",(I$1-A101))," ")</f>
        <v> </v>
      </c>
      <c r="J101" s="334" t="str">
        <f aca="false">IF((E101="s"),G101," ")</f>
        <v> </v>
      </c>
      <c r="K101" s="334" t="str">
        <f aca="false">IF((E101="d"),G101," ")</f>
        <v> </v>
      </c>
      <c r="L101" s="334" t="str">
        <f aca="false">IF((E101="e"),G101," ")</f>
        <v> </v>
      </c>
      <c r="M101" s="334" t="str">
        <f aca="false">IF((E101="p"),G101," ")</f>
        <v> </v>
      </c>
      <c r="N101" s="334" t="str">
        <f aca="false">IF((E101="r"),G101," ")</f>
        <v> </v>
      </c>
      <c r="O101" s="334" t="str">
        <f aca="false">IF((E101="g"),G101," ")</f>
        <v> </v>
      </c>
      <c r="P101" s="334" t="str">
        <f aca="false">IF((E101="m"),G101," ")</f>
        <v> </v>
      </c>
      <c r="Q101" s="334" t="str">
        <f aca="false">IF((E101="t"),G101," ")</f>
        <v> </v>
      </c>
      <c r="R101" s="334" t="str">
        <f aca="false">IF((E101="a"),G101," ")</f>
        <v> </v>
      </c>
      <c r="S101" s="334" t="str">
        <f aca="false">IF((E101="l"),G101," ")</f>
        <v> </v>
      </c>
      <c r="T101" s="334" t="str">
        <f aca="false">IF((E101="b"),G101," ")</f>
        <v> </v>
      </c>
      <c r="U101" s="334" t="str">
        <f aca="false">IF((E101="i"),G101," ")</f>
        <v> </v>
      </c>
      <c r="V101" s="334" t="str">
        <f aca="false">IF((E101="o"),G101," ")</f>
        <v> </v>
      </c>
      <c r="W101" s="334" t="str">
        <f aca="false">IF((E101="f"),G101," ")</f>
        <v> </v>
      </c>
    </row>
    <row r="102" customFormat="false" ht="12.75" hidden="false" customHeight="false" outlineLevel="0" collapsed="false">
      <c r="A102" s="355"/>
      <c r="E102" s="365" t="str">
        <f aca="false">IF((G102&lt;&gt;0),"Enter Letter"," ")</f>
        <v> </v>
      </c>
      <c r="H102" s="338" t="str">
        <f aca="false">IF((G102&lt;&gt;0),IF((D102&gt;0)," ",G102)," ")</f>
        <v> </v>
      </c>
      <c r="I102" s="367" t="str">
        <f aca="false">IF((G102&lt;&gt;0),IF((D102&gt;0)," ",(I$1-A102))," ")</f>
        <v> </v>
      </c>
      <c r="J102" s="334" t="str">
        <f aca="false">IF((E102="s"),G102," ")</f>
        <v> </v>
      </c>
      <c r="K102" s="334" t="str">
        <f aca="false">IF((E102="d"),G102," ")</f>
        <v> </v>
      </c>
      <c r="L102" s="334" t="str">
        <f aca="false">IF((E102="e"),G102," ")</f>
        <v> </v>
      </c>
      <c r="M102" s="334" t="str">
        <f aca="false">IF((E102="p"),G102," ")</f>
        <v> </v>
      </c>
      <c r="N102" s="334" t="str">
        <f aca="false">IF((E102="r"),G102," ")</f>
        <v> </v>
      </c>
      <c r="O102" s="334" t="str">
        <f aca="false">IF((E102="g"),G102," ")</f>
        <v> </v>
      </c>
      <c r="P102" s="334" t="str">
        <f aca="false">IF((E102="m"),G102," ")</f>
        <v> </v>
      </c>
      <c r="Q102" s="334" t="str">
        <f aca="false">IF((E102="t"),G102," ")</f>
        <v> </v>
      </c>
      <c r="R102" s="334" t="str">
        <f aca="false">IF((E102="a"),G102," ")</f>
        <v> </v>
      </c>
      <c r="S102" s="334" t="str">
        <f aca="false">IF((E102="l"),G102," ")</f>
        <v> </v>
      </c>
      <c r="T102" s="334" t="str">
        <f aca="false">IF((E102="b"),G102," ")</f>
        <v> </v>
      </c>
      <c r="U102" s="334" t="str">
        <f aca="false">IF((E102="i"),G102," ")</f>
        <v> </v>
      </c>
      <c r="V102" s="334" t="str">
        <f aca="false">IF((E102="o"),G102," ")</f>
        <v> </v>
      </c>
      <c r="W102" s="334" t="str">
        <f aca="false">IF((E102="f"),G102," ")</f>
        <v> </v>
      </c>
    </row>
    <row r="103" customFormat="false" ht="12.75" hidden="false" customHeight="false" outlineLevel="0" collapsed="false">
      <c r="A103" s="355"/>
      <c r="E103" s="365" t="str">
        <f aca="false">IF((G103&lt;&gt;0),"Enter Letter"," ")</f>
        <v> </v>
      </c>
      <c r="H103" s="338" t="str">
        <f aca="false">IF((G103&lt;&gt;0),IF((D103&gt;0)," ",G103)," ")</f>
        <v> </v>
      </c>
      <c r="I103" s="367" t="str">
        <f aca="false">IF((G103&lt;&gt;0),IF((D103&gt;0)," ",(I$1-A103))," ")</f>
        <v> </v>
      </c>
      <c r="J103" s="334" t="str">
        <f aca="false">IF((E103="s"),G103," ")</f>
        <v> </v>
      </c>
      <c r="K103" s="334" t="str">
        <f aca="false">IF((E103="d"),G103," ")</f>
        <v> </v>
      </c>
      <c r="L103" s="334" t="str">
        <f aca="false">IF((E103="e"),G103," ")</f>
        <v> </v>
      </c>
      <c r="M103" s="334" t="str">
        <f aca="false">IF((E103="p"),G103," ")</f>
        <v> </v>
      </c>
      <c r="N103" s="334" t="str">
        <f aca="false">IF((E103="r"),G103," ")</f>
        <v> </v>
      </c>
      <c r="O103" s="334" t="str">
        <f aca="false">IF((E103="g"),G103," ")</f>
        <v> </v>
      </c>
      <c r="P103" s="334" t="str">
        <f aca="false">IF((E103="m"),G103," ")</f>
        <v> </v>
      </c>
      <c r="Q103" s="334" t="str">
        <f aca="false">IF((E103="t"),G103," ")</f>
        <v> </v>
      </c>
      <c r="R103" s="334" t="str">
        <f aca="false">IF((E103="a"),G103," ")</f>
        <v> </v>
      </c>
      <c r="S103" s="334" t="str">
        <f aca="false">IF((E103="l"),G103," ")</f>
        <v> </v>
      </c>
      <c r="T103" s="334" t="str">
        <f aca="false">IF((E103="b"),G103," ")</f>
        <v> </v>
      </c>
      <c r="U103" s="334" t="str">
        <f aca="false">IF((E103="i"),G103," ")</f>
        <v> </v>
      </c>
      <c r="V103" s="334" t="str">
        <f aca="false">IF((E103="o"),G103," ")</f>
        <v> </v>
      </c>
      <c r="W103" s="334" t="str">
        <f aca="false">IF((E103="f"),G103," ")</f>
        <v> </v>
      </c>
    </row>
    <row r="104" customFormat="false" ht="12.75" hidden="false" customHeight="false" outlineLevel="0" collapsed="false">
      <c r="A104" s="355"/>
      <c r="E104" s="365" t="str">
        <f aca="false">IF((G104&lt;&gt;0),"Enter Letter"," ")</f>
        <v> </v>
      </c>
      <c r="H104" s="338" t="str">
        <f aca="false">IF((G104&lt;&gt;0),IF((D104&gt;0)," ",G104)," ")</f>
        <v> </v>
      </c>
      <c r="I104" s="367" t="str">
        <f aca="false">IF((G104&lt;&gt;0),IF((D104&gt;0)," ",(I$1-A104))," ")</f>
        <v> </v>
      </c>
      <c r="J104" s="334" t="str">
        <f aca="false">IF((E104="s"),G104," ")</f>
        <v> </v>
      </c>
      <c r="K104" s="334" t="str">
        <f aca="false">IF((E104="d"),G104," ")</f>
        <v> </v>
      </c>
      <c r="L104" s="334" t="str">
        <f aca="false">IF((E104="e"),G104," ")</f>
        <v> </v>
      </c>
      <c r="M104" s="334" t="str">
        <f aca="false">IF((E104="p"),G104," ")</f>
        <v> </v>
      </c>
      <c r="N104" s="334" t="str">
        <f aca="false">IF((E104="r"),G104," ")</f>
        <v> </v>
      </c>
      <c r="O104" s="334" t="str">
        <f aca="false">IF((E104="g"),G104," ")</f>
        <v> </v>
      </c>
      <c r="P104" s="334" t="str">
        <f aca="false">IF((E104="m"),G104," ")</f>
        <v> </v>
      </c>
      <c r="Q104" s="334" t="str">
        <f aca="false">IF((E104="t"),G104," ")</f>
        <v> </v>
      </c>
      <c r="R104" s="334" t="str">
        <f aca="false">IF((E104="a"),G104," ")</f>
        <v> </v>
      </c>
      <c r="S104" s="334" t="str">
        <f aca="false">IF((E104="l"),G104," ")</f>
        <v> </v>
      </c>
      <c r="T104" s="334" t="str">
        <f aca="false">IF((E104="b"),G104," ")</f>
        <v> </v>
      </c>
      <c r="U104" s="334" t="str">
        <f aca="false">IF((E104="i"),G104," ")</f>
        <v> </v>
      </c>
      <c r="V104" s="334" t="str">
        <f aca="false">IF((E104="o"),G104," ")</f>
        <v> </v>
      </c>
      <c r="W104" s="334" t="str">
        <f aca="false">IF((E104="f"),G104," ")</f>
        <v> </v>
      </c>
    </row>
    <row r="105" customFormat="false" ht="12.75" hidden="false" customHeight="false" outlineLevel="0" collapsed="false">
      <c r="A105" s="355"/>
      <c r="E105" s="365" t="str">
        <f aca="false">IF((G105&lt;&gt;0),"Enter Letter"," ")</f>
        <v> </v>
      </c>
      <c r="H105" s="338" t="str">
        <f aca="false">IF((G105&lt;&gt;0),IF((D105&gt;0)," ",G105)," ")</f>
        <v> </v>
      </c>
      <c r="I105" s="367" t="str">
        <f aca="false">IF((G105&lt;&gt;0),IF((D105&gt;0)," ",(I$1-A105))," ")</f>
        <v> </v>
      </c>
      <c r="J105" s="334" t="str">
        <f aca="false">IF((E105="s"),G105," ")</f>
        <v> </v>
      </c>
      <c r="K105" s="334" t="str">
        <f aca="false">IF((E105="d"),G105," ")</f>
        <v> </v>
      </c>
      <c r="L105" s="334" t="str">
        <f aca="false">IF((E105="e"),G105," ")</f>
        <v> </v>
      </c>
      <c r="M105" s="334" t="str">
        <f aca="false">IF((E105="p"),G105," ")</f>
        <v> </v>
      </c>
      <c r="N105" s="334" t="str">
        <f aca="false">IF((E105="r"),G105," ")</f>
        <v> </v>
      </c>
      <c r="O105" s="334" t="str">
        <f aca="false">IF((E105="g"),G105," ")</f>
        <v> </v>
      </c>
      <c r="P105" s="334" t="str">
        <f aca="false">IF((E105="m"),G105," ")</f>
        <v> </v>
      </c>
      <c r="Q105" s="334" t="str">
        <f aca="false">IF((E105="t"),G105," ")</f>
        <v> </v>
      </c>
      <c r="R105" s="334" t="str">
        <f aca="false">IF((E105="a"),G105," ")</f>
        <v> </v>
      </c>
      <c r="S105" s="334" t="str">
        <f aca="false">IF((E105="l"),G105," ")</f>
        <v> </v>
      </c>
      <c r="T105" s="334" t="str">
        <f aca="false">IF((E105="b"),G105," ")</f>
        <v> </v>
      </c>
      <c r="U105" s="334" t="str">
        <f aca="false">IF((E105="i"),G105," ")</f>
        <v> </v>
      </c>
      <c r="V105" s="334" t="str">
        <f aca="false">IF((E105="o"),G105," ")</f>
        <v> </v>
      </c>
      <c r="W105" s="334" t="str">
        <f aca="false">IF((E105="f"),G105," ")</f>
        <v> </v>
      </c>
    </row>
    <row r="106" customFormat="false" ht="12.75" hidden="false" customHeight="false" outlineLevel="0" collapsed="false">
      <c r="A106" s="355"/>
      <c r="E106" s="365" t="str">
        <f aca="false">IF((G106&lt;&gt;0),"Enter Letter"," ")</f>
        <v> </v>
      </c>
      <c r="H106" s="338" t="str">
        <f aca="false">IF((G106&lt;&gt;0),IF((D106&gt;0)," ",G106)," ")</f>
        <v> </v>
      </c>
      <c r="I106" s="367" t="str">
        <f aca="false">IF((G106&lt;&gt;0),IF((D106&gt;0)," ",(I$1-A106))," ")</f>
        <v> </v>
      </c>
      <c r="J106" s="334" t="str">
        <f aca="false">IF((E106="s"),G106," ")</f>
        <v> </v>
      </c>
      <c r="K106" s="334" t="str">
        <f aca="false">IF((E106="d"),G106," ")</f>
        <v> </v>
      </c>
      <c r="L106" s="334" t="str">
        <f aca="false">IF((E106="e"),G106," ")</f>
        <v> </v>
      </c>
      <c r="M106" s="334" t="str">
        <f aca="false">IF((E106="p"),G106," ")</f>
        <v> </v>
      </c>
      <c r="N106" s="334" t="str">
        <f aca="false">IF((E106="r"),G106," ")</f>
        <v> </v>
      </c>
      <c r="O106" s="334" t="str">
        <f aca="false">IF((E106="g"),G106," ")</f>
        <v> </v>
      </c>
      <c r="P106" s="334" t="str">
        <f aca="false">IF((E106="m"),G106," ")</f>
        <v> </v>
      </c>
      <c r="Q106" s="334" t="str">
        <f aca="false">IF((E106="t"),G106," ")</f>
        <v> </v>
      </c>
      <c r="R106" s="334" t="str">
        <f aca="false">IF((E106="a"),G106," ")</f>
        <v> </v>
      </c>
      <c r="S106" s="334" t="str">
        <f aca="false">IF((E106="l"),G106," ")</f>
        <v> </v>
      </c>
      <c r="T106" s="334" t="str">
        <f aca="false">IF((E106="b"),G106," ")</f>
        <v> </v>
      </c>
      <c r="U106" s="334" t="str">
        <f aca="false">IF((E106="i"),G106," ")</f>
        <v> </v>
      </c>
      <c r="V106" s="334" t="str">
        <f aca="false">IF((E106="o"),G106," ")</f>
        <v> </v>
      </c>
      <c r="W106" s="334" t="str">
        <f aca="false">IF((E106="f"),G106," ")</f>
        <v> </v>
      </c>
    </row>
    <row r="107" customFormat="false" ht="12.75" hidden="false" customHeight="false" outlineLevel="0" collapsed="false">
      <c r="A107" s="355"/>
      <c r="E107" s="365" t="str">
        <f aca="false">IF((G107&lt;&gt;0),"Enter Letter"," ")</f>
        <v> </v>
      </c>
      <c r="H107" s="338" t="str">
        <f aca="false">IF((G107&lt;&gt;0),IF((D107&gt;0)," ",G107)," ")</f>
        <v> </v>
      </c>
      <c r="I107" s="367" t="str">
        <f aca="false">IF((G107&lt;&gt;0),IF((D107&gt;0)," ",(I$1-A107))," ")</f>
        <v> </v>
      </c>
      <c r="J107" s="334" t="str">
        <f aca="false">IF((E107="s"),G107," ")</f>
        <v> </v>
      </c>
      <c r="K107" s="334" t="str">
        <f aca="false">IF((E107="d"),G107," ")</f>
        <v> </v>
      </c>
      <c r="L107" s="334" t="str">
        <f aca="false">IF((E107="e"),G107," ")</f>
        <v> </v>
      </c>
      <c r="M107" s="334" t="str">
        <f aca="false">IF((E107="p"),G107," ")</f>
        <v> </v>
      </c>
      <c r="N107" s="334" t="str">
        <f aca="false">IF((E107="r"),G107," ")</f>
        <v> </v>
      </c>
      <c r="O107" s="334" t="str">
        <f aca="false">IF((E107="g"),G107," ")</f>
        <v> </v>
      </c>
      <c r="P107" s="334" t="str">
        <f aca="false">IF((E107="m"),G107," ")</f>
        <v> </v>
      </c>
      <c r="Q107" s="334" t="str">
        <f aca="false">IF((E107="t"),G107," ")</f>
        <v> </v>
      </c>
      <c r="R107" s="334" t="str">
        <f aca="false">IF((E107="a"),G107," ")</f>
        <v> </v>
      </c>
      <c r="S107" s="334" t="str">
        <f aca="false">IF((E107="l"),G107," ")</f>
        <v> </v>
      </c>
      <c r="T107" s="334" t="str">
        <f aca="false">IF((E107="b"),G107," ")</f>
        <v> </v>
      </c>
      <c r="U107" s="334" t="str">
        <f aca="false">IF((E107="i"),G107," ")</f>
        <v> </v>
      </c>
      <c r="V107" s="334" t="str">
        <f aca="false">IF((E107="o"),G107," ")</f>
        <v> </v>
      </c>
      <c r="W107" s="334" t="str">
        <f aca="false">IF((E107="f"),G107," ")</f>
        <v> </v>
      </c>
    </row>
    <row r="108" customFormat="false" ht="12.75" hidden="false" customHeight="false" outlineLevel="0" collapsed="false">
      <c r="A108" s="355"/>
      <c r="E108" s="365" t="str">
        <f aca="false">IF((G108&lt;&gt;0),"Enter Letter"," ")</f>
        <v> </v>
      </c>
      <c r="H108" s="338" t="str">
        <f aca="false">IF((G108&lt;&gt;0),IF((D108&gt;0)," ",G108)," ")</f>
        <v> </v>
      </c>
      <c r="I108" s="367" t="str">
        <f aca="false">IF((G108&lt;&gt;0),IF((D108&gt;0)," ",(I$1-A108))," ")</f>
        <v> </v>
      </c>
      <c r="J108" s="334" t="str">
        <f aca="false">IF((E108="s"),G108," ")</f>
        <v> </v>
      </c>
      <c r="K108" s="334" t="str">
        <f aca="false">IF((E108="d"),G108," ")</f>
        <v> </v>
      </c>
      <c r="L108" s="334" t="str">
        <f aca="false">IF((E108="e"),G108," ")</f>
        <v> </v>
      </c>
      <c r="M108" s="334" t="str">
        <f aca="false">IF((E108="p"),G108," ")</f>
        <v> </v>
      </c>
      <c r="N108" s="334" t="str">
        <f aca="false">IF((E108="r"),G108," ")</f>
        <v> </v>
      </c>
      <c r="O108" s="334" t="str">
        <f aca="false">IF((E108="g"),G108," ")</f>
        <v> </v>
      </c>
      <c r="P108" s="334" t="str">
        <f aca="false">IF((E108="m"),G108," ")</f>
        <v> </v>
      </c>
      <c r="Q108" s="334" t="str">
        <f aca="false">IF((E108="t"),G108," ")</f>
        <v> </v>
      </c>
      <c r="R108" s="334" t="str">
        <f aca="false">IF((E108="a"),G108," ")</f>
        <v> </v>
      </c>
      <c r="S108" s="334" t="str">
        <f aca="false">IF((E108="l"),G108," ")</f>
        <v> </v>
      </c>
      <c r="T108" s="334" t="str">
        <f aca="false">IF((E108="b"),G108," ")</f>
        <v> </v>
      </c>
      <c r="U108" s="334" t="str">
        <f aca="false">IF((E108="i"),G108," ")</f>
        <v> </v>
      </c>
      <c r="V108" s="334" t="str">
        <f aca="false">IF((E108="o"),G108," ")</f>
        <v> </v>
      </c>
      <c r="W108" s="334" t="str">
        <f aca="false">IF((E108="f"),G108," ")</f>
        <v> </v>
      </c>
    </row>
    <row r="109" customFormat="false" ht="12.75" hidden="false" customHeight="false" outlineLevel="0" collapsed="false">
      <c r="A109" s="355"/>
      <c r="E109" s="365" t="str">
        <f aca="false">IF((G109&lt;&gt;0),"Enter Letter"," ")</f>
        <v> </v>
      </c>
      <c r="H109" s="338" t="str">
        <f aca="false">IF((G109&lt;&gt;0),IF((D109&gt;0)," ",G109)," ")</f>
        <v> </v>
      </c>
      <c r="I109" s="367" t="str">
        <f aca="false">IF((G109&lt;&gt;0),IF((D109&gt;0)," ",(I$1-A109))," ")</f>
        <v> </v>
      </c>
      <c r="J109" s="334" t="str">
        <f aca="false">IF((E109="s"),G109," ")</f>
        <v> </v>
      </c>
      <c r="K109" s="334" t="str">
        <f aca="false">IF((E109="d"),G109," ")</f>
        <v> </v>
      </c>
      <c r="L109" s="334" t="str">
        <f aca="false">IF((E109="e"),G109," ")</f>
        <v> </v>
      </c>
      <c r="M109" s="334" t="str">
        <f aca="false">IF((E109="p"),G109," ")</f>
        <v> </v>
      </c>
      <c r="N109" s="334" t="str">
        <f aca="false">IF((E109="r"),G109," ")</f>
        <v> </v>
      </c>
      <c r="O109" s="334" t="str">
        <f aca="false">IF((E109="g"),G109," ")</f>
        <v> </v>
      </c>
      <c r="P109" s="334" t="str">
        <f aca="false">IF((E109="m"),G109," ")</f>
        <v> </v>
      </c>
      <c r="Q109" s="334" t="str">
        <f aca="false">IF((E109="t"),G109," ")</f>
        <v> </v>
      </c>
      <c r="R109" s="334" t="str">
        <f aca="false">IF((E109="a"),G109," ")</f>
        <v> </v>
      </c>
      <c r="S109" s="334" t="str">
        <f aca="false">IF((E109="l"),G109," ")</f>
        <v> </v>
      </c>
      <c r="T109" s="334" t="str">
        <f aca="false">IF((E109="b"),G109," ")</f>
        <v> </v>
      </c>
      <c r="U109" s="334" t="str">
        <f aca="false">IF((E109="i"),G109," ")</f>
        <v> </v>
      </c>
      <c r="V109" s="334" t="str">
        <f aca="false">IF((E109="o"),G109," ")</f>
        <v> </v>
      </c>
      <c r="W109" s="334" t="str">
        <f aca="false">IF((E109="f"),G109," ")</f>
        <v> </v>
      </c>
    </row>
    <row r="110" customFormat="false" ht="12.75" hidden="false" customHeight="false" outlineLevel="0" collapsed="false">
      <c r="A110" s="355"/>
      <c r="E110" s="365" t="str">
        <f aca="false">IF((G110&lt;&gt;0),"Enter Letter"," ")</f>
        <v> </v>
      </c>
      <c r="H110" s="338" t="str">
        <f aca="false">IF((G110&lt;&gt;0),IF((D110&gt;0)," ",G110)," ")</f>
        <v> </v>
      </c>
      <c r="I110" s="367" t="str">
        <f aca="false">IF((G110&lt;&gt;0),IF((D110&gt;0)," ",(I$1-A110))," ")</f>
        <v> </v>
      </c>
      <c r="J110" s="334" t="str">
        <f aca="false">IF((E110="s"),G110," ")</f>
        <v> </v>
      </c>
      <c r="K110" s="334" t="str">
        <f aca="false">IF((E110="d"),G110," ")</f>
        <v> </v>
      </c>
      <c r="L110" s="334" t="str">
        <f aca="false">IF((E110="e"),G110," ")</f>
        <v> </v>
      </c>
      <c r="M110" s="334" t="str">
        <f aca="false">IF((E110="p"),G110," ")</f>
        <v> </v>
      </c>
      <c r="N110" s="334" t="str">
        <f aca="false">IF((E110="r"),G110," ")</f>
        <v> </v>
      </c>
      <c r="O110" s="334" t="str">
        <f aca="false">IF((E110="g"),G110," ")</f>
        <v> </v>
      </c>
      <c r="P110" s="334" t="str">
        <f aca="false">IF((E110="m"),G110," ")</f>
        <v> </v>
      </c>
      <c r="Q110" s="334" t="str">
        <f aca="false">IF((E110="t"),G110," ")</f>
        <v> </v>
      </c>
      <c r="R110" s="334" t="str">
        <f aca="false">IF((E110="a"),G110," ")</f>
        <v> </v>
      </c>
      <c r="S110" s="334" t="str">
        <f aca="false">IF((E110="l"),G110," ")</f>
        <v> </v>
      </c>
      <c r="T110" s="334" t="str">
        <f aca="false">IF((E110="b"),G110," ")</f>
        <v> </v>
      </c>
      <c r="U110" s="334" t="str">
        <f aca="false">IF((E110="i"),G110," ")</f>
        <v> </v>
      </c>
      <c r="V110" s="334" t="str">
        <f aca="false">IF((E110="o"),G110," ")</f>
        <v> </v>
      </c>
      <c r="W110" s="334" t="str">
        <f aca="false">IF((E110="f"),G110," ")</f>
        <v> </v>
      </c>
    </row>
    <row r="111" customFormat="false" ht="12.75" hidden="false" customHeight="false" outlineLevel="0" collapsed="false">
      <c r="A111" s="355"/>
      <c r="E111" s="365" t="str">
        <f aca="false">IF((G111&lt;&gt;0),"Enter Letter"," ")</f>
        <v> </v>
      </c>
      <c r="H111" s="338" t="str">
        <f aca="false">IF((G111&lt;&gt;0),IF((D111&gt;0)," ",G111)," ")</f>
        <v> </v>
      </c>
      <c r="I111" s="367" t="str">
        <f aca="false">IF((G111&lt;&gt;0),IF((D111&gt;0)," ",(I$1-A111))," ")</f>
        <v> </v>
      </c>
      <c r="J111" s="334" t="str">
        <f aca="false">IF((E111="s"),G111," ")</f>
        <v> </v>
      </c>
      <c r="K111" s="334" t="str">
        <f aca="false">IF((E111="d"),G111," ")</f>
        <v> </v>
      </c>
      <c r="L111" s="334" t="str">
        <f aca="false">IF((E111="e"),G111," ")</f>
        <v> </v>
      </c>
      <c r="M111" s="334" t="str">
        <f aca="false">IF((E111="p"),G111," ")</f>
        <v> </v>
      </c>
      <c r="N111" s="334" t="str">
        <f aca="false">IF((E111="r"),G111," ")</f>
        <v> </v>
      </c>
      <c r="O111" s="334" t="str">
        <f aca="false">IF((E111="g"),G111," ")</f>
        <v> </v>
      </c>
      <c r="P111" s="334" t="str">
        <f aca="false">IF((E111="m"),G111," ")</f>
        <v> </v>
      </c>
      <c r="Q111" s="334" t="str">
        <f aca="false">IF((E111="t"),G111," ")</f>
        <v> </v>
      </c>
      <c r="R111" s="334" t="str">
        <f aca="false">IF((E111="a"),G111," ")</f>
        <v> </v>
      </c>
      <c r="S111" s="334" t="str">
        <f aca="false">IF((E111="l"),G111," ")</f>
        <v> </v>
      </c>
      <c r="T111" s="334" t="str">
        <f aca="false">IF((E111="b"),G111," ")</f>
        <v> </v>
      </c>
      <c r="U111" s="334" t="str">
        <f aca="false">IF((E111="i"),G111," ")</f>
        <v> </v>
      </c>
      <c r="V111" s="334" t="str">
        <f aca="false">IF((E111="o"),G111," ")</f>
        <v> </v>
      </c>
      <c r="W111" s="334" t="str">
        <f aca="false">IF((E111="f"),G111," ")</f>
        <v> </v>
      </c>
    </row>
    <row r="112" customFormat="false" ht="12.75" hidden="false" customHeight="false" outlineLevel="0" collapsed="false">
      <c r="A112" s="355"/>
      <c r="E112" s="365" t="str">
        <f aca="false">IF((G112&lt;&gt;0),"Enter Letter"," ")</f>
        <v> </v>
      </c>
      <c r="H112" s="338" t="str">
        <f aca="false">IF((G112&lt;&gt;0),IF((D112&gt;0)," ",G112)," ")</f>
        <v> </v>
      </c>
      <c r="I112" s="367" t="str">
        <f aca="false">IF((G112&lt;&gt;0),IF((D112&gt;0)," ",(I$1-A112))," ")</f>
        <v> </v>
      </c>
      <c r="J112" s="334" t="str">
        <f aca="false">IF((E112="s"),G112," ")</f>
        <v> </v>
      </c>
      <c r="K112" s="334" t="str">
        <f aca="false">IF((E112="d"),G112," ")</f>
        <v> </v>
      </c>
      <c r="L112" s="334" t="str">
        <f aca="false">IF((E112="e"),G112," ")</f>
        <v> </v>
      </c>
      <c r="M112" s="334" t="str">
        <f aca="false">IF((E112="p"),G112," ")</f>
        <v> </v>
      </c>
      <c r="N112" s="334" t="str">
        <f aca="false">IF((E112="r"),G112," ")</f>
        <v> </v>
      </c>
      <c r="O112" s="334" t="str">
        <f aca="false">IF((E112="g"),G112," ")</f>
        <v> </v>
      </c>
      <c r="P112" s="334" t="str">
        <f aca="false">IF((E112="m"),G112," ")</f>
        <v> </v>
      </c>
      <c r="Q112" s="334" t="str">
        <f aca="false">IF((E112="t"),G112," ")</f>
        <v> </v>
      </c>
      <c r="R112" s="334" t="str">
        <f aca="false">IF((E112="a"),G112," ")</f>
        <v> </v>
      </c>
      <c r="S112" s="334" t="str">
        <f aca="false">IF((E112="l"),G112," ")</f>
        <v> </v>
      </c>
      <c r="T112" s="334" t="str">
        <f aca="false">IF((E112="b"),G112," ")</f>
        <v> </v>
      </c>
      <c r="U112" s="334" t="str">
        <f aca="false">IF((E112="i"),G112," ")</f>
        <v> </v>
      </c>
      <c r="V112" s="334" t="str">
        <f aca="false">IF((E112="o"),G112," ")</f>
        <v> </v>
      </c>
      <c r="W112" s="334" t="str">
        <f aca="false">IF((E112="f"),G112," ")</f>
        <v> </v>
      </c>
    </row>
    <row r="113" customFormat="false" ht="12.75" hidden="false" customHeight="false" outlineLevel="0" collapsed="false">
      <c r="A113" s="355"/>
      <c r="E113" s="365" t="str">
        <f aca="false">IF((G113&lt;&gt;0),"Enter Letter"," ")</f>
        <v> </v>
      </c>
      <c r="H113" s="338" t="str">
        <f aca="false">IF((G113&lt;&gt;0),IF((D113&gt;0)," ",G113)," ")</f>
        <v> </v>
      </c>
      <c r="I113" s="367" t="str">
        <f aca="false">IF((G113&lt;&gt;0),IF((D113&gt;0)," ",(I$1-A113))," ")</f>
        <v> </v>
      </c>
      <c r="J113" s="334" t="str">
        <f aca="false">IF((E113="s"),G113," ")</f>
        <v> </v>
      </c>
      <c r="K113" s="334" t="str">
        <f aca="false">IF((E113="d"),G113," ")</f>
        <v> </v>
      </c>
      <c r="L113" s="334" t="str">
        <f aca="false">IF((E113="e"),G113," ")</f>
        <v> </v>
      </c>
      <c r="M113" s="334" t="str">
        <f aca="false">IF((E113="p"),G113," ")</f>
        <v> </v>
      </c>
      <c r="N113" s="334" t="str">
        <f aca="false">IF((E113="r"),G113," ")</f>
        <v> </v>
      </c>
      <c r="O113" s="334" t="str">
        <f aca="false">IF((E113="g"),G113," ")</f>
        <v> </v>
      </c>
      <c r="P113" s="334" t="str">
        <f aca="false">IF((E113="m"),G113," ")</f>
        <v> </v>
      </c>
      <c r="Q113" s="334" t="str">
        <f aca="false">IF((E113="t"),G113," ")</f>
        <v> </v>
      </c>
      <c r="R113" s="334" t="str">
        <f aca="false">IF((E113="a"),G113," ")</f>
        <v> </v>
      </c>
      <c r="S113" s="334" t="str">
        <f aca="false">IF((E113="l"),G113," ")</f>
        <v> </v>
      </c>
      <c r="T113" s="334" t="str">
        <f aca="false">IF((E113="b"),G113," ")</f>
        <v> </v>
      </c>
      <c r="U113" s="334" t="str">
        <f aca="false">IF((E113="i"),G113," ")</f>
        <v> </v>
      </c>
      <c r="V113" s="334" t="str">
        <f aca="false">IF((E113="o"),G113," ")</f>
        <v> </v>
      </c>
      <c r="W113" s="334" t="str">
        <f aca="false">IF((E113="f"),G113," ")</f>
        <v> </v>
      </c>
    </row>
    <row r="114" customFormat="false" ht="12.75" hidden="false" customHeight="false" outlineLevel="0" collapsed="false">
      <c r="A114" s="355"/>
      <c r="E114" s="365" t="str">
        <f aca="false">IF((G114&lt;&gt;0),"Enter Letter"," ")</f>
        <v> </v>
      </c>
      <c r="H114" s="338" t="str">
        <f aca="false">IF((G114&lt;&gt;0),IF((D114&gt;0)," ",G114)," ")</f>
        <v> </v>
      </c>
      <c r="I114" s="367" t="str">
        <f aca="false">IF((G114&lt;&gt;0),IF((D114&gt;0)," ",(I$1-A114))," ")</f>
        <v> </v>
      </c>
      <c r="J114" s="334" t="str">
        <f aca="false">IF((E114="s"),G114," ")</f>
        <v> </v>
      </c>
      <c r="K114" s="334" t="str">
        <f aca="false">IF((E114="d"),G114," ")</f>
        <v> </v>
      </c>
      <c r="L114" s="334" t="str">
        <f aca="false">IF((E114="e"),G114," ")</f>
        <v> </v>
      </c>
      <c r="M114" s="334" t="str">
        <f aca="false">IF((E114="p"),G114," ")</f>
        <v> </v>
      </c>
      <c r="N114" s="334" t="str">
        <f aca="false">IF((E114="r"),G114," ")</f>
        <v> </v>
      </c>
      <c r="O114" s="334" t="str">
        <f aca="false">IF((E114="g"),G114," ")</f>
        <v> </v>
      </c>
      <c r="P114" s="334" t="str">
        <f aca="false">IF((E114="m"),G114," ")</f>
        <v> </v>
      </c>
      <c r="Q114" s="334" t="str">
        <f aca="false">IF((E114="t"),G114," ")</f>
        <v> </v>
      </c>
      <c r="R114" s="334" t="str">
        <f aca="false">IF((E114="a"),G114," ")</f>
        <v> </v>
      </c>
      <c r="S114" s="334" t="str">
        <f aca="false">IF((E114="l"),G114," ")</f>
        <v> </v>
      </c>
      <c r="T114" s="334" t="str">
        <f aca="false">IF((E114="b"),G114," ")</f>
        <v> </v>
      </c>
      <c r="U114" s="334" t="str">
        <f aca="false">IF((E114="i"),G114," ")</f>
        <v> </v>
      </c>
      <c r="V114" s="334" t="str">
        <f aca="false">IF((E114="o"),G114," ")</f>
        <v> </v>
      </c>
      <c r="W114" s="334" t="str">
        <f aca="false">IF((E114="f"),G114," ")</f>
        <v> </v>
      </c>
    </row>
    <row r="115" customFormat="false" ht="12.75" hidden="false" customHeight="false" outlineLevel="0" collapsed="false">
      <c r="A115" s="355"/>
      <c r="E115" s="365" t="str">
        <f aca="false">IF((G115&lt;&gt;0),"Enter Letter"," ")</f>
        <v> </v>
      </c>
      <c r="H115" s="338" t="str">
        <f aca="false">IF((G115&lt;&gt;0),IF((D115&gt;0)," ",G115)," ")</f>
        <v> </v>
      </c>
      <c r="I115" s="367" t="str">
        <f aca="false">IF((G115&lt;&gt;0),IF((D115&gt;0)," ",(I$1-A115))," ")</f>
        <v> </v>
      </c>
      <c r="J115" s="334" t="str">
        <f aca="false">IF((E115="s"),G115," ")</f>
        <v> </v>
      </c>
      <c r="K115" s="334" t="str">
        <f aca="false">IF((E115="d"),G115," ")</f>
        <v> </v>
      </c>
      <c r="L115" s="334" t="str">
        <f aca="false">IF((E115="e"),G115," ")</f>
        <v> </v>
      </c>
      <c r="M115" s="334" t="str">
        <f aca="false">IF((E115="p"),G115," ")</f>
        <v> </v>
      </c>
      <c r="N115" s="334" t="str">
        <f aca="false">IF((E115="r"),G115," ")</f>
        <v> </v>
      </c>
      <c r="O115" s="334" t="str">
        <f aca="false">IF((E115="g"),G115," ")</f>
        <v> </v>
      </c>
      <c r="P115" s="334" t="str">
        <f aca="false">IF((E115="m"),G115," ")</f>
        <v> </v>
      </c>
      <c r="Q115" s="334" t="str">
        <f aca="false">IF((E115="t"),G115," ")</f>
        <v> </v>
      </c>
      <c r="R115" s="334" t="str">
        <f aca="false">IF((E115="a"),G115," ")</f>
        <v> </v>
      </c>
      <c r="S115" s="334" t="str">
        <f aca="false">IF((E115="l"),G115," ")</f>
        <v> </v>
      </c>
      <c r="T115" s="334" t="str">
        <f aca="false">IF((E115="b"),G115," ")</f>
        <v> </v>
      </c>
      <c r="U115" s="334" t="str">
        <f aca="false">IF((E115="i"),G115," ")</f>
        <v> </v>
      </c>
      <c r="V115" s="334" t="str">
        <f aca="false">IF((E115="o"),G115," ")</f>
        <v> </v>
      </c>
      <c r="W115" s="334" t="str">
        <f aca="false">IF((E115="f"),G115," ")</f>
        <v> </v>
      </c>
    </row>
    <row r="116" customFormat="false" ht="12.75" hidden="false" customHeight="false" outlineLevel="0" collapsed="false">
      <c r="A116" s="355"/>
      <c r="E116" s="365" t="str">
        <f aca="false">IF((G116&lt;&gt;0),"Enter Letter"," ")</f>
        <v> </v>
      </c>
      <c r="H116" s="338" t="str">
        <f aca="false">IF((G116&lt;&gt;0),IF((D116&gt;0)," ",G116)," ")</f>
        <v> </v>
      </c>
      <c r="I116" s="367" t="str">
        <f aca="false">IF((G116&lt;&gt;0),IF((D116&gt;0)," ",(I$1-A116))," ")</f>
        <v> </v>
      </c>
      <c r="J116" s="334" t="str">
        <f aca="false">IF((E116="s"),G116," ")</f>
        <v> </v>
      </c>
      <c r="K116" s="334" t="str">
        <f aca="false">IF((E116="d"),G116," ")</f>
        <v> </v>
      </c>
      <c r="L116" s="334" t="str">
        <f aca="false">IF((E116="e"),G116," ")</f>
        <v> </v>
      </c>
      <c r="M116" s="334" t="str">
        <f aca="false">IF((E116="p"),G116," ")</f>
        <v> </v>
      </c>
      <c r="N116" s="334" t="str">
        <f aca="false">IF((E116="r"),G116," ")</f>
        <v> </v>
      </c>
      <c r="O116" s="334" t="str">
        <f aca="false">IF((E116="g"),G116," ")</f>
        <v> </v>
      </c>
      <c r="P116" s="334" t="str">
        <f aca="false">IF((E116="m"),G116," ")</f>
        <v> </v>
      </c>
      <c r="Q116" s="334" t="str">
        <f aca="false">IF((E116="t"),G116," ")</f>
        <v> </v>
      </c>
      <c r="R116" s="334" t="str">
        <f aca="false">IF((E116="a"),G116," ")</f>
        <v> </v>
      </c>
      <c r="S116" s="334" t="str">
        <f aca="false">IF((E116="l"),G116," ")</f>
        <v> </v>
      </c>
      <c r="T116" s="334" t="str">
        <f aca="false">IF((E116="b"),G116," ")</f>
        <v> </v>
      </c>
      <c r="U116" s="334" t="str">
        <f aca="false">IF((E116="i"),G116," ")</f>
        <v> </v>
      </c>
      <c r="V116" s="334" t="str">
        <f aca="false">IF((E116="o"),G116," ")</f>
        <v> </v>
      </c>
      <c r="W116" s="334" t="str">
        <f aca="false">IF((E116="f"),G116," ")</f>
        <v> </v>
      </c>
    </row>
    <row r="117" customFormat="false" ht="12.75" hidden="false" customHeight="false" outlineLevel="0" collapsed="false">
      <c r="A117" s="355"/>
      <c r="E117" s="365" t="str">
        <f aca="false">IF((G117&lt;&gt;0),"Enter Letter"," ")</f>
        <v> </v>
      </c>
      <c r="H117" s="338" t="str">
        <f aca="false">IF((G117&lt;&gt;0),IF((D117&gt;0)," ",G117)," ")</f>
        <v> </v>
      </c>
      <c r="I117" s="367" t="str">
        <f aca="false">IF((G117&lt;&gt;0),IF((D117&gt;0)," ",(I$1-A117))," ")</f>
        <v> </v>
      </c>
      <c r="J117" s="334" t="str">
        <f aca="false">IF((E117="s"),G117," ")</f>
        <v> </v>
      </c>
      <c r="K117" s="334" t="str">
        <f aca="false">IF((E117="d"),G117," ")</f>
        <v> </v>
      </c>
      <c r="L117" s="334" t="str">
        <f aca="false">IF((E117="e"),G117," ")</f>
        <v> </v>
      </c>
      <c r="M117" s="334" t="str">
        <f aca="false">IF((E117="p"),G117," ")</f>
        <v> </v>
      </c>
      <c r="N117" s="334" t="str">
        <f aca="false">IF((E117="r"),G117," ")</f>
        <v> </v>
      </c>
      <c r="O117" s="334" t="str">
        <f aca="false">IF((E117="g"),G117," ")</f>
        <v> </v>
      </c>
      <c r="P117" s="334" t="str">
        <f aca="false">IF((E117="m"),G117," ")</f>
        <v> </v>
      </c>
      <c r="Q117" s="334" t="str">
        <f aca="false">IF((E117="t"),G117," ")</f>
        <v> </v>
      </c>
      <c r="R117" s="334" t="str">
        <f aca="false">IF((E117="a"),G117," ")</f>
        <v> </v>
      </c>
      <c r="S117" s="334" t="str">
        <f aca="false">IF((E117="l"),G117," ")</f>
        <v> </v>
      </c>
      <c r="T117" s="334" t="str">
        <f aca="false">IF((E117="b"),G117," ")</f>
        <v> </v>
      </c>
      <c r="U117" s="334" t="str">
        <f aca="false">IF((E117="i"),G117," ")</f>
        <v> </v>
      </c>
      <c r="V117" s="334" t="str">
        <f aca="false">IF((E117="o"),G117," ")</f>
        <v> </v>
      </c>
      <c r="W117" s="334" t="str">
        <f aca="false">IF((E117="f"),G117," ")</f>
        <v> </v>
      </c>
    </row>
    <row r="118" customFormat="false" ht="12.75" hidden="false" customHeight="false" outlineLevel="0" collapsed="false">
      <c r="A118" s="355"/>
      <c r="E118" s="365" t="str">
        <f aca="false">IF((G118&lt;&gt;0),"Enter Letter"," ")</f>
        <v> </v>
      </c>
      <c r="H118" s="338" t="str">
        <f aca="false">IF((G118&lt;&gt;0),IF((D118&gt;0)," ",G118)," ")</f>
        <v> </v>
      </c>
      <c r="I118" s="367" t="str">
        <f aca="false">IF((G118&lt;&gt;0),IF((D118&gt;0)," ",(I$1-A118))," ")</f>
        <v> </v>
      </c>
      <c r="J118" s="334" t="str">
        <f aca="false">IF((E118="s"),G118," ")</f>
        <v> </v>
      </c>
      <c r="K118" s="334" t="str">
        <f aca="false">IF((E118="d"),G118," ")</f>
        <v> </v>
      </c>
      <c r="L118" s="334" t="str">
        <f aca="false">IF((E118="e"),G118," ")</f>
        <v> </v>
      </c>
      <c r="M118" s="334" t="str">
        <f aca="false">IF((E118="p"),G118," ")</f>
        <v> </v>
      </c>
      <c r="N118" s="334" t="str">
        <f aca="false">IF((E118="r"),G118," ")</f>
        <v> </v>
      </c>
      <c r="O118" s="334" t="str">
        <f aca="false">IF((E118="g"),G118," ")</f>
        <v> </v>
      </c>
      <c r="P118" s="334" t="str">
        <f aca="false">IF((E118="m"),G118," ")</f>
        <v> </v>
      </c>
      <c r="Q118" s="334" t="str">
        <f aca="false">IF((E118="t"),G118," ")</f>
        <v> </v>
      </c>
      <c r="R118" s="334" t="str">
        <f aca="false">IF((E118="a"),G118," ")</f>
        <v> </v>
      </c>
      <c r="S118" s="334" t="str">
        <f aca="false">IF((E118="l"),G118," ")</f>
        <v> </v>
      </c>
      <c r="T118" s="334" t="str">
        <f aca="false">IF((E118="b"),G118," ")</f>
        <v> </v>
      </c>
      <c r="U118" s="334" t="str">
        <f aca="false">IF((E118="i"),G118," ")</f>
        <v> </v>
      </c>
      <c r="V118" s="334" t="str">
        <f aca="false">IF((E118="o"),G118," ")</f>
        <v> </v>
      </c>
      <c r="W118" s="334" t="str">
        <f aca="false">IF((E118="f"),G118," ")</f>
        <v> </v>
      </c>
    </row>
    <row r="119" customFormat="false" ht="12.75" hidden="false" customHeight="false" outlineLevel="0" collapsed="false">
      <c r="A119" s="355"/>
      <c r="E119" s="365" t="str">
        <f aca="false">IF((G119&lt;&gt;0),"Enter Letter"," ")</f>
        <v> </v>
      </c>
      <c r="H119" s="338" t="str">
        <f aca="false">IF((G119&lt;&gt;0),IF((D119&gt;0)," ",G119)," ")</f>
        <v> </v>
      </c>
      <c r="I119" s="367" t="str">
        <f aca="false">IF((G119&lt;&gt;0),IF((D119&gt;0)," ",(I$1-A119))," ")</f>
        <v> </v>
      </c>
      <c r="J119" s="334" t="str">
        <f aca="false">IF((E119="s"),G119," ")</f>
        <v> </v>
      </c>
      <c r="K119" s="334" t="str">
        <f aca="false">IF((E119="d"),G119," ")</f>
        <v> </v>
      </c>
      <c r="L119" s="334" t="str">
        <f aca="false">IF((E119="e"),G119," ")</f>
        <v> </v>
      </c>
      <c r="M119" s="334" t="str">
        <f aca="false">IF((E119="p"),G119," ")</f>
        <v> </v>
      </c>
      <c r="N119" s="334" t="str">
        <f aca="false">IF((E119="r"),G119," ")</f>
        <v> </v>
      </c>
      <c r="O119" s="334" t="str">
        <f aca="false">IF((E119="g"),G119," ")</f>
        <v> </v>
      </c>
      <c r="P119" s="334" t="str">
        <f aca="false">IF((E119="m"),G119," ")</f>
        <v> </v>
      </c>
      <c r="Q119" s="334" t="str">
        <f aca="false">IF((E119="t"),G119," ")</f>
        <v> </v>
      </c>
      <c r="R119" s="334" t="str">
        <f aca="false">IF((E119="a"),G119," ")</f>
        <v> </v>
      </c>
      <c r="S119" s="334" t="str">
        <f aca="false">IF((E119="l"),G119," ")</f>
        <v> </v>
      </c>
      <c r="T119" s="334" t="str">
        <f aca="false">IF((E119="b"),G119," ")</f>
        <v> </v>
      </c>
      <c r="U119" s="334" t="str">
        <f aca="false">IF((E119="i"),G119," ")</f>
        <v> </v>
      </c>
      <c r="V119" s="334" t="str">
        <f aca="false">IF((E119="o"),G119," ")</f>
        <v> </v>
      </c>
      <c r="W119" s="334" t="str">
        <f aca="false">IF((E119="f"),G119," ")</f>
        <v> </v>
      </c>
    </row>
    <row r="120" customFormat="false" ht="12.75" hidden="false" customHeight="false" outlineLevel="0" collapsed="false">
      <c r="A120" s="355"/>
      <c r="E120" s="365" t="str">
        <f aca="false">IF((G120&lt;&gt;0),"Enter Letter"," ")</f>
        <v> </v>
      </c>
      <c r="H120" s="338" t="str">
        <f aca="false">IF((G120&lt;&gt;0),IF((D120&gt;0)," ",G120)," ")</f>
        <v> </v>
      </c>
      <c r="I120" s="367" t="str">
        <f aca="false">IF((G120&lt;&gt;0),IF((D120&gt;0)," ",(I$1-A120))," ")</f>
        <v> </v>
      </c>
      <c r="J120" s="334" t="str">
        <f aca="false">IF((E120="s"),G120," ")</f>
        <v> </v>
      </c>
      <c r="K120" s="334" t="str">
        <f aca="false">IF((E120="d"),G120," ")</f>
        <v> </v>
      </c>
      <c r="L120" s="334" t="str">
        <f aca="false">IF((E120="e"),G120," ")</f>
        <v> </v>
      </c>
      <c r="M120" s="334" t="str">
        <f aca="false">IF((E120="p"),G120," ")</f>
        <v> </v>
      </c>
      <c r="N120" s="334" t="str">
        <f aca="false">IF((E120="r"),G120," ")</f>
        <v> </v>
      </c>
      <c r="O120" s="334" t="str">
        <f aca="false">IF((E120="g"),G120," ")</f>
        <v> </v>
      </c>
      <c r="P120" s="334" t="str">
        <f aca="false">IF((E120="m"),G120," ")</f>
        <v> </v>
      </c>
      <c r="Q120" s="334" t="str">
        <f aca="false">IF((E120="t"),G120," ")</f>
        <v> </v>
      </c>
      <c r="R120" s="334" t="str">
        <f aca="false">IF((E120="a"),G120," ")</f>
        <v> </v>
      </c>
      <c r="S120" s="334" t="str">
        <f aca="false">IF((E120="l"),G120," ")</f>
        <v> </v>
      </c>
      <c r="T120" s="334" t="str">
        <f aca="false">IF((E120="b"),G120," ")</f>
        <v> </v>
      </c>
      <c r="U120" s="334" t="str">
        <f aca="false">IF((E120="i"),G120," ")</f>
        <v> </v>
      </c>
      <c r="V120" s="334" t="str">
        <f aca="false">IF((E120="o"),G120," ")</f>
        <v> </v>
      </c>
      <c r="W120" s="334" t="str">
        <f aca="false">IF((E120="f"),G120," ")</f>
        <v> </v>
      </c>
    </row>
    <row r="121" customFormat="false" ht="12.75" hidden="false" customHeight="false" outlineLevel="0" collapsed="false">
      <c r="A121" s="355"/>
      <c r="E121" s="365" t="str">
        <f aca="false">IF((G121&lt;&gt;0),"Enter Letter"," ")</f>
        <v> </v>
      </c>
      <c r="H121" s="338" t="str">
        <f aca="false">IF((G121&lt;&gt;0),IF((D121&gt;0)," ",G121)," ")</f>
        <v> </v>
      </c>
      <c r="I121" s="367" t="str">
        <f aca="false">IF((G121&lt;&gt;0),IF((D121&gt;0)," ",(I$1-A121))," ")</f>
        <v> </v>
      </c>
      <c r="J121" s="334" t="str">
        <f aca="false">IF((E121="s"),G121," ")</f>
        <v> </v>
      </c>
      <c r="K121" s="334" t="str">
        <f aca="false">IF((E121="d"),G121," ")</f>
        <v> </v>
      </c>
      <c r="L121" s="334" t="str">
        <f aca="false">IF((E121="e"),G121," ")</f>
        <v> </v>
      </c>
      <c r="M121" s="334" t="str">
        <f aca="false">IF((E121="p"),G121," ")</f>
        <v> </v>
      </c>
      <c r="N121" s="334" t="str">
        <f aca="false">IF((E121="r"),G121," ")</f>
        <v> </v>
      </c>
      <c r="O121" s="334" t="str">
        <f aca="false">IF((E121="g"),G121," ")</f>
        <v> </v>
      </c>
      <c r="P121" s="334" t="str">
        <f aca="false">IF((E121="m"),G121," ")</f>
        <v> </v>
      </c>
      <c r="Q121" s="334" t="str">
        <f aca="false">IF((E121="t"),G121," ")</f>
        <v> </v>
      </c>
      <c r="R121" s="334" t="str">
        <f aca="false">IF((E121="a"),G121," ")</f>
        <v> </v>
      </c>
      <c r="S121" s="334" t="str">
        <f aca="false">IF((E121="l"),G121," ")</f>
        <v> </v>
      </c>
      <c r="T121" s="334" t="str">
        <f aca="false">IF((E121="b"),G121," ")</f>
        <v> </v>
      </c>
      <c r="U121" s="334" t="str">
        <f aca="false">IF((E121="i"),G121," ")</f>
        <v> </v>
      </c>
      <c r="V121" s="334" t="str">
        <f aca="false">IF((E121="o"),G121," ")</f>
        <v> </v>
      </c>
      <c r="W121" s="334" t="str">
        <f aca="false">IF((E121="f"),G121," ")</f>
        <v> </v>
      </c>
    </row>
    <row r="122" customFormat="false" ht="12.75" hidden="false" customHeight="false" outlineLevel="0" collapsed="false">
      <c r="A122" s="355"/>
      <c r="E122" s="365" t="str">
        <f aca="false">IF((G122&lt;&gt;0),"Enter Letter"," ")</f>
        <v> </v>
      </c>
      <c r="H122" s="338" t="str">
        <f aca="false">IF((G122&lt;&gt;0),IF((D122&gt;0)," ",G122)," ")</f>
        <v> </v>
      </c>
      <c r="I122" s="367" t="str">
        <f aca="false">IF((G122&lt;&gt;0),IF((D122&gt;0)," ",(I$1-A122))," ")</f>
        <v> </v>
      </c>
      <c r="J122" s="334" t="str">
        <f aca="false">IF((E122="s"),G122," ")</f>
        <v> </v>
      </c>
      <c r="K122" s="334" t="str">
        <f aca="false">IF((E122="d"),G122," ")</f>
        <v> </v>
      </c>
      <c r="L122" s="334" t="str">
        <f aca="false">IF((E122="e"),G122," ")</f>
        <v> </v>
      </c>
      <c r="M122" s="334" t="str">
        <f aca="false">IF((E122="p"),G122," ")</f>
        <v> </v>
      </c>
      <c r="N122" s="334" t="str">
        <f aca="false">IF((E122="r"),G122," ")</f>
        <v> </v>
      </c>
      <c r="O122" s="334" t="str">
        <f aca="false">IF((E122="g"),G122," ")</f>
        <v> </v>
      </c>
      <c r="P122" s="334" t="str">
        <f aca="false">IF((E122="m"),G122," ")</f>
        <v> </v>
      </c>
      <c r="Q122" s="334" t="str">
        <f aca="false">IF((E122="t"),G122," ")</f>
        <v> </v>
      </c>
      <c r="R122" s="334" t="str">
        <f aca="false">IF((E122="a"),G122," ")</f>
        <v> </v>
      </c>
      <c r="S122" s="334" t="str">
        <f aca="false">IF((E122="l"),G122," ")</f>
        <v> </v>
      </c>
      <c r="T122" s="334" t="str">
        <f aca="false">IF((E122="b"),G122," ")</f>
        <v> </v>
      </c>
      <c r="U122" s="334" t="str">
        <f aca="false">IF((E122="i"),G122," ")</f>
        <v> </v>
      </c>
      <c r="V122" s="334" t="str">
        <f aca="false">IF((E122="o"),G122," ")</f>
        <v> </v>
      </c>
      <c r="W122" s="334" t="str">
        <f aca="false">IF((E122="f"),G122," ")</f>
        <v> </v>
      </c>
    </row>
    <row r="123" customFormat="false" ht="12.75" hidden="false" customHeight="false" outlineLevel="0" collapsed="false">
      <c r="A123" s="355"/>
      <c r="E123" s="365" t="str">
        <f aca="false">IF((G123&lt;&gt;0),"Enter Letter"," ")</f>
        <v> </v>
      </c>
      <c r="H123" s="338" t="str">
        <f aca="false">IF((G123&lt;&gt;0),IF((D123&gt;0)," ",G123)," ")</f>
        <v> </v>
      </c>
      <c r="I123" s="367" t="str">
        <f aca="false">IF((G123&lt;&gt;0),IF((D123&gt;0)," ",(I$1-A123))," ")</f>
        <v> </v>
      </c>
      <c r="J123" s="334" t="str">
        <f aca="false">IF((E123="s"),G123," ")</f>
        <v> </v>
      </c>
      <c r="K123" s="334" t="str">
        <f aca="false">IF((E123="d"),G123," ")</f>
        <v> </v>
      </c>
      <c r="L123" s="334" t="str">
        <f aca="false">IF((E123="e"),G123," ")</f>
        <v> </v>
      </c>
      <c r="M123" s="334" t="str">
        <f aca="false">IF((E123="p"),G123," ")</f>
        <v> </v>
      </c>
      <c r="N123" s="334" t="str">
        <f aca="false">IF((E123="r"),G123," ")</f>
        <v> </v>
      </c>
      <c r="O123" s="334" t="str">
        <f aca="false">IF((E123="g"),G123," ")</f>
        <v> </v>
      </c>
      <c r="P123" s="334" t="str">
        <f aca="false">IF((E123="m"),G123," ")</f>
        <v> </v>
      </c>
      <c r="Q123" s="334" t="str">
        <f aca="false">IF((E123="t"),G123," ")</f>
        <v> </v>
      </c>
      <c r="R123" s="334" t="str">
        <f aca="false">IF((E123="a"),G123," ")</f>
        <v> </v>
      </c>
      <c r="S123" s="334" t="str">
        <f aca="false">IF((E123="l"),G123," ")</f>
        <v> </v>
      </c>
      <c r="T123" s="334" t="str">
        <f aca="false">IF((E123="b"),G123," ")</f>
        <v> </v>
      </c>
      <c r="U123" s="334" t="str">
        <f aca="false">IF((E123="i"),G123," ")</f>
        <v> </v>
      </c>
      <c r="V123" s="334" t="str">
        <f aca="false">IF((E123="o"),G123," ")</f>
        <v> </v>
      </c>
      <c r="W123" s="334" t="str">
        <f aca="false">IF((E123="f"),G123," ")</f>
        <v> </v>
      </c>
    </row>
    <row r="124" customFormat="false" ht="12.75" hidden="false" customHeight="false" outlineLevel="0" collapsed="false">
      <c r="A124" s="355"/>
      <c r="E124" s="365" t="str">
        <f aca="false">IF((G124&lt;&gt;0),"Enter Letter"," ")</f>
        <v> </v>
      </c>
      <c r="H124" s="338" t="str">
        <f aca="false">IF((G124&lt;&gt;0),IF((D124&gt;0)," ",G124)," ")</f>
        <v> </v>
      </c>
      <c r="I124" s="367" t="str">
        <f aca="false">IF((G124&lt;&gt;0),IF((D124&gt;0)," ",(I$1-A124))," ")</f>
        <v> </v>
      </c>
      <c r="J124" s="334" t="str">
        <f aca="false">IF((E124="s"),G124," ")</f>
        <v> </v>
      </c>
      <c r="K124" s="334" t="str">
        <f aca="false">IF((E124="d"),G124," ")</f>
        <v> </v>
      </c>
      <c r="L124" s="334" t="str">
        <f aca="false">IF((E124="e"),G124," ")</f>
        <v> </v>
      </c>
      <c r="M124" s="334" t="str">
        <f aca="false">IF((E124="p"),G124," ")</f>
        <v> </v>
      </c>
      <c r="N124" s="334" t="str">
        <f aca="false">IF((E124="r"),G124," ")</f>
        <v> </v>
      </c>
      <c r="O124" s="334" t="str">
        <f aca="false">IF((E124="g"),G124," ")</f>
        <v> </v>
      </c>
      <c r="P124" s="334" t="str">
        <f aca="false">IF((E124="m"),G124," ")</f>
        <v> </v>
      </c>
      <c r="Q124" s="334" t="str">
        <f aca="false">IF((E124="t"),G124," ")</f>
        <v> </v>
      </c>
      <c r="R124" s="334" t="str">
        <f aca="false">IF((E124="a"),G124," ")</f>
        <v> </v>
      </c>
      <c r="S124" s="334" t="str">
        <f aca="false">IF((E124="l"),G124," ")</f>
        <v> </v>
      </c>
      <c r="T124" s="334" t="str">
        <f aca="false">IF((E124="b"),G124," ")</f>
        <v> </v>
      </c>
      <c r="U124" s="334" t="str">
        <f aca="false">IF((E124="i"),G124," ")</f>
        <v> </v>
      </c>
      <c r="V124" s="334" t="str">
        <f aca="false">IF((E124="o"),G124," ")</f>
        <v> </v>
      </c>
      <c r="W124" s="334" t="str">
        <f aca="false">IF((E124="f"),G124," ")</f>
        <v> </v>
      </c>
    </row>
    <row r="125" customFormat="false" ht="12.75" hidden="false" customHeight="false" outlineLevel="0" collapsed="false">
      <c r="A125" s="355"/>
      <c r="E125" s="365" t="str">
        <f aca="false">IF((G125&lt;&gt;0),"Enter Letter"," ")</f>
        <v> </v>
      </c>
      <c r="H125" s="338" t="str">
        <f aca="false">IF((G125&lt;&gt;0),IF((D125&gt;0)," ",G125)," ")</f>
        <v> </v>
      </c>
      <c r="I125" s="367" t="str">
        <f aca="false">IF((G125&lt;&gt;0),IF((D125&gt;0)," ",(I$1-A125))," ")</f>
        <v> </v>
      </c>
      <c r="J125" s="334" t="str">
        <f aca="false">IF((E125="s"),G125," ")</f>
        <v> </v>
      </c>
      <c r="K125" s="334" t="str">
        <f aca="false">IF((E125="d"),G125," ")</f>
        <v> </v>
      </c>
      <c r="L125" s="334" t="str">
        <f aca="false">IF((E125="e"),G125," ")</f>
        <v> </v>
      </c>
      <c r="M125" s="334" t="str">
        <f aca="false">IF((E125="p"),G125," ")</f>
        <v> </v>
      </c>
      <c r="N125" s="334" t="str">
        <f aca="false">IF((E125="r"),G125," ")</f>
        <v> </v>
      </c>
      <c r="O125" s="334" t="str">
        <f aca="false">IF((E125="g"),G125," ")</f>
        <v> </v>
      </c>
      <c r="P125" s="334" t="str">
        <f aca="false">IF((E125="m"),G125," ")</f>
        <v> </v>
      </c>
      <c r="Q125" s="334" t="str">
        <f aca="false">IF((E125="t"),G125," ")</f>
        <v> </v>
      </c>
      <c r="R125" s="334" t="str">
        <f aca="false">IF((E125="a"),G125," ")</f>
        <v> </v>
      </c>
      <c r="S125" s="334" t="str">
        <f aca="false">IF((E125="l"),G125," ")</f>
        <v> </v>
      </c>
      <c r="T125" s="334" t="str">
        <f aca="false">IF((E125="b"),G125," ")</f>
        <v> </v>
      </c>
      <c r="U125" s="334" t="str">
        <f aca="false">IF((E125="i"),G125," ")</f>
        <v> </v>
      </c>
      <c r="V125" s="334" t="str">
        <f aca="false">IF((E125="o"),G125," ")</f>
        <v> </v>
      </c>
      <c r="W125" s="334" t="str">
        <f aca="false">IF((E125="f"),G125," ")</f>
        <v> </v>
      </c>
    </row>
    <row r="126" customFormat="false" ht="12.75" hidden="false" customHeight="false" outlineLevel="0" collapsed="false">
      <c r="A126" s="355"/>
      <c r="E126" s="365" t="str">
        <f aca="false">IF((G126&lt;&gt;0),"Enter Letter"," ")</f>
        <v> </v>
      </c>
      <c r="H126" s="338" t="str">
        <f aca="false">IF((G126&lt;&gt;0),IF((D126&gt;0)," ",G126)," ")</f>
        <v> </v>
      </c>
      <c r="I126" s="367" t="str">
        <f aca="false">IF((G126&lt;&gt;0),IF((D126&gt;0)," ",(I$1-A126))," ")</f>
        <v> </v>
      </c>
      <c r="J126" s="334" t="str">
        <f aca="false">IF((E126="s"),G126," ")</f>
        <v> </v>
      </c>
      <c r="K126" s="334" t="str">
        <f aca="false">IF((E126="d"),G126," ")</f>
        <v> </v>
      </c>
      <c r="L126" s="334" t="str">
        <f aca="false">IF((E126="e"),G126," ")</f>
        <v> </v>
      </c>
      <c r="M126" s="334" t="str">
        <f aca="false">IF((E126="p"),G126," ")</f>
        <v> </v>
      </c>
      <c r="N126" s="334" t="str">
        <f aca="false">IF((E126="r"),G126," ")</f>
        <v> </v>
      </c>
      <c r="O126" s="334" t="str">
        <f aca="false">IF((E126="g"),G126," ")</f>
        <v> </v>
      </c>
      <c r="P126" s="334" t="str">
        <f aca="false">IF((E126="m"),G126," ")</f>
        <v> </v>
      </c>
      <c r="Q126" s="334" t="str">
        <f aca="false">IF((E126="t"),G126," ")</f>
        <v> </v>
      </c>
      <c r="R126" s="334" t="str">
        <f aca="false">IF((E126="a"),G126," ")</f>
        <v> </v>
      </c>
      <c r="S126" s="334" t="str">
        <f aca="false">IF((E126="l"),G126," ")</f>
        <v> </v>
      </c>
      <c r="T126" s="334" t="str">
        <f aca="false">IF((E126="b"),G126," ")</f>
        <v> </v>
      </c>
      <c r="U126" s="334" t="str">
        <f aca="false">IF((E126="i"),G126," ")</f>
        <v> </v>
      </c>
      <c r="V126" s="334" t="str">
        <f aca="false">IF((E126="o"),G126," ")</f>
        <v> </v>
      </c>
      <c r="W126" s="334" t="str">
        <f aca="false">IF((E126="f"),G126," ")</f>
        <v> </v>
      </c>
    </row>
    <row r="127" customFormat="false" ht="12.75" hidden="false" customHeight="false" outlineLevel="0" collapsed="false">
      <c r="A127" s="355"/>
      <c r="E127" s="365" t="str">
        <f aca="false">IF((G127&lt;&gt;0),"Enter Letter"," ")</f>
        <v> </v>
      </c>
      <c r="H127" s="338" t="str">
        <f aca="false">IF((G127&lt;&gt;0),IF((D127&gt;0)," ",G127)," ")</f>
        <v> </v>
      </c>
      <c r="I127" s="367" t="str">
        <f aca="false">IF((G127&lt;&gt;0),IF((D127&gt;0)," ",(I$1-A127))," ")</f>
        <v> </v>
      </c>
      <c r="J127" s="334" t="str">
        <f aca="false">IF((E127="s"),G127," ")</f>
        <v> </v>
      </c>
      <c r="K127" s="334" t="str">
        <f aca="false">IF((E127="d"),G127," ")</f>
        <v> </v>
      </c>
      <c r="L127" s="334" t="str">
        <f aca="false">IF((E127="e"),G127," ")</f>
        <v> </v>
      </c>
      <c r="M127" s="334" t="str">
        <f aca="false">IF((E127="p"),G127," ")</f>
        <v> </v>
      </c>
      <c r="N127" s="334" t="str">
        <f aca="false">IF((E127="r"),G127," ")</f>
        <v> </v>
      </c>
      <c r="O127" s="334" t="str">
        <f aca="false">IF((E127="g"),G127," ")</f>
        <v> </v>
      </c>
      <c r="P127" s="334" t="str">
        <f aca="false">IF((E127="m"),G127," ")</f>
        <v> </v>
      </c>
      <c r="Q127" s="334" t="str">
        <f aca="false">IF((E127="t"),G127," ")</f>
        <v> </v>
      </c>
      <c r="R127" s="334" t="str">
        <f aca="false">IF((E127="a"),G127," ")</f>
        <v> </v>
      </c>
      <c r="S127" s="334" t="str">
        <f aca="false">IF((E127="l"),G127," ")</f>
        <v> </v>
      </c>
      <c r="T127" s="334" t="str">
        <f aca="false">IF((E127="b"),G127," ")</f>
        <v> </v>
      </c>
      <c r="U127" s="334" t="str">
        <f aca="false">IF((E127="i"),G127," ")</f>
        <v> </v>
      </c>
      <c r="V127" s="334" t="str">
        <f aca="false">IF((E127="o"),G127," ")</f>
        <v> </v>
      </c>
      <c r="W127" s="334" t="str">
        <f aca="false">IF((E127="f"),G127," ")</f>
        <v> </v>
      </c>
    </row>
    <row r="128" customFormat="false" ht="12.75" hidden="false" customHeight="false" outlineLevel="0" collapsed="false">
      <c r="A128" s="355"/>
      <c r="E128" s="365" t="str">
        <f aca="false">IF((G128&lt;&gt;0),"Enter Letter"," ")</f>
        <v> </v>
      </c>
      <c r="H128" s="338" t="str">
        <f aca="false">IF((G128&lt;&gt;0),IF((D128&gt;0)," ",G128)," ")</f>
        <v> </v>
      </c>
      <c r="I128" s="367" t="str">
        <f aca="false">IF((G128&lt;&gt;0),IF((D128&gt;0)," ",(I$1-A128))," ")</f>
        <v> </v>
      </c>
      <c r="J128" s="334" t="str">
        <f aca="false">IF((E128="s"),G128," ")</f>
        <v> </v>
      </c>
      <c r="K128" s="334" t="str">
        <f aca="false">IF((E128="d"),G128," ")</f>
        <v> </v>
      </c>
      <c r="L128" s="334" t="str">
        <f aca="false">IF((E128="e"),G128," ")</f>
        <v> </v>
      </c>
      <c r="M128" s="334" t="str">
        <f aca="false">IF((E128="p"),G128," ")</f>
        <v> </v>
      </c>
      <c r="N128" s="334" t="str">
        <f aca="false">IF((E128="r"),G128," ")</f>
        <v> </v>
      </c>
      <c r="O128" s="334" t="str">
        <f aca="false">IF((E128="g"),G128," ")</f>
        <v> </v>
      </c>
      <c r="P128" s="334" t="str">
        <f aca="false">IF((E128="m"),G128," ")</f>
        <v> </v>
      </c>
      <c r="Q128" s="334" t="str">
        <f aca="false">IF((E128="t"),G128," ")</f>
        <v> </v>
      </c>
      <c r="R128" s="334" t="str">
        <f aca="false">IF((E128="a"),G128," ")</f>
        <v> </v>
      </c>
      <c r="S128" s="334" t="str">
        <f aca="false">IF((E128="l"),G128," ")</f>
        <v> </v>
      </c>
      <c r="T128" s="334" t="str">
        <f aca="false">IF((E128="b"),G128," ")</f>
        <v> </v>
      </c>
      <c r="U128" s="334" t="str">
        <f aca="false">IF((E128="i"),G128," ")</f>
        <v> </v>
      </c>
      <c r="V128" s="334" t="str">
        <f aca="false">IF((E128="o"),G128," ")</f>
        <v> </v>
      </c>
      <c r="W128" s="334" t="str">
        <f aca="false">IF((E128="f"),G128," ")</f>
        <v> </v>
      </c>
    </row>
    <row r="129" customFormat="false" ht="12.75" hidden="false" customHeight="false" outlineLevel="0" collapsed="false">
      <c r="A129" s="355"/>
      <c r="E129" s="365" t="str">
        <f aca="false">IF((G129&lt;&gt;0),"Enter Letter"," ")</f>
        <v> </v>
      </c>
      <c r="H129" s="338" t="str">
        <f aca="false">IF((G129&lt;&gt;0),IF((D129&gt;0)," ",G129)," ")</f>
        <v> </v>
      </c>
      <c r="I129" s="367" t="str">
        <f aca="false">IF((G129&lt;&gt;0),IF((D129&gt;0)," ",(I$1-A129))," ")</f>
        <v> </v>
      </c>
      <c r="J129" s="334" t="str">
        <f aca="false">IF((E129="s"),G129," ")</f>
        <v> </v>
      </c>
      <c r="K129" s="334" t="str">
        <f aca="false">IF((E129="d"),G129," ")</f>
        <v> </v>
      </c>
      <c r="L129" s="334" t="str">
        <f aca="false">IF((E129="e"),G129," ")</f>
        <v> </v>
      </c>
      <c r="M129" s="334" t="str">
        <f aca="false">IF((E129="p"),G129," ")</f>
        <v> </v>
      </c>
      <c r="N129" s="334" t="str">
        <f aca="false">IF((E129="r"),G129," ")</f>
        <v> </v>
      </c>
      <c r="O129" s="334" t="str">
        <f aca="false">IF((E129="g"),G129," ")</f>
        <v> </v>
      </c>
      <c r="P129" s="334" t="str">
        <f aca="false">IF((E129="m"),G129," ")</f>
        <v> </v>
      </c>
      <c r="Q129" s="334" t="str">
        <f aca="false">IF((E129="t"),G129," ")</f>
        <v> </v>
      </c>
      <c r="R129" s="334" t="str">
        <f aca="false">IF((E129="a"),G129," ")</f>
        <v> </v>
      </c>
      <c r="S129" s="334" t="str">
        <f aca="false">IF((E129="l"),G129," ")</f>
        <v> </v>
      </c>
      <c r="T129" s="334" t="str">
        <f aca="false">IF((E129="b"),G129," ")</f>
        <v> </v>
      </c>
      <c r="U129" s="334" t="str">
        <f aca="false">IF((E129="i"),G129," ")</f>
        <v> </v>
      </c>
      <c r="V129" s="334" t="str">
        <f aca="false">IF((E129="o"),G129," ")</f>
        <v> </v>
      </c>
      <c r="W129" s="334" t="str">
        <f aca="false">IF((E129="f"),G129," ")</f>
        <v> </v>
      </c>
    </row>
    <row r="130" customFormat="false" ht="12.75" hidden="false" customHeight="false" outlineLevel="0" collapsed="false">
      <c r="A130" s="355"/>
      <c r="E130" s="365" t="str">
        <f aca="false">IF((G130&lt;&gt;0),"Enter Letter"," ")</f>
        <v> </v>
      </c>
      <c r="H130" s="338" t="str">
        <f aca="false">IF((G130&lt;&gt;0),IF((D130&gt;0)," ",G130)," ")</f>
        <v> </v>
      </c>
      <c r="I130" s="367" t="str">
        <f aca="false">IF((G130&lt;&gt;0),IF((D130&gt;0)," ",(I$1-A130))," ")</f>
        <v> </v>
      </c>
      <c r="J130" s="334" t="str">
        <f aca="false">IF((E130="s"),G130," ")</f>
        <v> </v>
      </c>
      <c r="K130" s="334" t="str">
        <f aca="false">IF((E130="d"),G130," ")</f>
        <v> </v>
      </c>
      <c r="L130" s="334" t="str">
        <f aca="false">IF((E130="e"),G130," ")</f>
        <v> </v>
      </c>
      <c r="M130" s="334" t="str">
        <f aca="false">IF((E130="p"),G130," ")</f>
        <v> </v>
      </c>
      <c r="N130" s="334" t="str">
        <f aca="false">IF((E130="r"),G130," ")</f>
        <v> </v>
      </c>
      <c r="O130" s="334" t="str">
        <f aca="false">IF((E130="g"),G130," ")</f>
        <v> </v>
      </c>
      <c r="P130" s="334" t="str">
        <f aca="false">IF((E130="m"),G130," ")</f>
        <v> </v>
      </c>
      <c r="Q130" s="334" t="str">
        <f aca="false">IF((E130="t"),G130," ")</f>
        <v> </v>
      </c>
      <c r="R130" s="334" t="str">
        <f aca="false">IF((E130="a"),G130," ")</f>
        <v> </v>
      </c>
      <c r="S130" s="334" t="str">
        <f aca="false">IF((E130="l"),G130," ")</f>
        <v> </v>
      </c>
      <c r="T130" s="334" t="str">
        <f aca="false">IF((E130="b"),G130," ")</f>
        <v> </v>
      </c>
      <c r="U130" s="334" t="str">
        <f aca="false">IF((E130="i"),G130," ")</f>
        <v> </v>
      </c>
      <c r="V130" s="334" t="str">
        <f aca="false">IF((E130="o"),G130," ")</f>
        <v> </v>
      </c>
      <c r="W130" s="334" t="str">
        <f aca="false">IF((E130="f"),G130," ")</f>
        <v> </v>
      </c>
    </row>
    <row r="131" customFormat="false" ht="12.75" hidden="false" customHeight="false" outlineLevel="0" collapsed="false">
      <c r="A131" s="355"/>
      <c r="E131" s="365" t="str">
        <f aca="false">IF((G131&lt;&gt;0),"Enter Letter"," ")</f>
        <v> </v>
      </c>
      <c r="H131" s="338" t="str">
        <f aca="false">IF((G131&lt;&gt;0),IF((D131&gt;0)," ",G131)," ")</f>
        <v> </v>
      </c>
      <c r="I131" s="367" t="str">
        <f aca="false">IF((G131&lt;&gt;0),IF((D131&gt;0)," ",(I$1-A131))," ")</f>
        <v> </v>
      </c>
      <c r="J131" s="334" t="str">
        <f aca="false">IF((E131="s"),G131," ")</f>
        <v> </v>
      </c>
      <c r="K131" s="334" t="str">
        <f aca="false">IF((E131="d"),G131," ")</f>
        <v> </v>
      </c>
      <c r="L131" s="334" t="str">
        <f aca="false">IF((E131="e"),G131," ")</f>
        <v> </v>
      </c>
      <c r="M131" s="334" t="str">
        <f aca="false">IF((E131="p"),G131," ")</f>
        <v> </v>
      </c>
      <c r="N131" s="334" t="str">
        <f aca="false">IF((E131="r"),G131," ")</f>
        <v> </v>
      </c>
      <c r="O131" s="334" t="str">
        <f aca="false">IF((E131="g"),G131," ")</f>
        <v> </v>
      </c>
      <c r="P131" s="334" t="str">
        <f aca="false">IF((E131="m"),G131," ")</f>
        <v> </v>
      </c>
      <c r="Q131" s="334" t="str">
        <f aca="false">IF((E131="t"),G131," ")</f>
        <v> </v>
      </c>
      <c r="R131" s="334" t="str">
        <f aca="false">IF((E131="a"),G131," ")</f>
        <v> </v>
      </c>
      <c r="S131" s="334" t="str">
        <f aca="false">IF((E131="l"),G131," ")</f>
        <v> </v>
      </c>
      <c r="T131" s="334" t="str">
        <f aca="false">IF((E131="b"),G131," ")</f>
        <v> </v>
      </c>
      <c r="U131" s="334" t="str">
        <f aca="false">IF((E131="i"),G131," ")</f>
        <v> </v>
      </c>
      <c r="V131" s="334" t="str">
        <f aca="false">IF((E131="o"),G131," ")</f>
        <v> </v>
      </c>
      <c r="W131" s="334" t="str">
        <f aca="false">IF((E131="f"),G131," ")</f>
        <v> </v>
      </c>
    </row>
    <row r="132" customFormat="false" ht="12.75" hidden="false" customHeight="false" outlineLevel="0" collapsed="false">
      <c r="A132" s="355"/>
      <c r="E132" s="365" t="str">
        <f aca="false">IF((G132&lt;&gt;0),"Enter Letter"," ")</f>
        <v> </v>
      </c>
      <c r="H132" s="338" t="str">
        <f aca="false">IF((G132&lt;&gt;0),IF((D132&gt;0)," ",G132)," ")</f>
        <v> </v>
      </c>
      <c r="I132" s="367" t="str">
        <f aca="false">IF((G132&lt;&gt;0),IF((D132&gt;0)," ",(I$1-A132))," ")</f>
        <v> </v>
      </c>
      <c r="J132" s="334" t="str">
        <f aca="false">IF((E132="s"),G132," ")</f>
        <v> </v>
      </c>
      <c r="K132" s="334" t="str">
        <f aca="false">IF((E132="d"),G132," ")</f>
        <v> </v>
      </c>
      <c r="L132" s="334" t="str">
        <f aca="false">IF((E132="e"),G132," ")</f>
        <v> </v>
      </c>
      <c r="M132" s="334" t="str">
        <f aca="false">IF((E132="p"),G132," ")</f>
        <v> </v>
      </c>
      <c r="N132" s="334" t="str">
        <f aca="false">IF((E132="r"),G132," ")</f>
        <v> </v>
      </c>
      <c r="O132" s="334" t="str">
        <f aca="false">IF((E132="g"),G132," ")</f>
        <v> </v>
      </c>
      <c r="P132" s="334" t="str">
        <f aca="false">IF((E132="m"),G132," ")</f>
        <v> </v>
      </c>
      <c r="Q132" s="334" t="str">
        <f aca="false">IF((E132="t"),G132," ")</f>
        <v> </v>
      </c>
      <c r="R132" s="334" t="str">
        <f aca="false">IF((E132="a"),G132," ")</f>
        <v> </v>
      </c>
      <c r="S132" s="334" t="str">
        <f aca="false">IF((E132="l"),G132," ")</f>
        <v> </v>
      </c>
      <c r="T132" s="334" t="str">
        <f aca="false">IF((E132="b"),G132," ")</f>
        <v> </v>
      </c>
      <c r="U132" s="334" t="str">
        <f aca="false">IF((E132="i"),G132," ")</f>
        <v> </v>
      </c>
      <c r="V132" s="334" t="str">
        <f aca="false">IF((E132="o"),G132," ")</f>
        <v> </v>
      </c>
      <c r="W132" s="334" t="str">
        <f aca="false">IF((E132="f"),G132," ")</f>
        <v> </v>
      </c>
    </row>
    <row r="133" customFormat="false" ht="12.75" hidden="false" customHeight="false" outlineLevel="0" collapsed="false">
      <c r="A133" s="355"/>
      <c r="E133" s="365" t="str">
        <f aca="false">IF((G133&lt;&gt;0),"Enter Letter"," ")</f>
        <v> </v>
      </c>
      <c r="H133" s="338" t="str">
        <f aca="false">IF((G133&lt;&gt;0),IF((D133&gt;0)," ",G133)," ")</f>
        <v> </v>
      </c>
      <c r="I133" s="367" t="str">
        <f aca="false">IF((G133&lt;&gt;0),IF((D133&gt;0)," ",(I$1-A133))," ")</f>
        <v> </v>
      </c>
      <c r="J133" s="334" t="str">
        <f aca="false">IF((E133="s"),G133," ")</f>
        <v> </v>
      </c>
      <c r="K133" s="334" t="str">
        <f aca="false">IF((E133="d"),G133," ")</f>
        <v> </v>
      </c>
      <c r="L133" s="334" t="str">
        <f aca="false">IF((E133="e"),G133," ")</f>
        <v> </v>
      </c>
      <c r="M133" s="334" t="str">
        <f aca="false">IF((E133="p"),G133," ")</f>
        <v> </v>
      </c>
      <c r="N133" s="334" t="str">
        <f aca="false">IF((E133="r"),G133," ")</f>
        <v> </v>
      </c>
      <c r="O133" s="334" t="str">
        <f aca="false">IF((E133="g"),G133," ")</f>
        <v> </v>
      </c>
      <c r="P133" s="334" t="str">
        <f aca="false">IF((E133="m"),G133," ")</f>
        <v> </v>
      </c>
      <c r="Q133" s="334" t="str">
        <f aca="false">IF((E133="t"),G133," ")</f>
        <v> </v>
      </c>
      <c r="R133" s="334" t="str">
        <f aca="false">IF((E133="a"),G133," ")</f>
        <v> </v>
      </c>
      <c r="S133" s="334" t="str">
        <f aca="false">IF((E133="l"),G133," ")</f>
        <v> </v>
      </c>
      <c r="T133" s="334" t="str">
        <f aca="false">IF((E133="b"),G133," ")</f>
        <v> </v>
      </c>
      <c r="U133" s="334" t="str">
        <f aca="false">IF((E133="i"),G133," ")</f>
        <v> </v>
      </c>
      <c r="V133" s="334" t="str">
        <f aca="false">IF((E133="o"),G133," ")</f>
        <v> </v>
      </c>
      <c r="W133" s="334" t="str">
        <f aca="false">IF((E133="f"),G133," ")</f>
        <v> </v>
      </c>
    </row>
    <row r="134" customFormat="false" ht="12.75" hidden="false" customHeight="false" outlineLevel="0" collapsed="false">
      <c r="A134" s="355"/>
      <c r="E134" s="365" t="str">
        <f aca="false">IF((G134&lt;&gt;0),"Enter Letter"," ")</f>
        <v> </v>
      </c>
      <c r="H134" s="338" t="str">
        <f aca="false">IF((G134&lt;&gt;0),IF((D134&gt;0)," ",G134)," ")</f>
        <v> </v>
      </c>
      <c r="I134" s="367" t="str">
        <f aca="false">IF((G134&lt;&gt;0),IF((D134&gt;0)," ",(I$1-A134))," ")</f>
        <v> </v>
      </c>
      <c r="J134" s="334" t="str">
        <f aca="false">IF((E134="s"),G134," ")</f>
        <v> </v>
      </c>
      <c r="K134" s="334" t="str">
        <f aca="false">IF((E134="d"),G134," ")</f>
        <v> </v>
      </c>
      <c r="L134" s="334" t="str">
        <f aca="false">IF((E134="e"),G134," ")</f>
        <v> </v>
      </c>
      <c r="M134" s="334" t="str">
        <f aca="false">IF((E134="p"),G134," ")</f>
        <v> </v>
      </c>
      <c r="N134" s="334" t="str">
        <f aca="false">IF((E134="r"),G134," ")</f>
        <v> </v>
      </c>
      <c r="O134" s="334" t="str">
        <f aca="false">IF((E134="g"),G134," ")</f>
        <v> </v>
      </c>
      <c r="P134" s="334" t="str">
        <f aca="false">IF((E134="m"),G134," ")</f>
        <v> </v>
      </c>
      <c r="Q134" s="334" t="str">
        <f aca="false">IF((E134="t"),G134," ")</f>
        <v> </v>
      </c>
      <c r="R134" s="334" t="str">
        <f aca="false">IF((E134="a"),G134," ")</f>
        <v> </v>
      </c>
      <c r="S134" s="334" t="str">
        <f aca="false">IF((E134="l"),G134," ")</f>
        <v> </v>
      </c>
      <c r="T134" s="334" t="str">
        <f aca="false">IF((E134="b"),G134," ")</f>
        <v> </v>
      </c>
      <c r="U134" s="334" t="str">
        <f aca="false">IF((E134="i"),G134," ")</f>
        <v> </v>
      </c>
      <c r="V134" s="334" t="str">
        <f aca="false">IF((E134="o"),G134," ")</f>
        <v> </v>
      </c>
      <c r="W134" s="334" t="str">
        <f aca="false">IF((E134="f"),G134," ")</f>
        <v> </v>
      </c>
    </row>
    <row r="135" customFormat="false" ht="12.75" hidden="false" customHeight="false" outlineLevel="0" collapsed="false">
      <c r="A135" s="355"/>
      <c r="E135" s="365" t="str">
        <f aca="false">IF((G135&lt;&gt;0),"Enter Letter"," ")</f>
        <v> </v>
      </c>
      <c r="H135" s="338" t="str">
        <f aca="false">IF((G135&lt;&gt;0),IF((D135&gt;0)," ",G135)," ")</f>
        <v> </v>
      </c>
      <c r="I135" s="367" t="str">
        <f aca="false">IF((G135&lt;&gt;0),IF((D135&gt;0)," ",(I$1-A135))," ")</f>
        <v> </v>
      </c>
      <c r="J135" s="334" t="str">
        <f aca="false">IF((E135="s"),G135," ")</f>
        <v> </v>
      </c>
      <c r="K135" s="334" t="str">
        <f aca="false">IF((E135="d"),G135," ")</f>
        <v> </v>
      </c>
      <c r="L135" s="334" t="str">
        <f aca="false">IF((E135="e"),G135," ")</f>
        <v> </v>
      </c>
      <c r="M135" s="334" t="str">
        <f aca="false">IF((E135="p"),G135," ")</f>
        <v> </v>
      </c>
      <c r="N135" s="334" t="str">
        <f aca="false">IF((E135="r"),G135," ")</f>
        <v> </v>
      </c>
      <c r="O135" s="334" t="str">
        <f aca="false">IF((E135="g"),G135," ")</f>
        <v> </v>
      </c>
      <c r="P135" s="334" t="str">
        <f aca="false">IF((E135="m"),G135," ")</f>
        <v> </v>
      </c>
      <c r="Q135" s="334" t="str">
        <f aca="false">IF((E135="t"),G135," ")</f>
        <v> </v>
      </c>
      <c r="R135" s="334" t="str">
        <f aca="false">IF((E135="a"),G135," ")</f>
        <v> </v>
      </c>
      <c r="S135" s="334" t="str">
        <f aca="false">IF((E135="l"),G135," ")</f>
        <v> </v>
      </c>
      <c r="T135" s="334" t="str">
        <f aca="false">IF((E135="b"),G135," ")</f>
        <v> </v>
      </c>
      <c r="U135" s="334" t="str">
        <f aca="false">IF((E135="i"),G135," ")</f>
        <v> </v>
      </c>
      <c r="V135" s="334" t="str">
        <f aca="false">IF((E135="o"),G135," ")</f>
        <v> </v>
      </c>
      <c r="W135" s="334" t="str">
        <f aca="false">IF((E135="f"),G135," ")</f>
        <v> </v>
      </c>
    </row>
    <row r="136" customFormat="false" ht="12.75" hidden="false" customHeight="false" outlineLevel="0" collapsed="false">
      <c r="A136" s="355"/>
      <c r="E136" s="365" t="str">
        <f aca="false">IF((G136&lt;&gt;0),"Enter Letter"," ")</f>
        <v> </v>
      </c>
      <c r="H136" s="338" t="str">
        <f aca="false">IF((G136&lt;&gt;0),IF((D136&gt;0)," ",G136)," ")</f>
        <v> </v>
      </c>
      <c r="I136" s="367" t="str">
        <f aca="false">IF((G136&lt;&gt;0),IF((D136&gt;0)," ",(I$1-A136))," ")</f>
        <v> </v>
      </c>
      <c r="J136" s="334" t="str">
        <f aca="false">IF((E136="s"),G136," ")</f>
        <v> </v>
      </c>
      <c r="K136" s="334" t="str">
        <f aca="false">IF((E136="d"),G136," ")</f>
        <v> </v>
      </c>
      <c r="L136" s="334" t="str">
        <f aca="false">IF((E136="e"),G136," ")</f>
        <v> </v>
      </c>
      <c r="M136" s="334" t="str">
        <f aca="false">IF((E136="p"),G136," ")</f>
        <v> </v>
      </c>
      <c r="N136" s="334" t="str">
        <f aca="false">IF((E136="r"),G136," ")</f>
        <v> </v>
      </c>
      <c r="O136" s="334" t="str">
        <f aca="false">IF((E136="g"),G136," ")</f>
        <v> </v>
      </c>
      <c r="P136" s="334" t="str">
        <f aca="false">IF((E136="m"),G136," ")</f>
        <v> </v>
      </c>
      <c r="Q136" s="334" t="str">
        <f aca="false">IF((E136="t"),G136," ")</f>
        <v> </v>
      </c>
      <c r="R136" s="334" t="str">
        <f aca="false">IF((E136="a"),G136," ")</f>
        <v> </v>
      </c>
      <c r="S136" s="334" t="str">
        <f aca="false">IF((E136="l"),G136," ")</f>
        <v> </v>
      </c>
      <c r="T136" s="334" t="str">
        <f aca="false">IF((E136="b"),G136," ")</f>
        <v> </v>
      </c>
      <c r="U136" s="334" t="str">
        <f aca="false">IF((E136="i"),G136," ")</f>
        <v> </v>
      </c>
      <c r="V136" s="334" t="str">
        <f aca="false">IF((E136="o"),G136," ")</f>
        <v> </v>
      </c>
      <c r="W136" s="334" t="str">
        <f aca="false">IF((E136="f"),G136," ")</f>
        <v> </v>
      </c>
    </row>
    <row r="137" customFormat="false" ht="12.75" hidden="false" customHeight="false" outlineLevel="0" collapsed="false">
      <c r="A137" s="355"/>
      <c r="E137" s="365" t="str">
        <f aca="false">IF((G137&lt;&gt;0),"Enter Letter"," ")</f>
        <v> </v>
      </c>
      <c r="H137" s="338" t="str">
        <f aca="false">IF((G137&lt;&gt;0),IF((D137&gt;0)," ",G137)," ")</f>
        <v> </v>
      </c>
      <c r="I137" s="367" t="str">
        <f aca="false">IF((G137&lt;&gt;0),IF((D137&gt;0)," ",(I$1-A137))," ")</f>
        <v> </v>
      </c>
      <c r="J137" s="334" t="str">
        <f aca="false">IF((E137="s"),G137," ")</f>
        <v> </v>
      </c>
      <c r="K137" s="334" t="str">
        <f aca="false">IF((E137="d"),G137," ")</f>
        <v> </v>
      </c>
      <c r="L137" s="334" t="str">
        <f aca="false">IF((E137="e"),G137," ")</f>
        <v> </v>
      </c>
      <c r="M137" s="334" t="str">
        <f aca="false">IF((E137="p"),G137," ")</f>
        <v> </v>
      </c>
      <c r="N137" s="334" t="str">
        <f aca="false">IF((E137="r"),G137," ")</f>
        <v> </v>
      </c>
      <c r="O137" s="334" t="str">
        <f aca="false">IF((E137="g"),G137," ")</f>
        <v> </v>
      </c>
      <c r="P137" s="334" t="str">
        <f aca="false">IF((E137="m"),G137," ")</f>
        <v> </v>
      </c>
      <c r="Q137" s="334" t="str">
        <f aca="false">IF((E137="t"),G137," ")</f>
        <v> </v>
      </c>
      <c r="R137" s="334" t="str">
        <f aca="false">IF((E137="a"),G137," ")</f>
        <v> </v>
      </c>
      <c r="S137" s="334" t="str">
        <f aca="false">IF((E137="l"),G137," ")</f>
        <v> </v>
      </c>
      <c r="T137" s="334" t="str">
        <f aca="false">IF((E137="b"),G137," ")</f>
        <v> </v>
      </c>
      <c r="U137" s="334" t="str">
        <f aca="false">IF((E137="i"),G137," ")</f>
        <v> </v>
      </c>
      <c r="V137" s="334" t="str">
        <f aca="false">IF((E137="o"),G137," ")</f>
        <v> </v>
      </c>
      <c r="W137" s="334" t="str">
        <f aca="false">IF((E137="f"),G137," ")</f>
        <v> </v>
      </c>
    </row>
    <row r="138" customFormat="false" ht="12.75" hidden="false" customHeight="false" outlineLevel="0" collapsed="false">
      <c r="A138" s="355"/>
      <c r="E138" s="365" t="str">
        <f aca="false">IF((G138&lt;&gt;0),"Enter Letter"," ")</f>
        <v> </v>
      </c>
      <c r="H138" s="338" t="str">
        <f aca="false">IF((G138&lt;&gt;0),IF((D138&gt;0)," ",G138)," ")</f>
        <v> </v>
      </c>
      <c r="I138" s="367" t="str">
        <f aca="false">IF((G138&lt;&gt;0),IF((D138&gt;0)," ",(I$1-A138))," ")</f>
        <v> </v>
      </c>
      <c r="J138" s="334" t="str">
        <f aca="false">IF((E138="s"),G138," ")</f>
        <v> </v>
      </c>
      <c r="K138" s="334" t="str">
        <f aca="false">IF((E138="d"),G138," ")</f>
        <v> </v>
      </c>
      <c r="L138" s="334" t="str">
        <f aca="false">IF((E138="e"),G138," ")</f>
        <v> </v>
      </c>
      <c r="M138" s="334" t="str">
        <f aca="false">IF((E138="p"),G138," ")</f>
        <v> </v>
      </c>
      <c r="N138" s="334" t="str">
        <f aca="false">IF((E138="r"),G138," ")</f>
        <v> </v>
      </c>
      <c r="O138" s="334" t="str">
        <f aca="false">IF((E138="g"),G138," ")</f>
        <v> </v>
      </c>
      <c r="P138" s="334" t="str">
        <f aca="false">IF((E138="m"),G138," ")</f>
        <v> </v>
      </c>
      <c r="Q138" s="334" t="str">
        <f aca="false">IF((E138="t"),G138," ")</f>
        <v> </v>
      </c>
      <c r="R138" s="334" t="str">
        <f aca="false">IF((E138="a"),G138," ")</f>
        <v> </v>
      </c>
      <c r="S138" s="334" t="str">
        <f aca="false">IF((E138="l"),G138," ")</f>
        <v> </v>
      </c>
      <c r="T138" s="334" t="str">
        <f aca="false">IF((E138="b"),G138," ")</f>
        <v> </v>
      </c>
      <c r="U138" s="334" t="str">
        <f aca="false">IF((E138="i"),G138," ")</f>
        <v> </v>
      </c>
      <c r="V138" s="334" t="str">
        <f aca="false">IF((E138="o"),G138," ")</f>
        <v> </v>
      </c>
      <c r="W138" s="334" t="str">
        <f aca="false">IF((E138="f"),G138," ")</f>
        <v> </v>
      </c>
    </row>
    <row r="139" customFormat="false" ht="12.75" hidden="false" customHeight="false" outlineLevel="0" collapsed="false">
      <c r="A139" s="355"/>
      <c r="E139" s="365" t="str">
        <f aca="false">IF((G139&lt;&gt;0),"Enter Letter"," ")</f>
        <v> </v>
      </c>
      <c r="H139" s="338" t="str">
        <f aca="false">IF((G139&lt;&gt;0),IF((D139&gt;0)," ",G139)," ")</f>
        <v> </v>
      </c>
      <c r="I139" s="367" t="str">
        <f aca="false">IF((G139&lt;&gt;0),IF((D139&gt;0)," ",(I$1-A139))," ")</f>
        <v> </v>
      </c>
      <c r="J139" s="334" t="str">
        <f aca="false">IF((E139="s"),G139," ")</f>
        <v> </v>
      </c>
      <c r="K139" s="334" t="str">
        <f aca="false">IF((E139="d"),G139," ")</f>
        <v> </v>
      </c>
      <c r="L139" s="334" t="str">
        <f aca="false">IF((E139="e"),G139," ")</f>
        <v> </v>
      </c>
      <c r="M139" s="334" t="str">
        <f aca="false">IF((E139="p"),G139," ")</f>
        <v> </v>
      </c>
      <c r="N139" s="334" t="str">
        <f aca="false">IF((E139="r"),G139," ")</f>
        <v> </v>
      </c>
      <c r="O139" s="334" t="str">
        <f aca="false">IF((E139="g"),G139," ")</f>
        <v> </v>
      </c>
      <c r="P139" s="334" t="str">
        <f aca="false">IF((E139="m"),G139," ")</f>
        <v> </v>
      </c>
      <c r="Q139" s="334" t="str">
        <f aca="false">IF((E139="t"),G139," ")</f>
        <v> </v>
      </c>
      <c r="R139" s="334" t="str">
        <f aca="false">IF((E139="a"),G139," ")</f>
        <v> </v>
      </c>
      <c r="S139" s="334" t="str">
        <f aca="false">IF((E139="l"),G139," ")</f>
        <v> </v>
      </c>
      <c r="T139" s="334" t="str">
        <f aca="false">IF((E139="b"),G139," ")</f>
        <v> </v>
      </c>
      <c r="U139" s="334" t="str">
        <f aca="false">IF((E139="i"),G139," ")</f>
        <v> </v>
      </c>
      <c r="V139" s="334" t="str">
        <f aca="false">IF((E139="o"),G139," ")</f>
        <v> </v>
      </c>
      <c r="W139" s="334" t="str">
        <f aca="false">IF((E139="f"),G139," ")</f>
        <v> </v>
      </c>
    </row>
    <row r="140" customFormat="false" ht="12.75" hidden="false" customHeight="false" outlineLevel="0" collapsed="false">
      <c r="A140" s="355"/>
      <c r="E140" s="365" t="str">
        <f aca="false">IF((G140&lt;&gt;0),"Enter Letter"," ")</f>
        <v> </v>
      </c>
      <c r="H140" s="338" t="str">
        <f aca="false">IF((G140&lt;&gt;0),IF((D140&gt;0)," ",G140)," ")</f>
        <v> </v>
      </c>
      <c r="I140" s="367" t="str">
        <f aca="false">IF((G140&lt;&gt;0),IF((D140&gt;0)," ",(I$1-A140))," ")</f>
        <v> </v>
      </c>
      <c r="J140" s="334" t="str">
        <f aca="false">IF((E140="s"),G140," ")</f>
        <v> </v>
      </c>
      <c r="K140" s="334" t="str">
        <f aca="false">IF((E140="d"),G140," ")</f>
        <v> </v>
      </c>
      <c r="L140" s="334" t="str">
        <f aca="false">IF((E140="e"),G140," ")</f>
        <v> </v>
      </c>
      <c r="M140" s="334" t="str">
        <f aca="false">IF((E140="p"),G140," ")</f>
        <v> </v>
      </c>
      <c r="N140" s="334" t="str">
        <f aca="false">IF((E140="r"),G140," ")</f>
        <v> </v>
      </c>
      <c r="O140" s="334" t="str">
        <f aca="false">IF((E140="g"),G140," ")</f>
        <v> </v>
      </c>
      <c r="P140" s="334" t="str">
        <f aca="false">IF((E140="m"),G140," ")</f>
        <v> </v>
      </c>
      <c r="Q140" s="334" t="str">
        <f aca="false">IF((E140="t"),G140," ")</f>
        <v> </v>
      </c>
      <c r="R140" s="334" t="str">
        <f aca="false">IF((E140="a"),G140," ")</f>
        <v> </v>
      </c>
      <c r="S140" s="334" t="str">
        <f aca="false">IF((E140="l"),G140," ")</f>
        <v> </v>
      </c>
      <c r="T140" s="334" t="str">
        <f aca="false">IF((E140="b"),G140," ")</f>
        <v> </v>
      </c>
      <c r="U140" s="334" t="str">
        <f aca="false">IF((E140="i"),G140," ")</f>
        <v> </v>
      </c>
      <c r="V140" s="334" t="str">
        <f aca="false">IF((E140="o"),G140," ")</f>
        <v> </v>
      </c>
      <c r="W140" s="334" t="str">
        <f aca="false">IF((E140="f"),G140," ")</f>
        <v> </v>
      </c>
    </row>
    <row r="141" customFormat="false" ht="12.75" hidden="false" customHeight="false" outlineLevel="0" collapsed="false">
      <c r="A141" s="355"/>
      <c r="E141" s="365" t="str">
        <f aca="false">IF((G141&lt;&gt;0),"Enter Letter"," ")</f>
        <v> </v>
      </c>
      <c r="H141" s="338" t="str">
        <f aca="false">IF((G141&lt;&gt;0),IF((D141&gt;0)," ",G141)," ")</f>
        <v> </v>
      </c>
      <c r="I141" s="367" t="str">
        <f aca="false">IF((G141&lt;&gt;0),IF((D141&gt;0)," ",(I$1-A141))," ")</f>
        <v> </v>
      </c>
      <c r="J141" s="334" t="str">
        <f aca="false">IF((E141="s"),G141," ")</f>
        <v> </v>
      </c>
      <c r="K141" s="334" t="str">
        <f aca="false">IF((E141="d"),G141," ")</f>
        <v> </v>
      </c>
      <c r="L141" s="334" t="str">
        <f aca="false">IF((E141="e"),G141," ")</f>
        <v> </v>
      </c>
      <c r="M141" s="334" t="str">
        <f aca="false">IF((E141="p"),G141," ")</f>
        <v> </v>
      </c>
      <c r="N141" s="334" t="str">
        <f aca="false">IF((E141="r"),G141," ")</f>
        <v> </v>
      </c>
      <c r="O141" s="334" t="str">
        <f aca="false">IF((E141="g"),G141," ")</f>
        <v> </v>
      </c>
      <c r="P141" s="334" t="str">
        <f aca="false">IF((E141="m"),G141," ")</f>
        <v> </v>
      </c>
      <c r="Q141" s="334" t="str">
        <f aca="false">IF((E141="t"),G141," ")</f>
        <v> </v>
      </c>
      <c r="R141" s="334" t="str">
        <f aca="false">IF((E141="a"),G141," ")</f>
        <v> </v>
      </c>
      <c r="S141" s="334" t="str">
        <f aca="false">IF((E141="l"),G141," ")</f>
        <v> </v>
      </c>
      <c r="T141" s="334" t="str">
        <f aca="false">IF((E141="b"),G141," ")</f>
        <v> </v>
      </c>
      <c r="U141" s="334" t="str">
        <f aca="false">IF((E141="i"),G141," ")</f>
        <v> </v>
      </c>
      <c r="V141" s="334" t="str">
        <f aca="false">IF((E141="o"),G141," ")</f>
        <v> </v>
      </c>
      <c r="W141" s="334" t="str">
        <f aca="false">IF((E141="f"),G141," ")</f>
        <v> </v>
      </c>
    </row>
    <row r="142" customFormat="false" ht="12.75" hidden="false" customHeight="false" outlineLevel="0" collapsed="false">
      <c r="A142" s="355"/>
      <c r="E142" s="365" t="str">
        <f aca="false">IF((G142&lt;&gt;0),"Enter Letter"," ")</f>
        <v> </v>
      </c>
      <c r="H142" s="338" t="str">
        <f aca="false">IF((G142&lt;&gt;0),IF((D142&gt;0)," ",G142)," ")</f>
        <v> </v>
      </c>
      <c r="I142" s="367" t="str">
        <f aca="false">IF((G142&lt;&gt;0),IF((D142&gt;0)," ",(I$1-A142))," ")</f>
        <v> </v>
      </c>
      <c r="J142" s="334" t="str">
        <f aca="false">IF((E142="s"),G142," ")</f>
        <v> </v>
      </c>
      <c r="K142" s="334" t="str">
        <f aca="false">IF((E142="d"),G142," ")</f>
        <v> </v>
      </c>
      <c r="L142" s="334" t="str">
        <f aca="false">IF((E142="e"),G142," ")</f>
        <v> </v>
      </c>
      <c r="M142" s="334" t="str">
        <f aca="false">IF((E142="p"),G142," ")</f>
        <v> </v>
      </c>
      <c r="N142" s="334" t="str">
        <f aca="false">IF((E142="r"),G142," ")</f>
        <v> </v>
      </c>
      <c r="O142" s="334" t="str">
        <f aca="false">IF((E142="g"),G142," ")</f>
        <v> </v>
      </c>
      <c r="P142" s="334" t="str">
        <f aca="false">IF((E142="m"),G142," ")</f>
        <v> </v>
      </c>
      <c r="Q142" s="334" t="str">
        <f aca="false">IF((E142="t"),G142," ")</f>
        <v> </v>
      </c>
      <c r="R142" s="334" t="str">
        <f aca="false">IF((E142="a"),G142," ")</f>
        <v> </v>
      </c>
      <c r="S142" s="334" t="str">
        <f aca="false">IF((E142="l"),G142," ")</f>
        <v> </v>
      </c>
      <c r="T142" s="334" t="str">
        <f aca="false">IF((E142="b"),G142," ")</f>
        <v> </v>
      </c>
      <c r="U142" s="334" t="str">
        <f aca="false">IF((E142="i"),G142," ")</f>
        <v> </v>
      </c>
      <c r="V142" s="334" t="str">
        <f aca="false">IF((E142="o"),G142," ")</f>
        <v> </v>
      </c>
      <c r="W142" s="334" t="str">
        <f aca="false">IF((E142="f"),G142," ")</f>
        <v> </v>
      </c>
    </row>
    <row r="143" customFormat="false" ht="12.75" hidden="false" customHeight="false" outlineLevel="0" collapsed="false">
      <c r="A143" s="355"/>
      <c r="E143" s="365" t="str">
        <f aca="false">IF((G143&lt;&gt;0),"Enter Letter"," ")</f>
        <v> </v>
      </c>
      <c r="H143" s="338" t="str">
        <f aca="false">IF((G143&lt;&gt;0),IF((D143&gt;0)," ",G143)," ")</f>
        <v> </v>
      </c>
      <c r="I143" s="367" t="str">
        <f aca="false">IF((G143&lt;&gt;0),IF((D143&gt;0)," ",(I$1-A143))," ")</f>
        <v> </v>
      </c>
      <c r="J143" s="334" t="str">
        <f aca="false">IF((E143="s"),G143," ")</f>
        <v> </v>
      </c>
      <c r="K143" s="334" t="str">
        <f aca="false">IF((E143="d"),G143," ")</f>
        <v> </v>
      </c>
      <c r="L143" s="334" t="str">
        <f aca="false">IF((E143="e"),G143," ")</f>
        <v> </v>
      </c>
      <c r="M143" s="334" t="str">
        <f aca="false">IF((E143="p"),G143," ")</f>
        <v> </v>
      </c>
      <c r="N143" s="334" t="str">
        <f aca="false">IF((E143="r"),G143," ")</f>
        <v> </v>
      </c>
      <c r="O143" s="334" t="str">
        <f aca="false">IF((E143="g"),G143," ")</f>
        <v> </v>
      </c>
      <c r="P143" s="334" t="str">
        <f aca="false">IF((E143="m"),G143," ")</f>
        <v> </v>
      </c>
      <c r="Q143" s="334" t="str">
        <f aca="false">IF((E143="t"),G143," ")</f>
        <v> </v>
      </c>
      <c r="R143" s="334" t="str">
        <f aca="false">IF((E143="a"),G143," ")</f>
        <v> </v>
      </c>
      <c r="S143" s="334" t="str">
        <f aca="false">IF((E143="l"),G143," ")</f>
        <v> </v>
      </c>
      <c r="T143" s="334" t="str">
        <f aca="false">IF((E143="b"),G143," ")</f>
        <v> </v>
      </c>
      <c r="U143" s="334" t="str">
        <f aca="false">IF((E143="i"),G143," ")</f>
        <v> </v>
      </c>
      <c r="V143" s="334" t="str">
        <f aca="false">IF((E143="o"),G143," ")</f>
        <v> </v>
      </c>
      <c r="W143" s="334" t="str">
        <f aca="false">IF((E143="f"),G143," ")</f>
        <v> </v>
      </c>
    </row>
    <row r="144" customFormat="false" ht="12.75" hidden="false" customHeight="false" outlineLevel="0" collapsed="false">
      <c r="A144" s="355"/>
      <c r="E144" s="365" t="str">
        <f aca="false">IF((G144&lt;&gt;0),"Enter Letter"," ")</f>
        <v> </v>
      </c>
      <c r="H144" s="338" t="str">
        <f aca="false">IF((G144&lt;&gt;0),IF((D144&gt;0)," ",G144)," ")</f>
        <v> </v>
      </c>
      <c r="I144" s="367" t="str">
        <f aca="false">IF((G144&lt;&gt;0),IF((D144&gt;0)," ",(I$1-A144))," ")</f>
        <v> </v>
      </c>
      <c r="J144" s="334" t="str">
        <f aca="false">IF((E144="s"),G144," ")</f>
        <v> </v>
      </c>
      <c r="K144" s="334" t="str">
        <f aca="false">IF((E144="d"),G144," ")</f>
        <v> </v>
      </c>
      <c r="L144" s="334" t="str">
        <f aca="false">IF((E144="e"),G144," ")</f>
        <v> </v>
      </c>
      <c r="M144" s="334" t="str">
        <f aca="false">IF((E144="p"),G144," ")</f>
        <v> </v>
      </c>
      <c r="N144" s="334" t="str">
        <f aca="false">IF((E144="r"),G144," ")</f>
        <v> </v>
      </c>
      <c r="O144" s="334" t="str">
        <f aca="false">IF((E144="g"),G144," ")</f>
        <v> </v>
      </c>
      <c r="P144" s="334" t="str">
        <f aca="false">IF((E144="m"),G144," ")</f>
        <v> </v>
      </c>
      <c r="Q144" s="334" t="str">
        <f aca="false">IF((E144="t"),G144," ")</f>
        <v> </v>
      </c>
      <c r="R144" s="334" t="str">
        <f aca="false">IF((E144="a"),G144," ")</f>
        <v> </v>
      </c>
      <c r="S144" s="334" t="str">
        <f aca="false">IF((E144="l"),G144," ")</f>
        <v> </v>
      </c>
      <c r="T144" s="334" t="str">
        <f aca="false">IF((E144="b"),G144," ")</f>
        <v> </v>
      </c>
      <c r="U144" s="334" t="str">
        <f aca="false">IF((E144="i"),G144," ")</f>
        <v> </v>
      </c>
      <c r="V144" s="334" t="str">
        <f aca="false">IF((E144="o"),G144," ")</f>
        <v> </v>
      </c>
      <c r="W144" s="334" t="str">
        <f aca="false">IF((E144="f"),G144," ")</f>
        <v> </v>
      </c>
    </row>
    <row r="145" customFormat="false" ht="12.75" hidden="false" customHeight="false" outlineLevel="0" collapsed="false">
      <c r="A145" s="355"/>
      <c r="E145" s="365" t="str">
        <f aca="false">IF((G145&lt;&gt;0),"Enter Letter"," ")</f>
        <v> </v>
      </c>
      <c r="H145" s="338" t="str">
        <f aca="false">IF((G145&lt;&gt;0),IF((D145&gt;0)," ",G145)," ")</f>
        <v> </v>
      </c>
      <c r="I145" s="367" t="str">
        <f aca="false">IF((G145&lt;&gt;0),IF((D145&gt;0)," ",(I$1-A145))," ")</f>
        <v> </v>
      </c>
      <c r="J145" s="334" t="str">
        <f aca="false">IF((E145="s"),G145," ")</f>
        <v> </v>
      </c>
      <c r="K145" s="334" t="str">
        <f aca="false">IF((E145="d"),G145," ")</f>
        <v> </v>
      </c>
      <c r="L145" s="334" t="str">
        <f aca="false">IF((E145="e"),G145," ")</f>
        <v> </v>
      </c>
      <c r="M145" s="334" t="str">
        <f aca="false">IF((E145="p"),G145," ")</f>
        <v> </v>
      </c>
      <c r="N145" s="334" t="str">
        <f aca="false">IF((E145="r"),G145," ")</f>
        <v> </v>
      </c>
      <c r="O145" s="334" t="str">
        <f aca="false">IF((E145="g"),G145," ")</f>
        <v> </v>
      </c>
      <c r="P145" s="334" t="str">
        <f aca="false">IF((E145="m"),G145," ")</f>
        <v> </v>
      </c>
      <c r="Q145" s="334" t="str">
        <f aca="false">IF((E145="t"),G145," ")</f>
        <v> </v>
      </c>
      <c r="R145" s="334" t="str">
        <f aca="false">IF((E145="a"),G145," ")</f>
        <v> </v>
      </c>
      <c r="S145" s="334" t="str">
        <f aca="false">IF((E145="l"),G145," ")</f>
        <v> </v>
      </c>
      <c r="T145" s="334" t="str">
        <f aca="false">IF((E145="b"),G145," ")</f>
        <v> </v>
      </c>
      <c r="U145" s="334" t="str">
        <f aca="false">IF((E145="i"),G145," ")</f>
        <v> </v>
      </c>
      <c r="V145" s="334" t="str">
        <f aca="false">IF((E145="o"),G145," ")</f>
        <v> </v>
      </c>
      <c r="W145" s="334" t="str">
        <f aca="false">IF((E145="f"),G145," ")</f>
        <v> </v>
      </c>
    </row>
    <row r="146" customFormat="false" ht="12.75" hidden="false" customHeight="false" outlineLevel="0" collapsed="false">
      <c r="A146" s="355"/>
      <c r="E146" s="365" t="str">
        <f aca="false">IF((G146&lt;&gt;0),"Enter Letter"," ")</f>
        <v> </v>
      </c>
      <c r="H146" s="338" t="str">
        <f aca="false">IF((G146&lt;&gt;0),IF((D146&gt;0)," ",G146)," ")</f>
        <v> </v>
      </c>
      <c r="I146" s="367" t="str">
        <f aca="false">IF((G146&lt;&gt;0),IF((D146&gt;0)," ",(I$1-A146))," ")</f>
        <v> </v>
      </c>
      <c r="J146" s="334" t="str">
        <f aca="false">IF((E146="s"),G146," ")</f>
        <v> </v>
      </c>
      <c r="K146" s="334" t="str">
        <f aca="false">IF((E146="d"),G146," ")</f>
        <v> </v>
      </c>
      <c r="L146" s="334" t="str">
        <f aca="false">IF((E146="e"),G146," ")</f>
        <v> </v>
      </c>
      <c r="M146" s="334" t="str">
        <f aca="false">IF((E146="p"),G146," ")</f>
        <v> </v>
      </c>
      <c r="N146" s="334" t="str">
        <f aca="false">IF((E146="r"),G146," ")</f>
        <v> </v>
      </c>
      <c r="O146" s="334" t="str">
        <f aca="false">IF((E146="g"),G146," ")</f>
        <v> </v>
      </c>
      <c r="P146" s="334" t="str">
        <f aca="false">IF((E146="m"),G146," ")</f>
        <v> </v>
      </c>
      <c r="Q146" s="334" t="str">
        <f aca="false">IF((E146="t"),G146," ")</f>
        <v> </v>
      </c>
      <c r="R146" s="334" t="str">
        <f aca="false">IF((E146="a"),G146," ")</f>
        <v> </v>
      </c>
      <c r="S146" s="334" t="str">
        <f aca="false">IF((E146="l"),G146," ")</f>
        <v> </v>
      </c>
      <c r="T146" s="334" t="str">
        <f aca="false">IF((E146="b"),G146," ")</f>
        <v> </v>
      </c>
      <c r="U146" s="334" t="str">
        <f aca="false">IF((E146="i"),G146," ")</f>
        <v> </v>
      </c>
      <c r="V146" s="334" t="str">
        <f aca="false">IF((E146="o"),G146," ")</f>
        <v> </v>
      </c>
      <c r="W146" s="334" t="str">
        <f aca="false">IF((E146="f"),G146," ")</f>
        <v> </v>
      </c>
    </row>
    <row r="147" customFormat="false" ht="12.75" hidden="false" customHeight="false" outlineLevel="0" collapsed="false">
      <c r="A147" s="355"/>
      <c r="E147" s="365" t="str">
        <f aca="false">IF((G147&lt;&gt;0),"Enter Letter"," ")</f>
        <v> </v>
      </c>
      <c r="H147" s="338" t="str">
        <f aca="false">IF((G147&lt;&gt;0),IF((D147&gt;0)," ",G147)," ")</f>
        <v> </v>
      </c>
      <c r="I147" s="367" t="str">
        <f aca="false">IF((G147&lt;&gt;0),IF((D147&gt;0)," ",(I$1-A147))," ")</f>
        <v> </v>
      </c>
      <c r="J147" s="334" t="str">
        <f aca="false">IF((E147="s"),G147," ")</f>
        <v> </v>
      </c>
      <c r="K147" s="334" t="str">
        <f aca="false">IF((E147="d"),G147," ")</f>
        <v> </v>
      </c>
      <c r="L147" s="334" t="str">
        <f aca="false">IF((E147="e"),G147," ")</f>
        <v> </v>
      </c>
      <c r="M147" s="334" t="str">
        <f aca="false">IF((E147="p"),G147," ")</f>
        <v> </v>
      </c>
      <c r="N147" s="334" t="str">
        <f aca="false">IF((E147="r"),G147," ")</f>
        <v> </v>
      </c>
      <c r="O147" s="334" t="str">
        <f aca="false">IF((E147="g"),G147," ")</f>
        <v> </v>
      </c>
      <c r="P147" s="334" t="str">
        <f aca="false">IF((E147="m"),G147," ")</f>
        <v> </v>
      </c>
      <c r="Q147" s="334" t="str">
        <f aca="false">IF((E147="t"),G147," ")</f>
        <v> </v>
      </c>
      <c r="R147" s="334" t="str">
        <f aca="false">IF((E147="a"),G147," ")</f>
        <v> </v>
      </c>
      <c r="S147" s="334" t="str">
        <f aca="false">IF((E147="l"),G147," ")</f>
        <v> </v>
      </c>
      <c r="T147" s="334" t="str">
        <f aca="false">IF((E147="b"),G147," ")</f>
        <v> </v>
      </c>
      <c r="U147" s="334" t="str">
        <f aca="false">IF((E147="i"),G147," ")</f>
        <v> </v>
      </c>
      <c r="V147" s="334" t="str">
        <f aca="false">IF((E147="o"),G147," ")</f>
        <v> </v>
      </c>
      <c r="W147" s="334" t="str">
        <f aca="false">IF((E147="f"),G147," ")</f>
        <v> </v>
      </c>
    </row>
    <row r="148" customFormat="false" ht="12.75" hidden="false" customHeight="false" outlineLevel="0" collapsed="false">
      <c r="A148" s="355"/>
      <c r="E148" s="365" t="str">
        <f aca="false">IF((G148&lt;&gt;0),"Enter Letter"," ")</f>
        <v> </v>
      </c>
      <c r="H148" s="338" t="str">
        <f aca="false">IF((G148&lt;&gt;0),IF((D148&gt;0)," ",G148)," ")</f>
        <v> </v>
      </c>
      <c r="I148" s="367" t="str">
        <f aca="false">IF((G148&lt;&gt;0),IF((D148&gt;0)," ",(I$1-A148))," ")</f>
        <v> </v>
      </c>
      <c r="J148" s="334" t="str">
        <f aca="false">IF((E148="s"),G148," ")</f>
        <v> </v>
      </c>
      <c r="K148" s="334" t="str">
        <f aca="false">IF((E148="d"),G148," ")</f>
        <v> </v>
      </c>
      <c r="L148" s="334" t="str">
        <f aca="false">IF((E148="e"),G148," ")</f>
        <v> </v>
      </c>
      <c r="M148" s="334" t="str">
        <f aca="false">IF((E148="p"),G148," ")</f>
        <v> </v>
      </c>
      <c r="N148" s="334" t="str">
        <f aca="false">IF((E148="r"),G148," ")</f>
        <v> </v>
      </c>
      <c r="O148" s="334" t="str">
        <f aca="false">IF((E148="g"),G148," ")</f>
        <v> </v>
      </c>
      <c r="P148" s="334" t="str">
        <f aca="false">IF((E148="m"),G148," ")</f>
        <v> </v>
      </c>
      <c r="Q148" s="334" t="str">
        <f aca="false">IF((E148="t"),G148," ")</f>
        <v> </v>
      </c>
      <c r="R148" s="334" t="str">
        <f aca="false">IF((E148="a"),G148," ")</f>
        <v> </v>
      </c>
      <c r="S148" s="334" t="str">
        <f aca="false">IF((E148="l"),G148," ")</f>
        <v> </v>
      </c>
      <c r="T148" s="334" t="str">
        <f aca="false">IF((E148="b"),G148," ")</f>
        <v> </v>
      </c>
      <c r="U148" s="334" t="str">
        <f aca="false">IF((E148="i"),G148," ")</f>
        <v> </v>
      </c>
      <c r="V148" s="334" t="str">
        <f aca="false">IF((E148="o"),G148," ")</f>
        <v> </v>
      </c>
      <c r="W148" s="334" t="str">
        <f aca="false">IF((E148="f"),G148," ")</f>
        <v> </v>
      </c>
    </row>
    <row r="149" customFormat="false" ht="12.75" hidden="false" customHeight="false" outlineLevel="0" collapsed="false">
      <c r="A149" s="355"/>
      <c r="E149" s="365" t="str">
        <f aca="false">IF((G149&lt;&gt;0),"Enter Letter"," ")</f>
        <v> </v>
      </c>
      <c r="H149" s="338" t="str">
        <f aca="false">IF((G149&lt;&gt;0),IF((D149&gt;0)," ",G149)," ")</f>
        <v> </v>
      </c>
      <c r="I149" s="367" t="str">
        <f aca="false">IF((G149&lt;&gt;0),IF((D149&gt;0)," ",(I$1-A149))," ")</f>
        <v> </v>
      </c>
      <c r="J149" s="334" t="str">
        <f aca="false">IF((E149="s"),G149," ")</f>
        <v> </v>
      </c>
      <c r="K149" s="334" t="str">
        <f aca="false">IF((E149="d"),G149," ")</f>
        <v> </v>
      </c>
      <c r="L149" s="334" t="str">
        <f aca="false">IF((E149="e"),G149," ")</f>
        <v> </v>
      </c>
      <c r="M149" s="334" t="str">
        <f aca="false">IF((E149="p"),G149," ")</f>
        <v> </v>
      </c>
      <c r="N149" s="334" t="str">
        <f aca="false">IF((E149="r"),G149," ")</f>
        <v> </v>
      </c>
      <c r="O149" s="334" t="str">
        <f aca="false">IF((E149="g"),G149," ")</f>
        <v> </v>
      </c>
      <c r="P149" s="334" t="str">
        <f aca="false">IF((E149="m"),G149," ")</f>
        <v> </v>
      </c>
      <c r="Q149" s="334" t="str">
        <f aca="false">IF((E149="t"),G149," ")</f>
        <v> </v>
      </c>
      <c r="R149" s="334" t="str">
        <f aca="false">IF((E149="a"),G149," ")</f>
        <v> </v>
      </c>
      <c r="S149" s="334" t="str">
        <f aca="false">IF((E149="l"),G149," ")</f>
        <v> </v>
      </c>
      <c r="T149" s="334" t="str">
        <f aca="false">IF((E149="b"),G149," ")</f>
        <v> </v>
      </c>
      <c r="U149" s="334" t="str">
        <f aca="false">IF((E149="i"),G149," ")</f>
        <v> </v>
      </c>
      <c r="V149" s="334" t="str">
        <f aca="false">IF((E149="o"),G149," ")</f>
        <v> </v>
      </c>
      <c r="W149" s="334" t="str">
        <f aca="false">IF((E149="f"),G149," ")</f>
        <v> </v>
      </c>
    </row>
    <row r="150" customFormat="false" ht="12.75" hidden="false" customHeight="false" outlineLevel="0" collapsed="false">
      <c r="A150" s="355"/>
      <c r="E150" s="365" t="str">
        <f aca="false">IF((G150&lt;&gt;0),"Enter Letter"," ")</f>
        <v> </v>
      </c>
      <c r="H150" s="338" t="str">
        <f aca="false">IF((G150&lt;&gt;0),IF((D150&gt;0)," ",G150)," ")</f>
        <v> </v>
      </c>
      <c r="I150" s="367" t="str">
        <f aca="false">IF((G150&lt;&gt;0),IF((D150&gt;0)," ",(I$1-A150))," ")</f>
        <v> </v>
      </c>
      <c r="J150" s="334" t="str">
        <f aca="false">IF((E150="s"),G150," ")</f>
        <v> </v>
      </c>
      <c r="K150" s="334" t="str">
        <f aca="false">IF((E150="d"),G150," ")</f>
        <v> </v>
      </c>
      <c r="L150" s="334" t="str">
        <f aca="false">IF((E150="e"),G150," ")</f>
        <v> </v>
      </c>
      <c r="M150" s="334" t="str">
        <f aca="false">IF((E150="p"),G150," ")</f>
        <v> </v>
      </c>
      <c r="N150" s="334" t="str">
        <f aca="false">IF((E150="r"),G150," ")</f>
        <v> </v>
      </c>
      <c r="O150" s="334" t="str">
        <f aca="false">IF((E150="g"),G150," ")</f>
        <v> </v>
      </c>
      <c r="P150" s="334" t="str">
        <f aca="false">IF((E150="m"),G150," ")</f>
        <v> </v>
      </c>
      <c r="Q150" s="334" t="str">
        <f aca="false">IF((E150="t"),G150," ")</f>
        <v> </v>
      </c>
      <c r="R150" s="334" t="str">
        <f aca="false">IF((E150="a"),G150," ")</f>
        <v> </v>
      </c>
      <c r="S150" s="334" t="str">
        <f aca="false">IF((E150="l"),G150," ")</f>
        <v> </v>
      </c>
      <c r="T150" s="334" t="str">
        <f aca="false">IF((E150="b"),G150," ")</f>
        <v> </v>
      </c>
      <c r="U150" s="334" t="str">
        <f aca="false">IF((E150="i"),G150," ")</f>
        <v> </v>
      </c>
      <c r="V150" s="334" t="str">
        <f aca="false">IF((E150="o"),G150," ")</f>
        <v> </v>
      </c>
      <c r="W150" s="334" t="str">
        <f aca="false">IF((E150="f"),G150," ")</f>
        <v> </v>
      </c>
    </row>
    <row r="151" customFormat="false" ht="12.75" hidden="false" customHeight="false" outlineLevel="0" collapsed="false">
      <c r="A151" s="355"/>
      <c r="E151" s="365" t="str">
        <f aca="false">IF((G151&lt;&gt;0),"Enter Letter"," ")</f>
        <v> </v>
      </c>
      <c r="H151" s="338" t="str">
        <f aca="false">IF((G151&lt;&gt;0),IF((D151&gt;0)," ",G151)," ")</f>
        <v> </v>
      </c>
      <c r="I151" s="367" t="str">
        <f aca="false">IF((G151&lt;&gt;0),IF((D151&gt;0)," ",(I$1-A151))," ")</f>
        <v> </v>
      </c>
      <c r="J151" s="334" t="str">
        <f aca="false">IF((E151="s"),G151," ")</f>
        <v> </v>
      </c>
      <c r="K151" s="334" t="str">
        <f aca="false">IF((E151="d"),G151," ")</f>
        <v> </v>
      </c>
      <c r="L151" s="334" t="str">
        <f aca="false">IF((E151="e"),G151," ")</f>
        <v> </v>
      </c>
      <c r="M151" s="334" t="str">
        <f aca="false">IF((E151="p"),G151," ")</f>
        <v> </v>
      </c>
      <c r="N151" s="334" t="str">
        <f aca="false">IF((E151="r"),G151," ")</f>
        <v> </v>
      </c>
      <c r="O151" s="334" t="str">
        <f aca="false">IF((E151="g"),G151," ")</f>
        <v> </v>
      </c>
      <c r="P151" s="334" t="str">
        <f aca="false">IF((E151="m"),G151," ")</f>
        <v> </v>
      </c>
      <c r="Q151" s="334" t="str">
        <f aca="false">IF((E151="t"),G151," ")</f>
        <v> </v>
      </c>
      <c r="R151" s="334" t="str">
        <f aca="false">IF((E151="a"),G151," ")</f>
        <v> </v>
      </c>
      <c r="S151" s="334" t="str">
        <f aca="false">IF((E151="l"),G151," ")</f>
        <v> </v>
      </c>
      <c r="T151" s="334" t="str">
        <f aca="false">IF((E151="b"),G151," ")</f>
        <v> </v>
      </c>
      <c r="U151" s="334" t="str">
        <f aca="false">IF((E151="i"),G151," ")</f>
        <v> </v>
      </c>
      <c r="V151" s="334" t="str">
        <f aca="false">IF((E151="o"),G151," ")</f>
        <v> </v>
      </c>
      <c r="W151" s="334" t="str">
        <f aca="false">IF((E151="f"),G151," ")</f>
        <v> </v>
      </c>
    </row>
    <row r="152" customFormat="false" ht="12.75" hidden="false" customHeight="false" outlineLevel="0" collapsed="false">
      <c r="A152" s="355"/>
      <c r="E152" s="365" t="str">
        <f aca="false">IF((G152&lt;&gt;0),"Enter Letter"," ")</f>
        <v> </v>
      </c>
      <c r="H152" s="338" t="str">
        <f aca="false">IF((G152&lt;&gt;0),IF((D152&gt;0)," ",G152)," ")</f>
        <v> </v>
      </c>
      <c r="I152" s="367" t="str">
        <f aca="false">IF((G152&lt;&gt;0),IF((D152&gt;0)," ",(I$1-A152))," ")</f>
        <v> </v>
      </c>
      <c r="J152" s="334" t="str">
        <f aca="false">IF((E152="s"),G152," ")</f>
        <v> </v>
      </c>
      <c r="K152" s="334" t="str">
        <f aca="false">IF((E152="d"),G152," ")</f>
        <v> </v>
      </c>
      <c r="L152" s="334" t="str">
        <f aca="false">IF((E152="e"),G152," ")</f>
        <v> </v>
      </c>
      <c r="M152" s="334" t="str">
        <f aca="false">IF((E152="p"),G152," ")</f>
        <v> </v>
      </c>
      <c r="N152" s="334" t="str">
        <f aca="false">IF((E152="r"),G152," ")</f>
        <v> </v>
      </c>
      <c r="O152" s="334" t="str">
        <f aca="false">IF((E152="g"),G152," ")</f>
        <v> </v>
      </c>
      <c r="P152" s="334" t="str">
        <f aca="false">IF((E152="m"),G152," ")</f>
        <v> </v>
      </c>
      <c r="Q152" s="334" t="str">
        <f aca="false">IF((E152="t"),G152," ")</f>
        <v> </v>
      </c>
      <c r="R152" s="334" t="str">
        <f aca="false">IF((E152="a"),G152," ")</f>
        <v> </v>
      </c>
      <c r="S152" s="334" t="str">
        <f aca="false">IF((E152="l"),G152," ")</f>
        <v> </v>
      </c>
      <c r="T152" s="334" t="str">
        <f aca="false">IF((E152="b"),G152," ")</f>
        <v> </v>
      </c>
      <c r="U152" s="334" t="str">
        <f aca="false">IF((E152="i"),G152," ")</f>
        <v> </v>
      </c>
      <c r="V152" s="334" t="str">
        <f aca="false">IF((E152="o"),G152," ")</f>
        <v> </v>
      </c>
      <c r="W152" s="334" t="str">
        <f aca="false">IF((E152="f"),G152," ")</f>
        <v> </v>
      </c>
    </row>
    <row r="153" customFormat="false" ht="12.75" hidden="false" customHeight="false" outlineLevel="0" collapsed="false">
      <c r="A153" s="355"/>
      <c r="E153" s="365" t="str">
        <f aca="false">IF((G153&lt;&gt;0),"Enter Letter"," ")</f>
        <v> </v>
      </c>
      <c r="H153" s="338" t="str">
        <f aca="false">IF((G153&lt;&gt;0),IF((D153&gt;0)," ",G153)," ")</f>
        <v> </v>
      </c>
      <c r="I153" s="367" t="str">
        <f aca="false">IF((G153&lt;&gt;0),IF((D153&gt;0)," ",(I$1-A153))," ")</f>
        <v> </v>
      </c>
      <c r="J153" s="334" t="str">
        <f aca="false">IF((E153="s"),G153," ")</f>
        <v> </v>
      </c>
      <c r="K153" s="334" t="str">
        <f aca="false">IF((E153="d"),G153," ")</f>
        <v> </v>
      </c>
      <c r="L153" s="334" t="str">
        <f aca="false">IF((E153="e"),G153," ")</f>
        <v> </v>
      </c>
      <c r="M153" s="334" t="str">
        <f aca="false">IF((E153="p"),G153," ")</f>
        <v> </v>
      </c>
      <c r="N153" s="334" t="str">
        <f aca="false">IF((E153="r"),G153," ")</f>
        <v> </v>
      </c>
      <c r="O153" s="334" t="str">
        <f aca="false">IF((E153="g"),G153," ")</f>
        <v> </v>
      </c>
      <c r="P153" s="334" t="str">
        <f aca="false">IF((E153="m"),G153," ")</f>
        <v> </v>
      </c>
      <c r="Q153" s="334" t="str">
        <f aca="false">IF((E153="t"),G153," ")</f>
        <v> </v>
      </c>
      <c r="R153" s="334" t="str">
        <f aca="false">IF((E153="a"),G153," ")</f>
        <v> </v>
      </c>
      <c r="S153" s="334" t="str">
        <f aca="false">IF((E153="l"),G153," ")</f>
        <v> </v>
      </c>
      <c r="T153" s="334" t="str">
        <f aca="false">IF((E153="b"),G153," ")</f>
        <v> </v>
      </c>
      <c r="U153" s="334" t="str">
        <f aca="false">IF((E153="i"),G153," ")</f>
        <v> </v>
      </c>
      <c r="V153" s="334" t="str">
        <f aca="false">IF((E153="o"),G153," ")</f>
        <v> </v>
      </c>
      <c r="W153" s="334" t="str">
        <f aca="false">IF((E153="f"),G153," ")</f>
        <v> </v>
      </c>
    </row>
    <row r="154" customFormat="false" ht="12.75" hidden="false" customHeight="false" outlineLevel="0" collapsed="false">
      <c r="A154" s="355"/>
      <c r="E154" s="365" t="str">
        <f aca="false">IF((G154&lt;&gt;0),"Enter Letter"," ")</f>
        <v> </v>
      </c>
      <c r="H154" s="338" t="str">
        <f aca="false">IF((G154&lt;&gt;0),IF((D154&gt;0)," ",G154)," ")</f>
        <v> </v>
      </c>
      <c r="I154" s="367" t="str">
        <f aca="false">IF((G154&lt;&gt;0),IF((D154&gt;0)," ",(I$1-A154))," ")</f>
        <v> </v>
      </c>
      <c r="J154" s="334" t="str">
        <f aca="false">IF((E154="s"),G154," ")</f>
        <v> </v>
      </c>
      <c r="K154" s="334" t="str">
        <f aca="false">IF((E154="d"),G154," ")</f>
        <v> </v>
      </c>
      <c r="L154" s="334" t="str">
        <f aca="false">IF((E154="e"),G154," ")</f>
        <v> </v>
      </c>
      <c r="M154" s="334" t="str">
        <f aca="false">IF((E154="p"),G154," ")</f>
        <v> </v>
      </c>
      <c r="N154" s="334" t="str">
        <f aca="false">IF((E154="r"),G154," ")</f>
        <v> </v>
      </c>
      <c r="O154" s="334" t="str">
        <f aca="false">IF((E154="g"),G154," ")</f>
        <v> </v>
      </c>
      <c r="P154" s="334" t="str">
        <f aca="false">IF((E154="m"),G154," ")</f>
        <v> </v>
      </c>
      <c r="Q154" s="334" t="str">
        <f aca="false">IF((E154="t"),G154," ")</f>
        <v> </v>
      </c>
      <c r="R154" s="334" t="str">
        <f aca="false">IF((E154="a"),G154," ")</f>
        <v> </v>
      </c>
      <c r="S154" s="334" t="str">
        <f aca="false">IF((E154="l"),G154," ")</f>
        <v> </v>
      </c>
      <c r="T154" s="334" t="str">
        <f aca="false">IF((E154="b"),G154," ")</f>
        <v> </v>
      </c>
      <c r="U154" s="334" t="str">
        <f aca="false">IF((E154="i"),G154," ")</f>
        <v> </v>
      </c>
      <c r="V154" s="334" t="str">
        <f aca="false">IF((E154="o"),G154," ")</f>
        <v> </v>
      </c>
      <c r="W154" s="334" t="str">
        <f aca="false">IF((E154="f"),G154," ")</f>
        <v> </v>
      </c>
    </row>
    <row r="155" customFormat="false" ht="12.75" hidden="false" customHeight="false" outlineLevel="0" collapsed="false">
      <c r="A155" s="355"/>
      <c r="E155" s="365" t="str">
        <f aca="false">IF((G155&lt;&gt;0),"Enter Letter"," ")</f>
        <v> </v>
      </c>
      <c r="H155" s="338" t="str">
        <f aca="false">IF((G155&lt;&gt;0),IF((D155&gt;0)," ",G155)," ")</f>
        <v> </v>
      </c>
      <c r="I155" s="367" t="str">
        <f aca="false">IF((G155&lt;&gt;0),IF((D155&gt;0)," ",(I$1-A155))," ")</f>
        <v> </v>
      </c>
      <c r="J155" s="334" t="str">
        <f aca="false">IF((E155="s"),G155," ")</f>
        <v> </v>
      </c>
      <c r="K155" s="334" t="str">
        <f aca="false">IF((E155="d"),G155," ")</f>
        <v> </v>
      </c>
      <c r="L155" s="334" t="str">
        <f aca="false">IF((E155="e"),G155," ")</f>
        <v> </v>
      </c>
      <c r="M155" s="334" t="str">
        <f aca="false">IF((E155="p"),G155," ")</f>
        <v> </v>
      </c>
      <c r="N155" s="334" t="str">
        <f aca="false">IF((E155="r"),G155," ")</f>
        <v> </v>
      </c>
      <c r="O155" s="334" t="str">
        <f aca="false">IF((E155="g"),G155," ")</f>
        <v> </v>
      </c>
      <c r="P155" s="334" t="str">
        <f aca="false">IF((E155="m"),G155," ")</f>
        <v> </v>
      </c>
      <c r="Q155" s="334" t="str">
        <f aca="false">IF((E155="t"),G155," ")</f>
        <v> </v>
      </c>
      <c r="R155" s="334" t="str">
        <f aca="false">IF((E155="a"),G155," ")</f>
        <v> </v>
      </c>
      <c r="S155" s="334" t="str">
        <f aca="false">IF((E155="l"),G155," ")</f>
        <v> </v>
      </c>
      <c r="T155" s="334" t="str">
        <f aca="false">IF((E155="b"),G155," ")</f>
        <v> </v>
      </c>
      <c r="U155" s="334" t="str">
        <f aca="false">IF((E155="i"),G155," ")</f>
        <v> </v>
      </c>
      <c r="V155" s="334" t="str">
        <f aca="false">IF((E155="o"),G155," ")</f>
        <v> </v>
      </c>
      <c r="W155" s="334" t="str">
        <f aca="false">IF((E155="f"),G155," ")</f>
        <v> </v>
      </c>
    </row>
    <row r="156" customFormat="false" ht="12.75" hidden="false" customHeight="false" outlineLevel="0" collapsed="false">
      <c r="A156" s="355"/>
      <c r="E156" s="365" t="str">
        <f aca="false">IF((G156&lt;&gt;0),"Enter Letter"," ")</f>
        <v> </v>
      </c>
      <c r="H156" s="338" t="str">
        <f aca="false">IF((G156&lt;&gt;0),IF((D156&gt;0)," ",G156)," ")</f>
        <v> </v>
      </c>
      <c r="I156" s="367" t="str">
        <f aca="false">IF((G156&lt;&gt;0),IF((D156&gt;0)," ",(I$1-A156))," ")</f>
        <v> </v>
      </c>
      <c r="J156" s="334" t="str">
        <f aca="false">IF((E156="s"),G156," ")</f>
        <v> </v>
      </c>
      <c r="K156" s="334" t="str">
        <f aca="false">IF((E156="d"),G156," ")</f>
        <v> </v>
      </c>
      <c r="L156" s="334" t="str">
        <f aca="false">IF((E156="e"),G156," ")</f>
        <v> </v>
      </c>
      <c r="M156" s="334" t="str">
        <f aca="false">IF((E156="p"),G156," ")</f>
        <v> </v>
      </c>
      <c r="N156" s="334" t="str">
        <f aca="false">IF((E156="r"),G156," ")</f>
        <v> </v>
      </c>
      <c r="O156" s="334" t="str">
        <f aca="false">IF((E156="g"),G156," ")</f>
        <v> </v>
      </c>
      <c r="P156" s="334" t="str">
        <f aca="false">IF((E156="m"),G156," ")</f>
        <v> </v>
      </c>
      <c r="Q156" s="334" t="str">
        <f aca="false">IF((E156="t"),G156," ")</f>
        <v> </v>
      </c>
      <c r="R156" s="334" t="str">
        <f aca="false">IF((E156="a"),G156," ")</f>
        <v> </v>
      </c>
      <c r="S156" s="334" t="str">
        <f aca="false">IF((E156="l"),G156," ")</f>
        <v> </v>
      </c>
      <c r="T156" s="334" t="str">
        <f aca="false">IF((E156="b"),G156," ")</f>
        <v> </v>
      </c>
      <c r="U156" s="334" t="str">
        <f aca="false">IF((E156="i"),G156," ")</f>
        <v> </v>
      </c>
      <c r="V156" s="334" t="str">
        <f aca="false">IF((E156="o"),G156," ")</f>
        <v> </v>
      </c>
      <c r="W156" s="334" t="str">
        <f aca="false">IF((E156="f"),G156," ")</f>
        <v> </v>
      </c>
    </row>
    <row r="157" customFormat="false" ht="12.75" hidden="false" customHeight="false" outlineLevel="0" collapsed="false">
      <c r="A157" s="355"/>
      <c r="E157" s="365" t="str">
        <f aca="false">IF((G157&lt;&gt;0),"Enter Letter"," ")</f>
        <v> </v>
      </c>
      <c r="H157" s="338" t="str">
        <f aca="false">IF((G157&lt;&gt;0),IF((D157&gt;0)," ",G157)," ")</f>
        <v> </v>
      </c>
      <c r="I157" s="367" t="str">
        <f aca="false">IF((G157&lt;&gt;0),IF((D157&gt;0)," ",(I$1-A157))," ")</f>
        <v> </v>
      </c>
      <c r="J157" s="334" t="str">
        <f aca="false">IF((E157="s"),G157," ")</f>
        <v> </v>
      </c>
      <c r="K157" s="334" t="str">
        <f aca="false">IF((E157="d"),G157," ")</f>
        <v> </v>
      </c>
      <c r="L157" s="334" t="str">
        <f aca="false">IF((E157="e"),G157," ")</f>
        <v> </v>
      </c>
      <c r="M157" s="334" t="str">
        <f aca="false">IF((E157="p"),G157," ")</f>
        <v> </v>
      </c>
      <c r="N157" s="334" t="str">
        <f aca="false">IF((E157="r"),G157," ")</f>
        <v> </v>
      </c>
      <c r="O157" s="334" t="str">
        <f aca="false">IF((E157="g"),G157," ")</f>
        <v> </v>
      </c>
      <c r="P157" s="334" t="str">
        <f aca="false">IF((E157="m"),G157," ")</f>
        <v> </v>
      </c>
      <c r="Q157" s="334" t="str">
        <f aca="false">IF((E157="t"),G157," ")</f>
        <v> </v>
      </c>
      <c r="R157" s="334" t="str">
        <f aca="false">IF((E157="a"),G157," ")</f>
        <v> </v>
      </c>
      <c r="S157" s="334" t="str">
        <f aca="false">IF((E157="l"),G157," ")</f>
        <v> </v>
      </c>
      <c r="T157" s="334" t="str">
        <f aca="false">IF((E157="b"),G157," ")</f>
        <v> </v>
      </c>
      <c r="U157" s="334" t="str">
        <f aca="false">IF((E157="i"),G157," ")</f>
        <v> </v>
      </c>
      <c r="V157" s="334" t="str">
        <f aca="false">IF((E157="o"),G157," ")</f>
        <v> </v>
      </c>
      <c r="W157" s="334" t="str">
        <f aca="false">IF((E157="f"),G157," ")</f>
        <v> </v>
      </c>
    </row>
    <row r="158" customFormat="false" ht="12.75" hidden="false" customHeight="false" outlineLevel="0" collapsed="false">
      <c r="A158" s="355"/>
      <c r="E158" s="365" t="str">
        <f aca="false">IF((G158&lt;&gt;0),"Enter Letter"," ")</f>
        <v> </v>
      </c>
      <c r="H158" s="338" t="str">
        <f aca="false">IF((G158&lt;&gt;0),IF((D158&gt;0)," ",G158)," ")</f>
        <v> </v>
      </c>
      <c r="I158" s="367" t="str">
        <f aca="false">IF((G158&lt;&gt;0),IF((D158&gt;0)," ",(I$1-A158))," ")</f>
        <v> </v>
      </c>
      <c r="J158" s="334" t="str">
        <f aca="false">IF((E158="s"),G158," ")</f>
        <v> </v>
      </c>
      <c r="K158" s="334" t="str">
        <f aca="false">IF((E158="d"),G158," ")</f>
        <v> </v>
      </c>
      <c r="L158" s="334" t="str">
        <f aca="false">IF((E158="e"),G158," ")</f>
        <v> </v>
      </c>
      <c r="M158" s="334" t="str">
        <f aca="false">IF((E158="p"),G158," ")</f>
        <v> </v>
      </c>
      <c r="N158" s="334" t="str">
        <f aca="false">IF((E158="r"),G158," ")</f>
        <v> </v>
      </c>
      <c r="O158" s="334" t="str">
        <f aca="false">IF((E158="g"),G158," ")</f>
        <v> </v>
      </c>
      <c r="P158" s="334" t="str">
        <f aca="false">IF((E158="m"),G158," ")</f>
        <v> </v>
      </c>
      <c r="Q158" s="334" t="str">
        <f aca="false">IF((E158="t"),G158," ")</f>
        <v> </v>
      </c>
      <c r="R158" s="334" t="str">
        <f aca="false">IF((E158="a"),G158," ")</f>
        <v> </v>
      </c>
      <c r="S158" s="334" t="str">
        <f aca="false">IF((E158="l"),G158," ")</f>
        <v> </v>
      </c>
      <c r="T158" s="334" t="str">
        <f aca="false">IF((E158="b"),G158," ")</f>
        <v> </v>
      </c>
      <c r="U158" s="334" t="str">
        <f aca="false">IF((E158="i"),G158," ")</f>
        <v> </v>
      </c>
      <c r="V158" s="334" t="str">
        <f aca="false">IF((E158="o"),G158," ")</f>
        <v> </v>
      </c>
      <c r="W158" s="334" t="str">
        <f aca="false">IF((E158="f"),G158," ")</f>
        <v> </v>
      </c>
    </row>
    <row r="159" customFormat="false" ht="12.75" hidden="false" customHeight="false" outlineLevel="0" collapsed="false">
      <c r="A159" s="355"/>
      <c r="E159" s="365" t="str">
        <f aca="false">IF((G159&lt;&gt;0),"Enter Letter"," ")</f>
        <v> </v>
      </c>
      <c r="H159" s="338" t="str">
        <f aca="false">IF((G159&lt;&gt;0),IF((D159&gt;0)," ",G159)," ")</f>
        <v> </v>
      </c>
      <c r="I159" s="367" t="str">
        <f aca="false">IF((G159&lt;&gt;0),IF((D159&gt;0)," ",(I$1-A159))," ")</f>
        <v> </v>
      </c>
      <c r="J159" s="334" t="str">
        <f aca="false">IF((E159="s"),G159," ")</f>
        <v> </v>
      </c>
      <c r="K159" s="334" t="str">
        <f aca="false">IF((E159="d"),G159," ")</f>
        <v> </v>
      </c>
      <c r="L159" s="334" t="str">
        <f aca="false">IF((E159="e"),G159," ")</f>
        <v> </v>
      </c>
      <c r="M159" s="334" t="str">
        <f aca="false">IF((E159="p"),G159," ")</f>
        <v> </v>
      </c>
      <c r="N159" s="334" t="str">
        <f aca="false">IF((E159="r"),G159," ")</f>
        <v> </v>
      </c>
      <c r="O159" s="334" t="str">
        <f aca="false">IF((E159="g"),G159," ")</f>
        <v> </v>
      </c>
      <c r="P159" s="334" t="str">
        <f aca="false">IF((E159="m"),G159," ")</f>
        <v> </v>
      </c>
      <c r="Q159" s="334" t="str">
        <f aca="false">IF((E159="t"),G159," ")</f>
        <v> </v>
      </c>
      <c r="R159" s="334" t="str">
        <f aca="false">IF((E159="a"),G159," ")</f>
        <v> </v>
      </c>
      <c r="S159" s="334" t="str">
        <f aca="false">IF((E159="l"),G159," ")</f>
        <v> </v>
      </c>
      <c r="T159" s="334" t="str">
        <f aca="false">IF((E159="b"),G159," ")</f>
        <v> </v>
      </c>
      <c r="U159" s="334" t="str">
        <f aca="false">IF((E159="i"),G159," ")</f>
        <v> </v>
      </c>
      <c r="V159" s="334" t="str">
        <f aca="false">IF((E159="o"),G159," ")</f>
        <v> </v>
      </c>
      <c r="W159" s="334" t="str">
        <f aca="false">IF((E159="f"),G159," ")</f>
        <v> </v>
      </c>
    </row>
    <row r="160" customFormat="false" ht="12.75" hidden="false" customHeight="false" outlineLevel="0" collapsed="false">
      <c r="A160" s="355"/>
      <c r="E160" s="365" t="str">
        <f aca="false">IF((G160&lt;&gt;0),"Enter Letter"," ")</f>
        <v> </v>
      </c>
      <c r="H160" s="338" t="str">
        <f aca="false">IF((G160&lt;&gt;0),IF((D160&gt;0)," ",G160)," ")</f>
        <v> </v>
      </c>
      <c r="I160" s="367" t="str">
        <f aca="false">IF((G160&lt;&gt;0),IF((D160&gt;0)," ",(I$1-A160))," ")</f>
        <v> </v>
      </c>
      <c r="J160" s="334" t="str">
        <f aca="false">IF((E160="s"),G160," ")</f>
        <v> </v>
      </c>
      <c r="K160" s="334" t="str">
        <f aca="false">IF((E160="d"),G160," ")</f>
        <v> </v>
      </c>
      <c r="L160" s="334" t="str">
        <f aca="false">IF((E160="e"),G160," ")</f>
        <v> </v>
      </c>
      <c r="M160" s="334" t="str">
        <f aca="false">IF((E160="p"),G160," ")</f>
        <v> </v>
      </c>
      <c r="N160" s="334" t="str">
        <f aca="false">IF((E160="r"),G160," ")</f>
        <v> </v>
      </c>
      <c r="O160" s="334" t="str">
        <f aca="false">IF((E160="g"),G160," ")</f>
        <v> </v>
      </c>
      <c r="P160" s="334" t="str">
        <f aca="false">IF((E160="m"),G160," ")</f>
        <v> </v>
      </c>
      <c r="Q160" s="334" t="str">
        <f aca="false">IF((E160="t"),G160," ")</f>
        <v> </v>
      </c>
      <c r="R160" s="334" t="str">
        <f aca="false">IF((E160="a"),G160," ")</f>
        <v> </v>
      </c>
      <c r="S160" s="334" t="str">
        <f aca="false">IF((E160="l"),G160," ")</f>
        <v> </v>
      </c>
      <c r="T160" s="334" t="str">
        <f aca="false">IF((E160="b"),G160," ")</f>
        <v> </v>
      </c>
      <c r="U160" s="334" t="str">
        <f aca="false">IF((E160="i"),G160," ")</f>
        <v> </v>
      </c>
      <c r="V160" s="334" t="str">
        <f aca="false">IF((E160="o"),G160," ")</f>
        <v> </v>
      </c>
      <c r="W160" s="334" t="str">
        <f aca="false">IF((E160="f"),G160," ")</f>
        <v> </v>
      </c>
    </row>
    <row r="161" customFormat="false" ht="12.75" hidden="false" customHeight="false" outlineLevel="0" collapsed="false">
      <c r="A161" s="355"/>
      <c r="E161" s="365" t="str">
        <f aca="false">IF((G161&lt;&gt;0),"Enter Letter"," ")</f>
        <v> </v>
      </c>
      <c r="H161" s="338" t="str">
        <f aca="false">IF((G161&lt;&gt;0),IF((D161&gt;0)," ",G161)," ")</f>
        <v> </v>
      </c>
      <c r="I161" s="367" t="str">
        <f aca="false">IF((G161&lt;&gt;0),IF((D161&gt;0)," ",(I$1-A161))," ")</f>
        <v> </v>
      </c>
      <c r="J161" s="334" t="str">
        <f aca="false">IF((E161="s"),G161," ")</f>
        <v> </v>
      </c>
      <c r="K161" s="334" t="str">
        <f aca="false">IF((E161="d"),G161," ")</f>
        <v> </v>
      </c>
      <c r="L161" s="334" t="str">
        <f aca="false">IF((E161="e"),G161," ")</f>
        <v> </v>
      </c>
      <c r="M161" s="334" t="str">
        <f aca="false">IF((E161="p"),G161," ")</f>
        <v> </v>
      </c>
      <c r="N161" s="334" t="str">
        <f aca="false">IF((E161="r"),G161," ")</f>
        <v> </v>
      </c>
      <c r="O161" s="334" t="str">
        <f aca="false">IF((E161="g"),G161," ")</f>
        <v> </v>
      </c>
      <c r="P161" s="334" t="str">
        <f aca="false">IF((E161="m"),G161," ")</f>
        <v> </v>
      </c>
      <c r="Q161" s="334" t="str">
        <f aca="false">IF((E161="t"),G161," ")</f>
        <v> </v>
      </c>
      <c r="R161" s="334" t="str">
        <f aca="false">IF((E161="a"),G161," ")</f>
        <v> </v>
      </c>
      <c r="S161" s="334" t="str">
        <f aca="false">IF((E161="l"),G161," ")</f>
        <v> </v>
      </c>
      <c r="T161" s="334" t="str">
        <f aca="false">IF((E161="b"),G161," ")</f>
        <v> </v>
      </c>
      <c r="U161" s="334" t="str">
        <f aca="false">IF((E161="i"),G161," ")</f>
        <v> </v>
      </c>
      <c r="V161" s="334" t="str">
        <f aca="false">IF((E161="o"),G161," ")</f>
        <v> </v>
      </c>
      <c r="W161" s="334" t="str">
        <f aca="false">IF((E161="f"),G161," ")</f>
        <v> </v>
      </c>
    </row>
    <row r="162" customFormat="false" ht="12.75" hidden="false" customHeight="false" outlineLevel="0" collapsed="false">
      <c r="A162" s="355"/>
      <c r="E162" s="365" t="str">
        <f aca="false">IF((G162&lt;&gt;0),"Enter Letter"," ")</f>
        <v> </v>
      </c>
      <c r="H162" s="338" t="str">
        <f aca="false">IF((G162&lt;&gt;0),IF((D162&gt;0)," ",G162)," ")</f>
        <v> </v>
      </c>
      <c r="I162" s="367" t="str">
        <f aca="false">IF((G162&lt;&gt;0),IF((D162&gt;0)," ",(I$1-A162))," ")</f>
        <v> </v>
      </c>
      <c r="J162" s="334" t="str">
        <f aca="false">IF((E162="s"),G162," ")</f>
        <v> </v>
      </c>
      <c r="K162" s="334" t="str">
        <f aca="false">IF((E162="d"),G162," ")</f>
        <v> </v>
      </c>
      <c r="L162" s="334" t="str">
        <f aca="false">IF((E162="e"),G162," ")</f>
        <v> </v>
      </c>
      <c r="M162" s="334" t="str">
        <f aca="false">IF((E162="p"),G162," ")</f>
        <v> </v>
      </c>
      <c r="N162" s="334" t="str">
        <f aca="false">IF((E162="r"),G162," ")</f>
        <v> </v>
      </c>
      <c r="O162" s="334" t="str">
        <f aca="false">IF((E162="g"),G162," ")</f>
        <v> </v>
      </c>
      <c r="P162" s="334" t="str">
        <f aca="false">IF((E162="m"),G162," ")</f>
        <v> </v>
      </c>
      <c r="Q162" s="334" t="str">
        <f aca="false">IF((E162="t"),G162," ")</f>
        <v> </v>
      </c>
      <c r="R162" s="334" t="str">
        <f aca="false">IF((E162="a"),G162," ")</f>
        <v> </v>
      </c>
      <c r="S162" s="334" t="str">
        <f aca="false">IF((E162="l"),G162," ")</f>
        <v> </v>
      </c>
      <c r="T162" s="334" t="str">
        <f aca="false">IF((E162="b"),G162," ")</f>
        <v> </v>
      </c>
      <c r="U162" s="334" t="str">
        <f aca="false">IF((E162="i"),G162," ")</f>
        <v> </v>
      </c>
      <c r="V162" s="334" t="str">
        <f aca="false">IF((E162="o"),G162," ")</f>
        <v> </v>
      </c>
      <c r="W162" s="334" t="str">
        <f aca="false">IF((E162="f"),G162," ")</f>
        <v> </v>
      </c>
    </row>
    <row r="163" customFormat="false" ht="12.75" hidden="false" customHeight="false" outlineLevel="0" collapsed="false">
      <c r="A163" s="355"/>
      <c r="E163" s="365" t="str">
        <f aca="false">IF((G163&lt;&gt;0),"Enter Letter"," ")</f>
        <v> </v>
      </c>
      <c r="H163" s="338" t="str">
        <f aca="false">IF((G163&lt;&gt;0),IF((D163&gt;0)," ",G163)," ")</f>
        <v> </v>
      </c>
      <c r="I163" s="367" t="str">
        <f aca="false">IF((G163&lt;&gt;0),IF((D163&gt;0)," ",(I$1-A163))," ")</f>
        <v> </v>
      </c>
      <c r="J163" s="334" t="str">
        <f aca="false">IF((E163="s"),G163," ")</f>
        <v> </v>
      </c>
      <c r="K163" s="334" t="str">
        <f aca="false">IF((E163="d"),G163," ")</f>
        <v> </v>
      </c>
      <c r="L163" s="334" t="str">
        <f aca="false">IF((E163="e"),G163," ")</f>
        <v> </v>
      </c>
      <c r="M163" s="334" t="str">
        <f aca="false">IF((E163="p"),G163," ")</f>
        <v> </v>
      </c>
      <c r="N163" s="334" t="str">
        <f aca="false">IF((E163="r"),G163," ")</f>
        <v> </v>
      </c>
      <c r="O163" s="334" t="str">
        <f aca="false">IF((E163="g"),G163," ")</f>
        <v> </v>
      </c>
      <c r="P163" s="334" t="str">
        <f aca="false">IF((E163="m"),G163," ")</f>
        <v> </v>
      </c>
      <c r="Q163" s="334" t="str">
        <f aca="false">IF((E163="t"),G163," ")</f>
        <v> </v>
      </c>
      <c r="R163" s="334" t="str">
        <f aca="false">IF((E163="a"),G163," ")</f>
        <v> </v>
      </c>
      <c r="S163" s="334" t="str">
        <f aca="false">IF((E163="l"),G163," ")</f>
        <v> </v>
      </c>
      <c r="T163" s="334" t="str">
        <f aca="false">IF((E163="b"),G163," ")</f>
        <v> </v>
      </c>
      <c r="U163" s="334" t="str">
        <f aca="false">IF((E163="i"),G163," ")</f>
        <v> </v>
      </c>
      <c r="V163" s="334" t="str">
        <f aca="false">IF((E163="o"),G163," ")</f>
        <v> </v>
      </c>
      <c r="W163" s="334" t="str">
        <f aca="false">IF((E163="f"),G163," ")</f>
        <v> </v>
      </c>
    </row>
    <row r="164" customFormat="false" ht="12.75" hidden="false" customHeight="false" outlineLevel="0" collapsed="false">
      <c r="A164" s="355"/>
      <c r="E164" s="365" t="str">
        <f aca="false">IF((G164&lt;&gt;0),"Enter Letter"," ")</f>
        <v> </v>
      </c>
      <c r="H164" s="338" t="str">
        <f aca="false">IF((G164&lt;&gt;0),IF((D164&gt;0)," ",G164)," ")</f>
        <v> </v>
      </c>
      <c r="I164" s="367" t="str">
        <f aca="false">IF((G164&lt;&gt;0),IF((D164&gt;0)," ",(I$1-A164))," ")</f>
        <v> </v>
      </c>
      <c r="J164" s="334" t="str">
        <f aca="false">IF((E164="s"),G164," ")</f>
        <v> </v>
      </c>
      <c r="K164" s="334" t="str">
        <f aca="false">IF((E164="d"),G164," ")</f>
        <v> </v>
      </c>
      <c r="L164" s="334" t="str">
        <f aca="false">IF((E164="e"),G164," ")</f>
        <v> </v>
      </c>
      <c r="M164" s="334" t="str">
        <f aca="false">IF((E164="p"),G164," ")</f>
        <v> </v>
      </c>
      <c r="N164" s="334" t="str">
        <f aca="false">IF((E164="r"),G164," ")</f>
        <v> </v>
      </c>
      <c r="O164" s="334" t="str">
        <f aca="false">IF((E164="g"),G164," ")</f>
        <v> </v>
      </c>
      <c r="P164" s="334" t="str">
        <f aca="false">IF((E164="m"),G164," ")</f>
        <v> </v>
      </c>
      <c r="Q164" s="334" t="str">
        <f aca="false">IF((E164="t"),G164," ")</f>
        <v> </v>
      </c>
      <c r="R164" s="334" t="str">
        <f aca="false">IF((E164="a"),G164," ")</f>
        <v> </v>
      </c>
      <c r="S164" s="334" t="str">
        <f aca="false">IF((E164="l"),G164," ")</f>
        <v> </v>
      </c>
      <c r="T164" s="334" t="str">
        <f aca="false">IF((E164="b"),G164," ")</f>
        <v> </v>
      </c>
      <c r="U164" s="334" t="str">
        <f aca="false">IF((E164="i"),G164," ")</f>
        <v> </v>
      </c>
      <c r="V164" s="334" t="str">
        <f aca="false">IF((E164="o"),G164," ")</f>
        <v> </v>
      </c>
      <c r="W164" s="334" t="str">
        <f aca="false">IF((E164="f"),G164," ")</f>
        <v> </v>
      </c>
    </row>
    <row r="165" customFormat="false" ht="12.75" hidden="false" customHeight="false" outlineLevel="0" collapsed="false">
      <c r="A165" s="355"/>
      <c r="E165" s="365" t="str">
        <f aca="false">IF((G165&lt;&gt;0),"Enter Letter"," ")</f>
        <v> </v>
      </c>
      <c r="H165" s="338" t="str">
        <f aca="false">IF((G165&lt;&gt;0),IF((D165&gt;0)," ",G165)," ")</f>
        <v> </v>
      </c>
      <c r="I165" s="367" t="str">
        <f aca="false">IF((G165&lt;&gt;0),IF((D165&gt;0)," ",(I$1-A165))," ")</f>
        <v> </v>
      </c>
      <c r="J165" s="334" t="str">
        <f aca="false">IF((E165="s"),G165," ")</f>
        <v> </v>
      </c>
      <c r="K165" s="334" t="str">
        <f aca="false">IF((E165="d"),G165," ")</f>
        <v> </v>
      </c>
      <c r="L165" s="334" t="str">
        <f aca="false">IF((E165="e"),G165," ")</f>
        <v> </v>
      </c>
      <c r="M165" s="334" t="str">
        <f aca="false">IF((E165="p"),G165," ")</f>
        <v> </v>
      </c>
      <c r="N165" s="334" t="str">
        <f aca="false">IF((E165="r"),G165," ")</f>
        <v> </v>
      </c>
      <c r="O165" s="334" t="str">
        <f aca="false">IF((E165="g"),G165," ")</f>
        <v> </v>
      </c>
      <c r="P165" s="334" t="str">
        <f aca="false">IF((E165="m"),G165," ")</f>
        <v> </v>
      </c>
      <c r="Q165" s="334" t="str">
        <f aca="false">IF((E165="t"),G165," ")</f>
        <v> </v>
      </c>
      <c r="R165" s="334" t="str">
        <f aca="false">IF((E165="a"),G165," ")</f>
        <v> </v>
      </c>
      <c r="S165" s="334" t="str">
        <f aca="false">IF((E165="l"),G165," ")</f>
        <v> </v>
      </c>
      <c r="T165" s="334" t="str">
        <f aca="false">IF((E165="b"),G165," ")</f>
        <v> </v>
      </c>
      <c r="U165" s="334" t="str">
        <f aca="false">IF((E165="i"),G165," ")</f>
        <v> </v>
      </c>
      <c r="V165" s="334" t="str">
        <f aca="false">IF((E165="o"),G165," ")</f>
        <v> </v>
      </c>
      <c r="W165" s="334" t="str">
        <f aca="false">IF((E165="f"),G165," ")</f>
        <v> </v>
      </c>
    </row>
    <row r="166" customFormat="false" ht="12.75" hidden="false" customHeight="false" outlineLevel="0" collapsed="false">
      <c r="A166" s="355"/>
      <c r="E166" s="365" t="str">
        <f aca="false">IF((G166&lt;&gt;0),"Enter Letter"," ")</f>
        <v> </v>
      </c>
      <c r="H166" s="338" t="str">
        <f aca="false">IF((G166&lt;&gt;0),IF((D166&gt;0)," ",G166)," ")</f>
        <v> </v>
      </c>
      <c r="I166" s="367" t="str">
        <f aca="false">IF((G166&lt;&gt;0),IF((D166&gt;0)," ",(I$1-A166))," ")</f>
        <v> </v>
      </c>
      <c r="J166" s="334" t="str">
        <f aca="false">IF((E166="s"),G166," ")</f>
        <v> </v>
      </c>
      <c r="K166" s="334" t="str">
        <f aca="false">IF((E166="d"),G166," ")</f>
        <v> </v>
      </c>
      <c r="L166" s="334" t="str">
        <f aca="false">IF((E166="e"),G166," ")</f>
        <v> </v>
      </c>
      <c r="M166" s="334" t="str">
        <f aca="false">IF((E166="p"),G166," ")</f>
        <v> </v>
      </c>
      <c r="N166" s="334" t="str">
        <f aca="false">IF((E166="r"),G166," ")</f>
        <v> </v>
      </c>
      <c r="O166" s="334" t="str">
        <f aca="false">IF((E166="g"),G166," ")</f>
        <v> </v>
      </c>
      <c r="P166" s="334" t="str">
        <f aca="false">IF((E166="m"),G166," ")</f>
        <v> </v>
      </c>
      <c r="Q166" s="334" t="str">
        <f aca="false">IF((E166="t"),G166," ")</f>
        <v> </v>
      </c>
      <c r="R166" s="334" t="str">
        <f aca="false">IF((E166="a"),G166," ")</f>
        <v> </v>
      </c>
      <c r="S166" s="334" t="str">
        <f aca="false">IF((E166="l"),G166," ")</f>
        <v> </v>
      </c>
      <c r="T166" s="334" t="str">
        <f aca="false">IF((E166="b"),G166," ")</f>
        <v> </v>
      </c>
      <c r="U166" s="334" t="str">
        <f aca="false">IF((E166="i"),G166," ")</f>
        <v> </v>
      </c>
      <c r="V166" s="334" t="str">
        <f aca="false">IF((E166="o"),G166," ")</f>
        <v> </v>
      </c>
      <c r="W166" s="334" t="str">
        <f aca="false">IF((E166="f"),G166," ")</f>
        <v> </v>
      </c>
    </row>
    <row r="167" customFormat="false" ht="12.75" hidden="false" customHeight="false" outlineLevel="0" collapsed="false">
      <c r="A167" s="355"/>
      <c r="E167" s="365" t="str">
        <f aca="false">IF((G167&lt;&gt;0),"Enter Letter"," ")</f>
        <v> </v>
      </c>
      <c r="H167" s="338" t="str">
        <f aca="false">IF((G167&lt;&gt;0),IF((D167&gt;0)," ",G167)," ")</f>
        <v> </v>
      </c>
      <c r="I167" s="367" t="str">
        <f aca="false">IF((G167&lt;&gt;0),IF((D167&gt;0)," ",(I$1-A167))," ")</f>
        <v> </v>
      </c>
      <c r="J167" s="334" t="str">
        <f aca="false">IF((E167="s"),G167," ")</f>
        <v> </v>
      </c>
      <c r="K167" s="334" t="str">
        <f aca="false">IF((E167="d"),G167," ")</f>
        <v> </v>
      </c>
      <c r="L167" s="334" t="str">
        <f aca="false">IF((E167="e"),G167," ")</f>
        <v> </v>
      </c>
      <c r="M167" s="334" t="str">
        <f aca="false">IF((E167="p"),G167," ")</f>
        <v> </v>
      </c>
      <c r="N167" s="334" t="str">
        <f aca="false">IF((E167="r"),G167," ")</f>
        <v> </v>
      </c>
      <c r="O167" s="334" t="str">
        <f aca="false">IF((E167="g"),G167," ")</f>
        <v> </v>
      </c>
      <c r="P167" s="334" t="str">
        <f aca="false">IF((E167="m"),G167," ")</f>
        <v> </v>
      </c>
      <c r="Q167" s="334" t="str">
        <f aca="false">IF((E167="t"),G167," ")</f>
        <v> </v>
      </c>
      <c r="R167" s="334" t="str">
        <f aca="false">IF((E167="a"),G167," ")</f>
        <v> </v>
      </c>
      <c r="S167" s="334" t="str">
        <f aca="false">IF((E167="l"),G167," ")</f>
        <v> </v>
      </c>
      <c r="T167" s="334" t="str">
        <f aca="false">IF((E167="b"),G167," ")</f>
        <v> </v>
      </c>
      <c r="U167" s="334" t="str">
        <f aca="false">IF((E167="i"),G167," ")</f>
        <v> </v>
      </c>
      <c r="V167" s="334" t="str">
        <f aca="false">IF((E167="o"),G167," ")</f>
        <v> </v>
      </c>
      <c r="W167" s="334" t="str">
        <f aca="false">IF((E167="f"),G167," ")</f>
        <v> </v>
      </c>
    </row>
    <row r="168" customFormat="false" ht="12.75" hidden="false" customHeight="false" outlineLevel="0" collapsed="false">
      <c r="A168" s="355"/>
      <c r="E168" s="365" t="str">
        <f aca="false">IF((G168&lt;&gt;0),"Enter Letter"," ")</f>
        <v> </v>
      </c>
      <c r="H168" s="338" t="str">
        <f aca="false">IF((G168&lt;&gt;0),IF((D168&gt;0)," ",G168)," ")</f>
        <v> </v>
      </c>
      <c r="I168" s="367" t="str">
        <f aca="false">IF((G168&lt;&gt;0),IF((D168&gt;0)," ",(I$1-A168))," ")</f>
        <v> </v>
      </c>
      <c r="J168" s="334" t="str">
        <f aca="false">IF((E168="s"),G168," ")</f>
        <v> </v>
      </c>
      <c r="K168" s="334" t="str">
        <f aca="false">IF((E168="d"),G168," ")</f>
        <v> </v>
      </c>
      <c r="L168" s="334" t="str">
        <f aca="false">IF((E168="e"),G168," ")</f>
        <v> </v>
      </c>
      <c r="M168" s="334" t="str">
        <f aca="false">IF((E168="p"),G168," ")</f>
        <v> </v>
      </c>
      <c r="N168" s="334" t="str">
        <f aca="false">IF((E168="r"),G168," ")</f>
        <v> </v>
      </c>
      <c r="O168" s="334" t="str">
        <f aca="false">IF((E168="g"),G168," ")</f>
        <v> </v>
      </c>
      <c r="P168" s="334" t="str">
        <f aca="false">IF((E168="m"),G168," ")</f>
        <v> </v>
      </c>
      <c r="Q168" s="334" t="str">
        <f aca="false">IF((E168="t"),G168," ")</f>
        <v> </v>
      </c>
      <c r="R168" s="334" t="str">
        <f aca="false">IF((E168="a"),G168," ")</f>
        <v> </v>
      </c>
      <c r="S168" s="334" t="str">
        <f aca="false">IF((E168="l"),G168," ")</f>
        <v> </v>
      </c>
      <c r="T168" s="334" t="str">
        <f aca="false">IF((E168="b"),G168," ")</f>
        <v> </v>
      </c>
      <c r="U168" s="334" t="str">
        <f aca="false">IF((E168="i"),G168," ")</f>
        <v> </v>
      </c>
      <c r="V168" s="334" t="str">
        <f aca="false">IF((E168="o"),G168," ")</f>
        <v> </v>
      </c>
      <c r="W168" s="334" t="str">
        <f aca="false">IF((E168="f"),G168," ")</f>
        <v> </v>
      </c>
    </row>
    <row r="169" customFormat="false" ht="12.75" hidden="false" customHeight="false" outlineLevel="0" collapsed="false">
      <c r="A169" s="355"/>
      <c r="E169" s="365" t="str">
        <f aca="false">IF((G169&lt;&gt;0),"Enter Letter"," ")</f>
        <v> </v>
      </c>
      <c r="H169" s="338" t="str">
        <f aca="false">IF((G169&lt;&gt;0),IF((D169&gt;0)," ",G169)," ")</f>
        <v> </v>
      </c>
      <c r="I169" s="367" t="str">
        <f aca="false">IF((G169&lt;&gt;0),IF((D169&gt;0)," ",(I$1-A169))," ")</f>
        <v> </v>
      </c>
      <c r="J169" s="334" t="str">
        <f aca="false">IF((E169="s"),G169," ")</f>
        <v> </v>
      </c>
      <c r="K169" s="334" t="str">
        <f aca="false">IF((E169="d"),G169," ")</f>
        <v> </v>
      </c>
      <c r="L169" s="334" t="str">
        <f aca="false">IF((E169="e"),G169," ")</f>
        <v> </v>
      </c>
      <c r="M169" s="334" t="str">
        <f aca="false">IF((E169="p"),G169," ")</f>
        <v> </v>
      </c>
      <c r="N169" s="334" t="str">
        <f aca="false">IF((E169="r"),G169," ")</f>
        <v> </v>
      </c>
      <c r="O169" s="334" t="str">
        <f aca="false">IF((E169="g"),G169," ")</f>
        <v> </v>
      </c>
      <c r="P169" s="334" t="str">
        <f aca="false">IF((E169="m"),G169," ")</f>
        <v> </v>
      </c>
      <c r="Q169" s="334" t="str">
        <f aca="false">IF((E169="t"),G169," ")</f>
        <v> </v>
      </c>
      <c r="R169" s="334" t="str">
        <f aca="false">IF((E169="a"),G169," ")</f>
        <v> </v>
      </c>
      <c r="S169" s="334" t="str">
        <f aca="false">IF((E169="l"),G169," ")</f>
        <v> </v>
      </c>
      <c r="T169" s="334" t="str">
        <f aca="false">IF((E169="b"),G169," ")</f>
        <v> </v>
      </c>
      <c r="U169" s="334" t="str">
        <f aca="false">IF((E169="i"),G169," ")</f>
        <v> </v>
      </c>
      <c r="V169" s="334" t="str">
        <f aca="false">IF((E169="o"),G169," ")</f>
        <v> </v>
      </c>
      <c r="W169" s="334" t="str">
        <f aca="false">IF((E169="f"),G169," ")</f>
        <v> </v>
      </c>
    </row>
    <row r="170" customFormat="false" ht="12.75" hidden="false" customHeight="false" outlineLevel="0" collapsed="false">
      <c r="A170" s="355"/>
      <c r="E170" s="365" t="str">
        <f aca="false">IF((G170&lt;&gt;0),"Enter Letter"," ")</f>
        <v> </v>
      </c>
      <c r="H170" s="338" t="str">
        <f aca="false">IF((G170&lt;&gt;0),IF((D170&gt;0)," ",G170)," ")</f>
        <v> </v>
      </c>
      <c r="I170" s="367" t="str">
        <f aca="false">IF((G170&lt;&gt;0),IF((D170&gt;0)," ",(I$1-A170))," ")</f>
        <v> </v>
      </c>
      <c r="J170" s="334" t="str">
        <f aca="false">IF((E170="s"),G170," ")</f>
        <v> </v>
      </c>
      <c r="K170" s="334" t="str">
        <f aca="false">IF((E170="d"),G170," ")</f>
        <v> </v>
      </c>
      <c r="L170" s="334" t="str">
        <f aca="false">IF((E170="e"),G170," ")</f>
        <v> </v>
      </c>
      <c r="M170" s="334" t="str">
        <f aca="false">IF((E170="p"),G170," ")</f>
        <v> </v>
      </c>
      <c r="N170" s="334" t="str">
        <f aca="false">IF((E170="r"),G170," ")</f>
        <v> </v>
      </c>
      <c r="O170" s="334" t="str">
        <f aca="false">IF((E170="g"),G170," ")</f>
        <v> </v>
      </c>
      <c r="P170" s="334" t="str">
        <f aca="false">IF((E170="m"),G170," ")</f>
        <v> </v>
      </c>
      <c r="Q170" s="334" t="str">
        <f aca="false">IF((E170="t"),G170," ")</f>
        <v> </v>
      </c>
      <c r="R170" s="334" t="str">
        <f aca="false">IF((E170="a"),G170," ")</f>
        <v> </v>
      </c>
      <c r="S170" s="334" t="str">
        <f aca="false">IF((E170="l"),G170," ")</f>
        <v> </v>
      </c>
      <c r="T170" s="334" t="str">
        <f aca="false">IF((E170="b"),G170," ")</f>
        <v> </v>
      </c>
      <c r="U170" s="334" t="str">
        <f aca="false">IF((E170="i"),G170," ")</f>
        <v> </v>
      </c>
      <c r="V170" s="334" t="str">
        <f aca="false">IF((E170="o"),G170," ")</f>
        <v> </v>
      </c>
      <c r="W170" s="334" t="str">
        <f aca="false">IF((E170="f"),G170," ")</f>
        <v> </v>
      </c>
    </row>
    <row r="171" customFormat="false" ht="12.75" hidden="false" customHeight="false" outlineLevel="0" collapsed="false">
      <c r="A171" s="355"/>
      <c r="E171" s="365" t="str">
        <f aca="false">IF((G171&lt;&gt;0),"Enter Letter"," ")</f>
        <v> </v>
      </c>
      <c r="H171" s="338" t="str">
        <f aca="false">IF((G171&lt;&gt;0),IF((D171&gt;0)," ",G171)," ")</f>
        <v> </v>
      </c>
      <c r="I171" s="367" t="str">
        <f aca="false">IF((G171&lt;&gt;0),IF((D171&gt;0)," ",(I$1-A171))," ")</f>
        <v> </v>
      </c>
      <c r="J171" s="334" t="str">
        <f aca="false">IF((E171="s"),G171," ")</f>
        <v> </v>
      </c>
      <c r="K171" s="334" t="str">
        <f aca="false">IF((E171="d"),G171," ")</f>
        <v> </v>
      </c>
      <c r="L171" s="334" t="str">
        <f aca="false">IF((E171="e"),G171," ")</f>
        <v> </v>
      </c>
      <c r="M171" s="334" t="str">
        <f aca="false">IF((E171="p"),G171," ")</f>
        <v> </v>
      </c>
      <c r="N171" s="334" t="str">
        <f aca="false">IF((E171="r"),G171," ")</f>
        <v> </v>
      </c>
      <c r="O171" s="334" t="str">
        <f aca="false">IF((E171="g"),G171," ")</f>
        <v> </v>
      </c>
      <c r="P171" s="334" t="str">
        <f aca="false">IF((E171="m"),G171," ")</f>
        <v> </v>
      </c>
      <c r="Q171" s="334" t="str">
        <f aca="false">IF((E171="t"),G171," ")</f>
        <v> </v>
      </c>
      <c r="R171" s="334" t="str">
        <f aca="false">IF((E171="a"),G171," ")</f>
        <v> </v>
      </c>
      <c r="S171" s="334" t="str">
        <f aca="false">IF((E171="l"),G171," ")</f>
        <v> </v>
      </c>
      <c r="T171" s="334" t="str">
        <f aca="false">IF((E171="b"),G171," ")</f>
        <v> </v>
      </c>
      <c r="U171" s="334" t="str">
        <f aca="false">IF((E171="i"),G171," ")</f>
        <v> </v>
      </c>
      <c r="V171" s="334" t="str">
        <f aca="false">IF((E171="o"),G171," ")</f>
        <v> </v>
      </c>
      <c r="W171" s="334" t="str">
        <f aca="false">IF((E171="f"),G171," ")</f>
        <v> </v>
      </c>
    </row>
    <row r="172" customFormat="false" ht="12.75" hidden="false" customHeight="false" outlineLevel="0" collapsed="false">
      <c r="A172" s="355"/>
      <c r="E172" s="365" t="str">
        <f aca="false">IF((G172&lt;&gt;0),"Enter Letter"," ")</f>
        <v> </v>
      </c>
      <c r="H172" s="338" t="str">
        <f aca="false">IF((G172&lt;&gt;0),IF((D172&gt;0)," ",G172)," ")</f>
        <v> </v>
      </c>
      <c r="I172" s="367" t="str">
        <f aca="false">IF((G172&lt;&gt;0),IF((D172&gt;0)," ",(I$1-A172))," ")</f>
        <v> </v>
      </c>
      <c r="J172" s="334" t="str">
        <f aca="false">IF((E172="s"),G172," ")</f>
        <v> </v>
      </c>
      <c r="K172" s="334" t="str">
        <f aca="false">IF((E172="d"),G172," ")</f>
        <v> </v>
      </c>
      <c r="L172" s="334" t="str">
        <f aca="false">IF((E172="e"),G172," ")</f>
        <v> </v>
      </c>
      <c r="M172" s="334" t="str">
        <f aca="false">IF((E172="p"),G172," ")</f>
        <v> </v>
      </c>
      <c r="N172" s="334" t="str">
        <f aca="false">IF((E172="r"),G172," ")</f>
        <v> </v>
      </c>
      <c r="O172" s="334" t="str">
        <f aca="false">IF((E172="g"),G172," ")</f>
        <v> </v>
      </c>
      <c r="P172" s="334" t="str">
        <f aca="false">IF((E172="m"),G172," ")</f>
        <v> </v>
      </c>
      <c r="Q172" s="334" t="str">
        <f aca="false">IF((E172="t"),G172," ")</f>
        <v> </v>
      </c>
      <c r="R172" s="334" t="str">
        <f aca="false">IF((E172="a"),G172," ")</f>
        <v> </v>
      </c>
      <c r="S172" s="334" t="str">
        <f aca="false">IF((E172="l"),G172," ")</f>
        <v> </v>
      </c>
      <c r="T172" s="334" t="str">
        <f aca="false">IF((E172="b"),G172," ")</f>
        <v> </v>
      </c>
      <c r="U172" s="334" t="str">
        <f aca="false">IF((E172="i"),G172," ")</f>
        <v> </v>
      </c>
      <c r="V172" s="334" t="str">
        <f aca="false">IF((E172="o"),G172," ")</f>
        <v> </v>
      </c>
      <c r="W172" s="334" t="str">
        <f aca="false">IF((E172="f"),G172," ")</f>
        <v> </v>
      </c>
    </row>
    <row r="173" customFormat="false" ht="12.75" hidden="false" customHeight="false" outlineLevel="0" collapsed="false">
      <c r="A173" s="355"/>
      <c r="E173" s="365" t="str">
        <f aca="false">IF((G173&lt;&gt;0),"Enter Letter"," ")</f>
        <v> </v>
      </c>
      <c r="H173" s="338" t="str">
        <f aca="false">IF((G173&lt;&gt;0),IF((D173&gt;0)," ",G173)," ")</f>
        <v> </v>
      </c>
      <c r="I173" s="367" t="str">
        <f aca="false">IF((G173&lt;&gt;0),IF((D173&gt;0)," ",(I$1-A173))," ")</f>
        <v> </v>
      </c>
      <c r="J173" s="334" t="str">
        <f aca="false">IF((E173="s"),G173," ")</f>
        <v> </v>
      </c>
      <c r="K173" s="334" t="str">
        <f aca="false">IF((E173="d"),G173," ")</f>
        <v> </v>
      </c>
      <c r="L173" s="334" t="str">
        <f aca="false">IF((E173="e"),G173," ")</f>
        <v> </v>
      </c>
      <c r="M173" s="334" t="str">
        <f aca="false">IF((E173="p"),G173," ")</f>
        <v> </v>
      </c>
      <c r="N173" s="334" t="str">
        <f aca="false">IF((E173="r"),G173," ")</f>
        <v> </v>
      </c>
      <c r="O173" s="334" t="str">
        <f aca="false">IF((E173="g"),G173," ")</f>
        <v> </v>
      </c>
      <c r="P173" s="334" t="str">
        <f aca="false">IF((E173="m"),G173," ")</f>
        <v> </v>
      </c>
      <c r="Q173" s="334" t="str">
        <f aca="false">IF((E173="t"),G173," ")</f>
        <v> </v>
      </c>
      <c r="R173" s="334" t="str">
        <f aca="false">IF((E173="a"),G173," ")</f>
        <v> </v>
      </c>
      <c r="S173" s="334" t="str">
        <f aca="false">IF((E173="l"),G173," ")</f>
        <v> </v>
      </c>
      <c r="T173" s="334" t="str">
        <f aca="false">IF((E173="b"),G173," ")</f>
        <v> </v>
      </c>
      <c r="U173" s="334" t="str">
        <f aca="false">IF((E173="i"),G173," ")</f>
        <v> </v>
      </c>
      <c r="V173" s="334" t="str">
        <f aca="false">IF((E173="o"),G173," ")</f>
        <v> </v>
      </c>
      <c r="W173" s="334" t="str">
        <f aca="false">IF((E173="f"),G173," ")</f>
        <v> </v>
      </c>
    </row>
    <row r="174" customFormat="false" ht="12.75" hidden="false" customHeight="false" outlineLevel="0" collapsed="false">
      <c r="A174" s="355"/>
      <c r="E174" s="365" t="str">
        <f aca="false">IF((G174&lt;&gt;0),"Enter Letter"," ")</f>
        <v> </v>
      </c>
      <c r="H174" s="338" t="str">
        <f aca="false">IF((G174&lt;&gt;0),IF((D174&gt;0)," ",G174)," ")</f>
        <v> </v>
      </c>
      <c r="I174" s="367" t="str">
        <f aca="false">IF((G174&lt;&gt;0),IF((D174&gt;0)," ",(I$1-A174))," ")</f>
        <v> </v>
      </c>
      <c r="J174" s="334" t="str">
        <f aca="false">IF((E174="s"),G174," ")</f>
        <v> </v>
      </c>
      <c r="K174" s="334" t="str">
        <f aca="false">IF((E174="d"),G174," ")</f>
        <v> </v>
      </c>
      <c r="L174" s="334" t="str">
        <f aca="false">IF((E174="e"),G174," ")</f>
        <v> </v>
      </c>
      <c r="M174" s="334" t="str">
        <f aca="false">IF((E174="p"),G174," ")</f>
        <v> </v>
      </c>
      <c r="N174" s="334" t="str">
        <f aca="false">IF((E174="r"),G174," ")</f>
        <v> </v>
      </c>
      <c r="O174" s="334" t="str">
        <f aca="false">IF((E174="g"),G174," ")</f>
        <v> </v>
      </c>
      <c r="P174" s="334" t="str">
        <f aca="false">IF((E174="m"),G174," ")</f>
        <v> </v>
      </c>
      <c r="Q174" s="334" t="str">
        <f aca="false">IF((E174="t"),G174," ")</f>
        <v> </v>
      </c>
      <c r="R174" s="334" t="str">
        <f aca="false">IF((E174="a"),G174," ")</f>
        <v> </v>
      </c>
      <c r="S174" s="334" t="str">
        <f aca="false">IF((E174="l"),G174," ")</f>
        <v> </v>
      </c>
      <c r="T174" s="334" t="str">
        <f aca="false">IF((E174="b"),G174," ")</f>
        <v> </v>
      </c>
      <c r="U174" s="334" t="str">
        <f aca="false">IF((E174="i"),G174," ")</f>
        <v> </v>
      </c>
      <c r="V174" s="334" t="str">
        <f aca="false">IF((E174="o"),G174," ")</f>
        <v> </v>
      </c>
      <c r="W174" s="334" t="str">
        <f aca="false">IF((E174="f"),G174," ")</f>
        <v> </v>
      </c>
    </row>
    <row r="175" customFormat="false" ht="12.75" hidden="false" customHeight="false" outlineLevel="0" collapsed="false">
      <c r="A175" s="355"/>
      <c r="E175" s="365" t="str">
        <f aca="false">IF((G175&lt;&gt;0),"Enter Letter"," ")</f>
        <v> </v>
      </c>
      <c r="H175" s="338" t="str">
        <f aca="false">IF((G175&lt;&gt;0),IF((D175&gt;0)," ",G175)," ")</f>
        <v> </v>
      </c>
      <c r="I175" s="367" t="str">
        <f aca="false">IF((G175&lt;&gt;0),IF((D175&gt;0)," ",(I$1-A175))," ")</f>
        <v> </v>
      </c>
      <c r="J175" s="334" t="str">
        <f aca="false">IF((E175="s"),G175," ")</f>
        <v> </v>
      </c>
      <c r="K175" s="334" t="str">
        <f aca="false">IF((E175="d"),G175," ")</f>
        <v> </v>
      </c>
      <c r="L175" s="334" t="str">
        <f aca="false">IF((E175="e"),G175," ")</f>
        <v> </v>
      </c>
      <c r="M175" s="334" t="str">
        <f aca="false">IF((E175="p"),G175," ")</f>
        <v> </v>
      </c>
      <c r="N175" s="334" t="str">
        <f aca="false">IF((E175="r"),G175," ")</f>
        <v> </v>
      </c>
      <c r="O175" s="334" t="str">
        <f aca="false">IF((E175="g"),G175," ")</f>
        <v> </v>
      </c>
      <c r="P175" s="334" t="str">
        <f aca="false">IF((E175="m"),G175," ")</f>
        <v> </v>
      </c>
      <c r="Q175" s="334" t="str">
        <f aca="false">IF((E175="t"),G175," ")</f>
        <v> </v>
      </c>
      <c r="R175" s="334" t="str">
        <f aca="false">IF((E175="a"),G175," ")</f>
        <v> </v>
      </c>
      <c r="S175" s="334" t="str">
        <f aca="false">IF((E175="l"),G175," ")</f>
        <v> </v>
      </c>
      <c r="T175" s="334" t="str">
        <f aca="false">IF((E175="b"),G175," ")</f>
        <v> </v>
      </c>
      <c r="U175" s="334" t="str">
        <f aca="false">IF((E175="i"),G175," ")</f>
        <v> </v>
      </c>
      <c r="V175" s="334" t="str">
        <f aca="false">IF((E175="o"),G175," ")</f>
        <v> </v>
      </c>
      <c r="W175" s="334" t="str">
        <f aca="false">IF((E175="f"),G175," ")</f>
        <v> </v>
      </c>
    </row>
    <row r="176" customFormat="false" ht="12.75" hidden="false" customHeight="false" outlineLevel="0" collapsed="false">
      <c r="A176" s="355"/>
      <c r="E176" s="365" t="str">
        <f aca="false">IF((G176&lt;&gt;0),"Enter Letter"," ")</f>
        <v> </v>
      </c>
      <c r="H176" s="338" t="str">
        <f aca="false">IF((G176&lt;&gt;0),IF((D176&gt;0)," ",G176)," ")</f>
        <v> </v>
      </c>
      <c r="I176" s="367" t="str">
        <f aca="false">IF((G176&lt;&gt;0),IF((D176&gt;0)," ",(I$1-A176))," ")</f>
        <v> </v>
      </c>
      <c r="J176" s="334" t="str">
        <f aca="false">IF((E176="s"),G176," ")</f>
        <v> </v>
      </c>
      <c r="K176" s="334" t="str">
        <f aca="false">IF((E176="d"),G176," ")</f>
        <v> </v>
      </c>
      <c r="L176" s="334" t="str">
        <f aca="false">IF((E176="e"),G176," ")</f>
        <v> </v>
      </c>
      <c r="M176" s="334" t="str">
        <f aca="false">IF((E176="p"),G176," ")</f>
        <v> </v>
      </c>
      <c r="N176" s="334" t="str">
        <f aca="false">IF((E176="r"),G176," ")</f>
        <v> </v>
      </c>
      <c r="O176" s="334" t="str">
        <f aca="false">IF((E176="g"),G176," ")</f>
        <v> </v>
      </c>
      <c r="P176" s="334" t="str">
        <f aca="false">IF((E176="m"),G176," ")</f>
        <v> </v>
      </c>
      <c r="Q176" s="334" t="str">
        <f aca="false">IF((E176="t"),G176," ")</f>
        <v> </v>
      </c>
      <c r="R176" s="334" t="str">
        <f aca="false">IF((E176="a"),G176," ")</f>
        <v> </v>
      </c>
      <c r="S176" s="334" t="str">
        <f aca="false">IF((E176="l"),G176," ")</f>
        <v> </v>
      </c>
      <c r="T176" s="334" t="str">
        <f aca="false">IF((E176="b"),G176," ")</f>
        <v> </v>
      </c>
      <c r="U176" s="334" t="str">
        <f aca="false">IF((E176="i"),G176," ")</f>
        <v> </v>
      </c>
      <c r="V176" s="334" t="str">
        <f aca="false">IF((E176="o"),G176," ")</f>
        <v> </v>
      </c>
      <c r="W176" s="334" t="str">
        <f aca="false">IF((E176="f"),G176," ")</f>
        <v> </v>
      </c>
    </row>
    <row r="177" customFormat="false" ht="12.75" hidden="false" customHeight="false" outlineLevel="0" collapsed="false">
      <c r="A177" s="355"/>
      <c r="E177" s="365" t="str">
        <f aca="false">IF((G177&lt;&gt;0),"Enter Letter"," ")</f>
        <v> </v>
      </c>
      <c r="H177" s="338" t="str">
        <f aca="false">IF((G177&lt;&gt;0),IF((D177&gt;0)," ",G177)," ")</f>
        <v> </v>
      </c>
      <c r="I177" s="367" t="str">
        <f aca="false">IF((G177&lt;&gt;0),IF((D177&gt;0)," ",(I$1-A177))," ")</f>
        <v> </v>
      </c>
      <c r="J177" s="334" t="str">
        <f aca="false">IF((E177="s"),G177," ")</f>
        <v> </v>
      </c>
      <c r="K177" s="334" t="str">
        <f aca="false">IF((E177="d"),G177," ")</f>
        <v> </v>
      </c>
      <c r="L177" s="334" t="str">
        <f aca="false">IF((E177="e"),G177," ")</f>
        <v> </v>
      </c>
      <c r="M177" s="334" t="str">
        <f aca="false">IF((E177="p"),G177," ")</f>
        <v> </v>
      </c>
      <c r="N177" s="334" t="str">
        <f aca="false">IF((E177="r"),G177," ")</f>
        <v> </v>
      </c>
      <c r="O177" s="334" t="str">
        <f aca="false">IF((E177="g"),G177," ")</f>
        <v> </v>
      </c>
      <c r="P177" s="334" t="str">
        <f aca="false">IF((E177="m"),G177," ")</f>
        <v> </v>
      </c>
      <c r="Q177" s="334" t="str">
        <f aca="false">IF((E177="t"),G177," ")</f>
        <v> </v>
      </c>
      <c r="R177" s="334" t="str">
        <f aca="false">IF((E177="a"),G177," ")</f>
        <v> </v>
      </c>
      <c r="S177" s="334" t="str">
        <f aca="false">IF((E177="l"),G177," ")</f>
        <v> </v>
      </c>
      <c r="T177" s="334" t="str">
        <f aca="false">IF((E177="b"),G177," ")</f>
        <v> </v>
      </c>
      <c r="U177" s="334" t="str">
        <f aca="false">IF((E177="i"),G177," ")</f>
        <v> </v>
      </c>
      <c r="V177" s="334" t="str">
        <f aca="false">IF((E177="o"),G177," ")</f>
        <v> </v>
      </c>
      <c r="W177" s="334" t="str">
        <f aca="false">IF((E177="f"),G177," ")</f>
        <v> </v>
      </c>
    </row>
    <row r="178" customFormat="false" ht="12.75" hidden="false" customHeight="false" outlineLevel="0" collapsed="false">
      <c r="A178" s="355"/>
      <c r="E178" s="365" t="str">
        <f aca="false">IF((G178&lt;&gt;0),"Enter Letter"," ")</f>
        <v> </v>
      </c>
      <c r="H178" s="338" t="str">
        <f aca="false">IF((G178&lt;&gt;0),IF((D178&gt;0)," ",G178)," ")</f>
        <v> </v>
      </c>
      <c r="I178" s="367" t="str">
        <f aca="false">IF((G178&lt;&gt;0),IF((D178&gt;0)," ",(I$1-A178))," ")</f>
        <v> </v>
      </c>
      <c r="J178" s="334" t="str">
        <f aca="false">IF((E178="s"),G178," ")</f>
        <v> </v>
      </c>
      <c r="K178" s="334" t="str">
        <f aca="false">IF((E178="d"),G178," ")</f>
        <v> </v>
      </c>
      <c r="L178" s="334" t="str">
        <f aca="false">IF((E178="e"),G178," ")</f>
        <v> </v>
      </c>
      <c r="M178" s="334" t="str">
        <f aca="false">IF((E178="p"),G178," ")</f>
        <v> </v>
      </c>
      <c r="N178" s="334" t="str">
        <f aca="false">IF((E178="r"),G178," ")</f>
        <v> </v>
      </c>
      <c r="O178" s="334" t="str">
        <f aca="false">IF((E178="g"),G178," ")</f>
        <v> </v>
      </c>
      <c r="P178" s="334" t="str">
        <f aca="false">IF((E178="m"),G178," ")</f>
        <v> </v>
      </c>
      <c r="Q178" s="334" t="str">
        <f aca="false">IF((E178="t"),G178," ")</f>
        <v> </v>
      </c>
      <c r="R178" s="334" t="str">
        <f aca="false">IF((E178="a"),G178," ")</f>
        <v> </v>
      </c>
      <c r="S178" s="334" t="str">
        <f aca="false">IF((E178="l"),G178," ")</f>
        <v> </v>
      </c>
      <c r="T178" s="334" t="str">
        <f aca="false">IF((E178="b"),G178," ")</f>
        <v> </v>
      </c>
      <c r="U178" s="334" t="str">
        <f aca="false">IF((E178="i"),G178," ")</f>
        <v> </v>
      </c>
      <c r="V178" s="334" t="str">
        <f aca="false">IF((E178="o"),G178," ")</f>
        <v> </v>
      </c>
      <c r="W178" s="334" t="str">
        <f aca="false">IF((E178="f"),G178," ")</f>
        <v> </v>
      </c>
    </row>
    <row r="179" customFormat="false" ht="12.75" hidden="false" customHeight="false" outlineLevel="0" collapsed="false">
      <c r="A179" s="355"/>
      <c r="E179" s="365" t="str">
        <f aca="false">IF((G179&lt;&gt;0),"Enter Letter"," ")</f>
        <v> </v>
      </c>
      <c r="H179" s="338" t="str">
        <f aca="false">IF((G179&lt;&gt;0),IF((D179&gt;0)," ",G179)," ")</f>
        <v> </v>
      </c>
      <c r="I179" s="367" t="str">
        <f aca="false">IF((G179&lt;&gt;0),IF((D179&gt;0)," ",(I$1-A179))," ")</f>
        <v> </v>
      </c>
      <c r="J179" s="334" t="str">
        <f aca="false">IF((E179="s"),G179," ")</f>
        <v> </v>
      </c>
      <c r="K179" s="334" t="str">
        <f aca="false">IF((E179="d"),G179," ")</f>
        <v> </v>
      </c>
      <c r="L179" s="334" t="str">
        <f aca="false">IF((E179="e"),G179," ")</f>
        <v> </v>
      </c>
      <c r="M179" s="334" t="str">
        <f aca="false">IF((E179="p"),G179," ")</f>
        <v> </v>
      </c>
      <c r="N179" s="334" t="str">
        <f aca="false">IF((E179="r"),G179," ")</f>
        <v> </v>
      </c>
      <c r="O179" s="334" t="str">
        <f aca="false">IF((E179="g"),G179," ")</f>
        <v> </v>
      </c>
      <c r="P179" s="334" t="str">
        <f aca="false">IF((E179="m"),G179," ")</f>
        <v> </v>
      </c>
      <c r="Q179" s="334" t="str">
        <f aca="false">IF((E179="t"),G179," ")</f>
        <v> </v>
      </c>
      <c r="R179" s="334" t="str">
        <f aca="false">IF((E179="a"),G179," ")</f>
        <v> </v>
      </c>
      <c r="S179" s="334" t="str">
        <f aca="false">IF((E179="l"),G179," ")</f>
        <v> </v>
      </c>
      <c r="T179" s="334" t="str">
        <f aca="false">IF((E179="b"),G179," ")</f>
        <v> </v>
      </c>
      <c r="U179" s="334" t="str">
        <f aca="false">IF((E179="i"),G179," ")</f>
        <v> </v>
      </c>
      <c r="V179" s="334" t="str">
        <f aca="false">IF((E179="o"),G179," ")</f>
        <v> </v>
      </c>
      <c r="W179" s="334" t="str">
        <f aca="false">IF((E179="f"),G179," ")</f>
        <v> </v>
      </c>
    </row>
    <row r="180" customFormat="false" ht="12.75" hidden="false" customHeight="false" outlineLevel="0" collapsed="false">
      <c r="A180" s="355"/>
      <c r="E180" s="365" t="str">
        <f aca="false">IF((G180&lt;&gt;0),"Enter Letter"," ")</f>
        <v> </v>
      </c>
      <c r="H180" s="338" t="str">
        <f aca="false">IF((G180&lt;&gt;0),IF((D180&gt;0)," ",G180)," ")</f>
        <v> </v>
      </c>
      <c r="I180" s="367" t="str">
        <f aca="false">IF((G180&lt;&gt;0),IF((D180&gt;0)," ",(I$1-A180))," ")</f>
        <v> </v>
      </c>
      <c r="J180" s="334" t="str">
        <f aca="false">IF((E180="s"),G180," ")</f>
        <v> </v>
      </c>
      <c r="K180" s="334" t="str">
        <f aca="false">IF((E180="d"),G180," ")</f>
        <v> </v>
      </c>
      <c r="L180" s="334" t="str">
        <f aca="false">IF((E180="e"),G180," ")</f>
        <v> </v>
      </c>
      <c r="M180" s="334" t="str">
        <f aca="false">IF((E180="p"),G180," ")</f>
        <v> </v>
      </c>
      <c r="N180" s="334" t="str">
        <f aca="false">IF((E180="r"),G180," ")</f>
        <v> </v>
      </c>
      <c r="O180" s="334" t="str">
        <f aca="false">IF((E180="g"),G180," ")</f>
        <v> </v>
      </c>
      <c r="P180" s="334" t="str">
        <f aca="false">IF((E180="m"),G180," ")</f>
        <v> </v>
      </c>
      <c r="Q180" s="334" t="str">
        <f aca="false">IF((E180="t"),G180," ")</f>
        <v> </v>
      </c>
      <c r="R180" s="334" t="str">
        <f aca="false">IF((E180="a"),G180," ")</f>
        <v> </v>
      </c>
      <c r="S180" s="334" t="str">
        <f aca="false">IF((E180="l"),G180," ")</f>
        <v> </v>
      </c>
      <c r="T180" s="334" t="str">
        <f aca="false">IF((E180="b"),G180," ")</f>
        <v> </v>
      </c>
      <c r="U180" s="334" t="str">
        <f aca="false">IF((E180="i"),G180," ")</f>
        <v> </v>
      </c>
      <c r="V180" s="334" t="str">
        <f aca="false">IF((E180="o"),G180," ")</f>
        <v> </v>
      </c>
      <c r="W180" s="334" t="str">
        <f aca="false">IF((E180="f"),G180," ")</f>
        <v> </v>
      </c>
    </row>
    <row r="181" customFormat="false" ht="12.75" hidden="false" customHeight="false" outlineLevel="0" collapsed="false">
      <c r="A181" s="355"/>
      <c r="E181" s="365" t="str">
        <f aca="false">IF((G181&lt;&gt;0),"Enter Letter"," ")</f>
        <v> </v>
      </c>
      <c r="H181" s="338" t="str">
        <f aca="false">IF((G181&lt;&gt;0),IF((D181&gt;0)," ",G181)," ")</f>
        <v> </v>
      </c>
      <c r="I181" s="367" t="str">
        <f aca="false">IF((G181&lt;&gt;0),IF((D181&gt;0)," ",(I$1-A181))," ")</f>
        <v> </v>
      </c>
      <c r="J181" s="334" t="str">
        <f aca="false">IF((E181="s"),G181," ")</f>
        <v> </v>
      </c>
      <c r="K181" s="334" t="str">
        <f aca="false">IF((E181="d"),G181," ")</f>
        <v> </v>
      </c>
      <c r="L181" s="334" t="str">
        <f aca="false">IF((E181="e"),G181," ")</f>
        <v> </v>
      </c>
      <c r="M181" s="334" t="str">
        <f aca="false">IF((E181="p"),G181," ")</f>
        <v> </v>
      </c>
      <c r="N181" s="334" t="str">
        <f aca="false">IF((E181="r"),G181," ")</f>
        <v> </v>
      </c>
      <c r="O181" s="334" t="str">
        <f aca="false">IF((E181="g"),G181," ")</f>
        <v> </v>
      </c>
      <c r="P181" s="334" t="str">
        <f aca="false">IF((E181="m"),G181," ")</f>
        <v> </v>
      </c>
      <c r="Q181" s="334" t="str">
        <f aca="false">IF((E181="t"),G181," ")</f>
        <v> </v>
      </c>
      <c r="R181" s="334" t="str">
        <f aca="false">IF((E181="a"),G181," ")</f>
        <v> </v>
      </c>
      <c r="S181" s="334" t="str">
        <f aca="false">IF((E181="l"),G181," ")</f>
        <v> </v>
      </c>
      <c r="T181" s="334" t="str">
        <f aca="false">IF((E181="b"),G181," ")</f>
        <v> </v>
      </c>
      <c r="U181" s="334" t="str">
        <f aca="false">IF((E181="i"),G181," ")</f>
        <v> </v>
      </c>
      <c r="V181" s="334" t="str">
        <f aca="false">IF((E181="o"),G181," ")</f>
        <v> </v>
      </c>
      <c r="W181" s="334" t="str">
        <f aca="false">IF((E181="f"),G181," ")</f>
        <v> </v>
      </c>
    </row>
    <row r="182" customFormat="false" ht="12.75" hidden="false" customHeight="false" outlineLevel="0" collapsed="false">
      <c r="A182" s="355"/>
      <c r="E182" s="365" t="str">
        <f aca="false">IF((G182&lt;&gt;0),"Enter Letter"," ")</f>
        <v> </v>
      </c>
      <c r="H182" s="338" t="str">
        <f aca="false">IF((G182&lt;&gt;0),IF((D182&gt;0)," ",G182)," ")</f>
        <v> </v>
      </c>
      <c r="I182" s="367" t="str">
        <f aca="false">IF((G182&lt;&gt;0),IF((D182&gt;0)," ",(I$1-A182))," ")</f>
        <v> </v>
      </c>
      <c r="J182" s="334" t="str">
        <f aca="false">IF((E182="s"),G182," ")</f>
        <v> </v>
      </c>
      <c r="K182" s="334" t="str">
        <f aca="false">IF((E182="d"),G182," ")</f>
        <v> </v>
      </c>
      <c r="L182" s="334" t="str">
        <f aca="false">IF((E182="e"),G182," ")</f>
        <v> </v>
      </c>
      <c r="M182" s="334" t="str">
        <f aca="false">IF((E182="p"),G182," ")</f>
        <v> </v>
      </c>
      <c r="N182" s="334" t="str">
        <f aca="false">IF((E182="r"),G182," ")</f>
        <v> </v>
      </c>
      <c r="O182" s="334" t="str">
        <f aca="false">IF((E182="g"),G182," ")</f>
        <v> </v>
      </c>
      <c r="P182" s="334" t="str">
        <f aca="false">IF((E182="m"),G182," ")</f>
        <v> </v>
      </c>
      <c r="Q182" s="334" t="str">
        <f aca="false">IF((E182="t"),G182," ")</f>
        <v> </v>
      </c>
      <c r="R182" s="334" t="str">
        <f aca="false">IF((E182="a"),G182," ")</f>
        <v> </v>
      </c>
      <c r="S182" s="334" t="str">
        <f aca="false">IF((E182="l"),G182," ")</f>
        <v> </v>
      </c>
      <c r="T182" s="334" t="str">
        <f aca="false">IF((E182="b"),G182," ")</f>
        <v> </v>
      </c>
      <c r="U182" s="334" t="str">
        <f aca="false">IF((E182="i"),G182," ")</f>
        <v> </v>
      </c>
      <c r="V182" s="334" t="str">
        <f aca="false">IF((E182="o"),G182," ")</f>
        <v> </v>
      </c>
      <c r="W182" s="334" t="str">
        <f aca="false">IF((E182="f"),G182," ")</f>
        <v> </v>
      </c>
    </row>
    <row r="183" customFormat="false" ht="12.75" hidden="false" customHeight="false" outlineLevel="0" collapsed="false">
      <c r="A183" s="355"/>
      <c r="E183" s="365" t="str">
        <f aca="false">IF((G183&lt;&gt;0),"Enter Letter"," ")</f>
        <v> </v>
      </c>
      <c r="H183" s="338" t="str">
        <f aca="false">IF((G183&lt;&gt;0),IF((D183&gt;0)," ",G183)," ")</f>
        <v> </v>
      </c>
      <c r="I183" s="367" t="str">
        <f aca="false">IF((G183&lt;&gt;0),IF((D183&gt;0)," ",(I$1-A183))," ")</f>
        <v> </v>
      </c>
      <c r="J183" s="334" t="str">
        <f aca="false">IF((E183="s"),G183," ")</f>
        <v> </v>
      </c>
      <c r="K183" s="334" t="str">
        <f aca="false">IF((E183="d"),G183," ")</f>
        <v> </v>
      </c>
      <c r="L183" s="334" t="str">
        <f aca="false">IF((E183="e"),G183," ")</f>
        <v> </v>
      </c>
      <c r="M183" s="334" t="str">
        <f aca="false">IF((E183="p"),G183," ")</f>
        <v> </v>
      </c>
      <c r="N183" s="334" t="str">
        <f aca="false">IF((E183="r"),G183," ")</f>
        <v> </v>
      </c>
      <c r="O183" s="334" t="str">
        <f aca="false">IF((E183="g"),G183," ")</f>
        <v> </v>
      </c>
      <c r="P183" s="334" t="str">
        <f aca="false">IF((E183="m"),G183," ")</f>
        <v> </v>
      </c>
      <c r="Q183" s="334" t="str">
        <f aca="false">IF((E183="t"),G183," ")</f>
        <v> </v>
      </c>
      <c r="R183" s="334" t="str">
        <f aca="false">IF((E183="a"),G183," ")</f>
        <v> </v>
      </c>
      <c r="S183" s="334" t="str">
        <f aca="false">IF((E183="l"),G183," ")</f>
        <v> </v>
      </c>
      <c r="T183" s="334" t="str">
        <f aca="false">IF((E183="b"),G183," ")</f>
        <v> </v>
      </c>
      <c r="U183" s="334" t="str">
        <f aca="false">IF((E183="i"),G183," ")</f>
        <v> </v>
      </c>
      <c r="V183" s="334" t="str">
        <f aca="false">IF((E183="o"),G183," ")</f>
        <v> </v>
      </c>
      <c r="W183" s="334" t="str">
        <f aca="false">IF((E183="f"),G183," ")</f>
        <v> </v>
      </c>
    </row>
    <row r="184" customFormat="false" ht="12.75" hidden="false" customHeight="false" outlineLevel="0" collapsed="false">
      <c r="A184" s="355"/>
      <c r="E184" s="365" t="str">
        <f aca="false">IF((G184&lt;&gt;0),"Enter Letter"," ")</f>
        <v> </v>
      </c>
      <c r="H184" s="338" t="str">
        <f aca="false">IF((G184&lt;&gt;0),IF((D184&gt;0)," ",G184)," ")</f>
        <v> </v>
      </c>
      <c r="I184" s="367" t="str">
        <f aca="false">IF((G184&lt;&gt;0),IF((D184&gt;0)," ",(I$1-A184))," ")</f>
        <v> </v>
      </c>
      <c r="J184" s="334" t="str">
        <f aca="false">IF((E184="s"),G184," ")</f>
        <v> </v>
      </c>
      <c r="K184" s="334" t="str">
        <f aca="false">IF((E184="d"),G184," ")</f>
        <v> </v>
      </c>
      <c r="L184" s="334" t="str">
        <f aca="false">IF((E184="e"),G184," ")</f>
        <v> </v>
      </c>
      <c r="M184" s="334" t="str">
        <f aca="false">IF((E184="p"),G184," ")</f>
        <v> </v>
      </c>
      <c r="N184" s="334" t="str">
        <f aca="false">IF((E184="r"),G184," ")</f>
        <v> </v>
      </c>
      <c r="O184" s="334" t="str">
        <f aca="false">IF((E184="g"),G184," ")</f>
        <v> </v>
      </c>
      <c r="P184" s="334" t="str">
        <f aca="false">IF((E184="m"),G184," ")</f>
        <v> </v>
      </c>
      <c r="Q184" s="334" t="str">
        <f aca="false">IF((E184="t"),G184," ")</f>
        <v> </v>
      </c>
      <c r="R184" s="334" t="str">
        <f aca="false">IF((E184="a"),G184," ")</f>
        <v> </v>
      </c>
      <c r="S184" s="334" t="str">
        <f aca="false">IF((E184="l"),G184," ")</f>
        <v> </v>
      </c>
      <c r="T184" s="334" t="str">
        <f aca="false">IF((E184="b"),G184," ")</f>
        <v> </v>
      </c>
      <c r="U184" s="334" t="str">
        <f aca="false">IF((E184="i"),G184," ")</f>
        <v> </v>
      </c>
      <c r="V184" s="334" t="str">
        <f aca="false">IF((E184="o"),G184," ")</f>
        <v> </v>
      </c>
      <c r="W184" s="334" t="str">
        <f aca="false">IF((E184="f"),G184," ")</f>
        <v> </v>
      </c>
    </row>
    <row r="185" customFormat="false" ht="12.75" hidden="false" customHeight="false" outlineLevel="0" collapsed="false">
      <c r="A185" s="355"/>
      <c r="E185" s="365" t="str">
        <f aca="false">IF((G185&lt;&gt;0),"Enter Letter"," ")</f>
        <v> </v>
      </c>
      <c r="H185" s="338" t="str">
        <f aca="false">IF((G185&lt;&gt;0),IF((D185&gt;0)," ",G185)," ")</f>
        <v> </v>
      </c>
      <c r="I185" s="367" t="str">
        <f aca="false">IF((G185&lt;&gt;0),IF((D185&gt;0)," ",(I$1-A185))," ")</f>
        <v> </v>
      </c>
      <c r="J185" s="334" t="str">
        <f aca="false">IF((E185="s"),G185," ")</f>
        <v> </v>
      </c>
      <c r="K185" s="334" t="str">
        <f aca="false">IF((E185="d"),G185," ")</f>
        <v> </v>
      </c>
      <c r="L185" s="334" t="str">
        <f aca="false">IF((E185="e"),G185," ")</f>
        <v> </v>
      </c>
      <c r="M185" s="334" t="str">
        <f aca="false">IF((E185="p"),G185," ")</f>
        <v> </v>
      </c>
      <c r="N185" s="334" t="str">
        <f aca="false">IF((E185="r"),G185," ")</f>
        <v> </v>
      </c>
      <c r="O185" s="334" t="str">
        <f aca="false">IF((E185="g"),G185," ")</f>
        <v> </v>
      </c>
      <c r="P185" s="334" t="str">
        <f aca="false">IF((E185="m"),G185," ")</f>
        <v> </v>
      </c>
      <c r="Q185" s="334" t="str">
        <f aca="false">IF((E185="t"),G185," ")</f>
        <v> </v>
      </c>
      <c r="R185" s="334" t="str">
        <f aca="false">IF((E185="a"),G185," ")</f>
        <v> </v>
      </c>
      <c r="S185" s="334" t="str">
        <f aca="false">IF((E185="l"),G185," ")</f>
        <v> </v>
      </c>
      <c r="T185" s="334" t="str">
        <f aca="false">IF((E185="b"),G185," ")</f>
        <v> </v>
      </c>
      <c r="U185" s="334" t="str">
        <f aca="false">IF((E185="i"),G185," ")</f>
        <v> </v>
      </c>
      <c r="V185" s="334" t="str">
        <f aca="false">IF((E185="o"),G185," ")</f>
        <v> </v>
      </c>
      <c r="W185" s="334" t="str">
        <f aca="false">IF((E185="f"),G185," ")</f>
        <v> </v>
      </c>
    </row>
    <row r="186" customFormat="false" ht="12.75" hidden="false" customHeight="false" outlineLevel="0" collapsed="false">
      <c r="A186" s="355"/>
      <c r="E186" s="365" t="str">
        <f aca="false">IF((G186&lt;&gt;0),"Enter Letter"," ")</f>
        <v> </v>
      </c>
      <c r="H186" s="338" t="str">
        <f aca="false">IF((G186&lt;&gt;0),IF((D186&gt;0)," ",G186)," ")</f>
        <v> </v>
      </c>
      <c r="I186" s="367" t="str">
        <f aca="false">IF((G186&lt;&gt;0),IF((D186&gt;0)," ",(I$1-A186))," ")</f>
        <v> </v>
      </c>
      <c r="J186" s="334" t="str">
        <f aca="false">IF((E186="s"),G186," ")</f>
        <v> </v>
      </c>
      <c r="K186" s="334" t="str">
        <f aca="false">IF((E186="d"),G186," ")</f>
        <v> </v>
      </c>
      <c r="L186" s="334" t="str">
        <f aca="false">IF((E186="e"),G186," ")</f>
        <v> </v>
      </c>
      <c r="M186" s="334" t="str">
        <f aca="false">IF((E186="p"),G186," ")</f>
        <v> </v>
      </c>
      <c r="N186" s="334" t="str">
        <f aca="false">IF((E186="r"),G186," ")</f>
        <v> </v>
      </c>
      <c r="O186" s="334" t="str">
        <f aca="false">IF((E186="g"),G186," ")</f>
        <v> </v>
      </c>
      <c r="P186" s="334" t="str">
        <f aca="false">IF((E186="m"),G186," ")</f>
        <v> </v>
      </c>
      <c r="Q186" s="334" t="str">
        <f aca="false">IF((E186="t"),G186," ")</f>
        <v> </v>
      </c>
      <c r="R186" s="334" t="str">
        <f aca="false">IF((E186="a"),G186," ")</f>
        <v> </v>
      </c>
      <c r="S186" s="334" t="str">
        <f aca="false">IF((E186="l"),G186," ")</f>
        <v> </v>
      </c>
      <c r="T186" s="334" t="str">
        <f aca="false">IF((E186="b"),G186," ")</f>
        <v> </v>
      </c>
      <c r="U186" s="334" t="str">
        <f aca="false">IF((E186="i"),G186," ")</f>
        <v> </v>
      </c>
      <c r="V186" s="334" t="str">
        <f aca="false">IF((E186="o"),G186," ")</f>
        <v> </v>
      </c>
      <c r="W186" s="334" t="str">
        <f aca="false">IF((E186="f"),G186," ")</f>
        <v> </v>
      </c>
    </row>
    <row r="187" customFormat="false" ht="12.75" hidden="false" customHeight="false" outlineLevel="0" collapsed="false">
      <c r="A187" s="355"/>
      <c r="E187" s="365" t="str">
        <f aca="false">IF((G187&lt;&gt;0),"Enter Letter"," ")</f>
        <v> </v>
      </c>
      <c r="H187" s="338" t="str">
        <f aca="false">IF((G187&lt;&gt;0),IF((D187&gt;0)," ",G187)," ")</f>
        <v> </v>
      </c>
      <c r="I187" s="367" t="str">
        <f aca="false">IF((G187&lt;&gt;0),IF((D187&gt;0)," ",(I$1-A187))," ")</f>
        <v> </v>
      </c>
      <c r="J187" s="334" t="str">
        <f aca="false">IF((E187="s"),G187," ")</f>
        <v> </v>
      </c>
      <c r="K187" s="334" t="str">
        <f aca="false">IF((E187="d"),G187," ")</f>
        <v> </v>
      </c>
      <c r="L187" s="334" t="str">
        <f aca="false">IF((E187="e"),G187," ")</f>
        <v> </v>
      </c>
      <c r="M187" s="334" t="str">
        <f aca="false">IF((E187="p"),G187," ")</f>
        <v> </v>
      </c>
      <c r="N187" s="334" t="str">
        <f aca="false">IF((E187="r"),G187," ")</f>
        <v> </v>
      </c>
      <c r="O187" s="334" t="str">
        <f aca="false">IF((E187="g"),G187," ")</f>
        <v> </v>
      </c>
      <c r="P187" s="334" t="str">
        <f aca="false">IF((E187="m"),G187," ")</f>
        <v> </v>
      </c>
      <c r="Q187" s="334" t="str">
        <f aca="false">IF((E187="t"),G187," ")</f>
        <v> </v>
      </c>
      <c r="R187" s="334" t="str">
        <f aca="false">IF((E187="a"),G187," ")</f>
        <v> </v>
      </c>
      <c r="S187" s="334" t="str">
        <f aca="false">IF((E187="l"),G187," ")</f>
        <v> </v>
      </c>
      <c r="T187" s="334" t="str">
        <f aca="false">IF((E187="b"),G187," ")</f>
        <v> </v>
      </c>
      <c r="U187" s="334" t="str">
        <f aca="false">IF((E187="i"),G187," ")</f>
        <v> </v>
      </c>
      <c r="V187" s="334" t="str">
        <f aca="false">IF((E187="o"),G187," ")</f>
        <v> </v>
      </c>
      <c r="W187" s="334" t="str">
        <f aca="false">IF((E187="f"),G187," ")</f>
        <v> </v>
      </c>
    </row>
    <row r="188" customFormat="false" ht="12.75" hidden="false" customHeight="false" outlineLevel="0" collapsed="false">
      <c r="A188" s="355"/>
      <c r="E188" s="365" t="str">
        <f aca="false">IF((G188&lt;&gt;0),"Enter Letter"," ")</f>
        <v> </v>
      </c>
      <c r="H188" s="338" t="str">
        <f aca="false">IF((G188&lt;&gt;0),IF((D188&gt;0)," ",G188)," ")</f>
        <v> </v>
      </c>
      <c r="I188" s="367" t="str">
        <f aca="false">IF((G188&lt;&gt;0),IF((D188&gt;0)," ",(I$1-A188))," ")</f>
        <v> </v>
      </c>
      <c r="J188" s="334" t="str">
        <f aca="false">IF((E188="s"),G188," ")</f>
        <v> </v>
      </c>
      <c r="K188" s="334" t="str">
        <f aca="false">IF((E188="d"),G188," ")</f>
        <v> </v>
      </c>
      <c r="L188" s="334" t="str">
        <f aca="false">IF((E188="e"),G188," ")</f>
        <v> </v>
      </c>
      <c r="M188" s="334" t="str">
        <f aca="false">IF((E188="p"),G188," ")</f>
        <v> </v>
      </c>
      <c r="N188" s="334" t="str">
        <f aca="false">IF((E188="r"),G188," ")</f>
        <v> </v>
      </c>
      <c r="O188" s="334" t="str">
        <f aca="false">IF((E188="g"),G188," ")</f>
        <v> </v>
      </c>
      <c r="P188" s="334" t="str">
        <f aca="false">IF((E188="m"),G188," ")</f>
        <v> </v>
      </c>
      <c r="Q188" s="334" t="str">
        <f aca="false">IF((E188="t"),G188," ")</f>
        <v> </v>
      </c>
      <c r="R188" s="334" t="str">
        <f aca="false">IF((E188="a"),G188," ")</f>
        <v> </v>
      </c>
      <c r="S188" s="334" t="str">
        <f aca="false">IF((E188="l"),G188," ")</f>
        <v> </v>
      </c>
      <c r="T188" s="334" t="str">
        <f aca="false">IF((E188="b"),G188," ")</f>
        <v> </v>
      </c>
      <c r="U188" s="334" t="str">
        <f aca="false">IF((E188="i"),G188," ")</f>
        <v> </v>
      </c>
      <c r="V188" s="334" t="str">
        <f aca="false">IF((E188="o"),G188," ")</f>
        <v> </v>
      </c>
      <c r="W188" s="334" t="str">
        <f aca="false">IF((E188="f"),G188," ")</f>
        <v> </v>
      </c>
    </row>
    <row r="189" customFormat="false" ht="12.75" hidden="false" customHeight="false" outlineLevel="0" collapsed="false">
      <c r="A189" s="355"/>
      <c r="E189" s="365" t="str">
        <f aca="false">IF((G189&lt;&gt;0),"Enter Letter"," ")</f>
        <v> </v>
      </c>
      <c r="H189" s="338" t="str">
        <f aca="false">IF((G189&lt;&gt;0),IF((D189&gt;0)," ",G189)," ")</f>
        <v> </v>
      </c>
      <c r="I189" s="367" t="str">
        <f aca="false">IF((G189&lt;&gt;0),IF((D189&gt;0)," ",(I$1-A189))," ")</f>
        <v> </v>
      </c>
      <c r="J189" s="334" t="str">
        <f aca="false">IF((E189="s"),G189," ")</f>
        <v> </v>
      </c>
      <c r="K189" s="334" t="str">
        <f aca="false">IF((E189="d"),G189," ")</f>
        <v> </v>
      </c>
      <c r="L189" s="334" t="str">
        <f aca="false">IF((E189="e"),G189," ")</f>
        <v> </v>
      </c>
      <c r="M189" s="334" t="str">
        <f aca="false">IF((E189="p"),G189," ")</f>
        <v> </v>
      </c>
      <c r="N189" s="334" t="str">
        <f aca="false">IF((E189="r"),G189," ")</f>
        <v> </v>
      </c>
      <c r="O189" s="334" t="str">
        <f aca="false">IF((E189="g"),G189," ")</f>
        <v> </v>
      </c>
      <c r="P189" s="334" t="str">
        <f aca="false">IF((E189="m"),G189," ")</f>
        <v> </v>
      </c>
      <c r="Q189" s="334" t="str">
        <f aca="false">IF((E189="t"),G189," ")</f>
        <v> </v>
      </c>
      <c r="R189" s="334" t="str">
        <f aca="false">IF((E189="a"),G189," ")</f>
        <v> </v>
      </c>
      <c r="S189" s="334" t="str">
        <f aca="false">IF((E189="l"),G189," ")</f>
        <v> </v>
      </c>
      <c r="T189" s="334" t="str">
        <f aca="false">IF((E189="b"),G189," ")</f>
        <v> </v>
      </c>
      <c r="U189" s="334" t="str">
        <f aca="false">IF((E189="i"),G189," ")</f>
        <v> </v>
      </c>
      <c r="V189" s="334" t="str">
        <f aca="false">IF((E189="o"),G189," ")</f>
        <v> </v>
      </c>
      <c r="W189" s="334" t="str">
        <f aca="false">IF((E189="f"),G189," ")</f>
        <v> </v>
      </c>
    </row>
    <row r="190" customFormat="false" ht="12.75" hidden="false" customHeight="false" outlineLevel="0" collapsed="false">
      <c r="A190" s="355"/>
      <c r="E190" s="365" t="str">
        <f aca="false">IF((G190&lt;&gt;0),"Enter Letter"," ")</f>
        <v> </v>
      </c>
      <c r="H190" s="338" t="str">
        <f aca="false">IF((G190&lt;&gt;0),IF((D190&gt;0)," ",G190)," ")</f>
        <v> </v>
      </c>
      <c r="I190" s="367" t="str">
        <f aca="false">IF((G190&lt;&gt;0),IF((D190&gt;0)," ",(I$1-A190))," ")</f>
        <v> </v>
      </c>
      <c r="J190" s="334" t="str">
        <f aca="false">IF((E190="s"),G190," ")</f>
        <v> </v>
      </c>
      <c r="K190" s="334" t="str">
        <f aca="false">IF((E190="d"),G190," ")</f>
        <v> </v>
      </c>
      <c r="L190" s="334" t="str">
        <f aca="false">IF((E190="e"),G190," ")</f>
        <v> </v>
      </c>
      <c r="M190" s="334" t="str">
        <f aca="false">IF((E190="p"),G190," ")</f>
        <v> </v>
      </c>
      <c r="N190" s="334" t="str">
        <f aca="false">IF((E190="r"),G190," ")</f>
        <v> </v>
      </c>
      <c r="O190" s="334" t="str">
        <f aca="false">IF((E190="g"),G190," ")</f>
        <v> </v>
      </c>
      <c r="P190" s="334" t="str">
        <f aca="false">IF((E190="m"),G190," ")</f>
        <v> </v>
      </c>
      <c r="Q190" s="334" t="str">
        <f aca="false">IF((E190="t"),G190," ")</f>
        <v> </v>
      </c>
      <c r="R190" s="334" t="str">
        <f aca="false">IF((E190="a"),G190," ")</f>
        <v> </v>
      </c>
      <c r="S190" s="334" t="str">
        <f aca="false">IF((E190="l"),G190," ")</f>
        <v> </v>
      </c>
      <c r="T190" s="334" t="str">
        <f aca="false">IF((E190="b"),G190," ")</f>
        <v> </v>
      </c>
      <c r="U190" s="334" t="str">
        <f aca="false">IF((E190="i"),G190," ")</f>
        <v> </v>
      </c>
      <c r="V190" s="334" t="str">
        <f aca="false">IF((E190="o"),G190," ")</f>
        <v> </v>
      </c>
      <c r="W190" s="334" t="str">
        <f aca="false">IF((E190="f"),G190," ")</f>
        <v> </v>
      </c>
    </row>
    <row r="191" customFormat="false" ht="12.75" hidden="false" customHeight="false" outlineLevel="0" collapsed="false">
      <c r="A191" s="355"/>
      <c r="E191" s="365" t="str">
        <f aca="false">IF((G191&lt;&gt;0),"Enter Letter"," ")</f>
        <v> </v>
      </c>
      <c r="H191" s="338" t="str">
        <f aca="false">IF((G191&lt;&gt;0),IF((D191&gt;0)," ",G191)," ")</f>
        <v> </v>
      </c>
      <c r="I191" s="367" t="str">
        <f aca="false">IF((G191&lt;&gt;0),IF((D191&gt;0)," ",(I$1-A191))," ")</f>
        <v> </v>
      </c>
      <c r="J191" s="334" t="str">
        <f aca="false">IF((E191="s"),G191," ")</f>
        <v> </v>
      </c>
      <c r="K191" s="334" t="str">
        <f aca="false">IF((E191="d"),G191," ")</f>
        <v> </v>
      </c>
      <c r="L191" s="334" t="str">
        <f aca="false">IF((E191="e"),G191," ")</f>
        <v> </v>
      </c>
      <c r="M191" s="334" t="str">
        <f aca="false">IF((E191="p"),G191," ")</f>
        <v> </v>
      </c>
      <c r="N191" s="334" t="str">
        <f aca="false">IF((E191="r"),G191," ")</f>
        <v> </v>
      </c>
      <c r="O191" s="334" t="str">
        <f aca="false">IF((E191="g"),G191," ")</f>
        <v> </v>
      </c>
      <c r="P191" s="334" t="str">
        <f aca="false">IF((E191="m"),G191," ")</f>
        <v> </v>
      </c>
      <c r="Q191" s="334" t="str">
        <f aca="false">IF((E191="t"),G191," ")</f>
        <v> </v>
      </c>
      <c r="R191" s="334" t="str">
        <f aca="false">IF((E191="a"),G191," ")</f>
        <v> </v>
      </c>
      <c r="S191" s="334" t="str">
        <f aca="false">IF((E191="l"),G191," ")</f>
        <v> </v>
      </c>
      <c r="T191" s="334" t="str">
        <f aca="false">IF((E191="b"),G191," ")</f>
        <v> </v>
      </c>
      <c r="U191" s="334" t="str">
        <f aca="false">IF((E191="i"),G191," ")</f>
        <v> </v>
      </c>
      <c r="V191" s="334" t="str">
        <f aca="false">IF((E191="o"),G191," ")</f>
        <v> </v>
      </c>
      <c r="W191" s="334" t="str">
        <f aca="false">IF((E191="f"),G191," ")</f>
        <v> </v>
      </c>
    </row>
    <row r="192" customFormat="false" ht="12.75" hidden="false" customHeight="false" outlineLevel="0" collapsed="false">
      <c r="A192" s="355"/>
      <c r="E192" s="365" t="str">
        <f aca="false">IF((G192&lt;&gt;0),"Enter Letter"," ")</f>
        <v> </v>
      </c>
      <c r="H192" s="338" t="str">
        <f aca="false">IF((G192&lt;&gt;0),IF((D192&gt;0)," ",G192)," ")</f>
        <v> </v>
      </c>
      <c r="I192" s="367" t="str">
        <f aca="false">IF((G192&lt;&gt;0),IF((D192&gt;0)," ",(I$1-A192))," ")</f>
        <v> </v>
      </c>
      <c r="J192" s="334" t="str">
        <f aca="false">IF((E192="s"),G192," ")</f>
        <v> </v>
      </c>
      <c r="K192" s="334" t="str">
        <f aca="false">IF((E192="d"),G192," ")</f>
        <v> </v>
      </c>
      <c r="L192" s="334" t="str">
        <f aca="false">IF((E192="e"),G192," ")</f>
        <v> </v>
      </c>
      <c r="M192" s="334" t="str">
        <f aca="false">IF((E192="p"),G192," ")</f>
        <v> </v>
      </c>
      <c r="N192" s="334" t="str">
        <f aca="false">IF((E192="r"),G192," ")</f>
        <v> </v>
      </c>
      <c r="O192" s="334" t="str">
        <f aca="false">IF((E192="g"),G192," ")</f>
        <v> </v>
      </c>
      <c r="P192" s="334" t="str">
        <f aca="false">IF((E192="m"),G192," ")</f>
        <v> </v>
      </c>
      <c r="Q192" s="334" t="str">
        <f aca="false">IF((E192="t"),G192," ")</f>
        <v> </v>
      </c>
      <c r="R192" s="334" t="str">
        <f aca="false">IF((E192="a"),G192," ")</f>
        <v> </v>
      </c>
      <c r="S192" s="334" t="str">
        <f aca="false">IF((E192="l"),G192," ")</f>
        <v> </v>
      </c>
      <c r="T192" s="334" t="str">
        <f aca="false">IF((E192="b"),G192," ")</f>
        <v> </v>
      </c>
      <c r="U192" s="334" t="str">
        <f aca="false">IF((E192="i"),G192," ")</f>
        <v> </v>
      </c>
      <c r="V192" s="334" t="str">
        <f aca="false">IF((E192="o"),G192," ")</f>
        <v> </v>
      </c>
      <c r="W192" s="334" t="str">
        <f aca="false">IF((E192="f"),G192," ")</f>
        <v> </v>
      </c>
    </row>
    <row r="193" customFormat="false" ht="12.75" hidden="false" customHeight="false" outlineLevel="0" collapsed="false">
      <c r="A193" s="355"/>
      <c r="E193" s="365" t="str">
        <f aca="false">IF((G193&lt;&gt;0),"Enter Letter"," ")</f>
        <v> </v>
      </c>
      <c r="H193" s="338" t="str">
        <f aca="false">IF((G193&lt;&gt;0),IF((D193&gt;0)," ",G193)," ")</f>
        <v> </v>
      </c>
      <c r="I193" s="367" t="str">
        <f aca="false">IF((G193&lt;&gt;0),IF((D193&gt;0)," ",(I$1-A193))," ")</f>
        <v> </v>
      </c>
      <c r="J193" s="334" t="str">
        <f aca="false">IF((E193="s"),G193," ")</f>
        <v> </v>
      </c>
      <c r="K193" s="334" t="str">
        <f aca="false">IF((E193="d"),G193," ")</f>
        <v> </v>
      </c>
      <c r="L193" s="334" t="str">
        <f aca="false">IF((E193="e"),G193," ")</f>
        <v> </v>
      </c>
      <c r="M193" s="334" t="str">
        <f aca="false">IF((E193="p"),G193," ")</f>
        <v> </v>
      </c>
      <c r="N193" s="334" t="str">
        <f aca="false">IF((E193="r"),G193," ")</f>
        <v> </v>
      </c>
      <c r="O193" s="334" t="str">
        <f aca="false">IF((E193="g"),G193," ")</f>
        <v> </v>
      </c>
      <c r="P193" s="334" t="str">
        <f aca="false">IF((E193="m"),G193," ")</f>
        <v> </v>
      </c>
      <c r="Q193" s="334" t="str">
        <f aca="false">IF((E193="t"),G193," ")</f>
        <v> </v>
      </c>
      <c r="R193" s="334" t="str">
        <f aca="false">IF((E193="a"),G193," ")</f>
        <v> </v>
      </c>
      <c r="S193" s="334" t="str">
        <f aca="false">IF((E193="l"),G193," ")</f>
        <v> </v>
      </c>
      <c r="T193" s="334" t="str">
        <f aca="false">IF((E193="b"),G193," ")</f>
        <v> </v>
      </c>
      <c r="U193" s="334" t="str">
        <f aca="false">IF((E193="i"),G193," ")</f>
        <v> </v>
      </c>
      <c r="V193" s="334" t="str">
        <f aca="false">IF((E193="o"),G193," ")</f>
        <v> </v>
      </c>
      <c r="W193" s="334" t="str">
        <f aca="false">IF((E193="f"),G193," ")</f>
        <v> </v>
      </c>
    </row>
    <row r="194" customFormat="false" ht="12.75" hidden="false" customHeight="false" outlineLevel="0" collapsed="false">
      <c r="A194" s="355"/>
      <c r="E194" s="365" t="str">
        <f aca="false">IF((G194&lt;&gt;0),"Enter Letter"," ")</f>
        <v> </v>
      </c>
      <c r="H194" s="338" t="str">
        <f aca="false">IF((G194&lt;&gt;0),IF((D194&gt;0)," ",G194)," ")</f>
        <v> </v>
      </c>
      <c r="I194" s="367" t="str">
        <f aca="false">IF((G194&lt;&gt;0),IF((D194&gt;0)," ",(I$1-A194))," ")</f>
        <v> </v>
      </c>
      <c r="J194" s="334" t="str">
        <f aca="false">IF((E194="s"),G194," ")</f>
        <v> </v>
      </c>
      <c r="K194" s="334" t="str">
        <f aca="false">IF((E194="d"),G194," ")</f>
        <v> </v>
      </c>
      <c r="L194" s="334" t="str">
        <f aca="false">IF((E194="e"),G194," ")</f>
        <v> </v>
      </c>
      <c r="M194" s="334" t="str">
        <f aca="false">IF((E194="p"),G194," ")</f>
        <v> </v>
      </c>
      <c r="N194" s="334" t="str">
        <f aca="false">IF((E194="r"),G194," ")</f>
        <v> </v>
      </c>
      <c r="O194" s="334" t="str">
        <f aca="false">IF((E194="g"),G194," ")</f>
        <v> </v>
      </c>
      <c r="P194" s="334" t="str">
        <f aca="false">IF((E194="m"),G194," ")</f>
        <v> </v>
      </c>
      <c r="Q194" s="334" t="str">
        <f aca="false">IF((E194="t"),G194," ")</f>
        <v> </v>
      </c>
      <c r="R194" s="334" t="str">
        <f aca="false">IF((E194="a"),G194," ")</f>
        <v> </v>
      </c>
      <c r="S194" s="334" t="str">
        <f aca="false">IF((E194="l"),G194," ")</f>
        <v> </v>
      </c>
      <c r="T194" s="334" t="str">
        <f aca="false">IF((E194="b"),G194," ")</f>
        <v> </v>
      </c>
      <c r="U194" s="334" t="str">
        <f aca="false">IF((E194="i"),G194," ")</f>
        <v> </v>
      </c>
      <c r="V194" s="334" t="str">
        <f aca="false">IF((E194="o"),G194," ")</f>
        <v> </v>
      </c>
      <c r="W194" s="334" t="str">
        <f aca="false">IF((E194="f"),G194," ")</f>
        <v> </v>
      </c>
    </row>
    <row r="195" customFormat="false" ht="12.75" hidden="false" customHeight="false" outlineLevel="0" collapsed="false">
      <c r="A195" s="355"/>
      <c r="E195" s="365" t="str">
        <f aca="false">IF((G195&lt;&gt;0),"Enter Letter"," ")</f>
        <v> </v>
      </c>
      <c r="H195" s="338" t="str">
        <f aca="false">IF((G195&lt;&gt;0),IF((D195&gt;0)," ",G195)," ")</f>
        <v> </v>
      </c>
      <c r="I195" s="367" t="str">
        <f aca="false">IF((G195&lt;&gt;0),IF((D195&gt;0)," ",(I$1-A195))," ")</f>
        <v> </v>
      </c>
      <c r="J195" s="334" t="str">
        <f aca="false">IF((E195="s"),G195," ")</f>
        <v> </v>
      </c>
      <c r="K195" s="334" t="str">
        <f aca="false">IF((E195="d"),G195," ")</f>
        <v> </v>
      </c>
      <c r="L195" s="334" t="str">
        <f aca="false">IF((E195="e"),G195," ")</f>
        <v> </v>
      </c>
      <c r="M195" s="334" t="str">
        <f aca="false">IF((E195="p"),G195," ")</f>
        <v> </v>
      </c>
      <c r="N195" s="334" t="str">
        <f aca="false">IF((E195="r"),G195," ")</f>
        <v> </v>
      </c>
      <c r="O195" s="334" t="str">
        <f aca="false">IF((E195="g"),G195," ")</f>
        <v> </v>
      </c>
      <c r="P195" s="334" t="str">
        <f aca="false">IF((E195="m"),G195," ")</f>
        <v> </v>
      </c>
      <c r="Q195" s="334" t="str">
        <f aca="false">IF((E195="t"),G195," ")</f>
        <v> </v>
      </c>
      <c r="R195" s="334" t="str">
        <f aca="false">IF((E195="a"),G195," ")</f>
        <v> </v>
      </c>
      <c r="S195" s="334" t="str">
        <f aca="false">IF((E195="l"),G195," ")</f>
        <v> </v>
      </c>
      <c r="T195" s="334" t="str">
        <f aca="false">IF((E195="b"),G195," ")</f>
        <v> </v>
      </c>
      <c r="U195" s="334" t="str">
        <f aca="false">IF((E195="i"),G195," ")</f>
        <v> </v>
      </c>
      <c r="V195" s="334" t="str">
        <f aca="false">IF((E195="o"),G195," ")</f>
        <v> </v>
      </c>
      <c r="W195" s="334" t="str">
        <f aca="false">IF((E195="f"),G195," ")</f>
        <v> </v>
      </c>
    </row>
    <row r="196" customFormat="false" ht="12.75" hidden="false" customHeight="false" outlineLevel="0" collapsed="false">
      <c r="A196" s="355"/>
      <c r="E196" s="365" t="str">
        <f aca="false">IF((G196&lt;&gt;0),"Enter Letter"," ")</f>
        <v> </v>
      </c>
      <c r="H196" s="338" t="str">
        <f aca="false">IF((G196&lt;&gt;0),IF((D196&gt;0)," ",G196)," ")</f>
        <v> </v>
      </c>
      <c r="I196" s="367" t="str">
        <f aca="false">IF((G196&lt;&gt;0),IF((D196&gt;0)," ",(I$1-A196))," ")</f>
        <v> </v>
      </c>
      <c r="J196" s="334" t="str">
        <f aca="false">IF((E196="s"),G196," ")</f>
        <v> </v>
      </c>
      <c r="K196" s="334" t="str">
        <f aca="false">IF((E196="d"),G196," ")</f>
        <v> </v>
      </c>
      <c r="L196" s="334" t="str">
        <f aca="false">IF((E196="e"),G196," ")</f>
        <v> </v>
      </c>
      <c r="M196" s="334" t="str">
        <f aca="false">IF((E196="p"),G196," ")</f>
        <v> </v>
      </c>
      <c r="N196" s="334" t="str">
        <f aca="false">IF((E196="r"),G196," ")</f>
        <v> </v>
      </c>
      <c r="O196" s="334" t="str">
        <f aca="false">IF((E196="g"),G196," ")</f>
        <v> </v>
      </c>
      <c r="P196" s="334" t="str">
        <f aca="false">IF((E196="m"),G196," ")</f>
        <v> </v>
      </c>
      <c r="Q196" s="334" t="str">
        <f aca="false">IF((E196="t"),G196," ")</f>
        <v> </v>
      </c>
      <c r="R196" s="334" t="str">
        <f aca="false">IF((E196="a"),G196," ")</f>
        <v> </v>
      </c>
      <c r="S196" s="334" t="str">
        <f aca="false">IF((E196="l"),G196," ")</f>
        <v> </v>
      </c>
      <c r="T196" s="334" t="str">
        <f aca="false">IF((E196="b"),G196," ")</f>
        <v> </v>
      </c>
      <c r="U196" s="334" t="str">
        <f aca="false">IF((E196="i"),G196," ")</f>
        <v> </v>
      </c>
      <c r="V196" s="334" t="str">
        <f aca="false">IF((E196="o"),G196," ")</f>
        <v> </v>
      </c>
      <c r="W196" s="334" t="str">
        <f aca="false">IF((E196="f"),G196," ")</f>
        <v> </v>
      </c>
    </row>
    <row r="197" customFormat="false" ht="12.75" hidden="false" customHeight="false" outlineLevel="0" collapsed="false">
      <c r="A197" s="355"/>
      <c r="E197" s="365" t="str">
        <f aca="false">IF((G197&lt;&gt;0),"Enter Letter"," ")</f>
        <v> </v>
      </c>
      <c r="H197" s="338" t="str">
        <f aca="false">IF((G197&lt;&gt;0),IF((D197&gt;0)," ",G197)," ")</f>
        <v> </v>
      </c>
      <c r="I197" s="367" t="str">
        <f aca="false">IF((G197&lt;&gt;0),IF((D197&gt;0)," ",(I$1-A197))," ")</f>
        <v> </v>
      </c>
      <c r="J197" s="334" t="str">
        <f aca="false">IF((E197="s"),G197," ")</f>
        <v> </v>
      </c>
      <c r="K197" s="334" t="str">
        <f aca="false">IF((E197="d"),G197," ")</f>
        <v> </v>
      </c>
      <c r="L197" s="334" t="str">
        <f aca="false">IF((E197="e"),G197," ")</f>
        <v> </v>
      </c>
      <c r="M197" s="334" t="str">
        <f aca="false">IF((E197="p"),G197," ")</f>
        <v> </v>
      </c>
      <c r="N197" s="334" t="str">
        <f aca="false">IF((E197="r"),G197," ")</f>
        <v> </v>
      </c>
      <c r="O197" s="334" t="str">
        <f aca="false">IF((E197="g"),G197," ")</f>
        <v> </v>
      </c>
      <c r="P197" s="334" t="str">
        <f aca="false">IF((E197="m"),G197," ")</f>
        <v> </v>
      </c>
      <c r="Q197" s="334" t="str">
        <f aca="false">IF((E197="t"),G197," ")</f>
        <v> </v>
      </c>
      <c r="R197" s="334" t="str">
        <f aca="false">IF((E197="a"),G197," ")</f>
        <v> </v>
      </c>
      <c r="S197" s="334" t="str">
        <f aca="false">IF((E197="l"),G197," ")</f>
        <v> </v>
      </c>
      <c r="T197" s="334" t="str">
        <f aca="false">IF((E197="b"),G197," ")</f>
        <v> </v>
      </c>
      <c r="U197" s="334" t="str">
        <f aca="false">IF((E197="i"),G197," ")</f>
        <v> </v>
      </c>
      <c r="V197" s="334" t="str">
        <f aca="false">IF((E197="o"),G197," ")</f>
        <v> </v>
      </c>
      <c r="W197" s="334" t="str">
        <f aca="false">IF((E197="f"),G197," ")</f>
        <v> </v>
      </c>
    </row>
    <row r="198" customFormat="false" ht="12.75" hidden="false" customHeight="false" outlineLevel="0" collapsed="false">
      <c r="A198" s="355"/>
      <c r="E198" s="365" t="str">
        <f aca="false">IF((G198&lt;&gt;0),"Enter Letter"," ")</f>
        <v> </v>
      </c>
      <c r="H198" s="338" t="str">
        <f aca="false">IF((G198&lt;&gt;0),IF((D198&gt;0)," ",G198)," ")</f>
        <v> </v>
      </c>
      <c r="I198" s="367" t="str">
        <f aca="false">IF((G198&lt;&gt;0),IF((D198&gt;0)," ",(I$1-A198))," ")</f>
        <v> </v>
      </c>
      <c r="J198" s="334" t="str">
        <f aca="false">IF((E198="s"),G198," ")</f>
        <v> </v>
      </c>
      <c r="K198" s="334" t="str">
        <f aca="false">IF((E198="d"),G198," ")</f>
        <v> </v>
      </c>
      <c r="L198" s="334" t="str">
        <f aca="false">IF((E198="e"),G198," ")</f>
        <v> </v>
      </c>
      <c r="M198" s="334" t="str">
        <f aca="false">IF((E198="p"),G198," ")</f>
        <v> </v>
      </c>
      <c r="N198" s="334" t="str">
        <f aca="false">IF((E198="r"),G198," ")</f>
        <v> </v>
      </c>
      <c r="O198" s="334" t="str">
        <f aca="false">IF((E198="g"),G198," ")</f>
        <v> </v>
      </c>
      <c r="P198" s="334" t="str">
        <f aca="false">IF((E198="m"),G198," ")</f>
        <v> </v>
      </c>
      <c r="Q198" s="334" t="str">
        <f aca="false">IF((E198="t"),G198," ")</f>
        <v> </v>
      </c>
      <c r="R198" s="334" t="str">
        <f aca="false">IF((E198="a"),G198," ")</f>
        <v> </v>
      </c>
      <c r="S198" s="334" t="str">
        <f aca="false">IF((E198="l"),G198," ")</f>
        <v> </v>
      </c>
      <c r="T198" s="334" t="str">
        <f aca="false">IF((E198="b"),G198," ")</f>
        <v> </v>
      </c>
      <c r="U198" s="334" t="str">
        <f aca="false">IF((E198="i"),G198," ")</f>
        <v> </v>
      </c>
      <c r="V198" s="334" t="str">
        <f aca="false">IF((E198="o"),G198," ")</f>
        <v> </v>
      </c>
      <c r="W198" s="334" t="str">
        <f aca="false">IF((E198="f"),G198," ")</f>
        <v> </v>
      </c>
    </row>
    <row r="199" customFormat="false" ht="12.75" hidden="false" customHeight="false" outlineLevel="0" collapsed="false">
      <c r="A199" s="355"/>
      <c r="E199" s="365" t="str">
        <f aca="false">IF((G199&lt;&gt;0),"Enter Letter"," ")</f>
        <v> </v>
      </c>
      <c r="H199" s="338" t="str">
        <f aca="false">IF((G199&lt;&gt;0),IF((D199&gt;0)," ",G199)," ")</f>
        <v> </v>
      </c>
      <c r="I199" s="367" t="str">
        <f aca="false">IF((G199&lt;&gt;0),IF((D199&gt;0)," ",(I$1-A199))," ")</f>
        <v> </v>
      </c>
      <c r="J199" s="334" t="str">
        <f aca="false">IF((E199="s"),G199," ")</f>
        <v> </v>
      </c>
      <c r="K199" s="334" t="str">
        <f aca="false">IF((E199="d"),G199," ")</f>
        <v> </v>
      </c>
      <c r="L199" s="334" t="str">
        <f aca="false">IF((E199="e"),G199," ")</f>
        <v> </v>
      </c>
      <c r="M199" s="334" t="str">
        <f aca="false">IF((E199="p"),G199," ")</f>
        <v> </v>
      </c>
      <c r="N199" s="334" t="str">
        <f aca="false">IF((E199="r"),G199," ")</f>
        <v> </v>
      </c>
      <c r="O199" s="334" t="str">
        <f aca="false">IF((E199="g"),G199," ")</f>
        <v> </v>
      </c>
      <c r="P199" s="334" t="str">
        <f aca="false">IF((E199="m"),G199," ")</f>
        <v> </v>
      </c>
      <c r="Q199" s="334" t="str">
        <f aca="false">IF((E199="t"),G199," ")</f>
        <v> </v>
      </c>
      <c r="R199" s="334" t="str">
        <f aca="false">IF((E199="a"),G199," ")</f>
        <v> </v>
      </c>
      <c r="S199" s="334" t="str">
        <f aca="false">IF((E199="l"),G199," ")</f>
        <v> </v>
      </c>
      <c r="T199" s="334" t="str">
        <f aca="false">IF((E199="b"),G199," ")</f>
        <v> </v>
      </c>
      <c r="U199" s="334" t="str">
        <f aca="false">IF((E199="i"),G199," ")</f>
        <v> </v>
      </c>
      <c r="V199" s="334" t="str">
        <f aca="false">IF((E199="o"),G199," ")</f>
        <v> </v>
      </c>
      <c r="W199" s="334" t="str">
        <f aca="false">IF((E199="f"),G199," ")</f>
        <v> </v>
      </c>
    </row>
    <row r="200" customFormat="false" ht="12.75" hidden="false" customHeight="false" outlineLevel="0" collapsed="false">
      <c r="A200" s="355"/>
      <c r="E200" s="365" t="str">
        <f aca="false">IF((G200&lt;&gt;0),"Enter Letter"," ")</f>
        <v> </v>
      </c>
      <c r="H200" s="338" t="str">
        <f aca="false">IF((G200&lt;&gt;0),IF((D200&gt;0)," ",G200)," ")</f>
        <v> </v>
      </c>
      <c r="I200" s="367" t="str">
        <f aca="false">IF((G200&lt;&gt;0),IF((D200&gt;0)," ",(I$1-A200))," ")</f>
        <v> </v>
      </c>
      <c r="J200" s="334" t="str">
        <f aca="false">IF((E200="s"),G200," ")</f>
        <v> </v>
      </c>
      <c r="K200" s="334" t="str">
        <f aca="false">IF((E200="d"),G200," ")</f>
        <v> </v>
      </c>
      <c r="L200" s="334" t="str">
        <f aca="false">IF((E200="e"),G200," ")</f>
        <v> </v>
      </c>
      <c r="M200" s="334" t="str">
        <f aca="false">IF((E200="p"),G200," ")</f>
        <v> </v>
      </c>
      <c r="N200" s="334" t="str">
        <f aca="false">IF((E200="r"),G200," ")</f>
        <v> </v>
      </c>
      <c r="O200" s="334" t="str">
        <f aca="false">IF((E200="g"),G200," ")</f>
        <v> </v>
      </c>
      <c r="P200" s="334" t="str">
        <f aca="false">IF((E200="m"),G200," ")</f>
        <v> </v>
      </c>
      <c r="Q200" s="334" t="str">
        <f aca="false">IF((E200="t"),G200," ")</f>
        <v> </v>
      </c>
      <c r="R200" s="334" t="str">
        <f aca="false">IF((E200="a"),G200," ")</f>
        <v> </v>
      </c>
      <c r="S200" s="334" t="str">
        <f aca="false">IF((E200="l"),G200," ")</f>
        <v> </v>
      </c>
      <c r="T200" s="334" t="str">
        <f aca="false">IF((E200="b"),G200," ")</f>
        <v> </v>
      </c>
      <c r="U200" s="334" t="str">
        <f aca="false">IF((E200="i"),G200," ")</f>
        <v> </v>
      </c>
      <c r="V200" s="334" t="str">
        <f aca="false">IF((E200="o"),G200," ")</f>
        <v> </v>
      </c>
      <c r="W200" s="334" t="str">
        <f aca="false">IF((E200="f"),G200," ")</f>
        <v> </v>
      </c>
      <c r="Y200" s="399"/>
      <c r="Z200" s="399"/>
    </row>
    <row r="201" customFormat="false" ht="12.75" hidden="false" customHeight="false" outlineLevel="0" collapsed="false">
      <c r="A201" s="355"/>
      <c r="E201" s="365" t="str">
        <f aca="false">IF((G201&lt;&gt;0),"Enter Letter"," ")</f>
        <v> </v>
      </c>
      <c r="H201" s="338" t="str">
        <f aca="false">IF((G201&lt;&gt;0),IF((D201&gt;0)," ",G201)," ")</f>
        <v> </v>
      </c>
      <c r="I201" s="367" t="str">
        <f aca="false">IF((G201&lt;&gt;0),IF((D201&gt;0)," ",(I$1-A201))," ")</f>
        <v> </v>
      </c>
      <c r="J201" s="334" t="str">
        <f aca="false">IF((E201="s"),G201," ")</f>
        <v> </v>
      </c>
      <c r="K201" s="334" t="str">
        <f aca="false">IF((E201="d"),G201," ")</f>
        <v> </v>
      </c>
      <c r="L201" s="334" t="str">
        <f aca="false">IF((E201="e"),G201," ")</f>
        <v> </v>
      </c>
      <c r="M201" s="334" t="str">
        <f aca="false">IF((E201="p"),G201," ")</f>
        <v> </v>
      </c>
      <c r="N201" s="334" t="str">
        <f aca="false">IF((E201="r"),G201," ")</f>
        <v> </v>
      </c>
      <c r="O201" s="334" t="str">
        <f aca="false">IF((E201="g"),G201," ")</f>
        <v> </v>
      </c>
      <c r="P201" s="334" t="str">
        <f aca="false">IF((E201="m"),G201," ")</f>
        <v> </v>
      </c>
      <c r="Q201" s="334" t="str">
        <f aca="false">IF((E201="t"),G201," ")</f>
        <v> </v>
      </c>
      <c r="R201" s="334" t="str">
        <f aca="false">IF((E201="a"),G201," ")</f>
        <v> </v>
      </c>
      <c r="S201" s="334" t="str">
        <f aca="false">IF((E201="l"),G201," ")</f>
        <v> </v>
      </c>
      <c r="T201" s="334" t="str">
        <f aca="false">IF((E201="b"),G201," ")</f>
        <v> </v>
      </c>
      <c r="U201" s="334" t="str">
        <f aca="false">IF((E201="i"),G201," ")</f>
        <v> </v>
      </c>
      <c r="V201" s="334" t="str">
        <f aca="false">IF((E201="o"),G201," ")</f>
        <v> </v>
      </c>
      <c r="W201" s="334" t="str">
        <f aca="false">IF((E201="f"),G201," ")</f>
        <v> </v>
      </c>
    </row>
    <row r="202" customFormat="false" ht="12.75" hidden="false" customHeight="false" outlineLevel="0" collapsed="false">
      <c r="A202" s="355"/>
      <c r="E202" s="365" t="str">
        <f aca="false">IF((G202&lt;&gt;0),"Enter Letter"," ")</f>
        <v> </v>
      </c>
      <c r="H202" s="338" t="str">
        <f aca="false">IF((G202&lt;&gt;0),IF((D202&gt;0)," ",G202)," ")</f>
        <v> </v>
      </c>
      <c r="I202" s="367" t="str">
        <f aca="false">IF((G202&lt;&gt;0),IF((D202&gt;0)," ",(I$1-A202))," ")</f>
        <v> </v>
      </c>
      <c r="J202" s="334" t="str">
        <f aca="false">IF((E202="s"),G202," ")</f>
        <v> </v>
      </c>
      <c r="K202" s="334" t="str">
        <f aca="false">IF((E202="d"),G202," ")</f>
        <v> </v>
      </c>
      <c r="L202" s="334" t="str">
        <f aca="false">IF((E202="e"),G202," ")</f>
        <v> </v>
      </c>
      <c r="M202" s="334" t="str">
        <f aca="false">IF((E202="p"),G202," ")</f>
        <v> </v>
      </c>
      <c r="N202" s="334" t="str">
        <f aca="false">IF((E202="r"),G202," ")</f>
        <v> </v>
      </c>
      <c r="O202" s="334" t="str">
        <f aca="false">IF((E202="g"),G202," ")</f>
        <v> </v>
      </c>
      <c r="P202" s="334" t="str">
        <f aca="false">IF((E202="m"),G202," ")</f>
        <v> </v>
      </c>
      <c r="Q202" s="334" t="str">
        <f aca="false">IF((E202="t"),G202," ")</f>
        <v> </v>
      </c>
      <c r="R202" s="334" t="str">
        <f aca="false">IF((E202="a"),G202," ")</f>
        <v> </v>
      </c>
      <c r="S202" s="334" t="str">
        <f aca="false">IF((E202="l"),G202," ")</f>
        <v> </v>
      </c>
      <c r="T202" s="334" t="str">
        <f aca="false">IF((E202="b"),G202," ")</f>
        <v> </v>
      </c>
      <c r="U202" s="334" t="str">
        <f aca="false">IF((E202="i"),G202," ")</f>
        <v> </v>
      </c>
      <c r="V202" s="334" t="str">
        <f aca="false">IF((E202="o"),G202," ")</f>
        <v> </v>
      </c>
      <c r="W202" s="334" t="str">
        <f aca="false">IF((E202="f"),G202," ")</f>
        <v> </v>
      </c>
    </row>
    <row r="203" customFormat="false" ht="12.75" hidden="false" customHeight="false" outlineLevel="0" collapsed="false">
      <c r="A203" s="355"/>
      <c r="E203" s="365" t="str">
        <f aca="false">IF((G203&lt;&gt;0),"Enter Letter"," ")</f>
        <v> </v>
      </c>
      <c r="H203" s="338" t="str">
        <f aca="false">IF((G203&lt;&gt;0),IF((D203&gt;0)," ",G203)," ")</f>
        <v> </v>
      </c>
      <c r="I203" s="367" t="str">
        <f aca="false">IF((G203&lt;&gt;0),IF((D203&gt;0)," ",(I$1-A203))," ")</f>
        <v> </v>
      </c>
      <c r="J203" s="334" t="str">
        <f aca="false">IF((E203="s"),G203," ")</f>
        <v> </v>
      </c>
      <c r="K203" s="334" t="str">
        <f aca="false">IF((E203="d"),G203," ")</f>
        <v> </v>
      </c>
      <c r="L203" s="334" t="str">
        <f aca="false">IF((E203="e"),G203," ")</f>
        <v> </v>
      </c>
      <c r="M203" s="334" t="str">
        <f aca="false">IF((E203="p"),G203," ")</f>
        <v> </v>
      </c>
      <c r="N203" s="334" t="str">
        <f aca="false">IF((E203="r"),G203," ")</f>
        <v> </v>
      </c>
      <c r="O203" s="334" t="str">
        <f aca="false">IF((E203="g"),G203," ")</f>
        <v> </v>
      </c>
      <c r="P203" s="334" t="str">
        <f aca="false">IF((E203="m"),G203," ")</f>
        <v> </v>
      </c>
      <c r="Q203" s="334" t="str">
        <f aca="false">IF((E203="t"),G203," ")</f>
        <v> </v>
      </c>
      <c r="R203" s="334" t="str">
        <f aca="false">IF((E203="a"),G203," ")</f>
        <v> </v>
      </c>
      <c r="S203" s="334" t="str">
        <f aca="false">IF((E203="l"),G203," ")</f>
        <v> </v>
      </c>
      <c r="T203" s="334" t="str">
        <f aca="false">IF((E203="b"),G203," ")</f>
        <v> </v>
      </c>
      <c r="U203" s="334" t="str">
        <f aca="false">IF((E203="i"),G203," ")</f>
        <v> </v>
      </c>
      <c r="V203" s="334" t="str">
        <f aca="false">IF((E203="o"),G203," ")</f>
        <v> </v>
      </c>
      <c r="W203" s="334" t="str">
        <f aca="false">IF((E203="f"),G203," ")</f>
        <v> </v>
      </c>
    </row>
    <row r="204" customFormat="false" ht="12.75" hidden="false" customHeight="false" outlineLevel="0" collapsed="false">
      <c r="A204" s="355"/>
      <c r="E204" s="365" t="str">
        <f aca="false">IF((G204&lt;&gt;0),"Enter Letter"," ")</f>
        <v> </v>
      </c>
      <c r="H204" s="338" t="str">
        <f aca="false">IF((G204&lt;&gt;0),IF((D204&gt;0)," ",G204)," ")</f>
        <v> </v>
      </c>
      <c r="I204" s="367" t="str">
        <f aca="false">IF((G204&lt;&gt;0),IF((D204&gt;0)," ",(I$1-A204))," ")</f>
        <v> </v>
      </c>
      <c r="J204" s="334" t="str">
        <f aca="false">IF((E204="s"),G204," ")</f>
        <v> </v>
      </c>
      <c r="K204" s="334" t="str">
        <f aca="false">IF((E204="d"),G204," ")</f>
        <v> </v>
      </c>
      <c r="L204" s="334" t="str">
        <f aca="false">IF((E204="e"),G204," ")</f>
        <v> </v>
      </c>
      <c r="M204" s="334" t="str">
        <f aca="false">IF((E204="p"),G204," ")</f>
        <v> </v>
      </c>
      <c r="N204" s="334" t="str">
        <f aca="false">IF((E204="r"),G204," ")</f>
        <v> </v>
      </c>
      <c r="O204" s="334" t="str">
        <f aca="false">IF((E204="g"),G204," ")</f>
        <v> </v>
      </c>
      <c r="P204" s="334" t="str">
        <f aca="false">IF((E204="m"),G204," ")</f>
        <v> </v>
      </c>
      <c r="Q204" s="334" t="str">
        <f aca="false">IF((E204="t"),G204," ")</f>
        <v> </v>
      </c>
      <c r="R204" s="334" t="str">
        <f aca="false">IF((E204="a"),G204," ")</f>
        <v> </v>
      </c>
      <c r="S204" s="334" t="str">
        <f aca="false">IF((E204="l"),G204," ")</f>
        <v> </v>
      </c>
      <c r="T204" s="334" t="str">
        <f aca="false">IF((E204="b"),G204," ")</f>
        <v> </v>
      </c>
      <c r="U204" s="334" t="str">
        <f aca="false">IF((E204="i"),G204," ")</f>
        <v> </v>
      </c>
      <c r="V204" s="334" t="str">
        <f aca="false">IF((E204="o"),G204," ")</f>
        <v> </v>
      </c>
      <c r="W204" s="334" t="str">
        <f aca="false">IF((E204="f"),G204," ")</f>
        <v> </v>
      </c>
    </row>
    <row r="205" customFormat="false" ht="12.75" hidden="false" customHeight="false" outlineLevel="0" collapsed="false">
      <c r="A205" s="355"/>
      <c r="E205" s="365" t="str">
        <f aca="false">IF((G205&lt;&gt;0),"Enter Letter"," ")</f>
        <v> </v>
      </c>
      <c r="J205" s="334" t="str">
        <f aca="false">IF((E205="s"),G205," ")</f>
        <v> </v>
      </c>
      <c r="K205" s="334" t="str">
        <f aca="false">IF((E205="d"),G205," ")</f>
        <v> </v>
      </c>
      <c r="L205" s="334" t="str">
        <f aca="false">IF((E205="e"),G205," ")</f>
        <v> </v>
      </c>
      <c r="M205" s="334" t="str">
        <f aca="false">IF((E205="p"),G205," ")</f>
        <v> </v>
      </c>
      <c r="N205" s="334" t="str">
        <f aca="false">IF((E205="r"),G205," ")</f>
        <v> </v>
      </c>
      <c r="O205" s="334" t="str">
        <f aca="false">IF((E205="g"),G205," ")</f>
        <v> </v>
      </c>
      <c r="P205" s="334" t="str">
        <f aca="false">IF((E205="m"),G205," ")</f>
        <v> </v>
      </c>
      <c r="Q205" s="334" t="str">
        <f aca="false">IF((E205="t"),G205," ")</f>
        <v> </v>
      </c>
      <c r="R205" s="334" t="str">
        <f aca="false">IF((E205="a"),G205," ")</f>
        <v> </v>
      </c>
      <c r="S205" s="334" t="str">
        <f aca="false">IF((E205="l"),G205," ")</f>
        <v> </v>
      </c>
      <c r="T205" s="334" t="str">
        <f aca="false">IF((E205="b"),G205," ")</f>
        <v> </v>
      </c>
      <c r="U205" s="334" t="str">
        <f aca="false">IF((E205="i"),G205," ")</f>
        <v> </v>
      </c>
      <c r="V205" s="334" t="str">
        <f aca="false">IF((E205="o"),G205," ")</f>
        <v> </v>
      </c>
      <c r="W205" s="334" t="str">
        <f aca="false">IF((E205="f"),G205," ")</f>
        <v> </v>
      </c>
    </row>
    <row r="206" customFormat="false" ht="12.75" hidden="false" customHeight="false" outlineLevel="0" collapsed="false">
      <c r="A206" s="355"/>
      <c r="E206" s="365" t="str">
        <f aca="false">IF((G206&lt;&gt;0),"Enter Letter"," ")</f>
        <v> </v>
      </c>
      <c r="J206" s="334" t="str">
        <f aca="false">IF((E206="s"),G206," ")</f>
        <v> </v>
      </c>
      <c r="K206" s="334" t="str">
        <f aca="false">IF((E206="d"),G206," ")</f>
        <v> </v>
      </c>
      <c r="L206" s="334" t="str">
        <f aca="false">IF((E206="e"),G206," ")</f>
        <v> </v>
      </c>
      <c r="M206" s="334" t="str">
        <f aca="false">IF((E206="p"),G206," ")</f>
        <v> </v>
      </c>
      <c r="N206" s="334" t="str">
        <f aca="false">IF((E206="r"),G206," ")</f>
        <v> </v>
      </c>
      <c r="O206" s="334" t="str">
        <f aca="false">IF((E206="g"),G206," ")</f>
        <v> </v>
      </c>
      <c r="P206" s="334" t="str">
        <f aca="false">IF((E206="m"),G206," ")</f>
        <v> </v>
      </c>
      <c r="Q206" s="334" t="str">
        <f aca="false">IF((E206="t"),G206," ")</f>
        <v> </v>
      </c>
      <c r="R206" s="334" t="str">
        <f aca="false">IF((E206="a"),G206," ")</f>
        <v> </v>
      </c>
      <c r="S206" s="334" t="str">
        <f aca="false">IF((E206="l"),G206," ")</f>
        <v> </v>
      </c>
      <c r="T206" s="334" t="str">
        <f aca="false">IF((E206="b"),G206," ")</f>
        <v> </v>
      </c>
      <c r="U206" s="334" t="str">
        <f aca="false">IF((E206="i"),G206," ")</f>
        <v> </v>
      </c>
      <c r="V206" s="334" t="str">
        <f aca="false">IF((E206="o"),G206," ")</f>
        <v> </v>
      </c>
      <c r="W206" s="334" t="str">
        <f aca="false">IF((E206="f"),G206," ")</f>
        <v> </v>
      </c>
    </row>
    <row r="207" customFormat="false" ht="12.75" hidden="false" customHeight="false" outlineLevel="0" collapsed="false">
      <c r="A207" s="355"/>
      <c r="E207" s="365" t="str">
        <f aca="false">IF((G207&lt;&gt;0),"Enter Letter"," ")</f>
        <v> </v>
      </c>
      <c r="J207" s="334" t="str">
        <f aca="false">IF((E207="s"),G207," ")</f>
        <v> </v>
      </c>
      <c r="K207" s="334" t="str">
        <f aca="false">IF((E207="d"),G207," ")</f>
        <v> </v>
      </c>
      <c r="L207" s="334" t="str">
        <f aca="false">IF((E207="e"),G207," ")</f>
        <v> </v>
      </c>
      <c r="M207" s="334" t="str">
        <f aca="false">IF((E207="p"),G207," ")</f>
        <v> </v>
      </c>
      <c r="N207" s="334" t="str">
        <f aca="false">IF((E207="r"),G207," ")</f>
        <v> </v>
      </c>
      <c r="O207" s="334" t="str">
        <f aca="false">IF((E207="g"),G207," ")</f>
        <v> </v>
      </c>
      <c r="P207" s="334" t="str">
        <f aca="false">IF((E207="m"),G207," ")</f>
        <v> </v>
      </c>
      <c r="Q207" s="334" t="str">
        <f aca="false">IF((E207="t"),G207," ")</f>
        <v> </v>
      </c>
      <c r="R207" s="334" t="str">
        <f aca="false">IF((E207="a"),G207," ")</f>
        <v> </v>
      </c>
      <c r="S207" s="334" t="str">
        <f aca="false">IF((E207="l"),G207," ")</f>
        <v> </v>
      </c>
      <c r="T207" s="334" t="str">
        <f aca="false">IF((E207="b"),G207," ")</f>
        <v> </v>
      </c>
      <c r="U207" s="334" t="str">
        <f aca="false">IF((E207="i"),G207," ")</f>
        <v> </v>
      </c>
      <c r="V207" s="334" t="str">
        <f aca="false">IF((E207="o"),G207," ")</f>
        <v> </v>
      </c>
      <c r="W207" s="334" t="str">
        <f aca="false">IF((E207="f"),G207," ")</f>
        <v> </v>
      </c>
    </row>
    <row r="208" customFormat="false" ht="12.75" hidden="false" customHeight="false" outlineLevel="0" collapsed="false">
      <c r="A208" s="355"/>
      <c r="E208" s="365" t="str">
        <f aca="false">IF((G208&lt;&gt;0),"Enter Letter"," ")</f>
        <v> </v>
      </c>
      <c r="J208" s="334" t="str">
        <f aca="false">IF((E208="s"),G208," ")</f>
        <v> </v>
      </c>
      <c r="K208" s="334" t="str">
        <f aca="false">IF((E208="d"),G208," ")</f>
        <v> </v>
      </c>
      <c r="L208" s="334" t="str">
        <f aca="false">IF((E208="e"),G208," ")</f>
        <v> </v>
      </c>
      <c r="M208" s="334" t="str">
        <f aca="false">IF((E208="p"),G208," ")</f>
        <v> </v>
      </c>
      <c r="N208" s="334" t="str">
        <f aca="false">IF((E208="r"),G208," ")</f>
        <v> </v>
      </c>
      <c r="O208" s="334" t="str">
        <f aca="false">IF((E208="g"),G208," ")</f>
        <v> </v>
      </c>
      <c r="P208" s="334" t="str">
        <f aca="false">IF((E208="m"),G208," ")</f>
        <v> </v>
      </c>
      <c r="Q208" s="334" t="str">
        <f aca="false">IF((E208="t"),G208," ")</f>
        <v> </v>
      </c>
      <c r="R208" s="334" t="str">
        <f aca="false">IF((E208="a"),G208," ")</f>
        <v> </v>
      </c>
      <c r="S208" s="334" t="str">
        <f aca="false">IF((E208="l"),G208," ")</f>
        <v> </v>
      </c>
      <c r="T208" s="334" t="str">
        <f aca="false">IF((E208="b"),G208," ")</f>
        <v> </v>
      </c>
      <c r="U208" s="334" t="str">
        <f aca="false">IF((E208="i"),G208," ")</f>
        <v> </v>
      </c>
      <c r="V208" s="334" t="str">
        <f aca="false">IF((E208="o"),G208," ")</f>
        <v> </v>
      </c>
      <c r="W208" s="334" t="str">
        <f aca="false">IF((E208="f"),G208," ")</f>
        <v> </v>
      </c>
    </row>
    <row r="209" customFormat="false" ht="12.75" hidden="false" customHeight="false" outlineLevel="0" collapsed="false">
      <c r="A209" s="355"/>
      <c r="E209" s="365" t="str">
        <f aca="false">IF((G209&lt;&gt;0),"Enter Letter"," ")</f>
        <v> </v>
      </c>
      <c r="J209" s="334" t="str">
        <f aca="false">IF((E209="s"),G209," ")</f>
        <v> </v>
      </c>
      <c r="K209" s="334" t="str">
        <f aca="false">IF((E209="d"),G209," ")</f>
        <v> </v>
      </c>
      <c r="L209" s="334" t="str">
        <f aca="false">IF((E209="e"),G209," ")</f>
        <v> </v>
      </c>
      <c r="M209" s="334" t="str">
        <f aca="false">IF((E209="p"),G209," ")</f>
        <v> </v>
      </c>
      <c r="N209" s="334" t="str">
        <f aca="false">IF((E209="r"),G209," ")</f>
        <v> </v>
      </c>
      <c r="O209" s="334" t="str">
        <f aca="false">IF((E209="g"),G209," ")</f>
        <v> </v>
      </c>
      <c r="P209" s="334" t="str">
        <f aca="false">IF((E209="m"),G209," ")</f>
        <v> </v>
      </c>
      <c r="Q209" s="334" t="str">
        <f aca="false">IF((E209="t"),G209," ")</f>
        <v> </v>
      </c>
      <c r="R209" s="334" t="str">
        <f aca="false">IF((E209="a"),G209," ")</f>
        <v> </v>
      </c>
      <c r="S209" s="334" t="str">
        <f aca="false">IF((E209="l"),G209," ")</f>
        <v> </v>
      </c>
      <c r="T209" s="334" t="str">
        <f aca="false">IF((E209="b"),G209," ")</f>
        <v> </v>
      </c>
      <c r="U209" s="334" t="str">
        <f aca="false">IF((E209="i"),G209," ")</f>
        <v> </v>
      </c>
      <c r="V209" s="334" t="str">
        <f aca="false">IF((E209="o"),G209," ")</f>
        <v> </v>
      </c>
      <c r="W209" s="334" t="str">
        <f aca="false">IF((E209="f"),G209," ")</f>
        <v> </v>
      </c>
    </row>
    <row r="210" customFormat="false" ht="12.75" hidden="false" customHeight="false" outlineLevel="0" collapsed="false">
      <c r="A210" s="355"/>
      <c r="E210" s="365" t="str">
        <f aca="false">IF((G210&lt;&gt;0),"Enter Letter"," ")</f>
        <v> </v>
      </c>
      <c r="J210" s="334" t="str">
        <f aca="false">IF((E210="s"),G210," ")</f>
        <v> </v>
      </c>
      <c r="K210" s="334" t="str">
        <f aca="false">IF((E210="d"),G210," ")</f>
        <v> </v>
      </c>
      <c r="L210" s="334" t="str">
        <f aca="false">IF((E210="e"),G210," ")</f>
        <v> </v>
      </c>
      <c r="M210" s="334" t="str">
        <f aca="false">IF((E210="p"),G210," ")</f>
        <v> </v>
      </c>
      <c r="N210" s="334" t="str">
        <f aca="false">IF((E210="r"),G210," ")</f>
        <v> </v>
      </c>
      <c r="O210" s="334" t="str">
        <f aca="false">IF((E210="g"),G210," ")</f>
        <v> </v>
      </c>
      <c r="P210" s="334" t="str">
        <f aca="false">IF((E210="m"),G210," ")</f>
        <v> </v>
      </c>
      <c r="Q210" s="334" t="str">
        <f aca="false">IF((E210="t"),G210," ")</f>
        <v> </v>
      </c>
      <c r="R210" s="334" t="str">
        <f aca="false">IF((E210="a"),G210," ")</f>
        <v> </v>
      </c>
      <c r="S210" s="334" t="str">
        <f aca="false">IF((E210="l"),G210," ")</f>
        <v> </v>
      </c>
      <c r="T210" s="334" t="str">
        <f aca="false">IF((E210="b"),G210," ")</f>
        <v> </v>
      </c>
      <c r="U210" s="334" t="str">
        <f aca="false">IF((E210="i"),G210," ")</f>
        <v> </v>
      </c>
      <c r="V210" s="334" t="str">
        <f aca="false">IF((E210="o"),G210," ")</f>
        <v> </v>
      </c>
      <c r="W210" s="334" t="str">
        <f aca="false">IF((E210="f"),G210," ")</f>
        <v> </v>
      </c>
    </row>
    <row r="211" customFormat="false" ht="12.75" hidden="false" customHeight="false" outlineLevel="0" collapsed="false">
      <c r="A211" s="355"/>
      <c r="E211" s="365" t="str">
        <f aca="false">IF((G211&lt;&gt;0),"Enter Letter"," ")</f>
        <v> </v>
      </c>
      <c r="J211" s="334" t="str">
        <f aca="false">IF((E211="s"),G211," ")</f>
        <v> </v>
      </c>
      <c r="K211" s="334" t="str">
        <f aca="false">IF((E211="d"),G211," ")</f>
        <v> </v>
      </c>
      <c r="L211" s="334" t="str">
        <f aca="false">IF((E211="e"),G211," ")</f>
        <v> </v>
      </c>
      <c r="M211" s="334" t="str">
        <f aca="false">IF((E211="p"),G211," ")</f>
        <v> </v>
      </c>
      <c r="N211" s="334" t="str">
        <f aca="false">IF((E211="r"),G211," ")</f>
        <v> </v>
      </c>
      <c r="O211" s="334" t="str">
        <f aca="false">IF((E211="g"),G211," ")</f>
        <v> </v>
      </c>
      <c r="P211" s="334" t="str">
        <f aca="false">IF((E211="m"),G211," ")</f>
        <v> </v>
      </c>
      <c r="Q211" s="334" t="str">
        <f aca="false">IF((E211="t"),G211," ")</f>
        <v> </v>
      </c>
      <c r="R211" s="334" t="str">
        <f aca="false">IF((E211="a"),G211," ")</f>
        <v> </v>
      </c>
      <c r="S211" s="334" t="str">
        <f aca="false">IF((E211="l"),G211," ")</f>
        <v> </v>
      </c>
      <c r="T211" s="334" t="str">
        <f aca="false">IF((E211="b"),G211," ")</f>
        <v> </v>
      </c>
      <c r="U211" s="334" t="str">
        <f aca="false">IF((E211="i"),G211," ")</f>
        <v> </v>
      </c>
      <c r="V211" s="334" t="str">
        <f aca="false">IF((E211="o"),G211," ")</f>
        <v> </v>
      </c>
      <c r="W211" s="334" t="str">
        <f aca="false">IF((E211="f"),G211," ")</f>
        <v> </v>
      </c>
    </row>
    <row r="212" customFormat="false" ht="12.75" hidden="false" customHeight="false" outlineLevel="0" collapsed="false">
      <c r="A212" s="355"/>
      <c r="E212" s="365" t="str">
        <f aca="false">IF((G212&lt;&gt;0),"Enter Letter"," ")</f>
        <v> </v>
      </c>
      <c r="J212" s="334" t="str">
        <f aca="false">IF((E212="s"),G212," ")</f>
        <v> </v>
      </c>
      <c r="K212" s="334" t="str">
        <f aca="false">IF((E212="d"),G212," ")</f>
        <v> </v>
      </c>
      <c r="L212" s="334" t="str">
        <f aca="false">IF((E212="e"),G212," ")</f>
        <v> </v>
      </c>
      <c r="M212" s="334" t="str">
        <f aca="false">IF((E212="p"),G212," ")</f>
        <v> </v>
      </c>
      <c r="N212" s="334" t="str">
        <f aca="false">IF((E212="r"),G212," ")</f>
        <v> </v>
      </c>
      <c r="O212" s="334" t="str">
        <f aca="false">IF((E212="g"),G212," ")</f>
        <v> </v>
      </c>
      <c r="P212" s="334" t="str">
        <f aca="false">IF((E212="m"),G212," ")</f>
        <v> </v>
      </c>
      <c r="Q212" s="334" t="str">
        <f aca="false">IF((E212="t"),G212," ")</f>
        <v> </v>
      </c>
      <c r="R212" s="334" t="str">
        <f aca="false">IF((E212="a"),G212," ")</f>
        <v> </v>
      </c>
      <c r="S212" s="334" t="str">
        <f aca="false">IF((E212="l"),G212," ")</f>
        <v> </v>
      </c>
      <c r="T212" s="334" t="str">
        <f aca="false">IF((E212="b"),G212," ")</f>
        <v> </v>
      </c>
      <c r="U212" s="334" t="str">
        <f aca="false">IF((E212="i"),G212," ")</f>
        <v> </v>
      </c>
      <c r="V212" s="334" t="str">
        <f aca="false">IF((E212="o"),G212," ")</f>
        <v> </v>
      </c>
      <c r="W212" s="334" t="str">
        <f aca="false">IF((E212="f"),G212," ")</f>
        <v> </v>
      </c>
    </row>
    <row r="213" customFormat="false" ht="12.75" hidden="false" customHeight="false" outlineLevel="0" collapsed="false">
      <c r="A213" s="355"/>
      <c r="E213" s="365" t="str">
        <f aca="false">IF((G213&lt;&gt;0),"Enter Letter"," ")</f>
        <v> </v>
      </c>
      <c r="J213" s="334" t="str">
        <f aca="false">IF((E213="s"),G213," ")</f>
        <v> </v>
      </c>
      <c r="K213" s="334" t="str">
        <f aca="false">IF((E213="d"),G213," ")</f>
        <v> </v>
      </c>
      <c r="L213" s="334" t="str">
        <f aca="false">IF((E213="e"),G213," ")</f>
        <v> </v>
      </c>
      <c r="M213" s="334" t="str">
        <f aca="false">IF((E213="p"),G213," ")</f>
        <v> </v>
      </c>
      <c r="N213" s="334" t="str">
        <f aca="false">IF((E213="r"),G213," ")</f>
        <v> </v>
      </c>
      <c r="O213" s="334" t="str">
        <f aca="false">IF((E213="g"),G213," ")</f>
        <v> </v>
      </c>
      <c r="P213" s="334" t="str">
        <f aca="false">IF((E213="m"),G213," ")</f>
        <v> </v>
      </c>
      <c r="Q213" s="334" t="str">
        <f aca="false">IF((E213="t"),G213," ")</f>
        <v> </v>
      </c>
      <c r="R213" s="334" t="str">
        <f aca="false">IF((E213="a"),G213," ")</f>
        <v> </v>
      </c>
      <c r="S213" s="334" t="str">
        <f aca="false">IF((E213="l"),G213," ")</f>
        <v> </v>
      </c>
      <c r="T213" s="334" t="str">
        <f aca="false">IF((E213="b"),G213," ")</f>
        <v> </v>
      </c>
      <c r="U213" s="334" t="str">
        <f aca="false">IF((E213="i"),G213," ")</f>
        <v> </v>
      </c>
      <c r="V213" s="334" t="str">
        <f aca="false">IF((E213="o"),G213," ")</f>
        <v> </v>
      </c>
      <c r="W213" s="334" t="str">
        <f aca="false">IF((E213="f"),G213," ")</f>
        <v> </v>
      </c>
    </row>
    <row r="214" customFormat="false" ht="12.75" hidden="false" customHeight="false" outlineLevel="0" collapsed="false">
      <c r="A214" s="355"/>
      <c r="E214" s="365" t="str">
        <f aca="false">IF((G214&lt;&gt;0),"Enter Letter"," ")</f>
        <v> </v>
      </c>
      <c r="J214" s="334" t="str">
        <f aca="false">IF((E214="s"),G214," ")</f>
        <v> </v>
      </c>
      <c r="K214" s="334" t="str">
        <f aca="false">IF((E214="d"),G214," ")</f>
        <v> </v>
      </c>
      <c r="L214" s="334" t="str">
        <f aca="false">IF((E214="e"),G214," ")</f>
        <v> </v>
      </c>
      <c r="M214" s="334" t="str">
        <f aca="false">IF((E214="p"),G214," ")</f>
        <v> </v>
      </c>
      <c r="N214" s="334" t="str">
        <f aca="false">IF((E214="r"),G214," ")</f>
        <v> </v>
      </c>
      <c r="O214" s="334" t="str">
        <f aca="false">IF((E214="g"),G214," ")</f>
        <v> </v>
      </c>
      <c r="P214" s="334" t="str">
        <f aca="false">IF((E214="m"),G214," ")</f>
        <v> </v>
      </c>
      <c r="Q214" s="334" t="str">
        <f aca="false">IF((E214="t"),G214," ")</f>
        <v> </v>
      </c>
      <c r="R214" s="334" t="str">
        <f aca="false">IF((E214="a"),G214," ")</f>
        <v> </v>
      </c>
      <c r="S214" s="334" t="str">
        <f aca="false">IF((E214="l"),G214," ")</f>
        <v> </v>
      </c>
      <c r="T214" s="334" t="str">
        <f aca="false">IF((E214="b"),G214," ")</f>
        <v> </v>
      </c>
      <c r="U214" s="334" t="str">
        <f aca="false">IF((E214="i"),G214," ")</f>
        <v> </v>
      </c>
      <c r="V214" s="334" t="str">
        <f aca="false">IF((E214="o"),G214," ")</f>
        <v> </v>
      </c>
      <c r="W214" s="334" t="str">
        <f aca="false">IF((E214="f"),G214," ")</f>
        <v> </v>
      </c>
    </row>
    <row r="215" customFormat="false" ht="12.75" hidden="false" customHeight="false" outlineLevel="0" collapsed="false">
      <c r="A215" s="355"/>
      <c r="E215" s="365" t="str">
        <f aca="false">IF((G215&lt;&gt;0),"Enter Letter"," ")</f>
        <v> </v>
      </c>
      <c r="J215" s="334" t="str">
        <f aca="false">IF((E215="s"),G215," ")</f>
        <v> </v>
      </c>
      <c r="K215" s="334" t="str">
        <f aca="false">IF((E215="d"),G215," ")</f>
        <v> </v>
      </c>
      <c r="L215" s="334" t="str">
        <f aca="false">IF((E215="e"),G215," ")</f>
        <v> </v>
      </c>
      <c r="M215" s="334" t="str">
        <f aca="false">IF((E215="p"),G215," ")</f>
        <v> </v>
      </c>
      <c r="N215" s="334" t="str">
        <f aca="false">IF((E215="r"),G215," ")</f>
        <v> </v>
      </c>
      <c r="O215" s="334" t="str">
        <f aca="false">IF((E215="g"),G215," ")</f>
        <v> </v>
      </c>
      <c r="P215" s="334" t="str">
        <f aca="false">IF((E215="m"),G215," ")</f>
        <v> </v>
      </c>
      <c r="Q215" s="334" t="str">
        <f aca="false">IF((E215="t"),G215," ")</f>
        <v> </v>
      </c>
      <c r="R215" s="334" t="str">
        <f aca="false">IF((E215="a"),G215," ")</f>
        <v> </v>
      </c>
      <c r="S215" s="334" t="str">
        <f aca="false">IF((E215="l"),G215," ")</f>
        <v> </v>
      </c>
      <c r="T215" s="334" t="str">
        <f aca="false">IF((E215="b"),G215," ")</f>
        <v> </v>
      </c>
      <c r="U215" s="334" t="str">
        <f aca="false">IF((E215="i"),G215," ")</f>
        <v> </v>
      </c>
      <c r="V215" s="334" t="str">
        <f aca="false">IF((E215="o"),G215," ")</f>
        <v> </v>
      </c>
      <c r="W215" s="334" t="str">
        <f aca="false">IF((E215="f"),G215," ")</f>
        <v> </v>
      </c>
    </row>
    <row r="216" customFormat="false" ht="12.75" hidden="false" customHeight="false" outlineLevel="0" collapsed="false">
      <c r="A216" s="355"/>
      <c r="E216" s="365" t="str">
        <f aca="false">IF((G216&lt;&gt;0),"Enter Letter"," ")</f>
        <v> </v>
      </c>
      <c r="J216" s="334" t="str">
        <f aca="false">IF((E216="s"),G216," ")</f>
        <v> </v>
      </c>
      <c r="K216" s="334" t="str">
        <f aca="false">IF((E216="d"),G216," ")</f>
        <v> </v>
      </c>
      <c r="L216" s="334" t="str">
        <f aca="false">IF((E216="e"),G216," ")</f>
        <v> </v>
      </c>
      <c r="M216" s="334" t="str">
        <f aca="false">IF((E216="p"),G216," ")</f>
        <v> </v>
      </c>
      <c r="N216" s="334" t="str">
        <f aca="false">IF((E216="r"),G216," ")</f>
        <v> </v>
      </c>
      <c r="O216" s="334" t="str">
        <f aca="false">IF((E216="g"),G216," ")</f>
        <v> </v>
      </c>
      <c r="P216" s="334" t="str">
        <f aca="false">IF((E216="m"),G216," ")</f>
        <v> </v>
      </c>
      <c r="Q216" s="334" t="str">
        <f aca="false">IF((E216="t"),G216," ")</f>
        <v> </v>
      </c>
      <c r="R216" s="334" t="str">
        <f aca="false">IF((E216="a"),G216," ")</f>
        <v> </v>
      </c>
      <c r="S216" s="334" t="str">
        <f aca="false">IF((E216="l"),G216," ")</f>
        <v> </v>
      </c>
      <c r="T216" s="334" t="str">
        <f aca="false">IF((E216="b"),G216," ")</f>
        <v> </v>
      </c>
      <c r="U216" s="334" t="str">
        <f aca="false">IF((E216="i"),G216," ")</f>
        <v> </v>
      </c>
      <c r="V216" s="334" t="str">
        <f aca="false">IF((E216="o"),G216," ")</f>
        <v> </v>
      </c>
      <c r="W216" s="334" t="str">
        <f aca="false">IF((E216="f"),G216," ")</f>
        <v> </v>
      </c>
    </row>
    <row r="217" customFormat="false" ht="12.75" hidden="false" customHeight="false" outlineLevel="0" collapsed="false">
      <c r="A217" s="355"/>
      <c r="E217" s="365" t="str">
        <f aca="false">IF((G217&lt;&gt;0),"Enter Letter"," ")</f>
        <v> </v>
      </c>
      <c r="J217" s="334" t="str">
        <f aca="false">IF((E217="s"),G217," ")</f>
        <v> </v>
      </c>
      <c r="K217" s="334" t="str">
        <f aca="false">IF((E217="d"),G217," ")</f>
        <v> </v>
      </c>
      <c r="L217" s="334" t="str">
        <f aca="false">IF((E217="e"),G217," ")</f>
        <v> </v>
      </c>
      <c r="M217" s="334" t="str">
        <f aca="false">IF((E217="p"),G217," ")</f>
        <v> </v>
      </c>
      <c r="N217" s="334" t="str">
        <f aca="false">IF((E217="r"),G217," ")</f>
        <v> </v>
      </c>
      <c r="O217" s="334" t="str">
        <f aca="false">IF((E217="g"),G217," ")</f>
        <v> </v>
      </c>
      <c r="P217" s="334" t="str">
        <f aca="false">IF((E217="m"),G217," ")</f>
        <v> </v>
      </c>
      <c r="Q217" s="334" t="str">
        <f aca="false">IF((E217="t"),G217," ")</f>
        <v> </v>
      </c>
      <c r="R217" s="334" t="str">
        <f aca="false">IF((E217="a"),G217," ")</f>
        <v> </v>
      </c>
      <c r="S217" s="334" t="str">
        <f aca="false">IF((E217="l"),G217," ")</f>
        <v> </v>
      </c>
      <c r="T217" s="334" t="str">
        <f aca="false">IF((E217="b"),G217," ")</f>
        <v> </v>
      </c>
      <c r="U217" s="334" t="str">
        <f aca="false">IF((E217="i"),G217," ")</f>
        <v> </v>
      </c>
      <c r="V217" s="334" t="str">
        <f aca="false">IF((E217="o"),G217," ")</f>
        <v> </v>
      </c>
      <c r="W217" s="334" t="str">
        <f aca="false">IF((E217="f"),G217," ")</f>
        <v> </v>
      </c>
    </row>
    <row r="218" customFormat="false" ht="12.75" hidden="false" customHeight="false" outlineLevel="0" collapsed="false">
      <c r="A218" s="355"/>
      <c r="E218" s="365" t="str">
        <f aca="false">IF((G218&lt;&gt;0),"Enter Letter"," ")</f>
        <v> </v>
      </c>
      <c r="J218" s="334" t="str">
        <f aca="false">IF((E218="s"),G218," ")</f>
        <v> </v>
      </c>
      <c r="K218" s="334" t="str">
        <f aca="false">IF((E218="d"),G218," ")</f>
        <v> </v>
      </c>
      <c r="L218" s="334" t="str">
        <f aca="false">IF((E218="e"),G218," ")</f>
        <v> </v>
      </c>
      <c r="M218" s="334" t="str">
        <f aca="false">IF((E218="p"),G218," ")</f>
        <v> </v>
      </c>
      <c r="N218" s="334" t="str">
        <f aca="false">IF((E218="r"),G218," ")</f>
        <v> </v>
      </c>
      <c r="O218" s="334" t="str">
        <f aca="false">IF((E218="g"),G218," ")</f>
        <v> </v>
      </c>
      <c r="P218" s="334" t="str">
        <f aca="false">IF((E218="m"),G218," ")</f>
        <v> </v>
      </c>
      <c r="Q218" s="334" t="str">
        <f aca="false">IF((E218="t"),G218," ")</f>
        <v> </v>
      </c>
      <c r="R218" s="334" t="str">
        <f aca="false">IF((E218="a"),G218," ")</f>
        <v> </v>
      </c>
      <c r="S218" s="334" t="str">
        <f aca="false">IF((E218="l"),G218," ")</f>
        <v> </v>
      </c>
      <c r="T218" s="334" t="str">
        <f aca="false">IF((E218="b"),G218," ")</f>
        <v> </v>
      </c>
      <c r="U218" s="334" t="str">
        <f aca="false">IF((E218="i"),G218," ")</f>
        <v> </v>
      </c>
      <c r="V218" s="334" t="str">
        <f aca="false">IF((E218="o"),G218," ")</f>
        <v> </v>
      </c>
      <c r="W218" s="334" t="str">
        <f aca="false">IF((E218="f"),G218," ")</f>
        <v> </v>
      </c>
    </row>
    <row r="219" customFormat="false" ht="12.75" hidden="false" customHeight="false" outlineLevel="0" collapsed="false">
      <c r="A219" s="355"/>
      <c r="E219" s="365" t="str">
        <f aca="false">IF((G219&lt;&gt;0),"Enter Letter"," ")</f>
        <v> </v>
      </c>
      <c r="J219" s="334" t="str">
        <f aca="false">IF((E219="s"),G219," ")</f>
        <v> </v>
      </c>
      <c r="K219" s="334" t="str">
        <f aca="false">IF((E219="d"),G219," ")</f>
        <v> </v>
      </c>
      <c r="L219" s="334" t="str">
        <f aca="false">IF((E219="e"),G219," ")</f>
        <v> </v>
      </c>
      <c r="M219" s="334" t="str">
        <f aca="false">IF((E219="p"),G219," ")</f>
        <v> </v>
      </c>
      <c r="N219" s="334" t="str">
        <f aca="false">IF((E219="r"),G219," ")</f>
        <v> </v>
      </c>
      <c r="O219" s="334" t="str">
        <f aca="false">IF((E219="g"),G219," ")</f>
        <v> </v>
      </c>
      <c r="P219" s="334" t="str">
        <f aca="false">IF((E219="m"),G219," ")</f>
        <v> </v>
      </c>
      <c r="Q219" s="334" t="str">
        <f aca="false">IF((E219="t"),G219," ")</f>
        <v> </v>
      </c>
      <c r="R219" s="334" t="str">
        <f aca="false">IF((E219="a"),G219," ")</f>
        <v> </v>
      </c>
      <c r="S219" s="334" t="str">
        <f aca="false">IF((E219="l"),G219," ")</f>
        <v> </v>
      </c>
      <c r="T219" s="334" t="str">
        <f aca="false">IF((E219="b"),G219," ")</f>
        <v> </v>
      </c>
      <c r="U219" s="334" t="str">
        <f aca="false">IF((E219="i"),G219," ")</f>
        <v> </v>
      </c>
      <c r="V219" s="334" t="str">
        <f aca="false">IF((E219="o"),G219," ")</f>
        <v> </v>
      </c>
      <c r="W219" s="334" t="str">
        <f aca="false">IF((E219="f"),G219," ")</f>
        <v> </v>
      </c>
    </row>
    <row r="220" customFormat="false" ht="12.75" hidden="false" customHeight="false" outlineLevel="0" collapsed="false">
      <c r="A220" s="355"/>
      <c r="E220" s="365" t="str">
        <f aca="false">IF((G220&lt;&gt;0),"Enter Letter"," ")</f>
        <v> </v>
      </c>
      <c r="J220" s="334" t="str">
        <f aca="false">IF((E220="s"),G220," ")</f>
        <v> </v>
      </c>
      <c r="K220" s="334" t="str">
        <f aca="false">IF((E220="d"),G220," ")</f>
        <v> </v>
      </c>
      <c r="L220" s="334" t="str">
        <f aca="false">IF((E220="e"),G220," ")</f>
        <v> </v>
      </c>
      <c r="M220" s="334" t="str">
        <f aca="false">IF((E220="p"),G220," ")</f>
        <v> </v>
      </c>
      <c r="N220" s="334" t="str">
        <f aca="false">IF((E220="r"),G220," ")</f>
        <v> </v>
      </c>
      <c r="O220" s="334" t="str">
        <f aca="false">IF((E220="g"),G220," ")</f>
        <v> </v>
      </c>
      <c r="P220" s="334" t="str">
        <f aca="false">IF((E220="m"),G220," ")</f>
        <v> </v>
      </c>
      <c r="Q220" s="334" t="str">
        <f aca="false">IF((E220="t"),G220," ")</f>
        <v> </v>
      </c>
      <c r="R220" s="334" t="str">
        <f aca="false">IF((E220="a"),G220," ")</f>
        <v> </v>
      </c>
      <c r="S220" s="334" t="str">
        <f aca="false">IF((E220="l"),G220," ")</f>
        <v> </v>
      </c>
      <c r="T220" s="334" t="str">
        <f aca="false">IF((E220="b"),G220," ")</f>
        <v> </v>
      </c>
      <c r="U220" s="334" t="str">
        <f aca="false">IF((E220="i"),G220," ")</f>
        <v> </v>
      </c>
      <c r="V220" s="334" t="str">
        <f aca="false">IF((E220="o"),G220," ")</f>
        <v> </v>
      </c>
      <c r="W220" s="334" t="str">
        <f aca="false">IF((E220="f"),G220," ")</f>
        <v> </v>
      </c>
    </row>
    <row r="221" customFormat="false" ht="12.75" hidden="false" customHeight="false" outlineLevel="0" collapsed="false">
      <c r="A221" s="355"/>
      <c r="E221" s="365" t="str">
        <f aca="false">IF((G221&lt;&gt;0),"Enter Letter"," ")</f>
        <v> </v>
      </c>
      <c r="J221" s="334" t="str">
        <f aca="false">IF((E221="s"),G221," ")</f>
        <v> </v>
      </c>
      <c r="K221" s="334" t="str">
        <f aca="false">IF((E221="d"),G221," ")</f>
        <v> </v>
      </c>
      <c r="L221" s="334" t="str">
        <f aca="false">IF((E221="e"),G221," ")</f>
        <v> </v>
      </c>
      <c r="M221" s="334" t="str">
        <f aca="false">IF((E221="p"),G221," ")</f>
        <v> </v>
      </c>
      <c r="N221" s="334" t="str">
        <f aca="false">IF((E221="r"),G221," ")</f>
        <v> </v>
      </c>
      <c r="O221" s="334" t="str">
        <f aca="false">IF((E221="g"),G221," ")</f>
        <v> </v>
      </c>
      <c r="P221" s="334" t="str">
        <f aca="false">IF((E221="m"),G221," ")</f>
        <v> </v>
      </c>
      <c r="Q221" s="334" t="str">
        <f aca="false">IF((E221="t"),G221," ")</f>
        <v> </v>
      </c>
      <c r="R221" s="334" t="str">
        <f aca="false">IF((E221="a"),G221," ")</f>
        <v> </v>
      </c>
      <c r="S221" s="334" t="str">
        <f aca="false">IF((E221="l"),G221," ")</f>
        <v> </v>
      </c>
      <c r="T221" s="334" t="str">
        <f aca="false">IF((E221="b"),G221," ")</f>
        <v> </v>
      </c>
      <c r="U221" s="334" t="str">
        <f aca="false">IF((E221="i"),G221," ")</f>
        <v> </v>
      </c>
      <c r="V221" s="334" t="str">
        <f aca="false">IF((E221="o"),G221," ")</f>
        <v> </v>
      </c>
      <c r="W221" s="334" t="str">
        <f aca="false">IF((E221="f"),G221," ")</f>
        <v> </v>
      </c>
    </row>
    <row r="222" customFormat="false" ht="12.75" hidden="false" customHeight="false" outlineLevel="0" collapsed="false">
      <c r="A222" s="355"/>
      <c r="E222" s="365" t="str">
        <f aca="false">IF((G222&lt;&gt;0),"Enter Letter"," ")</f>
        <v> </v>
      </c>
      <c r="J222" s="334" t="str">
        <f aca="false">IF((E222="s"),G222," ")</f>
        <v> </v>
      </c>
      <c r="K222" s="334" t="str">
        <f aca="false">IF((E222="d"),G222," ")</f>
        <v> </v>
      </c>
      <c r="L222" s="334" t="str">
        <f aca="false">IF((E222="e"),G222," ")</f>
        <v> </v>
      </c>
      <c r="M222" s="334" t="str">
        <f aca="false">IF((E222="p"),G222," ")</f>
        <v> </v>
      </c>
      <c r="N222" s="334" t="str">
        <f aca="false">IF((E222="r"),G222," ")</f>
        <v> </v>
      </c>
      <c r="O222" s="334" t="str">
        <f aca="false">IF((E222="g"),G222," ")</f>
        <v> </v>
      </c>
      <c r="P222" s="334" t="str">
        <f aca="false">IF((E222="m"),G222," ")</f>
        <v> </v>
      </c>
      <c r="Q222" s="334" t="str">
        <f aca="false">IF((E222="t"),G222," ")</f>
        <v> </v>
      </c>
      <c r="R222" s="334" t="str">
        <f aca="false">IF((E222="a"),G222," ")</f>
        <v> </v>
      </c>
      <c r="S222" s="334" t="str">
        <f aca="false">IF((E222="l"),G222," ")</f>
        <v> </v>
      </c>
      <c r="T222" s="334" t="str">
        <f aca="false">IF((E222="b"),G222," ")</f>
        <v> </v>
      </c>
      <c r="U222" s="334" t="str">
        <f aca="false">IF((E222="i"),G222," ")</f>
        <v> </v>
      </c>
      <c r="V222" s="334" t="str">
        <f aca="false">IF((E222="o"),G222," ")</f>
        <v> </v>
      </c>
      <c r="W222" s="334" t="str">
        <f aca="false">IF((E222="f"),G222," ")</f>
        <v> </v>
      </c>
    </row>
    <row r="223" customFormat="false" ht="12.75" hidden="false" customHeight="false" outlineLevel="0" collapsed="false">
      <c r="A223" s="355"/>
      <c r="E223" s="365" t="str">
        <f aca="false">IF((G223&lt;&gt;0),"Enter Letter"," ")</f>
        <v> </v>
      </c>
      <c r="J223" s="334" t="str">
        <f aca="false">IF((E223="s"),G223," ")</f>
        <v> </v>
      </c>
      <c r="K223" s="334" t="str">
        <f aca="false">IF((E223="d"),G223," ")</f>
        <v> </v>
      </c>
      <c r="L223" s="334" t="str">
        <f aca="false">IF((E223="e"),G223," ")</f>
        <v> </v>
      </c>
      <c r="M223" s="334" t="str">
        <f aca="false">IF((E223="p"),G223," ")</f>
        <v> </v>
      </c>
      <c r="N223" s="334" t="str">
        <f aca="false">IF((E223="r"),G223," ")</f>
        <v> </v>
      </c>
      <c r="O223" s="334" t="str">
        <f aca="false">IF((E223="g"),G223," ")</f>
        <v> </v>
      </c>
      <c r="P223" s="334" t="str">
        <f aca="false">IF((E223="m"),G223," ")</f>
        <v> </v>
      </c>
      <c r="Q223" s="334" t="str">
        <f aca="false">IF((E223="t"),G223," ")</f>
        <v> </v>
      </c>
      <c r="R223" s="334" t="str">
        <f aca="false">IF((E223="a"),G223," ")</f>
        <v> </v>
      </c>
      <c r="S223" s="334" t="str">
        <f aca="false">IF((E223="l"),G223," ")</f>
        <v> </v>
      </c>
      <c r="T223" s="334" t="str">
        <f aca="false">IF((E223="b"),G223," ")</f>
        <v> </v>
      </c>
      <c r="U223" s="334" t="str">
        <f aca="false">IF((E223="i"),G223," ")</f>
        <v> </v>
      </c>
      <c r="V223" s="334" t="str">
        <f aca="false">IF((E223="o"),G223," ")</f>
        <v> </v>
      </c>
      <c r="W223" s="334" t="str">
        <f aca="false">IF((E223="f"),G223," ")</f>
        <v> </v>
      </c>
    </row>
    <row r="224" customFormat="false" ht="12.75" hidden="false" customHeight="false" outlineLevel="0" collapsed="false">
      <c r="A224" s="355"/>
      <c r="E224" s="365" t="str">
        <f aca="false">IF((G224&lt;&gt;0),"Enter Letter"," ")</f>
        <v> </v>
      </c>
      <c r="J224" s="334" t="str">
        <f aca="false">IF((E224="s"),G224," ")</f>
        <v> </v>
      </c>
      <c r="K224" s="334" t="str">
        <f aca="false">IF((E224="d"),G224," ")</f>
        <v> </v>
      </c>
      <c r="L224" s="334" t="str">
        <f aca="false">IF((E224="e"),G224," ")</f>
        <v> </v>
      </c>
      <c r="M224" s="334" t="str">
        <f aca="false">IF((E224="p"),G224," ")</f>
        <v> </v>
      </c>
      <c r="N224" s="334" t="str">
        <f aca="false">IF((E224="r"),G224," ")</f>
        <v> </v>
      </c>
      <c r="O224" s="334" t="str">
        <f aca="false">IF((E224="g"),G224," ")</f>
        <v> </v>
      </c>
      <c r="P224" s="334" t="str">
        <f aca="false">IF((E224="m"),G224," ")</f>
        <v> </v>
      </c>
      <c r="Q224" s="334" t="str">
        <f aca="false">IF((E224="t"),G224," ")</f>
        <v> </v>
      </c>
      <c r="R224" s="334" t="str">
        <f aca="false">IF((E224="a"),G224," ")</f>
        <v> </v>
      </c>
      <c r="S224" s="334" t="str">
        <f aca="false">IF((E224="l"),G224," ")</f>
        <v> </v>
      </c>
      <c r="T224" s="334" t="str">
        <f aca="false">IF((E224="b"),G224," ")</f>
        <v> </v>
      </c>
      <c r="U224" s="334" t="str">
        <f aca="false">IF((E224="i"),G224," ")</f>
        <v> </v>
      </c>
      <c r="V224" s="334" t="str">
        <f aca="false">IF((E224="o"),G224," ")</f>
        <v> </v>
      </c>
      <c r="W224" s="334" t="str">
        <f aca="false">IF((E224="f"),G224," ")</f>
        <v> </v>
      </c>
    </row>
    <row r="225" customFormat="false" ht="12.75" hidden="false" customHeight="false" outlineLevel="0" collapsed="false">
      <c r="A225" s="355"/>
      <c r="E225" s="365" t="str">
        <f aca="false">IF((G225&lt;&gt;0),"Enter Letter"," ")</f>
        <v> </v>
      </c>
      <c r="J225" s="334" t="str">
        <f aca="false">IF((E225="s"),G225," ")</f>
        <v> </v>
      </c>
      <c r="K225" s="334" t="str">
        <f aca="false">IF((E225="d"),G225," ")</f>
        <v> </v>
      </c>
      <c r="L225" s="334" t="str">
        <f aca="false">IF((E225="e"),G225," ")</f>
        <v> </v>
      </c>
      <c r="M225" s="334" t="str">
        <f aca="false">IF((E225="p"),G225," ")</f>
        <v> </v>
      </c>
      <c r="N225" s="334" t="str">
        <f aca="false">IF((E225="r"),G225," ")</f>
        <v> </v>
      </c>
      <c r="O225" s="334" t="str">
        <f aca="false">IF((E225="g"),G225," ")</f>
        <v> </v>
      </c>
      <c r="P225" s="334" t="str">
        <f aca="false">IF((E225="m"),G225," ")</f>
        <v> </v>
      </c>
      <c r="Q225" s="334" t="str">
        <f aca="false">IF((E225="t"),G225," ")</f>
        <v> </v>
      </c>
      <c r="R225" s="334" t="str">
        <f aca="false">IF((E225="a"),G225," ")</f>
        <v> </v>
      </c>
      <c r="S225" s="334" t="str">
        <f aca="false">IF((E225="l"),G225," ")</f>
        <v> </v>
      </c>
      <c r="T225" s="334" t="str">
        <f aca="false">IF((E225="b"),G225," ")</f>
        <v> </v>
      </c>
      <c r="U225" s="334" t="str">
        <f aca="false">IF((E225="i"),G225," ")</f>
        <v> </v>
      </c>
      <c r="V225" s="334" t="str">
        <f aca="false">IF((E225="o"),G225," ")</f>
        <v> </v>
      </c>
      <c r="W225" s="334" t="str">
        <f aca="false">IF((E225="f"),G225," ")</f>
        <v> </v>
      </c>
    </row>
    <row r="226" customFormat="false" ht="12.75" hidden="false" customHeight="false" outlineLevel="0" collapsed="false">
      <c r="A226" s="355"/>
      <c r="E226" s="365" t="str">
        <f aca="false">IF((G226&lt;&gt;0),"Enter Letter"," ")</f>
        <v> </v>
      </c>
      <c r="J226" s="334" t="str">
        <f aca="false">IF((E226="s"),G226," ")</f>
        <v> </v>
      </c>
      <c r="K226" s="334" t="str">
        <f aca="false">IF((E226="d"),G226," ")</f>
        <v> </v>
      </c>
      <c r="L226" s="334" t="str">
        <f aca="false">IF((E226="e"),G226," ")</f>
        <v> </v>
      </c>
      <c r="M226" s="334" t="str">
        <f aca="false">IF((E226="p"),G226," ")</f>
        <v> </v>
      </c>
      <c r="N226" s="334" t="str">
        <f aca="false">IF((E226="r"),G226," ")</f>
        <v> </v>
      </c>
      <c r="O226" s="334" t="str">
        <f aca="false">IF((E226="g"),G226," ")</f>
        <v> </v>
      </c>
      <c r="P226" s="334" t="str">
        <f aca="false">IF((E226="m"),G226," ")</f>
        <v> </v>
      </c>
      <c r="Q226" s="334" t="str">
        <f aca="false">IF((E226="t"),G226," ")</f>
        <v> </v>
      </c>
      <c r="R226" s="334" t="str">
        <f aca="false">IF((E226="a"),G226," ")</f>
        <v> </v>
      </c>
      <c r="S226" s="334" t="str">
        <f aca="false">IF((E226="l"),G226," ")</f>
        <v> </v>
      </c>
      <c r="T226" s="334" t="str">
        <f aca="false">IF((E226="b"),G226," ")</f>
        <v> </v>
      </c>
      <c r="U226" s="334" t="str">
        <f aca="false">IF((E226="i"),G226," ")</f>
        <v> </v>
      </c>
      <c r="V226" s="334" t="str">
        <f aca="false">IF((E226="o"),G226," ")</f>
        <v> </v>
      </c>
      <c r="W226" s="334" t="str">
        <f aca="false">IF((E226="f"),G226," ")</f>
        <v> </v>
      </c>
    </row>
    <row r="227" customFormat="false" ht="12.75" hidden="false" customHeight="false" outlineLevel="0" collapsed="false">
      <c r="A227" s="355"/>
      <c r="E227" s="365" t="str">
        <f aca="false">IF((G227&lt;&gt;0),"Enter Letter"," ")</f>
        <v> </v>
      </c>
      <c r="J227" s="334" t="str">
        <f aca="false">IF((E227="s"),G227," ")</f>
        <v> </v>
      </c>
      <c r="K227" s="334" t="str">
        <f aca="false">IF((E227="d"),G227," ")</f>
        <v> </v>
      </c>
      <c r="L227" s="334" t="str">
        <f aca="false">IF((E227="e"),G227," ")</f>
        <v> </v>
      </c>
      <c r="M227" s="334" t="str">
        <f aca="false">IF((E227="p"),G227," ")</f>
        <v> </v>
      </c>
      <c r="N227" s="334" t="str">
        <f aca="false">IF((E227="r"),G227," ")</f>
        <v> </v>
      </c>
      <c r="O227" s="334" t="str">
        <f aca="false">IF((E227="g"),G227," ")</f>
        <v> </v>
      </c>
      <c r="P227" s="334" t="str">
        <f aca="false">IF((E227="m"),G227," ")</f>
        <v> </v>
      </c>
      <c r="Q227" s="334" t="str">
        <f aca="false">IF((E227="t"),G227," ")</f>
        <v> </v>
      </c>
      <c r="R227" s="334" t="str">
        <f aca="false">IF((E227="a"),G227," ")</f>
        <v> </v>
      </c>
      <c r="S227" s="334" t="str">
        <f aca="false">IF((E227="l"),G227," ")</f>
        <v> </v>
      </c>
      <c r="T227" s="334" t="str">
        <f aca="false">IF((E227="b"),G227," ")</f>
        <v> </v>
      </c>
      <c r="U227" s="334" t="str">
        <f aca="false">IF((E227="i"),G227," ")</f>
        <v> </v>
      </c>
      <c r="V227" s="334" t="str">
        <f aca="false">IF((E227="o"),G227," ")</f>
        <v> </v>
      </c>
      <c r="W227" s="334" t="str">
        <f aca="false">IF((E227="f"),G227," ")</f>
        <v> </v>
      </c>
    </row>
    <row r="228" customFormat="false" ht="12.75" hidden="false" customHeight="false" outlineLevel="0" collapsed="false">
      <c r="A228" s="355"/>
      <c r="E228" s="365" t="str">
        <f aca="false">IF((G228&lt;&gt;0),"Enter Letter"," ")</f>
        <v> </v>
      </c>
      <c r="J228" s="334" t="str">
        <f aca="false">IF((E228="s"),G228," ")</f>
        <v> </v>
      </c>
      <c r="K228" s="334" t="str">
        <f aca="false">IF((E228="d"),G228," ")</f>
        <v> </v>
      </c>
      <c r="L228" s="334" t="str">
        <f aca="false">IF((E228="e"),G228," ")</f>
        <v> </v>
      </c>
      <c r="M228" s="334" t="str">
        <f aca="false">IF((E228="p"),G228," ")</f>
        <v> </v>
      </c>
      <c r="N228" s="334" t="str">
        <f aca="false">IF((E228="r"),G228," ")</f>
        <v> </v>
      </c>
      <c r="O228" s="334" t="str">
        <f aca="false">IF((E228="g"),G228," ")</f>
        <v> </v>
      </c>
      <c r="P228" s="334" t="str">
        <f aca="false">IF((E228="m"),G228," ")</f>
        <v> </v>
      </c>
      <c r="Q228" s="334" t="str">
        <f aca="false">IF((E228="t"),G228," ")</f>
        <v> </v>
      </c>
      <c r="R228" s="334" t="str">
        <f aca="false">IF((E228="a"),G228," ")</f>
        <v> </v>
      </c>
      <c r="S228" s="334" t="str">
        <f aca="false">IF((E228="l"),G228," ")</f>
        <v> </v>
      </c>
      <c r="T228" s="334" t="str">
        <f aca="false">IF((E228="b"),G228," ")</f>
        <v> </v>
      </c>
      <c r="U228" s="334" t="str">
        <f aca="false">IF((E228="i"),G228," ")</f>
        <v> </v>
      </c>
      <c r="V228" s="334" t="str">
        <f aca="false">IF((E228="o"),G228," ")</f>
        <v> </v>
      </c>
      <c r="W228" s="334" t="str">
        <f aca="false">IF((E228="f"),G228," ")</f>
        <v> </v>
      </c>
    </row>
    <row r="229" customFormat="false" ht="12.75" hidden="false" customHeight="false" outlineLevel="0" collapsed="false">
      <c r="A229" s="355"/>
      <c r="E229" s="365" t="str">
        <f aca="false">IF((G229&lt;&gt;0),"Enter Letter"," ")</f>
        <v> </v>
      </c>
      <c r="J229" s="334" t="str">
        <f aca="false">IF((E229="s"),G229," ")</f>
        <v> </v>
      </c>
      <c r="K229" s="334" t="str">
        <f aca="false">IF((E229="d"),G229," ")</f>
        <v> </v>
      </c>
      <c r="L229" s="334" t="str">
        <f aca="false">IF((E229="e"),G229," ")</f>
        <v> </v>
      </c>
      <c r="M229" s="334" t="str">
        <f aca="false">IF((E229="p"),G229," ")</f>
        <v> </v>
      </c>
      <c r="N229" s="334" t="str">
        <f aca="false">IF((E229="r"),G229," ")</f>
        <v> </v>
      </c>
      <c r="O229" s="334" t="str">
        <f aca="false">IF((E229="g"),G229," ")</f>
        <v> </v>
      </c>
      <c r="P229" s="334" t="str">
        <f aca="false">IF((E229="m"),G229," ")</f>
        <v> </v>
      </c>
      <c r="Q229" s="334" t="str">
        <f aca="false">IF((E229="t"),G229," ")</f>
        <v> </v>
      </c>
      <c r="R229" s="334" t="str">
        <f aca="false">IF((E229="a"),G229," ")</f>
        <v> </v>
      </c>
      <c r="S229" s="334" t="str">
        <f aca="false">IF((E229="l"),G229," ")</f>
        <v> </v>
      </c>
      <c r="T229" s="334" t="str">
        <f aca="false">IF((E229="b"),G229," ")</f>
        <v> </v>
      </c>
      <c r="U229" s="334" t="str">
        <f aca="false">IF((E229="i"),G229," ")</f>
        <v> </v>
      </c>
      <c r="V229" s="334" t="str">
        <f aca="false">IF((E229="o"),G229," ")</f>
        <v> </v>
      </c>
      <c r="W229" s="334" t="str">
        <f aca="false">IF((E229="f"),G229," ")</f>
        <v> </v>
      </c>
    </row>
    <row r="230" customFormat="false" ht="12.75" hidden="false" customHeight="false" outlineLevel="0" collapsed="false">
      <c r="A230" s="355"/>
      <c r="E230" s="365" t="str">
        <f aca="false">IF((G230&lt;&gt;0),"Enter Letter"," ")</f>
        <v> </v>
      </c>
      <c r="J230" s="334" t="str">
        <f aca="false">IF((E230="s"),G230," ")</f>
        <v> </v>
      </c>
      <c r="K230" s="334" t="str">
        <f aca="false">IF((E230="d"),G230," ")</f>
        <v> </v>
      </c>
      <c r="L230" s="334" t="str">
        <f aca="false">IF((E230="e"),G230," ")</f>
        <v> </v>
      </c>
      <c r="M230" s="334" t="str">
        <f aca="false">IF((E230="p"),G230," ")</f>
        <v> </v>
      </c>
      <c r="N230" s="334" t="str">
        <f aca="false">IF((E230="r"),G230," ")</f>
        <v> </v>
      </c>
      <c r="O230" s="334" t="str">
        <f aca="false">IF((E230="g"),G230," ")</f>
        <v> </v>
      </c>
      <c r="P230" s="334" t="str">
        <f aca="false">IF((E230="m"),G230," ")</f>
        <v> </v>
      </c>
      <c r="Q230" s="334" t="str">
        <f aca="false">IF((E230="t"),G230," ")</f>
        <v> </v>
      </c>
      <c r="R230" s="334" t="str">
        <f aca="false">IF((E230="a"),G230," ")</f>
        <v> </v>
      </c>
      <c r="S230" s="334" t="str">
        <f aca="false">IF((E230="l"),G230," ")</f>
        <v> </v>
      </c>
      <c r="T230" s="334" t="str">
        <f aca="false">IF((E230="b"),G230," ")</f>
        <v> </v>
      </c>
      <c r="U230" s="334" t="str">
        <f aca="false">IF((E230="i"),G230," ")</f>
        <v> </v>
      </c>
      <c r="V230" s="334" t="str">
        <f aca="false">IF((E230="o"),G230," ")</f>
        <v> </v>
      </c>
      <c r="W230" s="334" t="str">
        <f aca="false">IF((E230="f"),G230," ")</f>
        <v> </v>
      </c>
    </row>
    <row r="231" customFormat="false" ht="12.75" hidden="false" customHeight="false" outlineLevel="0" collapsed="false">
      <c r="A231" s="355"/>
      <c r="E231" s="365" t="str">
        <f aca="false">IF((G231&lt;&gt;0),"Enter Letter"," ")</f>
        <v> </v>
      </c>
      <c r="J231" s="334" t="str">
        <f aca="false">IF((E231="s"),G231," ")</f>
        <v> </v>
      </c>
      <c r="K231" s="334" t="str">
        <f aca="false">IF((E231="d"),G231," ")</f>
        <v> </v>
      </c>
      <c r="L231" s="334" t="str">
        <f aca="false">IF((E231="e"),G231," ")</f>
        <v> </v>
      </c>
      <c r="M231" s="334" t="str">
        <f aca="false">IF((E231="p"),G231," ")</f>
        <v> </v>
      </c>
      <c r="N231" s="334" t="str">
        <f aca="false">IF((E231="r"),G231," ")</f>
        <v> </v>
      </c>
      <c r="O231" s="334" t="str">
        <f aca="false">IF((E231="g"),G231," ")</f>
        <v> </v>
      </c>
      <c r="P231" s="334" t="str">
        <f aca="false">IF((E231="m"),G231," ")</f>
        <v> </v>
      </c>
      <c r="Q231" s="334" t="str">
        <f aca="false">IF((E231="t"),G231," ")</f>
        <v> </v>
      </c>
      <c r="R231" s="334" t="str">
        <f aca="false">IF((E231="a"),G231," ")</f>
        <v> </v>
      </c>
      <c r="S231" s="334" t="str">
        <f aca="false">IF((E231="l"),G231," ")</f>
        <v> </v>
      </c>
      <c r="T231" s="334" t="str">
        <f aca="false">IF((E231="b"),G231," ")</f>
        <v> </v>
      </c>
      <c r="U231" s="334" t="str">
        <f aca="false">IF((E231="i"),G231," ")</f>
        <v> </v>
      </c>
      <c r="V231" s="334" t="str">
        <f aca="false">IF((E231="o"),G231," ")</f>
        <v> </v>
      </c>
      <c r="W231" s="334" t="str">
        <f aca="false">IF((E231="f"),G231," ")</f>
        <v> </v>
      </c>
    </row>
    <row r="232" customFormat="false" ht="12.75" hidden="false" customHeight="false" outlineLevel="0" collapsed="false">
      <c r="A232" s="355"/>
      <c r="E232" s="365" t="str">
        <f aca="false">IF((G232&lt;&gt;0),"Enter Letter"," ")</f>
        <v> </v>
      </c>
      <c r="J232" s="334" t="str">
        <f aca="false">IF((E232="s"),G232," ")</f>
        <v> </v>
      </c>
      <c r="K232" s="334" t="str">
        <f aca="false">IF((E232="d"),G232," ")</f>
        <v> </v>
      </c>
      <c r="L232" s="334" t="str">
        <f aca="false">IF((E232="e"),G232," ")</f>
        <v> </v>
      </c>
      <c r="M232" s="334" t="str">
        <f aca="false">IF((E232="p"),G232," ")</f>
        <v> </v>
      </c>
      <c r="N232" s="334" t="str">
        <f aca="false">IF((E232="r"),G232," ")</f>
        <v> </v>
      </c>
      <c r="O232" s="334" t="str">
        <f aca="false">IF((E232="g"),G232," ")</f>
        <v> </v>
      </c>
      <c r="P232" s="334" t="str">
        <f aca="false">IF((E232="m"),G232," ")</f>
        <v> </v>
      </c>
      <c r="Q232" s="334" t="str">
        <f aca="false">IF((E232="t"),G232," ")</f>
        <v> </v>
      </c>
      <c r="R232" s="334" t="str">
        <f aca="false">IF((E232="a"),G232," ")</f>
        <v> </v>
      </c>
      <c r="S232" s="334" t="str">
        <f aca="false">IF((E232="l"),G232," ")</f>
        <v> </v>
      </c>
      <c r="T232" s="334" t="str">
        <f aca="false">IF((E232="b"),G232," ")</f>
        <v> </v>
      </c>
      <c r="U232" s="334" t="str">
        <f aca="false">IF((E232="i"),G232," ")</f>
        <v> </v>
      </c>
      <c r="V232" s="334" t="str">
        <f aca="false">IF((E232="o"),G232," ")</f>
        <v> </v>
      </c>
      <c r="W232" s="334" t="str">
        <f aca="false">IF((E232="f"),G232," ")</f>
        <v> </v>
      </c>
    </row>
    <row r="233" customFormat="false" ht="12.75" hidden="false" customHeight="false" outlineLevel="0" collapsed="false">
      <c r="A233" s="355"/>
      <c r="E233" s="365" t="str">
        <f aca="false">IF((G233&lt;&gt;0),"Enter Letter"," ")</f>
        <v> </v>
      </c>
      <c r="J233" s="334" t="str">
        <f aca="false">IF((E233="s"),G233," ")</f>
        <v> </v>
      </c>
      <c r="K233" s="334" t="str">
        <f aca="false">IF((E233="d"),G233," ")</f>
        <v> </v>
      </c>
      <c r="L233" s="334" t="str">
        <f aca="false">IF((E233="e"),G233," ")</f>
        <v> </v>
      </c>
      <c r="M233" s="334" t="str">
        <f aca="false">IF((E233="p"),G233," ")</f>
        <v> </v>
      </c>
      <c r="N233" s="334" t="str">
        <f aca="false">IF((E233="r"),G233," ")</f>
        <v> </v>
      </c>
      <c r="O233" s="334" t="str">
        <f aca="false">IF((E233="g"),G233," ")</f>
        <v> </v>
      </c>
      <c r="P233" s="334" t="str">
        <f aca="false">IF((E233="m"),G233," ")</f>
        <v> </v>
      </c>
      <c r="Q233" s="334" t="str">
        <f aca="false">IF((E233="t"),G233," ")</f>
        <v> </v>
      </c>
      <c r="R233" s="334" t="str">
        <f aca="false">IF((E233="a"),G233," ")</f>
        <v> </v>
      </c>
      <c r="S233" s="334" t="str">
        <f aca="false">IF((E233="l"),G233," ")</f>
        <v> </v>
      </c>
      <c r="T233" s="334" t="str">
        <f aca="false">IF((E233="b"),G233," ")</f>
        <v> </v>
      </c>
      <c r="U233" s="334" t="str">
        <f aca="false">IF((E233="i"),G233," ")</f>
        <v> </v>
      </c>
      <c r="V233" s="334" t="str">
        <f aca="false">IF((E233="o"),G233," ")</f>
        <v> </v>
      </c>
      <c r="W233" s="334" t="str">
        <f aca="false">IF((E233="f"),G233," ")</f>
        <v> </v>
      </c>
    </row>
    <row r="234" customFormat="false" ht="12.75" hidden="false" customHeight="false" outlineLevel="0" collapsed="false">
      <c r="A234" s="355"/>
      <c r="E234" s="365" t="str">
        <f aca="false">IF((G234&lt;&gt;0),"Enter Letter"," ")</f>
        <v> </v>
      </c>
      <c r="J234" s="334" t="str">
        <f aca="false">IF((E234="s"),G234," ")</f>
        <v> </v>
      </c>
      <c r="K234" s="334" t="str">
        <f aca="false">IF((E234="d"),G234," ")</f>
        <v> </v>
      </c>
      <c r="L234" s="334" t="str">
        <f aca="false">IF((E234="e"),G234," ")</f>
        <v> </v>
      </c>
      <c r="M234" s="334" t="str">
        <f aca="false">IF((E234="p"),G234," ")</f>
        <v> </v>
      </c>
      <c r="N234" s="334" t="str">
        <f aca="false">IF((E234="r"),G234," ")</f>
        <v> </v>
      </c>
      <c r="O234" s="334" t="str">
        <f aca="false">IF((E234="g"),G234," ")</f>
        <v> </v>
      </c>
      <c r="P234" s="334" t="str">
        <f aca="false">IF((E234="m"),G234," ")</f>
        <v> </v>
      </c>
      <c r="Q234" s="334" t="str">
        <f aca="false">IF((E234="t"),G234," ")</f>
        <v> </v>
      </c>
      <c r="R234" s="334" t="str">
        <f aca="false">IF((E234="a"),G234," ")</f>
        <v> </v>
      </c>
      <c r="S234" s="334" t="str">
        <f aca="false">IF((E234="l"),G234," ")</f>
        <v> </v>
      </c>
      <c r="T234" s="334" t="str">
        <f aca="false">IF((E234="b"),G234," ")</f>
        <v> </v>
      </c>
      <c r="U234" s="334" t="str">
        <f aca="false">IF((E234="i"),G234," ")</f>
        <v> </v>
      </c>
      <c r="V234" s="334" t="str">
        <f aca="false">IF((E234="o"),G234," ")</f>
        <v> </v>
      </c>
      <c r="W234" s="334" t="str">
        <f aca="false">IF((E234="f"),G234," ")</f>
        <v> </v>
      </c>
    </row>
    <row r="235" customFormat="false" ht="12.75" hidden="false" customHeight="false" outlineLevel="0" collapsed="false">
      <c r="A235" s="355"/>
      <c r="E235" s="365" t="str">
        <f aca="false">IF((G235&lt;&gt;0),"Enter Letter"," ")</f>
        <v> </v>
      </c>
      <c r="J235" s="334" t="str">
        <f aca="false">IF((E235="s"),G235," ")</f>
        <v> </v>
      </c>
      <c r="K235" s="334" t="str">
        <f aca="false">IF((E235="d"),G235," ")</f>
        <v> </v>
      </c>
      <c r="L235" s="334" t="str">
        <f aca="false">IF((E235="e"),G235," ")</f>
        <v> </v>
      </c>
      <c r="M235" s="334" t="str">
        <f aca="false">IF((E235="p"),G235," ")</f>
        <v> </v>
      </c>
      <c r="N235" s="334" t="str">
        <f aca="false">IF((E235="r"),G235," ")</f>
        <v> </v>
      </c>
      <c r="O235" s="334" t="str">
        <f aca="false">IF((E235="g"),G235," ")</f>
        <v> </v>
      </c>
      <c r="P235" s="334" t="str">
        <f aca="false">IF((E235="m"),G235," ")</f>
        <v> </v>
      </c>
      <c r="Q235" s="334" t="str">
        <f aca="false">IF((E235="t"),G235," ")</f>
        <v> </v>
      </c>
      <c r="R235" s="334" t="str">
        <f aca="false">IF((E235="a"),G235," ")</f>
        <v> </v>
      </c>
      <c r="S235" s="334" t="str">
        <f aca="false">IF((E235="l"),G235," ")</f>
        <v> </v>
      </c>
      <c r="T235" s="334" t="str">
        <f aca="false">IF((E235="b"),G235," ")</f>
        <v> </v>
      </c>
      <c r="U235" s="334" t="str">
        <f aca="false">IF((E235="i"),G235," ")</f>
        <v> </v>
      </c>
      <c r="V235" s="334" t="str">
        <f aca="false">IF((E235="o"),G235," ")</f>
        <v> </v>
      </c>
      <c r="W235" s="334" t="str">
        <f aca="false">IF((E235="f"),G235," ")</f>
        <v> </v>
      </c>
    </row>
    <row r="236" customFormat="false" ht="12.75" hidden="false" customHeight="false" outlineLevel="0" collapsed="false">
      <c r="A236" s="355"/>
      <c r="E236" s="365" t="str">
        <f aca="false">IF((G236&lt;&gt;0),"Enter Letter"," ")</f>
        <v> </v>
      </c>
      <c r="J236" s="334" t="str">
        <f aca="false">IF((E236="s"),G236," ")</f>
        <v> </v>
      </c>
      <c r="K236" s="334" t="str">
        <f aca="false">IF((E236="d"),G236," ")</f>
        <v> </v>
      </c>
      <c r="L236" s="334" t="str">
        <f aca="false">IF((E236="e"),G236," ")</f>
        <v> </v>
      </c>
      <c r="M236" s="334" t="str">
        <f aca="false">IF((E236="p"),G236," ")</f>
        <v> </v>
      </c>
      <c r="N236" s="334" t="str">
        <f aca="false">IF((E236="r"),G236," ")</f>
        <v> </v>
      </c>
      <c r="O236" s="334" t="str">
        <f aca="false">IF((E236="g"),G236," ")</f>
        <v> </v>
      </c>
      <c r="P236" s="334" t="str">
        <f aca="false">IF((E236="m"),G236," ")</f>
        <v> </v>
      </c>
      <c r="Q236" s="334" t="str">
        <f aca="false">IF((E236="t"),G236," ")</f>
        <v> </v>
      </c>
      <c r="R236" s="334" t="str">
        <f aca="false">IF((E236="a"),G236," ")</f>
        <v> </v>
      </c>
      <c r="S236" s="334" t="str">
        <f aca="false">IF((E236="l"),G236," ")</f>
        <v> </v>
      </c>
      <c r="T236" s="334" t="str">
        <f aca="false">IF((E236="b"),G236," ")</f>
        <v> </v>
      </c>
      <c r="U236" s="334" t="str">
        <f aca="false">IF((E236="i"),G236," ")</f>
        <v> </v>
      </c>
      <c r="V236" s="334" t="str">
        <f aca="false">IF((E236="o"),G236," ")</f>
        <v> </v>
      </c>
      <c r="W236" s="334" t="str">
        <f aca="false">IF((E236="f"),G236," ")</f>
        <v> </v>
      </c>
    </row>
    <row r="237" customFormat="false" ht="12.75" hidden="false" customHeight="false" outlineLevel="0" collapsed="false">
      <c r="A237" s="355"/>
      <c r="E237" s="365" t="str">
        <f aca="false">IF((G237&lt;&gt;0),"Enter Letter"," ")</f>
        <v> </v>
      </c>
      <c r="J237" s="334" t="str">
        <f aca="false">IF((E237="s"),G237," ")</f>
        <v> </v>
      </c>
      <c r="K237" s="334" t="str">
        <f aca="false">IF((E237="d"),G237," ")</f>
        <v> </v>
      </c>
      <c r="L237" s="334" t="str">
        <f aca="false">IF((E237="e"),G237," ")</f>
        <v> </v>
      </c>
      <c r="M237" s="334" t="str">
        <f aca="false">IF((E237="p"),G237," ")</f>
        <v> </v>
      </c>
      <c r="N237" s="334" t="str">
        <f aca="false">IF((E237="r"),G237," ")</f>
        <v> </v>
      </c>
      <c r="O237" s="334" t="str">
        <f aca="false">IF((E237="g"),G237," ")</f>
        <v> </v>
      </c>
      <c r="P237" s="334" t="str">
        <f aca="false">IF((E237="m"),G237," ")</f>
        <v> </v>
      </c>
      <c r="Q237" s="334" t="str">
        <f aca="false">IF((E237="t"),G237," ")</f>
        <v> </v>
      </c>
      <c r="R237" s="334" t="str">
        <f aca="false">IF((E237="a"),G237," ")</f>
        <v> </v>
      </c>
      <c r="S237" s="334" t="str">
        <f aca="false">IF((E237="l"),G237," ")</f>
        <v> </v>
      </c>
      <c r="T237" s="334" t="str">
        <f aca="false">IF((E237="b"),G237," ")</f>
        <v> </v>
      </c>
      <c r="U237" s="334" t="str">
        <f aca="false">IF((E237="i"),G237," ")</f>
        <v> </v>
      </c>
      <c r="V237" s="334" t="str">
        <f aca="false">IF((E237="o"),G237," ")</f>
        <v> </v>
      </c>
      <c r="W237" s="334" t="str">
        <f aca="false">IF((E237="f"),G237," ")</f>
        <v> </v>
      </c>
    </row>
    <row r="238" customFormat="false" ht="12.75" hidden="false" customHeight="false" outlineLevel="0" collapsed="false">
      <c r="A238" s="355"/>
      <c r="E238" s="365" t="str">
        <f aca="false">IF((G238&lt;&gt;0),"Enter Letter"," ")</f>
        <v> </v>
      </c>
      <c r="J238" s="334" t="str">
        <f aca="false">IF((E238="s"),G238," ")</f>
        <v> </v>
      </c>
      <c r="K238" s="334" t="str">
        <f aca="false">IF((E238="d"),G238," ")</f>
        <v> </v>
      </c>
      <c r="L238" s="334" t="str">
        <f aca="false">IF((E238="e"),G238," ")</f>
        <v> </v>
      </c>
      <c r="M238" s="334" t="str">
        <f aca="false">IF((E238="p"),G238," ")</f>
        <v> </v>
      </c>
      <c r="N238" s="334" t="str">
        <f aca="false">IF((E238="r"),G238," ")</f>
        <v> </v>
      </c>
      <c r="O238" s="334" t="str">
        <f aca="false">IF((E238="g"),G238," ")</f>
        <v> </v>
      </c>
      <c r="P238" s="334" t="str">
        <f aca="false">IF((E238="m"),G238," ")</f>
        <v> </v>
      </c>
      <c r="Q238" s="334" t="str">
        <f aca="false">IF((E238="t"),G238," ")</f>
        <v> </v>
      </c>
      <c r="R238" s="334" t="str">
        <f aca="false">IF((E238="a"),G238," ")</f>
        <v> </v>
      </c>
      <c r="S238" s="334" t="str">
        <f aca="false">IF((E238="l"),G238," ")</f>
        <v> </v>
      </c>
      <c r="T238" s="334" t="str">
        <f aca="false">IF((E238="b"),G238," ")</f>
        <v> </v>
      </c>
      <c r="U238" s="334" t="str">
        <f aca="false">IF((E238="i"),G238," ")</f>
        <v> </v>
      </c>
      <c r="V238" s="334" t="str">
        <f aca="false">IF((E238="o"),G238," ")</f>
        <v> </v>
      </c>
      <c r="W238" s="334" t="str">
        <f aca="false">IF((E238="f"),G238," ")</f>
        <v> </v>
      </c>
    </row>
    <row r="239" customFormat="false" ht="12.75" hidden="false" customHeight="false" outlineLevel="0" collapsed="false">
      <c r="A239" s="355"/>
      <c r="E239" s="365" t="str">
        <f aca="false">IF((G239&lt;&gt;0),"Enter Letter"," ")</f>
        <v> </v>
      </c>
      <c r="J239" s="334" t="str">
        <f aca="false">IF((E239="s"),G239," ")</f>
        <v> </v>
      </c>
      <c r="K239" s="334" t="str">
        <f aca="false">IF((E239="d"),G239," ")</f>
        <v> </v>
      </c>
      <c r="L239" s="334" t="str">
        <f aca="false">IF((E239="e"),G239," ")</f>
        <v> </v>
      </c>
      <c r="M239" s="334" t="str">
        <f aca="false">IF((E239="p"),G239," ")</f>
        <v> </v>
      </c>
      <c r="N239" s="334" t="str">
        <f aca="false">IF((E239="r"),G239," ")</f>
        <v> </v>
      </c>
      <c r="O239" s="334" t="str">
        <f aca="false">IF((E239="g"),G239," ")</f>
        <v> </v>
      </c>
      <c r="P239" s="334" t="str">
        <f aca="false">IF((E239="m"),G239," ")</f>
        <v> </v>
      </c>
      <c r="Q239" s="334" t="str">
        <f aca="false">IF((E239="t"),G239," ")</f>
        <v> </v>
      </c>
      <c r="R239" s="334" t="str">
        <f aca="false">IF((E239="a"),G239," ")</f>
        <v> </v>
      </c>
      <c r="S239" s="334" t="str">
        <f aca="false">IF((E239="l"),G239," ")</f>
        <v> </v>
      </c>
      <c r="T239" s="334" t="str">
        <f aca="false">IF((E239="b"),G239," ")</f>
        <v> </v>
      </c>
      <c r="U239" s="334" t="str">
        <f aca="false">IF((E239="i"),G239," ")</f>
        <v> </v>
      </c>
      <c r="V239" s="334" t="str">
        <f aca="false">IF((E239="o"),G239," ")</f>
        <v> </v>
      </c>
      <c r="W239" s="334" t="str">
        <f aca="false">IF((E239="f"),G239," ")</f>
        <v> </v>
      </c>
    </row>
    <row r="240" customFormat="false" ht="12.75" hidden="false" customHeight="false" outlineLevel="0" collapsed="false">
      <c r="A240" s="355"/>
      <c r="E240" s="365" t="str">
        <f aca="false">IF((G240&lt;&gt;0),"Enter Letter"," ")</f>
        <v> </v>
      </c>
      <c r="J240" s="334" t="str">
        <f aca="false">IF((E240="s"),G240," ")</f>
        <v> </v>
      </c>
      <c r="K240" s="334" t="str">
        <f aca="false">IF((E240="d"),G240," ")</f>
        <v> </v>
      </c>
      <c r="L240" s="334" t="str">
        <f aca="false">IF((E240="e"),G240," ")</f>
        <v> </v>
      </c>
      <c r="M240" s="334" t="str">
        <f aca="false">IF((E240="p"),G240," ")</f>
        <v> </v>
      </c>
      <c r="N240" s="334" t="str">
        <f aca="false">IF((E240="r"),G240," ")</f>
        <v> </v>
      </c>
      <c r="O240" s="334" t="str">
        <f aca="false">IF((E240="g"),G240," ")</f>
        <v> </v>
      </c>
      <c r="P240" s="334" t="str">
        <f aca="false">IF((E240="m"),G240," ")</f>
        <v> </v>
      </c>
      <c r="Q240" s="334" t="str">
        <f aca="false">IF((E240="t"),G240," ")</f>
        <v> </v>
      </c>
      <c r="R240" s="334" t="str">
        <f aca="false">IF((E240="a"),G240," ")</f>
        <v> </v>
      </c>
      <c r="S240" s="334" t="str">
        <f aca="false">IF((E240="l"),G240," ")</f>
        <v> </v>
      </c>
      <c r="T240" s="334" t="str">
        <f aca="false">IF((E240="b"),G240," ")</f>
        <v> </v>
      </c>
      <c r="U240" s="334" t="str">
        <f aca="false">IF((E240="i"),G240," ")</f>
        <v> </v>
      </c>
      <c r="V240" s="334" t="str">
        <f aca="false">IF((E240="o"),G240," ")</f>
        <v> </v>
      </c>
      <c r="W240" s="334" t="str">
        <f aca="false">IF((E240="f"),G240," ")</f>
        <v> </v>
      </c>
    </row>
    <row r="241" customFormat="false" ht="12.75" hidden="false" customHeight="false" outlineLevel="0" collapsed="false">
      <c r="A241" s="355"/>
      <c r="E241" s="365" t="str">
        <f aca="false">IF((G241&lt;&gt;0),"Enter Letter"," ")</f>
        <v> </v>
      </c>
      <c r="J241" s="334" t="str">
        <f aca="false">IF((E241="s"),G241," ")</f>
        <v> </v>
      </c>
      <c r="K241" s="334" t="str">
        <f aca="false">IF((E241="d"),G241," ")</f>
        <v> </v>
      </c>
      <c r="L241" s="334" t="str">
        <f aca="false">IF((E241="e"),G241," ")</f>
        <v> </v>
      </c>
      <c r="M241" s="334" t="str">
        <f aca="false">IF((E241="p"),G241," ")</f>
        <v> </v>
      </c>
      <c r="N241" s="334" t="str">
        <f aca="false">IF((E241="r"),G241," ")</f>
        <v> </v>
      </c>
      <c r="O241" s="334" t="str">
        <f aca="false">IF((E241="g"),G241," ")</f>
        <v> </v>
      </c>
      <c r="P241" s="334" t="str">
        <f aca="false">IF((E241="m"),G241," ")</f>
        <v> </v>
      </c>
      <c r="Q241" s="334" t="str">
        <f aca="false">IF((E241="t"),G241," ")</f>
        <v> </v>
      </c>
      <c r="R241" s="334" t="str">
        <f aca="false">IF((E241="a"),G241," ")</f>
        <v> </v>
      </c>
      <c r="S241" s="334" t="str">
        <f aca="false">IF((E241="l"),G241," ")</f>
        <v> </v>
      </c>
      <c r="T241" s="334" t="str">
        <f aca="false">IF((E241="b"),G241," ")</f>
        <v> </v>
      </c>
      <c r="U241" s="334" t="str">
        <f aca="false">IF((E241="i"),G241," ")</f>
        <v> </v>
      </c>
      <c r="V241" s="334" t="str">
        <f aca="false">IF((E241="o"),G241," ")</f>
        <v> </v>
      </c>
      <c r="W241" s="334" t="str">
        <f aca="false">IF((E241="f"),G241," ")</f>
        <v> </v>
      </c>
    </row>
    <row r="242" customFormat="false" ht="12.75" hidden="false" customHeight="false" outlineLevel="0" collapsed="false">
      <c r="A242" s="355"/>
      <c r="E242" s="365" t="str">
        <f aca="false">IF((G242&lt;&gt;0),"Enter Letter"," ")</f>
        <v> </v>
      </c>
      <c r="J242" s="334" t="str">
        <f aca="false">IF((E242="s"),G242," ")</f>
        <v> </v>
      </c>
      <c r="K242" s="334" t="str">
        <f aca="false">IF((E242="d"),G242," ")</f>
        <v> </v>
      </c>
      <c r="L242" s="334" t="str">
        <f aca="false">IF((E242="e"),G242," ")</f>
        <v> </v>
      </c>
      <c r="M242" s="334" t="str">
        <f aca="false">IF((E242="p"),G242," ")</f>
        <v> </v>
      </c>
      <c r="N242" s="334" t="str">
        <f aca="false">IF((E242="r"),G242," ")</f>
        <v> </v>
      </c>
      <c r="O242" s="334" t="str">
        <f aca="false">IF((E242="g"),G242," ")</f>
        <v> </v>
      </c>
      <c r="P242" s="334" t="str">
        <f aca="false">IF((E242="m"),G242," ")</f>
        <v> </v>
      </c>
      <c r="Q242" s="334" t="str">
        <f aca="false">IF((E242="t"),G242," ")</f>
        <v> </v>
      </c>
      <c r="R242" s="334" t="str">
        <f aca="false">IF((E242="a"),G242," ")</f>
        <v> </v>
      </c>
      <c r="S242" s="334" t="str">
        <f aca="false">IF((E242="l"),G242," ")</f>
        <v> </v>
      </c>
      <c r="T242" s="334" t="str">
        <f aca="false">IF((E242="b"),G242," ")</f>
        <v> </v>
      </c>
      <c r="U242" s="334" t="str">
        <f aca="false">IF((E242="i"),G242," ")</f>
        <v> </v>
      </c>
      <c r="V242" s="334" t="str">
        <f aca="false">IF((E242="o"),G242," ")</f>
        <v> </v>
      </c>
      <c r="W242" s="334" t="str">
        <f aca="false">IF((E242="f"),G242," ")</f>
        <v> </v>
      </c>
    </row>
    <row r="243" customFormat="false" ht="12.75" hidden="false" customHeight="false" outlineLevel="0" collapsed="false">
      <c r="A243" s="355"/>
      <c r="E243" s="365" t="str">
        <f aca="false">IF((G243&lt;&gt;0),"Enter Letter"," ")</f>
        <v> </v>
      </c>
      <c r="J243" s="334" t="str">
        <f aca="false">IF((E243="s"),G243," ")</f>
        <v> </v>
      </c>
      <c r="K243" s="334" t="str">
        <f aca="false">IF((E243="d"),G243," ")</f>
        <v> </v>
      </c>
      <c r="L243" s="334" t="str">
        <f aca="false">IF((E243="e"),G243," ")</f>
        <v> </v>
      </c>
      <c r="M243" s="334" t="str">
        <f aca="false">IF((E243="p"),G243," ")</f>
        <v> </v>
      </c>
      <c r="N243" s="334" t="str">
        <f aca="false">IF((E243="r"),G243," ")</f>
        <v> </v>
      </c>
      <c r="O243" s="334" t="str">
        <f aca="false">IF((E243="g"),G243," ")</f>
        <v> </v>
      </c>
      <c r="P243" s="334" t="str">
        <f aca="false">IF((E243="m"),G243," ")</f>
        <v> </v>
      </c>
      <c r="Q243" s="334" t="str">
        <f aca="false">IF((E243="t"),G243," ")</f>
        <v> </v>
      </c>
      <c r="R243" s="334" t="str">
        <f aca="false">IF((E243="a"),G243," ")</f>
        <v> </v>
      </c>
      <c r="S243" s="334" t="str">
        <f aca="false">IF((E243="l"),G243," ")</f>
        <v> </v>
      </c>
      <c r="T243" s="334" t="str">
        <f aca="false">IF((E243="b"),G243," ")</f>
        <v> </v>
      </c>
      <c r="U243" s="334" t="str">
        <f aca="false">IF((E243="i"),G243," ")</f>
        <v> </v>
      </c>
      <c r="V243" s="334" t="str">
        <f aca="false">IF((E243="o"),G243," ")</f>
        <v> </v>
      </c>
      <c r="W243" s="334" t="str">
        <f aca="false">IF((E243="f"),G243," ")</f>
        <v> </v>
      </c>
    </row>
    <row r="244" customFormat="false" ht="12.75" hidden="false" customHeight="false" outlineLevel="0" collapsed="false">
      <c r="A244" s="355"/>
      <c r="E244" s="365" t="str">
        <f aca="false">IF((G244&lt;&gt;0),"Enter Letter"," ")</f>
        <v> </v>
      </c>
      <c r="J244" s="334" t="str">
        <f aca="false">IF((E244="s"),G244," ")</f>
        <v> </v>
      </c>
      <c r="K244" s="334" t="str">
        <f aca="false">IF((E244="d"),G244," ")</f>
        <v> </v>
      </c>
      <c r="L244" s="334" t="str">
        <f aca="false">IF((E244="e"),G244," ")</f>
        <v> </v>
      </c>
      <c r="M244" s="334" t="str">
        <f aca="false">IF((E244="p"),G244," ")</f>
        <v> </v>
      </c>
      <c r="N244" s="334" t="str">
        <f aca="false">IF((E244="r"),G244," ")</f>
        <v> </v>
      </c>
      <c r="O244" s="334" t="str">
        <f aca="false">IF((E244="g"),G244," ")</f>
        <v> </v>
      </c>
      <c r="P244" s="334" t="str">
        <f aca="false">IF((E244="m"),G244," ")</f>
        <v> </v>
      </c>
      <c r="Q244" s="334" t="str">
        <f aca="false">IF((E244="t"),G244," ")</f>
        <v> </v>
      </c>
      <c r="R244" s="334" t="str">
        <f aca="false">IF((E244="a"),G244," ")</f>
        <v> </v>
      </c>
      <c r="S244" s="334" t="str">
        <f aca="false">IF((E244="l"),G244," ")</f>
        <v> </v>
      </c>
      <c r="T244" s="334" t="str">
        <f aca="false">IF((E244="b"),G244," ")</f>
        <v> </v>
      </c>
      <c r="U244" s="334" t="str">
        <f aca="false">IF((E244="i"),G244," ")</f>
        <v> </v>
      </c>
      <c r="V244" s="334" t="str">
        <f aca="false">IF((E244="o"),G244," ")</f>
        <v> </v>
      </c>
      <c r="W244" s="334" t="str">
        <f aca="false">IF((E244="f"),G244," ")</f>
        <v> </v>
      </c>
    </row>
    <row r="245" customFormat="false" ht="12.75" hidden="false" customHeight="false" outlineLevel="0" collapsed="false">
      <c r="A245" s="355"/>
      <c r="E245" s="365" t="str">
        <f aca="false">IF((G245&lt;&gt;0),"Enter Letter"," ")</f>
        <v> </v>
      </c>
      <c r="J245" s="334" t="str">
        <f aca="false">IF((E245="s"),G245," ")</f>
        <v> </v>
      </c>
      <c r="K245" s="334" t="str">
        <f aca="false">IF((E245="d"),G245," ")</f>
        <v> </v>
      </c>
      <c r="L245" s="334" t="str">
        <f aca="false">IF((E245="e"),G245," ")</f>
        <v> </v>
      </c>
      <c r="M245" s="334" t="str">
        <f aca="false">IF((E245="p"),G245," ")</f>
        <v> </v>
      </c>
      <c r="N245" s="334" t="str">
        <f aca="false">IF((E245="r"),G245," ")</f>
        <v> </v>
      </c>
      <c r="O245" s="334" t="str">
        <f aca="false">IF((E245="g"),G245," ")</f>
        <v> </v>
      </c>
      <c r="P245" s="334" t="str">
        <f aca="false">IF((E245="m"),G245," ")</f>
        <v> </v>
      </c>
      <c r="Q245" s="334" t="str">
        <f aca="false">IF((E245="t"),G245," ")</f>
        <v> </v>
      </c>
      <c r="R245" s="334" t="str">
        <f aca="false">IF((E245="a"),G245," ")</f>
        <v> </v>
      </c>
      <c r="S245" s="334" t="str">
        <f aca="false">IF((E245="l"),G245," ")</f>
        <v> </v>
      </c>
      <c r="T245" s="334" t="str">
        <f aca="false">IF((E245="b"),G245," ")</f>
        <v> </v>
      </c>
      <c r="U245" s="334" t="str">
        <f aca="false">IF((E245="i"),G245," ")</f>
        <v> </v>
      </c>
      <c r="V245" s="334" t="str">
        <f aca="false">IF((E245="o"),G245," ")</f>
        <v> </v>
      </c>
      <c r="W245" s="334" t="str">
        <f aca="false">IF((E245="f"),G245," ")</f>
        <v> </v>
      </c>
    </row>
    <row r="246" customFormat="false" ht="12.75" hidden="false" customHeight="false" outlineLevel="0" collapsed="false">
      <c r="A246" s="355"/>
      <c r="E246" s="365" t="str">
        <f aca="false">IF((G246&lt;&gt;0),"Enter Letter"," ")</f>
        <v> </v>
      </c>
      <c r="J246" s="334" t="str">
        <f aca="false">IF((E246="s"),G246," ")</f>
        <v> </v>
      </c>
      <c r="K246" s="334" t="str">
        <f aca="false">IF((E246="d"),G246," ")</f>
        <v> </v>
      </c>
      <c r="L246" s="334" t="str">
        <f aca="false">IF((E246="e"),G246," ")</f>
        <v> </v>
      </c>
      <c r="M246" s="334" t="str">
        <f aca="false">IF((E246="p"),G246," ")</f>
        <v> </v>
      </c>
      <c r="N246" s="334" t="str">
        <f aca="false">IF((E246="r"),G246," ")</f>
        <v> </v>
      </c>
      <c r="O246" s="334" t="str">
        <f aca="false">IF((E246="g"),G246," ")</f>
        <v> </v>
      </c>
      <c r="P246" s="334" t="str">
        <f aca="false">IF((E246="m"),G246," ")</f>
        <v> </v>
      </c>
      <c r="Q246" s="334" t="str">
        <f aca="false">IF((E246="t"),G246," ")</f>
        <v> </v>
      </c>
      <c r="R246" s="334" t="str">
        <f aca="false">IF((E246="a"),G246," ")</f>
        <v> </v>
      </c>
      <c r="S246" s="334" t="str">
        <f aca="false">IF((E246="l"),G246," ")</f>
        <v> </v>
      </c>
      <c r="T246" s="334" t="str">
        <f aca="false">IF((E246="b"),G246," ")</f>
        <v> </v>
      </c>
      <c r="U246" s="334" t="str">
        <f aca="false">IF((E246="i"),G246," ")</f>
        <v> </v>
      </c>
      <c r="V246" s="334" t="str">
        <f aca="false">IF((E246="o"),G246," ")</f>
        <v> </v>
      </c>
      <c r="W246" s="334" t="str">
        <f aca="false">IF((E246="f"),G246," ")</f>
        <v> </v>
      </c>
    </row>
    <row r="247" customFormat="false" ht="12.75" hidden="false" customHeight="false" outlineLevel="0" collapsed="false">
      <c r="A247" s="355"/>
      <c r="E247" s="365" t="str">
        <f aca="false">IF((G247&lt;&gt;0),"Enter Letter"," ")</f>
        <v> </v>
      </c>
      <c r="J247" s="334" t="str">
        <f aca="false">IF((E247="s"),G247," ")</f>
        <v> </v>
      </c>
      <c r="K247" s="334" t="str">
        <f aca="false">IF((E247="d"),G247," ")</f>
        <v> </v>
      </c>
      <c r="L247" s="334" t="str">
        <f aca="false">IF((E247="e"),G247," ")</f>
        <v> </v>
      </c>
      <c r="M247" s="334" t="str">
        <f aca="false">IF((E247="p"),G247," ")</f>
        <v> </v>
      </c>
      <c r="N247" s="334" t="str">
        <f aca="false">IF((E247="r"),G247," ")</f>
        <v> </v>
      </c>
      <c r="O247" s="334" t="str">
        <f aca="false">IF((E247="g"),G247," ")</f>
        <v> </v>
      </c>
      <c r="P247" s="334" t="str">
        <f aca="false">IF((E247="m"),G247," ")</f>
        <v> </v>
      </c>
      <c r="Q247" s="334" t="str">
        <f aca="false">IF((E247="t"),G247," ")</f>
        <v> </v>
      </c>
      <c r="R247" s="334" t="str">
        <f aca="false">IF((E247="a"),G247," ")</f>
        <v> </v>
      </c>
      <c r="S247" s="334" t="str">
        <f aca="false">IF((E247="l"),G247," ")</f>
        <v> </v>
      </c>
      <c r="T247" s="334" t="str">
        <f aca="false">IF((E247="b"),G247," ")</f>
        <v> </v>
      </c>
      <c r="U247" s="334" t="str">
        <f aca="false">IF((E247="i"),G247," ")</f>
        <v> </v>
      </c>
      <c r="V247" s="334" t="str">
        <f aca="false">IF((E247="o"),G247," ")</f>
        <v> </v>
      </c>
      <c r="W247" s="334" t="str">
        <f aca="false">IF((E247="f"),G247," ")</f>
        <v> </v>
      </c>
    </row>
    <row r="248" customFormat="false" ht="12.75" hidden="false" customHeight="false" outlineLevel="0" collapsed="false">
      <c r="A248" s="355"/>
      <c r="E248" s="365" t="str">
        <f aca="false">IF((G248&lt;&gt;0),"Enter Letter"," ")</f>
        <v> </v>
      </c>
      <c r="J248" s="334" t="str">
        <f aca="false">IF((E248="s"),G248," ")</f>
        <v> </v>
      </c>
      <c r="K248" s="334" t="str">
        <f aca="false">IF((E248="d"),G248," ")</f>
        <v> </v>
      </c>
      <c r="L248" s="334" t="str">
        <f aca="false">IF((E248="e"),G248," ")</f>
        <v> </v>
      </c>
      <c r="M248" s="334" t="str">
        <f aca="false">IF((E248="p"),G248," ")</f>
        <v> </v>
      </c>
      <c r="N248" s="334" t="str">
        <f aca="false">IF((E248="r"),G248," ")</f>
        <v> </v>
      </c>
      <c r="O248" s="334" t="str">
        <f aca="false">IF((E248="g"),G248," ")</f>
        <v> </v>
      </c>
      <c r="P248" s="334" t="str">
        <f aca="false">IF((E248="m"),G248," ")</f>
        <v> </v>
      </c>
      <c r="Q248" s="334" t="str">
        <f aca="false">IF((E248="t"),G248," ")</f>
        <v> </v>
      </c>
      <c r="R248" s="334" t="str">
        <f aca="false">IF((E248="a"),G248," ")</f>
        <v> </v>
      </c>
      <c r="S248" s="334" t="str">
        <f aca="false">IF((E248="l"),G248," ")</f>
        <v> </v>
      </c>
      <c r="T248" s="334" t="str">
        <f aca="false">IF((E248="b"),G248," ")</f>
        <v> </v>
      </c>
      <c r="U248" s="334" t="str">
        <f aca="false">IF((E248="i"),G248," ")</f>
        <v> </v>
      </c>
      <c r="V248" s="334" t="str">
        <f aca="false">IF((E248="o"),G248," ")</f>
        <v> </v>
      </c>
      <c r="W248" s="334" t="str">
        <f aca="false">IF((E248="f"),G248," ")</f>
        <v> </v>
      </c>
    </row>
    <row r="249" customFormat="false" ht="12.75" hidden="false" customHeight="false" outlineLevel="0" collapsed="false">
      <c r="A249" s="355"/>
      <c r="E249" s="365" t="str">
        <f aca="false">IF((G249&lt;&gt;0),"Enter Letter"," ")</f>
        <v> </v>
      </c>
      <c r="J249" s="334" t="str">
        <f aca="false">IF((E249="s"),G249," ")</f>
        <v> </v>
      </c>
      <c r="K249" s="334" t="str">
        <f aca="false">IF((E249="d"),G249," ")</f>
        <v> </v>
      </c>
      <c r="L249" s="334" t="str">
        <f aca="false">IF((E249="e"),G249," ")</f>
        <v> </v>
      </c>
      <c r="M249" s="334" t="str">
        <f aca="false">IF((E249="p"),G249," ")</f>
        <v> </v>
      </c>
      <c r="N249" s="334" t="str">
        <f aca="false">IF((E249="r"),G249," ")</f>
        <v> </v>
      </c>
      <c r="O249" s="334" t="str">
        <f aca="false">IF((E249="g"),G249," ")</f>
        <v> </v>
      </c>
      <c r="P249" s="334" t="str">
        <f aca="false">IF((E249="m"),G249," ")</f>
        <v> </v>
      </c>
      <c r="Q249" s="334" t="str">
        <f aca="false">IF((E249="t"),G249," ")</f>
        <v> </v>
      </c>
      <c r="R249" s="334" t="str">
        <f aca="false">IF((E249="a"),G249," ")</f>
        <v> </v>
      </c>
      <c r="S249" s="334" t="str">
        <f aca="false">IF((E249="l"),G249," ")</f>
        <v> </v>
      </c>
      <c r="T249" s="334" t="str">
        <f aca="false">IF((E249="b"),G249," ")</f>
        <v> </v>
      </c>
      <c r="U249" s="334" t="str">
        <f aca="false">IF((E249="i"),G249," ")</f>
        <v> </v>
      </c>
      <c r="V249" s="334" t="str">
        <f aca="false">IF((E249="o"),G249," ")</f>
        <v> </v>
      </c>
      <c r="W249" s="334" t="str">
        <f aca="false">IF((E249="f"),G249," ")</f>
        <v> </v>
      </c>
    </row>
    <row r="250" customFormat="false" ht="12.75" hidden="false" customHeight="false" outlineLevel="0" collapsed="false">
      <c r="A250" s="355"/>
      <c r="E250" s="365" t="str">
        <f aca="false">IF((G250&lt;&gt;0),"Enter Letter"," ")</f>
        <v> </v>
      </c>
      <c r="J250" s="334" t="str">
        <f aca="false">IF((E250="s"),G250," ")</f>
        <v> </v>
      </c>
      <c r="K250" s="334" t="str">
        <f aca="false">IF((E250="d"),G250," ")</f>
        <v> </v>
      </c>
      <c r="L250" s="334" t="str">
        <f aca="false">IF((E250="e"),G250," ")</f>
        <v> </v>
      </c>
      <c r="M250" s="334" t="str">
        <f aca="false">IF((E250="p"),G250," ")</f>
        <v> </v>
      </c>
      <c r="N250" s="334" t="str">
        <f aca="false">IF((E250="r"),G250," ")</f>
        <v> </v>
      </c>
      <c r="O250" s="334" t="str">
        <f aca="false">IF((E250="g"),G250," ")</f>
        <v> </v>
      </c>
      <c r="P250" s="334" t="str">
        <f aca="false">IF((E250="m"),G250," ")</f>
        <v> </v>
      </c>
      <c r="Q250" s="334" t="str">
        <f aca="false">IF((E250="t"),G250," ")</f>
        <v> </v>
      </c>
      <c r="R250" s="334" t="str">
        <f aca="false">IF((E250="a"),G250," ")</f>
        <v> </v>
      </c>
      <c r="S250" s="334" t="str">
        <f aca="false">IF((E250="l"),G250," ")</f>
        <v> </v>
      </c>
      <c r="T250" s="334" t="str">
        <f aca="false">IF((E250="b"),G250," ")</f>
        <v> </v>
      </c>
      <c r="U250" s="334" t="str">
        <f aca="false">IF((E250="i"),G250," ")</f>
        <v> </v>
      </c>
      <c r="V250" s="334" t="str">
        <f aca="false">IF((E250="o"),G250," ")</f>
        <v> </v>
      </c>
      <c r="W250" s="334" t="str">
        <f aca="false">IF((E250="f"),G250," ")</f>
        <v> </v>
      </c>
    </row>
    <row r="251" customFormat="false" ht="12.75" hidden="false" customHeight="false" outlineLevel="0" collapsed="false">
      <c r="A251" s="355"/>
      <c r="E251" s="365" t="str">
        <f aca="false">IF((G251&lt;&gt;0),"Enter Letter"," ")</f>
        <v> </v>
      </c>
      <c r="J251" s="334" t="str">
        <f aca="false">IF((E251="s"),G251," ")</f>
        <v> </v>
      </c>
      <c r="K251" s="334" t="str">
        <f aca="false">IF((E251="d"),G251," ")</f>
        <v> </v>
      </c>
      <c r="L251" s="334" t="str">
        <f aca="false">IF((E251="e"),G251," ")</f>
        <v> </v>
      </c>
      <c r="M251" s="334" t="str">
        <f aca="false">IF((E251="p"),G251," ")</f>
        <v> </v>
      </c>
      <c r="N251" s="334" t="str">
        <f aca="false">IF((E251="r"),G251," ")</f>
        <v> </v>
      </c>
      <c r="O251" s="334" t="str">
        <f aca="false">IF((E251="g"),G251," ")</f>
        <v> </v>
      </c>
      <c r="P251" s="334" t="str">
        <f aca="false">IF((E251="m"),G251," ")</f>
        <v> </v>
      </c>
      <c r="Q251" s="334" t="str">
        <f aca="false">IF((E251="t"),G251," ")</f>
        <v> </v>
      </c>
      <c r="R251" s="334" t="str">
        <f aca="false">IF((E251="a"),G251," ")</f>
        <v> </v>
      </c>
      <c r="S251" s="334" t="str">
        <f aca="false">IF((E251="l"),G251," ")</f>
        <v> </v>
      </c>
      <c r="T251" s="334" t="str">
        <f aca="false">IF((E251="b"),G251," ")</f>
        <v> </v>
      </c>
      <c r="U251" s="334" t="str">
        <f aca="false">IF((E251="i"),G251," ")</f>
        <v> </v>
      </c>
      <c r="V251" s="334" t="str">
        <f aca="false">IF((E251="o"),G251," ")</f>
        <v> </v>
      </c>
      <c r="W251" s="334" t="str">
        <f aca="false">IF((E251="f"),G251," ")</f>
        <v> </v>
      </c>
    </row>
    <row r="252" customFormat="false" ht="12.75" hidden="false" customHeight="false" outlineLevel="0" collapsed="false">
      <c r="A252" s="355"/>
      <c r="E252" s="365" t="str">
        <f aca="false">IF((G252&lt;&gt;0),"Enter Letter"," ")</f>
        <v> </v>
      </c>
      <c r="J252" s="334" t="str">
        <f aca="false">IF((E252="s"),G252," ")</f>
        <v> </v>
      </c>
      <c r="K252" s="334" t="str">
        <f aca="false">IF((E252="d"),G252," ")</f>
        <v> </v>
      </c>
      <c r="L252" s="334" t="str">
        <f aca="false">IF((E252="e"),G252," ")</f>
        <v> </v>
      </c>
      <c r="M252" s="334" t="str">
        <f aca="false">IF((E252="p"),G252," ")</f>
        <v> </v>
      </c>
      <c r="N252" s="334" t="str">
        <f aca="false">IF((E252="r"),G252," ")</f>
        <v> </v>
      </c>
      <c r="O252" s="334" t="str">
        <f aca="false">IF((E252="g"),G252," ")</f>
        <v> </v>
      </c>
      <c r="P252" s="334" t="str">
        <f aca="false">IF((E252="m"),G252," ")</f>
        <v> </v>
      </c>
      <c r="Q252" s="334" t="str">
        <f aca="false">IF((E252="t"),G252," ")</f>
        <v> </v>
      </c>
      <c r="R252" s="334" t="str">
        <f aca="false">IF((E252="a"),G252," ")</f>
        <v> </v>
      </c>
      <c r="S252" s="334" t="str">
        <f aca="false">IF((E252="l"),G252," ")</f>
        <v> </v>
      </c>
      <c r="T252" s="334" t="str">
        <f aca="false">IF((E252="b"),G252," ")</f>
        <v> </v>
      </c>
      <c r="U252" s="334" t="str">
        <f aca="false">IF((E252="i"),G252," ")</f>
        <v> </v>
      </c>
      <c r="V252" s="334" t="str">
        <f aca="false">IF((E252="o"),G252," ")</f>
        <v> </v>
      </c>
      <c r="W252" s="334" t="str">
        <f aca="false">IF((E252="f"),G252," ")</f>
        <v> </v>
      </c>
    </row>
    <row r="253" customFormat="false" ht="12.75" hidden="false" customHeight="false" outlineLevel="0" collapsed="false">
      <c r="A253" s="355"/>
      <c r="E253" s="365" t="str">
        <f aca="false">IF((G253&lt;&gt;0),"Enter Letter"," ")</f>
        <v> </v>
      </c>
      <c r="J253" s="334" t="str">
        <f aca="false">IF((E253="s"),G253," ")</f>
        <v> </v>
      </c>
      <c r="K253" s="334" t="str">
        <f aca="false">IF((E253="d"),G253," ")</f>
        <v> </v>
      </c>
      <c r="L253" s="334" t="str">
        <f aca="false">IF((E253="e"),G253," ")</f>
        <v> </v>
      </c>
      <c r="M253" s="334" t="str">
        <f aca="false">IF((E253="p"),G253," ")</f>
        <v> </v>
      </c>
      <c r="N253" s="334" t="str">
        <f aca="false">IF((E253="r"),G253," ")</f>
        <v> </v>
      </c>
      <c r="O253" s="334" t="str">
        <f aca="false">IF((E253="g"),G253," ")</f>
        <v> </v>
      </c>
      <c r="P253" s="334" t="str">
        <f aca="false">IF((E253="m"),G253," ")</f>
        <v> </v>
      </c>
      <c r="Q253" s="334" t="str">
        <f aca="false">IF((E253="t"),G253," ")</f>
        <v> </v>
      </c>
      <c r="R253" s="334" t="str">
        <f aca="false">IF((E253="a"),G253," ")</f>
        <v> </v>
      </c>
      <c r="S253" s="334" t="str">
        <f aca="false">IF((E253="l"),G253," ")</f>
        <v> </v>
      </c>
      <c r="T253" s="334" t="str">
        <f aca="false">IF((E253="b"),G253," ")</f>
        <v> </v>
      </c>
      <c r="U253" s="334" t="str">
        <f aca="false">IF((E253="i"),G253," ")</f>
        <v> </v>
      </c>
      <c r="V253" s="334" t="str">
        <f aca="false">IF((E253="o"),G253," ")</f>
        <v> </v>
      </c>
      <c r="W253" s="334" t="str">
        <f aca="false">IF((E253="f"),G253," ")</f>
        <v> </v>
      </c>
    </row>
    <row r="254" customFormat="false" ht="12.75" hidden="false" customHeight="false" outlineLevel="0" collapsed="false">
      <c r="A254" s="355"/>
      <c r="E254" s="365" t="str">
        <f aca="false">IF((G254&lt;&gt;0),"Enter Letter"," ")</f>
        <v> </v>
      </c>
      <c r="J254" s="334" t="str">
        <f aca="false">IF((E254="s"),G254," ")</f>
        <v> </v>
      </c>
      <c r="K254" s="334" t="str">
        <f aca="false">IF((E254="d"),G254," ")</f>
        <v> </v>
      </c>
      <c r="L254" s="334" t="str">
        <f aca="false">IF((E254="e"),G254," ")</f>
        <v> </v>
      </c>
      <c r="M254" s="334" t="str">
        <f aca="false">IF((E254="p"),G254," ")</f>
        <v> </v>
      </c>
      <c r="N254" s="334" t="str">
        <f aca="false">IF((E254="r"),G254," ")</f>
        <v> </v>
      </c>
      <c r="O254" s="334" t="str">
        <f aca="false">IF((E254="g"),G254," ")</f>
        <v> </v>
      </c>
      <c r="P254" s="334" t="str">
        <f aca="false">IF((E254="m"),G254," ")</f>
        <v> </v>
      </c>
      <c r="Q254" s="334" t="str">
        <f aca="false">IF((E254="t"),G254," ")</f>
        <v> </v>
      </c>
      <c r="R254" s="334" t="str">
        <f aca="false">IF((E254="a"),G254," ")</f>
        <v> </v>
      </c>
      <c r="S254" s="334" t="str">
        <f aca="false">IF((E254="l"),G254," ")</f>
        <v> </v>
      </c>
      <c r="T254" s="334" t="str">
        <f aca="false">IF((E254="b"),G254," ")</f>
        <v> </v>
      </c>
      <c r="U254" s="334" t="str">
        <f aca="false">IF((E254="i"),G254," ")</f>
        <v> </v>
      </c>
      <c r="V254" s="334" t="str">
        <f aca="false">IF((E254="o"),G254," ")</f>
        <v> </v>
      </c>
      <c r="W254" s="334" t="str">
        <f aca="false">IF((E254="f"),G254," ")</f>
        <v> </v>
      </c>
    </row>
    <row r="255" customFormat="false" ht="12.75" hidden="false" customHeight="false" outlineLevel="0" collapsed="false">
      <c r="A255" s="355"/>
      <c r="E255" s="365" t="str">
        <f aca="false">IF((G255&lt;&gt;0),"Enter Letter"," ")</f>
        <v> </v>
      </c>
      <c r="J255" s="334" t="str">
        <f aca="false">IF((E255="s"),G255," ")</f>
        <v> </v>
      </c>
      <c r="K255" s="334" t="str">
        <f aca="false">IF((E255="d"),G255," ")</f>
        <v> </v>
      </c>
      <c r="L255" s="334" t="str">
        <f aca="false">IF((E255="e"),G255," ")</f>
        <v> </v>
      </c>
      <c r="M255" s="334" t="str">
        <f aca="false">IF((E255="p"),G255," ")</f>
        <v> </v>
      </c>
      <c r="N255" s="334" t="str">
        <f aca="false">IF((E255="r"),G255," ")</f>
        <v> </v>
      </c>
      <c r="O255" s="334" t="str">
        <f aca="false">IF((E255="g"),G255," ")</f>
        <v> </v>
      </c>
      <c r="P255" s="334" t="str">
        <f aca="false">IF((E255="m"),G255," ")</f>
        <v> </v>
      </c>
      <c r="Q255" s="334" t="str">
        <f aca="false">IF((E255="t"),G255," ")</f>
        <v> </v>
      </c>
      <c r="R255" s="334" t="str">
        <f aca="false">IF((E255="a"),G255," ")</f>
        <v> </v>
      </c>
      <c r="S255" s="334" t="str">
        <f aca="false">IF((E255="l"),G255," ")</f>
        <v> </v>
      </c>
      <c r="T255" s="334" t="str">
        <f aca="false">IF((E255="b"),G255," ")</f>
        <v> </v>
      </c>
      <c r="U255" s="334" t="str">
        <f aca="false">IF((E255="i"),G255," ")</f>
        <v> </v>
      </c>
      <c r="V255" s="334" t="str">
        <f aca="false">IF((E255="o"),G255," ")</f>
        <v> </v>
      </c>
      <c r="W255" s="334" t="str">
        <f aca="false">IF((E255="f"),G255," ")</f>
        <v> </v>
      </c>
    </row>
    <row r="256" customFormat="false" ht="12.75" hidden="false" customHeight="false" outlineLevel="0" collapsed="false">
      <c r="A256" s="355"/>
      <c r="E256" s="365" t="str">
        <f aca="false">IF((G256&lt;&gt;0),"Enter Letter"," ")</f>
        <v> </v>
      </c>
      <c r="J256" s="334" t="str">
        <f aca="false">IF((E256="s"),G256," ")</f>
        <v> </v>
      </c>
      <c r="K256" s="334" t="str">
        <f aca="false">IF((E256="d"),G256," ")</f>
        <v> </v>
      </c>
      <c r="L256" s="334" t="str">
        <f aca="false">IF((E256="e"),G256," ")</f>
        <v> </v>
      </c>
      <c r="M256" s="334" t="str">
        <f aca="false">IF((E256="p"),G256," ")</f>
        <v> </v>
      </c>
      <c r="N256" s="334" t="str">
        <f aca="false">IF((E256="r"),G256," ")</f>
        <v> </v>
      </c>
      <c r="O256" s="334" t="str">
        <f aca="false">IF((E256="g"),G256," ")</f>
        <v> </v>
      </c>
      <c r="P256" s="334" t="str">
        <f aca="false">IF((E256="m"),G256," ")</f>
        <v> </v>
      </c>
      <c r="Q256" s="334" t="str">
        <f aca="false">IF((E256="t"),G256," ")</f>
        <v> </v>
      </c>
      <c r="R256" s="334" t="str">
        <f aca="false">IF((E256="a"),G256," ")</f>
        <v> </v>
      </c>
      <c r="S256" s="334" t="str">
        <f aca="false">IF((E256="l"),G256," ")</f>
        <v> </v>
      </c>
      <c r="T256" s="334" t="str">
        <f aca="false">IF((E256="b"),G256," ")</f>
        <v> </v>
      </c>
      <c r="U256" s="334" t="str">
        <f aca="false">IF((E256="i"),G256," ")</f>
        <v> </v>
      </c>
      <c r="V256" s="334" t="str">
        <f aca="false">IF((E256="o"),G256," ")</f>
        <v> </v>
      </c>
      <c r="W256" s="334" t="str">
        <f aca="false">IF((E256="f"),G256," ")</f>
        <v> </v>
      </c>
    </row>
    <row r="257" customFormat="false" ht="12.75" hidden="false" customHeight="false" outlineLevel="0" collapsed="false">
      <c r="A257" s="355"/>
      <c r="E257" s="365" t="str">
        <f aca="false">IF((G257&lt;&gt;0),"Enter Letter"," ")</f>
        <v> </v>
      </c>
      <c r="J257" s="334" t="str">
        <f aca="false">IF((E257="s"),G257," ")</f>
        <v> </v>
      </c>
      <c r="K257" s="334" t="str">
        <f aca="false">IF((E257="d"),G257," ")</f>
        <v> </v>
      </c>
      <c r="L257" s="334" t="str">
        <f aca="false">IF((E257="e"),G257," ")</f>
        <v> </v>
      </c>
      <c r="M257" s="334" t="str">
        <f aca="false">IF((E257="p"),G257," ")</f>
        <v> </v>
      </c>
      <c r="N257" s="334" t="str">
        <f aca="false">IF((E257="r"),G257," ")</f>
        <v> </v>
      </c>
      <c r="O257" s="334" t="str">
        <f aca="false">IF((E257="g"),G257," ")</f>
        <v> </v>
      </c>
      <c r="P257" s="334" t="str">
        <f aca="false">IF((E257="m"),G257," ")</f>
        <v> </v>
      </c>
      <c r="Q257" s="334" t="str">
        <f aca="false">IF((E257="t"),G257," ")</f>
        <v> </v>
      </c>
      <c r="R257" s="334" t="str">
        <f aca="false">IF((E257="a"),G257," ")</f>
        <v> </v>
      </c>
      <c r="S257" s="334" t="str">
        <f aca="false">IF((E257="l"),G257," ")</f>
        <v> </v>
      </c>
      <c r="T257" s="334" t="str">
        <f aca="false">IF((E257="b"),G257," ")</f>
        <v> </v>
      </c>
      <c r="U257" s="334" t="str">
        <f aca="false">IF((E257="i"),G257," ")</f>
        <v> </v>
      </c>
      <c r="V257" s="334" t="str">
        <f aca="false">IF((E257="o"),G257," ")</f>
        <v> </v>
      </c>
      <c r="W257" s="334" t="str">
        <f aca="false">IF((E257="f"),G257," ")</f>
        <v> </v>
      </c>
    </row>
    <row r="258" customFormat="false" ht="12.75" hidden="false" customHeight="false" outlineLevel="0" collapsed="false">
      <c r="A258" s="355"/>
      <c r="E258" s="365" t="str">
        <f aca="false">IF((G258&lt;&gt;0),"Enter Letter"," ")</f>
        <v> </v>
      </c>
      <c r="J258" s="334" t="str">
        <f aca="false">IF((E258="s"),G258," ")</f>
        <v> </v>
      </c>
      <c r="K258" s="334" t="str">
        <f aca="false">IF((E258="d"),G258," ")</f>
        <v> </v>
      </c>
      <c r="L258" s="334" t="str">
        <f aca="false">IF((E258="e"),G258," ")</f>
        <v> </v>
      </c>
      <c r="M258" s="334" t="str">
        <f aca="false">IF((E258="p"),G258," ")</f>
        <v> </v>
      </c>
      <c r="N258" s="334" t="str">
        <f aca="false">IF((E258="r"),G258," ")</f>
        <v> </v>
      </c>
      <c r="O258" s="334" t="str">
        <f aca="false">IF((E258="g"),G258," ")</f>
        <v> </v>
      </c>
      <c r="P258" s="334" t="str">
        <f aca="false">IF((E258="m"),G258," ")</f>
        <v> </v>
      </c>
      <c r="Q258" s="334" t="str">
        <f aca="false">IF((E258="t"),G258," ")</f>
        <v> </v>
      </c>
      <c r="R258" s="334" t="str">
        <f aca="false">IF((E258="a"),G258," ")</f>
        <v> </v>
      </c>
      <c r="S258" s="334" t="str">
        <f aca="false">IF((E258="l"),G258," ")</f>
        <v> </v>
      </c>
      <c r="T258" s="334" t="str">
        <f aca="false">IF((E258="b"),G258," ")</f>
        <v> </v>
      </c>
      <c r="U258" s="334" t="str">
        <f aca="false">IF((E258="i"),G258," ")</f>
        <v> </v>
      </c>
      <c r="V258" s="334" t="str">
        <f aca="false">IF((E258="o"),G258," ")</f>
        <v> </v>
      </c>
      <c r="W258" s="334" t="str">
        <f aca="false">IF((E258="f"),G258," ")</f>
        <v> </v>
      </c>
    </row>
    <row r="259" customFormat="false" ht="12.75" hidden="false" customHeight="false" outlineLevel="0" collapsed="false">
      <c r="A259" s="355"/>
      <c r="E259" s="365" t="str">
        <f aca="false">IF((G259&lt;&gt;0),"Enter Letter"," ")</f>
        <v> </v>
      </c>
      <c r="J259" s="334" t="str">
        <f aca="false">IF((E259="s"),G259," ")</f>
        <v> </v>
      </c>
      <c r="K259" s="334" t="str">
        <f aca="false">IF((E259="d"),G259," ")</f>
        <v> </v>
      </c>
      <c r="L259" s="334" t="str">
        <f aca="false">IF((E259="e"),G259," ")</f>
        <v> </v>
      </c>
      <c r="M259" s="334" t="str">
        <f aca="false">IF((E259="p"),G259," ")</f>
        <v> </v>
      </c>
      <c r="N259" s="334" t="str">
        <f aca="false">IF((E259="r"),G259," ")</f>
        <v> </v>
      </c>
      <c r="O259" s="334" t="str">
        <f aca="false">IF((E259="g"),G259," ")</f>
        <v> </v>
      </c>
      <c r="P259" s="334" t="str">
        <f aca="false">IF((E259="m"),G259," ")</f>
        <v> </v>
      </c>
      <c r="Q259" s="334" t="str">
        <f aca="false">IF((E259="t"),G259," ")</f>
        <v> </v>
      </c>
      <c r="R259" s="334" t="str">
        <f aca="false">IF((E259="a"),G259," ")</f>
        <v> </v>
      </c>
      <c r="S259" s="334" t="str">
        <f aca="false">IF((E259="l"),G259," ")</f>
        <v> </v>
      </c>
      <c r="T259" s="334" t="str">
        <f aca="false">IF((E259="b"),G259," ")</f>
        <v> </v>
      </c>
      <c r="U259" s="334" t="str">
        <f aca="false">IF((E259="i"),G259," ")</f>
        <v> </v>
      </c>
      <c r="V259" s="334" t="str">
        <f aca="false">IF((E259="o"),G259," ")</f>
        <v> </v>
      </c>
      <c r="W259" s="334" t="str">
        <f aca="false">IF((E259="f"),G259," ")</f>
        <v> </v>
      </c>
    </row>
    <row r="260" customFormat="false" ht="12.75" hidden="false" customHeight="false" outlineLevel="0" collapsed="false">
      <c r="A260" s="355"/>
      <c r="E260" s="365" t="str">
        <f aca="false">IF((G260&lt;&gt;0),"Enter Letter"," ")</f>
        <v> </v>
      </c>
      <c r="J260" s="334" t="str">
        <f aca="false">IF((E260="s"),G260," ")</f>
        <v> </v>
      </c>
      <c r="K260" s="334" t="str">
        <f aca="false">IF((E260="d"),G260," ")</f>
        <v> </v>
      </c>
      <c r="L260" s="334" t="str">
        <f aca="false">IF((E260="e"),G260," ")</f>
        <v> </v>
      </c>
      <c r="M260" s="334" t="str">
        <f aca="false">IF((E260="p"),G260," ")</f>
        <v> </v>
      </c>
      <c r="N260" s="334" t="str">
        <f aca="false">IF((E260="r"),G260," ")</f>
        <v> </v>
      </c>
      <c r="O260" s="334" t="str">
        <f aca="false">IF((E260="g"),G260," ")</f>
        <v> </v>
      </c>
      <c r="P260" s="334" t="str">
        <f aca="false">IF((E260="m"),G260," ")</f>
        <v> </v>
      </c>
      <c r="Q260" s="334" t="str">
        <f aca="false">IF((E260="t"),G260," ")</f>
        <v> </v>
      </c>
      <c r="R260" s="334" t="str">
        <f aca="false">IF((E260="a"),G260," ")</f>
        <v> </v>
      </c>
      <c r="S260" s="334" t="str">
        <f aca="false">IF((E260="l"),G260," ")</f>
        <v> </v>
      </c>
      <c r="T260" s="334" t="str">
        <f aca="false">IF((E260="b"),G260," ")</f>
        <v> </v>
      </c>
      <c r="U260" s="334" t="str">
        <f aca="false">IF((E260="i"),G260," ")</f>
        <v> </v>
      </c>
      <c r="V260" s="334" t="str">
        <f aca="false">IF((E260="o"),G260," ")</f>
        <v> </v>
      </c>
      <c r="W260" s="334" t="str">
        <f aca="false">IF((E260="f"),G260," ")</f>
        <v> </v>
      </c>
    </row>
    <row r="261" customFormat="false" ht="12.75" hidden="false" customHeight="false" outlineLevel="0" collapsed="false">
      <c r="A261" s="355"/>
      <c r="E261" s="365" t="str">
        <f aca="false">IF((G261&lt;&gt;0),"Enter Letter"," ")</f>
        <v> </v>
      </c>
      <c r="J261" s="334" t="str">
        <f aca="false">IF((E261="s"),G261," ")</f>
        <v> </v>
      </c>
      <c r="K261" s="334" t="str">
        <f aca="false">IF((E261="d"),G261," ")</f>
        <v> </v>
      </c>
      <c r="L261" s="334" t="str">
        <f aca="false">IF((E261="e"),G261," ")</f>
        <v> </v>
      </c>
      <c r="M261" s="334" t="str">
        <f aca="false">IF((E261="p"),G261," ")</f>
        <v> </v>
      </c>
      <c r="N261" s="334" t="str">
        <f aca="false">IF((E261="r"),G261," ")</f>
        <v> </v>
      </c>
      <c r="O261" s="334" t="str">
        <f aca="false">IF((E261="g"),G261," ")</f>
        <v> </v>
      </c>
      <c r="P261" s="334" t="str">
        <f aca="false">IF((E261="m"),G261," ")</f>
        <v> </v>
      </c>
      <c r="Q261" s="334" t="str">
        <f aca="false">IF((E261="t"),G261," ")</f>
        <v> </v>
      </c>
      <c r="R261" s="334" t="str">
        <f aca="false">IF((E261="a"),G261," ")</f>
        <v> </v>
      </c>
      <c r="S261" s="334" t="str">
        <f aca="false">IF((E261="l"),G261," ")</f>
        <v> </v>
      </c>
      <c r="T261" s="334" t="str">
        <f aca="false">IF((E261="b"),G261," ")</f>
        <v> </v>
      </c>
      <c r="U261" s="334" t="str">
        <f aca="false">IF((E261="i"),G261," ")</f>
        <v> </v>
      </c>
      <c r="V261" s="334" t="str">
        <f aca="false">IF((E261="o"),G261," ")</f>
        <v> </v>
      </c>
      <c r="W261" s="334" t="str">
        <f aca="false">IF((E261="f"),G261," ")</f>
        <v> </v>
      </c>
    </row>
    <row r="262" customFormat="false" ht="12.75" hidden="false" customHeight="false" outlineLevel="0" collapsed="false">
      <c r="A262" s="355"/>
      <c r="E262" s="365" t="str">
        <f aca="false">IF((G262&lt;&gt;0),"Enter Letter"," ")</f>
        <v> </v>
      </c>
      <c r="J262" s="334" t="str">
        <f aca="false">IF((E262="s"),G262," ")</f>
        <v> </v>
      </c>
      <c r="K262" s="334" t="str">
        <f aca="false">IF((E262="d"),G262," ")</f>
        <v> </v>
      </c>
      <c r="L262" s="334" t="str">
        <f aca="false">IF((E262="e"),G262," ")</f>
        <v> </v>
      </c>
      <c r="M262" s="334" t="str">
        <f aca="false">IF((E262="p"),G262," ")</f>
        <v> </v>
      </c>
      <c r="N262" s="334" t="str">
        <f aca="false">IF((E262="r"),G262," ")</f>
        <v> </v>
      </c>
      <c r="O262" s="334" t="str">
        <f aca="false">IF((E262="g"),G262," ")</f>
        <v> </v>
      </c>
      <c r="P262" s="334" t="str">
        <f aca="false">IF((E262="m"),G262," ")</f>
        <v> </v>
      </c>
      <c r="Q262" s="334" t="str">
        <f aca="false">IF((E262="t"),G262," ")</f>
        <v> </v>
      </c>
      <c r="R262" s="334" t="str">
        <f aca="false">IF((E262="a"),G262," ")</f>
        <v> </v>
      </c>
      <c r="S262" s="334" t="str">
        <f aca="false">IF((E262="l"),G262," ")</f>
        <v> </v>
      </c>
      <c r="T262" s="334" t="str">
        <f aca="false">IF((E262="b"),G262," ")</f>
        <v> </v>
      </c>
      <c r="U262" s="334" t="str">
        <f aca="false">IF((E262="i"),G262," ")</f>
        <v> </v>
      </c>
      <c r="V262" s="334" t="str">
        <f aca="false">IF((E262="o"),G262," ")</f>
        <v> </v>
      </c>
      <c r="W262" s="334" t="str">
        <f aca="false">IF((E262="f"),G262," ")</f>
        <v> </v>
      </c>
    </row>
    <row r="263" customFormat="false" ht="12.75" hidden="false" customHeight="false" outlineLevel="0" collapsed="false">
      <c r="A263" s="355"/>
      <c r="E263" s="365" t="str">
        <f aca="false">IF((G263&lt;&gt;0),"Enter Letter"," ")</f>
        <v> </v>
      </c>
      <c r="J263" s="334" t="str">
        <f aca="false">IF((E263="s"),G263," ")</f>
        <v> </v>
      </c>
      <c r="K263" s="334" t="str">
        <f aca="false">IF((E263="d"),G263," ")</f>
        <v> </v>
      </c>
      <c r="L263" s="334" t="str">
        <f aca="false">IF((E263="e"),G263," ")</f>
        <v> </v>
      </c>
      <c r="M263" s="334" t="str">
        <f aca="false">IF((E263="p"),G263," ")</f>
        <v> </v>
      </c>
      <c r="N263" s="334" t="str">
        <f aca="false">IF((E263="r"),G263," ")</f>
        <v> </v>
      </c>
      <c r="O263" s="334" t="str">
        <f aca="false">IF((E263="g"),G263," ")</f>
        <v> </v>
      </c>
      <c r="P263" s="334" t="str">
        <f aca="false">IF((E263="m"),G263," ")</f>
        <v> </v>
      </c>
      <c r="Q263" s="334" t="str">
        <f aca="false">IF((E263="t"),G263," ")</f>
        <v> </v>
      </c>
      <c r="R263" s="334" t="str">
        <f aca="false">IF((E263="a"),G263," ")</f>
        <v> </v>
      </c>
      <c r="S263" s="334" t="str">
        <f aca="false">IF((E263="l"),G263," ")</f>
        <v> </v>
      </c>
      <c r="T263" s="334" t="str">
        <f aca="false">IF((E263="b"),G263," ")</f>
        <v> </v>
      </c>
      <c r="U263" s="334" t="str">
        <f aca="false">IF((E263="i"),G263," ")</f>
        <v> </v>
      </c>
      <c r="V263" s="334" t="str">
        <f aca="false">IF((E263="o"),G263," ")</f>
        <v> </v>
      </c>
      <c r="W263" s="334" t="str">
        <f aca="false">IF((E263="f"),G263," ")</f>
        <v> </v>
      </c>
    </row>
    <row r="264" customFormat="false" ht="12.75" hidden="false" customHeight="false" outlineLevel="0" collapsed="false">
      <c r="A264" s="355"/>
      <c r="E264" s="365" t="str">
        <f aca="false">IF((G264&lt;&gt;0),"Enter Letter"," ")</f>
        <v> </v>
      </c>
      <c r="J264" s="334" t="str">
        <f aca="false">IF((E264="s"),G264," ")</f>
        <v> </v>
      </c>
      <c r="K264" s="334" t="str">
        <f aca="false">IF((E264="d"),G264," ")</f>
        <v> </v>
      </c>
      <c r="L264" s="334" t="str">
        <f aca="false">IF((E264="e"),G264," ")</f>
        <v> </v>
      </c>
      <c r="M264" s="334" t="str">
        <f aca="false">IF((E264="p"),G264," ")</f>
        <v> </v>
      </c>
      <c r="N264" s="334" t="str">
        <f aca="false">IF((E264="r"),G264," ")</f>
        <v> </v>
      </c>
      <c r="O264" s="334" t="str">
        <f aca="false">IF((E264="g"),G264," ")</f>
        <v> </v>
      </c>
      <c r="P264" s="334" t="str">
        <f aca="false">IF((E264="m"),G264," ")</f>
        <v> </v>
      </c>
      <c r="Q264" s="334" t="str">
        <f aca="false">IF((E264="t"),G264," ")</f>
        <v> </v>
      </c>
      <c r="R264" s="334" t="str">
        <f aca="false">IF((E264="a"),G264," ")</f>
        <v> </v>
      </c>
      <c r="S264" s="334" t="str">
        <f aca="false">IF((E264="l"),G264," ")</f>
        <v> </v>
      </c>
      <c r="T264" s="334" t="str">
        <f aca="false">IF((E264="b"),G264," ")</f>
        <v> </v>
      </c>
      <c r="U264" s="334" t="str">
        <f aca="false">IF((E264="i"),G264," ")</f>
        <v> </v>
      </c>
      <c r="V264" s="334" t="str">
        <f aca="false">IF((E264="o"),G264," ")</f>
        <v> </v>
      </c>
      <c r="W264" s="334" t="str">
        <f aca="false">IF((E264="f"),G264," ")</f>
        <v> </v>
      </c>
    </row>
    <row r="265" customFormat="false" ht="12.75" hidden="false" customHeight="false" outlineLevel="0" collapsed="false">
      <c r="A265" s="355"/>
      <c r="E265" s="365" t="str">
        <f aca="false">IF((G265&lt;&gt;0),"Enter Letter"," ")</f>
        <v> </v>
      </c>
      <c r="J265" s="334" t="str">
        <f aca="false">IF((E265="s"),G265," ")</f>
        <v> </v>
      </c>
      <c r="K265" s="334" t="str">
        <f aca="false">IF((E265="d"),G265," ")</f>
        <v> </v>
      </c>
      <c r="L265" s="334" t="str">
        <f aca="false">IF((E265="e"),G265," ")</f>
        <v> </v>
      </c>
      <c r="M265" s="334" t="str">
        <f aca="false">IF((E265="p"),G265," ")</f>
        <v> </v>
      </c>
      <c r="N265" s="334" t="str">
        <f aca="false">IF((E265="r"),G265," ")</f>
        <v> </v>
      </c>
      <c r="O265" s="334" t="str">
        <f aca="false">IF((E265="g"),G265," ")</f>
        <v> </v>
      </c>
      <c r="P265" s="334" t="str">
        <f aca="false">IF((E265="m"),G265," ")</f>
        <v> </v>
      </c>
      <c r="Q265" s="334" t="str">
        <f aca="false">IF((E265="t"),G265," ")</f>
        <v> </v>
      </c>
      <c r="R265" s="334" t="str">
        <f aca="false">IF((E265="a"),G265," ")</f>
        <v> </v>
      </c>
      <c r="S265" s="334" t="str">
        <f aca="false">IF((E265="l"),G265," ")</f>
        <v> </v>
      </c>
      <c r="T265" s="334" t="str">
        <f aca="false">IF((E265="b"),G265," ")</f>
        <v> </v>
      </c>
      <c r="U265" s="334" t="str">
        <f aca="false">IF((E265="i"),G265," ")</f>
        <v> </v>
      </c>
      <c r="V265" s="334" t="str">
        <f aca="false">IF((E265="o"),G265," ")</f>
        <v> </v>
      </c>
      <c r="W265" s="334" t="str">
        <f aca="false">IF((E265="f"),G265," ")</f>
        <v> </v>
      </c>
    </row>
    <row r="266" customFormat="false" ht="12.75" hidden="false" customHeight="false" outlineLevel="0" collapsed="false">
      <c r="A266" s="355"/>
      <c r="E266" s="365" t="str">
        <f aca="false">IF((G266&lt;&gt;0),"Enter Letter"," ")</f>
        <v> </v>
      </c>
      <c r="J266" s="334" t="str">
        <f aca="false">IF((E266="s"),G266," ")</f>
        <v> </v>
      </c>
      <c r="K266" s="334" t="str">
        <f aca="false">IF((E266="d"),G266," ")</f>
        <v> </v>
      </c>
      <c r="L266" s="334" t="str">
        <f aca="false">IF((E266="e"),G266," ")</f>
        <v> </v>
      </c>
      <c r="M266" s="334" t="str">
        <f aca="false">IF((E266="p"),G266," ")</f>
        <v> </v>
      </c>
      <c r="N266" s="334" t="str">
        <f aca="false">IF((E266="r"),G266," ")</f>
        <v> </v>
      </c>
      <c r="O266" s="334" t="str">
        <f aca="false">IF((E266="g"),G266," ")</f>
        <v> </v>
      </c>
      <c r="P266" s="334" t="str">
        <f aca="false">IF((E266="m"),G266," ")</f>
        <v> </v>
      </c>
      <c r="Q266" s="334" t="str">
        <f aca="false">IF((E266="t"),G266," ")</f>
        <v> </v>
      </c>
      <c r="R266" s="334" t="str">
        <f aca="false">IF((E266="a"),G266," ")</f>
        <v> </v>
      </c>
      <c r="S266" s="334" t="str">
        <f aca="false">IF((E266="l"),G266," ")</f>
        <v> </v>
      </c>
      <c r="T266" s="334" t="str">
        <f aca="false">IF((E266="b"),G266," ")</f>
        <v> </v>
      </c>
      <c r="U266" s="334" t="str">
        <f aca="false">IF((E266="i"),G266," ")</f>
        <v> </v>
      </c>
      <c r="V266" s="334" t="str">
        <f aca="false">IF((E266="o"),G266," ")</f>
        <v> </v>
      </c>
      <c r="W266" s="334" t="str">
        <f aca="false">IF((E266="f"),G266," ")</f>
        <v> </v>
      </c>
    </row>
    <row r="267" customFormat="false" ht="12.75" hidden="false" customHeight="false" outlineLevel="0" collapsed="false">
      <c r="A267" s="355"/>
      <c r="E267" s="365" t="str">
        <f aca="false">IF((G267&lt;&gt;0),"Enter Letter"," ")</f>
        <v> </v>
      </c>
      <c r="J267" s="334" t="str">
        <f aca="false">IF((E267="s"),G267," ")</f>
        <v> </v>
      </c>
      <c r="K267" s="334" t="str">
        <f aca="false">IF((E267="d"),G267," ")</f>
        <v> </v>
      </c>
      <c r="L267" s="334" t="str">
        <f aca="false">IF((E267="e"),G267," ")</f>
        <v> </v>
      </c>
      <c r="M267" s="334" t="str">
        <f aca="false">IF((E267="p"),G267," ")</f>
        <v> </v>
      </c>
      <c r="N267" s="334" t="str">
        <f aca="false">IF((E267="r"),G267," ")</f>
        <v> </v>
      </c>
      <c r="O267" s="334" t="str">
        <f aca="false">IF((E267="g"),G267," ")</f>
        <v> </v>
      </c>
      <c r="P267" s="334" t="str">
        <f aca="false">IF((E267="m"),G267," ")</f>
        <v> </v>
      </c>
      <c r="Q267" s="334" t="str">
        <f aca="false">IF((E267="t"),G267," ")</f>
        <v> </v>
      </c>
      <c r="R267" s="334" t="str">
        <f aca="false">IF((E267="a"),G267," ")</f>
        <v> </v>
      </c>
      <c r="S267" s="334" t="str">
        <f aca="false">IF((E267="l"),G267," ")</f>
        <v> </v>
      </c>
      <c r="T267" s="334" t="str">
        <f aca="false">IF((E267="b"),G267," ")</f>
        <v> </v>
      </c>
      <c r="U267" s="334" t="str">
        <f aca="false">IF((E267="i"),G267," ")</f>
        <v> </v>
      </c>
      <c r="V267" s="334" t="str">
        <f aca="false">IF((E267="o"),G267," ")</f>
        <v> </v>
      </c>
      <c r="W267" s="334" t="str">
        <f aca="false">IF((E267="f"),G267," ")</f>
        <v> </v>
      </c>
    </row>
    <row r="268" customFormat="false" ht="12.75" hidden="false" customHeight="false" outlineLevel="0" collapsed="false">
      <c r="A268" s="355"/>
      <c r="E268" s="365" t="str">
        <f aca="false">IF((G268&lt;&gt;0),"Enter Letter"," ")</f>
        <v> </v>
      </c>
      <c r="J268" s="334" t="str">
        <f aca="false">IF((E268="s"),G268," ")</f>
        <v> </v>
      </c>
      <c r="K268" s="334" t="str">
        <f aca="false">IF((E268="d"),G268," ")</f>
        <v> </v>
      </c>
      <c r="L268" s="334" t="str">
        <f aca="false">IF((E268="e"),G268," ")</f>
        <v> </v>
      </c>
      <c r="M268" s="334" t="str">
        <f aca="false">IF((E268="p"),G268," ")</f>
        <v> </v>
      </c>
      <c r="N268" s="334" t="str">
        <f aca="false">IF((E268="r"),G268," ")</f>
        <v> </v>
      </c>
      <c r="O268" s="334" t="str">
        <f aca="false">IF((E268="g"),G268," ")</f>
        <v> </v>
      </c>
      <c r="P268" s="334" t="str">
        <f aca="false">IF((E268="m"),G268," ")</f>
        <v> </v>
      </c>
      <c r="Q268" s="334" t="str">
        <f aca="false">IF((E268="t"),G268," ")</f>
        <v> </v>
      </c>
      <c r="R268" s="334" t="str">
        <f aca="false">IF((E268="a"),G268," ")</f>
        <v> </v>
      </c>
      <c r="S268" s="334" t="str">
        <f aca="false">IF((E268="l"),G268," ")</f>
        <v> </v>
      </c>
      <c r="T268" s="334" t="str">
        <f aca="false">IF((E268="b"),G268," ")</f>
        <v> </v>
      </c>
      <c r="U268" s="334" t="str">
        <f aca="false">IF((E268="i"),G268," ")</f>
        <v> </v>
      </c>
      <c r="V268" s="334" t="str">
        <f aca="false">IF((E268="o"),G268," ")</f>
        <v> </v>
      </c>
      <c r="W268" s="334" t="str">
        <f aca="false">IF((E268="f"),G268," ")</f>
        <v> </v>
      </c>
    </row>
    <row r="269" customFormat="false" ht="12.75" hidden="false" customHeight="false" outlineLevel="0" collapsed="false">
      <c r="A269" s="355"/>
      <c r="E269" s="365" t="str">
        <f aca="false">IF((G269&lt;&gt;0),"Enter Letter"," ")</f>
        <v> </v>
      </c>
      <c r="J269" s="334" t="str">
        <f aca="false">IF((E269="s"),G269," ")</f>
        <v> </v>
      </c>
      <c r="K269" s="334" t="str">
        <f aca="false">IF((E269="d"),G269," ")</f>
        <v> </v>
      </c>
      <c r="L269" s="334" t="str">
        <f aca="false">IF((E269="e"),G269," ")</f>
        <v> </v>
      </c>
      <c r="M269" s="334" t="str">
        <f aca="false">IF((E269="p"),G269," ")</f>
        <v> </v>
      </c>
      <c r="N269" s="334" t="str">
        <f aca="false">IF((E269="r"),G269," ")</f>
        <v> </v>
      </c>
      <c r="O269" s="334" t="str">
        <f aca="false">IF((E269="g"),G269," ")</f>
        <v> </v>
      </c>
      <c r="P269" s="334" t="str">
        <f aca="false">IF((E269="m"),G269," ")</f>
        <v> </v>
      </c>
      <c r="Q269" s="334" t="str">
        <f aca="false">IF((E269="t"),G269," ")</f>
        <v> </v>
      </c>
      <c r="R269" s="334" t="str">
        <f aca="false">IF((E269="a"),G269," ")</f>
        <v> </v>
      </c>
      <c r="S269" s="334" t="str">
        <f aca="false">IF((E269="l"),G269," ")</f>
        <v> </v>
      </c>
      <c r="T269" s="334" t="str">
        <f aca="false">IF((E269="b"),G269," ")</f>
        <v> </v>
      </c>
      <c r="U269" s="334" t="str">
        <f aca="false">IF((E269="i"),G269," ")</f>
        <v> </v>
      </c>
      <c r="V269" s="334" t="str">
        <f aca="false">IF((E269="o"),G269," ")</f>
        <v> </v>
      </c>
      <c r="W269" s="334" t="str">
        <f aca="false">IF((E269="f"),G269," ")</f>
        <v> </v>
      </c>
    </row>
    <row r="270" customFormat="false" ht="12.75" hidden="false" customHeight="false" outlineLevel="0" collapsed="false">
      <c r="A270" s="355"/>
      <c r="E270" s="365" t="str">
        <f aca="false">IF((G270&lt;&gt;0),"Enter Letter"," ")</f>
        <v> </v>
      </c>
      <c r="J270" s="334" t="str">
        <f aca="false">IF((E270="s"),G270," ")</f>
        <v> </v>
      </c>
      <c r="K270" s="334" t="str">
        <f aca="false">IF((E270="d"),G270," ")</f>
        <v> </v>
      </c>
      <c r="L270" s="334" t="str">
        <f aca="false">IF((E270="e"),G270," ")</f>
        <v> </v>
      </c>
      <c r="M270" s="334" t="str">
        <f aca="false">IF((E270="p"),G270," ")</f>
        <v> </v>
      </c>
      <c r="N270" s="334" t="str">
        <f aca="false">IF((E270="r"),G270," ")</f>
        <v> </v>
      </c>
      <c r="O270" s="334" t="str">
        <f aca="false">IF((E270="g"),G270," ")</f>
        <v> </v>
      </c>
      <c r="P270" s="334" t="str">
        <f aca="false">IF((E270="m"),G270," ")</f>
        <v> </v>
      </c>
      <c r="Q270" s="334" t="str">
        <f aca="false">IF((E270="t"),G270," ")</f>
        <v> </v>
      </c>
      <c r="R270" s="334" t="str">
        <f aca="false">IF((E270="a"),G270," ")</f>
        <v> </v>
      </c>
      <c r="S270" s="334" t="str">
        <f aca="false">IF((E270="l"),G270," ")</f>
        <v> </v>
      </c>
      <c r="T270" s="334" t="str">
        <f aca="false">IF((E270="b"),G270," ")</f>
        <v> </v>
      </c>
      <c r="U270" s="334" t="str">
        <f aca="false">IF((E270="i"),G270," ")</f>
        <v> </v>
      </c>
      <c r="V270" s="334" t="str">
        <f aca="false">IF((E270="o"),G270," ")</f>
        <v> </v>
      </c>
      <c r="W270" s="334" t="str">
        <f aca="false">IF((E270="f"),G270," ")</f>
        <v> </v>
      </c>
    </row>
    <row r="271" customFormat="false" ht="12.75" hidden="false" customHeight="false" outlineLevel="0" collapsed="false">
      <c r="A271" s="355"/>
      <c r="E271" s="365" t="str">
        <f aca="false">IF((G271&lt;&gt;0),"Enter Letter"," ")</f>
        <v> </v>
      </c>
      <c r="J271" s="334" t="str">
        <f aca="false">IF((E271="s"),G271," ")</f>
        <v> </v>
      </c>
      <c r="K271" s="334" t="str">
        <f aca="false">IF((E271="d"),G271," ")</f>
        <v> </v>
      </c>
      <c r="L271" s="334" t="str">
        <f aca="false">IF((E271="e"),G271," ")</f>
        <v> </v>
      </c>
      <c r="M271" s="334" t="str">
        <f aca="false">IF((E271="p"),G271," ")</f>
        <v> </v>
      </c>
      <c r="N271" s="334" t="str">
        <f aca="false">IF((E271="r"),G271," ")</f>
        <v> </v>
      </c>
      <c r="O271" s="334" t="str">
        <f aca="false">IF((E271="g"),G271," ")</f>
        <v> </v>
      </c>
      <c r="P271" s="334" t="str">
        <f aca="false">IF((E271="m"),G271," ")</f>
        <v> </v>
      </c>
      <c r="Q271" s="334" t="str">
        <f aca="false">IF((E271="t"),G271," ")</f>
        <v> </v>
      </c>
      <c r="R271" s="334" t="str">
        <f aca="false">IF((E271="a"),G271," ")</f>
        <v> </v>
      </c>
      <c r="S271" s="334" t="str">
        <f aca="false">IF((E271="l"),G271," ")</f>
        <v> </v>
      </c>
      <c r="T271" s="334" t="str">
        <f aca="false">IF((E271="b"),G271," ")</f>
        <v> </v>
      </c>
      <c r="U271" s="334" t="str">
        <f aca="false">IF((E271="i"),G271," ")</f>
        <v> </v>
      </c>
      <c r="V271" s="334" t="str">
        <f aca="false">IF((E271="o"),G271," ")</f>
        <v> </v>
      </c>
      <c r="W271" s="334" t="str">
        <f aca="false">IF((E271="f"),G271," ")</f>
        <v> </v>
      </c>
    </row>
    <row r="272" customFormat="false" ht="12.75" hidden="false" customHeight="false" outlineLevel="0" collapsed="false">
      <c r="A272" s="355"/>
      <c r="E272" s="365" t="str">
        <f aca="false">IF((G272&lt;&gt;0),"Enter Letter"," ")</f>
        <v> </v>
      </c>
      <c r="J272" s="334" t="str">
        <f aca="false">IF((E272="s"),G272," ")</f>
        <v> </v>
      </c>
      <c r="K272" s="334" t="str">
        <f aca="false">IF((E272="d"),G272," ")</f>
        <v> </v>
      </c>
      <c r="L272" s="334" t="str">
        <f aca="false">IF((E272="e"),G272," ")</f>
        <v> </v>
      </c>
      <c r="M272" s="334" t="str">
        <f aca="false">IF((E272="p"),G272," ")</f>
        <v> </v>
      </c>
      <c r="N272" s="334" t="str">
        <f aca="false">IF((E272="r"),G272," ")</f>
        <v> </v>
      </c>
      <c r="O272" s="334" t="str">
        <f aca="false">IF((E272="g"),G272," ")</f>
        <v> </v>
      </c>
      <c r="P272" s="334" t="str">
        <f aca="false">IF((E272="m"),G272," ")</f>
        <v> </v>
      </c>
      <c r="Q272" s="334" t="str">
        <f aca="false">IF((E272="t"),G272," ")</f>
        <v> </v>
      </c>
      <c r="R272" s="334" t="str">
        <f aca="false">IF((E272="a"),G272," ")</f>
        <v> </v>
      </c>
      <c r="S272" s="334" t="str">
        <f aca="false">IF((E272="l"),G272," ")</f>
        <v> </v>
      </c>
      <c r="T272" s="334" t="str">
        <f aca="false">IF((E272="b"),G272," ")</f>
        <v> </v>
      </c>
      <c r="U272" s="334" t="str">
        <f aca="false">IF((E272="i"),G272," ")</f>
        <v> </v>
      </c>
      <c r="V272" s="334" t="str">
        <f aca="false">IF((E272="o"),G272," ")</f>
        <v> </v>
      </c>
      <c r="W272" s="334" t="str">
        <f aca="false">IF((E272="f"),G272," ")</f>
        <v> </v>
      </c>
    </row>
    <row r="273" customFormat="false" ht="12.75" hidden="false" customHeight="false" outlineLevel="0" collapsed="false">
      <c r="A273" s="355"/>
      <c r="E273" s="365" t="str">
        <f aca="false">IF((G273&lt;&gt;0),"Enter Letter"," ")</f>
        <v> </v>
      </c>
      <c r="J273" s="334" t="str">
        <f aca="false">IF((E273="s"),G273," ")</f>
        <v> </v>
      </c>
      <c r="K273" s="334" t="str">
        <f aca="false">IF((E273="d"),G273," ")</f>
        <v> </v>
      </c>
      <c r="L273" s="334" t="str">
        <f aca="false">IF((E273="e"),G273," ")</f>
        <v> </v>
      </c>
      <c r="M273" s="334" t="str">
        <f aca="false">IF((E273="p"),G273," ")</f>
        <v> </v>
      </c>
      <c r="N273" s="334" t="str">
        <f aca="false">IF((E273="r"),G273," ")</f>
        <v> </v>
      </c>
      <c r="O273" s="334" t="str">
        <f aca="false">IF((E273="g"),G273," ")</f>
        <v> </v>
      </c>
      <c r="P273" s="334" t="str">
        <f aca="false">IF((E273="m"),G273," ")</f>
        <v> </v>
      </c>
      <c r="Q273" s="334" t="str">
        <f aca="false">IF((E273="t"),G273," ")</f>
        <v> </v>
      </c>
      <c r="R273" s="334" t="str">
        <f aca="false">IF((E273="a"),G273," ")</f>
        <v> </v>
      </c>
      <c r="S273" s="334" t="str">
        <f aca="false">IF((E273="l"),G273," ")</f>
        <v> </v>
      </c>
      <c r="T273" s="334" t="str">
        <f aca="false">IF((E273="b"),G273," ")</f>
        <v> </v>
      </c>
      <c r="U273" s="334" t="str">
        <f aca="false">IF((E273="i"),G273," ")</f>
        <v> </v>
      </c>
      <c r="V273" s="334" t="str">
        <f aca="false">IF((E273="o"),G273," ")</f>
        <v> </v>
      </c>
      <c r="W273" s="334" t="str">
        <f aca="false">IF((E273="f"),G273," ")</f>
        <v> </v>
      </c>
    </row>
    <row r="274" customFormat="false" ht="12.75" hidden="false" customHeight="false" outlineLevel="0" collapsed="false">
      <c r="A274" s="355"/>
      <c r="E274" s="365" t="str">
        <f aca="false">IF((G274&lt;&gt;0),"Enter Letter"," ")</f>
        <v> </v>
      </c>
      <c r="J274" s="334" t="str">
        <f aca="false">IF((E274="s"),G274," ")</f>
        <v> </v>
      </c>
      <c r="K274" s="334" t="str">
        <f aca="false">IF((E274="d"),G274," ")</f>
        <v> </v>
      </c>
      <c r="L274" s="334" t="str">
        <f aca="false">IF((E274="e"),G274," ")</f>
        <v> </v>
      </c>
      <c r="M274" s="334" t="str">
        <f aca="false">IF((E274="p"),G274," ")</f>
        <v> </v>
      </c>
      <c r="N274" s="334" t="str">
        <f aca="false">IF((E274="r"),G274," ")</f>
        <v> </v>
      </c>
      <c r="O274" s="334" t="str">
        <f aca="false">IF((E274="g"),G274," ")</f>
        <v> </v>
      </c>
      <c r="P274" s="334" t="str">
        <f aca="false">IF((E274="m"),G274," ")</f>
        <v> </v>
      </c>
      <c r="Q274" s="334" t="str">
        <f aca="false">IF((E274="t"),G274," ")</f>
        <v> </v>
      </c>
      <c r="R274" s="334" t="str">
        <f aca="false">IF((E274="a"),G274," ")</f>
        <v> </v>
      </c>
      <c r="S274" s="334" t="str">
        <f aca="false">IF((E274="l"),G274," ")</f>
        <v> </v>
      </c>
      <c r="T274" s="334" t="str">
        <f aca="false">IF((E274="b"),G274," ")</f>
        <v> </v>
      </c>
      <c r="U274" s="334" t="str">
        <f aca="false">IF((E274="i"),G274," ")</f>
        <v> </v>
      </c>
      <c r="V274" s="334" t="str">
        <f aca="false">IF((E274="o"),G274," ")</f>
        <v> </v>
      </c>
      <c r="W274" s="334" t="str">
        <f aca="false">IF((E274="f"),G274," ")</f>
        <v> </v>
      </c>
    </row>
    <row r="275" customFormat="false" ht="12.75" hidden="false" customHeight="false" outlineLevel="0" collapsed="false">
      <c r="A275" s="355"/>
      <c r="E275" s="365" t="str">
        <f aca="false">IF((G275&lt;&gt;0),"Enter Letter"," ")</f>
        <v> </v>
      </c>
      <c r="J275" s="334" t="str">
        <f aca="false">IF((E275="s"),G275," ")</f>
        <v> </v>
      </c>
      <c r="K275" s="334" t="str">
        <f aca="false">IF((E275="d"),G275," ")</f>
        <v> </v>
      </c>
      <c r="L275" s="334" t="str">
        <f aca="false">IF((E275="e"),G275," ")</f>
        <v> </v>
      </c>
      <c r="M275" s="334" t="str">
        <f aca="false">IF((E275="p"),G275," ")</f>
        <v> </v>
      </c>
      <c r="N275" s="334" t="str">
        <f aca="false">IF((E275="r"),G275," ")</f>
        <v> </v>
      </c>
      <c r="O275" s="334" t="str">
        <f aca="false">IF((E275="g"),G275," ")</f>
        <v> </v>
      </c>
      <c r="P275" s="334" t="str">
        <f aca="false">IF((E275="m"),G275," ")</f>
        <v> </v>
      </c>
      <c r="Q275" s="334" t="str">
        <f aca="false">IF((E275="t"),G275," ")</f>
        <v> </v>
      </c>
      <c r="R275" s="334" t="str">
        <f aca="false">IF((E275="a"),G275," ")</f>
        <v> </v>
      </c>
      <c r="S275" s="334" t="str">
        <f aca="false">IF((E275="l"),G275," ")</f>
        <v> </v>
      </c>
      <c r="T275" s="334" t="str">
        <f aca="false">IF((E275="b"),G275," ")</f>
        <v> </v>
      </c>
      <c r="U275" s="334" t="str">
        <f aca="false">IF((E275="i"),G275," ")</f>
        <v> </v>
      </c>
      <c r="V275" s="334" t="str">
        <f aca="false">IF((E275="o"),G275," ")</f>
        <v> </v>
      </c>
      <c r="W275" s="334" t="str">
        <f aca="false">IF((E275="f"),G275," ")</f>
        <v> </v>
      </c>
    </row>
    <row r="276" customFormat="false" ht="12.75" hidden="false" customHeight="false" outlineLevel="0" collapsed="false">
      <c r="A276" s="355"/>
      <c r="E276" s="365" t="str">
        <f aca="false">IF((G276&lt;&gt;0),"Enter Letter"," ")</f>
        <v> </v>
      </c>
      <c r="J276" s="334" t="str">
        <f aca="false">IF((E276="s"),G276," ")</f>
        <v> </v>
      </c>
      <c r="K276" s="334" t="str">
        <f aca="false">IF((E276="d"),G276," ")</f>
        <v> </v>
      </c>
      <c r="L276" s="334" t="str">
        <f aca="false">IF((E276="e"),G276," ")</f>
        <v> </v>
      </c>
      <c r="M276" s="334" t="str">
        <f aca="false">IF((E276="p"),G276," ")</f>
        <v> </v>
      </c>
      <c r="N276" s="334" t="str">
        <f aca="false">IF((E276="r"),G276," ")</f>
        <v> </v>
      </c>
      <c r="O276" s="334" t="str">
        <f aca="false">IF((E276="g"),G276," ")</f>
        <v> </v>
      </c>
      <c r="P276" s="334" t="str">
        <f aca="false">IF((E276="m"),G276," ")</f>
        <v> </v>
      </c>
      <c r="Q276" s="334" t="str">
        <f aca="false">IF((E276="t"),G276," ")</f>
        <v> </v>
      </c>
      <c r="R276" s="334" t="str">
        <f aca="false">IF((E276="a"),G276," ")</f>
        <v> </v>
      </c>
      <c r="S276" s="334" t="str">
        <f aca="false">IF((E276="l"),G276," ")</f>
        <v> </v>
      </c>
      <c r="T276" s="334" t="str">
        <f aca="false">IF((E276="b"),G276," ")</f>
        <v> </v>
      </c>
      <c r="U276" s="334" t="str">
        <f aca="false">IF((E276="i"),G276," ")</f>
        <v> </v>
      </c>
      <c r="V276" s="334" t="str">
        <f aca="false">IF((E276="o"),G276," ")</f>
        <v> </v>
      </c>
      <c r="W276" s="334" t="str">
        <f aca="false">IF((E276="f"),G276," ")</f>
        <v> </v>
      </c>
    </row>
    <row r="277" customFormat="false" ht="12.75" hidden="false" customHeight="false" outlineLevel="0" collapsed="false">
      <c r="A277" s="355"/>
      <c r="E277" s="365" t="str">
        <f aca="false">IF((G277&lt;&gt;0),"Enter Letter"," ")</f>
        <v> </v>
      </c>
      <c r="J277" s="334" t="str">
        <f aca="false">IF((E277="s"),G277," ")</f>
        <v> </v>
      </c>
      <c r="K277" s="334" t="str">
        <f aca="false">IF((E277="d"),G277," ")</f>
        <v> </v>
      </c>
      <c r="L277" s="334" t="str">
        <f aca="false">IF((E277="e"),G277," ")</f>
        <v> </v>
      </c>
      <c r="M277" s="334" t="str">
        <f aca="false">IF((E277="p"),G277," ")</f>
        <v> </v>
      </c>
      <c r="N277" s="334" t="str">
        <f aca="false">IF((E277="r"),G277," ")</f>
        <v> </v>
      </c>
      <c r="O277" s="334" t="str">
        <f aca="false">IF((E277="g"),G277," ")</f>
        <v> </v>
      </c>
      <c r="P277" s="334" t="str">
        <f aca="false">IF((E277="m"),G277," ")</f>
        <v> </v>
      </c>
      <c r="Q277" s="334" t="str">
        <f aca="false">IF((E277="t"),G277," ")</f>
        <v> </v>
      </c>
      <c r="R277" s="334" t="str">
        <f aca="false">IF((E277="a"),G277," ")</f>
        <v> </v>
      </c>
      <c r="S277" s="334" t="str">
        <f aca="false">IF((E277="l"),G277," ")</f>
        <v> </v>
      </c>
      <c r="T277" s="334" t="str">
        <f aca="false">IF((E277="b"),G277," ")</f>
        <v> </v>
      </c>
      <c r="U277" s="334" t="str">
        <f aca="false">IF((E277="i"),G277," ")</f>
        <v> </v>
      </c>
      <c r="V277" s="334" t="str">
        <f aca="false">IF((E277="o"),G277," ")</f>
        <v> </v>
      </c>
      <c r="W277" s="334" t="str">
        <f aca="false">IF((E277="f"),G277," ")</f>
        <v> </v>
      </c>
    </row>
    <row r="278" customFormat="false" ht="12.75" hidden="false" customHeight="false" outlineLevel="0" collapsed="false">
      <c r="A278" s="355"/>
      <c r="E278" s="365" t="str">
        <f aca="false">IF((G278&lt;&gt;0),"Enter Letter"," ")</f>
        <v> </v>
      </c>
      <c r="J278" s="334" t="str">
        <f aca="false">IF((E278="s"),G278," ")</f>
        <v> </v>
      </c>
      <c r="K278" s="334" t="str">
        <f aca="false">IF((E278="d"),G278," ")</f>
        <v> </v>
      </c>
      <c r="L278" s="334" t="str">
        <f aca="false">IF((E278="e"),G278," ")</f>
        <v> </v>
      </c>
      <c r="M278" s="334" t="str">
        <f aca="false">IF((E278="p"),G278," ")</f>
        <v> </v>
      </c>
      <c r="N278" s="334" t="str">
        <f aca="false">IF((E278="r"),G278," ")</f>
        <v> </v>
      </c>
      <c r="O278" s="334" t="str">
        <f aca="false">IF((E278="g"),G278," ")</f>
        <v> </v>
      </c>
      <c r="P278" s="334" t="str">
        <f aca="false">IF((E278="m"),G278," ")</f>
        <v> </v>
      </c>
      <c r="Q278" s="334" t="str">
        <f aca="false">IF((E278="t"),G278," ")</f>
        <v> </v>
      </c>
      <c r="R278" s="334" t="str">
        <f aca="false">IF((E278="a"),G278," ")</f>
        <v> </v>
      </c>
      <c r="S278" s="334" t="str">
        <f aca="false">IF((E278="l"),G278," ")</f>
        <v> </v>
      </c>
      <c r="T278" s="334" t="str">
        <f aca="false">IF((E278="b"),G278," ")</f>
        <v> </v>
      </c>
      <c r="U278" s="334" t="str">
        <f aca="false">IF((E278="i"),G278," ")</f>
        <v> </v>
      </c>
      <c r="V278" s="334" t="str">
        <f aca="false">IF((E278="o"),G278," ")</f>
        <v> </v>
      </c>
      <c r="W278" s="334" t="str">
        <f aca="false">IF((E278="f"),G278," ")</f>
        <v> </v>
      </c>
    </row>
    <row r="279" customFormat="false" ht="12.75" hidden="false" customHeight="false" outlineLevel="0" collapsed="false">
      <c r="A279" s="355"/>
      <c r="E279" s="365" t="str">
        <f aca="false">IF((G279&lt;&gt;0),"Enter Letter"," ")</f>
        <v> </v>
      </c>
      <c r="J279" s="334" t="str">
        <f aca="false">IF((E279="s"),G279," ")</f>
        <v> </v>
      </c>
      <c r="K279" s="334" t="str">
        <f aca="false">IF((E279="d"),G279," ")</f>
        <v> </v>
      </c>
      <c r="L279" s="334" t="str">
        <f aca="false">IF((E279="e"),G279," ")</f>
        <v> </v>
      </c>
      <c r="M279" s="334" t="str">
        <f aca="false">IF((E279="p"),G279," ")</f>
        <v> </v>
      </c>
      <c r="N279" s="334" t="str">
        <f aca="false">IF((E279="r"),G279," ")</f>
        <v> </v>
      </c>
      <c r="O279" s="334" t="str">
        <f aca="false">IF((E279="g"),G279," ")</f>
        <v> </v>
      </c>
      <c r="P279" s="334" t="str">
        <f aca="false">IF((E279="m"),G279," ")</f>
        <v> </v>
      </c>
      <c r="Q279" s="334" t="str">
        <f aca="false">IF((E279="t"),G279," ")</f>
        <v> </v>
      </c>
      <c r="R279" s="334" t="str">
        <f aca="false">IF((E279="a"),G279," ")</f>
        <v> </v>
      </c>
      <c r="S279" s="334" t="str">
        <f aca="false">IF((E279="l"),G279," ")</f>
        <v> </v>
      </c>
      <c r="T279" s="334" t="str">
        <f aca="false">IF((E279="b"),G279," ")</f>
        <v> </v>
      </c>
      <c r="U279" s="334" t="str">
        <f aca="false">IF((E279="i"),G279," ")</f>
        <v> </v>
      </c>
      <c r="V279" s="334" t="str">
        <f aca="false">IF((E279="o"),G279," ")</f>
        <v> </v>
      </c>
      <c r="W279" s="334" t="str">
        <f aca="false">IF((E279="f"),G279," ")</f>
        <v> </v>
      </c>
    </row>
    <row r="280" customFormat="false" ht="12.75" hidden="false" customHeight="false" outlineLevel="0" collapsed="false">
      <c r="A280" s="355"/>
      <c r="E280" s="365" t="str">
        <f aca="false">IF((G280&lt;&gt;0),"Enter Letter"," ")</f>
        <v> </v>
      </c>
      <c r="J280" s="334" t="str">
        <f aca="false">IF((E280="s"),G280," ")</f>
        <v> </v>
      </c>
      <c r="K280" s="334" t="str">
        <f aca="false">IF((E280="d"),G280," ")</f>
        <v> </v>
      </c>
      <c r="L280" s="334" t="str">
        <f aca="false">IF((E280="e"),G280," ")</f>
        <v> </v>
      </c>
      <c r="M280" s="334" t="str">
        <f aca="false">IF((E280="p"),G280," ")</f>
        <v> </v>
      </c>
      <c r="N280" s="334" t="str">
        <f aca="false">IF((E280="r"),G280," ")</f>
        <v> </v>
      </c>
      <c r="O280" s="334" t="str">
        <f aca="false">IF((E280="g"),G280," ")</f>
        <v> </v>
      </c>
      <c r="P280" s="334" t="str">
        <f aca="false">IF((E280="m"),G280," ")</f>
        <v> </v>
      </c>
      <c r="Q280" s="334" t="str">
        <f aca="false">IF((E280="t"),G280," ")</f>
        <v> </v>
      </c>
      <c r="R280" s="334" t="str">
        <f aca="false">IF((E280="a"),G280," ")</f>
        <v> </v>
      </c>
      <c r="S280" s="334" t="str">
        <f aca="false">IF((E280="l"),G280," ")</f>
        <v> </v>
      </c>
      <c r="T280" s="334" t="str">
        <f aca="false">IF((E280="b"),G280," ")</f>
        <v> </v>
      </c>
      <c r="U280" s="334" t="str">
        <f aca="false">IF((E280="i"),G280," ")</f>
        <v> </v>
      </c>
      <c r="V280" s="334" t="str">
        <f aca="false">IF((E280="o"),G280," ")</f>
        <v> </v>
      </c>
      <c r="W280" s="334" t="str">
        <f aca="false">IF((E280="f"),G280," ")</f>
        <v> </v>
      </c>
    </row>
    <row r="281" customFormat="false" ht="12.75" hidden="false" customHeight="false" outlineLevel="0" collapsed="false">
      <c r="A281" s="355"/>
      <c r="E281" s="365" t="str">
        <f aca="false">IF((G281&lt;&gt;0),"Enter Letter"," ")</f>
        <v> </v>
      </c>
      <c r="J281" s="334" t="str">
        <f aca="false">IF((E281="s"),G281," ")</f>
        <v> </v>
      </c>
      <c r="K281" s="334" t="str">
        <f aca="false">IF((E281="d"),G281," ")</f>
        <v> </v>
      </c>
      <c r="L281" s="334" t="str">
        <f aca="false">IF((E281="e"),G281," ")</f>
        <v> </v>
      </c>
      <c r="M281" s="334" t="str">
        <f aca="false">IF((E281="p"),G281," ")</f>
        <v> </v>
      </c>
      <c r="N281" s="334" t="str">
        <f aca="false">IF((E281="r"),G281," ")</f>
        <v> </v>
      </c>
      <c r="O281" s="334" t="str">
        <f aca="false">IF((E281="g"),G281," ")</f>
        <v> </v>
      </c>
      <c r="P281" s="334" t="str">
        <f aca="false">IF((E281="m"),G281," ")</f>
        <v> </v>
      </c>
      <c r="Q281" s="334" t="str">
        <f aca="false">IF((E281="t"),G281," ")</f>
        <v> </v>
      </c>
      <c r="R281" s="334" t="str">
        <f aca="false">IF((E281="a"),G281," ")</f>
        <v> </v>
      </c>
      <c r="S281" s="334" t="str">
        <f aca="false">IF((E281="l"),G281," ")</f>
        <v> </v>
      </c>
      <c r="T281" s="334" t="str">
        <f aca="false">IF((E281="b"),G281," ")</f>
        <v> </v>
      </c>
      <c r="U281" s="334" t="str">
        <f aca="false">IF((E281="i"),G281," ")</f>
        <v> </v>
      </c>
      <c r="V281" s="334" t="str">
        <f aca="false">IF((E281="o"),G281," ")</f>
        <v> </v>
      </c>
      <c r="W281" s="334" t="str">
        <f aca="false">IF((E281="f"),G281," ")</f>
        <v> </v>
      </c>
    </row>
    <row r="282" customFormat="false" ht="12.75" hidden="false" customHeight="false" outlineLevel="0" collapsed="false">
      <c r="A282" s="355"/>
      <c r="E282" s="365" t="str">
        <f aca="false">IF((G282&lt;&gt;0),"Enter Letter"," ")</f>
        <v> </v>
      </c>
      <c r="J282" s="334" t="str">
        <f aca="false">IF((E282="s"),G282," ")</f>
        <v> </v>
      </c>
      <c r="K282" s="334" t="str">
        <f aca="false">IF((E282="d"),G282," ")</f>
        <v> </v>
      </c>
      <c r="L282" s="334" t="str">
        <f aca="false">IF((E282="e"),G282," ")</f>
        <v> </v>
      </c>
      <c r="M282" s="334" t="str">
        <f aca="false">IF((E282="p"),G282," ")</f>
        <v> </v>
      </c>
      <c r="N282" s="334" t="str">
        <f aca="false">IF((E282="r"),G282," ")</f>
        <v> </v>
      </c>
      <c r="O282" s="334" t="str">
        <f aca="false">IF((E282="g"),G282," ")</f>
        <v> </v>
      </c>
      <c r="P282" s="334" t="str">
        <f aca="false">IF((E282="m"),G282," ")</f>
        <v> </v>
      </c>
      <c r="Q282" s="334" t="str">
        <f aca="false">IF((E282="t"),G282," ")</f>
        <v> </v>
      </c>
      <c r="R282" s="334" t="str">
        <f aca="false">IF((E282="a"),G282," ")</f>
        <v> </v>
      </c>
      <c r="S282" s="334" t="str">
        <f aca="false">IF((E282="l"),G282," ")</f>
        <v> </v>
      </c>
      <c r="T282" s="334" t="str">
        <f aca="false">IF((E282="b"),G282," ")</f>
        <v> </v>
      </c>
      <c r="U282" s="334" t="str">
        <f aca="false">IF((E282="i"),G282," ")</f>
        <v> </v>
      </c>
      <c r="V282" s="334" t="str">
        <f aca="false">IF((E282="o"),G282," ")</f>
        <v> </v>
      </c>
      <c r="W282" s="334" t="str">
        <f aca="false">IF((E282="f"),G282," ")</f>
        <v> </v>
      </c>
    </row>
    <row r="283" customFormat="false" ht="12.75" hidden="false" customHeight="false" outlineLevel="0" collapsed="false">
      <c r="A283" s="355"/>
      <c r="E283" s="365" t="str">
        <f aca="false">IF((G283&lt;&gt;0),"Enter Letter"," ")</f>
        <v> </v>
      </c>
      <c r="J283" s="334" t="str">
        <f aca="false">IF((E283="s"),G283," ")</f>
        <v> </v>
      </c>
      <c r="K283" s="334" t="str">
        <f aca="false">IF((E283="d"),G283," ")</f>
        <v> </v>
      </c>
      <c r="L283" s="334" t="str">
        <f aca="false">IF((E283="e"),G283," ")</f>
        <v> </v>
      </c>
      <c r="M283" s="334" t="str">
        <f aca="false">IF((E283="p"),G283," ")</f>
        <v> </v>
      </c>
      <c r="N283" s="334" t="str">
        <f aca="false">IF((E283="r"),G283," ")</f>
        <v> </v>
      </c>
      <c r="O283" s="334" t="str">
        <f aca="false">IF((E283="g"),G283," ")</f>
        <v> </v>
      </c>
      <c r="P283" s="334" t="str">
        <f aca="false">IF((E283="m"),G283," ")</f>
        <v> </v>
      </c>
      <c r="Q283" s="334" t="str">
        <f aca="false">IF((E283="t"),G283," ")</f>
        <v> </v>
      </c>
      <c r="R283" s="334" t="str">
        <f aca="false">IF((E283="a"),G283," ")</f>
        <v> </v>
      </c>
      <c r="S283" s="334" t="str">
        <f aca="false">IF((E283="l"),G283," ")</f>
        <v> </v>
      </c>
      <c r="T283" s="334" t="str">
        <f aca="false">IF((E283="b"),G283," ")</f>
        <v> </v>
      </c>
      <c r="U283" s="334" t="str">
        <f aca="false">IF((E283="i"),G283," ")</f>
        <v> </v>
      </c>
      <c r="V283" s="334" t="str">
        <f aca="false">IF((E283="o"),G283," ")</f>
        <v> </v>
      </c>
      <c r="W283" s="334" t="str">
        <f aca="false">IF((E283="f"),G283," ")</f>
        <v> </v>
      </c>
    </row>
    <row r="284" customFormat="false" ht="12.75" hidden="false" customHeight="false" outlineLevel="0" collapsed="false">
      <c r="A284" s="355"/>
      <c r="E284" s="365" t="str">
        <f aca="false">IF((G284&lt;&gt;0),"Enter Letter"," ")</f>
        <v> </v>
      </c>
      <c r="J284" s="334" t="str">
        <f aca="false">IF((E284="s"),G284," ")</f>
        <v> </v>
      </c>
      <c r="K284" s="334" t="str">
        <f aca="false">IF((E284="d"),G284," ")</f>
        <v> </v>
      </c>
      <c r="L284" s="334" t="str">
        <f aca="false">IF((E284="e"),G284," ")</f>
        <v> </v>
      </c>
      <c r="M284" s="334" t="str">
        <f aca="false">IF((E284="p"),G284," ")</f>
        <v> </v>
      </c>
      <c r="N284" s="334" t="str">
        <f aca="false">IF((E284="r"),G284," ")</f>
        <v> </v>
      </c>
      <c r="O284" s="334" t="str">
        <f aca="false">IF((E284="g"),G284," ")</f>
        <v> </v>
      </c>
      <c r="P284" s="334" t="str">
        <f aca="false">IF((E284="m"),G284," ")</f>
        <v> </v>
      </c>
      <c r="Q284" s="334" t="str">
        <f aca="false">IF((E284="t"),G284," ")</f>
        <v> </v>
      </c>
      <c r="R284" s="334" t="str">
        <f aca="false">IF((E284="a"),G284," ")</f>
        <v> </v>
      </c>
      <c r="S284" s="334" t="str">
        <f aca="false">IF((E284="l"),G284," ")</f>
        <v> </v>
      </c>
      <c r="T284" s="334" t="str">
        <f aca="false">IF((E284="b"),G284," ")</f>
        <v> </v>
      </c>
      <c r="U284" s="334" t="str">
        <f aca="false">IF((E284="i"),G284," ")</f>
        <v> </v>
      </c>
      <c r="V284" s="334" t="str">
        <f aca="false">IF((E284="o"),G284," ")</f>
        <v> </v>
      </c>
      <c r="W284" s="334" t="str">
        <f aca="false">IF((E284="f"),G284," ")</f>
        <v> </v>
      </c>
    </row>
    <row r="285" customFormat="false" ht="12.75" hidden="false" customHeight="false" outlineLevel="0" collapsed="false">
      <c r="A285" s="355"/>
      <c r="E285" s="365" t="str">
        <f aca="false">IF((G285&lt;&gt;0),"Enter Letter"," ")</f>
        <v> </v>
      </c>
      <c r="J285" s="334" t="str">
        <f aca="false">IF((E285="s"),G285," ")</f>
        <v> </v>
      </c>
      <c r="K285" s="334" t="str">
        <f aca="false">IF((E285="d"),G285," ")</f>
        <v> </v>
      </c>
      <c r="L285" s="334" t="str">
        <f aca="false">IF((E285="e"),G285," ")</f>
        <v> </v>
      </c>
      <c r="M285" s="334" t="str">
        <f aca="false">IF((E285="p"),G285," ")</f>
        <v> </v>
      </c>
      <c r="N285" s="334" t="str">
        <f aca="false">IF((E285="r"),G285," ")</f>
        <v> </v>
      </c>
      <c r="O285" s="334" t="str">
        <f aca="false">IF((E285="g"),G285," ")</f>
        <v> </v>
      </c>
      <c r="P285" s="334" t="str">
        <f aca="false">IF((E285="m"),G285," ")</f>
        <v> </v>
      </c>
      <c r="Q285" s="334" t="str">
        <f aca="false">IF((E285="t"),G285," ")</f>
        <v> </v>
      </c>
      <c r="R285" s="334" t="str">
        <f aca="false">IF((E285="a"),G285," ")</f>
        <v> </v>
      </c>
      <c r="S285" s="334" t="str">
        <f aca="false">IF((E285="l"),G285," ")</f>
        <v> </v>
      </c>
      <c r="T285" s="334" t="str">
        <f aca="false">IF((E285="b"),G285," ")</f>
        <v> </v>
      </c>
      <c r="U285" s="334" t="str">
        <f aca="false">IF((E285="i"),G285," ")</f>
        <v> </v>
      </c>
      <c r="V285" s="334" t="str">
        <f aca="false">IF((E285="o"),G285," ")</f>
        <v> </v>
      </c>
      <c r="W285" s="334" t="str">
        <f aca="false">IF((E285="f"),G285," ")</f>
        <v> </v>
      </c>
    </row>
    <row r="286" customFormat="false" ht="12.75" hidden="false" customHeight="false" outlineLevel="0" collapsed="false">
      <c r="A286" s="355"/>
      <c r="E286" s="365" t="str">
        <f aca="false">IF((G286&lt;&gt;0),"Enter Letter"," ")</f>
        <v> </v>
      </c>
      <c r="J286" s="334" t="str">
        <f aca="false">IF((E286="s"),G286," ")</f>
        <v> </v>
      </c>
      <c r="K286" s="334" t="str">
        <f aca="false">IF((E286="d"),G286," ")</f>
        <v> </v>
      </c>
      <c r="L286" s="334" t="str">
        <f aca="false">IF((E286="e"),G286," ")</f>
        <v> </v>
      </c>
      <c r="M286" s="334" t="str">
        <f aca="false">IF((E286="p"),G286," ")</f>
        <v> </v>
      </c>
      <c r="N286" s="334" t="str">
        <f aca="false">IF((E286="r"),G286," ")</f>
        <v> </v>
      </c>
      <c r="O286" s="334" t="str">
        <f aca="false">IF((E286="g"),G286," ")</f>
        <v> </v>
      </c>
      <c r="P286" s="334" t="str">
        <f aca="false">IF((E286="m"),G286," ")</f>
        <v> </v>
      </c>
      <c r="Q286" s="334" t="str">
        <f aca="false">IF((E286="t"),G286," ")</f>
        <v> </v>
      </c>
      <c r="R286" s="334" t="str">
        <f aca="false">IF((E286="a"),G286," ")</f>
        <v> </v>
      </c>
      <c r="S286" s="334" t="str">
        <f aca="false">IF((E286="l"),G286," ")</f>
        <v> </v>
      </c>
      <c r="T286" s="334" t="str">
        <f aca="false">IF((E286="b"),G286," ")</f>
        <v> </v>
      </c>
      <c r="U286" s="334" t="str">
        <f aca="false">IF((E286="i"),G286," ")</f>
        <v> </v>
      </c>
      <c r="V286" s="334" t="str">
        <f aca="false">IF((E286="o"),G286," ")</f>
        <v> </v>
      </c>
      <c r="W286" s="334" t="str">
        <f aca="false">IF((E286="f"),G286," ")</f>
        <v> </v>
      </c>
    </row>
    <row r="287" customFormat="false" ht="12.75" hidden="false" customHeight="false" outlineLevel="0" collapsed="false">
      <c r="A287" s="355"/>
      <c r="E287" s="365" t="str">
        <f aca="false">IF((G287&lt;&gt;0),"Enter Letter"," ")</f>
        <v> </v>
      </c>
      <c r="J287" s="334" t="str">
        <f aca="false">IF((E287="s"),G287," ")</f>
        <v> </v>
      </c>
      <c r="K287" s="334" t="str">
        <f aca="false">IF((E287="d"),G287," ")</f>
        <v> </v>
      </c>
      <c r="L287" s="334" t="str">
        <f aca="false">IF((E287="e"),G287," ")</f>
        <v> </v>
      </c>
      <c r="M287" s="334" t="str">
        <f aca="false">IF((E287="p"),G287," ")</f>
        <v> </v>
      </c>
      <c r="N287" s="334" t="str">
        <f aca="false">IF((E287="r"),G287," ")</f>
        <v> </v>
      </c>
      <c r="O287" s="334" t="str">
        <f aca="false">IF((E287="g"),G287," ")</f>
        <v> </v>
      </c>
      <c r="P287" s="334" t="str">
        <f aca="false">IF((E287="m"),G287," ")</f>
        <v> </v>
      </c>
      <c r="Q287" s="334" t="str">
        <f aca="false">IF((E287="t"),G287," ")</f>
        <v> </v>
      </c>
      <c r="R287" s="334" t="str">
        <f aca="false">IF((E287="a"),G287," ")</f>
        <v> </v>
      </c>
      <c r="S287" s="334" t="str">
        <f aca="false">IF((E287="l"),G287," ")</f>
        <v> </v>
      </c>
      <c r="T287" s="334" t="str">
        <f aca="false">IF((E287="b"),G287," ")</f>
        <v> </v>
      </c>
      <c r="U287" s="334" t="str">
        <f aca="false">IF((E287="i"),G287," ")</f>
        <v> </v>
      </c>
      <c r="V287" s="334" t="str">
        <f aca="false">IF((E287="o"),G287," ")</f>
        <v> </v>
      </c>
      <c r="W287" s="334" t="str">
        <f aca="false">IF((E287="f"),G287," ")</f>
        <v> </v>
      </c>
    </row>
    <row r="288" customFormat="false" ht="12.75" hidden="false" customHeight="false" outlineLevel="0" collapsed="false">
      <c r="A288" s="355"/>
      <c r="E288" s="365" t="str">
        <f aca="false">IF((G288&lt;&gt;0),"Enter Letter"," ")</f>
        <v> </v>
      </c>
      <c r="J288" s="334" t="str">
        <f aca="false">IF((E288="s"),G288," ")</f>
        <v> </v>
      </c>
      <c r="K288" s="334" t="str">
        <f aca="false">IF((E288="d"),G288," ")</f>
        <v> </v>
      </c>
      <c r="L288" s="334" t="str">
        <f aca="false">IF((E288="e"),G288," ")</f>
        <v> </v>
      </c>
      <c r="M288" s="334" t="str">
        <f aca="false">IF((E288="p"),G288," ")</f>
        <v> </v>
      </c>
      <c r="N288" s="334" t="str">
        <f aca="false">IF((E288="r"),G288," ")</f>
        <v> </v>
      </c>
      <c r="O288" s="334" t="str">
        <f aca="false">IF((E288="g"),G288," ")</f>
        <v> </v>
      </c>
      <c r="P288" s="334" t="str">
        <f aca="false">IF((E288="m"),G288," ")</f>
        <v> </v>
      </c>
      <c r="Q288" s="334" t="str">
        <f aca="false">IF((E288="t"),G288," ")</f>
        <v> </v>
      </c>
      <c r="R288" s="334" t="str">
        <f aca="false">IF((E288="a"),G288," ")</f>
        <v> </v>
      </c>
      <c r="S288" s="334" t="str">
        <f aca="false">IF((E288="l"),G288," ")</f>
        <v> </v>
      </c>
      <c r="T288" s="334" t="str">
        <f aca="false">IF((E288="b"),G288," ")</f>
        <v> </v>
      </c>
      <c r="U288" s="334" t="str">
        <f aca="false">IF((E288="i"),G288," ")</f>
        <v> </v>
      </c>
      <c r="V288" s="334" t="str">
        <f aca="false">IF((E288="o"),G288," ")</f>
        <v> </v>
      </c>
      <c r="W288" s="334" t="str">
        <f aca="false">IF((E288="f"),G288," ")</f>
        <v> </v>
      </c>
    </row>
    <row r="289" customFormat="false" ht="12.75" hidden="false" customHeight="false" outlineLevel="0" collapsed="false">
      <c r="A289" s="355"/>
      <c r="E289" s="365" t="str">
        <f aca="false">IF((G289&lt;&gt;0),"Enter Letter"," ")</f>
        <v> </v>
      </c>
      <c r="J289" s="334" t="str">
        <f aca="false">IF((E289="s"),G289," ")</f>
        <v> </v>
      </c>
      <c r="K289" s="334" t="str">
        <f aca="false">IF((E289="d"),G289," ")</f>
        <v> </v>
      </c>
      <c r="L289" s="334" t="str">
        <f aca="false">IF((E289="e"),G289," ")</f>
        <v> </v>
      </c>
      <c r="M289" s="334" t="str">
        <f aca="false">IF((E289="p"),G289," ")</f>
        <v> </v>
      </c>
      <c r="N289" s="334" t="str">
        <f aca="false">IF((E289="r"),G289," ")</f>
        <v> </v>
      </c>
      <c r="O289" s="334" t="str">
        <f aca="false">IF((E289="g"),G289," ")</f>
        <v> </v>
      </c>
      <c r="P289" s="334" t="str">
        <f aca="false">IF((E289="m"),G289," ")</f>
        <v> </v>
      </c>
      <c r="Q289" s="334" t="str">
        <f aca="false">IF((E289="t"),G289," ")</f>
        <v> </v>
      </c>
      <c r="R289" s="334" t="str">
        <f aca="false">IF((E289="a"),G289," ")</f>
        <v> </v>
      </c>
      <c r="S289" s="334" t="str">
        <f aca="false">IF((E289="l"),G289," ")</f>
        <v> </v>
      </c>
      <c r="T289" s="334" t="str">
        <f aca="false">IF((E289="b"),G289," ")</f>
        <v> </v>
      </c>
      <c r="U289" s="334" t="str">
        <f aca="false">IF((E289="i"),G289," ")</f>
        <v> </v>
      </c>
      <c r="V289" s="334" t="str">
        <f aca="false">IF((E289="o"),G289," ")</f>
        <v> </v>
      </c>
      <c r="W289" s="334" t="str">
        <f aca="false">IF((E289="f"),G289," ")</f>
        <v> </v>
      </c>
    </row>
    <row r="290" customFormat="false" ht="12.75" hidden="false" customHeight="false" outlineLevel="0" collapsed="false">
      <c r="A290" s="355"/>
      <c r="E290" s="365" t="str">
        <f aca="false">IF((G290&lt;&gt;0),"Enter Letter"," ")</f>
        <v> </v>
      </c>
      <c r="J290" s="334" t="str">
        <f aca="false">IF((E290="s"),G290," ")</f>
        <v> </v>
      </c>
      <c r="K290" s="334" t="str">
        <f aca="false">IF((E290="d"),G290," ")</f>
        <v> </v>
      </c>
      <c r="L290" s="334" t="str">
        <f aca="false">IF((E290="e"),G290," ")</f>
        <v> </v>
      </c>
      <c r="M290" s="334" t="str">
        <f aca="false">IF((E290="p"),G290," ")</f>
        <v> </v>
      </c>
      <c r="N290" s="334" t="str">
        <f aca="false">IF((E290="r"),G290," ")</f>
        <v> </v>
      </c>
      <c r="O290" s="334" t="str">
        <f aca="false">IF((E290="g"),G290," ")</f>
        <v> </v>
      </c>
      <c r="P290" s="334" t="str">
        <f aca="false">IF((E290="m"),G290," ")</f>
        <v> </v>
      </c>
      <c r="Q290" s="334" t="str">
        <f aca="false">IF((E290="t"),G290," ")</f>
        <v> </v>
      </c>
      <c r="R290" s="334" t="str">
        <f aca="false">IF((E290="a"),G290," ")</f>
        <v> </v>
      </c>
      <c r="S290" s="334" t="str">
        <f aca="false">IF((E290="l"),G290," ")</f>
        <v> </v>
      </c>
      <c r="T290" s="334" t="str">
        <f aca="false">IF((E290="b"),G290," ")</f>
        <v> </v>
      </c>
      <c r="U290" s="334" t="str">
        <f aca="false">IF((E290="i"),G290," ")</f>
        <v> </v>
      </c>
      <c r="V290" s="334" t="str">
        <f aca="false">IF((E290="o"),G290," ")</f>
        <v> </v>
      </c>
      <c r="W290" s="334" t="str">
        <f aca="false">IF((E290="f"),G290," ")</f>
        <v> </v>
      </c>
    </row>
    <row r="291" customFormat="false" ht="12.75" hidden="false" customHeight="false" outlineLevel="0" collapsed="false">
      <c r="A291" s="355"/>
      <c r="E291" s="365" t="str">
        <f aca="false">IF((G291&lt;&gt;0),"Enter Letter"," ")</f>
        <v> </v>
      </c>
      <c r="J291" s="334" t="str">
        <f aca="false">IF((E291="s"),G291," ")</f>
        <v> </v>
      </c>
      <c r="K291" s="334" t="str">
        <f aca="false">IF((E291="d"),G291," ")</f>
        <v> </v>
      </c>
      <c r="L291" s="334" t="str">
        <f aca="false">IF((E291="e"),G291," ")</f>
        <v> </v>
      </c>
      <c r="M291" s="334" t="str">
        <f aca="false">IF((E291="p"),G291," ")</f>
        <v> </v>
      </c>
      <c r="N291" s="334" t="str">
        <f aca="false">IF((E291="r"),G291," ")</f>
        <v> </v>
      </c>
      <c r="O291" s="334" t="str">
        <f aca="false">IF((E291="g"),G291," ")</f>
        <v> </v>
      </c>
      <c r="P291" s="334" t="str">
        <f aca="false">IF((E291="m"),G291," ")</f>
        <v> </v>
      </c>
      <c r="Q291" s="334" t="str">
        <f aca="false">IF((E291="t"),G291," ")</f>
        <v> </v>
      </c>
      <c r="R291" s="334" t="str">
        <f aca="false">IF((E291="a"),G291," ")</f>
        <v> </v>
      </c>
      <c r="S291" s="334" t="str">
        <f aca="false">IF((E291="l"),G291," ")</f>
        <v> </v>
      </c>
      <c r="T291" s="334" t="str">
        <f aca="false">IF((E291="b"),G291," ")</f>
        <v> </v>
      </c>
      <c r="U291" s="334" t="str">
        <f aca="false">IF((E291="i"),G291," ")</f>
        <v> </v>
      </c>
      <c r="V291" s="334" t="str">
        <f aca="false">IF((E291="o"),G291," ")</f>
        <v> </v>
      </c>
      <c r="W291" s="334" t="str">
        <f aca="false">IF((E291="f"),G291," ")</f>
        <v> </v>
      </c>
    </row>
    <row r="292" customFormat="false" ht="12.75" hidden="false" customHeight="false" outlineLevel="0" collapsed="false">
      <c r="A292" s="355"/>
      <c r="E292" s="365" t="str">
        <f aca="false">IF((G292&lt;&gt;0),"Enter Letter"," ")</f>
        <v> </v>
      </c>
      <c r="J292" s="334" t="str">
        <f aca="false">IF((E292="s"),G292," ")</f>
        <v> </v>
      </c>
      <c r="K292" s="334" t="str">
        <f aca="false">IF((E292="d"),G292," ")</f>
        <v> </v>
      </c>
      <c r="L292" s="334" t="str">
        <f aca="false">IF((E292="e"),G292," ")</f>
        <v> </v>
      </c>
      <c r="M292" s="334" t="str">
        <f aca="false">IF((E292="p"),G292," ")</f>
        <v> </v>
      </c>
      <c r="N292" s="334" t="str">
        <f aca="false">IF((E292="r"),G292," ")</f>
        <v> </v>
      </c>
      <c r="O292" s="334" t="str">
        <f aca="false">IF((E292="g"),G292," ")</f>
        <v> </v>
      </c>
      <c r="P292" s="334" t="str">
        <f aca="false">IF((E292="m"),G292," ")</f>
        <v> </v>
      </c>
      <c r="Q292" s="334" t="str">
        <f aca="false">IF((E292="t"),G292," ")</f>
        <v> </v>
      </c>
      <c r="R292" s="334" t="str">
        <f aca="false">IF((E292="a"),G292," ")</f>
        <v> </v>
      </c>
      <c r="S292" s="334" t="str">
        <f aca="false">IF((E292="l"),G292," ")</f>
        <v> </v>
      </c>
      <c r="T292" s="334" t="str">
        <f aca="false">IF((E292="b"),G292," ")</f>
        <v> </v>
      </c>
      <c r="U292" s="334" t="str">
        <f aca="false">IF((E292="i"),G292," ")</f>
        <v> </v>
      </c>
      <c r="V292" s="334" t="str">
        <f aca="false">IF((E292="o"),G292," ")</f>
        <v> </v>
      </c>
      <c r="W292" s="334" t="str">
        <f aca="false">IF((E292="f"),G292," ")</f>
        <v> </v>
      </c>
    </row>
    <row r="293" customFormat="false" ht="12.75" hidden="false" customHeight="false" outlineLevel="0" collapsed="false">
      <c r="A293" s="355"/>
      <c r="E293" s="365" t="str">
        <f aca="false">IF((G293&lt;&gt;0),"Enter Letter"," ")</f>
        <v> </v>
      </c>
      <c r="J293" s="334" t="str">
        <f aca="false">IF((E293="s"),G293," ")</f>
        <v> </v>
      </c>
      <c r="K293" s="334" t="str">
        <f aca="false">IF((E293="d"),G293," ")</f>
        <v> </v>
      </c>
      <c r="L293" s="334" t="str">
        <f aca="false">IF((E293="e"),G293," ")</f>
        <v> </v>
      </c>
      <c r="M293" s="334" t="str">
        <f aca="false">IF((E293="p"),G293," ")</f>
        <v> </v>
      </c>
      <c r="N293" s="334" t="str">
        <f aca="false">IF((E293="r"),G293," ")</f>
        <v> </v>
      </c>
      <c r="O293" s="334" t="str">
        <f aca="false">IF((E293="g"),G293," ")</f>
        <v> </v>
      </c>
      <c r="P293" s="334" t="str">
        <f aca="false">IF((E293="m"),G293," ")</f>
        <v> </v>
      </c>
      <c r="Q293" s="334" t="str">
        <f aca="false">IF((E293="t"),G293," ")</f>
        <v> </v>
      </c>
      <c r="R293" s="334" t="str">
        <f aca="false">IF((E293="a"),G293," ")</f>
        <v> </v>
      </c>
      <c r="S293" s="334" t="str">
        <f aca="false">IF((E293="l"),G293," ")</f>
        <v> </v>
      </c>
      <c r="T293" s="334" t="str">
        <f aca="false">IF((E293="b"),G293," ")</f>
        <v> </v>
      </c>
      <c r="U293" s="334" t="str">
        <f aca="false">IF((E293="i"),G293," ")</f>
        <v> </v>
      </c>
      <c r="V293" s="334" t="str">
        <f aca="false">IF((E293="o"),G293," ")</f>
        <v> </v>
      </c>
      <c r="W293" s="334" t="str">
        <f aca="false">IF((E293="f"),G293," ")</f>
        <v> </v>
      </c>
    </row>
    <row r="294" customFormat="false" ht="12.75" hidden="false" customHeight="false" outlineLevel="0" collapsed="false">
      <c r="A294" s="355"/>
      <c r="E294" s="365" t="str">
        <f aca="false">IF((G294&lt;&gt;0),"Enter Letter"," ")</f>
        <v> </v>
      </c>
      <c r="J294" s="334" t="str">
        <f aca="false">IF((E294="s"),G294," ")</f>
        <v> </v>
      </c>
      <c r="K294" s="334" t="str">
        <f aca="false">IF((E294="d"),G294," ")</f>
        <v> </v>
      </c>
      <c r="L294" s="334" t="str">
        <f aca="false">IF((E294="e"),G294," ")</f>
        <v> </v>
      </c>
      <c r="M294" s="334" t="str">
        <f aca="false">IF((E294="p"),G294," ")</f>
        <v> </v>
      </c>
      <c r="N294" s="334" t="str">
        <f aca="false">IF((E294="r"),G294," ")</f>
        <v> </v>
      </c>
      <c r="O294" s="334" t="str">
        <f aca="false">IF((E294="g"),G294," ")</f>
        <v> </v>
      </c>
      <c r="P294" s="334" t="str">
        <f aca="false">IF((E294="m"),G294," ")</f>
        <v> </v>
      </c>
      <c r="Q294" s="334" t="str">
        <f aca="false">IF((E294="t"),G294," ")</f>
        <v> </v>
      </c>
      <c r="R294" s="334" t="str">
        <f aca="false">IF((E294="a"),G294," ")</f>
        <v> </v>
      </c>
      <c r="S294" s="334" t="str">
        <f aca="false">IF((E294="l"),G294," ")</f>
        <v> </v>
      </c>
      <c r="T294" s="334" t="str">
        <f aca="false">IF((E294="b"),G294," ")</f>
        <v> </v>
      </c>
      <c r="U294" s="334" t="str">
        <f aca="false">IF((E294="i"),G294," ")</f>
        <v> </v>
      </c>
      <c r="V294" s="334" t="str">
        <f aca="false">IF((E294="o"),G294," ")</f>
        <v> </v>
      </c>
      <c r="W294" s="334" t="str">
        <f aca="false">IF((E294="f"),G294," ")</f>
        <v> </v>
      </c>
    </row>
    <row r="295" customFormat="false" ht="12.75" hidden="false" customHeight="false" outlineLevel="0" collapsed="false">
      <c r="A295" s="355"/>
      <c r="E295" s="365" t="str">
        <f aca="false">IF((G295&lt;&gt;0),"Enter Letter"," ")</f>
        <v> </v>
      </c>
      <c r="J295" s="334" t="str">
        <f aca="false">IF((E295="s"),G295," ")</f>
        <v> </v>
      </c>
      <c r="K295" s="334" t="str">
        <f aca="false">IF((E295="d"),G295," ")</f>
        <v> </v>
      </c>
      <c r="L295" s="334" t="str">
        <f aca="false">IF((E295="e"),G295," ")</f>
        <v> </v>
      </c>
      <c r="M295" s="334" t="str">
        <f aca="false">IF((E295="p"),G295," ")</f>
        <v> </v>
      </c>
      <c r="N295" s="334" t="str">
        <f aca="false">IF((E295="r"),G295," ")</f>
        <v> </v>
      </c>
      <c r="O295" s="334" t="str">
        <f aca="false">IF((E295="g"),G295," ")</f>
        <v> </v>
      </c>
      <c r="P295" s="334" t="str">
        <f aca="false">IF((E295="m"),G295," ")</f>
        <v> </v>
      </c>
      <c r="Q295" s="334" t="str">
        <f aca="false">IF((E295="t"),G295," ")</f>
        <v> </v>
      </c>
      <c r="R295" s="334" t="str">
        <f aca="false">IF((E295="a"),G295," ")</f>
        <v> </v>
      </c>
      <c r="S295" s="334" t="str">
        <f aca="false">IF((E295="l"),G295," ")</f>
        <v> </v>
      </c>
      <c r="T295" s="334" t="str">
        <f aca="false">IF((E295="b"),G295," ")</f>
        <v> </v>
      </c>
      <c r="U295" s="334" t="str">
        <f aca="false">IF((E295="i"),G295," ")</f>
        <v> </v>
      </c>
      <c r="V295" s="334" t="str">
        <f aca="false">IF((E295="o"),G295," ")</f>
        <v> </v>
      </c>
      <c r="W295" s="334" t="str">
        <f aca="false">IF((E295="f"),G295," ")</f>
        <v> </v>
      </c>
    </row>
    <row r="296" customFormat="false" ht="12.75" hidden="false" customHeight="false" outlineLevel="0" collapsed="false">
      <c r="A296" s="355"/>
      <c r="E296" s="365" t="str">
        <f aca="false">IF((G296&lt;&gt;0),"Enter Letter"," ")</f>
        <v> </v>
      </c>
      <c r="J296" s="334" t="str">
        <f aca="false">IF((E296="s"),G296," ")</f>
        <v> </v>
      </c>
      <c r="K296" s="334" t="str">
        <f aca="false">IF((E296="d"),G296," ")</f>
        <v> </v>
      </c>
      <c r="L296" s="334" t="str">
        <f aca="false">IF((E296="e"),G296," ")</f>
        <v> </v>
      </c>
      <c r="M296" s="334" t="str">
        <f aca="false">IF((E296="p"),G296," ")</f>
        <v> </v>
      </c>
      <c r="N296" s="334" t="str">
        <f aca="false">IF((E296="r"),G296," ")</f>
        <v> </v>
      </c>
      <c r="O296" s="334" t="str">
        <f aca="false">IF((E296="g"),G296," ")</f>
        <v> </v>
      </c>
      <c r="P296" s="334" t="str">
        <f aca="false">IF((E296="m"),G296," ")</f>
        <v> </v>
      </c>
      <c r="Q296" s="334" t="str">
        <f aca="false">IF((E296="t"),G296," ")</f>
        <v> </v>
      </c>
      <c r="R296" s="334" t="str">
        <f aca="false">IF((E296="a"),G296," ")</f>
        <v> </v>
      </c>
      <c r="S296" s="334" t="str">
        <f aca="false">IF((E296="l"),G296," ")</f>
        <v> </v>
      </c>
      <c r="T296" s="334" t="str">
        <f aca="false">IF((E296="b"),G296," ")</f>
        <v> </v>
      </c>
      <c r="U296" s="334" t="str">
        <f aca="false">IF((E296="i"),G296," ")</f>
        <v> </v>
      </c>
      <c r="V296" s="334" t="str">
        <f aca="false">IF((E296="o"),G296," ")</f>
        <v> </v>
      </c>
      <c r="W296" s="334" t="str">
        <f aca="false">IF((E296="f"),G296," ")</f>
        <v> </v>
      </c>
    </row>
    <row r="297" customFormat="false" ht="12.75" hidden="false" customHeight="false" outlineLevel="0" collapsed="false">
      <c r="A297" s="355"/>
      <c r="E297" s="365" t="str">
        <f aca="false">IF((G297&lt;&gt;0),"Enter Letter"," ")</f>
        <v> </v>
      </c>
      <c r="J297" s="334" t="str">
        <f aca="false">IF((E297="s"),G297," ")</f>
        <v> </v>
      </c>
      <c r="K297" s="334" t="str">
        <f aca="false">IF((E297="d"),G297," ")</f>
        <v> </v>
      </c>
      <c r="L297" s="334" t="str">
        <f aca="false">IF((E297="e"),G297," ")</f>
        <v> </v>
      </c>
      <c r="M297" s="334" t="str">
        <f aca="false">IF((E297="p"),G297," ")</f>
        <v> </v>
      </c>
      <c r="N297" s="334" t="str">
        <f aca="false">IF((E297="r"),G297," ")</f>
        <v> </v>
      </c>
      <c r="O297" s="334" t="str">
        <f aca="false">IF((E297="g"),G297," ")</f>
        <v> </v>
      </c>
      <c r="P297" s="334" t="str">
        <f aca="false">IF((E297="m"),G297," ")</f>
        <v> </v>
      </c>
      <c r="Q297" s="334" t="str">
        <f aca="false">IF((E297="t"),G297," ")</f>
        <v> </v>
      </c>
      <c r="R297" s="334" t="str">
        <f aca="false">IF((E297="a"),G297," ")</f>
        <v> </v>
      </c>
      <c r="S297" s="334" t="str">
        <f aca="false">IF((E297="l"),G297," ")</f>
        <v> </v>
      </c>
      <c r="T297" s="334" t="str">
        <f aca="false">IF((E297="b"),G297," ")</f>
        <v> </v>
      </c>
      <c r="U297" s="334" t="str">
        <f aca="false">IF((E297="i"),G297," ")</f>
        <v> </v>
      </c>
      <c r="V297" s="334" t="str">
        <f aca="false">IF((E297="o"),G297," ")</f>
        <v> </v>
      </c>
      <c r="W297" s="334" t="str">
        <f aca="false">IF((E297="f"),G297," ")</f>
        <v> </v>
      </c>
    </row>
    <row r="298" customFormat="false" ht="12.75" hidden="false" customHeight="false" outlineLevel="0" collapsed="false">
      <c r="A298" s="355"/>
      <c r="E298" s="365" t="str">
        <f aca="false">IF((G298&lt;&gt;0),"Enter Letter"," ")</f>
        <v> </v>
      </c>
      <c r="J298" s="334" t="str">
        <f aca="false">IF((E298="s"),G298," ")</f>
        <v> </v>
      </c>
      <c r="K298" s="334" t="str">
        <f aca="false">IF((E298="d"),G298," ")</f>
        <v> </v>
      </c>
      <c r="L298" s="334" t="str">
        <f aca="false">IF((E298="e"),G298," ")</f>
        <v> </v>
      </c>
      <c r="M298" s="334" t="str">
        <f aca="false">IF((E298="p"),G298," ")</f>
        <v> </v>
      </c>
      <c r="N298" s="334" t="str">
        <f aca="false">IF((E298="r"),G298," ")</f>
        <v> </v>
      </c>
      <c r="O298" s="334" t="str">
        <f aca="false">IF((E298="g"),G298," ")</f>
        <v> </v>
      </c>
      <c r="P298" s="334" t="str">
        <f aca="false">IF((E298="m"),G298," ")</f>
        <v> </v>
      </c>
      <c r="Q298" s="334" t="str">
        <f aca="false">IF((E298="t"),G298," ")</f>
        <v> </v>
      </c>
      <c r="R298" s="334" t="str">
        <f aca="false">IF((E298="a"),G298," ")</f>
        <v> </v>
      </c>
      <c r="S298" s="334" t="str">
        <f aca="false">IF((E298="l"),G298," ")</f>
        <v> </v>
      </c>
      <c r="T298" s="334" t="str">
        <f aca="false">IF((E298="b"),G298," ")</f>
        <v> </v>
      </c>
      <c r="U298" s="334" t="str">
        <f aca="false">IF((E298="i"),G298," ")</f>
        <v> </v>
      </c>
      <c r="V298" s="334" t="str">
        <f aca="false">IF((E298="o"),G298," ")</f>
        <v> </v>
      </c>
      <c r="W298" s="334" t="str">
        <f aca="false">IF((E298="f"),G298," ")</f>
        <v> </v>
      </c>
    </row>
    <row r="299" customFormat="false" ht="12.75" hidden="false" customHeight="false" outlineLevel="0" collapsed="false">
      <c r="A299" s="355"/>
      <c r="E299" s="365" t="str">
        <f aca="false">IF((G299&lt;&gt;0),"Enter Letter"," ")</f>
        <v> </v>
      </c>
      <c r="J299" s="334" t="str">
        <f aca="false">IF((E299="s"),G299," ")</f>
        <v> </v>
      </c>
      <c r="K299" s="334" t="str">
        <f aca="false">IF((E299="d"),G299," ")</f>
        <v> </v>
      </c>
      <c r="L299" s="334" t="str">
        <f aca="false">IF((E299="e"),G299," ")</f>
        <v> </v>
      </c>
      <c r="M299" s="334" t="str">
        <f aca="false">IF((E299="p"),G299," ")</f>
        <v> </v>
      </c>
      <c r="N299" s="334" t="str">
        <f aca="false">IF((E299="r"),G299," ")</f>
        <v> </v>
      </c>
      <c r="O299" s="334" t="str">
        <f aca="false">IF((E299="g"),G299," ")</f>
        <v> </v>
      </c>
      <c r="P299" s="334" t="str">
        <f aca="false">IF((E299="m"),G299," ")</f>
        <v> </v>
      </c>
      <c r="Q299" s="334" t="str">
        <f aca="false">IF((E299="t"),G299," ")</f>
        <v> </v>
      </c>
      <c r="R299" s="334" t="str">
        <f aca="false">IF((E299="a"),G299," ")</f>
        <v> </v>
      </c>
      <c r="S299" s="334" t="str">
        <f aca="false">IF((E299="l"),G299," ")</f>
        <v> </v>
      </c>
      <c r="T299" s="334" t="str">
        <f aca="false">IF((E299="b"),G299," ")</f>
        <v> </v>
      </c>
      <c r="U299" s="334" t="str">
        <f aca="false">IF((E299="i"),G299," ")</f>
        <v> </v>
      </c>
      <c r="V299" s="334" t="str">
        <f aca="false">IF((E299="o"),G299," ")</f>
        <v> </v>
      </c>
      <c r="W299" s="334" t="str">
        <f aca="false">IF((E299="f"),G299," ")</f>
        <v> </v>
      </c>
    </row>
    <row r="300" customFormat="false" ht="12.75" hidden="false" customHeight="false" outlineLevel="0" collapsed="false">
      <c r="A300" s="355"/>
      <c r="B300" s="393"/>
      <c r="C300" s="393"/>
      <c r="D300" s="394"/>
      <c r="E300" s="395" t="str">
        <f aca="false">IF((G300&lt;&gt;0),"Enter Letter"," ")</f>
        <v> </v>
      </c>
      <c r="F300" s="396"/>
      <c r="G300" s="397"/>
      <c r="H300" s="360"/>
      <c r="I300" s="398"/>
      <c r="J300" s="356" t="str">
        <f aca="false">IF((E300="s"),G300," ")</f>
        <v> </v>
      </c>
      <c r="K300" s="356" t="str">
        <f aca="false">IF((E300="d"),G300," ")</f>
        <v> </v>
      </c>
      <c r="L300" s="356" t="str">
        <f aca="false">IF((E300="e"),G300," ")</f>
        <v> </v>
      </c>
      <c r="M300" s="356" t="str">
        <f aca="false">IF((E300="p"),G300," ")</f>
        <v> </v>
      </c>
      <c r="N300" s="356" t="str">
        <f aca="false">IF((E300="r"),G300," ")</f>
        <v> </v>
      </c>
      <c r="O300" s="356" t="str">
        <f aca="false">IF((E300="g"),G300," ")</f>
        <v> </v>
      </c>
      <c r="P300" s="356" t="str">
        <f aca="false">IF((E300="m"),G300," ")</f>
        <v> </v>
      </c>
      <c r="Q300" s="356" t="str">
        <f aca="false">IF((E300="t"),G300," ")</f>
        <v> </v>
      </c>
      <c r="R300" s="356" t="str">
        <f aca="false">IF((E300="a"),G300," ")</f>
        <v> </v>
      </c>
      <c r="S300" s="356" t="str">
        <f aca="false">IF((E300="l"),G300," ")</f>
        <v> </v>
      </c>
      <c r="T300" s="356" t="str">
        <f aca="false">IF((E300="b"),G300," ")</f>
        <v> </v>
      </c>
      <c r="U300" s="356" t="str">
        <f aca="false">IF((E300="i"),G300," ")</f>
        <v> </v>
      </c>
      <c r="V300" s="356" t="str">
        <f aca="false">IF((E300="o"),G300," ")</f>
        <v> </v>
      </c>
      <c r="W300" s="356" t="str">
        <f aca="false">IF((E300="f"),G300," ")</f>
        <v> </v>
      </c>
    </row>
  </sheetData>
  <mergeCells count="25">
    <mergeCell ref="A2:A4"/>
    <mergeCell ref="B2:B4"/>
    <mergeCell ref="C2:C4"/>
    <mergeCell ref="D2:D4"/>
    <mergeCell ref="E2:E3"/>
    <mergeCell ref="F2:F4"/>
    <mergeCell ref="G2:G3"/>
    <mergeCell ref="H2:H4"/>
    <mergeCell ref="I2:I4"/>
    <mergeCell ref="J2:J3"/>
    <mergeCell ref="K2:K3"/>
    <mergeCell ref="L2:L3"/>
    <mergeCell ref="M2:M3"/>
    <mergeCell ref="N2:N3"/>
    <mergeCell ref="O2:O3"/>
    <mergeCell ref="Q2:Q3"/>
    <mergeCell ref="R2:R3"/>
    <mergeCell ref="S2:S3"/>
    <mergeCell ref="T2:T3"/>
    <mergeCell ref="U2:U3"/>
    <mergeCell ref="V2:V3"/>
    <mergeCell ref="W2:W3"/>
    <mergeCell ref="X2:X4"/>
    <mergeCell ref="Y2:Z2"/>
    <mergeCell ref="Y3:Z3"/>
  </mergeCells>
  <dataValidations count="3">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5:A300" type="date">
      <formula1>38353</formula1>
      <formula2>53327</formula2>
    </dataValidation>
    <dataValidation allowBlank="true" errorStyle="stop" operator="between" prompt="An amount in this cell shows the total purchases in cell G1 does not agree with the totals in the analysis columns cells J1 to W&#10;&#10;CHECK all expense code letters have been entered correctly or any manual entries in the analysis correct&#10;" promptTitle="ERROR ALERT" showDropDown="false" showErrorMessage="true" showInputMessage="true" sqref="E1" type="none">
      <formula1>0</formula1>
      <formula2>0</formula2>
    </dataValidation>
    <dataValidation allowBlank="true" errorStyle="stop" operator="between" showDropDown="false" showErrorMessage="true" showInputMessage="false" sqref="E5:E300" type="list">
      <formula1>$J$4:$W$4</formula1>
      <formula2>0</formula2>
    </dataValidation>
  </dataValidations>
  <printOptions headings="false" gridLines="true" gridLinesSet="true" horizontalCentered="false" verticalCentered="false"/>
  <pageMargins left="0.315277777777778" right="0.472222222222222"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2" manualBreakCount="2">
    <brk id="9" man="true" max="65535" min="0"/>
    <brk id="22" man="true" max="65535" min="0"/>
  </colBreaks>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false" hidden="false" outlineLevel="0" max="1" min="1" style="333" width="9.15"/>
    <col collapsed="false" customWidth="true" hidden="false" outlineLevel="0" max="2" min="2" style="334" width="17.66"/>
    <col collapsed="false" customWidth="true" hidden="false" outlineLevel="0" max="3" min="3" style="335" width="11.32"/>
    <col collapsed="false" customWidth="true" hidden="false" outlineLevel="0" max="4" min="4" style="336" width="14.49"/>
    <col collapsed="false" customWidth="true" hidden="false" outlineLevel="0" max="5" min="5" style="337" width="7.66"/>
    <col collapsed="false" customWidth="true" hidden="false" outlineLevel="0" max="7" min="6" style="334" width="9.66"/>
    <col collapsed="false" customWidth="true" hidden="false" outlineLevel="0" max="8" min="8" style="338" width="9.66"/>
    <col collapsed="false" customWidth="true" hidden="false" outlineLevel="0" max="9" min="9" style="339" width="10.5"/>
    <col collapsed="false" customWidth="false" hidden="false" outlineLevel="0" max="257" min="10" style="334" width="9.15"/>
  </cols>
  <sheetData>
    <row r="1" s="348" customFormat="true" ht="12.75" hidden="false" customHeight="true" outlineLevel="0" collapsed="false">
      <c r="A1" s="340" t="s">
        <v>246</v>
      </c>
      <c r="B1" s="341" t="s">
        <v>247</v>
      </c>
      <c r="C1" s="342"/>
      <c r="D1" s="343" t="s">
        <v>248</v>
      </c>
      <c r="E1" s="344" t="n">
        <f aca="false">SUM(E4:E300)</f>
        <v>0</v>
      </c>
      <c r="F1" s="343" t="n">
        <f aca="false">SUM(F4:F300)</f>
        <v>32800</v>
      </c>
      <c r="G1" s="343" t="n">
        <f aca="false">SUM(G4:G300)</f>
        <v>0</v>
      </c>
      <c r="H1" s="345" t="n">
        <f aca="false">SUM(H4:H300)</f>
        <v>0</v>
      </c>
      <c r="I1" s="346" t="n">
        <f aca="true">TODAY()</f>
        <v>46138</v>
      </c>
      <c r="J1" s="343" t="n">
        <f aca="false">SUM(J4:J300)</f>
        <v>0</v>
      </c>
      <c r="K1" s="347" t="n">
        <f aca="false">J1+SalesNov!K1</f>
        <v>0</v>
      </c>
    </row>
    <row r="2" s="348" customFormat="true" ht="12.75" hidden="false" customHeight="true" outlineLevel="0" collapsed="false">
      <c r="A2" s="340"/>
      <c r="B2" s="341"/>
      <c r="C2" s="349" t="s">
        <v>249</v>
      </c>
      <c r="D2" s="350" t="s">
        <v>250</v>
      </c>
      <c r="E2" s="351" t="s">
        <v>251</v>
      </c>
      <c r="F2" s="341" t="s">
        <v>252</v>
      </c>
      <c r="G2" s="341" t="s">
        <v>253</v>
      </c>
      <c r="H2" s="352" t="s">
        <v>254</v>
      </c>
      <c r="I2" s="353" t="s">
        <v>255</v>
      </c>
      <c r="J2" s="341" t="s">
        <v>256</v>
      </c>
      <c r="K2" s="341"/>
    </row>
    <row r="3" s="354" customFormat="true" ht="38.25" hidden="false" customHeight="true" outlineLevel="0" collapsed="false">
      <c r="A3" s="340"/>
      <c r="B3" s="341"/>
      <c r="C3" s="349"/>
      <c r="D3" s="350"/>
      <c r="E3" s="351"/>
      <c r="F3" s="351"/>
      <c r="G3" s="351"/>
      <c r="H3" s="352"/>
      <c r="I3" s="353"/>
      <c r="J3" s="341" t="s">
        <v>257</v>
      </c>
      <c r="K3" s="341" t="s">
        <v>258</v>
      </c>
    </row>
    <row r="4" customFormat="false" ht="12.75" hidden="false" customHeight="false" outlineLevel="0" collapsed="false">
      <c r="A4" s="355" t="n">
        <v>45994</v>
      </c>
      <c r="B4" s="334" t="s">
        <v>259</v>
      </c>
      <c r="F4" s="334" t="n">
        <v>360</v>
      </c>
      <c r="I4" s="339" t="n">
        <f aca="false">IF((F4&lt;&gt;0),IF((D4&gt;0)," ",(I$1-A4))," ")</f>
        <v>144</v>
      </c>
    </row>
    <row r="5" customFormat="false" ht="12.75" hidden="false" customHeight="false" outlineLevel="0" collapsed="false">
      <c r="A5" s="355" t="n">
        <v>45996</v>
      </c>
      <c r="B5" s="334" t="s">
        <v>260</v>
      </c>
      <c r="F5" s="334" t="n">
        <v>600</v>
      </c>
      <c r="I5" s="339" t="n">
        <f aca="false">IF((F5&lt;&gt;0),IF((D5&gt;0)," ",(I$1-A5))," ")</f>
        <v>142</v>
      </c>
    </row>
    <row r="6" customFormat="false" ht="12.75" hidden="false" customHeight="false" outlineLevel="0" collapsed="false">
      <c r="A6" s="355" t="n">
        <v>45999</v>
      </c>
      <c r="B6" s="334" t="s">
        <v>261</v>
      </c>
      <c r="F6" s="334" t="n">
        <v>480</v>
      </c>
      <c r="I6" s="339" t="n">
        <f aca="false">IF((F6&lt;&gt;0),IF((D6&gt;0)," ",(I$1-A6))," ")</f>
        <v>139</v>
      </c>
    </row>
    <row r="7" customFormat="false" ht="12.75" hidden="false" customHeight="false" outlineLevel="0" collapsed="false">
      <c r="A7" s="355" t="n">
        <v>46001</v>
      </c>
      <c r="B7" s="334" t="s">
        <v>262</v>
      </c>
      <c r="F7" s="334" t="n">
        <v>720</v>
      </c>
      <c r="I7" s="339" t="n">
        <f aca="false">IF((F7&lt;&gt;0),IF((D7&gt;0)," ",(I$1-A7))," ")</f>
        <v>137</v>
      </c>
    </row>
    <row r="8" customFormat="false" ht="12.75" hidden="false" customHeight="false" outlineLevel="0" collapsed="false">
      <c r="A8" s="355" t="n">
        <v>46006</v>
      </c>
      <c r="B8" s="334" t="s">
        <v>235</v>
      </c>
      <c r="F8" s="334" t="n">
        <v>25000</v>
      </c>
      <c r="I8" s="339" t="n">
        <f aca="false">IF((F8&lt;&gt;0),IF((D8&gt;0)," ",(I$1-A8))," ")</f>
        <v>132</v>
      </c>
    </row>
    <row r="9" customFormat="false" ht="12.75" hidden="false" customHeight="false" outlineLevel="0" collapsed="false">
      <c r="A9" s="355" t="n">
        <v>46009</v>
      </c>
      <c r="B9" s="334" t="s">
        <v>237</v>
      </c>
      <c r="F9" s="334" t="n">
        <v>2400</v>
      </c>
      <c r="I9" s="339" t="n">
        <f aca="false">IF((F9&lt;&gt;0),IF((D9&gt;0)," ",(I$1-A9))," ")</f>
        <v>129</v>
      </c>
    </row>
    <row r="10" customFormat="false" ht="12.75" hidden="false" customHeight="false" outlineLevel="0" collapsed="false">
      <c r="A10" s="355" t="n">
        <v>46011</v>
      </c>
      <c r="B10" s="334" t="s">
        <v>263</v>
      </c>
      <c r="F10" s="334" t="n">
        <v>1800</v>
      </c>
      <c r="I10" s="339" t="n">
        <f aca="false">IF((F10&lt;&gt;0),IF((D10&gt;0)," ",(I$1-A10))," ")</f>
        <v>127</v>
      </c>
    </row>
    <row r="11" customFormat="false" ht="12.75" hidden="false" customHeight="false" outlineLevel="0" collapsed="false">
      <c r="A11" s="355" t="n">
        <v>46013</v>
      </c>
      <c r="B11" s="334" t="s">
        <v>356</v>
      </c>
      <c r="F11" s="334" t="n">
        <v>1440</v>
      </c>
      <c r="I11" s="339" t="n">
        <f aca="false">IF((F11&lt;&gt;0),IF((D11&gt;0)," ",(I$1-A11))," ")</f>
        <v>125</v>
      </c>
    </row>
    <row r="12" customFormat="false" ht="12.75" hidden="false" customHeight="false" outlineLevel="0" collapsed="false">
      <c r="A12" s="355"/>
      <c r="I12" s="339" t="str">
        <f aca="false">IF((F12&lt;&gt;0),IF((D12&gt;0)," ",(I$1-A12))," ")</f>
        <v> </v>
      </c>
    </row>
    <row r="13" customFormat="false" ht="12.75" hidden="false" customHeight="false" outlineLevel="0" collapsed="false">
      <c r="A13" s="355"/>
      <c r="I13" s="339" t="str">
        <f aca="false">IF((F13&lt;&gt;0),IF((D13&gt;0)," ",(I$1-A13))," ")</f>
        <v> </v>
      </c>
    </row>
    <row r="14" customFormat="false" ht="12.75" hidden="false" customHeight="false" outlineLevel="0" collapsed="false">
      <c r="A14" s="355"/>
      <c r="I14" s="339" t="str">
        <f aca="false">IF((F14&lt;&gt;0),IF((D14&gt;0)," ",(I$1-A14))," ")</f>
        <v> </v>
      </c>
    </row>
    <row r="15" customFormat="false" ht="12.75" hidden="false" customHeight="false" outlineLevel="0" collapsed="false">
      <c r="A15" s="355"/>
      <c r="I15" s="339" t="str">
        <f aca="false">IF((F15&lt;&gt;0),IF((D15&gt;0)," ",(I$1-A15))," ")</f>
        <v> </v>
      </c>
    </row>
    <row r="16" customFormat="false" ht="12.75" hidden="false" customHeight="false" outlineLevel="0" collapsed="false">
      <c r="A16" s="355"/>
      <c r="I16" s="339" t="str">
        <f aca="false">IF((F16&lt;&gt;0),IF((D16&gt;0)," ",(I$1-A16))," ")</f>
        <v> </v>
      </c>
    </row>
    <row r="17" customFormat="false" ht="12.75" hidden="false" customHeight="false" outlineLevel="0" collapsed="false">
      <c r="A17" s="355"/>
      <c r="I17" s="339" t="str">
        <f aca="false">IF((F17&lt;&gt;0),IF((D17&gt;0)," ",(I$1-A17))," ")</f>
        <v> </v>
      </c>
    </row>
    <row r="18" customFormat="false" ht="12.75" hidden="false" customHeight="false" outlineLevel="0" collapsed="false">
      <c r="A18" s="355"/>
      <c r="I18" s="339" t="str">
        <f aca="false">IF((F18&lt;&gt;0),IF((D18&gt;0)," ",(I$1-A18))," ")</f>
        <v> </v>
      </c>
    </row>
    <row r="19" customFormat="false" ht="12.75" hidden="false" customHeight="false" outlineLevel="0" collapsed="false">
      <c r="A19" s="355"/>
      <c r="I19" s="339" t="str">
        <f aca="false">IF((F19&lt;&gt;0),IF((D19&gt;0)," ",(I$1-A19))," ")</f>
        <v> </v>
      </c>
    </row>
    <row r="20" customFormat="false" ht="12.75" hidden="false" customHeight="false" outlineLevel="0" collapsed="false">
      <c r="A20" s="355"/>
      <c r="I20" s="339" t="str">
        <f aca="false">IF((F20&lt;&gt;0),IF((D20&gt;0)," ",(I$1-A20))," ")</f>
        <v> </v>
      </c>
    </row>
    <row r="21" customFormat="false" ht="12.75" hidden="false" customHeight="false" outlineLevel="0" collapsed="false">
      <c r="A21" s="355"/>
      <c r="I21" s="339" t="str">
        <f aca="false">IF((F21&lt;&gt;0),IF((D21&gt;0)," ",(I$1-A21))," ")</f>
        <v> </v>
      </c>
    </row>
    <row r="22" customFormat="false" ht="12.75" hidden="false" customHeight="false" outlineLevel="0" collapsed="false">
      <c r="A22" s="355"/>
      <c r="I22" s="339" t="str">
        <f aca="false">IF((F22&lt;&gt;0),IF((D22&gt;0)," ",(I$1-A22))," ")</f>
        <v> </v>
      </c>
    </row>
    <row r="23" customFormat="false" ht="12.75" hidden="false" customHeight="false" outlineLevel="0" collapsed="false">
      <c r="A23" s="355"/>
      <c r="I23" s="339" t="str">
        <f aca="false">IF((F23&lt;&gt;0),IF((D23&gt;0)," ",(I$1-A23))," ")</f>
        <v> </v>
      </c>
    </row>
    <row r="24" customFormat="false" ht="12.75" hidden="false" customHeight="false" outlineLevel="0" collapsed="false">
      <c r="A24" s="355"/>
      <c r="I24" s="339" t="str">
        <f aca="false">IF((F24&lt;&gt;0),IF((D24&gt;0)," ",(I$1-A24))," ")</f>
        <v> </v>
      </c>
    </row>
    <row r="25" customFormat="false" ht="12.75" hidden="false" customHeight="false" outlineLevel="0" collapsed="false">
      <c r="A25" s="355"/>
      <c r="I25" s="339" t="str">
        <f aca="false">IF((F25&lt;&gt;0),IF((D25&gt;0)," ",(I$1-A25))," ")</f>
        <v> </v>
      </c>
    </row>
    <row r="26" customFormat="false" ht="12.75" hidden="false" customHeight="false" outlineLevel="0" collapsed="false">
      <c r="A26" s="355"/>
      <c r="I26" s="339" t="str">
        <f aca="false">IF((F26&lt;&gt;0),IF((D26&gt;0)," ",(I$1-A26))," ")</f>
        <v> </v>
      </c>
    </row>
    <row r="27" customFormat="false" ht="12.75" hidden="false" customHeight="false" outlineLevel="0" collapsed="false">
      <c r="A27" s="355"/>
      <c r="I27" s="339" t="str">
        <f aca="false">IF((F27&lt;&gt;0),IF((D27&gt;0)," ",(I$1-A27))," ")</f>
        <v> </v>
      </c>
    </row>
    <row r="28" customFormat="false" ht="12.75" hidden="false" customHeight="false" outlineLevel="0" collapsed="false">
      <c r="A28" s="355"/>
      <c r="I28" s="339" t="str">
        <f aca="false">IF((F28&lt;&gt;0),IF((D28&gt;0)," ",(I$1-A28))," ")</f>
        <v> </v>
      </c>
    </row>
    <row r="29" customFormat="false" ht="12.75" hidden="false" customHeight="false" outlineLevel="0" collapsed="false">
      <c r="A29" s="355"/>
      <c r="I29" s="339" t="str">
        <f aca="false">IF((F29&lt;&gt;0),IF((D29&gt;0)," ",(I$1-A29))," ")</f>
        <v> </v>
      </c>
    </row>
    <row r="30" customFormat="false" ht="12.75" hidden="false" customHeight="false" outlineLevel="0" collapsed="false">
      <c r="A30" s="355"/>
      <c r="I30" s="339" t="str">
        <f aca="false">IF((F30&lt;&gt;0),IF((D30&gt;0)," ",(I$1-A30))," ")</f>
        <v> </v>
      </c>
    </row>
    <row r="31" customFormat="false" ht="12.75" hidden="false" customHeight="false" outlineLevel="0" collapsed="false">
      <c r="A31" s="355"/>
      <c r="I31" s="339" t="str">
        <f aca="false">IF((F31&lt;&gt;0),IF((D31&gt;0)," ",(I$1-A31))," ")</f>
        <v> </v>
      </c>
    </row>
    <row r="32" customFormat="false" ht="12.75" hidden="false" customHeight="false" outlineLevel="0" collapsed="false">
      <c r="A32" s="355"/>
      <c r="I32" s="339" t="str">
        <f aca="false">IF((F32&lt;&gt;0),IF((D32&gt;0)," ",(I$1-A32))," ")</f>
        <v> </v>
      </c>
    </row>
    <row r="33" customFormat="false" ht="12.75" hidden="false" customHeight="false" outlineLevel="0" collapsed="false">
      <c r="A33" s="355"/>
      <c r="I33" s="339" t="str">
        <f aca="false">IF((F33&lt;&gt;0),IF((D33&gt;0)," ",(I$1-A33))," ")</f>
        <v> </v>
      </c>
    </row>
    <row r="34" customFormat="false" ht="12.75" hidden="false" customHeight="false" outlineLevel="0" collapsed="false">
      <c r="A34" s="355"/>
      <c r="I34" s="339" t="str">
        <f aca="false">IF((F34&lt;&gt;0),IF((D34&gt;0)," ",(I$1-A34))," ")</f>
        <v> </v>
      </c>
    </row>
    <row r="35" customFormat="false" ht="12.75" hidden="false" customHeight="false" outlineLevel="0" collapsed="false">
      <c r="A35" s="355"/>
      <c r="I35" s="339" t="str">
        <f aca="false">IF((F35&lt;&gt;0),IF((D35&gt;0)," ",(I$1-A35))," ")</f>
        <v> </v>
      </c>
    </row>
    <row r="36" customFormat="false" ht="12.75" hidden="false" customHeight="false" outlineLevel="0" collapsed="false">
      <c r="A36" s="355"/>
      <c r="I36" s="339" t="str">
        <f aca="false">IF((F36&lt;&gt;0),IF((D36&gt;0)," ",(I$1-A36))," ")</f>
        <v> </v>
      </c>
    </row>
    <row r="37" customFormat="false" ht="12.75" hidden="false" customHeight="false" outlineLevel="0" collapsed="false">
      <c r="A37" s="355"/>
      <c r="I37" s="339" t="str">
        <f aca="false">IF((F37&lt;&gt;0),IF((D37&gt;0)," ",(I$1-A37))," ")</f>
        <v> </v>
      </c>
    </row>
    <row r="38" customFormat="false" ht="12.75" hidden="false" customHeight="false" outlineLevel="0" collapsed="false">
      <c r="A38" s="355"/>
      <c r="I38" s="339" t="str">
        <f aca="false">IF((F38&lt;&gt;0),IF((D38&gt;0)," ",(I$1-A38))," ")</f>
        <v> </v>
      </c>
    </row>
    <row r="39" customFormat="false" ht="12.75" hidden="false" customHeight="false" outlineLevel="0" collapsed="false">
      <c r="A39" s="355"/>
      <c r="I39" s="339" t="str">
        <f aca="false">IF((F39&lt;&gt;0),IF((D39&gt;0)," ",(I$1-A39))," ")</f>
        <v> </v>
      </c>
    </row>
    <row r="40" customFormat="false" ht="12.75" hidden="false" customHeight="false" outlineLevel="0" collapsed="false">
      <c r="A40" s="355"/>
      <c r="I40" s="339" t="str">
        <f aca="false">IF((F40&lt;&gt;0),IF((D40&gt;0)," ",(I$1-A40))," ")</f>
        <v> </v>
      </c>
    </row>
    <row r="41" customFormat="false" ht="12.75" hidden="false" customHeight="false" outlineLevel="0" collapsed="false">
      <c r="A41" s="355"/>
      <c r="I41" s="339" t="str">
        <f aca="false">IF((F41&lt;&gt;0),IF((D41&gt;0)," ",(I$1-A41))," ")</f>
        <v> </v>
      </c>
    </row>
    <row r="42" customFormat="false" ht="12.75" hidden="false" customHeight="false" outlineLevel="0" collapsed="false">
      <c r="A42" s="355"/>
      <c r="I42" s="339" t="str">
        <f aca="false">IF((F42&lt;&gt;0),IF((D42&gt;0)," ",(I$1-A42))," ")</f>
        <v> </v>
      </c>
    </row>
    <row r="43" customFormat="false" ht="12.75" hidden="false" customHeight="false" outlineLevel="0" collapsed="false">
      <c r="A43" s="355"/>
      <c r="I43" s="339" t="str">
        <f aca="false">IF((F43&lt;&gt;0),IF((D43&gt;0)," ",(I$1-A43))," ")</f>
        <v> </v>
      </c>
    </row>
    <row r="44" customFormat="false" ht="12.75" hidden="false" customHeight="false" outlineLevel="0" collapsed="false">
      <c r="A44" s="355"/>
      <c r="I44" s="339" t="str">
        <f aca="false">IF((F44&lt;&gt;0),IF((D44&gt;0)," ",(I$1-A44))," ")</f>
        <v> </v>
      </c>
    </row>
    <row r="45" customFormat="false" ht="12.75" hidden="false" customHeight="false" outlineLevel="0" collapsed="false">
      <c r="A45" s="355"/>
      <c r="I45" s="339" t="str">
        <f aca="false">IF((F45&lt;&gt;0),IF((D45&gt;0)," ",(I$1-A45))," ")</f>
        <v> </v>
      </c>
    </row>
    <row r="46" customFormat="false" ht="12.75" hidden="false" customHeight="false" outlineLevel="0" collapsed="false">
      <c r="A46" s="355"/>
      <c r="I46" s="339" t="str">
        <f aca="false">IF((F46&lt;&gt;0),IF((D46&gt;0)," ",(I$1-A46))," ")</f>
        <v> </v>
      </c>
    </row>
    <row r="47" customFormat="false" ht="12.75" hidden="false" customHeight="false" outlineLevel="0" collapsed="false">
      <c r="A47" s="355"/>
      <c r="I47" s="339" t="str">
        <f aca="false">IF((F47&lt;&gt;0),IF((D47&gt;0)," ",(I$1-A47))," ")</f>
        <v> </v>
      </c>
    </row>
    <row r="48" customFormat="false" ht="12.75" hidden="false" customHeight="false" outlineLevel="0" collapsed="false">
      <c r="A48" s="355"/>
      <c r="I48" s="339" t="str">
        <f aca="false">IF((F48&lt;&gt;0),IF((D48&gt;0)," ",(I$1-A48))," ")</f>
        <v> </v>
      </c>
    </row>
    <row r="49" customFormat="false" ht="12.75" hidden="false" customHeight="false" outlineLevel="0" collapsed="false">
      <c r="A49" s="355"/>
      <c r="I49" s="339" t="str">
        <f aca="false">IF((F49&lt;&gt;0),IF((D49&gt;0)," ",(I$1-A49))," ")</f>
        <v> </v>
      </c>
    </row>
    <row r="50" customFormat="false" ht="12.75" hidden="false" customHeight="false" outlineLevel="0" collapsed="false">
      <c r="A50" s="355"/>
      <c r="I50" s="339" t="str">
        <f aca="false">IF((F50&lt;&gt;0),IF((D50&gt;0)," ",(I$1-A50))," ")</f>
        <v> </v>
      </c>
    </row>
    <row r="51" customFormat="false" ht="12.75" hidden="false" customHeight="false" outlineLevel="0" collapsed="false">
      <c r="A51" s="355"/>
      <c r="I51" s="339" t="str">
        <f aca="false">IF((F51&lt;&gt;0),IF((D51&gt;0)," ",(I$1-A51))," ")</f>
        <v> </v>
      </c>
    </row>
    <row r="52" customFormat="false" ht="12.75" hidden="false" customHeight="false" outlineLevel="0" collapsed="false">
      <c r="A52" s="355"/>
      <c r="I52" s="339" t="str">
        <f aca="false">IF((F52&lt;&gt;0),IF((D52&gt;0)," ",(I$1-A52))," ")</f>
        <v> </v>
      </c>
    </row>
    <row r="53" customFormat="false" ht="12.75" hidden="false" customHeight="false" outlineLevel="0" collapsed="false">
      <c r="A53" s="355"/>
      <c r="I53" s="339" t="str">
        <f aca="false">IF((F53&lt;&gt;0),IF((D53&gt;0)," ",(I$1-A53))," ")</f>
        <v> </v>
      </c>
    </row>
    <row r="54" customFormat="false" ht="12.75" hidden="false" customHeight="false" outlineLevel="0" collapsed="false">
      <c r="A54" s="355"/>
      <c r="I54" s="339" t="str">
        <f aca="false">IF((F54&lt;&gt;0),IF((D54&gt;0)," ",(I$1-A54))," ")</f>
        <v> </v>
      </c>
    </row>
    <row r="55" customFormat="false" ht="12.75" hidden="false" customHeight="false" outlineLevel="0" collapsed="false">
      <c r="A55" s="355"/>
      <c r="I55" s="339" t="str">
        <f aca="false">IF((F55&lt;&gt;0),IF((D55&gt;0)," ",(I$1-A55))," ")</f>
        <v> </v>
      </c>
    </row>
    <row r="56" customFormat="false" ht="12.75" hidden="false" customHeight="false" outlineLevel="0" collapsed="false">
      <c r="A56" s="355"/>
      <c r="I56" s="339" t="str">
        <f aca="false">IF((F56&lt;&gt;0),IF((D56&gt;0)," ",(I$1-A56))," ")</f>
        <v> </v>
      </c>
    </row>
    <row r="57" customFormat="false" ht="12.75" hidden="false" customHeight="false" outlineLevel="0" collapsed="false">
      <c r="A57" s="355"/>
      <c r="I57" s="339" t="str">
        <f aca="false">IF((F57&lt;&gt;0),IF((D57&gt;0)," ",(I$1-A57))," ")</f>
        <v> </v>
      </c>
    </row>
    <row r="58" customFormat="false" ht="12.75" hidden="false" customHeight="false" outlineLevel="0" collapsed="false">
      <c r="A58" s="355"/>
      <c r="I58" s="339" t="str">
        <f aca="false">IF((F58&lt;&gt;0),IF((D58&gt;0)," ",(I$1-A58))," ")</f>
        <v> </v>
      </c>
    </row>
    <row r="59" customFormat="false" ht="12.75" hidden="false" customHeight="false" outlineLevel="0" collapsed="false">
      <c r="A59" s="355"/>
      <c r="I59" s="339" t="str">
        <f aca="false">IF((F59&lt;&gt;0),IF((D59&gt;0)," ",(I$1-A59))," ")</f>
        <v> </v>
      </c>
    </row>
    <row r="60" customFormat="false" ht="12.75" hidden="false" customHeight="false" outlineLevel="0" collapsed="false">
      <c r="A60" s="355"/>
      <c r="I60" s="339" t="str">
        <f aca="false">IF((F60&lt;&gt;0),IF((D60&gt;0)," ",(I$1-A60))," ")</f>
        <v> </v>
      </c>
    </row>
    <row r="61" customFormat="false" ht="12.75" hidden="false" customHeight="false" outlineLevel="0" collapsed="false">
      <c r="A61" s="355"/>
      <c r="I61" s="339" t="str">
        <f aca="false">IF((F61&lt;&gt;0),IF((D61&gt;0)," ",(I$1-A61))," ")</f>
        <v> </v>
      </c>
    </row>
    <row r="62" customFormat="false" ht="12.75" hidden="false" customHeight="false" outlineLevel="0" collapsed="false">
      <c r="A62" s="355"/>
      <c r="I62" s="339" t="str">
        <f aca="false">IF((F62&lt;&gt;0),IF((D62&gt;0)," ",(I$1-A62))," ")</f>
        <v> </v>
      </c>
    </row>
    <row r="63" customFormat="false" ht="12.75" hidden="false" customHeight="false" outlineLevel="0" collapsed="false">
      <c r="A63" s="355"/>
      <c r="I63" s="339" t="str">
        <f aca="false">IF((F63&lt;&gt;0),IF((D63&gt;0)," ",(I$1-A63))," ")</f>
        <v> </v>
      </c>
    </row>
    <row r="64" customFormat="false" ht="12.75" hidden="false" customHeight="false" outlineLevel="0" collapsed="false">
      <c r="A64" s="355"/>
      <c r="I64" s="339" t="str">
        <f aca="false">IF((F64&lt;&gt;0),IF((D64&gt;0)," ",(I$1-A64))," ")</f>
        <v> </v>
      </c>
    </row>
    <row r="65" customFormat="false" ht="12.75" hidden="false" customHeight="false" outlineLevel="0" collapsed="false">
      <c r="A65" s="355"/>
      <c r="I65" s="339" t="str">
        <f aca="false">IF((F65&lt;&gt;0),IF((D65&gt;0)," ",(I$1-A65))," ")</f>
        <v> </v>
      </c>
    </row>
    <row r="66" customFormat="false" ht="12.75" hidden="false" customHeight="false" outlineLevel="0" collapsed="false">
      <c r="A66" s="355"/>
      <c r="I66" s="339" t="str">
        <f aca="false">IF((F66&lt;&gt;0),IF((D66&gt;0)," ",(I$1-A66))," ")</f>
        <v> </v>
      </c>
    </row>
    <row r="67" customFormat="false" ht="12.75" hidden="false" customHeight="false" outlineLevel="0" collapsed="false">
      <c r="A67" s="355"/>
      <c r="I67" s="339" t="str">
        <f aca="false">IF((F67&lt;&gt;0),IF((D67&gt;0)," ",(I$1-A67))," ")</f>
        <v> </v>
      </c>
    </row>
    <row r="68" customFormat="false" ht="12.75" hidden="false" customHeight="false" outlineLevel="0" collapsed="false">
      <c r="A68" s="355"/>
      <c r="H68" s="338" t="str">
        <f aca="false">IF((F68&lt;&gt;0),IF((D68&gt;0)," ",F68)," ")</f>
        <v> </v>
      </c>
      <c r="I68" s="339" t="str">
        <f aca="false">IF((F68&lt;&gt;0),IF((D68&gt;0)," ",(I$1-A68))," ")</f>
        <v> </v>
      </c>
    </row>
    <row r="69" customFormat="false" ht="12.75" hidden="false" customHeight="false" outlineLevel="0" collapsed="false">
      <c r="A69" s="355"/>
      <c r="H69" s="338" t="str">
        <f aca="false">IF((F69&lt;&gt;0),IF((D69&gt;0)," ",F69)," ")</f>
        <v> </v>
      </c>
      <c r="I69" s="339" t="str">
        <f aca="false">IF((F69&lt;&gt;0),IF((D69&gt;0)," ",(I$1-A69))," ")</f>
        <v> </v>
      </c>
    </row>
    <row r="70" customFormat="false" ht="12.75" hidden="false" customHeight="false" outlineLevel="0" collapsed="false">
      <c r="A70" s="355"/>
      <c r="H70" s="338" t="str">
        <f aca="false">IF((F70&lt;&gt;0),IF((D70&gt;0)," ",F70)," ")</f>
        <v> </v>
      </c>
      <c r="I70" s="339" t="str">
        <f aca="false">IF((F70&lt;&gt;0),IF((D70&gt;0)," ",(I$1-A70))," ")</f>
        <v> </v>
      </c>
    </row>
    <row r="71" customFormat="false" ht="12.75" hidden="false" customHeight="false" outlineLevel="0" collapsed="false">
      <c r="A71" s="355"/>
      <c r="H71" s="338" t="str">
        <f aca="false">IF((F71&lt;&gt;0),IF((D71&gt;0)," ",F71)," ")</f>
        <v> </v>
      </c>
      <c r="I71" s="339" t="str">
        <f aca="false">IF((F71&lt;&gt;0),IF((D71&gt;0)," ",(I$1-A71))," ")</f>
        <v> </v>
      </c>
    </row>
    <row r="72" customFormat="false" ht="12.75" hidden="false" customHeight="false" outlineLevel="0" collapsed="false">
      <c r="A72" s="355"/>
      <c r="H72" s="338" t="str">
        <f aca="false">IF((F72&lt;&gt;0),IF((D72&gt;0)," ",F72)," ")</f>
        <v> </v>
      </c>
      <c r="I72" s="339" t="str">
        <f aca="false">IF((F72&lt;&gt;0),IF((D72&gt;0)," ",(I$1-A72))," ")</f>
        <v> </v>
      </c>
    </row>
    <row r="73" customFormat="false" ht="12.75" hidden="false" customHeight="false" outlineLevel="0" collapsed="false">
      <c r="A73" s="355"/>
      <c r="H73" s="338" t="str">
        <f aca="false">IF((F73&lt;&gt;0),IF((D73&gt;0)," ",F73)," ")</f>
        <v> </v>
      </c>
      <c r="I73" s="339" t="str">
        <f aca="false">IF((F73&lt;&gt;0),IF((D73&gt;0)," ",(I$1-A73))," ")</f>
        <v> </v>
      </c>
    </row>
    <row r="74" customFormat="false" ht="12.75" hidden="false" customHeight="false" outlineLevel="0" collapsed="false">
      <c r="A74" s="355"/>
      <c r="H74" s="338" t="str">
        <f aca="false">IF((F74&lt;&gt;0),IF((D74&gt;0)," ",F74)," ")</f>
        <v> </v>
      </c>
      <c r="I74" s="339" t="str">
        <f aca="false">IF((F74&lt;&gt;0),IF((D74&gt;0)," ",(I$1-A74))," ")</f>
        <v> </v>
      </c>
    </row>
    <row r="75" customFormat="false" ht="12.75" hidden="false" customHeight="false" outlineLevel="0" collapsed="false">
      <c r="A75" s="355"/>
      <c r="H75" s="338" t="str">
        <f aca="false">IF((F75&lt;&gt;0),IF((D75&gt;0)," ",F75)," ")</f>
        <v> </v>
      </c>
      <c r="I75" s="339" t="str">
        <f aca="false">IF((F75&lt;&gt;0),IF((D75&gt;0)," ",(I$1-A75))," ")</f>
        <v> </v>
      </c>
    </row>
    <row r="76" customFormat="false" ht="12.75" hidden="false" customHeight="false" outlineLevel="0" collapsed="false">
      <c r="A76" s="355"/>
      <c r="H76" s="338" t="str">
        <f aca="false">IF((F76&lt;&gt;0),IF((D76&gt;0)," ",F76)," ")</f>
        <v> </v>
      </c>
      <c r="I76" s="339" t="str">
        <f aca="false">IF((F76&lt;&gt;0),IF((D76&gt;0)," ",(I$1-A76))," ")</f>
        <v> </v>
      </c>
    </row>
    <row r="77" customFormat="false" ht="12.75" hidden="false" customHeight="false" outlineLevel="0" collapsed="false">
      <c r="A77" s="355"/>
      <c r="H77" s="338" t="str">
        <f aca="false">IF((F77&lt;&gt;0),IF((D77&gt;0)," ",F77)," ")</f>
        <v> </v>
      </c>
      <c r="I77" s="339" t="str">
        <f aca="false">IF((F77&lt;&gt;0),IF((D77&gt;0)," ",(I$1-A77))," ")</f>
        <v> </v>
      </c>
    </row>
    <row r="78" customFormat="false" ht="12.75" hidden="false" customHeight="false" outlineLevel="0" collapsed="false">
      <c r="A78" s="355"/>
      <c r="H78" s="338" t="str">
        <f aca="false">IF((F78&lt;&gt;0),IF((D78&gt;0)," ",F78)," ")</f>
        <v> </v>
      </c>
      <c r="I78" s="339" t="str">
        <f aca="false">IF((F78&lt;&gt;0),IF((D78&gt;0)," ",(I$1-A78))," ")</f>
        <v> </v>
      </c>
    </row>
    <row r="79" customFormat="false" ht="12.75" hidden="false" customHeight="false" outlineLevel="0" collapsed="false">
      <c r="A79" s="355"/>
      <c r="H79" s="338" t="str">
        <f aca="false">IF((F79&lt;&gt;0),IF((D79&gt;0)," ",F79)," ")</f>
        <v> </v>
      </c>
      <c r="I79" s="339" t="str">
        <f aca="false">IF((F79&lt;&gt;0),IF((D79&gt;0)," ",(I$1-A79))," ")</f>
        <v> </v>
      </c>
    </row>
    <row r="80" customFormat="false" ht="12.75" hidden="false" customHeight="false" outlineLevel="0" collapsed="false">
      <c r="A80" s="355"/>
      <c r="H80" s="338" t="str">
        <f aca="false">IF((F80&lt;&gt;0),IF((D80&gt;0)," ",F80)," ")</f>
        <v> </v>
      </c>
      <c r="I80" s="339" t="str">
        <f aca="false">IF((F80&lt;&gt;0),IF((D80&gt;0)," ",(I$1-A80))," ")</f>
        <v> </v>
      </c>
    </row>
    <row r="81" customFormat="false" ht="12.75" hidden="false" customHeight="false" outlineLevel="0" collapsed="false">
      <c r="A81" s="355"/>
      <c r="H81" s="338" t="str">
        <f aca="false">IF((F81&lt;&gt;0),IF((D81&gt;0)," ",F81)," ")</f>
        <v> </v>
      </c>
      <c r="I81" s="339" t="str">
        <f aca="false">IF((F81&lt;&gt;0),IF((D81&gt;0)," ",(I$1-A81))," ")</f>
        <v> </v>
      </c>
    </row>
    <row r="82" customFormat="false" ht="12.75" hidden="false" customHeight="false" outlineLevel="0" collapsed="false">
      <c r="A82" s="355"/>
      <c r="H82" s="338" t="str">
        <f aca="false">IF((F82&lt;&gt;0),IF((D82&gt;0)," ",F82)," ")</f>
        <v> </v>
      </c>
      <c r="I82" s="339" t="str">
        <f aca="false">IF((F82&lt;&gt;0),IF((D82&gt;0)," ",(I$1-A82))," ")</f>
        <v> </v>
      </c>
    </row>
    <row r="83" customFormat="false" ht="12.75" hidden="false" customHeight="false" outlineLevel="0" collapsed="false">
      <c r="A83" s="355"/>
      <c r="H83" s="338" t="str">
        <f aca="false">IF((F83&lt;&gt;0),IF((D83&gt;0)," ",F83)," ")</f>
        <v> </v>
      </c>
      <c r="I83" s="339" t="str">
        <f aca="false">IF((F83&lt;&gt;0),IF((D83&gt;0)," ",(I$1-A83))," ")</f>
        <v> </v>
      </c>
    </row>
    <row r="84" customFormat="false" ht="12.75" hidden="false" customHeight="false" outlineLevel="0" collapsed="false">
      <c r="A84" s="355"/>
      <c r="H84" s="338" t="str">
        <f aca="false">IF((F84&lt;&gt;0),IF((D84&gt;0)," ",F84)," ")</f>
        <v> </v>
      </c>
      <c r="I84" s="339" t="str">
        <f aca="false">IF((F84&lt;&gt;0),IF((D84&gt;0)," ",(I$1-A84))," ")</f>
        <v> </v>
      </c>
    </row>
    <row r="85" customFormat="false" ht="12.75" hidden="false" customHeight="false" outlineLevel="0" collapsed="false">
      <c r="A85" s="355"/>
      <c r="H85" s="338" t="str">
        <f aca="false">IF((F85&lt;&gt;0),IF((D85&gt;0)," ",F85)," ")</f>
        <v> </v>
      </c>
      <c r="I85" s="339" t="str">
        <f aca="false">IF((F85&lt;&gt;0),IF((D85&gt;0)," ",(I$1-A85))," ")</f>
        <v> </v>
      </c>
    </row>
    <row r="86" customFormat="false" ht="12.75" hidden="false" customHeight="false" outlineLevel="0" collapsed="false">
      <c r="A86" s="355"/>
      <c r="H86" s="338" t="str">
        <f aca="false">IF((F86&lt;&gt;0),IF((D86&gt;0)," ",F86)," ")</f>
        <v> </v>
      </c>
      <c r="I86" s="339" t="str">
        <f aca="false">IF((F86&lt;&gt;0),IF((D86&gt;0)," ",(I$1-A86))," ")</f>
        <v> </v>
      </c>
    </row>
    <row r="87" customFormat="false" ht="12.75" hidden="false" customHeight="false" outlineLevel="0" collapsed="false">
      <c r="A87" s="355"/>
      <c r="H87" s="338" t="str">
        <f aca="false">IF((F87&lt;&gt;0),IF((D87&gt;0)," ",F87)," ")</f>
        <v> </v>
      </c>
      <c r="I87" s="339" t="str">
        <f aca="false">IF((F87&lt;&gt;0),IF((D87&gt;0)," ",(I$1-A87))," ")</f>
        <v> </v>
      </c>
    </row>
    <row r="88" customFormat="false" ht="12.75" hidden="false" customHeight="false" outlineLevel="0" collapsed="false">
      <c r="A88" s="355"/>
      <c r="H88" s="338" t="str">
        <f aca="false">IF((F88&lt;&gt;0),IF((D88&gt;0)," ",F88)," ")</f>
        <v> </v>
      </c>
      <c r="I88" s="339" t="str">
        <f aca="false">IF((F88&lt;&gt;0),IF((D88&gt;0)," ",(I$1-A88))," ")</f>
        <v> </v>
      </c>
    </row>
    <row r="89" customFormat="false" ht="12.75" hidden="false" customHeight="false" outlineLevel="0" collapsed="false">
      <c r="A89" s="355"/>
      <c r="H89" s="338" t="str">
        <f aca="false">IF((F89&lt;&gt;0),IF((D89&gt;0)," ",F89)," ")</f>
        <v> </v>
      </c>
      <c r="I89" s="339" t="str">
        <f aca="false">IF((F89&lt;&gt;0),IF((D89&gt;0)," ",(I$1-A89))," ")</f>
        <v> </v>
      </c>
    </row>
    <row r="90" customFormat="false" ht="12.75" hidden="false" customHeight="false" outlineLevel="0" collapsed="false">
      <c r="A90" s="355"/>
      <c r="H90" s="338" t="str">
        <f aca="false">IF((F90&lt;&gt;0),IF((D90&gt;0)," ",F90)," ")</f>
        <v> </v>
      </c>
      <c r="I90" s="339" t="str">
        <f aca="false">IF((F90&lt;&gt;0),IF((D90&gt;0)," ",(I$1-A90))," ")</f>
        <v> </v>
      </c>
    </row>
    <row r="91" customFormat="false" ht="12.75" hidden="false" customHeight="false" outlineLevel="0" collapsed="false">
      <c r="A91" s="355"/>
      <c r="H91" s="338" t="str">
        <f aca="false">IF((F91&lt;&gt;0),IF((D91&gt;0)," ",F91)," ")</f>
        <v> </v>
      </c>
      <c r="I91" s="339" t="str">
        <f aca="false">IF((F91&lt;&gt;0),IF((D91&gt;0)," ",(I$1-A91))," ")</f>
        <v> </v>
      </c>
    </row>
    <row r="92" customFormat="false" ht="12.75" hidden="false" customHeight="false" outlineLevel="0" collapsed="false">
      <c r="A92" s="355"/>
      <c r="H92" s="338" t="str">
        <f aca="false">IF((F92&lt;&gt;0),IF((D92&gt;0)," ",F92)," ")</f>
        <v> </v>
      </c>
      <c r="I92" s="339" t="str">
        <f aca="false">IF((F92&lt;&gt;0),IF((D92&gt;0)," ",(I$1-A92))," ")</f>
        <v> </v>
      </c>
    </row>
    <row r="93" customFormat="false" ht="12.75" hidden="false" customHeight="false" outlineLevel="0" collapsed="false">
      <c r="A93" s="355"/>
      <c r="H93" s="338" t="str">
        <f aca="false">IF((F93&lt;&gt;0),IF((D93&gt;0)," ",F93)," ")</f>
        <v> </v>
      </c>
      <c r="I93" s="339" t="str">
        <f aca="false">IF((F93&lt;&gt;0),IF((D93&gt;0)," ",(I$1-A93))," ")</f>
        <v> </v>
      </c>
    </row>
    <row r="94" customFormat="false" ht="12.75" hidden="false" customHeight="false" outlineLevel="0" collapsed="false">
      <c r="A94" s="355"/>
      <c r="H94" s="338" t="str">
        <f aca="false">IF((F94&lt;&gt;0),IF((D94&gt;0)," ",F94)," ")</f>
        <v> </v>
      </c>
      <c r="I94" s="339" t="str">
        <f aca="false">IF((F94&lt;&gt;0),IF((D94&gt;0)," ",(I$1-A94))," ")</f>
        <v> </v>
      </c>
    </row>
    <row r="95" customFormat="false" ht="12.75" hidden="false" customHeight="false" outlineLevel="0" collapsed="false">
      <c r="A95" s="355"/>
      <c r="H95" s="338" t="str">
        <f aca="false">IF((F95&lt;&gt;0),IF((D95&gt;0)," ",F95)," ")</f>
        <v> </v>
      </c>
      <c r="I95" s="339" t="str">
        <f aca="false">IF((F95&lt;&gt;0),IF((D95&gt;0)," ",(I$1-A95))," ")</f>
        <v> </v>
      </c>
    </row>
    <row r="96" customFormat="false" ht="12.75" hidden="false" customHeight="false" outlineLevel="0" collapsed="false">
      <c r="A96" s="355"/>
      <c r="H96" s="338" t="str">
        <f aca="false">IF((F96&lt;&gt;0),IF((D96&gt;0)," ",F96)," ")</f>
        <v> </v>
      </c>
      <c r="I96" s="339" t="str">
        <f aca="false">IF((F96&lt;&gt;0),IF((D96&gt;0)," ",(I$1-A96))," ")</f>
        <v> </v>
      </c>
    </row>
    <row r="97" customFormat="false" ht="12.75" hidden="false" customHeight="false" outlineLevel="0" collapsed="false">
      <c r="A97" s="355"/>
      <c r="H97" s="338" t="str">
        <f aca="false">IF((F97&lt;&gt;0),IF((D97&gt;0)," ",F97)," ")</f>
        <v> </v>
      </c>
      <c r="I97" s="339" t="str">
        <f aca="false">IF((F97&lt;&gt;0),IF((D97&gt;0)," ",(I$1-A97))," ")</f>
        <v> </v>
      </c>
    </row>
    <row r="98" customFormat="false" ht="12.75" hidden="false" customHeight="false" outlineLevel="0" collapsed="false">
      <c r="A98" s="355"/>
      <c r="H98" s="338" t="str">
        <f aca="false">IF((F98&lt;&gt;0),IF((D98&gt;0)," ",F98)," ")</f>
        <v> </v>
      </c>
      <c r="I98" s="339" t="str">
        <f aca="false">IF((F98&lt;&gt;0),IF((D98&gt;0)," ",(I$1-A98))," ")</f>
        <v> </v>
      </c>
    </row>
    <row r="99" customFormat="false" ht="12.75" hidden="false" customHeight="false" outlineLevel="0" collapsed="false">
      <c r="A99" s="355"/>
      <c r="H99" s="338" t="str">
        <f aca="false">IF((F99&lt;&gt;0),IF((D99&gt;0)," ",F99)," ")</f>
        <v> </v>
      </c>
      <c r="I99" s="339" t="str">
        <f aca="false">IF((F99&lt;&gt;0),IF((D99&gt;0)," ",(I$1-A99))," ")</f>
        <v> </v>
      </c>
    </row>
    <row r="100" customFormat="false" ht="12.75" hidden="false" customHeight="false" outlineLevel="0" collapsed="false">
      <c r="A100" s="355"/>
      <c r="H100" s="338" t="str">
        <f aca="false">IF((F100&lt;&gt;0),IF((D100&gt;0)," ",F100)," ")</f>
        <v> </v>
      </c>
      <c r="I100" s="339" t="str">
        <f aca="false">IF((F100&lt;&gt;0),IF((D100&gt;0)," ",(I$1-A100))," ")</f>
        <v> </v>
      </c>
    </row>
    <row r="101" customFormat="false" ht="12.75" hidden="false" customHeight="false" outlineLevel="0" collapsed="false">
      <c r="A101" s="355"/>
      <c r="H101" s="338" t="str">
        <f aca="false">IF((F101&lt;&gt;0),IF((D101&gt;0)," ",F101)," ")</f>
        <v> </v>
      </c>
      <c r="I101" s="339" t="str">
        <f aca="false">IF((F101&lt;&gt;0),IF((D101&gt;0)," ",(I$1-A101))," ")</f>
        <v> </v>
      </c>
    </row>
    <row r="102" customFormat="false" ht="12.75" hidden="false" customHeight="false" outlineLevel="0" collapsed="false">
      <c r="A102" s="355"/>
      <c r="H102" s="338" t="str">
        <f aca="false">IF((F102&lt;&gt;0),IF((D102&gt;0)," ",F102)," ")</f>
        <v> </v>
      </c>
      <c r="I102" s="339" t="str">
        <f aca="false">IF((F102&lt;&gt;0),IF((D102&gt;0)," ",(I$1-A102))," ")</f>
        <v> </v>
      </c>
    </row>
    <row r="103" customFormat="false" ht="12.75" hidden="false" customHeight="false" outlineLevel="0" collapsed="false">
      <c r="A103" s="355"/>
      <c r="H103" s="338" t="str">
        <f aca="false">IF((F103&lt;&gt;0),IF((D103&gt;0)," ",F103)," ")</f>
        <v> </v>
      </c>
      <c r="I103" s="339" t="str">
        <f aca="false">IF((F103&lt;&gt;0),IF((D103&gt;0)," ",(I$1-A103))," ")</f>
        <v> </v>
      </c>
    </row>
    <row r="104" customFormat="false" ht="12.75" hidden="false" customHeight="false" outlineLevel="0" collapsed="false">
      <c r="A104" s="355"/>
      <c r="H104" s="338" t="str">
        <f aca="false">IF((F104&lt;&gt;0),IF((D104&gt;0)," ",F104)," ")</f>
        <v> </v>
      </c>
      <c r="I104" s="339" t="str">
        <f aca="false">IF((F104&lt;&gt;0),IF((D104&gt;0)," ",(I$1-A104))," ")</f>
        <v> </v>
      </c>
    </row>
    <row r="105" customFormat="false" ht="12.75" hidden="false" customHeight="false" outlineLevel="0" collapsed="false">
      <c r="A105" s="355"/>
      <c r="H105" s="338" t="str">
        <f aca="false">IF((F105&lt;&gt;0),IF((D105&gt;0)," ",F105)," ")</f>
        <v> </v>
      </c>
      <c r="I105" s="339" t="str">
        <f aca="false">IF((F105&lt;&gt;0),IF((D105&gt;0)," ",(I$1-A105))," ")</f>
        <v> </v>
      </c>
    </row>
    <row r="106" customFormat="false" ht="12.75" hidden="false" customHeight="false" outlineLevel="0" collapsed="false">
      <c r="A106" s="355"/>
      <c r="H106" s="338" t="str">
        <f aca="false">IF((F106&lt;&gt;0),IF((D106&gt;0)," ",F106)," ")</f>
        <v> </v>
      </c>
      <c r="I106" s="339" t="str">
        <f aca="false">IF((F106&lt;&gt;0),IF((D106&gt;0)," ",(I$1-A106))," ")</f>
        <v> </v>
      </c>
    </row>
    <row r="107" customFormat="false" ht="12.75" hidden="false" customHeight="false" outlineLevel="0" collapsed="false">
      <c r="A107" s="355"/>
      <c r="H107" s="338" t="str">
        <f aca="false">IF((F107&lt;&gt;0),IF((D107&gt;0)," ",F107)," ")</f>
        <v> </v>
      </c>
      <c r="I107" s="339" t="str">
        <f aca="false">IF((F107&lt;&gt;0),IF((D107&gt;0)," ",(I$1-A107))," ")</f>
        <v> </v>
      </c>
    </row>
    <row r="108" customFormat="false" ht="12.75" hidden="false" customHeight="false" outlineLevel="0" collapsed="false">
      <c r="A108" s="355"/>
      <c r="H108" s="338" t="str">
        <f aca="false">IF((F108&lt;&gt;0),IF((D108&gt;0)," ",F108)," ")</f>
        <v> </v>
      </c>
      <c r="I108" s="339" t="str">
        <f aca="false">IF((F108&lt;&gt;0),IF((D108&gt;0)," ",(I$1-A108))," ")</f>
        <v> </v>
      </c>
    </row>
    <row r="109" customFormat="false" ht="12.75" hidden="false" customHeight="false" outlineLevel="0" collapsed="false">
      <c r="A109" s="355"/>
      <c r="H109" s="338" t="str">
        <f aca="false">IF((F109&lt;&gt;0),IF((D109&gt;0)," ",F109)," ")</f>
        <v> </v>
      </c>
      <c r="I109" s="339" t="str">
        <f aca="false">IF((F109&lt;&gt;0),IF((D109&gt;0)," ",(I$1-A109))," ")</f>
        <v> </v>
      </c>
    </row>
    <row r="110" customFormat="false" ht="12.75" hidden="false" customHeight="false" outlineLevel="0" collapsed="false">
      <c r="A110" s="355"/>
      <c r="H110" s="338" t="str">
        <f aca="false">IF((F110&lt;&gt;0),IF((D110&gt;0)," ",F110)," ")</f>
        <v> </v>
      </c>
      <c r="I110" s="339" t="str">
        <f aca="false">IF((F110&lt;&gt;0),IF((D110&gt;0)," ",(I$1-A110))," ")</f>
        <v> </v>
      </c>
    </row>
    <row r="111" customFormat="false" ht="12.75" hidden="false" customHeight="false" outlineLevel="0" collapsed="false">
      <c r="A111" s="355"/>
      <c r="H111" s="338" t="str">
        <f aca="false">IF((F111&lt;&gt;0),IF((D111&gt;0)," ",F111)," ")</f>
        <v> </v>
      </c>
      <c r="I111" s="339" t="str">
        <f aca="false">IF((F111&lt;&gt;0),IF((D111&gt;0)," ",(I$1-A111))," ")</f>
        <v> </v>
      </c>
    </row>
    <row r="112" customFormat="false" ht="12.75" hidden="false" customHeight="false" outlineLevel="0" collapsed="false">
      <c r="A112" s="355"/>
      <c r="H112" s="338" t="str">
        <f aca="false">IF((F112&lt;&gt;0),IF((D112&gt;0)," ",F112)," ")</f>
        <v> </v>
      </c>
      <c r="I112" s="339" t="str">
        <f aca="false">IF((F112&lt;&gt;0),IF((D112&gt;0)," ",(I$1-A112))," ")</f>
        <v> </v>
      </c>
    </row>
    <row r="113" customFormat="false" ht="12.75" hidden="false" customHeight="false" outlineLevel="0" collapsed="false">
      <c r="A113" s="355"/>
      <c r="H113" s="338" t="str">
        <f aca="false">IF((F113&lt;&gt;0),IF((D113&gt;0)," ",F113)," ")</f>
        <v> </v>
      </c>
      <c r="I113" s="339" t="str">
        <f aca="false">IF((F113&lt;&gt;0),IF((D113&gt;0)," ",(I$1-A113))," ")</f>
        <v> </v>
      </c>
    </row>
    <row r="114" customFormat="false" ht="12.75" hidden="false" customHeight="false" outlineLevel="0" collapsed="false">
      <c r="A114" s="355"/>
      <c r="H114" s="338" t="str">
        <f aca="false">IF((F114&lt;&gt;0),IF((D114&gt;0)," ",F114)," ")</f>
        <v> </v>
      </c>
      <c r="I114" s="339" t="str">
        <f aca="false">IF((F114&lt;&gt;0),IF((D114&gt;0)," ",(I$1-A114))," ")</f>
        <v> </v>
      </c>
    </row>
    <row r="115" customFormat="false" ht="12.75" hidden="false" customHeight="false" outlineLevel="0" collapsed="false">
      <c r="A115" s="355"/>
      <c r="H115" s="338" t="str">
        <f aca="false">IF((F115&lt;&gt;0),IF((D115&gt;0)," ",F115)," ")</f>
        <v> </v>
      </c>
      <c r="I115" s="339" t="str">
        <f aca="false">IF((F115&lt;&gt;0),IF((D115&gt;0)," ",(I$1-A115))," ")</f>
        <v> </v>
      </c>
    </row>
    <row r="116" customFormat="false" ht="12.75" hidden="false" customHeight="false" outlineLevel="0" collapsed="false">
      <c r="A116" s="355"/>
      <c r="H116" s="338" t="str">
        <f aca="false">IF((F116&lt;&gt;0),IF((D116&gt;0)," ",F116)," ")</f>
        <v> </v>
      </c>
      <c r="I116" s="339" t="str">
        <f aca="false">IF((F116&lt;&gt;0),IF((D116&gt;0)," ",(I$1-A116))," ")</f>
        <v> </v>
      </c>
    </row>
    <row r="117" customFormat="false" ht="12.75" hidden="false" customHeight="false" outlineLevel="0" collapsed="false">
      <c r="A117" s="355"/>
      <c r="H117" s="338" t="str">
        <f aca="false">IF((F117&lt;&gt;0),IF((D117&gt;0)," ",F117)," ")</f>
        <v> </v>
      </c>
      <c r="I117" s="339" t="str">
        <f aca="false">IF((F117&lt;&gt;0),IF((D117&gt;0)," ",(I$1-A117))," ")</f>
        <v> </v>
      </c>
    </row>
    <row r="118" customFormat="false" ht="12.75" hidden="false" customHeight="false" outlineLevel="0" collapsed="false">
      <c r="A118" s="355"/>
      <c r="H118" s="338" t="str">
        <f aca="false">IF((F118&lt;&gt;0),IF((D118&gt;0)," ",F118)," ")</f>
        <v> </v>
      </c>
      <c r="I118" s="339" t="str">
        <f aca="false">IF((F118&lt;&gt;0),IF((D118&gt;0)," ",(I$1-A118))," ")</f>
        <v> </v>
      </c>
    </row>
    <row r="119" customFormat="false" ht="12.75" hidden="false" customHeight="false" outlineLevel="0" collapsed="false">
      <c r="A119" s="355"/>
      <c r="H119" s="338" t="str">
        <f aca="false">IF((F119&lt;&gt;0),IF((D119&gt;0)," ",F119)," ")</f>
        <v> </v>
      </c>
      <c r="I119" s="339" t="str">
        <f aca="false">IF((F119&lt;&gt;0),IF((D119&gt;0)," ",(I$1-A119))," ")</f>
        <v> </v>
      </c>
    </row>
    <row r="120" customFormat="false" ht="12.75" hidden="false" customHeight="false" outlineLevel="0" collapsed="false">
      <c r="A120" s="355"/>
      <c r="H120" s="338" t="str">
        <f aca="false">IF((F120&lt;&gt;0),IF((D120&gt;0)," ",F120)," ")</f>
        <v> </v>
      </c>
      <c r="I120" s="339" t="str">
        <f aca="false">IF((F120&lt;&gt;0),IF((D120&gt;0)," ",(I$1-A120))," ")</f>
        <v> </v>
      </c>
    </row>
    <row r="121" customFormat="false" ht="12.75" hidden="false" customHeight="false" outlineLevel="0" collapsed="false">
      <c r="A121" s="355"/>
      <c r="H121" s="338" t="str">
        <f aca="false">IF((F121&lt;&gt;0),IF((D121&gt;0)," ",F121)," ")</f>
        <v> </v>
      </c>
      <c r="I121" s="339" t="str">
        <f aca="false">IF((F121&lt;&gt;0),IF((D121&gt;0)," ",(I$1-A121))," ")</f>
        <v> </v>
      </c>
    </row>
    <row r="122" customFormat="false" ht="12.75" hidden="false" customHeight="false" outlineLevel="0" collapsed="false">
      <c r="A122" s="355"/>
      <c r="H122" s="338" t="str">
        <f aca="false">IF((F122&lt;&gt;0),IF((D122&gt;0)," ",F122)," ")</f>
        <v> </v>
      </c>
      <c r="I122" s="339" t="str">
        <f aca="false">IF((F122&lt;&gt;0),IF((D122&gt;0)," ",(I$1-A122))," ")</f>
        <v> </v>
      </c>
    </row>
    <row r="123" customFormat="false" ht="12.75" hidden="false" customHeight="false" outlineLevel="0" collapsed="false">
      <c r="A123" s="355"/>
      <c r="H123" s="338" t="str">
        <f aca="false">IF((F123&lt;&gt;0),IF((D123&gt;0)," ",F123)," ")</f>
        <v> </v>
      </c>
      <c r="I123" s="339" t="str">
        <f aca="false">IF((F123&lt;&gt;0),IF((D123&gt;0)," ",(I$1-A123))," ")</f>
        <v> </v>
      </c>
    </row>
    <row r="124" customFormat="false" ht="12.75" hidden="false" customHeight="false" outlineLevel="0" collapsed="false">
      <c r="A124" s="355"/>
      <c r="H124" s="338" t="str">
        <f aca="false">IF((F124&lt;&gt;0),IF((D124&gt;0)," ",F124)," ")</f>
        <v> </v>
      </c>
      <c r="I124" s="339" t="str">
        <f aca="false">IF((F124&lt;&gt;0),IF((D124&gt;0)," ",(I$1-A124))," ")</f>
        <v> </v>
      </c>
    </row>
    <row r="125" customFormat="false" ht="12.75" hidden="false" customHeight="false" outlineLevel="0" collapsed="false">
      <c r="A125" s="355"/>
      <c r="H125" s="338" t="str">
        <f aca="false">IF((F125&lt;&gt;0),IF((D125&gt;0)," ",F125)," ")</f>
        <v> </v>
      </c>
      <c r="I125" s="339" t="str">
        <f aca="false">IF((F125&lt;&gt;0),IF((D125&gt;0)," ",(I$1-A125))," ")</f>
        <v> </v>
      </c>
    </row>
    <row r="126" customFormat="false" ht="12.75" hidden="false" customHeight="false" outlineLevel="0" collapsed="false">
      <c r="A126" s="355"/>
      <c r="H126" s="338" t="str">
        <f aca="false">IF((F126&lt;&gt;0),IF((D126&gt;0)," ",F126)," ")</f>
        <v> </v>
      </c>
      <c r="I126" s="339" t="str">
        <f aca="false">IF((F126&lt;&gt;0),IF((D126&gt;0)," ",(I$1-A126))," ")</f>
        <v> </v>
      </c>
    </row>
    <row r="127" customFormat="false" ht="12.75" hidden="false" customHeight="false" outlineLevel="0" collapsed="false">
      <c r="A127" s="355"/>
      <c r="H127" s="338" t="str">
        <f aca="false">IF((F127&lt;&gt;0),IF((D127&gt;0)," ",F127)," ")</f>
        <v> </v>
      </c>
      <c r="I127" s="339" t="str">
        <f aca="false">IF((F127&lt;&gt;0),IF((D127&gt;0)," ",(I$1-A127))," ")</f>
        <v> </v>
      </c>
    </row>
    <row r="128" customFormat="false" ht="12.75" hidden="false" customHeight="false" outlineLevel="0" collapsed="false">
      <c r="A128" s="355"/>
      <c r="H128" s="338" t="str">
        <f aca="false">IF((F128&lt;&gt;0),IF((D128&gt;0)," ",F128)," ")</f>
        <v> </v>
      </c>
      <c r="I128" s="339" t="str">
        <f aca="false">IF((F128&lt;&gt;0),IF((D128&gt;0)," ",(I$1-A128))," ")</f>
        <v> </v>
      </c>
    </row>
    <row r="129" customFormat="false" ht="12.75" hidden="false" customHeight="false" outlineLevel="0" collapsed="false">
      <c r="A129" s="355"/>
      <c r="H129" s="338" t="str">
        <f aca="false">IF((F129&lt;&gt;0),IF((D129&gt;0)," ",F129)," ")</f>
        <v> </v>
      </c>
      <c r="I129" s="339" t="str">
        <f aca="false">IF((F129&lt;&gt;0),IF((D129&gt;0)," ",(I$1-A129))," ")</f>
        <v> </v>
      </c>
    </row>
    <row r="130" customFormat="false" ht="12.75" hidden="false" customHeight="false" outlineLevel="0" collapsed="false">
      <c r="A130" s="355"/>
      <c r="H130" s="338" t="str">
        <f aca="false">IF((F130&lt;&gt;0),IF((D130&gt;0)," ",F130)," ")</f>
        <v> </v>
      </c>
      <c r="I130" s="339" t="str">
        <f aca="false">IF((F130&lt;&gt;0),IF((D130&gt;0)," ",(I$1-A130))," ")</f>
        <v> </v>
      </c>
    </row>
    <row r="131" customFormat="false" ht="12.75" hidden="false" customHeight="false" outlineLevel="0" collapsed="false">
      <c r="A131" s="355"/>
      <c r="H131" s="338" t="str">
        <f aca="false">IF((F131&lt;&gt;0),IF((D131&gt;0)," ",F131)," ")</f>
        <v> </v>
      </c>
      <c r="I131" s="339" t="str">
        <f aca="false">IF((F131&lt;&gt;0),IF((D131&gt;0)," ",(I$1-A131))," ")</f>
        <v> </v>
      </c>
    </row>
    <row r="132" customFormat="false" ht="12.75" hidden="false" customHeight="false" outlineLevel="0" collapsed="false">
      <c r="A132" s="355"/>
      <c r="H132" s="338" t="str">
        <f aca="false">IF((F132&lt;&gt;0),IF((D132&gt;0)," ",F132)," ")</f>
        <v> </v>
      </c>
      <c r="I132" s="339" t="str">
        <f aca="false">IF((F132&lt;&gt;0),IF((D132&gt;0)," ",(I$1-A132))," ")</f>
        <v> </v>
      </c>
    </row>
    <row r="133" customFormat="false" ht="12.75" hidden="false" customHeight="false" outlineLevel="0" collapsed="false">
      <c r="A133" s="355"/>
      <c r="H133" s="338" t="str">
        <f aca="false">IF((F133&lt;&gt;0),IF((D133&gt;0)," ",F133)," ")</f>
        <v> </v>
      </c>
      <c r="I133" s="339" t="str">
        <f aca="false">IF((F133&lt;&gt;0),IF((D133&gt;0)," ",(I$1-A133))," ")</f>
        <v> </v>
      </c>
    </row>
    <row r="134" customFormat="false" ht="12.75" hidden="false" customHeight="false" outlineLevel="0" collapsed="false">
      <c r="A134" s="355"/>
      <c r="H134" s="338" t="str">
        <f aca="false">IF((F134&lt;&gt;0),IF((D134&gt;0)," ",F134)," ")</f>
        <v> </v>
      </c>
      <c r="I134" s="339" t="str">
        <f aca="false">IF((F134&lt;&gt;0),IF((D134&gt;0)," ",(I$1-A134))," ")</f>
        <v> </v>
      </c>
    </row>
    <row r="135" customFormat="false" ht="12.75" hidden="false" customHeight="false" outlineLevel="0" collapsed="false">
      <c r="A135" s="355"/>
      <c r="H135" s="338" t="str">
        <f aca="false">IF((F135&lt;&gt;0),IF((D135&gt;0)," ",F135)," ")</f>
        <v> </v>
      </c>
      <c r="I135" s="339" t="str">
        <f aca="false">IF((F135&lt;&gt;0),IF((D135&gt;0)," ",(I$1-A135))," ")</f>
        <v> </v>
      </c>
    </row>
    <row r="136" customFormat="false" ht="12.75" hidden="false" customHeight="false" outlineLevel="0" collapsed="false">
      <c r="A136" s="355"/>
      <c r="H136" s="338" t="str">
        <f aca="false">IF((F136&lt;&gt;0),IF((D136&gt;0)," ",F136)," ")</f>
        <v> </v>
      </c>
      <c r="I136" s="339" t="str">
        <f aca="false">IF((F136&lt;&gt;0),IF((D136&gt;0)," ",(I$1-A136))," ")</f>
        <v> </v>
      </c>
    </row>
    <row r="137" customFormat="false" ht="12.75" hidden="false" customHeight="false" outlineLevel="0" collapsed="false">
      <c r="A137" s="355"/>
      <c r="H137" s="338" t="str">
        <f aca="false">IF((F137&lt;&gt;0),IF((D137&gt;0)," ",F137)," ")</f>
        <v> </v>
      </c>
      <c r="I137" s="339" t="str">
        <f aca="false">IF((F137&lt;&gt;0),IF((D137&gt;0)," ",(I$1-A137))," ")</f>
        <v> </v>
      </c>
    </row>
    <row r="138" customFormat="false" ht="12.75" hidden="false" customHeight="false" outlineLevel="0" collapsed="false">
      <c r="A138" s="355"/>
      <c r="H138" s="338" t="str">
        <f aca="false">IF((F138&lt;&gt;0),IF((D138&gt;0)," ",F138)," ")</f>
        <v> </v>
      </c>
      <c r="I138" s="339" t="str">
        <f aca="false">IF((F138&lt;&gt;0),IF((D138&gt;0)," ",(I$1-A138))," ")</f>
        <v> </v>
      </c>
    </row>
    <row r="139" customFormat="false" ht="12.75" hidden="false" customHeight="false" outlineLevel="0" collapsed="false">
      <c r="A139" s="355"/>
      <c r="H139" s="338" t="str">
        <f aca="false">IF((F139&lt;&gt;0),IF((D139&gt;0)," ",F139)," ")</f>
        <v> </v>
      </c>
      <c r="I139" s="339" t="str">
        <f aca="false">IF((F139&lt;&gt;0),IF((D139&gt;0)," ",(I$1-A139))," ")</f>
        <v> </v>
      </c>
    </row>
    <row r="140" customFormat="false" ht="12.75" hidden="false" customHeight="false" outlineLevel="0" collapsed="false">
      <c r="A140" s="355"/>
      <c r="H140" s="338" t="str">
        <f aca="false">IF((F140&lt;&gt;0),IF((D140&gt;0)," ",F140)," ")</f>
        <v> </v>
      </c>
      <c r="I140" s="339" t="str">
        <f aca="false">IF((F140&lt;&gt;0),IF((D140&gt;0)," ",(I$1-A140))," ")</f>
        <v> </v>
      </c>
    </row>
    <row r="141" customFormat="false" ht="12.75" hidden="false" customHeight="false" outlineLevel="0" collapsed="false">
      <c r="A141" s="355"/>
      <c r="H141" s="338" t="str">
        <f aca="false">IF((F141&lt;&gt;0),IF((D141&gt;0)," ",F141)," ")</f>
        <v> </v>
      </c>
      <c r="I141" s="339" t="str">
        <f aca="false">IF((F141&lt;&gt;0),IF((D141&gt;0)," ",(I$1-A141))," ")</f>
        <v> </v>
      </c>
    </row>
    <row r="142" customFormat="false" ht="12.75" hidden="false" customHeight="false" outlineLevel="0" collapsed="false">
      <c r="A142" s="355"/>
      <c r="H142" s="338" t="str">
        <f aca="false">IF((F142&lt;&gt;0),IF((D142&gt;0)," ",F142)," ")</f>
        <v> </v>
      </c>
      <c r="I142" s="339" t="str">
        <f aca="false">IF((F142&lt;&gt;0),IF((D142&gt;0)," ",(I$1-A142))," ")</f>
        <v> </v>
      </c>
    </row>
    <row r="143" customFormat="false" ht="12.75" hidden="false" customHeight="false" outlineLevel="0" collapsed="false">
      <c r="A143" s="355"/>
      <c r="H143" s="338" t="str">
        <f aca="false">IF((F143&lt;&gt;0),IF((D143&gt;0)," ",F143)," ")</f>
        <v> </v>
      </c>
      <c r="I143" s="339" t="str">
        <f aca="false">IF((F143&lt;&gt;0),IF((D143&gt;0)," ",(I$1-A143))," ")</f>
        <v> </v>
      </c>
    </row>
    <row r="144" customFormat="false" ht="12.75" hidden="false" customHeight="false" outlineLevel="0" collapsed="false">
      <c r="A144" s="355"/>
      <c r="H144" s="338" t="str">
        <f aca="false">IF((F144&lt;&gt;0),IF((D144&gt;0)," ",F144)," ")</f>
        <v> </v>
      </c>
      <c r="I144" s="339" t="str">
        <f aca="false">IF((F144&lt;&gt;0),IF((D144&gt;0)," ",(I$1-A144))," ")</f>
        <v> </v>
      </c>
    </row>
    <row r="145" customFormat="false" ht="12.75" hidden="false" customHeight="false" outlineLevel="0" collapsed="false">
      <c r="A145" s="355"/>
      <c r="H145" s="338" t="str">
        <f aca="false">IF((F145&lt;&gt;0),IF((D145&gt;0)," ",F145)," ")</f>
        <v> </v>
      </c>
      <c r="I145" s="339" t="str">
        <f aca="false">IF((F145&lt;&gt;0),IF((D145&gt;0)," ",(I$1-A145))," ")</f>
        <v> </v>
      </c>
    </row>
    <row r="146" customFormat="false" ht="12.75" hidden="false" customHeight="false" outlineLevel="0" collapsed="false">
      <c r="A146" s="355"/>
      <c r="H146" s="338" t="str">
        <f aca="false">IF((F146&lt;&gt;0),IF((D146&gt;0)," ",F146)," ")</f>
        <v> </v>
      </c>
      <c r="I146" s="339" t="str">
        <f aca="false">IF((F146&lt;&gt;0),IF((D146&gt;0)," ",(I$1-A146))," ")</f>
        <v> </v>
      </c>
    </row>
    <row r="147" customFormat="false" ht="12.75" hidden="false" customHeight="false" outlineLevel="0" collapsed="false">
      <c r="A147" s="355"/>
      <c r="H147" s="338" t="str">
        <f aca="false">IF((F147&lt;&gt;0),IF((D147&gt;0)," ",F147)," ")</f>
        <v> </v>
      </c>
      <c r="I147" s="339" t="str">
        <f aca="false">IF((F147&lt;&gt;0),IF((D147&gt;0)," ",(I$1-A147))," ")</f>
        <v> </v>
      </c>
    </row>
    <row r="148" customFormat="false" ht="12.75" hidden="false" customHeight="false" outlineLevel="0" collapsed="false">
      <c r="A148" s="355"/>
      <c r="H148" s="338" t="str">
        <f aca="false">IF((F148&lt;&gt;0),IF((D148&gt;0)," ",F148)," ")</f>
        <v> </v>
      </c>
      <c r="I148" s="339" t="str">
        <f aca="false">IF((F148&lt;&gt;0),IF((D148&gt;0)," ",(I$1-A148))," ")</f>
        <v> </v>
      </c>
    </row>
    <row r="149" customFormat="false" ht="12.75" hidden="false" customHeight="false" outlineLevel="0" collapsed="false">
      <c r="A149" s="355"/>
      <c r="H149" s="338" t="str">
        <f aca="false">IF((F149&lt;&gt;0),IF((D149&gt;0)," ",F149)," ")</f>
        <v> </v>
      </c>
      <c r="I149" s="339" t="str">
        <f aca="false">IF((F149&lt;&gt;0),IF((D149&gt;0)," ",(I$1-A149))," ")</f>
        <v> </v>
      </c>
    </row>
    <row r="150" customFormat="false" ht="12.75" hidden="false" customHeight="false" outlineLevel="0" collapsed="false">
      <c r="A150" s="355"/>
      <c r="H150" s="338" t="str">
        <f aca="false">IF((F150&lt;&gt;0),IF((D150&gt;0)," ",F150)," ")</f>
        <v> </v>
      </c>
      <c r="I150" s="339" t="str">
        <f aca="false">IF((F150&lt;&gt;0),IF((D150&gt;0)," ",(I$1-A150))," ")</f>
        <v> </v>
      </c>
    </row>
    <row r="151" customFormat="false" ht="12.75" hidden="false" customHeight="false" outlineLevel="0" collapsed="false">
      <c r="A151" s="355"/>
      <c r="H151" s="338" t="str">
        <f aca="false">IF((F151&lt;&gt;0),IF((D151&gt;0)," ",F151)," ")</f>
        <v> </v>
      </c>
      <c r="I151" s="339" t="str">
        <f aca="false">IF((F151&lt;&gt;0),IF((D151&gt;0)," ",(I$1-A151))," ")</f>
        <v> </v>
      </c>
    </row>
    <row r="152" customFormat="false" ht="12.75" hidden="false" customHeight="false" outlineLevel="0" collapsed="false">
      <c r="A152" s="355"/>
      <c r="H152" s="338" t="str">
        <f aca="false">IF((F152&lt;&gt;0),IF((D152&gt;0)," ",F152)," ")</f>
        <v> </v>
      </c>
      <c r="I152" s="339" t="str">
        <f aca="false">IF((F152&lt;&gt;0),IF((D152&gt;0)," ",(I$1-A152))," ")</f>
        <v> </v>
      </c>
    </row>
    <row r="153" customFormat="false" ht="12.75" hidden="false" customHeight="false" outlineLevel="0" collapsed="false">
      <c r="A153" s="355"/>
      <c r="H153" s="338" t="str">
        <f aca="false">IF((F153&lt;&gt;0),IF((D153&gt;0)," ",F153)," ")</f>
        <v> </v>
      </c>
      <c r="I153" s="339" t="str">
        <f aca="false">IF((F153&lt;&gt;0),IF((D153&gt;0)," ",(I$1-A153))," ")</f>
        <v> </v>
      </c>
    </row>
    <row r="154" customFormat="false" ht="12.75" hidden="false" customHeight="false" outlineLevel="0" collapsed="false">
      <c r="A154" s="355"/>
      <c r="H154" s="338" t="str">
        <f aca="false">IF((F154&lt;&gt;0),IF((D154&gt;0)," ",F154)," ")</f>
        <v> </v>
      </c>
      <c r="I154" s="339" t="str">
        <f aca="false">IF((F154&lt;&gt;0),IF((D154&gt;0)," ",(I$1-A154))," ")</f>
        <v> </v>
      </c>
    </row>
    <row r="155" customFormat="false" ht="12.75" hidden="false" customHeight="false" outlineLevel="0" collapsed="false">
      <c r="A155" s="355"/>
      <c r="H155" s="338" t="str">
        <f aca="false">IF((F155&lt;&gt;0),IF((D155&gt;0)," ",F155)," ")</f>
        <v> </v>
      </c>
      <c r="I155" s="339" t="str">
        <f aca="false">IF((F155&lt;&gt;0),IF((D155&gt;0)," ",(I$1-A155))," ")</f>
        <v> </v>
      </c>
    </row>
    <row r="156" customFormat="false" ht="12.75" hidden="false" customHeight="false" outlineLevel="0" collapsed="false">
      <c r="A156" s="355"/>
      <c r="H156" s="338" t="str">
        <f aca="false">IF((F156&lt;&gt;0),IF((D156&gt;0)," ",F156)," ")</f>
        <v> </v>
      </c>
      <c r="I156" s="339" t="str">
        <f aca="false">IF((F156&lt;&gt;0),IF((D156&gt;0)," ",(I$1-A156))," ")</f>
        <v> </v>
      </c>
    </row>
    <row r="157" customFormat="false" ht="12.75" hidden="false" customHeight="false" outlineLevel="0" collapsed="false">
      <c r="A157" s="355"/>
      <c r="H157" s="338" t="str">
        <f aca="false">IF((F157&lt;&gt;0),IF((D157&gt;0)," ",F157)," ")</f>
        <v> </v>
      </c>
      <c r="I157" s="339" t="str">
        <f aca="false">IF((F157&lt;&gt;0),IF((D157&gt;0)," ",(I$1-A157))," ")</f>
        <v> </v>
      </c>
    </row>
    <row r="158" customFormat="false" ht="12.75" hidden="false" customHeight="false" outlineLevel="0" collapsed="false">
      <c r="A158" s="355"/>
      <c r="H158" s="338" t="str">
        <f aca="false">IF((F158&lt;&gt;0),IF((D158&gt;0)," ",F158)," ")</f>
        <v> </v>
      </c>
      <c r="I158" s="339" t="str">
        <f aca="false">IF((F158&lt;&gt;0),IF((D158&gt;0)," ",(I$1-A158))," ")</f>
        <v> </v>
      </c>
    </row>
    <row r="159" customFormat="false" ht="12.75" hidden="false" customHeight="false" outlineLevel="0" collapsed="false">
      <c r="A159" s="355"/>
      <c r="H159" s="338" t="str">
        <f aca="false">IF((F159&lt;&gt;0),IF((D159&gt;0)," ",F159)," ")</f>
        <v> </v>
      </c>
      <c r="I159" s="339" t="str">
        <f aca="false">IF((F159&lt;&gt;0),IF((D159&gt;0)," ",(I$1-A159))," ")</f>
        <v> </v>
      </c>
    </row>
    <row r="160" customFormat="false" ht="12.75" hidden="false" customHeight="false" outlineLevel="0" collapsed="false">
      <c r="A160" s="355"/>
      <c r="H160" s="338" t="str">
        <f aca="false">IF((F160&lt;&gt;0),IF((D160&gt;0)," ",F160)," ")</f>
        <v> </v>
      </c>
      <c r="I160" s="339" t="str">
        <f aca="false">IF((F160&lt;&gt;0),IF((D160&gt;0)," ",(I$1-A160))," ")</f>
        <v> </v>
      </c>
    </row>
    <row r="161" customFormat="false" ht="12.75" hidden="false" customHeight="false" outlineLevel="0" collapsed="false">
      <c r="A161" s="355"/>
      <c r="H161" s="338" t="str">
        <f aca="false">IF((F161&lt;&gt;0),IF((D161&gt;0)," ",F161)," ")</f>
        <v> </v>
      </c>
      <c r="I161" s="339" t="str">
        <f aca="false">IF((F161&lt;&gt;0),IF((D161&gt;0)," ",(I$1-A161))," ")</f>
        <v> </v>
      </c>
    </row>
    <row r="162" customFormat="false" ht="12.75" hidden="false" customHeight="false" outlineLevel="0" collapsed="false">
      <c r="A162" s="355"/>
      <c r="H162" s="338" t="str">
        <f aca="false">IF((F162&lt;&gt;0),IF((D162&gt;0)," ",F162)," ")</f>
        <v> </v>
      </c>
      <c r="I162" s="339" t="str">
        <f aca="false">IF((F162&lt;&gt;0),IF((D162&gt;0)," ",(I$1-A162))," ")</f>
        <v> </v>
      </c>
    </row>
    <row r="163" customFormat="false" ht="12.75" hidden="false" customHeight="false" outlineLevel="0" collapsed="false">
      <c r="A163" s="355"/>
      <c r="H163" s="338" t="str">
        <f aca="false">IF((F163&lt;&gt;0),IF((D163&gt;0)," ",F163)," ")</f>
        <v> </v>
      </c>
      <c r="I163" s="339" t="str">
        <f aca="false">IF((F163&lt;&gt;0),IF((D163&gt;0)," ",(I$1-A163))," ")</f>
        <v> </v>
      </c>
    </row>
    <row r="164" customFormat="false" ht="12.75" hidden="false" customHeight="false" outlineLevel="0" collapsed="false">
      <c r="A164" s="355"/>
      <c r="H164" s="338" t="str">
        <f aca="false">IF((F164&lt;&gt;0),IF((D164&gt;0)," ",F164)," ")</f>
        <v> </v>
      </c>
      <c r="I164" s="339" t="str">
        <f aca="false">IF((F164&lt;&gt;0),IF((D164&gt;0)," ",(I$1-A164))," ")</f>
        <v> </v>
      </c>
    </row>
    <row r="165" customFormat="false" ht="12.75" hidden="false" customHeight="false" outlineLevel="0" collapsed="false">
      <c r="A165" s="355"/>
      <c r="H165" s="338" t="str">
        <f aca="false">IF((F165&lt;&gt;0),IF((D165&gt;0)," ",F165)," ")</f>
        <v> </v>
      </c>
      <c r="I165" s="339" t="str">
        <f aca="false">IF((F165&lt;&gt;0),IF((D165&gt;0)," ",(I$1-A165))," ")</f>
        <v> </v>
      </c>
    </row>
    <row r="166" customFormat="false" ht="12.75" hidden="false" customHeight="false" outlineLevel="0" collapsed="false">
      <c r="A166" s="355"/>
      <c r="H166" s="338" t="str">
        <f aca="false">IF((F166&lt;&gt;0),IF((D166&gt;0)," ",F166)," ")</f>
        <v> </v>
      </c>
      <c r="I166" s="339" t="str">
        <f aca="false">IF((F166&lt;&gt;0),IF((D166&gt;0)," ",(I$1-A166))," ")</f>
        <v> </v>
      </c>
    </row>
    <row r="167" customFormat="false" ht="12.75" hidden="false" customHeight="false" outlineLevel="0" collapsed="false">
      <c r="A167" s="355"/>
      <c r="H167" s="338" t="str">
        <f aca="false">IF((F167&lt;&gt;0),IF((D167&gt;0)," ",F167)," ")</f>
        <v> </v>
      </c>
      <c r="I167" s="339" t="str">
        <f aca="false">IF((F167&lt;&gt;0),IF((D167&gt;0)," ",(I$1-A167))," ")</f>
        <v> </v>
      </c>
    </row>
    <row r="168" customFormat="false" ht="12.75" hidden="false" customHeight="false" outlineLevel="0" collapsed="false">
      <c r="A168" s="355"/>
      <c r="H168" s="338" t="str">
        <f aca="false">IF((F168&lt;&gt;0),IF((D168&gt;0)," ",F168)," ")</f>
        <v> </v>
      </c>
      <c r="I168" s="339" t="str">
        <f aca="false">IF((F168&lt;&gt;0),IF((D168&gt;0)," ",(I$1-A168))," ")</f>
        <v> </v>
      </c>
    </row>
    <row r="169" customFormat="false" ht="12.75" hidden="false" customHeight="false" outlineLevel="0" collapsed="false">
      <c r="A169" s="355"/>
      <c r="H169" s="338" t="str">
        <f aca="false">IF((F169&lt;&gt;0),IF((D169&gt;0)," ",F169)," ")</f>
        <v> </v>
      </c>
      <c r="I169" s="339" t="str">
        <f aca="false">IF((F169&lt;&gt;0),IF((D169&gt;0)," ",(I$1-A169))," ")</f>
        <v> </v>
      </c>
    </row>
    <row r="170" customFormat="false" ht="12.75" hidden="false" customHeight="false" outlineLevel="0" collapsed="false">
      <c r="A170" s="355"/>
      <c r="H170" s="338" t="str">
        <f aca="false">IF((F170&lt;&gt;0),IF((D170&gt;0)," ",F170)," ")</f>
        <v> </v>
      </c>
      <c r="I170" s="339" t="str">
        <f aca="false">IF((F170&lt;&gt;0),IF((D170&gt;0)," ",(I$1-A170))," ")</f>
        <v> </v>
      </c>
    </row>
    <row r="171" customFormat="false" ht="12.75" hidden="false" customHeight="false" outlineLevel="0" collapsed="false">
      <c r="A171" s="355"/>
      <c r="H171" s="338" t="str">
        <f aca="false">IF((F171&lt;&gt;0),IF((D171&gt;0)," ",F171)," ")</f>
        <v> </v>
      </c>
      <c r="I171" s="339" t="str">
        <f aca="false">IF((F171&lt;&gt;0),IF((D171&gt;0)," ",(I$1-A171))," ")</f>
        <v> </v>
      </c>
    </row>
    <row r="172" customFormat="false" ht="12.75" hidden="false" customHeight="false" outlineLevel="0" collapsed="false">
      <c r="A172" s="355"/>
      <c r="H172" s="338" t="str">
        <f aca="false">IF((F172&lt;&gt;0),IF((D172&gt;0)," ",F172)," ")</f>
        <v> </v>
      </c>
      <c r="I172" s="339" t="str">
        <f aca="false">IF((F172&lt;&gt;0),IF((D172&gt;0)," ",(I$1-A172))," ")</f>
        <v> </v>
      </c>
    </row>
    <row r="173" customFormat="false" ht="12.75" hidden="false" customHeight="false" outlineLevel="0" collapsed="false">
      <c r="A173" s="355"/>
      <c r="H173" s="338" t="str">
        <f aca="false">IF((F173&lt;&gt;0),IF((D173&gt;0)," ",F173)," ")</f>
        <v> </v>
      </c>
      <c r="I173" s="339" t="str">
        <f aca="false">IF((F173&lt;&gt;0),IF((D173&gt;0)," ",(I$1-A173))," ")</f>
        <v> </v>
      </c>
    </row>
    <row r="174" customFormat="false" ht="12.75" hidden="false" customHeight="false" outlineLevel="0" collapsed="false">
      <c r="A174" s="355"/>
      <c r="H174" s="338" t="str">
        <f aca="false">IF((F174&lt;&gt;0),IF((D174&gt;0)," ",F174)," ")</f>
        <v> </v>
      </c>
      <c r="I174" s="339" t="str">
        <f aca="false">IF((F174&lt;&gt;0),IF((D174&gt;0)," ",(I$1-A174))," ")</f>
        <v> </v>
      </c>
    </row>
    <row r="175" customFormat="false" ht="12.75" hidden="false" customHeight="false" outlineLevel="0" collapsed="false">
      <c r="A175" s="355"/>
      <c r="H175" s="338" t="str">
        <f aca="false">IF((F175&lt;&gt;0),IF((D175&gt;0)," ",F175)," ")</f>
        <v> </v>
      </c>
      <c r="I175" s="339" t="str">
        <f aca="false">IF((F175&lt;&gt;0),IF((D175&gt;0)," ",(I$1-A175))," ")</f>
        <v> </v>
      </c>
    </row>
    <row r="176" customFormat="false" ht="12.75" hidden="false" customHeight="false" outlineLevel="0" collapsed="false">
      <c r="A176" s="355"/>
      <c r="H176" s="338" t="str">
        <f aca="false">IF((F176&lt;&gt;0),IF((D176&gt;0)," ",F176)," ")</f>
        <v> </v>
      </c>
      <c r="I176" s="339" t="str">
        <f aca="false">IF((F176&lt;&gt;0),IF((D176&gt;0)," ",(I$1-A176))," ")</f>
        <v> </v>
      </c>
    </row>
    <row r="177" customFormat="false" ht="12.75" hidden="false" customHeight="false" outlineLevel="0" collapsed="false">
      <c r="A177" s="355"/>
      <c r="H177" s="338" t="str">
        <f aca="false">IF((F177&lt;&gt;0),IF((D177&gt;0)," ",F177)," ")</f>
        <v> </v>
      </c>
      <c r="I177" s="339" t="str">
        <f aca="false">IF((F177&lt;&gt;0),IF((D177&gt;0)," ",(I$1-A177))," ")</f>
        <v> </v>
      </c>
    </row>
    <row r="178" customFormat="false" ht="12.75" hidden="false" customHeight="false" outlineLevel="0" collapsed="false">
      <c r="A178" s="355"/>
      <c r="H178" s="338" t="str">
        <f aca="false">IF((F178&lt;&gt;0),IF((D178&gt;0)," ",F178)," ")</f>
        <v> </v>
      </c>
      <c r="I178" s="339" t="str">
        <f aca="false">IF((F178&lt;&gt;0),IF((D178&gt;0)," ",(I$1-A178))," ")</f>
        <v> </v>
      </c>
    </row>
    <row r="179" customFormat="false" ht="12.75" hidden="false" customHeight="false" outlineLevel="0" collapsed="false">
      <c r="A179" s="355"/>
      <c r="H179" s="338" t="str">
        <f aca="false">IF((F179&lt;&gt;0),IF((D179&gt;0)," ",F179)," ")</f>
        <v> </v>
      </c>
      <c r="I179" s="339" t="str">
        <f aca="false">IF((F179&lt;&gt;0),IF((D179&gt;0)," ",(I$1-A179))," ")</f>
        <v> </v>
      </c>
    </row>
    <row r="180" customFormat="false" ht="12.75" hidden="false" customHeight="false" outlineLevel="0" collapsed="false">
      <c r="A180" s="355"/>
      <c r="H180" s="338" t="str">
        <f aca="false">IF((F180&lt;&gt;0),IF((D180&gt;0)," ",F180)," ")</f>
        <v> </v>
      </c>
      <c r="I180" s="339" t="str">
        <f aca="false">IF((F180&lt;&gt;0),IF((D180&gt;0)," ",(I$1-A180))," ")</f>
        <v> </v>
      </c>
    </row>
    <row r="181" customFormat="false" ht="12.75" hidden="false" customHeight="false" outlineLevel="0" collapsed="false">
      <c r="A181" s="355"/>
      <c r="H181" s="338" t="str">
        <f aca="false">IF((F181&lt;&gt;0),IF((D181&gt;0)," ",F181)," ")</f>
        <v> </v>
      </c>
      <c r="I181" s="339" t="str">
        <f aca="false">IF((F181&lt;&gt;0),IF((D181&gt;0)," ",(I$1-A181))," ")</f>
        <v> </v>
      </c>
    </row>
    <row r="182" customFormat="false" ht="12.75" hidden="false" customHeight="false" outlineLevel="0" collapsed="false">
      <c r="A182" s="355"/>
      <c r="H182" s="338" t="str">
        <f aca="false">IF((F182&lt;&gt;0),IF((D182&gt;0)," ",F182)," ")</f>
        <v> </v>
      </c>
      <c r="I182" s="339" t="str">
        <f aca="false">IF((F182&lt;&gt;0),IF((D182&gt;0)," ",(I$1-A182))," ")</f>
        <v> </v>
      </c>
    </row>
    <row r="183" customFormat="false" ht="12.75" hidden="false" customHeight="false" outlineLevel="0" collapsed="false">
      <c r="A183" s="355"/>
      <c r="H183" s="338" t="str">
        <f aca="false">IF((F183&lt;&gt;0),IF((D183&gt;0)," ",F183)," ")</f>
        <v> </v>
      </c>
      <c r="I183" s="339" t="str">
        <f aca="false">IF((F183&lt;&gt;0),IF((D183&gt;0)," ",(I$1-A183))," ")</f>
        <v> </v>
      </c>
    </row>
    <row r="184" customFormat="false" ht="12.75" hidden="false" customHeight="false" outlineLevel="0" collapsed="false">
      <c r="A184" s="355"/>
      <c r="H184" s="338" t="str">
        <f aca="false">IF((F184&lt;&gt;0),IF((D184&gt;0)," ",F184)," ")</f>
        <v> </v>
      </c>
      <c r="I184" s="339" t="str">
        <f aca="false">IF((F184&lt;&gt;0),IF((D184&gt;0)," ",(I$1-A184))," ")</f>
        <v> </v>
      </c>
    </row>
    <row r="185" customFormat="false" ht="12.75" hidden="false" customHeight="false" outlineLevel="0" collapsed="false">
      <c r="A185" s="355"/>
      <c r="H185" s="338" t="str">
        <f aca="false">IF((F185&lt;&gt;0),IF((D185&gt;0)," ",F185)," ")</f>
        <v> </v>
      </c>
      <c r="I185" s="339" t="str">
        <f aca="false">IF((F185&lt;&gt;0),IF((D185&gt;0)," ",(I$1-A185))," ")</f>
        <v> </v>
      </c>
    </row>
    <row r="186" customFormat="false" ht="12.75" hidden="false" customHeight="false" outlineLevel="0" collapsed="false">
      <c r="A186" s="355"/>
      <c r="H186" s="338" t="str">
        <f aca="false">IF((F186&lt;&gt;0),IF((D186&gt;0)," ",F186)," ")</f>
        <v> </v>
      </c>
      <c r="I186" s="339" t="str">
        <f aca="false">IF((F186&lt;&gt;0),IF((D186&gt;0)," ",(I$1-A186))," ")</f>
        <v> </v>
      </c>
    </row>
    <row r="187" customFormat="false" ht="12.75" hidden="false" customHeight="false" outlineLevel="0" collapsed="false">
      <c r="A187" s="355"/>
      <c r="H187" s="338" t="str">
        <f aca="false">IF((F187&lt;&gt;0),IF((D187&gt;0)," ",F187)," ")</f>
        <v> </v>
      </c>
      <c r="I187" s="339" t="str">
        <f aca="false">IF((F187&lt;&gt;0),IF((D187&gt;0)," ",(I$1-A187))," ")</f>
        <v> </v>
      </c>
    </row>
    <row r="188" customFormat="false" ht="12.75" hidden="false" customHeight="false" outlineLevel="0" collapsed="false">
      <c r="A188" s="355"/>
      <c r="H188" s="338" t="str">
        <f aca="false">IF((F188&lt;&gt;0),IF((D188&gt;0)," ",F188)," ")</f>
        <v> </v>
      </c>
      <c r="I188" s="339" t="str">
        <f aca="false">IF((F188&lt;&gt;0),IF((D188&gt;0)," ",(I$1-A188))," ")</f>
        <v> </v>
      </c>
    </row>
    <row r="189" customFormat="false" ht="12.75" hidden="false" customHeight="false" outlineLevel="0" collapsed="false">
      <c r="A189" s="355"/>
      <c r="H189" s="338" t="str">
        <f aca="false">IF((F189&lt;&gt;0),IF((D189&gt;0)," ",F189)," ")</f>
        <v> </v>
      </c>
      <c r="I189" s="339" t="str">
        <f aca="false">IF((F189&lt;&gt;0),IF((D189&gt;0)," ",(I$1-A189))," ")</f>
        <v> </v>
      </c>
    </row>
    <row r="190" customFormat="false" ht="12.75" hidden="false" customHeight="false" outlineLevel="0" collapsed="false">
      <c r="A190" s="355"/>
      <c r="H190" s="338" t="str">
        <f aca="false">IF((F190&lt;&gt;0),IF((D190&gt;0)," ",F190)," ")</f>
        <v> </v>
      </c>
      <c r="I190" s="339" t="str">
        <f aca="false">IF((F190&lt;&gt;0),IF((D190&gt;0)," ",(I$1-A190))," ")</f>
        <v> </v>
      </c>
    </row>
    <row r="191" customFormat="false" ht="12.75" hidden="false" customHeight="false" outlineLevel="0" collapsed="false">
      <c r="A191" s="355"/>
      <c r="H191" s="338" t="str">
        <f aca="false">IF((F191&lt;&gt;0),IF((D191&gt;0)," ",F191)," ")</f>
        <v> </v>
      </c>
      <c r="I191" s="339" t="str">
        <f aca="false">IF((F191&lt;&gt;0),IF((D191&gt;0)," ",(I$1-A191))," ")</f>
        <v> </v>
      </c>
    </row>
    <row r="192" customFormat="false" ht="12.75" hidden="false" customHeight="false" outlineLevel="0" collapsed="false">
      <c r="A192" s="355"/>
      <c r="H192" s="338" t="str">
        <f aca="false">IF((F192&lt;&gt;0),IF((D192&gt;0)," ",F192)," ")</f>
        <v> </v>
      </c>
      <c r="I192" s="339" t="str">
        <f aca="false">IF((F192&lt;&gt;0),IF((D192&gt;0)," ",(I$1-A192))," ")</f>
        <v> </v>
      </c>
    </row>
    <row r="193" customFormat="false" ht="12.75" hidden="false" customHeight="false" outlineLevel="0" collapsed="false">
      <c r="A193" s="355"/>
      <c r="H193" s="338" t="str">
        <f aca="false">IF((F193&lt;&gt;0),IF((D193&gt;0)," ",F193)," ")</f>
        <v> </v>
      </c>
      <c r="I193" s="339" t="str">
        <f aca="false">IF((F193&lt;&gt;0),IF((D193&gt;0)," ",(I$1-A193))," ")</f>
        <v> </v>
      </c>
    </row>
    <row r="194" customFormat="false" ht="12.75" hidden="false" customHeight="false" outlineLevel="0" collapsed="false">
      <c r="A194" s="355"/>
      <c r="H194" s="338" t="str">
        <f aca="false">IF((F194&lt;&gt;0),IF((D194&gt;0)," ",F194)," ")</f>
        <v> </v>
      </c>
      <c r="I194" s="339" t="str">
        <f aca="false">IF((F194&lt;&gt;0),IF((D194&gt;0)," ",(I$1-A194))," ")</f>
        <v> </v>
      </c>
    </row>
    <row r="195" customFormat="false" ht="12.75" hidden="false" customHeight="false" outlineLevel="0" collapsed="false">
      <c r="A195" s="355"/>
      <c r="H195" s="338" t="str">
        <f aca="false">IF((F195&lt;&gt;0),IF((D195&gt;0)," ",F195)," ")</f>
        <v> </v>
      </c>
      <c r="I195" s="339" t="str">
        <f aca="false">IF((F195&lt;&gt;0),IF((D195&gt;0)," ",(I$1-A195))," ")</f>
        <v> </v>
      </c>
    </row>
    <row r="196" customFormat="false" ht="12.75" hidden="false" customHeight="false" outlineLevel="0" collapsed="false">
      <c r="A196" s="355"/>
      <c r="H196" s="338" t="str">
        <f aca="false">IF((F196&lt;&gt;0),IF((D196&gt;0)," ",F196)," ")</f>
        <v> </v>
      </c>
      <c r="I196" s="339" t="str">
        <f aca="false">IF((F196&lt;&gt;0),IF((D196&gt;0)," ",(I$1-A196))," ")</f>
        <v> </v>
      </c>
    </row>
    <row r="197" customFormat="false" ht="12.75" hidden="false" customHeight="false" outlineLevel="0" collapsed="false">
      <c r="A197" s="355"/>
      <c r="H197" s="338" t="str">
        <f aca="false">IF((F197&lt;&gt;0),IF((D197&gt;0)," ",F197)," ")</f>
        <v> </v>
      </c>
      <c r="I197" s="339" t="str">
        <f aca="false">IF((F197&lt;&gt;0),IF((D197&gt;0)," ",(I$1-A197))," ")</f>
        <v> </v>
      </c>
    </row>
    <row r="198" customFormat="false" ht="12.75" hidden="false" customHeight="false" outlineLevel="0" collapsed="false">
      <c r="A198" s="355"/>
      <c r="H198" s="338" t="str">
        <f aca="false">IF((F198&lt;&gt;0),IF((D198&gt;0)," ",F198)," ")</f>
        <v> </v>
      </c>
      <c r="I198" s="339" t="str">
        <f aca="false">IF((F198&lt;&gt;0),IF((D198&gt;0)," ",(I$1-A198))," ")</f>
        <v> </v>
      </c>
    </row>
    <row r="199" customFormat="false" ht="12.75" hidden="false" customHeight="false" outlineLevel="0" collapsed="false">
      <c r="A199" s="355"/>
      <c r="H199" s="338" t="str">
        <f aca="false">IF((F199&lt;&gt;0),IF((D199&gt;0)," ",F199)," ")</f>
        <v> </v>
      </c>
      <c r="I199" s="339" t="str">
        <f aca="false">IF((F199&lt;&gt;0),IF((D199&gt;0)," ",(I$1-A199))," ")</f>
        <v> </v>
      </c>
    </row>
    <row r="200" customFormat="false" ht="12.75" hidden="false" customHeight="false" outlineLevel="0" collapsed="false">
      <c r="A200" s="355"/>
      <c r="H200" s="338" t="str">
        <f aca="false">IF((F200&lt;&gt;0),IF((D200&gt;0)," ",F200)," ")</f>
        <v> </v>
      </c>
      <c r="I200" s="339" t="str">
        <f aca="false">IF((F200&lt;&gt;0),IF((D200&gt;0)," ",(I$1-A200))," ")</f>
        <v> </v>
      </c>
    </row>
    <row r="201" customFormat="false" ht="12.75" hidden="false" customHeight="false" outlineLevel="0" collapsed="false">
      <c r="A201" s="355"/>
      <c r="H201" s="338" t="str">
        <f aca="false">IF((F201&lt;&gt;0),IF((D201&gt;0)," ",F201)," ")</f>
        <v> </v>
      </c>
      <c r="I201" s="339" t="str">
        <f aca="false">IF((F201&lt;&gt;0),IF((D201&gt;0)," ",(I$1-A201))," ")</f>
        <v> </v>
      </c>
    </row>
    <row r="202" customFormat="false" ht="12.75" hidden="false" customHeight="false" outlineLevel="0" collapsed="false">
      <c r="A202" s="355"/>
      <c r="H202" s="338" t="str">
        <f aca="false">IF((F202&lt;&gt;0),IF((D202&gt;0)," ",F202)," ")</f>
        <v> </v>
      </c>
      <c r="I202" s="339" t="str">
        <f aca="false">IF((F202&lt;&gt;0),IF((D202&gt;0)," ",(I$1-A202))," ")</f>
        <v> </v>
      </c>
    </row>
    <row r="203" customFormat="false" ht="12.75" hidden="false" customHeight="false" outlineLevel="0" collapsed="false">
      <c r="A203" s="355"/>
      <c r="H203" s="338" t="str">
        <f aca="false">IF((F203&lt;&gt;0),IF((D203&gt;0)," ",F203)," ")</f>
        <v> </v>
      </c>
      <c r="I203" s="339" t="str">
        <f aca="false">IF((F203&lt;&gt;0),IF((D203&gt;0)," ",(I$1-A203))," ")</f>
        <v> </v>
      </c>
    </row>
    <row r="204" customFormat="false" ht="12.75" hidden="false" customHeight="false" outlineLevel="0" collapsed="false">
      <c r="A204" s="355"/>
      <c r="H204" s="338" t="str">
        <f aca="false">IF((F204&lt;&gt;0),IF((D204&gt;0)," ",F204)," ")</f>
        <v> </v>
      </c>
      <c r="I204" s="339" t="str">
        <f aca="false">IF((F204&lt;&gt;0),IF((D204&gt;0)," ",(I$1-A204))," ")</f>
        <v> </v>
      </c>
    </row>
    <row r="205" customFormat="false" ht="12.75" hidden="false" customHeight="false" outlineLevel="0" collapsed="false">
      <c r="A205" s="355"/>
    </row>
    <row r="206" customFormat="false" ht="12.75" hidden="false" customHeight="false" outlineLevel="0" collapsed="false">
      <c r="A206" s="355"/>
    </row>
    <row r="207" customFormat="false" ht="12.75" hidden="false" customHeight="false" outlineLevel="0" collapsed="false">
      <c r="A207" s="355"/>
    </row>
    <row r="208" customFormat="false" ht="12.75" hidden="false" customHeight="false" outlineLevel="0" collapsed="false">
      <c r="A208" s="355"/>
    </row>
    <row r="209" customFormat="false" ht="12.75" hidden="false" customHeight="false" outlineLevel="0" collapsed="false">
      <c r="A209" s="355"/>
    </row>
    <row r="210" customFormat="false" ht="12.75" hidden="false" customHeight="false" outlineLevel="0" collapsed="false">
      <c r="A210" s="355"/>
    </row>
    <row r="211" customFormat="false" ht="12.75" hidden="false" customHeight="false" outlineLevel="0" collapsed="false">
      <c r="A211" s="355"/>
    </row>
    <row r="212" customFormat="false" ht="12.75" hidden="false" customHeight="false" outlineLevel="0" collapsed="false">
      <c r="A212" s="355"/>
    </row>
    <row r="213" customFormat="false" ht="12.75" hidden="false" customHeight="false" outlineLevel="0" collapsed="false">
      <c r="A213" s="355"/>
    </row>
    <row r="214" customFormat="false" ht="12.75" hidden="false" customHeight="false" outlineLevel="0" collapsed="false">
      <c r="A214" s="355"/>
    </row>
    <row r="215" customFormat="false" ht="12.75" hidden="false" customHeight="false" outlineLevel="0" collapsed="false">
      <c r="A215" s="355"/>
    </row>
    <row r="216" customFormat="false" ht="12.75" hidden="false" customHeight="false" outlineLevel="0" collapsed="false">
      <c r="A216" s="355"/>
    </row>
    <row r="217" customFormat="false" ht="12.75" hidden="false" customHeight="false" outlineLevel="0" collapsed="false">
      <c r="A217" s="355"/>
    </row>
    <row r="218" customFormat="false" ht="12.75" hidden="false" customHeight="false" outlineLevel="0" collapsed="false">
      <c r="A218" s="355"/>
    </row>
    <row r="219" customFormat="false" ht="12.75" hidden="false" customHeight="false" outlineLevel="0" collapsed="false">
      <c r="A219" s="355"/>
    </row>
    <row r="220" customFormat="false" ht="12.75" hidden="false" customHeight="false" outlineLevel="0" collapsed="false">
      <c r="A220" s="355"/>
    </row>
    <row r="221" customFormat="false" ht="12.75" hidden="false" customHeight="false" outlineLevel="0" collapsed="false">
      <c r="A221" s="355"/>
    </row>
    <row r="222" customFormat="false" ht="12.75" hidden="false" customHeight="false" outlineLevel="0" collapsed="false">
      <c r="A222" s="355"/>
    </row>
    <row r="223" customFormat="false" ht="12.75" hidden="false" customHeight="false" outlineLevel="0" collapsed="false">
      <c r="A223" s="355"/>
    </row>
    <row r="224" customFormat="false" ht="12.75" hidden="false" customHeight="false" outlineLevel="0" collapsed="false">
      <c r="A224" s="355"/>
    </row>
    <row r="225" customFormat="false" ht="12.75" hidden="false" customHeight="false" outlineLevel="0" collapsed="false">
      <c r="A225" s="355"/>
    </row>
    <row r="226" customFormat="false" ht="12.75" hidden="false" customHeight="false" outlineLevel="0" collapsed="false">
      <c r="A226" s="355"/>
    </row>
    <row r="227" customFormat="false" ht="12.75" hidden="false" customHeight="false" outlineLevel="0" collapsed="false">
      <c r="A227" s="355"/>
    </row>
    <row r="228" customFormat="false" ht="12.75" hidden="false" customHeight="false" outlineLevel="0" collapsed="false">
      <c r="A228" s="355"/>
    </row>
    <row r="229" customFormat="false" ht="12.75" hidden="false" customHeight="false" outlineLevel="0" collapsed="false">
      <c r="A229" s="355"/>
    </row>
    <row r="230" customFormat="false" ht="12.75" hidden="false" customHeight="false" outlineLevel="0" collapsed="false">
      <c r="A230" s="355"/>
    </row>
    <row r="231" customFormat="false" ht="12.75" hidden="false" customHeight="false" outlineLevel="0" collapsed="false">
      <c r="A231" s="355"/>
    </row>
    <row r="232" customFormat="false" ht="12.75" hidden="false" customHeight="false" outlineLevel="0" collapsed="false">
      <c r="A232" s="355"/>
    </row>
    <row r="233" customFormat="false" ht="12.75" hidden="false" customHeight="false" outlineLevel="0" collapsed="false">
      <c r="A233" s="355"/>
    </row>
    <row r="234" customFormat="false" ht="12.75" hidden="false" customHeight="false" outlineLevel="0" collapsed="false">
      <c r="A234" s="355"/>
    </row>
    <row r="235" customFormat="false" ht="12.75" hidden="false" customHeight="false" outlineLevel="0" collapsed="false">
      <c r="A235" s="355"/>
    </row>
    <row r="236" customFormat="false" ht="12.75" hidden="false" customHeight="false" outlineLevel="0" collapsed="false">
      <c r="A236" s="355"/>
    </row>
    <row r="237" customFormat="false" ht="12.75" hidden="false" customHeight="false" outlineLevel="0" collapsed="false">
      <c r="A237" s="355"/>
    </row>
    <row r="238" customFormat="false" ht="12.75" hidden="false" customHeight="false" outlineLevel="0" collapsed="false">
      <c r="A238" s="355"/>
    </row>
    <row r="239" customFormat="false" ht="12.75" hidden="false" customHeight="false" outlineLevel="0" collapsed="false">
      <c r="A239" s="355"/>
    </row>
    <row r="240" customFormat="false" ht="12.75" hidden="false" customHeight="false" outlineLevel="0" collapsed="false">
      <c r="A240" s="355"/>
    </row>
    <row r="241" customFormat="false" ht="12.75" hidden="false" customHeight="false" outlineLevel="0" collapsed="false">
      <c r="A241" s="355"/>
    </row>
    <row r="242" customFormat="false" ht="12.75" hidden="false" customHeight="false" outlineLevel="0" collapsed="false">
      <c r="A242" s="355"/>
    </row>
    <row r="243" customFormat="false" ht="12.75" hidden="false" customHeight="false" outlineLevel="0" collapsed="false">
      <c r="A243" s="355"/>
    </row>
    <row r="244" customFormat="false" ht="12.75" hidden="false" customHeight="false" outlineLevel="0" collapsed="false">
      <c r="A244" s="355"/>
    </row>
    <row r="245" customFormat="false" ht="12.75" hidden="false" customHeight="false" outlineLevel="0" collapsed="false">
      <c r="A245" s="355"/>
    </row>
    <row r="246" customFormat="false" ht="12.75" hidden="false" customHeight="false" outlineLevel="0" collapsed="false">
      <c r="A246" s="355"/>
    </row>
    <row r="247" customFormat="false" ht="12.75" hidden="false" customHeight="false" outlineLevel="0" collapsed="false">
      <c r="A247" s="355"/>
    </row>
    <row r="248" customFormat="false" ht="12.75" hidden="false" customHeight="false" outlineLevel="0" collapsed="false">
      <c r="A248" s="355"/>
    </row>
    <row r="249" customFormat="false" ht="12.75" hidden="false" customHeight="false" outlineLevel="0" collapsed="false">
      <c r="A249" s="355"/>
    </row>
    <row r="250" customFormat="false" ht="12.75" hidden="false" customHeight="false" outlineLevel="0" collapsed="false">
      <c r="A250" s="355"/>
    </row>
    <row r="251" customFormat="false" ht="12.75" hidden="false" customHeight="false" outlineLevel="0" collapsed="false">
      <c r="A251" s="355"/>
    </row>
    <row r="252" customFormat="false" ht="12.75" hidden="false" customHeight="false" outlineLevel="0" collapsed="false">
      <c r="A252" s="355"/>
    </row>
    <row r="253" customFormat="false" ht="12.75" hidden="false" customHeight="false" outlineLevel="0" collapsed="false">
      <c r="A253" s="355"/>
    </row>
    <row r="254" customFormat="false" ht="12.75" hidden="false" customHeight="false" outlineLevel="0" collapsed="false">
      <c r="A254" s="355"/>
    </row>
    <row r="255" customFormat="false" ht="12.75" hidden="false" customHeight="false" outlineLevel="0" collapsed="false">
      <c r="A255" s="355"/>
    </row>
    <row r="256" customFormat="false" ht="12.75" hidden="false" customHeight="false" outlineLevel="0" collapsed="false">
      <c r="A256" s="355"/>
    </row>
    <row r="257" customFormat="false" ht="12.75" hidden="false" customHeight="false" outlineLevel="0" collapsed="false">
      <c r="A257" s="355"/>
    </row>
    <row r="258" customFormat="false" ht="12.75" hidden="false" customHeight="false" outlineLevel="0" collapsed="false">
      <c r="A258" s="355"/>
    </row>
    <row r="259" customFormat="false" ht="12.75" hidden="false" customHeight="false" outlineLevel="0" collapsed="false">
      <c r="A259" s="355"/>
    </row>
    <row r="260" customFormat="false" ht="12.75" hidden="false" customHeight="false" outlineLevel="0" collapsed="false">
      <c r="A260" s="355"/>
    </row>
    <row r="261" customFormat="false" ht="12.75" hidden="false" customHeight="false" outlineLevel="0" collapsed="false">
      <c r="A261" s="355"/>
    </row>
    <row r="262" customFormat="false" ht="12.75" hidden="false" customHeight="false" outlineLevel="0" collapsed="false">
      <c r="A262" s="355"/>
    </row>
    <row r="263" customFormat="false" ht="12.75" hidden="false" customHeight="false" outlineLevel="0" collapsed="false">
      <c r="A263" s="355"/>
    </row>
    <row r="264" customFormat="false" ht="12.75" hidden="false" customHeight="false" outlineLevel="0" collapsed="false">
      <c r="A264" s="355"/>
    </row>
    <row r="265" customFormat="false" ht="12.75" hidden="false" customHeight="false" outlineLevel="0" collapsed="false">
      <c r="A265" s="355"/>
    </row>
    <row r="266" customFormat="false" ht="12.75" hidden="false" customHeight="false" outlineLevel="0" collapsed="false">
      <c r="A266" s="355"/>
    </row>
    <row r="267" customFormat="false" ht="12.75" hidden="false" customHeight="false" outlineLevel="0" collapsed="false">
      <c r="A267" s="355"/>
    </row>
    <row r="268" customFormat="false" ht="12.75" hidden="false" customHeight="false" outlineLevel="0" collapsed="false">
      <c r="A268" s="355"/>
    </row>
    <row r="269" customFormat="false" ht="12.75" hidden="false" customHeight="false" outlineLevel="0" collapsed="false">
      <c r="A269" s="355"/>
    </row>
    <row r="270" customFormat="false" ht="12.75" hidden="false" customHeight="false" outlineLevel="0" collapsed="false">
      <c r="A270" s="355"/>
    </row>
    <row r="271" customFormat="false" ht="12.75" hidden="false" customHeight="false" outlineLevel="0" collapsed="false">
      <c r="A271" s="355"/>
    </row>
    <row r="272" customFormat="false" ht="12.75" hidden="false" customHeight="false" outlineLevel="0" collapsed="false">
      <c r="A272" s="355"/>
    </row>
    <row r="273" customFormat="false" ht="12.75" hidden="false" customHeight="false" outlineLevel="0" collapsed="false">
      <c r="A273" s="355"/>
    </row>
    <row r="274" customFormat="false" ht="12.75" hidden="false" customHeight="false" outlineLevel="0" collapsed="false">
      <c r="A274" s="355"/>
    </row>
    <row r="275" customFormat="false" ht="12.75" hidden="false" customHeight="false" outlineLevel="0" collapsed="false">
      <c r="A275" s="355"/>
    </row>
    <row r="276" customFormat="false" ht="12.75" hidden="false" customHeight="false" outlineLevel="0" collapsed="false">
      <c r="A276" s="355"/>
    </row>
    <row r="277" customFormat="false" ht="12.75" hidden="false" customHeight="false" outlineLevel="0" collapsed="false">
      <c r="A277" s="355"/>
    </row>
    <row r="278" customFormat="false" ht="12.75" hidden="false" customHeight="false" outlineLevel="0" collapsed="false">
      <c r="A278" s="355"/>
    </row>
    <row r="279" customFormat="false" ht="12.75" hidden="false" customHeight="false" outlineLevel="0" collapsed="false">
      <c r="A279" s="355"/>
    </row>
    <row r="280" customFormat="false" ht="12.75" hidden="false" customHeight="false" outlineLevel="0" collapsed="false">
      <c r="A280" s="355"/>
    </row>
    <row r="281" customFormat="false" ht="12.75" hidden="false" customHeight="false" outlineLevel="0" collapsed="false">
      <c r="A281" s="355"/>
    </row>
    <row r="282" customFormat="false" ht="12.75" hidden="false" customHeight="false" outlineLevel="0" collapsed="false">
      <c r="A282" s="355"/>
    </row>
    <row r="283" customFormat="false" ht="12.75" hidden="false" customHeight="false" outlineLevel="0" collapsed="false">
      <c r="A283" s="355"/>
    </row>
    <row r="284" customFormat="false" ht="12.75" hidden="false" customHeight="false" outlineLevel="0" collapsed="false">
      <c r="A284" s="355"/>
    </row>
    <row r="285" customFormat="false" ht="12.75" hidden="false" customHeight="false" outlineLevel="0" collapsed="false">
      <c r="A285" s="355"/>
    </row>
    <row r="286" customFormat="false" ht="12.75" hidden="false" customHeight="false" outlineLevel="0" collapsed="false">
      <c r="A286" s="355"/>
    </row>
    <row r="287" customFormat="false" ht="12.75" hidden="false" customHeight="false" outlineLevel="0" collapsed="false">
      <c r="A287" s="355"/>
    </row>
    <row r="288" customFormat="false" ht="12.75" hidden="false" customHeight="false" outlineLevel="0" collapsed="false">
      <c r="A288" s="355"/>
    </row>
    <row r="289" customFormat="false" ht="12.75" hidden="false" customHeight="false" outlineLevel="0" collapsed="false">
      <c r="A289" s="355"/>
    </row>
    <row r="290" customFormat="false" ht="12.75" hidden="false" customHeight="false" outlineLevel="0" collapsed="false">
      <c r="A290" s="355"/>
    </row>
    <row r="291" customFormat="false" ht="12.75" hidden="false" customHeight="false" outlineLevel="0" collapsed="false">
      <c r="A291" s="355"/>
    </row>
    <row r="292" customFormat="false" ht="12.75" hidden="false" customHeight="false" outlineLevel="0" collapsed="false">
      <c r="A292" s="355"/>
    </row>
    <row r="293" customFormat="false" ht="12.75" hidden="false" customHeight="false" outlineLevel="0" collapsed="false">
      <c r="A293" s="355"/>
    </row>
    <row r="294" customFormat="false" ht="12.75" hidden="false" customHeight="false" outlineLevel="0" collapsed="false">
      <c r="A294" s="355"/>
    </row>
    <row r="295" customFormat="false" ht="12.75" hidden="false" customHeight="false" outlineLevel="0" collapsed="false">
      <c r="A295" s="355"/>
    </row>
    <row r="296" customFormat="false" ht="12.75" hidden="false" customHeight="false" outlineLevel="0" collapsed="false">
      <c r="A296" s="355"/>
    </row>
    <row r="297" customFormat="false" ht="12.75" hidden="false" customHeight="false" outlineLevel="0" collapsed="false">
      <c r="A297" s="355"/>
    </row>
    <row r="298" customFormat="false" ht="12.75" hidden="false" customHeight="false" outlineLevel="0" collapsed="false">
      <c r="A298" s="355"/>
    </row>
    <row r="299" customFormat="false" ht="12.75" hidden="false" customHeight="false" outlineLevel="0" collapsed="false">
      <c r="A299" s="355"/>
    </row>
    <row r="300" customFormat="false" ht="12.75" hidden="false" customHeight="false" outlineLevel="0" collapsed="false">
      <c r="A300" s="355"/>
      <c r="B300" s="356"/>
      <c r="C300" s="357"/>
      <c r="D300" s="358"/>
      <c r="E300" s="359"/>
      <c r="F300" s="356"/>
      <c r="G300" s="356"/>
      <c r="H300" s="360"/>
      <c r="I300" s="361"/>
      <c r="J300" s="356"/>
    </row>
    <row r="301" customFormat="false" ht="12.75" hidden="false" customHeight="false" outlineLevel="0" collapsed="false">
      <c r="A301" s="333" t="s">
        <v>265</v>
      </c>
    </row>
  </sheetData>
  <mergeCells count="10">
    <mergeCell ref="A1:A3"/>
    <mergeCell ref="B1:B3"/>
    <mergeCell ref="C2:C3"/>
    <mergeCell ref="D2:D3"/>
    <mergeCell ref="E2:E3"/>
    <mergeCell ref="F2:F3"/>
    <mergeCell ref="G2:G3"/>
    <mergeCell ref="H2:H3"/>
    <mergeCell ref="I2:I3"/>
    <mergeCell ref="J2:K2"/>
  </mergeCells>
  <dataValidations count="1">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4:A300" type="date">
      <formula1>38353</formula1>
      <formula2>53327</formula2>
    </dataValidation>
  </dataValidations>
  <printOptions headings="false" gridLines="true" gridLinesSet="true" horizontalCentered="false" verticalCentered="false"/>
  <pageMargins left="0.196527777777778" right="0.39375" top="0.590972222222222" bottom="0.590972222222222"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&amp;C&amp;"Arial,Bold"&amp;11Sales Turnover</oddHeader>
    <oddFooter>&amp;L&amp;D  &amp;T&amp;C&amp;P  of  &amp;N&amp;R&amp;F  &amp;A</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62" width="9.66"/>
    <col collapsed="false" customWidth="true" hidden="false" outlineLevel="0" max="2" min="2" style="363" width="23.99"/>
    <col collapsed="false" customWidth="true" hidden="false" outlineLevel="0" max="3" min="3" style="363" width="15.99"/>
    <col collapsed="false" customWidth="true" hidden="false" outlineLevel="0" max="4" min="4" style="364" width="16.15"/>
    <col collapsed="false" customWidth="true" hidden="false" outlineLevel="0" max="5" min="5" style="365" width="9.49"/>
    <col collapsed="false" customWidth="true" hidden="false" outlineLevel="0" max="6" min="6" style="365" width="8.66"/>
    <col collapsed="false" customWidth="true" hidden="false" outlineLevel="0" max="7" min="7" style="366" width="12.66"/>
    <col collapsed="false" customWidth="true" hidden="false" outlineLevel="0" max="8" min="8" style="338" width="11.5"/>
    <col collapsed="false" customWidth="true" hidden="false" outlineLevel="0" max="9" min="9" style="367" width="10.5"/>
    <col collapsed="false" customWidth="true" hidden="false" outlineLevel="0" max="19" min="10" style="334" width="9.66"/>
    <col collapsed="false" customWidth="true" hidden="false" outlineLevel="0" max="22" min="20" style="334" width="7.66"/>
    <col collapsed="false" customWidth="true" hidden="false" outlineLevel="0" max="23" min="23" style="334" width="9.66"/>
    <col collapsed="false" customWidth="true" hidden="false" outlineLevel="0" max="24" min="24" style="363" width="24.66"/>
    <col collapsed="false" customWidth="false" hidden="false" outlineLevel="0" max="25" min="25" style="368" width="9.15"/>
    <col collapsed="false" customWidth="true" hidden="false" outlineLevel="0" max="26" min="26" style="368" width="12.66"/>
    <col collapsed="false" customWidth="false" hidden="false" outlineLevel="0" max="257" min="27" style="363" width="9.15"/>
  </cols>
  <sheetData>
    <row r="1" s="334" customFormat="true" ht="13.5" hidden="false" customHeight="true" outlineLevel="0" collapsed="false">
      <c r="A1" s="369" t="n">
        <f aca="false">G4+PurchasesNov!A1</f>
        <v>0</v>
      </c>
      <c r="B1" s="370" t="s">
        <v>266</v>
      </c>
      <c r="C1" s="344" t="n">
        <f aca="false">PurchasesNov!C1+PurchasesDec!F1+SalesDec!$E$1</f>
        <v>0</v>
      </c>
      <c r="D1" s="369" t="s">
        <v>248</v>
      </c>
      <c r="E1" s="371" t="str">
        <f aca="false">IF((G1-SUM(J1:W1)&lt;&gt;0),(G1-SUM(J1:W1))," ")</f>
        <v> </v>
      </c>
      <c r="F1" s="344" t="n">
        <f aca="false">SUM(F5:F300)</f>
        <v>0</v>
      </c>
      <c r="G1" s="343" t="n">
        <f aca="false">SUM(G4:G300)</f>
        <v>9451.5</v>
      </c>
      <c r="H1" s="372" t="n">
        <f aca="false">SUM(H5:H300)</f>
        <v>9451.5</v>
      </c>
      <c r="I1" s="373" t="n">
        <f aca="true">TODAY()</f>
        <v>46138</v>
      </c>
      <c r="J1" s="343" t="n">
        <f aca="false">SUM(J5:J300)</f>
        <v>480</v>
      </c>
      <c r="K1" s="343" t="n">
        <f aca="false">SUM(K5:K300)</f>
        <v>0</v>
      </c>
      <c r="L1" s="343" t="n">
        <f aca="false">SUM(L5:L300)</f>
        <v>0</v>
      </c>
      <c r="M1" s="343" t="n">
        <f aca="false">SUM(M5:M300)</f>
        <v>1620</v>
      </c>
      <c r="N1" s="343" t="n">
        <f aca="false">SUM(N5:N300)</f>
        <v>0</v>
      </c>
      <c r="O1" s="343" t="n">
        <f aca="false">SUM(O5:O300)</f>
        <v>255</v>
      </c>
      <c r="P1" s="343" t="n">
        <f aca="false">SUM(P3:P300)</f>
        <v>613.5</v>
      </c>
      <c r="Q1" s="343" t="n">
        <f aca="false">SUM(Q5:Q300)</f>
        <v>92</v>
      </c>
      <c r="R1" s="343" t="n">
        <f aca="false">SUM(R5:R300)</f>
        <v>0</v>
      </c>
      <c r="S1" s="343" t="n">
        <f aca="false">SUM(S5:S300)</f>
        <v>300</v>
      </c>
      <c r="T1" s="343" t="n">
        <f aca="false">SUM(T5:T300)</f>
        <v>500</v>
      </c>
      <c r="U1" s="343" t="n">
        <f aca="false">SUM(U5:U300)</f>
        <v>167</v>
      </c>
      <c r="V1" s="343" t="n">
        <f aca="false">SUM(V5:V300)</f>
        <v>5424</v>
      </c>
      <c r="W1" s="345" t="n">
        <f aca="false">SUM(W5:W300)</f>
        <v>0</v>
      </c>
      <c r="X1" s="374" t="n">
        <f aca="false">W1+PurchasesNov!X1</f>
        <v>39000</v>
      </c>
      <c r="Y1" s="375" t="n">
        <f aca="false">SUM(Y5:Y200)</f>
        <v>0</v>
      </c>
      <c r="Z1" s="376" t="n">
        <f aca="false">PurchasesDec!Y1+PurchasesNov!Z1</f>
        <v>0</v>
      </c>
    </row>
    <row r="2" s="384" customFormat="true" ht="24" hidden="false" customHeight="true" outlineLevel="0" collapsed="false">
      <c r="A2" s="377" t="s">
        <v>267</v>
      </c>
      <c r="B2" s="378" t="str">
        <f aca="false">IF((G1-SUM(J1:W1)&lt;&gt;0),"COMPLETE EXPENSE ANALYSIS by inserting expense letter in col E","Supplier")</f>
        <v>Supplier</v>
      </c>
      <c r="C2" s="379" t="s">
        <v>268</v>
      </c>
      <c r="D2" s="379" t="s">
        <v>269</v>
      </c>
      <c r="E2" s="379" t="s">
        <v>270</v>
      </c>
      <c r="F2" s="379" t="s">
        <v>344</v>
      </c>
      <c r="G2" s="380" t="s">
        <v>272</v>
      </c>
      <c r="H2" s="381" t="s">
        <v>273</v>
      </c>
      <c r="I2" s="382" t="s">
        <v>274</v>
      </c>
      <c r="J2" s="380" t="s">
        <v>275</v>
      </c>
      <c r="K2" s="380" t="s">
        <v>276</v>
      </c>
      <c r="L2" s="380" t="s">
        <v>277</v>
      </c>
      <c r="M2" s="380" t="s">
        <v>278</v>
      </c>
      <c r="N2" s="380" t="s">
        <v>279</v>
      </c>
      <c r="O2" s="380" t="s">
        <v>280</v>
      </c>
      <c r="P2" s="380" t="s">
        <v>281</v>
      </c>
      <c r="Q2" s="380" t="s">
        <v>282</v>
      </c>
      <c r="R2" s="380" t="s">
        <v>283</v>
      </c>
      <c r="S2" s="380" t="s">
        <v>284</v>
      </c>
      <c r="T2" s="380" t="s">
        <v>285</v>
      </c>
      <c r="U2" s="380" t="s">
        <v>286</v>
      </c>
      <c r="V2" s="380" t="s">
        <v>287</v>
      </c>
      <c r="W2" s="381" t="s">
        <v>288</v>
      </c>
      <c r="X2" s="383" t="str">
        <f aca="false">IF(X1&gt;('Fixed Assets'!$E$110),"FIXED ASSETS requires updating with new additions","Fixed Assets Description  (Vehicles: make, model, date reg. and reg. mark)")</f>
        <v>FIXED ASSETS requires updating with new additions</v>
      </c>
      <c r="Y2" s="380" t="s">
        <v>289</v>
      </c>
      <c r="Z2" s="380"/>
    </row>
    <row r="3" s="386" customFormat="true" ht="12" hidden="false" customHeight="true" outlineLevel="0" collapsed="false">
      <c r="A3" s="377"/>
      <c r="B3" s="377"/>
      <c r="C3" s="377"/>
      <c r="D3" s="377"/>
      <c r="E3" s="379"/>
      <c r="F3" s="379"/>
      <c r="G3" s="380"/>
      <c r="H3" s="381"/>
      <c r="I3" s="381"/>
      <c r="J3" s="380"/>
      <c r="K3" s="380"/>
      <c r="L3" s="380"/>
      <c r="M3" s="380"/>
      <c r="N3" s="380"/>
      <c r="O3" s="380"/>
      <c r="P3" s="385" t="n">
        <f aca="false">IF((E$4="m"),G$4," ")</f>
        <v>0</v>
      </c>
      <c r="Q3" s="380"/>
      <c r="R3" s="380"/>
      <c r="S3" s="380"/>
      <c r="T3" s="380"/>
      <c r="U3" s="380"/>
      <c r="V3" s="380"/>
      <c r="W3" s="381"/>
      <c r="X3" s="383"/>
      <c r="Y3" s="380" t="s">
        <v>290</v>
      </c>
      <c r="Z3" s="380"/>
    </row>
    <row r="4" s="365" customFormat="true" ht="12.75" hidden="false" customHeight="false" outlineLevel="0" collapsed="false">
      <c r="A4" s="377"/>
      <c r="B4" s="377"/>
      <c r="C4" s="377"/>
      <c r="D4" s="377"/>
      <c r="E4" s="387" t="s">
        <v>291</v>
      </c>
      <c r="F4" s="379"/>
      <c r="G4" s="400" t="n">
        <f aca="false">IF((C1&lt;Admin!$F$22),((C1-PurchasesNov!C1)*Admin!$G$21),(C1*Admin!$G$21-(C1-Admin!$F$21)*(Admin!$G$21-Admin!$G$22)-PurchasesNov!A1))</f>
        <v>0</v>
      </c>
      <c r="H4" s="381"/>
      <c r="I4" s="381"/>
      <c r="J4" s="389" t="s">
        <v>292</v>
      </c>
      <c r="K4" s="390" t="s">
        <v>293</v>
      </c>
      <c r="L4" s="390" t="s">
        <v>294</v>
      </c>
      <c r="M4" s="390" t="s">
        <v>295</v>
      </c>
      <c r="N4" s="390" t="s">
        <v>296</v>
      </c>
      <c r="O4" s="390" t="s">
        <v>297</v>
      </c>
      <c r="P4" s="391" t="s">
        <v>298</v>
      </c>
      <c r="Q4" s="390" t="s">
        <v>299</v>
      </c>
      <c r="R4" s="390" t="s">
        <v>300</v>
      </c>
      <c r="S4" s="390" t="s">
        <v>301</v>
      </c>
      <c r="T4" s="390" t="s">
        <v>302</v>
      </c>
      <c r="U4" s="390" t="s">
        <v>303</v>
      </c>
      <c r="V4" s="390" t="s">
        <v>304</v>
      </c>
      <c r="W4" s="392" t="s">
        <v>305</v>
      </c>
      <c r="X4" s="383"/>
      <c r="Y4" s="380" t="s">
        <v>306</v>
      </c>
      <c r="Z4" s="380" t="s">
        <v>307</v>
      </c>
    </row>
    <row r="5" customFormat="false" ht="12.75" hidden="false" customHeight="false" outlineLevel="0" collapsed="false">
      <c r="A5" s="355" t="n">
        <v>45992</v>
      </c>
      <c r="B5" s="363" t="s">
        <v>239</v>
      </c>
      <c r="E5" s="365" t="s">
        <v>308</v>
      </c>
      <c r="G5" s="366" t="n">
        <v>1200</v>
      </c>
      <c r="H5" s="338" t="n">
        <f aca="false">IF((G5&lt;&gt;0),IF((D5&gt;0)," ",G5)," ")</f>
        <v>1200</v>
      </c>
      <c r="I5" s="367" t="n">
        <f aca="false">IF((G5&lt;&gt;0),IF((D5&gt;0)," ",(I$1-A5))," ")</f>
        <v>146</v>
      </c>
      <c r="J5" s="334" t="str">
        <f aca="false">IF((E5="s"),G5," ")</f>
        <v> </v>
      </c>
      <c r="K5" s="334" t="str">
        <f aca="false">IF((E5="d"),G5," ")</f>
        <v> </v>
      </c>
      <c r="L5" s="334" t="str">
        <f aca="false">IF((E5="e"),G5," ")</f>
        <v> </v>
      </c>
      <c r="M5" s="334" t="n">
        <f aca="false">IF((E5="p"),G5," ")</f>
        <v>1200</v>
      </c>
      <c r="N5" s="334" t="str">
        <f aca="false">IF((E5="r"),G5," ")</f>
        <v> </v>
      </c>
      <c r="O5" s="334" t="str">
        <f aca="false">IF((E5="g"),G5," ")</f>
        <v> </v>
      </c>
      <c r="P5" s="334" t="str">
        <f aca="false">IF((E5="m"),G5," ")</f>
        <v> </v>
      </c>
      <c r="Q5" s="334" t="str">
        <f aca="false">IF((E5="t"),G5," ")</f>
        <v> </v>
      </c>
      <c r="R5" s="334" t="str">
        <f aca="false">IF((E5="a"),G5," ")</f>
        <v> </v>
      </c>
      <c r="S5" s="334" t="str">
        <f aca="false">IF((E5="l"),G5," ")</f>
        <v> </v>
      </c>
      <c r="T5" s="334" t="str">
        <f aca="false">IF((E5="b"),G5," ")</f>
        <v> </v>
      </c>
      <c r="U5" s="334" t="str">
        <f aca="false">IF((E5="i"),G5," ")</f>
        <v> </v>
      </c>
      <c r="V5" s="334" t="str">
        <f aca="false">IF((E5="o"),G5," ")</f>
        <v> </v>
      </c>
      <c r="W5" s="334" t="str">
        <f aca="false">IF((E5="f"),G5," ")</f>
        <v> </v>
      </c>
    </row>
    <row r="6" customFormat="false" ht="12.75" hidden="false" customHeight="false" outlineLevel="0" collapsed="false">
      <c r="A6" s="355" t="n">
        <v>45992</v>
      </c>
      <c r="B6" s="363" t="s">
        <v>309</v>
      </c>
      <c r="E6" s="365" t="s">
        <v>310</v>
      </c>
      <c r="G6" s="366" t="n">
        <v>30</v>
      </c>
      <c r="H6" s="338" t="n">
        <f aca="false">IF((G6&lt;&gt;0),IF((D6&gt;0)," ",G6)," ")</f>
        <v>30</v>
      </c>
      <c r="I6" s="367" t="n">
        <f aca="false">IF((G6&lt;&gt;0),IF((D6&gt;0)," ",(I$1-A6))," ")</f>
        <v>146</v>
      </c>
      <c r="J6" s="334" t="str">
        <f aca="false">IF((E6="s"),G6," ")</f>
        <v> </v>
      </c>
      <c r="K6" s="334" t="str">
        <f aca="false">IF((E6="d"),G6," ")</f>
        <v> </v>
      </c>
      <c r="L6" s="334" t="str">
        <f aca="false">IF((E6="e"),G6," ")</f>
        <v> </v>
      </c>
      <c r="M6" s="334" t="str">
        <f aca="false">IF((E6="p"),G6," ")</f>
        <v> </v>
      </c>
      <c r="N6" s="334" t="str">
        <f aca="false">IF((E6="r"),G6," ")</f>
        <v> </v>
      </c>
      <c r="O6" s="334" t="n">
        <f aca="false">IF((E6="g"),G6," ")</f>
        <v>30</v>
      </c>
      <c r="P6" s="334" t="str">
        <f aca="false">IF((E6="m"),G6," ")</f>
        <v> </v>
      </c>
      <c r="Q6" s="334" t="str">
        <f aca="false">IF((E6="t"),G6," ")</f>
        <v> </v>
      </c>
      <c r="R6" s="334" t="str">
        <f aca="false">IF((E6="a"),G6," ")</f>
        <v> </v>
      </c>
      <c r="S6" s="334" t="str">
        <f aca="false">IF((E6="l"),G6," ")</f>
        <v> </v>
      </c>
      <c r="T6" s="334" t="str">
        <f aca="false">IF((E6="b"),G6," ")</f>
        <v> </v>
      </c>
      <c r="U6" s="334" t="str">
        <f aca="false">IF((E6="i"),G6," ")</f>
        <v> </v>
      </c>
      <c r="V6" s="334" t="str">
        <f aca="false">IF((E6="o"),G6," ")</f>
        <v> </v>
      </c>
      <c r="W6" s="334" t="str">
        <f aca="false">IF((E6="f"),G6," ")</f>
        <v> </v>
      </c>
    </row>
    <row r="7" customFormat="false" ht="12.75" hidden="false" customHeight="false" outlineLevel="0" collapsed="false">
      <c r="A7" s="355" t="n">
        <v>45992</v>
      </c>
      <c r="B7" s="363" t="s">
        <v>311</v>
      </c>
      <c r="E7" s="365" t="s">
        <v>310</v>
      </c>
      <c r="G7" s="366" t="n">
        <v>15</v>
      </c>
      <c r="H7" s="338" t="n">
        <f aca="false">IF((G7&lt;&gt;0),IF((D7&gt;0)," ",G7)," ")</f>
        <v>15</v>
      </c>
      <c r="I7" s="367" t="n">
        <f aca="false">IF((G7&lt;&gt;0),IF((D7&gt;0)," ",(I$1-A7))," ")</f>
        <v>146</v>
      </c>
      <c r="J7" s="334" t="str">
        <f aca="false">IF((E7="s"),G7," ")</f>
        <v> </v>
      </c>
      <c r="K7" s="334" t="str">
        <f aca="false">IF((E7="d"),G7," ")</f>
        <v> </v>
      </c>
      <c r="L7" s="334" t="str">
        <f aca="false">IF((E7="e"),G7," ")</f>
        <v> </v>
      </c>
      <c r="M7" s="334" t="str">
        <f aca="false">IF((E7="p"),G7," ")</f>
        <v> </v>
      </c>
      <c r="N7" s="334" t="str">
        <f aca="false">IF((E7="r"),G7," ")</f>
        <v> </v>
      </c>
      <c r="O7" s="334" t="n">
        <f aca="false">IF((E7="g"),G7," ")</f>
        <v>15</v>
      </c>
      <c r="P7" s="334" t="str">
        <f aca="false">IF((E7="m"),G7," ")</f>
        <v> </v>
      </c>
      <c r="Q7" s="334" t="str">
        <f aca="false">IF((E7="t"),G7," ")</f>
        <v> </v>
      </c>
      <c r="R7" s="334" t="str">
        <f aca="false">IF((E7="a"),G7," ")</f>
        <v> </v>
      </c>
      <c r="S7" s="334" t="str">
        <f aca="false">IF((E7="l"),G7," ")</f>
        <v> </v>
      </c>
      <c r="T7" s="334" t="str">
        <f aca="false">IF((E7="b"),G7," ")</f>
        <v> </v>
      </c>
      <c r="U7" s="334" t="str">
        <f aca="false">IF((E7="i"),G7," ")</f>
        <v> </v>
      </c>
      <c r="V7" s="334" t="str">
        <f aca="false">IF((E7="o"),G7," ")</f>
        <v> </v>
      </c>
      <c r="W7" s="334" t="str">
        <f aca="false">IF((E7="f"),G7," ")</f>
        <v> </v>
      </c>
    </row>
    <row r="8" customFormat="false" ht="12.75" hidden="false" customHeight="false" outlineLevel="0" collapsed="false">
      <c r="A8" s="355" t="n">
        <v>45992</v>
      </c>
      <c r="B8" s="363" t="s">
        <v>312</v>
      </c>
      <c r="E8" s="365" t="s">
        <v>313</v>
      </c>
      <c r="G8" s="366" t="n">
        <v>45</v>
      </c>
      <c r="H8" s="338" t="n">
        <f aca="false">IF((G8&lt;&gt;0),IF((D8&gt;0)," ",G8)," ")</f>
        <v>45</v>
      </c>
      <c r="I8" s="367" t="n">
        <f aca="false">IF((G8&lt;&gt;0),IF((D8&gt;0)," ",(I$1-A8))," ")</f>
        <v>146</v>
      </c>
      <c r="J8" s="334" t="str">
        <f aca="false">IF((E8="s"),G8," ")</f>
        <v> </v>
      </c>
      <c r="K8" s="334" t="str">
        <f aca="false">IF((E8="d"),G8," ")</f>
        <v> </v>
      </c>
      <c r="L8" s="334" t="str">
        <f aca="false">IF((E8="e"),G8," ")</f>
        <v> </v>
      </c>
      <c r="M8" s="334" t="str">
        <f aca="false">IF((E8="p"),G8," ")</f>
        <v> </v>
      </c>
      <c r="N8" s="334" t="str">
        <f aca="false">IF((E8="r"),G8," ")</f>
        <v> </v>
      </c>
      <c r="O8" s="334" t="str">
        <f aca="false">IF((E8="g"),G8," ")</f>
        <v> </v>
      </c>
      <c r="P8" s="334" t="str">
        <f aca="false">IF((E8="m"),G8," ")</f>
        <v> </v>
      </c>
      <c r="Q8" s="334" t="str">
        <f aca="false">IF((E8="t"),G8," ")</f>
        <v> </v>
      </c>
      <c r="R8" s="334" t="str">
        <f aca="false">IF((E8="a"),G8," ")</f>
        <v> </v>
      </c>
      <c r="S8" s="334" t="str">
        <f aca="false">IF((E8="l"),G8," ")</f>
        <v> </v>
      </c>
      <c r="T8" s="334" t="str">
        <f aca="false">IF((E8="b"),G8," ")</f>
        <v> </v>
      </c>
      <c r="U8" s="334" t="str">
        <f aca="false">IF((E8="i"),G8," ")</f>
        <v> </v>
      </c>
      <c r="V8" s="334" t="n">
        <f aca="false">IF((E8="o"),G8," ")</f>
        <v>45</v>
      </c>
      <c r="W8" s="334" t="str">
        <f aca="false">IF((E8="f"),G8," ")</f>
        <v> </v>
      </c>
    </row>
    <row r="9" customFormat="false" ht="12.75" hidden="false" customHeight="false" outlineLevel="0" collapsed="false">
      <c r="A9" s="355" t="n">
        <v>45992</v>
      </c>
      <c r="B9" s="363" t="s">
        <v>315</v>
      </c>
      <c r="E9" s="365" t="s">
        <v>313</v>
      </c>
      <c r="G9" s="366" t="n">
        <v>24</v>
      </c>
      <c r="H9" s="338" t="n">
        <f aca="false">IF((G9&lt;&gt;0),IF((D9&gt;0)," ",G9)," ")</f>
        <v>24</v>
      </c>
      <c r="I9" s="367" t="n">
        <f aca="false">IF((G9&lt;&gt;0),IF((D9&gt;0)," ",(I$1-A9))," ")</f>
        <v>146</v>
      </c>
      <c r="J9" s="334" t="str">
        <f aca="false">IF((E9="s"),G9," ")</f>
        <v> </v>
      </c>
      <c r="K9" s="334" t="str">
        <f aca="false">IF((E9="d"),G9," ")</f>
        <v> </v>
      </c>
      <c r="L9" s="334" t="str">
        <f aca="false">IF((E9="e"),G9," ")</f>
        <v> </v>
      </c>
      <c r="M9" s="334" t="str">
        <f aca="false">IF((E9="p"),G9," ")</f>
        <v> </v>
      </c>
      <c r="N9" s="334" t="str">
        <f aca="false">IF((E9="r"),G9," ")</f>
        <v> </v>
      </c>
      <c r="O9" s="334" t="str">
        <f aca="false">IF((E9="g"),G9," ")</f>
        <v> </v>
      </c>
      <c r="P9" s="334" t="str">
        <f aca="false">IF((E9="m"),G9," ")</f>
        <v> </v>
      </c>
      <c r="Q9" s="334" t="str">
        <f aca="false">IF((E9="t"),G9," ")</f>
        <v> </v>
      </c>
      <c r="R9" s="334" t="str">
        <f aca="false">IF((E9="a"),G9," ")</f>
        <v> </v>
      </c>
      <c r="S9" s="334" t="str">
        <f aca="false">IF((E9="l"),G9," ")</f>
        <v> </v>
      </c>
      <c r="T9" s="334" t="str">
        <f aca="false">IF((E9="b"),G9," ")</f>
        <v> </v>
      </c>
      <c r="U9" s="334" t="str">
        <f aca="false">IF((E9="i"),G9," ")</f>
        <v> </v>
      </c>
      <c r="V9" s="334" t="n">
        <f aca="false">IF((E9="o"),G9," ")</f>
        <v>24</v>
      </c>
      <c r="W9" s="334" t="str">
        <f aca="false">IF((E9="f"),G9," ")</f>
        <v> </v>
      </c>
    </row>
    <row r="10" customFormat="false" ht="12.75" hidden="false" customHeight="false" outlineLevel="0" collapsed="false">
      <c r="A10" s="355" t="n">
        <v>45992</v>
      </c>
      <c r="B10" s="363" t="s">
        <v>316</v>
      </c>
      <c r="E10" s="365" t="s">
        <v>310</v>
      </c>
      <c r="G10" s="366" t="n">
        <v>18</v>
      </c>
      <c r="H10" s="338" t="n">
        <f aca="false">IF((G10&lt;&gt;0),IF((D10&gt;0)," ",G10)," ")</f>
        <v>18</v>
      </c>
      <c r="I10" s="367" t="n">
        <f aca="false">IF((G10&lt;&gt;0),IF((D10&gt;0)," ",(I$1-A10))," ")</f>
        <v>146</v>
      </c>
      <c r="J10" s="334" t="str">
        <f aca="false">IF((E10="s"),G10," ")</f>
        <v> </v>
      </c>
      <c r="K10" s="334" t="str">
        <f aca="false">IF((E10="d"),G10," ")</f>
        <v> </v>
      </c>
      <c r="L10" s="334" t="str">
        <f aca="false">IF((E10="e"),G10," ")</f>
        <v> </v>
      </c>
      <c r="M10" s="334" t="str">
        <f aca="false">IF((E10="p"),G10," ")</f>
        <v> </v>
      </c>
      <c r="N10" s="334" t="str">
        <f aca="false">IF((E10="r"),G10," ")</f>
        <v> </v>
      </c>
      <c r="O10" s="334" t="n">
        <f aca="false">IF((E10="g"),G10," ")</f>
        <v>18</v>
      </c>
      <c r="P10" s="334" t="str">
        <f aca="false">IF((E10="m"),G10," ")</f>
        <v> </v>
      </c>
      <c r="Q10" s="334" t="str">
        <f aca="false">IF((E10="t"),G10," ")</f>
        <v> </v>
      </c>
      <c r="R10" s="334" t="str">
        <f aca="false">IF((E10="a"),G10," ")</f>
        <v> </v>
      </c>
      <c r="S10" s="334" t="str">
        <f aca="false">IF((E10="l"),G10," ")</f>
        <v> </v>
      </c>
      <c r="T10" s="334" t="str">
        <f aca="false">IF((E10="b"),G10," ")</f>
        <v> </v>
      </c>
      <c r="U10" s="334" t="str">
        <f aca="false">IF((E10="i"),G10," ")</f>
        <v> </v>
      </c>
      <c r="V10" s="334" t="str">
        <f aca="false">IF((E10="o"),G10," ")</f>
        <v> </v>
      </c>
      <c r="W10" s="334" t="str">
        <f aca="false">IF((E10="f"),G10," ")</f>
        <v> </v>
      </c>
    </row>
    <row r="11" customFormat="false" ht="12.75" hidden="false" customHeight="false" outlineLevel="0" collapsed="false">
      <c r="A11" s="355" t="n">
        <v>45994</v>
      </c>
      <c r="B11" s="363" t="s">
        <v>317</v>
      </c>
      <c r="E11" s="365" t="s">
        <v>313</v>
      </c>
      <c r="G11" s="366" t="n">
        <v>180</v>
      </c>
      <c r="H11" s="338" t="n">
        <f aca="false">IF((G11&lt;&gt;0),IF((D11&gt;0)," ",G11)," ")</f>
        <v>180</v>
      </c>
      <c r="I11" s="367" t="n">
        <f aca="false">IF((G11&lt;&gt;0),IF((D11&gt;0)," ",(I$1-A11))," ")</f>
        <v>144</v>
      </c>
      <c r="J11" s="334" t="str">
        <f aca="false">IF((E11="s"),G11," ")</f>
        <v> </v>
      </c>
      <c r="K11" s="334" t="str">
        <f aca="false">IF((E11="d"),G11," ")</f>
        <v> </v>
      </c>
      <c r="L11" s="334" t="str">
        <f aca="false">IF((E11="e"),G11," ")</f>
        <v> </v>
      </c>
      <c r="M11" s="334" t="str">
        <f aca="false">IF((E11="p"),G11," ")</f>
        <v> </v>
      </c>
      <c r="N11" s="334" t="str">
        <f aca="false">IF((E11="r"),G11," ")</f>
        <v> </v>
      </c>
      <c r="O11" s="334" t="str">
        <f aca="false">IF((E11="g"),G11," ")</f>
        <v> </v>
      </c>
      <c r="P11" s="334" t="str">
        <f aca="false">IF((E11="m"),G11," ")</f>
        <v> </v>
      </c>
      <c r="Q11" s="334" t="str">
        <f aca="false">IF((E11="t"),G11," ")</f>
        <v> </v>
      </c>
      <c r="R11" s="334" t="str">
        <f aca="false">IF((E11="a"),G11," ")</f>
        <v> </v>
      </c>
      <c r="S11" s="334" t="str">
        <f aca="false">IF((E11="l"),G11," ")</f>
        <v> </v>
      </c>
      <c r="T11" s="334" t="str">
        <f aca="false">IF((E11="b"),G11," ")</f>
        <v> </v>
      </c>
      <c r="U11" s="334" t="str">
        <f aca="false">IF((E11="i"),G11," ")</f>
        <v> </v>
      </c>
      <c r="V11" s="334" t="n">
        <f aca="false">IF((E11="o"),G11," ")</f>
        <v>180</v>
      </c>
      <c r="W11" s="334" t="str">
        <f aca="false">IF((E11="f"),G11," ")</f>
        <v> </v>
      </c>
    </row>
    <row r="12" customFormat="false" ht="12.75" hidden="false" customHeight="false" outlineLevel="0" collapsed="false">
      <c r="A12" s="355" t="n">
        <v>45994</v>
      </c>
      <c r="B12" s="363" t="s">
        <v>318</v>
      </c>
      <c r="E12" s="365" t="s">
        <v>313</v>
      </c>
      <c r="G12" s="366" t="n">
        <v>22</v>
      </c>
      <c r="H12" s="338" t="n">
        <f aca="false">IF((G12&lt;&gt;0),IF((D12&gt;0)," ",G12)," ")</f>
        <v>22</v>
      </c>
      <c r="I12" s="367" t="n">
        <f aca="false">IF((G12&lt;&gt;0),IF((D12&gt;0)," ",(I$1-A12))," ")</f>
        <v>144</v>
      </c>
      <c r="J12" s="334" t="str">
        <f aca="false">IF((E12="s"),G12," ")</f>
        <v> </v>
      </c>
      <c r="K12" s="334" t="str">
        <f aca="false">IF((E12="d"),G12," ")</f>
        <v> </v>
      </c>
      <c r="L12" s="334" t="str">
        <f aca="false">IF((E12="e"),G12," ")</f>
        <v> </v>
      </c>
      <c r="M12" s="334" t="str">
        <f aca="false">IF((E12="p"),G12," ")</f>
        <v> </v>
      </c>
      <c r="N12" s="334" t="str">
        <f aca="false">IF((E12="r"),G12," ")</f>
        <v> </v>
      </c>
      <c r="O12" s="334" t="str">
        <f aca="false">IF((E12="g"),G12," ")</f>
        <v> </v>
      </c>
      <c r="P12" s="334" t="str">
        <f aca="false">IF((E12="m"),G12," ")</f>
        <v> </v>
      </c>
      <c r="Q12" s="334" t="str">
        <f aca="false">IF((E12="t"),G12," ")</f>
        <v> </v>
      </c>
      <c r="R12" s="334" t="str">
        <f aca="false">IF((E12="a"),G12," ")</f>
        <v> </v>
      </c>
      <c r="S12" s="334" t="str">
        <f aca="false">IF((E12="l"),G12," ")</f>
        <v> </v>
      </c>
      <c r="T12" s="334" t="str">
        <f aca="false">IF((E12="b"),G12," ")</f>
        <v> </v>
      </c>
      <c r="U12" s="334" t="str">
        <f aca="false">IF((E12="i"),G12," ")</f>
        <v> </v>
      </c>
      <c r="V12" s="334" t="n">
        <f aca="false">IF((E12="o"),G12," ")</f>
        <v>22</v>
      </c>
      <c r="W12" s="334" t="str">
        <f aca="false">IF((E12="f"),G12," ")</f>
        <v> </v>
      </c>
    </row>
    <row r="13" customFormat="false" ht="12.75" hidden="false" customHeight="false" outlineLevel="0" collapsed="false">
      <c r="A13" s="355" t="n">
        <v>45996</v>
      </c>
      <c r="B13" s="363" t="s">
        <v>319</v>
      </c>
      <c r="E13" s="365" t="s">
        <v>313</v>
      </c>
      <c r="G13" s="366" t="n">
        <v>24</v>
      </c>
      <c r="H13" s="338" t="n">
        <f aca="false">IF((G13&lt;&gt;0),IF((D13&gt;0)," ",G13)," ")</f>
        <v>24</v>
      </c>
      <c r="I13" s="367" t="n">
        <f aca="false">IF((G13&lt;&gt;0),IF((D13&gt;0)," ",(I$1-A13))," ")</f>
        <v>142</v>
      </c>
      <c r="J13" s="334" t="str">
        <f aca="false">IF((E13="s"),G13," ")</f>
        <v> </v>
      </c>
      <c r="K13" s="334" t="str">
        <f aca="false">IF((E13="d"),G13," ")</f>
        <v> </v>
      </c>
      <c r="L13" s="334" t="str">
        <f aca="false">IF((E13="e"),G13," ")</f>
        <v> </v>
      </c>
      <c r="M13" s="334" t="str">
        <f aca="false">IF((E13="p"),G13," ")</f>
        <v> </v>
      </c>
      <c r="N13" s="334" t="str">
        <f aca="false">IF((E13="r"),G13," ")</f>
        <v> </v>
      </c>
      <c r="O13" s="334" t="str">
        <f aca="false">IF((E13="g"),G13," ")</f>
        <v> </v>
      </c>
      <c r="P13" s="334" t="str">
        <f aca="false">IF((E13="m"),G13," ")</f>
        <v> </v>
      </c>
      <c r="Q13" s="334" t="str">
        <f aca="false">IF((E13="t"),G13," ")</f>
        <v> </v>
      </c>
      <c r="R13" s="334" t="str">
        <f aca="false">IF((E13="a"),G13," ")</f>
        <v> </v>
      </c>
      <c r="S13" s="334" t="str">
        <f aca="false">IF((E13="l"),G13," ")</f>
        <v> </v>
      </c>
      <c r="T13" s="334" t="str">
        <f aca="false">IF((E13="b"),G13," ")</f>
        <v> </v>
      </c>
      <c r="U13" s="334" t="str">
        <f aca="false">IF((E13="i"),G13," ")</f>
        <v> </v>
      </c>
      <c r="V13" s="334" t="n">
        <f aca="false">IF((E13="o"),G13," ")</f>
        <v>24</v>
      </c>
      <c r="W13" s="334" t="str">
        <f aca="false">IF((E13="f"),G13," ")</f>
        <v> </v>
      </c>
    </row>
    <row r="14" customFormat="false" ht="12.75" hidden="false" customHeight="false" outlineLevel="0" collapsed="false">
      <c r="A14" s="355" t="n">
        <v>45996</v>
      </c>
      <c r="B14" s="363" t="s">
        <v>320</v>
      </c>
      <c r="E14" s="365" t="s">
        <v>291</v>
      </c>
      <c r="G14" s="366" t="n">
        <v>180</v>
      </c>
      <c r="H14" s="338" t="n">
        <f aca="false">IF((G14&lt;&gt;0),IF((D14&gt;0)," ",G14)," ")</f>
        <v>180</v>
      </c>
      <c r="I14" s="367" t="n">
        <f aca="false">IF((G14&lt;&gt;0),IF((D14&gt;0)," ",(I$1-A14))," ")</f>
        <v>142</v>
      </c>
      <c r="J14" s="334" t="str">
        <f aca="false">IF((E14="s"),G14," ")</f>
        <v> </v>
      </c>
      <c r="K14" s="334" t="str">
        <f aca="false">IF((E14="d"),G14," ")</f>
        <v> </v>
      </c>
      <c r="L14" s="334" t="str">
        <f aca="false">IF((E14="e"),G14," ")</f>
        <v> </v>
      </c>
      <c r="M14" s="334" t="str">
        <f aca="false">IF((E14="p"),G14," ")</f>
        <v> </v>
      </c>
      <c r="N14" s="334" t="str">
        <f aca="false">IF((E14="r"),G14," ")</f>
        <v> </v>
      </c>
      <c r="O14" s="334" t="str">
        <f aca="false">IF((E14="g"),G14," ")</f>
        <v> </v>
      </c>
      <c r="P14" s="334" t="n">
        <f aca="false">IF((E14="m"),G14," ")</f>
        <v>180</v>
      </c>
      <c r="Q14" s="334" t="str">
        <f aca="false">IF((E14="t"),G14," ")</f>
        <v> </v>
      </c>
      <c r="R14" s="334" t="str">
        <f aca="false">IF((E14="a"),G14," ")</f>
        <v> </v>
      </c>
      <c r="S14" s="334" t="str">
        <f aca="false">IF((E14="l"),G14," ")</f>
        <v> </v>
      </c>
      <c r="T14" s="334" t="str">
        <f aca="false">IF((E14="b"),G14," ")</f>
        <v> </v>
      </c>
      <c r="U14" s="334" t="str">
        <f aca="false">IF((E14="i"),G14," ")</f>
        <v> </v>
      </c>
      <c r="V14" s="334" t="str">
        <f aca="false">IF((E14="o"),G14," ")</f>
        <v> </v>
      </c>
      <c r="W14" s="334" t="str">
        <f aca="false">IF((E14="f"),G14," ")</f>
        <v> </v>
      </c>
    </row>
    <row r="15" customFormat="false" ht="12.75" hidden="false" customHeight="false" outlineLevel="0" collapsed="false">
      <c r="A15" s="355" t="n">
        <v>45996</v>
      </c>
      <c r="B15" s="363" t="s">
        <v>321</v>
      </c>
      <c r="E15" s="365" t="s">
        <v>313</v>
      </c>
      <c r="G15" s="366" t="n">
        <v>36</v>
      </c>
      <c r="H15" s="338" t="n">
        <f aca="false">IF((G15&lt;&gt;0),IF((D15&gt;0)," ",G15)," ")</f>
        <v>36</v>
      </c>
      <c r="I15" s="367" t="n">
        <f aca="false">IF((G15&lt;&gt;0),IF((D15&gt;0)," ",(I$1-A15))," ")</f>
        <v>142</v>
      </c>
      <c r="J15" s="334" t="str">
        <f aca="false">IF((E15="s"),G15," ")</f>
        <v> </v>
      </c>
      <c r="K15" s="334" t="str">
        <f aca="false">IF((E15="d"),G15," ")</f>
        <v> </v>
      </c>
      <c r="L15" s="334" t="str">
        <f aca="false">IF((E15="e"),G15," ")</f>
        <v> </v>
      </c>
      <c r="M15" s="334" t="str">
        <f aca="false">IF((E15="p"),G15," ")</f>
        <v> </v>
      </c>
      <c r="N15" s="334" t="str">
        <f aca="false">IF((E15="r"),G15," ")</f>
        <v> </v>
      </c>
      <c r="O15" s="334" t="str">
        <f aca="false">IF((E15="g"),G15," ")</f>
        <v> </v>
      </c>
      <c r="P15" s="334" t="str">
        <f aca="false">IF((E15="m"),G15," ")</f>
        <v> </v>
      </c>
      <c r="Q15" s="334" t="str">
        <f aca="false">IF((E15="t"),G15," ")</f>
        <v> </v>
      </c>
      <c r="R15" s="334" t="str">
        <f aca="false">IF((E15="a"),G15," ")</f>
        <v> </v>
      </c>
      <c r="S15" s="334" t="str">
        <f aca="false">IF((E15="l"),G15," ")</f>
        <v> </v>
      </c>
      <c r="T15" s="334" t="str">
        <f aca="false">IF((E15="b"),G15," ")</f>
        <v> </v>
      </c>
      <c r="U15" s="334" t="str">
        <f aca="false">IF((E15="i"),G15," ")</f>
        <v> </v>
      </c>
      <c r="V15" s="334" t="n">
        <f aca="false">IF((E15="o"),G15," ")</f>
        <v>36</v>
      </c>
      <c r="W15" s="334" t="str">
        <f aca="false">IF((E15="f"),G15," ")</f>
        <v> </v>
      </c>
    </row>
    <row r="16" customFormat="false" ht="12.75" hidden="false" customHeight="false" outlineLevel="0" collapsed="false">
      <c r="A16" s="355" t="n">
        <v>45999</v>
      </c>
      <c r="B16" s="363" t="s">
        <v>322</v>
      </c>
      <c r="E16" s="365" t="s">
        <v>323</v>
      </c>
      <c r="G16" s="366" t="n">
        <v>48</v>
      </c>
      <c r="H16" s="338" t="n">
        <f aca="false">IF((G16&lt;&gt;0),IF((D16&gt;0)," ",G16)," ")</f>
        <v>48</v>
      </c>
      <c r="I16" s="367" t="n">
        <f aca="false">IF((G16&lt;&gt;0),IF((D16&gt;0)," ",(I$1-A16))," ")</f>
        <v>139</v>
      </c>
      <c r="J16" s="334" t="str">
        <f aca="false">IF((E16="s"),G16," ")</f>
        <v> </v>
      </c>
      <c r="K16" s="334" t="str">
        <f aca="false">IF((E16="d"),G16," ")</f>
        <v> </v>
      </c>
      <c r="L16" s="334" t="str">
        <f aca="false">IF((E16="e"),G16," ")</f>
        <v> </v>
      </c>
      <c r="M16" s="334" t="str">
        <f aca="false">IF((E16="p"),G16," ")</f>
        <v> </v>
      </c>
      <c r="N16" s="334" t="str">
        <f aca="false">IF((E16="r"),G16," ")</f>
        <v> </v>
      </c>
      <c r="O16" s="334" t="str">
        <f aca="false">IF((E16="g"),G16," ")</f>
        <v> </v>
      </c>
      <c r="P16" s="334" t="str">
        <f aca="false">IF((E16="m"),G16," ")</f>
        <v> </v>
      </c>
      <c r="Q16" s="334" t="n">
        <f aca="false">IF((E16="t"),G16," ")</f>
        <v>48</v>
      </c>
      <c r="R16" s="334" t="str">
        <f aca="false">IF((E16="a"),G16," ")</f>
        <v> </v>
      </c>
      <c r="S16" s="334" t="str">
        <f aca="false">IF((E16="l"),G16," ")</f>
        <v> </v>
      </c>
      <c r="T16" s="334" t="str">
        <f aca="false">IF((E16="b"),G16," ")</f>
        <v> </v>
      </c>
      <c r="U16" s="334" t="str">
        <f aca="false">IF((E16="i"),G16," ")</f>
        <v> </v>
      </c>
      <c r="V16" s="334" t="str">
        <f aca="false">IF((E16="o"),G16," ")</f>
        <v> </v>
      </c>
      <c r="W16" s="334" t="str">
        <f aca="false">IF((E16="f"),G16," ")</f>
        <v> </v>
      </c>
    </row>
    <row r="17" customFormat="false" ht="12.75" hidden="false" customHeight="false" outlineLevel="0" collapsed="false">
      <c r="A17" s="355" t="n">
        <v>46001</v>
      </c>
      <c r="B17" s="363" t="s">
        <v>324</v>
      </c>
      <c r="E17" s="365" t="s">
        <v>313</v>
      </c>
      <c r="G17" s="366" t="n">
        <v>36</v>
      </c>
      <c r="H17" s="338" t="n">
        <f aca="false">IF((G17&lt;&gt;0),IF((D17&gt;0)," ",G17)," ")</f>
        <v>36</v>
      </c>
      <c r="I17" s="367" t="n">
        <f aca="false">IF((G17&lt;&gt;0),IF((D17&gt;0)," ",(I$1-A17))," ")</f>
        <v>137</v>
      </c>
      <c r="J17" s="334" t="str">
        <f aca="false">IF((E17="s"),G17," ")</f>
        <v> </v>
      </c>
      <c r="K17" s="334" t="str">
        <f aca="false">IF((E17="d"),G17," ")</f>
        <v> </v>
      </c>
      <c r="L17" s="334" t="str">
        <f aca="false">IF((E17="e"),G17," ")</f>
        <v> </v>
      </c>
      <c r="M17" s="334" t="str">
        <f aca="false">IF((E17="p"),G17," ")</f>
        <v> </v>
      </c>
      <c r="N17" s="334" t="str">
        <f aca="false">IF((E17="r"),G17," ")</f>
        <v> </v>
      </c>
      <c r="O17" s="334" t="str">
        <f aca="false">IF((E17="g"),G17," ")</f>
        <v> </v>
      </c>
      <c r="P17" s="334" t="str">
        <f aca="false">IF((E17="m"),G17," ")</f>
        <v> </v>
      </c>
      <c r="Q17" s="334" t="str">
        <f aca="false">IF((E17="t"),G17," ")</f>
        <v> </v>
      </c>
      <c r="R17" s="334" t="str">
        <f aca="false">IF((E17="a"),G17," ")</f>
        <v> </v>
      </c>
      <c r="S17" s="334" t="str">
        <f aca="false">IF((E17="l"),G17," ")</f>
        <v> </v>
      </c>
      <c r="T17" s="334" t="str">
        <f aca="false">IF((E17="b"),G17," ")</f>
        <v> </v>
      </c>
      <c r="U17" s="334" t="str">
        <f aca="false">IF((E17="i"),G17," ")</f>
        <v> </v>
      </c>
      <c r="V17" s="334" t="n">
        <f aca="false">IF((E17="o"),G17," ")</f>
        <v>36</v>
      </c>
      <c r="W17" s="334" t="str">
        <f aca="false">IF((E17="f"),G17," ")</f>
        <v> </v>
      </c>
    </row>
    <row r="18" customFormat="false" ht="12.75" hidden="false" customHeight="false" outlineLevel="0" collapsed="false">
      <c r="A18" s="355" t="n">
        <v>46001</v>
      </c>
      <c r="B18" s="363" t="s">
        <v>357</v>
      </c>
      <c r="E18" s="365" t="s">
        <v>310</v>
      </c>
      <c r="G18" s="366" t="n">
        <v>120</v>
      </c>
      <c r="H18" s="338" t="n">
        <f aca="false">IF((G18&lt;&gt;0),IF((D18&gt;0)," ",G18)," ")</f>
        <v>120</v>
      </c>
      <c r="I18" s="367" t="n">
        <f aca="false">IF((G18&lt;&gt;0),IF((D18&gt;0)," ",(I$1-A18))," ")</f>
        <v>137</v>
      </c>
      <c r="J18" s="334" t="str">
        <f aca="false">IF((E18="s"),G18," ")</f>
        <v> </v>
      </c>
      <c r="K18" s="334" t="str">
        <f aca="false">IF((E18="d"),G18," ")</f>
        <v> </v>
      </c>
      <c r="L18" s="334" t="str">
        <f aca="false">IF((E18="e"),G18," ")</f>
        <v> </v>
      </c>
      <c r="M18" s="334" t="str">
        <f aca="false">IF((E18="p"),G18," ")</f>
        <v> </v>
      </c>
      <c r="N18" s="334" t="str">
        <f aca="false">IF((E18="r"),G18," ")</f>
        <v> </v>
      </c>
      <c r="O18" s="334" t="n">
        <f aca="false">IF((E18="g"),G18," ")</f>
        <v>120</v>
      </c>
      <c r="P18" s="334" t="str">
        <f aca="false">IF((E18="m"),G18," ")</f>
        <v> </v>
      </c>
      <c r="Q18" s="334" t="str">
        <f aca="false">IF((E18="t"),G18," ")</f>
        <v> </v>
      </c>
      <c r="R18" s="334" t="str">
        <f aca="false">IF((E18="a"),G18," ")</f>
        <v> </v>
      </c>
      <c r="S18" s="334" t="str">
        <f aca="false">IF((E18="l"),G18," ")</f>
        <v> </v>
      </c>
      <c r="T18" s="334" t="str">
        <f aca="false">IF((E18="b"),G18," ")</f>
        <v> </v>
      </c>
      <c r="U18" s="334" t="str">
        <f aca="false">IF((E18="i"),G18," ")</f>
        <v> </v>
      </c>
      <c r="V18" s="334" t="str">
        <f aca="false">IF((E18="o"),G18," ")</f>
        <v> </v>
      </c>
      <c r="W18" s="334" t="str">
        <f aca="false">IF((E18="f"),G18," ")</f>
        <v> </v>
      </c>
    </row>
    <row r="19" customFormat="false" ht="12.75" hidden="false" customHeight="false" outlineLevel="0" collapsed="false">
      <c r="A19" s="355" t="n">
        <v>46003</v>
      </c>
      <c r="B19" s="363" t="s">
        <v>328</v>
      </c>
      <c r="E19" s="365" t="s">
        <v>291</v>
      </c>
      <c r="G19" s="366" t="n">
        <v>18</v>
      </c>
      <c r="H19" s="338" t="n">
        <f aca="false">IF((G19&lt;&gt;0),IF((D19&gt;0)," ",G19)," ")</f>
        <v>18</v>
      </c>
      <c r="I19" s="367" t="n">
        <f aca="false">IF((G19&lt;&gt;0),IF((D19&gt;0)," ",(I$1-A19))," ")</f>
        <v>135</v>
      </c>
      <c r="J19" s="334" t="str">
        <f aca="false">IF((E19="s"),G19," ")</f>
        <v> </v>
      </c>
      <c r="K19" s="334" t="str">
        <f aca="false">IF((E19="d"),G19," ")</f>
        <v> </v>
      </c>
      <c r="L19" s="334" t="str">
        <f aca="false">IF((E19="e"),G19," ")</f>
        <v> </v>
      </c>
      <c r="M19" s="334" t="str">
        <f aca="false">IF((E19="p"),G19," ")</f>
        <v> </v>
      </c>
      <c r="N19" s="334" t="str">
        <f aca="false">IF((E19="r"),G19," ")</f>
        <v> </v>
      </c>
      <c r="O19" s="334" t="str">
        <f aca="false">IF((E19="g"),G19," ")</f>
        <v> </v>
      </c>
      <c r="P19" s="334" t="n">
        <f aca="false">IF((E19="m"),G19," ")</f>
        <v>18</v>
      </c>
      <c r="Q19" s="334" t="str">
        <f aca="false">IF((E19="t"),G19," ")</f>
        <v> </v>
      </c>
      <c r="R19" s="334" t="str">
        <f aca="false">IF((E19="a"),G19," ")</f>
        <v> </v>
      </c>
      <c r="S19" s="334" t="str">
        <f aca="false">IF((E19="l"),G19," ")</f>
        <v> </v>
      </c>
      <c r="T19" s="334" t="str">
        <f aca="false">IF((E19="b"),G19," ")</f>
        <v> </v>
      </c>
      <c r="U19" s="334" t="str">
        <f aca="false">IF((E19="i"),G19," ")</f>
        <v> </v>
      </c>
      <c r="V19" s="334" t="str">
        <f aca="false">IF((E19="o"),G19," ")</f>
        <v> </v>
      </c>
      <c r="W19" s="334" t="str">
        <f aca="false">IF((E19="f"),G19," ")</f>
        <v> </v>
      </c>
    </row>
    <row r="20" customFormat="false" ht="12.75" hidden="false" customHeight="false" outlineLevel="0" collapsed="false">
      <c r="A20" s="355" t="n">
        <v>46005</v>
      </c>
      <c r="B20" s="363" t="s">
        <v>329</v>
      </c>
      <c r="E20" s="365" t="s">
        <v>313</v>
      </c>
      <c r="G20" s="366" t="n">
        <v>24</v>
      </c>
      <c r="H20" s="338" t="n">
        <f aca="false">IF((G20&lt;&gt;0),IF((D20&gt;0)," ",G20)," ")</f>
        <v>24</v>
      </c>
      <c r="I20" s="367" t="n">
        <f aca="false">IF((G20&lt;&gt;0),IF((D20&gt;0)," ",(I$1-A20))," ")</f>
        <v>133</v>
      </c>
      <c r="J20" s="334" t="str">
        <f aca="false">IF((E20="s"),G20," ")</f>
        <v> </v>
      </c>
      <c r="K20" s="334" t="str">
        <f aca="false">IF((E20="d"),G20," ")</f>
        <v> </v>
      </c>
      <c r="L20" s="334" t="str">
        <f aca="false">IF((E20="e"),G20," ")</f>
        <v> </v>
      </c>
      <c r="M20" s="334" t="str">
        <f aca="false">IF((E20="p"),G20," ")</f>
        <v> </v>
      </c>
      <c r="N20" s="334" t="str">
        <f aca="false">IF((E20="r"),G20," ")</f>
        <v> </v>
      </c>
      <c r="O20" s="334" t="str">
        <f aca="false">IF((E20="g"),G20," ")</f>
        <v> </v>
      </c>
      <c r="P20" s="334" t="str">
        <f aca="false">IF((E20="m"),G20," ")</f>
        <v> </v>
      </c>
      <c r="Q20" s="334" t="str">
        <f aca="false">IF((E20="t"),G20," ")</f>
        <v> </v>
      </c>
      <c r="R20" s="334" t="str">
        <f aca="false">IF((E20="a"),G20," ")</f>
        <v> </v>
      </c>
      <c r="S20" s="334" t="str">
        <f aca="false">IF((E20="l"),G20," ")</f>
        <v> </v>
      </c>
      <c r="T20" s="334" t="str">
        <f aca="false">IF((E20="b"),G20," ")</f>
        <v> </v>
      </c>
      <c r="U20" s="334" t="str">
        <f aca="false">IF((E20="i"),G20," ")</f>
        <v> </v>
      </c>
      <c r="V20" s="334" t="n">
        <f aca="false">IF((E20="o"),G20," ")</f>
        <v>24</v>
      </c>
      <c r="W20" s="334" t="str">
        <f aca="false">IF((E20="f"),G20," ")</f>
        <v> </v>
      </c>
    </row>
    <row r="21" customFormat="false" ht="12.75" hidden="false" customHeight="false" outlineLevel="0" collapsed="false">
      <c r="A21" s="355" t="n">
        <v>46005</v>
      </c>
      <c r="B21" s="363" t="s">
        <v>330</v>
      </c>
      <c r="E21" s="365" t="s">
        <v>323</v>
      </c>
      <c r="G21" s="366" t="n">
        <v>24</v>
      </c>
      <c r="H21" s="338" t="n">
        <f aca="false">IF((G21&lt;&gt;0),IF((D21&gt;0)," ",G21)," ")</f>
        <v>24</v>
      </c>
      <c r="I21" s="367" t="n">
        <f aca="false">IF((G21&lt;&gt;0),IF((D21&gt;0)," ",(I$1-A21))," ")</f>
        <v>133</v>
      </c>
      <c r="J21" s="334" t="str">
        <f aca="false">IF((E21="s"),G21," ")</f>
        <v> </v>
      </c>
      <c r="K21" s="334" t="str">
        <f aca="false">IF((E21="d"),G21," ")</f>
        <v> </v>
      </c>
      <c r="L21" s="334" t="str">
        <f aca="false">IF((E21="e"),G21," ")</f>
        <v> </v>
      </c>
      <c r="M21" s="334" t="str">
        <f aca="false">IF((E21="p"),G21," ")</f>
        <v> </v>
      </c>
      <c r="N21" s="334" t="str">
        <f aca="false">IF((E21="r"),G21," ")</f>
        <v> </v>
      </c>
      <c r="O21" s="334" t="str">
        <f aca="false">IF((E21="g"),G21," ")</f>
        <v> </v>
      </c>
      <c r="P21" s="334" t="str">
        <f aca="false">IF((E21="m"),G21," ")</f>
        <v> </v>
      </c>
      <c r="Q21" s="334" t="n">
        <f aca="false">IF((E21="t"),G21," ")</f>
        <v>24</v>
      </c>
      <c r="R21" s="334" t="str">
        <f aca="false">IF((E21="a"),G21," ")</f>
        <v> </v>
      </c>
      <c r="S21" s="334" t="str">
        <f aca="false">IF((E21="l"),G21," ")</f>
        <v> </v>
      </c>
      <c r="T21" s="334" t="str">
        <f aca="false">IF((E21="b"),G21," ")</f>
        <v> </v>
      </c>
      <c r="U21" s="334" t="str">
        <f aca="false">IF((E21="i"),G21," ")</f>
        <v> </v>
      </c>
      <c r="V21" s="334" t="str">
        <f aca="false">IF((E21="o"),G21," ")</f>
        <v> </v>
      </c>
      <c r="W21" s="334" t="str">
        <f aca="false">IF((E21="f"),G21," ")</f>
        <v> </v>
      </c>
    </row>
    <row r="22" customFormat="false" ht="12.75" hidden="false" customHeight="false" outlineLevel="0" collapsed="false">
      <c r="A22" s="355" t="n">
        <v>46005</v>
      </c>
      <c r="B22" s="363" t="s">
        <v>331</v>
      </c>
      <c r="E22" s="365" t="s">
        <v>323</v>
      </c>
      <c r="G22" s="366" t="n">
        <v>12</v>
      </c>
      <c r="H22" s="338" t="n">
        <f aca="false">IF((G22&lt;&gt;0),IF((D22&gt;0)," ",G22)," ")</f>
        <v>12</v>
      </c>
      <c r="I22" s="367" t="n">
        <f aca="false">IF((G22&lt;&gt;0),IF((D22&gt;0)," ",(I$1-A22))," ")</f>
        <v>133</v>
      </c>
      <c r="J22" s="334" t="str">
        <f aca="false">IF((E22="s"),G22," ")</f>
        <v> </v>
      </c>
      <c r="K22" s="334" t="str">
        <f aca="false">IF((E22="d"),G22," ")</f>
        <v> </v>
      </c>
      <c r="L22" s="334" t="str">
        <f aca="false">IF((E22="e"),G22," ")</f>
        <v> </v>
      </c>
      <c r="M22" s="334" t="str">
        <f aca="false">IF((E22="p"),G22," ")</f>
        <v> </v>
      </c>
      <c r="N22" s="334" t="str">
        <f aca="false">IF((E22="r"),G22," ")</f>
        <v> </v>
      </c>
      <c r="O22" s="334" t="str">
        <f aca="false">IF((E22="g"),G22," ")</f>
        <v> </v>
      </c>
      <c r="P22" s="334" t="str">
        <f aca="false">IF((E22="m"),G22," ")</f>
        <v> </v>
      </c>
      <c r="Q22" s="334" t="n">
        <f aca="false">IF((E22="t"),G22," ")</f>
        <v>12</v>
      </c>
      <c r="R22" s="334" t="str">
        <f aca="false">IF((E22="a"),G22," ")</f>
        <v> </v>
      </c>
      <c r="S22" s="334" t="str">
        <f aca="false">IF((E22="l"),G22," ")</f>
        <v> </v>
      </c>
      <c r="T22" s="334" t="str">
        <f aca="false">IF((E22="b"),G22," ")</f>
        <v> </v>
      </c>
      <c r="U22" s="334" t="str">
        <f aca="false">IF((E22="i"),G22," ")</f>
        <v> </v>
      </c>
      <c r="V22" s="334" t="str">
        <f aca="false">IF((E22="o"),G22," ")</f>
        <v> </v>
      </c>
      <c r="W22" s="334" t="str">
        <f aca="false">IF((E22="f"),G22," ")</f>
        <v> </v>
      </c>
    </row>
    <row r="23" customFormat="false" ht="12.75" hidden="false" customHeight="false" outlineLevel="0" collapsed="false">
      <c r="A23" s="355" t="n">
        <v>46006</v>
      </c>
      <c r="B23" s="363" t="s">
        <v>243</v>
      </c>
      <c r="E23" s="365" t="s">
        <v>291</v>
      </c>
      <c r="G23" s="366" t="n">
        <v>150</v>
      </c>
      <c r="H23" s="338" t="n">
        <f aca="false">IF((G23&lt;&gt;0),IF((D23&gt;0)," ",G23)," ")</f>
        <v>150</v>
      </c>
      <c r="I23" s="367" t="n">
        <f aca="false">IF((G23&lt;&gt;0),IF((D23&gt;0)," ",(I$1-A23))," ")</f>
        <v>132</v>
      </c>
      <c r="J23" s="334" t="str">
        <f aca="false">IF((E23="s"),G23," ")</f>
        <v> </v>
      </c>
      <c r="K23" s="334" t="str">
        <f aca="false">IF((E23="d"),G23," ")</f>
        <v> </v>
      </c>
      <c r="L23" s="334" t="str">
        <f aca="false">IF((E23="e"),G23," ")</f>
        <v> </v>
      </c>
      <c r="M23" s="334" t="str">
        <f aca="false">IF((E23="p"),G23," ")</f>
        <v> </v>
      </c>
      <c r="N23" s="334" t="str">
        <f aca="false">IF((E23="r"),G23," ")</f>
        <v> </v>
      </c>
      <c r="O23" s="334" t="str">
        <f aca="false">IF((E23="g"),G23," ")</f>
        <v> </v>
      </c>
      <c r="P23" s="334" t="n">
        <f aca="false">IF((E23="m"),G23," ")</f>
        <v>150</v>
      </c>
      <c r="Q23" s="334" t="str">
        <f aca="false">IF((E23="t"),G23," ")</f>
        <v> </v>
      </c>
      <c r="R23" s="334" t="str">
        <f aca="false">IF((E23="a"),G23," ")</f>
        <v> </v>
      </c>
      <c r="S23" s="334" t="str">
        <f aca="false">IF((E23="l"),G23," ")</f>
        <v> </v>
      </c>
      <c r="T23" s="334" t="str">
        <f aca="false">IF((E23="b"),G23," ")</f>
        <v> </v>
      </c>
      <c r="U23" s="334" t="str">
        <f aca="false">IF((E23="i"),G23," ")</f>
        <v> </v>
      </c>
      <c r="V23" s="334" t="str">
        <f aca="false">IF((E23="o"),G23," ")</f>
        <v> </v>
      </c>
      <c r="W23" s="334" t="str">
        <f aca="false">IF((E23="f"),G23," ")</f>
        <v> </v>
      </c>
    </row>
    <row r="24" customFormat="false" ht="12.75" hidden="false" customHeight="false" outlineLevel="0" collapsed="false">
      <c r="A24" s="355" t="n">
        <v>46006</v>
      </c>
      <c r="B24" s="363" t="s">
        <v>332</v>
      </c>
      <c r="E24" s="365" t="s">
        <v>310</v>
      </c>
      <c r="G24" s="366" t="n">
        <v>12</v>
      </c>
      <c r="H24" s="338" t="n">
        <f aca="false">IF((G24&lt;&gt;0),IF((D24&gt;0)," ",G24)," ")</f>
        <v>12</v>
      </c>
      <c r="I24" s="367" t="n">
        <f aca="false">IF((G24&lt;&gt;0),IF((D24&gt;0)," ",(I$1-A24))," ")</f>
        <v>132</v>
      </c>
      <c r="J24" s="334" t="str">
        <f aca="false">IF((E24="s"),G24," ")</f>
        <v> </v>
      </c>
      <c r="K24" s="334" t="str">
        <f aca="false">IF((E24="d"),G24," ")</f>
        <v> </v>
      </c>
      <c r="L24" s="334" t="str">
        <f aca="false">IF((E24="e"),G24," ")</f>
        <v> </v>
      </c>
      <c r="M24" s="334" t="str">
        <f aca="false">IF((E24="p"),G24," ")</f>
        <v> </v>
      </c>
      <c r="N24" s="334" t="str">
        <f aca="false">IF((E24="r"),G24," ")</f>
        <v> </v>
      </c>
      <c r="O24" s="334" t="n">
        <f aca="false">IF((E24="g"),G24," ")</f>
        <v>12</v>
      </c>
      <c r="P24" s="334" t="str">
        <f aca="false">IF((E24="m"),G24," ")</f>
        <v> </v>
      </c>
      <c r="Q24" s="334" t="str">
        <f aca="false">IF((E24="t"),G24," ")</f>
        <v> </v>
      </c>
      <c r="R24" s="334" t="str">
        <f aca="false">IF((E24="a"),G24," ")</f>
        <v> </v>
      </c>
      <c r="S24" s="334" t="str">
        <f aca="false">IF((E24="l"),G24," ")</f>
        <v> </v>
      </c>
      <c r="T24" s="334" t="str">
        <f aca="false">IF((E24="b"),G24," ")</f>
        <v> </v>
      </c>
      <c r="U24" s="334" t="str">
        <f aca="false">IF((E24="i"),G24," ")</f>
        <v> </v>
      </c>
      <c r="V24" s="334" t="str">
        <f aca="false">IF((E24="o"),G24," ")</f>
        <v> </v>
      </c>
      <c r="W24" s="334" t="str">
        <f aca="false">IF((E24="f"),G24," ")</f>
        <v> </v>
      </c>
    </row>
    <row r="25" customFormat="false" ht="12.75" hidden="false" customHeight="false" outlineLevel="0" collapsed="false">
      <c r="A25" s="355" t="n">
        <v>46006</v>
      </c>
      <c r="B25" s="363" t="s">
        <v>382</v>
      </c>
      <c r="E25" s="365" t="s">
        <v>383</v>
      </c>
      <c r="G25" s="366" t="n">
        <v>500</v>
      </c>
      <c r="H25" s="338" t="n">
        <f aca="false">IF((G25&lt;&gt;0),IF((D25&gt;0)," ",G25)," ")</f>
        <v>500</v>
      </c>
      <c r="I25" s="367" t="n">
        <f aca="false">IF((G25&lt;&gt;0),IF((D25&gt;0)," ",(I$1-A25))," ")</f>
        <v>132</v>
      </c>
      <c r="J25" s="334" t="str">
        <f aca="false">IF((E25="s"),G25," ")</f>
        <v> </v>
      </c>
      <c r="K25" s="334" t="str">
        <f aca="false">IF((E25="d"),G25," ")</f>
        <v> </v>
      </c>
      <c r="L25" s="334" t="str">
        <f aca="false">IF((E25="e"),G25," ")</f>
        <v> </v>
      </c>
      <c r="M25" s="334" t="str">
        <f aca="false">IF((E25="p"),G25," ")</f>
        <v> </v>
      </c>
      <c r="N25" s="334" t="str">
        <f aca="false">IF((E25="r"),G25," ")</f>
        <v> </v>
      </c>
      <c r="O25" s="334" t="str">
        <f aca="false">IF((E25="g"),G25," ")</f>
        <v> </v>
      </c>
      <c r="P25" s="334" t="str">
        <f aca="false">IF((E25="m"),G25," ")</f>
        <v> </v>
      </c>
      <c r="Q25" s="334" t="str">
        <f aca="false">IF((E25="t"),G25," ")</f>
        <v> </v>
      </c>
      <c r="R25" s="334" t="str">
        <f aca="false">IF((E25="a"),G25," ")</f>
        <v> </v>
      </c>
      <c r="S25" s="334" t="str">
        <f aca="false">IF((E25="l"),G25," ")</f>
        <v> </v>
      </c>
      <c r="T25" s="334" t="n">
        <f aca="false">IF((E25="b"),G25," ")</f>
        <v>500</v>
      </c>
      <c r="U25" s="334" t="str">
        <f aca="false">IF((E25="i"),G25," ")</f>
        <v> </v>
      </c>
      <c r="V25" s="334" t="str">
        <f aca="false">IF((E25="o"),G25," ")</f>
        <v> </v>
      </c>
      <c r="W25" s="334" t="str">
        <f aca="false">IF((E25="f"),G25," ")</f>
        <v> </v>
      </c>
    </row>
    <row r="26" customFormat="false" ht="12.75" hidden="false" customHeight="false" outlineLevel="0" collapsed="false">
      <c r="A26" s="355" t="n">
        <v>46009</v>
      </c>
      <c r="B26" s="363" t="s">
        <v>361</v>
      </c>
      <c r="E26" s="365" t="s">
        <v>327</v>
      </c>
      <c r="G26" s="366" t="n">
        <v>480</v>
      </c>
      <c r="H26" s="338" t="n">
        <f aca="false">IF((G26&lt;&gt;0),IF((D26&gt;0)," ",G26)," ")</f>
        <v>480</v>
      </c>
      <c r="I26" s="367" t="n">
        <f aca="false">IF((G26&lt;&gt;0),IF((D26&gt;0)," ",(I$1-A26))," ")</f>
        <v>129</v>
      </c>
      <c r="J26" s="334" t="n">
        <f aca="false">IF((E26="s"),G26," ")</f>
        <v>480</v>
      </c>
      <c r="K26" s="334" t="str">
        <f aca="false">IF((E26="d"),G26," ")</f>
        <v> </v>
      </c>
      <c r="L26" s="334" t="str">
        <f aca="false">IF((E26="e"),G26," ")</f>
        <v> </v>
      </c>
      <c r="M26" s="334" t="str">
        <f aca="false">IF((E26="p"),G26," ")</f>
        <v> </v>
      </c>
      <c r="N26" s="334" t="str">
        <f aca="false">IF((E26="r"),G26," ")</f>
        <v> </v>
      </c>
      <c r="O26" s="334" t="str">
        <f aca="false">IF((E26="g"),G26," ")</f>
        <v> </v>
      </c>
      <c r="P26" s="334" t="str">
        <f aca="false">IF((E26="m"),G26," ")</f>
        <v> </v>
      </c>
      <c r="Q26" s="334" t="str">
        <f aca="false">IF((E26="t"),G26," ")</f>
        <v> </v>
      </c>
      <c r="R26" s="334" t="str">
        <f aca="false">IF((E26="a"),G26," ")</f>
        <v> </v>
      </c>
      <c r="S26" s="334" t="str">
        <f aca="false">IF((E26="l"),G26," ")</f>
        <v> </v>
      </c>
      <c r="T26" s="334" t="str">
        <f aca="false">IF((E26="b"),G26," ")</f>
        <v> </v>
      </c>
      <c r="U26" s="334" t="str">
        <f aca="false">IF((E26="i"),G26," ")</f>
        <v> </v>
      </c>
      <c r="V26" s="334" t="str">
        <f aca="false">IF((E26="o"),G26," ")</f>
        <v> </v>
      </c>
      <c r="W26" s="334" t="str">
        <f aca="false">IF((E26="f"),G26," ")</f>
        <v> </v>
      </c>
    </row>
    <row r="27" customFormat="false" ht="12.75" hidden="false" customHeight="false" outlineLevel="0" collapsed="false">
      <c r="A27" s="355" t="n">
        <v>46009</v>
      </c>
      <c r="B27" s="363" t="s">
        <v>333</v>
      </c>
      <c r="E27" s="365" t="s">
        <v>291</v>
      </c>
      <c r="G27" s="366" t="n">
        <v>96</v>
      </c>
      <c r="H27" s="338" t="n">
        <f aca="false">IF((G27&lt;&gt;0),IF((D27&gt;0)," ",G27)," ")</f>
        <v>96</v>
      </c>
      <c r="I27" s="367" t="n">
        <f aca="false">IF((G27&lt;&gt;0),IF((D27&gt;0)," ",(I$1-A27))," ")</f>
        <v>129</v>
      </c>
      <c r="J27" s="334" t="str">
        <f aca="false">IF((E27="s"),G27," ")</f>
        <v> </v>
      </c>
      <c r="K27" s="334" t="str">
        <f aca="false">IF((E27="d"),G27," ")</f>
        <v> </v>
      </c>
      <c r="L27" s="334" t="str">
        <f aca="false">IF((E27="e"),G27," ")</f>
        <v> </v>
      </c>
      <c r="M27" s="334" t="str">
        <f aca="false">IF((E27="p"),G27," ")</f>
        <v> </v>
      </c>
      <c r="N27" s="334" t="str">
        <f aca="false">IF((E27="r"),G27," ")</f>
        <v> </v>
      </c>
      <c r="O27" s="334" t="str">
        <f aca="false">IF((E27="g"),G27," ")</f>
        <v> </v>
      </c>
      <c r="P27" s="334" t="n">
        <f aca="false">IF((E27="m"),G27," ")</f>
        <v>96</v>
      </c>
      <c r="Q27" s="334" t="str">
        <f aca="false">IF((E27="t"),G27," ")</f>
        <v> </v>
      </c>
      <c r="R27" s="334" t="str">
        <f aca="false">IF((E27="a"),G27," ")</f>
        <v> </v>
      </c>
      <c r="S27" s="334" t="str">
        <f aca="false">IF((E27="l"),G27," ")</f>
        <v> </v>
      </c>
      <c r="T27" s="334" t="str">
        <f aca="false">IF((E27="b"),G27," ")</f>
        <v> </v>
      </c>
      <c r="U27" s="334" t="str">
        <f aca="false">IF((E27="i"),G27," ")</f>
        <v> </v>
      </c>
      <c r="V27" s="334" t="str">
        <f aca="false">IF((E27="o"),G27," ")</f>
        <v> </v>
      </c>
      <c r="W27" s="334" t="str">
        <f aca="false">IF((E27="f"),G27," ")</f>
        <v> </v>
      </c>
    </row>
    <row r="28" customFormat="false" ht="12.75" hidden="false" customHeight="false" outlineLevel="0" collapsed="false">
      <c r="A28" s="355" t="n">
        <v>46011</v>
      </c>
      <c r="B28" s="363" t="s">
        <v>242</v>
      </c>
      <c r="E28" s="365" t="s">
        <v>310</v>
      </c>
      <c r="G28" s="366" t="n">
        <v>60</v>
      </c>
      <c r="H28" s="338" t="n">
        <f aca="false">IF((G28&lt;&gt;0),IF((D28&gt;0)," ",G28)," ")</f>
        <v>60</v>
      </c>
      <c r="I28" s="367" t="n">
        <f aca="false">IF((G28&lt;&gt;0),IF((D28&gt;0)," ",(I$1-A28))," ")</f>
        <v>127</v>
      </c>
      <c r="J28" s="334" t="str">
        <f aca="false">IF((E28="s"),G28," ")</f>
        <v> </v>
      </c>
      <c r="K28" s="334" t="str">
        <f aca="false">IF((E28="d"),G28," ")</f>
        <v> </v>
      </c>
      <c r="L28" s="334" t="str">
        <f aca="false">IF((E28="e"),G28," ")</f>
        <v> </v>
      </c>
      <c r="M28" s="334" t="str">
        <f aca="false">IF((E28="p"),G28," ")</f>
        <v> </v>
      </c>
      <c r="N28" s="334" t="str">
        <f aca="false">IF((E28="r"),G28," ")</f>
        <v> </v>
      </c>
      <c r="O28" s="334" t="n">
        <f aca="false">IF((E28="g"),G28," ")</f>
        <v>60</v>
      </c>
      <c r="P28" s="334" t="str">
        <f aca="false">IF((E28="m"),G28," ")</f>
        <v> </v>
      </c>
      <c r="Q28" s="334" t="str">
        <f aca="false">IF((E28="t"),G28," ")</f>
        <v> </v>
      </c>
      <c r="R28" s="334" t="str">
        <f aca="false">IF((E28="a"),G28," ")</f>
        <v> </v>
      </c>
      <c r="S28" s="334" t="str">
        <f aca="false">IF((E28="l"),G28," ")</f>
        <v> </v>
      </c>
      <c r="T28" s="334" t="str">
        <f aca="false">IF((E28="b"),G28," ")</f>
        <v> </v>
      </c>
      <c r="U28" s="334" t="str">
        <f aca="false">IF((E28="i"),G28," ")</f>
        <v> </v>
      </c>
      <c r="V28" s="334" t="str">
        <f aca="false">IF((E28="o"),G28," ")</f>
        <v> </v>
      </c>
      <c r="W28" s="334" t="str">
        <f aca="false">IF((E28="f"),G28," ")</f>
        <v> </v>
      </c>
    </row>
    <row r="29" customFormat="false" ht="12.75" hidden="false" customHeight="false" outlineLevel="0" collapsed="false">
      <c r="A29" s="355" t="n">
        <v>46012</v>
      </c>
      <c r="B29" s="363" t="s">
        <v>336</v>
      </c>
      <c r="E29" s="365" t="s">
        <v>323</v>
      </c>
      <c r="G29" s="366" t="n">
        <v>8</v>
      </c>
      <c r="H29" s="338" t="n">
        <f aca="false">IF((G29&lt;&gt;0),IF((D29&gt;0)," ",G29)," ")</f>
        <v>8</v>
      </c>
      <c r="I29" s="367" t="n">
        <f aca="false">IF((G29&lt;&gt;0),IF((D29&gt;0)," ",(I$1-A29))," ")</f>
        <v>126</v>
      </c>
      <c r="J29" s="334" t="str">
        <f aca="false">IF((E29="s"),G29," ")</f>
        <v> </v>
      </c>
      <c r="K29" s="334" t="str">
        <f aca="false">IF((E29="d"),G29," ")</f>
        <v> </v>
      </c>
      <c r="L29" s="334" t="str">
        <f aca="false">IF((E29="e"),G29," ")</f>
        <v> </v>
      </c>
      <c r="M29" s="334" t="str">
        <f aca="false">IF((E29="p"),G29," ")</f>
        <v> </v>
      </c>
      <c r="N29" s="334" t="str">
        <f aca="false">IF((E29="r"),G29," ")</f>
        <v> </v>
      </c>
      <c r="O29" s="334" t="str">
        <f aca="false">IF((E29="g"),G29," ")</f>
        <v> </v>
      </c>
      <c r="P29" s="334" t="str">
        <f aca="false">IF((E29="m"),G29," ")</f>
        <v> </v>
      </c>
      <c r="Q29" s="334" t="n">
        <f aca="false">IF((E29="t"),G29," ")</f>
        <v>8</v>
      </c>
      <c r="R29" s="334" t="str">
        <f aca="false">IF((E29="a"),G29," ")</f>
        <v> </v>
      </c>
      <c r="S29" s="334" t="str">
        <f aca="false">IF((E29="l"),G29," ")</f>
        <v> </v>
      </c>
      <c r="T29" s="334" t="str">
        <f aca="false">IF((E29="b"),G29," ")</f>
        <v> </v>
      </c>
      <c r="U29" s="334" t="str">
        <f aca="false">IF((E29="i"),G29," ")</f>
        <v> </v>
      </c>
      <c r="V29" s="334" t="str">
        <f aca="false">IF((E29="o"),G29," ")</f>
        <v> </v>
      </c>
      <c r="W29" s="334" t="str">
        <f aca="false">IF((E29="f"),G29," ")</f>
        <v> </v>
      </c>
    </row>
    <row r="30" customFormat="false" ht="12.75" hidden="false" customHeight="false" outlineLevel="0" collapsed="false">
      <c r="A30" s="355" t="n">
        <v>46013</v>
      </c>
      <c r="B30" s="363" t="s">
        <v>337</v>
      </c>
      <c r="E30" s="365" t="s">
        <v>313</v>
      </c>
      <c r="G30" s="366" t="n">
        <v>18</v>
      </c>
      <c r="H30" s="338" t="n">
        <f aca="false">IF((G30&lt;&gt;0),IF((D30&gt;0)," ",G30)," ")</f>
        <v>18</v>
      </c>
      <c r="I30" s="367" t="n">
        <f aca="false">IF((G30&lt;&gt;0),IF((D30&gt;0)," ",(I$1-A30))," ")</f>
        <v>125</v>
      </c>
      <c r="J30" s="334" t="str">
        <f aca="false">IF((E30="s"),G30," ")</f>
        <v> </v>
      </c>
      <c r="K30" s="334" t="str">
        <f aca="false">IF((E30="d"),G30," ")</f>
        <v> </v>
      </c>
      <c r="L30" s="334" t="str">
        <f aca="false">IF((E30="e"),G30," ")</f>
        <v> </v>
      </c>
      <c r="M30" s="334" t="str">
        <f aca="false">IF((E30="p"),G30," ")</f>
        <v> </v>
      </c>
      <c r="N30" s="334" t="str">
        <f aca="false">IF((E30="r"),G30," ")</f>
        <v> </v>
      </c>
      <c r="O30" s="334" t="str">
        <f aca="false">IF((E30="g"),G30," ")</f>
        <v> </v>
      </c>
      <c r="P30" s="334" t="str">
        <f aca="false">IF((E30="m"),G30," ")</f>
        <v> </v>
      </c>
      <c r="Q30" s="334" t="str">
        <f aca="false">IF((E30="t"),G30," ")</f>
        <v> </v>
      </c>
      <c r="R30" s="334" t="str">
        <f aca="false">IF((E30="a"),G30," ")</f>
        <v> </v>
      </c>
      <c r="S30" s="334" t="str">
        <f aca="false">IF((E30="l"),G30," ")</f>
        <v> </v>
      </c>
      <c r="T30" s="334" t="str">
        <f aca="false">IF((E30="b"),G30," ")</f>
        <v> </v>
      </c>
      <c r="U30" s="334" t="str">
        <f aca="false">IF((E30="i"),G30," ")</f>
        <v> </v>
      </c>
      <c r="V30" s="334" t="n">
        <f aca="false">IF((E30="o"),G30," ")</f>
        <v>18</v>
      </c>
      <c r="W30" s="334" t="str">
        <f aca="false">IF((E30="f"),G30," ")</f>
        <v> </v>
      </c>
    </row>
    <row r="31" customFormat="false" ht="12.75" hidden="false" customHeight="false" outlineLevel="0" collapsed="false">
      <c r="A31" s="355" t="n">
        <v>46016</v>
      </c>
      <c r="B31" s="363" t="s">
        <v>362</v>
      </c>
      <c r="E31" s="365" t="s">
        <v>308</v>
      </c>
      <c r="G31" s="366" t="n">
        <v>420</v>
      </c>
      <c r="H31" s="338" t="n">
        <f aca="false">IF((G31&lt;&gt;0),IF((D31&gt;0)," ",G31)," ")</f>
        <v>420</v>
      </c>
      <c r="I31" s="367" t="n">
        <f aca="false">IF((G31&lt;&gt;0),IF((D31&gt;0)," ",(I$1-A31))," ")</f>
        <v>122</v>
      </c>
      <c r="J31" s="334" t="str">
        <f aca="false">IF((E31="s"),G31," ")</f>
        <v> </v>
      </c>
      <c r="K31" s="334" t="str">
        <f aca="false">IF((E31="d"),G31," ")</f>
        <v> </v>
      </c>
      <c r="L31" s="334" t="str">
        <f aca="false">IF((E31="e"),G31," ")</f>
        <v> </v>
      </c>
      <c r="M31" s="334" t="n">
        <f aca="false">IF((E31="p"),G31," ")</f>
        <v>420</v>
      </c>
      <c r="N31" s="334" t="str">
        <f aca="false">IF((E31="r"),G31," ")</f>
        <v> </v>
      </c>
      <c r="O31" s="334" t="str">
        <f aca="false">IF((E31="g"),G31," ")</f>
        <v> </v>
      </c>
      <c r="P31" s="334" t="str">
        <f aca="false">IF((E31="m"),G31," ")</f>
        <v> </v>
      </c>
      <c r="Q31" s="334" t="str">
        <f aca="false">IF((E31="t"),G31," ")</f>
        <v> </v>
      </c>
      <c r="R31" s="334" t="str">
        <f aca="false">IF((E31="a"),G31," ")</f>
        <v> </v>
      </c>
      <c r="S31" s="334" t="str">
        <f aca="false">IF((E31="l"),G31," ")</f>
        <v> </v>
      </c>
      <c r="T31" s="334" t="str">
        <f aca="false">IF((E31="b"),G31," ")</f>
        <v> </v>
      </c>
      <c r="U31" s="334" t="str">
        <f aca="false">IF((E31="i"),G31," ")</f>
        <v> </v>
      </c>
      <c r="V31" s="334" t="str">
        <f aca="false">IF((E31="o"),G31," ")</f>
        <v> </v>
      </c>
      <c r="W31" s="334" t="str">
        <f aca="false">IF((E31="f"),G31," ")</f>
        <v> </v>
      </c>
    </row>
    <row r="32" customFormat="false" ht="12.75" hidden="false" customHeight="false" outlineLevel="0" collapsed="false">
      <c r="A32" s="355" t="n">
        <v>46016</v>
      </c>
      <c r="B32" s="363" t="s">
        <v>338</v>
      </c>
      <c r="E32" s="365" t="s">
        <v>313</v>
      </c>
      <c r="G32" s="366" t="n">
        <v>15</v>
      </c>
      <c r="H32" s="338" t="n">
        <f aca="false">IF((G32&lt;&gt;0),IF((D32&gt;0)," ",G32)," ")</f>
        <v>15</v>
      </c>
      <c r="I32" s="367" t="n">
        <f aca="false">IF((G32&lt;&gt;0),IF((D32&gt;0)," ",(I$1-A32))," ")</f>
        <v>122</v>
      </c>
      <c r="J32" s="334" t="str">
        <f aca="false">IF((E32="s"),G32," ")</f>
        <v> </v>
      </c>
      <c r="K32" s="334" t="str">
        <f aca="false">IF((E32="d"),G32," ")</f>
        <v> </v>
      </c>
      <c r="L32" s="334" t="str">
        <f aca="false">IF((E32="e"),G32," ")</f>
        <v> </v>
      </c>
      <c r="M32" s="334" t="str">
        <f aca="false">IF((E32="p"),G32," ")</f>
        <v> </v>
      </c>
      <c r="N32" s="334" t="str">
        <f aca="false">IF((E32="r"),G32," ")</f>
        <v> </v>
      </c>
      <c r="O32" s="334" t="str">
        <f aca="false">IF((E32="g"),G32," ")</f>
        <v> </v>
      </c>
      <c r="P32" s="334" t="str">
        <f aca="false">IF((E32="m"),G32," ")</f>
        <v> </v>
      </c>
      <c r="Q32" s="334" t="str">
        <f aca="false">IF((E32="t"),G32," ")</f>
        <v> </v>
      </c>
      <c r="R32" s="334" t="str">
        <f aca="false">IF((E32="a"),G32," ")</f>
        <v> </v>
      </c>
      <c r="S32" s="334" t="str">
        <f aca="false">IF((E32="l"),G32," ")</f>
        <v> </v>
      </c>
      <c r="T32" s="334" t="str">
        <f aca="false">IF((E32="b"),G32," ")</f>
        <v> </v>
      </c>
      <c r="U32" s="334" t="str">
        <f aca="false">IF((E32="i"),G32," ")</f>
        <v> </v>
      </c>
      <c r="V32" s="334" t="n">
        <f aca="false">IF((E32="o"),G32," ")</f>
        <v>15</v>
      </c>
      <c r="W32" s="334" t="str">
        <f aca="false">IF((E32="f"),G32," ")</f>
        <v> </v>
      </c>
    </row>
    <row r="33" customFormat="false" ht="12.75" hidden="false" customHeight="false" outlineLevel="0" collapsed="false">
      <c r="A33" s="355" t="n">
        <v>46016</v>
      </c>
      <c r="B33" s="363" t="s">
        <v>339</v>
      </c>
      <c r="E33" s="365" t="s">
        <v>291</v>
      </c>
      <c r="G33" s="366" t="n">
        <v>49.5</v>
      </c>
      <c r="H33" s="338" t="n">
        <f aca="false">IF((G33&lt;&gt;0),IF((D33&gt;0)," ",G33)," ")</f>
        <v>49.5</v>
      </c>
      <c r="I33" s="367" t="n">
        <f aca="false">IF((G33&lt;&gt;0),IF((D33&gt;0)," ",(I$1-A33))," ")</f>
        <v>122</v>
      </c>
      <c r="J33" s="334" t="str">
        <f aca="false">IF((E33="s"),G33," ")</f>
        <v> </v>
      </c>
      <c r="K33" s="334" t="str">
        <f aca="false">IF((E33="d"),G33," ")</f>
        <v> </v>
      </c>
      <c r="L33" s="334" t="str">
        <f aca="false">IF((E33="e"),G33," ")</f>
        <v> </v>
      </c>
      <c r="M33" s="334" t="str">
        <f aca="false">IF((E33="p"),G33," ")</f>
        <v> </v>
      </c>
      <c r="N33" s="334" t="str">
        <f aca="false">IF((E33="r"),G33," ")</f>
        <v> </v>
      </c>
      <c r="O33" s="334" t="str">
        <f aca="false">IF((E33="g"),G33," ")</f>
        <v> </v>
      </c>
      <c r="P33" s="334" t="n">
        <f aca="false">IF((E33="m"),G33," ")</f>
        <v>49.5</v>
      </c>
      <c r="Q33" s="334" t="str">
        <f aca="false">IF((E33="t"),G33," ")</f>
        <v> </v>
      </c>
      <c r="R33" s="334" t="str">
        <f aca="false">IF((E33="a"),G33," ")</f>
        <v> </v>
      </c>
      <c r="S33" s="334" t="str">
        <f aca="false">IF((E33="l"),G33," ")</f>
        <v> </v>
      </c>
      <c r="T33" s="334" t="str">
        <f aca="false">IF((E33="b"),G33," ")</f>
        <v> </v>
      </c>
      <c r="U33" s="334" t="str">
        <f aca="false">IF((E33="i"),G33," ")</f>
        <v> </v>
      </c>
      <c r="V33" s="334" t="str">
        <f aca="false">IF((E33="o"),G33," ")</f>
        <v> </v>
      </c>
      <c r="W33" s="334" t="str">
        <f aca="false">IF((E33="f"),G33," ")</f>
        <v> </v>
      </c>
    </row>
    <row r="34" customFormat="false" ht="12.75" hidden="false" customHeight="false" outlineLevel="0" collapsed="false">
      <c r="A34" s="355" t="n">
        <v>46019</v>
      </c>
      <c r="B34" s="363" t="s">
        <v>243</v>
      </c>
      <c r="E34" s="365" t="s">
        <v>291</v>
      </c>
      <c r="G34" s="366" t="n">
        <v>120</v>
      </c>
      <c r="H34" s="338" t="n">
        <f aca="false">IF((G34&lt;&gt;0),IF((D34&gt;0)," ",G34)," ")</f>
        <v>120</v>
      </c>
      <c r="I34" s="367" t="n">
        <f aca="false">IF((G34&lt;&gt;0),IF((D34&gt;0)," ",(I$1-A34))," ")</f>
        <v>119</v>
      </c>
      <c r="J34" s="334" t="str">
        <f aca="false">IF((E34="s"),G34," ")</f>
        <v> </v>
      </c>
      <c r="K34" s="334" t="str">
        <f aca="false">IF((E34="d"),G34," ")</f>
        <v> </v>
      </c>
      <c r="L34" s="334" t="str">
        <f aca="false">IF((E34="e"),G34," ")</f>
        <v> </v>
      </c>
      <c r="M34" s="334" t="str">
        <f aca="false">IF((E34="p"),G34," ")</f>
        <v> </v>
      </c>
      <c r="N34" s="334" t="str">
        <f aca="false">IF((E34="r"),G34," ")</f>
        <v> </v>
      </c>
      <c r="O34" s="334" t="str">
        <f aca="false">IF((E34="g"),G34," ")</f>
        <v> </v>
      </c>
      <c r="P34" s="334" t="n">
        <f aca="false">IF((E34="m"),G34," ")</f>
        <v>120</v>
      </c>
      <c r="Q34" s="334" t="str">
        <f aca="false">IF((E34="t"),G34," ")</f>
        <v> </v>
      </c>
      <c r="R34" s="334" t="str">
        <f aca="false">IF((E34="a"),G34," ")</f>
        <v> </v>
      </c>
      <c r="S34" s="334" t="str">
        <f aca="false">IF((E34="l"),G34," ")</f>
        <v> </v>
      </c>
      <c r="T34" s="334" t="str">
        <f aca="false">IF((E34="b"),G34," ")</f>
        <v> </v>
      </c>
      <c r="U34" s="334" t="str">
        <f aca="false">IF((E34="i"),G34," ")</f>
        <v> </v>
      </c>
      <c r="V34" s="334" t="str">
        <f aca="false">IF((E34="o"),G34," ")</f>
        <v> </v>
      </c>
      <c r="W34" s="334" t="str">
        <f aca="false">IF((E34="f"),G34," ")</f>
        <v> </v>
      </c>
    </row>
    <row r="35" customFormat="false" ht="12.75" hidden="false" customHeight="false" outlineLevel="0" collapsed="false">
      <c r="A35" s="355" t="n">
        <v>46022</v>
      </c>
      <c r="B35" s="363" t="s">
        <v>240</v>
      </c>
      <c r="E35" s="365" t="s">
        <v>340</v>
      </c>
      <c r="G35" s="366" t="n">
        <v>300</v>
      </c>
      <c r="H35" s="338" t="n">
        <f aca="false">IF((G35&lt;&gt;0),IF((D35&gt;0)," ",G35)," ")</f>
        <v>300</v>
      </c>
      <c r="I35" s="367" t="n">
        <f aca="false">IF((G35&lt;&gt;0),IF((D35&gt;0)," ",(I$1-A35))," ")</f>
        <v>116</v>
      </c>
      <c r="J35" s="334" t="str">
        <f aca="false">IF((E35="s"),G35," ")</f>
        <v> </v>
      </c>
      <c r="K35" s="334" t="str">
        <f aca="false">IF((E35="d"),G35," ")</f>
        <v> </v>
      </c>
      <c r="L35" s="334" t="str">
        <f aca="false">IF((E35="e"),G35," ")</f>
        <v> </v>
      </c>
      <c r="M35" s="334" t="str">
        <f aca="false">IF((E35="p"),G35," ")</f>
        <v> </v>
      </c>
      <c r="N35" s="334" t="str">
        <f aca="false">IF((E35="r"),G35," ")</f>
        <v> </v>
      </c>
      <c r="O35" s="334" t="str">
        <f aca="false">IF((E35="g"),G35," ")</f>
        <v> </v>
      </c>
      <c r="P35" s="334" t="str">
        <f aca="false">IF((E35="m"),G35," ")</f>
        <v> </v>
      </c>
      <c r="Q35" s="334" t="str">
        <f aca="false">IF((E35="t"),G35," ")</f>
        <v> </v>
      </c>
      <c r="R35" s="334" t="str">
        <f aca="false">IF((E35="a"),G35," ")</f>
        <v> </v>
      </c>
      <c r="S35" s="334" t="n">
        <f aca="false">IF((E35="l"),G35," ")</f>
        <v>300</v>
      </c>
      <c r="T35" s="334" t="str">
        <f aca="false">IF((E35="b"),G35," ")</f>
        <v> </v>
      </c>
      <c r="U35" s="334" t="str">
        <f aca="false">IF((E35="i"),G35," ")</f>
        <v> </v>
      </c>
      <c r="V35" s="334" t="str">
        <f aca="false">IF((E35="o"),G35," ")</f>
        <v> </v>
      </c>
      <c r="W35" s="334" t="str">
        <f aca="false">IF((E35="f"),G35," ")</f>
        <v> </v>
      </c>
    </row>
    <row r="36" customFormat="false" ht="12.75" hidden="false" customHeight="false" outlineLevel="0" collapsed="false">
      <c r="A36" s="355" t="n">
        <v>46022</v>
      </c>
      <c r="B36" s="363" t="s">
        <v>384</v>
      </c>
      <c r="E36" s="365" t="s">
        <v>313</v>
      </c>
      <c r="G36" s="366" t="n">
        <v>5000</v>
      </c>
      <c r="H36" s="338" t="n">
        <f aca="false">IF((G36&lt;&gt;0),IF((D36&gt;0)," ",G36)," ")</f>
        <v>5000</v>
      </c>
      <c r="I36" s="367" t="n">
        <f aca="false">IF((G36&lt;&gt;0),IF((D36&gt;0)," ",(I$1-A36))," ")</f>
        <v>116</v>
      </c>
      <c r="J36" s="334" t="str">
        <f aca="false">IF((E36="s"),G36," ")</f>
        <v> </v>
      </c>
      <c r="K36" s="334" t="str">
        <f aca="false">IF((E36="d"),G36," ")</f>
        <v> </v>
      </c>
      <c r="L36" s="334" t="str">
        <f aca="false">IF((E36="e"),G36," ")</f>
        <v> </v>
      </c>
      <c r="M36" s="334" t="str">
        <f aca="false">IF((E36="p"),G36," ")</f>
        <v> </v>
      </c>
      <c r="N36" s="334" t="str">
        <f aca="false">IF((E36="r"),G36," ")</f>
        <v> </v>
      </c>
      <c r="O36" s="334" t="str">
        <f aca="false">IF((E36="g"),G36," ")</f>
        <v> </v>
      </c>
      <c r="P36" s="334" t="str">
        <f aca="false">IF((E36="m"),G36," ")</f>
        <v> </v>
      </c>
      <c r="Q36" s="334" t="str">
        <f aca="false">IF((E36="t"),G36," ")</f>
        <v> </v>
      </c>
      <c r="R36" s="334" t="str">
        <f aca="false">IF((E36="a"),G36," ")</f>
        <v> </v>
      </c>
      <c r="S36" s="334" t="str">
        <f aca="false">IF((E36="l"),G36," ")</f>
        <v> </v>
      </c>
      <c r="T36" s="334" t="str">
        <f aca="false">IF((E36="b"),G36," ")</f>
        <v> </v>
      </c>
      <c r="U36" s="334" t="str">
        <f aca="false">IF((E36="i"),G36," ")</f>
        <v> </v>
      </c>
      <c r="V36" s="334" t="n">
        <f aca="false">IF((E36="o"),G36," ")</f>
        <v>5000</v>
      </c>
      <c r="W36" s="334" t="str">
        <f aca="false">IF((E36="f"),G36," ")</f>
        <v> </v>
      </c>
    </row>
    <row r="37" customFormat="false" ht="12.75" hidden="false" customHeight="false" outlineLevel="0" collapsed="false">
      <c r="A37" s="355" t="n">
        <v>46022</v>
      </c>
      <c r="B37" s="363" t="s">
        <v>363</v>
      </c>
      <c r="E37" s="365" t="s">
        <v>364</v>
      </c>
      <c r="G37" s="366" t="n">
        <v>167</v>
      </c>
      <c r="H37" s="338" t="n">
        <f aca="false">IF((G37&lt;&gt;0),IF((D37&gt;0)," ",G37)," ")</f>
        <v>167</v>
      </c>
      <c r="I37" s="367" t="n">
        <f aca="false">IF((G37&lt;&gt;0),IF((D37&gt;0)," ",(I$1-A37))," ")</f>
        <v>116</v>
      </c>
      <c r="J37" s="334" t="str">
        <f aca="false">IF((E37="s"),G37," ")</f>
        <v> </v>
      </c>
      <c r="K37" s="334" t="str">
        <f aca="false">IF((E37="d"),G37," ")</f>
        <v> </v>
      </c>
      <c r="L37" s="334" t="str">
        <f aca="false">IF((E37="e"),G37," ")</f>
        <v> </v>
      </c>
      <c r="M37" s="334" t="str">
        <f aca="false">IF((E37="p"),G37," ")</f>
        <v> </v>
      </c>
      <c r="N37" s="334" t="str">
        <f aca="false">IF((E37="r"),G37," ")</f>
        <v> </v>
      </c>
      <c r="O37" s="334" t="str">
        <f aca="false">IF((E37="g"),G37," ")</f>
        <v> </v>
      </c>
      <c r="P37" s="334" t="str">
        <f aca="false">IF((E37="m"),G37," ")</f>
        <v> </v>
      </c>
      <c r="Q37" s="334" t="str">
        <f aca="false">IF((E37="t"),G37," ")</f>
        <v> </v>
      </c>
      <c r="R37" s="334" t="str">
        <f aca="false">IF((E37="a"),G37," ")</f>
        <v> </v>
      </c>
      <c r="S37" s="334" t="str">
        <f aca="false">IF((E37="l"),G37," ")</f>
        <v> </v>
      </c>
      <c r="T37" s="334" t="str">
        <f aca="false">IF((E37="b"),G37," ")</f>
        <v> </v>
      </c>
      <c r="U37" s="334" t="n">
        <f aca="false">IF((E37="i"),G37," ")</f>
        <v>167</v>
      </c>
      <c r="V37" s="334" t="str">
        <f aca="false">IF((E37="o"),G37," ")</f>
        <v> </v>
      </c>
      <c r="W37" s="334" t="str">
        <f aca="false">IF((E37="f"),G37," ")</f>
        <v> </v>
      </c>
    </row>
    <row r="38" customFormat="false" ht="12.75" hidden="false" customHeight="false" outlineLevel="0" collapsed="false">
      <c r="A38" s="355"/>
      <c r="H38" s="338" t="str">
        <f aca="false">IF((G38&lt;&gt;0),IF((D38&gt;0)," ",G38)," ")</f>
        <v> </v>
      </c>
      <c r="I38" s="367" t="str">
        <f aca="false">IF((G38&lt;&gt;0),IF((D38&gt;0)," ",(I$1-A38))," ")</f>
        <v> </v>
      </c>
      <c r="J38" s="334" t="str">
        <f aca="false">IF((E38="s"),G38," ")</f>
        <v> </v>
      </c>
      <c r="K38" s="334" t="str">
        <f aca="false">IF((E38="d"),G38," ")</f>
        <v> </v>
      </c>
      <c r="L38" s="334" t="str">
        <f aca="false">IF((E38="e"),G38," ")</f>
        <v> </v>
      </c>
      <c r="M38" s="334" t="str">
        <f aca="false">IF((E38="p"),G38," ")</f>
        <v> </v>
      </c>
      <c r="N38" s="334" t="str">
        <f aca="false">IF((E38="r"),G38," ")</f>
        <v> </v>
      </c>
      <c r="O38" s="334" t="str">
        <f aca="false">IF((E38="g"),G38," ")</f>
        <v> </v>
      </c>
      <c r="P38" s="334" t="str">
        <f aca="false">IF((E38="m"),G38," ")</f>
        <v> </v>
      </c>
      <c r="Q38" s="334" t="str">
        <f aca="false">IF((E38="t"),G38," ")</f>
        <v> </v>
      </c>
      <c r="R38" s="334" t="str">
        <f aca="false">IF((E38="a"),G38," ")</f>
        <v> </v>
      </c>
      <c r="S38" s="334" t="str">
        <f aca="false">IF((E38="l"),G38," ")</f>
        <v> </v>
      </c>
      <c r="T38" s="334" t="str">
        <f aca="false">IF((E38="b"),G38," ")</f>
        <v> </v>
      </c>
      <c r="U38" s="334" t="str">
        <f aca="false">IF((E38="i"),G38," ")</f>
        <v> </v>
      </c>
      <c r="V38" s="334" t="str">
        <f aca="false">IF((E38="o"),G38," ")</f>
        <v> </v>
      </c>
      <c r="W38" s="334" t="str">
        <f aca="false">IF((E38="f"),G38," ")</f>
        <v> </v>
      </c>
    </row>
    <row r="39" customFormat="false" ht="12.75" hidden="false" customHeight="false" outlineLevel="0" collapsed="false">
      <c r="A39" s="355"/>
      <c r="H39" s="338" t="str">
        <f aca="false">IF((G39&lt;&gt;0),IF((D39&gt;0)," ",G39)," ")</f>
        <v> </v>
      </c>
      <c r="I39" s="367" t="str">
        <f aca="false">IF((G39&lt;&gt;0),IF((D39&gt;0)," ",(I$1-A39))," ")</f>
        <v> </v>
      </c>
      <c r="J39" s="334" t="str">
        <f aca="false">IF((E39="s"),G39," ")</f>
        <v> </v>
      </c>
      <c r="K39" s="334" t="str">
        <f aca="false">IF((E39="d"),G39," ")</f>
        <v> </v>
      </c>
      <c r="L39" s="334" t="str">
        <f aca="false">IF((E39="e"),G39," ")</f>
        <v> </v>
      </c>
      <c r="M39" s="334" t="str">
        <f aca="false">IF((E39="p"),G39," ")</f>
        <v> </v>
      </c>
      <c r="N39" s="334" t="str">
        <f aca="false">IF((E39="r"),G39," ")</f>
        <v> </v>
      </c>
      <c r="O39" s="334" t="str">
        <f aca="false">IF((E39="g"),G39," ")</f>
        <v> </v>
      </c>
      <c r="P39" s="334" t="str">
        <f aca="false">IF((E39="m"),G39," ")</f>
        <v> </v>
      </c>
      <c r="Q39" s="334" t="str">
        <f aca="false">IF((E39="t"),G39," ")</f>
        <v> </v>
      </c>
      <c r="R39" s="334" t="str">
        <f aca="false">IF((E39="a"),G39," ")</f>
        <v> </v>
      </c>
      <c r="S39" s="334" t="str">
        <f aca="false">IF((E39="l"),G39," ")</f>
        <v> </v>
      </c>
      <c r="T39" s="334" t="str">
        <f aca="false">IF((E39="b"),G39," ")</f>
        <v> </v>
      </c>
      <c r="U39" s="334" t="str">
        <f aca="false">IF((E39="i"),G39," ")</f>
        <v> </v>
      </c>
      <c r="V39" s="334" t="str">
        <f aca="false">IF((E39="o"),G39," ")</f>
        <v> </v>
      </c>
      <c r="W39" s="334" t="str">
        <f aca="false">IF((E39="f"),G39," ")</f>
        <v> </v>
      </c>
    </row>
    <row r="40" customFormat="false" ht="12.75" hidden="false" customHeight="false" outlineLevel="0" collapsed="false">
      <c r="A40" s="355"/>
      <c r="H40" s="338" t="str">
        <f aca="false">IF((G40&lt;&gt;0),IF((D40&gt;0)," ",G40)," ")</f>
        <v> </v>
      </c>
      <c r="I40" s="367" t="str">
        <f aca="false">IF((G40&lt;&gt;0),IF((D40&gt;0)," ",(I$1-A40))," ")</f>
        <v> </v>
      </c>
      <c r="J40" s="334" t="str">
        <f aca="false">IF((E40="s"),G40," ")</f>
        <v> </v>
      </c>
      <c r="K40" s="334" t="str">
        <f aca="false">IF((E40="d"),G40," ")</f>
        <v> </v>
      </c>
      <c r="L40" s="334" t="str">
        <f aca="false">IF((E40="e"),G40," ")</f>
        <v> </v>
      </c>
      <c r="M40" s="334" t="str">
        <f aca="false">IF((E40="p"),G40," ")</f>
        <v> </v>
      </c>
      <c r="N40" s="334" t="str">
        <f aca="false">IF((E40="r"),G40," ")</f>
        <v> </v>
      </c>
      <c r="O40" s="334" t="str">
        <f aca="false">IF((E40="g"),G40," ")</f>
        <v> </v>
      </c>
      <c r="P40" s="334" t="str">
        <f aca="false">IF((E40="m"),G40," ")</f>
        <v> </v>
      </c>
      <c r="Q40" s="334" t="str">
        <f aca="false">IF((E40="t"),G40," ")</f>
        <v> </v>
      </c>
      <c r="R40" s="334" t="str">
        <f aca="false">IF((E40="a"),G40," ")</f>
        <v> </v>
      </c>
      <c r="S40" s="334" t="str">
        <f aca="false">IF((E40="l"),G40," ")</f>
        <v> </v>
      </c>
      <c r="T40" s="334" t="str">
        <f aca="false">IF((E40="b"),G40," ")</f>
        <v> </v>
      </c>
      <c r="U40" s="334" t="str">
        <f aca="false">IF((E40="i"),G40," ")</f>
        <v> </v>
      </c>
      <c r="V40" s="334" t="str">
        <f aca="false">IF((E40="o"),G40," ")</f>
        <v> </v>
      </c>
      <c r="W40" s="334" t="str">
        <f aca="false">IF((E40="f"),G40," ")</f>
        <v> </v>
      </c>
    </row>
    <row r="41" customFormat="false" ht="12.75" hidden="false" customHeight="false" outlineLevel="0" collapsed="false">
      <c r="A41" s="355"/>
      <c r="H41" s="338" t="str">
        <f aca="false">IF((G41&lt;&gt;0),IF((D41&gt;0)," ",G41)," ")</f>
        <v> </v>
      </c>
      <c r="I41" s="367" t="str">
        <f aca="false">IF((G41&lt;&gt;0),IF((D41&gt;0)," ",(I$1-A41))," ")</f>
        <v> </v>
      </c>
      <c r="J41" s="334" t="str">
        <f aca="false">IF((E41="s"),G41," ")</f>
        <v> </v>
      </c>
      <c r="K41" s="334" t="str">
        <f aca="false">IF((E41="d"),G41," ")</f>
        <v> </v>
      </c>
      <c r="L41" s="334" t="str">
        <f aca="false">IF((E41="e"),G41," ")</f>
        <v> </v>
      </c>
      <c r="M41" s="334" t="str">
        <f aca="false">IF((E41="p"),G41," ")</f>
        <v> </v>
      </c>
      <c r="N41" s="334" t="str">
        <f aca="false">IF((E41="r"),G41," ")</f>
        <v> </v>
      </c>
      <c r="O41" s="334" t="str">
        <f aca="false">IF((E41="g"),G41," ")</f>
        <v> </v>
      </c>
      <c r="P41" s="334" t="str">
        <f aca="false">IF((E41="m"),G41," ")</f>
        <v> </v>
      </c>
      <c r="Q41" s="334" t="str">
        <f aca="false">IF((E41="t"),G41," ")</f>
        <v> </v>
      </c>
      <c r="R41" s="334" t="str">
        <f aca="false">IF((E41="a"),G41," ")</f>
        <v> </v>
      </c>
      <c r="S41" s="334" t="str">
        <f aca="false">IF((E41="l"),G41," ")</f>
        <v> </v>
      </c>
      <c r="T41" s="334" t="str">
        <f aca="false">IF((E41="b"),G41," ")</f>
        <v> </v>
      </c>
      <c r="U41" s="334" t="str">
        <f aca="false">IF((E41="i"),G41," ")</f>
        <v> </v>
      </c>
      <c r="V41" s="334" t="str">
        <f aca="false">IF((E41="o"),G41," ")</f>
        <v> </v>
      </c>
      <c r="W41" s="334" t="str">
        <f aca="false">IF((E41="f"),G41," ")</f>
        <v> </v>
      </c>
    </row>
    <row r="42" customFormat="false" ht="12.75" hidden="false" customHeight="false" outlineLevel="0" collapsed="false">
      <c r="A42" s="355"/>
      <c r="H42" s="338" t="str">
        <f aca="false">IF((G42&lt;&gt;0),IF((D42&gt;0)," ",G42)," ")</f>
        <v> </v>
      </c>
      <c r="I42" s="367" t="str">
        <f aca="false">IF((G42&lt;&gt;0),IF((D42&gt;0)," ",(I$1-A42))," ")</f>
        <v> </v>
      </c>
      <c r="J42" s="334" t="str">
        <f aca="false">IF((E42="s"),G42," ")</f>
        <v> </v>
      </c>
      <c r="K42" s="334" t="str">
        <f aca="false">IF((E42="d"),G42," ")</f>
        <v> </v>
      </c>
      <c r="L42" s="334" t="str">
        <f aca="false">IF((E42="e"),G42," ")</f>
        <v> </v>
      </c>
      <c r="M42" s="334" t="str">
        <f aca="false">IF((E42="p"),G42," ")</f>
        <v> </v>
      </c>
      <c r="N42" s="334" t="str">
        <f aca="false">IF((E42="r"),G42," ")</f>
        <v> </v>
      </c>
      <c r="O42" s="334" t="str">
        <f aca="false">IF((E42="g"),G42," ")</f>
        <v> </v>
      </c>
      <c r="P42" s="334" t="str">
        <f aca="false">IF((E42="m"),G42," ")</f>
        <v> </v>
      </c>
      <c r="Q42" s="334" t="str">
        <f aca="false">IF((E42="t"),G42," ")</f>
        <v> </v>
      </c>
      <c r="R42" s="334" t="str">
        <f aca="false">IF((E42="a"),G42," ")</f>
        <v> </v>
      </c>
      <c r="S42" s="334" t="str">
        <f aca="false">IF((E42="l"),G42," ")</f>
        <v> </v>
      </c>
      <c r="T42" s="334" t="str">
        <f aca="false">IF((E42="b"),G42," ")</f>
        <v> </v>
      </c>
      <c r="U42" s="334" t="str">
        <f aca="false">IF((E42="i"),G42," ")</f>
        <v> </v>
      </c>
      <c r="V42" s="334" t="str">
        <f aca="false">IF((E42="o"),G42," ")</f>
        <v> </v>
      </c>
      <c r="W42" s="334" t="str">
        <f aca="false">IF((E42="f"),G42," ")</f>
        <v> </v>
      </c>
    </row>
    <row r="43" customFormat="false" ht="12.75" hidden="false" customHeight="false" outlineLevel="0" collapsed="false">
      <c r="A43" s="355"/>
      <c r="H43" s="338" t="str">
        <f aca="false">IF((G43&lt;&gt;0),IF((D43&gt;0)," ",G43)," ")</f>
        <v> </v>
      </c>
      <c r="I43" s="367" t="str">
        <f aca="false">IF((G43&lt;&gt;0),IF((D43&gt;0)," ",(I$1-A43))," ")</f>
        <v> </v>
      </c>
      <c r="J43" s="334" t="str">
        <f aca="false">IF((E43="s"),G43," ")</f>
        <v> </v>
      </c>
      <c r="K43" s="334" t="str">
        <f aca="false">IF((E43="d"),G43," ")</f>
        <v> </v>
      </c>
      <c r="L43" s="334" t="str">
        <f aca="false">IF((E43="e"),G43," ")</f>
        <v> </v>
      </c>
      <c r="M43" s="334" t="str">
        <f aca="false">IF((E43="p"),G43," ")</f>
        <v> </v>
      </c>
      <c r="N43" s="334" t="str">
        <f aca="false">IF((E43="r"),G43," ")</f>
        <v> </v>
      </c>
      <c r="O43" s="334" t="str">
        <f aca="false">IF((E43="g"),G43," ")</f>
        <v> </v>
      </c>
      <c r="P43" s="334" t="str">
        <f aca="false">IF((E43="m"),G43," ")</f>
        <v> </v>
      </c>
      <c r="Q43" s="334" t="str">
        <f aca="false">IF((E43="t"),G43," ")</f>
        <v> </v>
      </c>
      <c r="R43" s="334" t="str">
        <f aca="false">IF((E43="a"),G43," ")</f>
        <v> </v>
      </c>
      <c r="S43" s="334" t="str">
        <f aca="false">IF((E43="l"),G43," ")</f>
        <v> </v>
      </c>
      <c r="T43" s="334" t="str">
        <f aca="false">IF((E43="b"),G43," ")</f>
        <v> </v>
      </c>
      <c r="U43" s="334" t="str">
        <f aca="false">IF((E43="i"),G43," ")</f>
        <v> </v>
      </c>
      <c r="V43" s="334" t="str">
        <f aca="false">IF((E43="o"),G43," ")</f>
        <v> </v>
      </c>
      <c r="W43" s="334" t="str">
        <f aca="false">IF((E43="f"),G43," ")</f>
        <v> </v>
      </c>
    </row>
    <row r="44" customFormat="false" ht="12.75" hidden="false" customHeight="false" outlineLevel="0" collapsed="false">
      <c r="A44" s="355"/>
      <c r="H44" s="338" t="str">
        <f aca="false">IF((G44&lt;&gt;0),IF((D44&gt;0)," ",G44)," ")</f>
        <v> </v>
      </c>
      <c r="I44" s="367" t="str">
        <f aca="false">IF((G44&lt;&gt;0),IF((D44&gt;0)," ",(I$1-A44))," ")</f>
        <v> </v>
      </c>
      <c r="J44" s="334" t="str">
        <f aca="false">IF((E44="s"),G44," ")</f>
        <v> </v>
      </c>
      <c r="K44" s="334" t="str">
        <f aca="false">IF((E44="d"),G44," ")</f>
        <v> </v>
      </c>
      <c r="L44" s="334" t="str">
        <f aca="false">IF((E44="e"),G44," ")</f>
        <v> </v>
      </c>
      <c r="M44" s="334" t="str">
        <f aca="false">IF((E44="p"),G44," ")</f>
        <v> </v>
      </c>
      <c r="N44" s="334" t="str">
        <f aca="false">IF((E44="r"),G44," ")</f>
        <v> </v>
      </c>
      <c r="O44" s="334" t="str">
        <f aca="false">IF((E44="g"),G44," ")</f>
        <v> </v>
      </c>
      <c r="P44" s="334" t="str">
        <f aca="false">IF((E44="m"),G44," ")</f>
        <v> </v>
      </c>
      <c r="Q44" s="334" t="str">
        <f aca="false">IF((E44="t"),G44," ")</f>
        <v> </v>
      </c>
      <c r="R44" s="334" t="str">
        <f aca="false">IF((E44="a"),G44," ")</f>
        <v> </v>
      </c>
      <c r="S44" s="334" t="str">
        <f aca="false">IF((E44="l"),G44," ")</f>
        <v> </v>
      </c>
      <c r="T44" s="334" t="str">
        <f aca="false">IF((E44="b"),G44," ")</f>
        <v> </v>
      </c>
      <c r="U44" s="334" t="str">
        <f aca="false">IF((E44="i"),G44," ")</f>
        <v> </v>
      </c>
      <c r="V44" s="334" t="str">
        <f aca="false">IF((E44="o"),G44," ")</f>
        <v> </v>
      </c>
      <c r="W44" s="334" t="str">
        <f aca="false">IF((E44="f"),G44," ")</f>
        <v> </v>
      </c>
    </row>
    <row r="45" customFormat="false" ht="12.75" hidden="false" customHeight="false" outlineLevel="0" collapsed="false">
      <c r="A45" s="355"/>
      <c r="H45" s="338" t="str">
        <f aca="false">IF((G45&lt;&gt;0),IF((D45&gt;0)," ",G45)," ")</f>
        <v> </v>
      </c>
      <c r="I45" s="367" t="str">
        <f aca="false">IF((G45&lt;&gt;0),IF((D45&gt;0)," ",(I$1-A45))," ")</f>
        <v> </v>
      </c>
      <c r="J45" s="334" t="str">
        <f aca="false">IF((E45="s"),G45," ")</f>
        <v> </v>
      </c>
      <c r="K45" s="334" t="str">
        <f aca="false">IF((E45="d"),G45," ")</f>
        <v> </v>
      </c>
      <c r="L45" s="334" t="str">
        <f aca="false">IF((E45="e"),G45," ")</f>
        <v> </v>
      </c>
      <c r="M45" s="334" t="str">
        <f aca="false">IF((E45="p"),G45," ")</f>
        <v> </v>
      </c>
      <c r="N45" s="334" t="str">
        <f aca="false">IF((E45="r"),G45," ")</f>
        <v> </v>
      </c>
      <c r="O45" s="334" t="str">
        <f aca="false">IF((E45="g"),G45," ")</f>
        <v> </v>
      </c>
      <c r="P45" s="334" t="str">
        <f aca="false">IF((E45="m"),G45," ")</f>
        <v> </v>
      </c>
      <c r="Q45" s="334" t="str">
        <f aca="false">IF((E45="t"),G45," ")</f>
        <v> </v>
      </c>
      <c r="R45" s="334" t="str">
        <f aca="false">IF((E45="a"),G45," ")</f>
        <v> </v>
      </c>
      <c r="S45" s="334" t="str">
        <f aca="false">IF((E45="l"),G45," ")</f>
        <v> </v>
      </c>
      <c r="T45" s="334" t="str">
        <f aca="false">IF((E45="b"),G45," ")</f>
        <v> </v>
      </c>
      <c r="U45" s="334" t="str">
        <f aca="false">IF((E45="i"),G45," ")</f>
        <v> </v>
      </c>
      <c r="V45" s="334" t="str">
        <f aca="false">IF((E45="o"),G45," ")</f>
        <v> </v>
      </c>
      <c r="W45" s="334" t="str">
        <f aca="false">IF((E45="f"),G45," ")</f>
        <v> </v>
      </c>
    </row>
    <row r="46" customFormat="false" ht="12.75" hidden="false" customHeight="false" outlineLevel="0" collapsed="false">
      <c r="A46" s="355"/>
      <c r="H46" s="338" t="str">
        <f aca="false">IF((G46&lt;&gt;0),IF((D46&gt;0)," ",G46)," ")</f>
        <v> </v>
      </c>
      <c r="I46" s="367" t="str">
        <f aca="false">IF((G46&lt;&gt;0),IF((D46&gt;0)," ",(I$1-A46))," ")</f>
        <v> </v>
      </c>
      <c r="J46" s="334" t="str">
        <f aca="false">IF((E46="s"),G46," ")</f>
        <v> </v>
      </c>
      <c r="K46" s="334" t="str">
        <f aca="false">IF((E46="d"),G46," ")</f>
        <v> </v>
      </c>
      <c r="L46" s="334" t="str">
        <f aca="false">IF((E46="e"),G46," ")</f>
        <v> </v>
      </c>
      <c r="M46" s="334" t="str">
        <f aca="false">IF((E46="p"),G46," ")</f>
        <v> </v>
      </c>
      <c r="N46" s="334" t="str">
        <f aca="false">IF((E46="r"),G46," ")</f>
        <v> </v>
      </c>
      <c r="O46" s="334" t="str">
        <f aca="false">IF((E46="g"),G46," ")</f>
        <v> </v>
      </c>
      <c r="P46" s="334" t="str">
        <f aca="false">IF((E46="m"),G46," ")</f>
        <v> </v>
      </c>
      <c r="Q46" s="334" t="str">
        <f aca="false">IF((E46="t"),G46," ")</f>
        <v> </v>
      </c>
      <c r="R46" s="334" t="str">
        <f aca="false">IF((E46="a"),G46," ")</f>
        <v> </v>
      </c>
      <c r="S46" s="334" t="str">
        <f aca="false">IF((E46="l"),G46," ")</f>
        <v> </v>
      </c>
      <c r="T46" s="334" t="str">
        <f aca="false">IF((E46="b"),G46," ")</f>
        <v> </v>
      </c>
      <c r="U46" s="334" t="str">
        <f aca="false">IF((E46="i"),G46," ")</f>
        <v> </v>
      </c>
      <c r="V46" s="334" t="str">
        <f aca="false">IF((E46="o"),G46," ")</f>
        <v> </v>
      </c>
      <c r="W46" s="334" t="str">
        <f aca="false">IF((E46="f"),G46," ")</f>
        <v> </v>
      </c>
    </row>
    <row r="47" customFormat="false" ht="12.75" hidden="false" customHeight="false" outlineLevel="0" collapsed="false">
      <c r="A47" s="355"/>
      <c r="H47" s="338" t="str">
        <f aca="false">IF((G47&lt;&gt;0),IF((D47&gt;0)," ",G47)," ")</f>
        <v> </v>
      </c>
      <c r="I47" s="367" t="str">
        <f aca="false">IF((G47&lt;&gt;0),IF((D47&gt;0)," ",(I$1-A47))," ")</f>
        <v> </v>
      </c>
      <c r="J47" s="334" t="str">
        <f aca="false">IF((E47="s"),G47," ")</f>
        <v> </v>
      </c>
      <c r="K47" s="334" t="str">
        <f aca="false">IF((E47="d"),G47," ")</f>
        <v> </v>
      </c>
      <c r="L47" s="334" t="str">
        <f aca="false">IF((E47="e"),G47," ")</f>
        <v> </v>
      </c>
      <c r="M47" s="334" t="str">
        <f aca="false">IF((E47="p"),G47," ")</f>
        <v> </v>
      </c>
      <c r="N47" s="334" t="str">
        <f aca="false">IF((E47="r"),G47," ")</f>
        <v> </v>
      </c>
      <c r="O47" s="334" t="str">
        <f aca="false">IF((E47="g"),G47," ")</f>
        <v> </v>
      </c>
      <c r="P47" s="334" t="str">
        <f aca="false">IF((E47="m"),G47," ")</f>
        <v> </v>
      </c>
      <c r="Q47" s="334" t="str">
        <f aca="false">IF((E47="t"),G47," ")</f>
        <v> </v>
      </c>
      <c r="R47" s="334" t="str">
        <f aca="false">IF((E47="a"),G47," ")</f>
        <v> </v>
      </c>
      <c r="S47" s="334" t="str">
        <f aca="false">IF((E47="l"),G47," ")</f>
        <v> </v>
      </c>
      <c r="T47" s="334" t="str">
        <f aca="false">IF((E47="b"),G47," ")</f>
        <v> </v>
      </c>
      <c r="U47" s="334" t="str">
        <f aca="false">IF((E47="i"),G47," ")</f>
        <v> </v>
      </c>
      <c r="V47" s="334" t="str">
        <f aca="false">IF((E47="o"),G47," ")</f>
        <v> </v>
      </c>
      <c r="W47" s="334" t="str">
        <f aca="false">IF((E47="f"),G47," ")</f>
        <v> </v>
      </c>
    </row>
    <row r="48" customFormat="false" ht="12.75" hidden="false" customHeight="false" outlineLevel="0" collapsed="false">
      <c r="A48" s="355"/>
      <c r="H48" s="338" t="str">
        <f aca="false">IF((G48&lt;&gt;0),IF((D48&gt;0)," ",G48)," ")</f>
        <v> </v>
      </c>
      <c r="I48" s="367" t="str">
        <f aca="false">IF((G48&lt;&gt;0),IF((D48&gt;0)," ",(I$1-A48))," ")</f>
        <v> </v>
      </c>
      <c r="J48" s="334" t="str">
        <f aca="false">IF((E48="s"),G48," ")</f>
        <v> </v>
      </c>
      <c r="K48" s="334" t="str">
        <f aca="false">IF((E48="d"),G48," ")</f>
        <v> </v>
      </c>
      <c r="L48" s="334" t="str">
        <f aca="false">IF((E48="e"),G48," ")</f>
        <v> </v>
      </c>
      <c r="M48" s="334" t="str">
        <f aca="false">IF((E48="p"),G48," ")</f>
        <v> </v>
      </c>
      <c r="N48" s="334" t="str">
        <f aca="false">IF((E48="r"),G48," ")</f>
        <v> </v>
      </c>
      <c r="O48" s="334" t="str">
        <f aca="false">IF((E48="g"),G48," ")</f>
        <v> </v>
      </c>
      <c r="P48" s="334" t="str">
        <f aca="false">IF((E48="m"),G48," ")</f>
        <v> </v>
      </c>
      <c r="Q48" s="334" t="str">
        <f aca="false">IF((E48="t"),G48," ")</f>
        <v> </v>
      </c>
      <c r="R48" s="334" t="str">
        <f aca="false">IF((E48="a"),G48," ")</f>
        <v> </v>
      </c>
      <c r="S48" s="334" t="str">
        <f aca="false">IF((E48="l"),G48," ")</f>
        <v> </v>
      </c>
      <c r="T48" s="334" t="str">
        <f aca="false">IF((E48="b"),G48," ")</f>
        <v> </v>
      </c>
      <c r="U48" s="334" t="str">
        <f aca="false">IF((E48="i"),G48," ")</f>
        <v> </v>
      </c>
      <c r="V48" s="334" t="str">
        <f aca="false">IF((E48="o"),G48," ")</f>
        <v> </v>
      </c>
      <c r="W48" s="334" t="str">
        <f aca="false">IF((E48="f"),G48," ")</f>
        <v> </v>
      </c>
    </row>
    <row r="49" customFormat="false" ht="12.75" hidden="false" customHeight="false" outlineLevel="0" collapsed="false">
      <c r="A49" s="355"/>
      <c r="H49" s="338" t="str">
        <f aca="false">IF((G49&lt;&gt;0),IF((D49&gt;0)," ",G49)," ")</f>
        <v> </v>
      </c>
      <c r="I49" s="367" t="str">
        <f aca="false">IF((G49&lt;&gt;0),IF((D49&gt;0)," ",(I$1-A49))," ")</f>
        <v> </v>
      </c>
      <c r="J49" s="334" t="str">
        <f aca="false">IF((E49="s"),G49," ")</f>
        <v> </v>
      </c>
      <c r="K49" s="334" t="str">
        <f aca="false">IF((E49="d"),G49," ")</f>
        <v> </v>
      </c>
      <c r="L49" s="334" t="str">
        <f aca="false">IF((E49="e"),G49," ")</f>
        <v> </v>
      </c>
      <c r="M49" s="334" t="str">
        <f aca="false">IF((E49="p"),G49," ")</f>
        <v> </v>
      </c>
      <c r="N49" s="334" t="str">
        <f aca="false">IF((E49="r"),G49," ")</f>
        <v> </v>
      </c>
      <c r="O49" s="334" t="str">
        <f aca="false">IF((E49="g"),G49," ")</f>
        <v> </v>
      </c>
      <c r="P49" s="334" t="str">
        <f aca="false">IF((E49="m"),G49," ")</f>
        <v> </v>
      </c>
      <c r="Q49" s="334" t="str">
        <f aca="false">IF((E49="t"),G49," ")</f>
        <v> </v>
      </c>
      <c r="R49" s="334" t="str">
        <f aca="false">IF((E49="a"),G49," ")</f>
        <v> </v>
      </c>
      <c r="S49" s="334" t="str">
        <f aca="false">IF((E49="l"),G49," ")</f>
        <v> </v>
      </c>
      <c r="T49" s="334" t="str">
        <f aca="false">IF((E49="b"),G49," ")</f>
        <v> </v>
      </c>
      <c r="U49" s="334" t="str">
        <f aca="false">IF((E49="i"),G49," ")</f>
        <v> </v>
      </c>
      <c r="V49" s="334" t="str">
        <f aca="false">IF((E49="o"),G49," ")</f>
        <v> </v>
      </c>
      <c r="W49" s="334" t="str">
        <f aca="false">IF((E49="f"),G49," ")</f>
        <v> </v>
      </c>
    </row>
    <row r="50" customFormat="false" ht="12.75" hidden="false" customHeight="false" outlineLevel="0" collapsed="false">
      <c r="A50" s="355"/>
      <c r="H50" s="338" t="str">
        <f aca="false">IF((G50&lt;&gt;0),IF((D50&gt;0)," ",G50)," ")</f>
        <v> </v>
      </c>
      <c r="I50" s="367" t="str">
        <f aca="false">IF((G50&lt;&gt;0),IF((D50&gt;0)," ",(I$1-A50))," ")</f>
        <v> </v>
      </c>
      <c r="J50" s="334" t="str">
        <f aca="false">IF((E50="s"),G50," ")</f>
        <v> </v>
      </c>
      <c r="K50" s="334" t="str">
        <f aca="false">IF((E50="d"),G50," ")</f>
        <v> </v>
      </c>
      <c r="L50" s="334" t="str">
        <f aca="false">IF((E50="e"),G50," ")</f>
        <v> </v>
      </c>
      <c r="M50" s="334" t="str">
        <f aca="false">IF((E50="p"),G50," ")</f>
        <v> </v>
      </c>
      <c r="N50" s="334" t="str">
        <f aca="false">IF((E50="r"),G50," ")</f>
        <v> </v>
      </c>
      <c r="O50" s="334" t="str">
        <f aca="false">IF((E50="g"),G50," ")</f>
        <v> </v>
      </c>
      <c r="P50" s="334" t="str">
        <f aca="false">IF((E50="m"),G50," ")</f>
        <v> </v>
      </c>
      <c r="Q50" s="334" t="str">
        <f aca="false">IF((E50="t"),G50," ")</f>
        <v> </v>
      </c>
      <c r="R50" s="334" t="str">
        <f aca="false">IF((E50="a"),G50," ")</f>
        <v> </v>
      </c>
      <c r="S50" s="334" t="str">
        <f aca="false">IF((E50="l"),G50," ")</f>
        <v> </v>
      </c>
      <c r="T50" s="334" t="str">
        <f aca="false">IF((E50="b"),G50," ")</f>
        <v> </v>
      </c>
      <c r="U50" s="334" t="str">
        <f aca="false">IF((E50="i"),G50," ")</f>
        <v> </v>
      </c>
      <c r="V50" s="334" t="str">
        <f aca="false">IF((E50="o"),G50," ")</f>
        <v> </v>
      </c>
      <c r="W50" s="334" t="str">
        <f aca="false">IF((E50="f"),G50," ")</f>
        <v> </v>
      </c>
    </row>
    <row r="51" customFormat="false" ht="12.75" hidden="false" customHeight="false" outlineLevel="0" collapsed="false">
      <c r="A51" s="355"/>
      <c r="H51" s="338" t="str">
        <f aca="false">IF((G51&lt;&gt;0),IF((D51&gt;0)," ",G51)," ")</f>
        <v> </v>
      </c>
      <c r="I51" s="367" t="str">
        <f aca="false">IF((G51&lt;&gt;0),IF((D51&gt;0)," ",(I$1-A51))," ")</f>
        <v> </v>
      </c>
      <c r="J51" s="334" t="str">
        <f aca="false">IF((E51="s"),G51," ")</f>
        <v> </v>
      </c>
      <c r="K51" s="334" t="str">
        <f aca="false">IF((E51="d"),G51," ")</f>
        <v> </v>
      </c>
      <c r="L51" s="334" t="str">
        <f aca="false">IF((E51="e"),G51," ")</f>
        <v> </v>
      </c>
      <c r="M51" s="334" t="str">
        <f aca="false">IF((E51="p"),G51," ")</f>
        <v> </v>
      </c>
      <c r="N51" s="334" t="str">
        <f aca="false">IF((E51="r"),G51," ")</f>
        <v> </v>
      </c>
      <c r="O51" s="334" t="str">
        <f aca="false">IF((E51="g"),G51," ")</f>
        <v> </v>
      </c>
      <c r="P51" s="334" t="str">
        <f aca="false">IF((E51="m"),G51," ")</f>
        <v> </v>
      </c>
      <c r="Q51" s="334" t="str">
        <f aca="false">IF((E51="t"),G51," ")</f>
        <v> </v>
      </c>
      <c r="R51" s="334" t="str">
        <f aca="false">IF((E51="a"),G51," ")</f>
        <v> </v>
      </c>
      <c r="S51" s="334" t="str">
        <f aca="false">IF((E51="l"),G51," ")</f>
        <v> </v>
      </c>
      <c r="T51" s="334" t="str">
        <f aca="false">IF((E51="b"),G51," ")</f>
        <v> </v>
      </c>
      <c r="U51" s="334" t="str">
        <f aca="false">IF((E51="i"),G51," ")</f>
        <v> </v>
      </c>
      <c r="V51" s="334" t="str">
        <f aca="false">IF((E51="o"),G51," ")</f>
        <v> </v>
      </c>
      <c r="W51" s="334" t="str">
        <f aca="false">IF((E51="f"),G51," ")</f>
        <v> </v>
      </c>
    </row>
    <row r="52" customFormat="false" ht="12.75" hidden="false" customHeight="false" outlineLevel="0" collapsed="false">
      <c r="A52" s="355"/>
      <c r="H52" s="338" t="str">
        <f aca="false">IF((G52&lt;&gt;0),IF((D52&gt;0)," ",G52)," ")</f>
        <v> </v>
      </c>
      <c r="I52" s="367" t="str">
        <f aca="false">IF((G52&lt;&gt;0),IF((D52&gt;0)," ",(I$1-A52))," ")</f>
        <v> </v>
      </c>
      <c r="J52" s="334" t="str">
        <f aca="false">IF((E52="s"),G52," ")</f>
        <v> </v>
      </c>
      <c r="K52" s="334" t="str">
        <f aca="false">IF((E52="d"),G52," ")</f>
        <v> </v>
      </c>
      <c r="L52" s="334" t="str">
        <f aca="false">IF((E52="e"),G52," ")</f>
        <v> </v>
      </c>
      <c r="M52" s="334" t="str">
        <f aca="false">IF((E52="p"),G52," ")</f>
        <v> </v>
      </c>
      <c r="N52" s="334" t="str">
        <f aca="false">IF((E52="r"),G52," ")</f>
        <v> </v>
      </c>
      <c r="O52" s="334" t="str">
        <f aca="false">IF((E52="g"),G52," ")</f>
        <v> </v>
      </c>
      <c r="P52" s="334" t="str">
        <f aca="false">IF((E52="m"),G52," ")</f>
        <v> </v>
      </c>
      <c r="Q52" s="334" t="str">
        <f aca="false">IF((E52="t"),G52," ")</f>
        <v> </v>
      </c>
      <c r="R52" s="334" t="str">
        <f aca="false">IF((E52="a"),G52," ")</f>
        <v> </v>
      </c>
      <c r="S52" s="334" t="str">
        <f aca="false">IF((E52="l"),G52," ")</f>
        <v> </v>
      </c>
      <c r="T52" s="334" t="str">
        <f aca="false">IF((E52="b"),G52," ")</f>
        <v> </v>
      </c>
      <c r="U52" s="334" t="str">
        <f aca="false">IF((E52="i"),G52," ")</f>
        <v> </v>
      </c>
      <c r="V52" s="334" t="str">
        <f aca="false">IF((E52="o"),G52," ")</f>
        <v> </v>
      </c>
      <c r="W52" s="334" t="str">
        <f aca="false">IF((E52="f"),G52," ")</f>
        <v> </v>
      </c>
    </row>
    <row r="53" customFormat="false" ht="12.75" hidden="false" customHeight="false" outlineLevel="0" collapsed="false">
      <c r="A53" s="355"/>
      <c r="H53" s="338" t="str">
        <f aca="false">IF((G53&lt;&gt;0),IF((D53&gt;0)," ",G53)," ")</f>
        <v> </v>
      </c>
      <c r="I53" s="367" t="str">
        <f aca="false">IF((G53&lt;&gt;0),IF((D53&gt;0)," ",(I$1-A53))," ")</f>
        <v> </v>
      </c>
      <c r="J53" s="334" t="str">
        <f aca="false">IF((E53="s"),G53," ")</f>
        <v> </v>
      </c>
      <c r="K53" s="334" t="str">
        <f aca="false">IF((E53="d"),G53," ")</f>
        <v> </v>
      </c>
      <c r="L53" s="334" t="str">
        <f aca="false">IF((E53="e"),G53," ")</f>
        <v> </v>
      </c>
      <c r="M53" s="334" t="str">
        <f aca="false">IF((E53="p"),G53," ")</f>
        <v> </v>
      </c>
      <c r="N53" s="334" t="str">
        <f aca="false">IF((E53="r"),G53," ")</f>
        <v> </v>
      </c>
      <c r="O53" s="334" t="str">
        <f aca="false">IF((E53="g"),G53," ")</f>
        <v> </v>
      </c>
      <c r="P53" s="334" t="str">
        <f aca="false">IF((E53="m"),G53," ")</f>
        <v> </v>
      </c>
      <c r="Q53" s="334" t="str">
        <f aca="false">IF((E53="t"),G53," ")</f>
        <v> </v>
      </c>
      <c r="R53" s="334" t="str">
        <f aca="false">IF((E53="a"),G53," ")</f>
        <v> </v>
      </c>
      <c r="S53" s="334" t="str">
        <f aca="false">IF((E53="l"),G53," ")</f>
        <v> </v>
      </c>
      <c r="T53" s="334" t="str">
        <f aca="false">IF((E53="b"),G53," ")</f>
        <v> </v>
      </c>
      <c r="U53" s="334" t="str">
        <f aca="false">IF((E53="i"),G53," ")</f>
        <v> </v>
      </c>
      <c r="V53" s="334" t="str">
        <f aca="false">IF((E53="o"),G53," ")</f>
        <v> </v>
      </c>
      <c r="W53" s="334" t="str">
        <f aca="false">IF((E53="f"),G53," ")</f>
        <v> </v>
      </c>
    </row>
    <row r="54" customFormat="false" ht="12.75" hidden="false" customHeight="false" outlineLevel="0" collapsed="false">
      <c r="A54" s="355"/>
      <c r="H54" s="338" t="str">
        <f aca="false">IF((G54&lt;&gt;0),IF((D54&gt;0)," ",G54)," ")</f>
        <v> </v>
      </c>
      <c r="I54" s="367" t="str">
        <f aca="false">IF((G54&lt;&gt;0),IF((D54&gt;0)," ",(I$1-A54))," ")</f>
        <v> </v>
      </c>
      <c r="J54" s="334" t="str">
        <f aca="false">IF((E54="s"),G54," ")</f>
        <v> </v>
      </c>
      <c r="K54" s="334" t="str">
        <f aca="false">IF((E54="d"),G54," ")</f>
        <v> </v>
      </c>
      <c r="L54" s="334" t="str">
        <f aca="false">IF((E54="e"),G54," ")</f>
        <v> </v>
      </c>
      <c r="M54" s="334" t="str">
        <f aca="false">IF((E54="p"),G54," ")</f>
        <v> </v>
      </c>
      <c r="N54" s="334" t="str">
        <f aca="false">IF((E54="r"),G54," ")</f>
        <v> </v>
      </c>
      <c r="O54" s="334" t="str">
        <f aca="false">IF((E54="g"),G54," ")</f>
        <v> </v>
      </c>
      <c r="P54" s="334" t="str">
        <f aca="false">IF((E54="m"),G54," ")</f>
        <v> </v>
      </c>
      <c r="Q54" s="334" t="str">
        <f aca="false">IF((E54="t"),G54," ")</f>
        <v> </v>
      </c>
      <c r="R54" s="334" t="str">
        <f aca="false">IF((E54="a"),G54," ")</f>
        <v> </v>
      </c>
      <c r="S54" s="334" t="str">
        <f aca="false">IF((E54="l"),G54," ")</f>
        <v> </v>
      </c>
      <c r="T54" s="334" t="str">
        <f aca="false">IF((E54="b"),G54," ")</f>
        <v> </v>
      </c>
      <c r="U54" s="334" t="str">
        <f aca="false">IF((E54="i"),G54," ")</f>
        <v> </v>
      </c>
      <c r="V54" s="334" t="str">
        <f aca="false">IF((E54="o"),G54," ")</f>
        <v> </v>
      </c>
      <c r="W54" s="334" t="str">
        <f aca="false">IF((E54="f"),G54," ")</f>
        <v> </v>
      </c>
    </row>
    <row r="55" customFormat="false" ht="12.75" hidden="false" customHeight="false" outlineLevel="0" collapsed="false">
      <c r="A55" s="355"/>
      <c r="H55" s="338" t="str">
        <f aca="false">IF((G55&lt;&gt;0),IF((D55&gt;0)," ",G55)," ")</f>
        <v> </v>
      </c>
      <c r="I55" s="367" t="str">
        <f aca="false">IF((G55&lt;&gt;0),IF((D55&gt;0)," ",(I$1-A55))," ")</f>
        <v> </v>
      </c>
      <c r="J55" s="334" t="str">
        <f aca="false">IF((E55="s"),G55," ")</f>
        <v> </v>
      </c>
      <c r="K55" s="334" t="str">
        <f aca="false">IF((E55="d"),G55," ")</f>
        <v> </v>
      </c>
      <c r="L55" s="334" t="str">
        <f aca="false">IF((E55="e"),G55," ")</f>
        <v> </v>
      </c>
      <c r="M55" s="334" t="str">
        <f aca="false">IF((E55="p"),G55," ")</f>
        <v> </v>
      </c>
      <c r="N55" s="334" t="str">
        <f aca="false">IF((E55="r"),G55," ")</f>
        <v> </v>
      </c>
      <c r="O55" s="334" t="str">
        <f aca="false">IF((E55="g"),G55," ")</f>
        <v> </v>
      </c>
      <c r="P55" s="334" t="str">
        <f aca="false">IF((E55="m"),G55," ")</f>
        <v> </v>
      </c>
      <c r="Q55" s="334" t="str">
        <f aca="false">IF((E55="t"),G55," ")</f>
        <v> </v>
      </c>
      <c r="R55" s="334" t="str">
        <f aca="false">IF((E55="a"),G55," ")</f>
        <v> </v>
      </c>
      <c r="S55" s="334" t="str">
        <f aca="false">IF((E55="l"),G55," ")</f>
        <v> </v>
      </c>
      <c r="T55" s="334" t="str">
        <f aca="false">IF((E55="b"),G55," ")</f>
        <v> </v>
      </c>
      <c r="U55" s="334" t="str">
        <f aca="false">IF((E55="i"),G55," ")</f>
        <v> </v>
      </c>
      <c r="V55" s="334" t="str">
        <f aca="false">IF((E55="o"),G55," ")</f>
        <v> </v>
      </c>
      <c r="W55" s="334" t="str">
        <f aca="false">IF((E55="f"),G55," ")</f>
        <v> </v>
      </c>
    </row>
    <row r="56" customFormat="false" ht="12.75" hidden="false" customHeight="false" outlineLevel="0" collapsed="false">
      <c r="A56" s="355"/>
      <c r="H56" s="338" t="str">
        <f aca="false">IF((G56&lt;&gt;0),IF((D56&gt;0)," ",G56)," ")</f>
        <v> </v>
      </c>
      <c r="I56" s="367" t="str">
        <f aca="false">IF((G56&lt;&gt;0),IF((D56&gt;0)," ",(I$1-A56))," ")</f>
        <v> </v>
      </c>
      <c r="J56" s="334" t="str">
        <f aca="false">IF((E56="s"),G56," ")</f>
        <v> </v>
      </c>
      <c r="K56" s="334" t="str">
        <f aca="false">IF((E56="d"),G56," ")</f>
        <v> </v>
      </c>
      <c r="L56" s="334" t="str">
        <f aca="false">IF((E56="e"),G56," ")</f>
        <v> </v>
      </c>
      <c r="M56" s="334" t="str">
        <f aca="false">IF((E56="p"),G56," ")</f>
        <v> </v>
      </c>
      <c r="N56" s="334" t="str">
        <f aca="false">IF((E56="r"),G56," ")</f>
        <v> </v>
      </c>
      <c r="O56" s="334" t="str">
        <f aca="false">IF((E56="g"),G56," ")</f>
        <v> </v>
      </c>
      <c r="P56" s="334" t="str">
        <f aca="false">IF((E56="m"),G56," ")</f>
        <v> </v>
      </c>
      <c r="Q56" s="334" t="str">
        <f aca="false">IF((E56="t"),G56," ")</f>
        <v> </v>
      </c>
      <c r="R56" s="334" t="str">
        <f aca="false">IF((E56="a"),G56," ")</f>
        <v> </v>
      </c>
      <c r="S56" s="334" t="str">
        <f aca="false">IF((E56="l"),G56," ")</f>
        <v> </v>
      </c>
      <c r="T56" s="334" t="str">
        <f aca="false">IF((E56="b"),G56," ")</f>
        <v> </v>
      </c>
      <c r="U56" s="334" t="str">
        <f aca="false">IF((E56="i"),G56," ")</f>
        <v> </v>
      </c>
      <c r="V56" s="334" t="str">
        <f aca="false">IF((E56="o"),G56," ")</f>
        <v> </v>
      </c>
      <c r="W56" s="334" t="str">
        <f aca="false">IF((E56="f"),G56," ")</f>
        <v> </v>
      </c>
    </row>
    <row r="57" customFormat="false" ht="12.75" hidden="false" customHeight="false" outlineLevel="0" collapsed="false">
      <c r="A57" s="355"/>
      <c r="H57" s="338" t="str">
        <f aca="false">IF((G57&lt;&gt;0),IF((D57&gt;0)," ",G57)," ")</f>
        <v> </v>
      </c>
      <c r="I57" s="367" t="str">
        <f aca="false">IF((G57&lt;&gt;0),IF((D57&gt;0)," ",(I$1-A57))," ")</f>
        <v> </v>
      </c>
      <c r="J57" s="334" t="str">
        <f aca="false">IF((E57="s"),G57," ")</f>
        <v> </v>
      </c>
      <c r="K57" s="334" t="str">
        <f aca="false">IF((E57="d"),G57," ")</f>
        <v> </v>
      </c>
      <c r="L57" s="334" t="str">
        <f aca="false">IF((E57="e"),G57," ")</f>
        <v> </v>
      </c>
      <c r="M57" s="334" t="str">
        <f aca="false">IF((E57="p"),G57," ")</f>
        <v> </v>
      </c>
      <c r="N57" s="334" t="str">
        <f aca="false">IF((E57="r"),G57," ")</f>
        <v> </v>
      </c>
      <c r="O57" s="334" t="str">
        <f aca="false">IF((E57="g"),G57," ")</f>
        <v> </v>
      </c>
      <c r="P57" s="334" t="str">
        <f aca="false">IF((E57="m"),G57," ")</f>
        <v> </v>
      </c>
      <c r="Q57" s="334" t="str">
        <f aca="false">IF((E57="t"),G57," ")</f>
        <v> </v>
      </c>
      <c r="R57" s="334" t="str">
        <f aca="false">IF((E57="a"),G57," ")</f>
        <v> </v>
      </c>
      <c r="S57" s="334" t="str">
        <f aca="false">IF((E57="l"),G57," ")</f>
        <v> </v>
      </c>
      <c r="T57" s="334" t="str">
        <f aca="false">IF((E57="b"),G57," ")</f>
        <v> </v>
      </c>
      <c r="U57" s="334" t="str">
        <f aca="false">IF((E57="i"),G57," ")</f>
        <v> </v>
      </c>
      <c r="V57" s="334" t="str">
        <f aca="false">IF((E57="o"),G57," ")</f>
        <v> </v>
      </c>
      <c r="W57" s="334" t="str">
        <f aca="false">IF((E57="f"),G57," ")</f>
        <v> </v>
      </c>
    </row>
    <row r="58" customFormat="false" ht="12.75" hidden="false" customHeight="false" outlineLevel="0" collapsed="false">
      <c r="A58" s="355"/>
      <c r="H58" s="338" t="str">
        <f aca="false">IF((G58&lt;&gt;0),IF((D58&gt;0)," ",G58)," ")</f>
        <v> </v>
      </c>
      <c r="I58" s="367" t="str">
        <f aca="false">IF((G58&lt;&gt;0),IF((D58&gt;0)," ",(I$1-A58))," ")</f>
        <v> </v>
      </c>
      <c r="J58" s="334" t="str">
        <f aca="false">IF((E58="s"),G58," ")</f>
        <v> </v>
      </c>
      <c r="K58" s="334" t="str">
        <f aca="false">IF((E58="d"),G58," ")</f>
        <v> </v>
      </c>
      <c r="L58" s="334" t="str">
        <f aca="false">IF((E58="e"),G58," ")</f>
        <v> </v>
      </c>
      <c r="M58" s="334" t="str">
        <f aca="false">IF((E58="p"),G58," ")</f>
        <v> </v>
      </c>
      <c r="N58" s="334" t="str">
        <f aca="false">IF((E58="r"),G58," ")</f>
        <v> </v>
      </c>
      <c r="O58" s="334" t="str">
        <f aca="false">IF((E58="g"),G58," ")</f>
        <v> </v>
      </c>
      <c r="P58" s="334" t="str">
        <f aca="false">IF((E58="m"),G58," ")</f>
        <v> </v>
      </c>
      <c r="Q58" s="334" t="str">
        <f aca="false">IF((E58="t"),G58," ")</f>
        <v> </v>
      </c>
      <c r="R58" s="334" t="str">
        <f aca="false">IF((E58="a"),G58," ")</f>
        <v> </v>
      </c>
      <c r="S58" s="334" t="str">
        <f aca="false">IF((E58="l"),G58," ")</f>
        <v> </v>
      </c>
      <c r="T58" s="334" t="str">
        <f aca="false">IF((E58="b"),G58," ")</f>
        <v> </v>
      </c>
      <c r="U58" s="334" t="str">
        <f aca="false">IF((E58="i"),G58," ")</f>
        <v> </v>
      </c>
      <c r="V58" s="334" t="str">
        <f aca="false">IF((E58="o"),G58," ")</f>
        <v> </v>
      </c>
      <c r="W58" s="334" t="str">
        <f aca="false">IF((E58="f"),G58," ")</f>
        <v> </v>
      </c>
    </row>
    <row r="59" customFormat="false" ht="12.75" hidden="false" customHeight="false" outlineLevel="0" collapsed="false">
      <c r="A59" s="355"/>
      <c r="H59" s="338" t="str">
        <f aca="false">IF((G59&lt;&gt;0),IF((D59&gt;0)," ",G59)," ")</f>
        <v> </v>
      </c>
      <c r="I59" s="367" t="str">
        <f aca="false">IF((G59&lt;&gt;0),IF((D59&gt;0)," ",(I$1-A59))," ")</f>
        <v> </v>
      </c>
      <c r="J59" s="334" t="str">
        <f aca="false">IF((E59="s"),G59," ")</f>
        <v> </v>
      </c>
      <c r="K59" s="334" t="str">
        <f aca="false">IF((E59="d"),G59," ")</f>
        <v> </v>
      </c>
      <c r="L59" s="334" t="str">
        <f aca="false">IF((E59="e"),G59," ")</f>
        <v> </v>
      </c>
      <c r="M59" s="334" t="str">
        <f aca="false">IF((E59="p"),G59," ")</f>
        <v> </v>
      </c>
      <c r="N59" s="334" t="str">
        <f aca="false">IF((E59="r"),G59," ")</f>
        <v> </v>
      </c>
      <c r="O59" s="334" t="str">
        <f aca="false">IF((E59="g"),G59," ")</f>
        <v> </v>
      </c>
      <c r="P59" s="334" t="str">
        <f aca="false">IF((E59="m"),G59," ")</f>
        <v> </v>
      </c>
      <c r="Q59" s="334" t="str">
        <f aca="false">IF((E59="t"),G59," ")</f>
        <v> </v>
      </c>
      <c r="R59" s="334" t="str">
        <f aca="false">IF((E59="a"),G59," ")</f>
        <v> </v>
      </c>
      <c r="S59" s="334" t="str">
        <f aca="false">IF((E59="l"),G59," ")</f>
        <v> </v>
      </c>
      <c r="T59" s="334" t="str">
        <f aca="false">IF((E59="b"),G59," ")</f>
        <v> </v>
      </c>
      <c r="U59" s="334" t="str">
        <f aca="false">IF((E59="i"),G59," ")</f>
        <v> </v>
      </c>
      <c r="V59" s="334" t="str">
        <f aca="false">IF((E59="o"),G59," ")</f>
        <v> </v>
      </c>
      <c r="W59" s="334" t="str">
        <f aca="false">IF((E59="f"),G59," ")</f>
        <v> </v>
      </c>
    </row>
    <row r="60" customFormat="false" ht="12.75" hidden="false" customHeight="false" outlineLevel="0" collapsed="false">
      <c r="A60" s="355"/>
      <c r="H60" s="338" t="str">
        <f aca="false">IF((G60&lt;&gt;0),IF((D60&gt;0)," ",G60)," ")</f>
        <v> </v>
      </c>
      <c r="I60" s="367" t="str">
        <f aca="false">IF((G60&lt;&gt;0),IF((D60&gt;0)," ",(I$1-A60))," ")</f>
        <v> </v>
      </c>
      <c r="J60" s="334" t="str">
        <f aca="false">IF((E60="s"),G60," ")</f>
        <v> </v>
      </c>
      <c r="K60" s="334" t="str">
        <f aca="false">IF((E60="d"),G60," ")</f>
        <v> </v>
      </c>
      <c r="L60" s="334" t="str">
        <f aca="false">IF((E60="e"),G60," ")</f>
        <v> </v>
      </c>
      <c r="M60" s="334" t="str">
        <f aca="false">IF((E60="p"),G60," ")</f>
        <v> </v>
      </c>
      <c r="N60" s="334" t="str">
        <f aca="false">IF((E60="r"),G60," ")</f>
        <v> </v>
      </c>
      <c r="O60" s="334" t="str">
        <f aca="false">IF((E60="g"),G60," ")</f>
        <v> </v>
      </c>
      <c r="P60" s="334" t="str">
        <f aca="false">IF((E60="m"),G60," ")</f>
        <v> </v>
      </c>
      <c r="Q60" s="334" t="str">
        <f aca="false">IF((E60="t"),G60," ")</f>
        <v> </v>
      </c>
      <c r="R60" s="334" t="str">
        <f aca="false">IF((E60="a"),G60," ")</f>
        <v> </v>
      </c>
      <c r="S60" s="334" t="str">
        <f aca="false">IF((E60="l"),G60," ")</f>
        <v> </v>
      </c>
      <c r="T60" s="334" t="str">
        <f aca="false">IF((E60="b"),G60," ")</f>
        <v> </v>
      </c>
      <c r="U60" s="334" t="str">
        <f aca="false">IF((E60="i"),G60," ")</f>
        <v> </v>
      </c>
      <c r="V60" s="334" t="str">
        <f aca="false">IF((E60="o"),G60," ")</f>
        <v> </v>
      </c>
      <c r="W60" s="334" t="str">
        <f aca="false">IF((E60="f"),G60," ")</f>
        <v> </v>
      </c>
    </row>
    <row r="61" customFormat="false" ht="12.75" hidden="false" customHeight="false" outlineLevel="0" collapsed="false">
      <c r="A61" s="355"/>
      <c r="H61" s="338" t="str">
        <f aca="false">IF((G61&lt;&gt;0),IF((D61&gt;0)," ",G61)," ")</f>
        <v> </v>
      </c>
      <c r="I61" s="367" t="str">
        <f aca="false">IF((G61&lt;&gt;0),IF((D61&gt;0)," ",(I$1-A61))," ")</f>
        <v> </v>
      </c>
      <c r="J61" s="334" t="str">
        <f aca="false">IF((E61="s"),G61," ")</f>
        <v> </v>
      </c>
      <c r="K61" s="334" t="str">
        <f aca="false">IF((E61="d"),G61," ")</f>
        <v> </v>
      </c>
      <c r="L61" s="334" t="str">
        <f aca="false">IF((E61="e"),G61," ")</f>
        <v> </v>
      </c>
      <c r="M61" s="334" t="str">
        <f aca="false">IF((E61="p"),G61," ")</f>
        <v> </v>
      </c>
      <c r="N61" s="334" t="str">
        <f aca="false">IF((E61="r"),G61," ")</f>
        <v> </v>
      </c>
      <c r="O61" s="334" t="str">
        <f aca="false">IF((E61="g"),G61," ")</f>
        <v> </v>
      </c>
      <c r="P61" s="334" t="str">
        <f aca="false">IF((E61="m"),G61," ")</f>
        <v> </v>
      </c>
      <c r="Q61" s="334" t="str">
        <f aca="false">IF((E61="t"),G61," ")</f>
        <v> </v>
      </c>
      <c r="R61" s="334" t="str">
        <f aca="false">IF((E61="a"),G61," ")</f>
        <v> </v>
      </c>
      <c r="S61" s="334" t="str">
        <f aca="false">IF((E61="l"),G61," ")</f>
        <v> </v>
      </c>
      <c r="T61" s="334" t="str">
        <f aca="false">IF((E61="b"),G61," ")</f>
        <v> </v>
      </c>
      <c r="U61" s="334" t="str">
        <f aca="false">IF((E61="i"),G61," ")</f>
        <v> </v>
      </c>
      <c r="V61" s="334" t="str">
        <f aca="false">IF((E61="o"),G61," ")</f>
        <v> </v>
      </c>
      <c r="W61" s="334" t="str">
        <f aca="false">IF((E61="f"),G61," ")</f>
        <v> </v>
      </c>
    </row>
    <row r="62" customFormat="false" ht="12.75" hidden="false" customHeight="false" outlineLevel="0" collapsed="false">
      <c r="A62" s="355"/>
      <c r="H62" s="338" t="str">
        <f aca="false">IF((G62&lt;&gt;0),IF((D62&gt;0)," ",G62)," ")</f>
        <v> </v>
      </c>
      <c r="I62" s="367" t="str">
        <f aca="false">IF((G62&lt;&gt;0),IF((D62&gt;0)," ",(I$1-A62))," ")</f>
        <v> </v>
      </c>
      <c r="J62" s="334" t="str">
        <f aca="false">IF((E62="s"),G62," ")</f>
        <v> </v>
      </c>
      <c r="K62" s="334" t="str">
        <f aca="false">IF((E62="d"),G62," ")</f>
        <v> </v>
      </c>
      <c r="L62" s="334" t="str">
        <f aca="false">IF((E62="e"),G62," ")</f>
        <v> </v>
      </c>
      <c r="M62" s="334" t="str">
        <f aca="false">IF((E62="p"),G62," ")</f>
        <v> </v>
      </c>
      <c r="N62" s="334" t="str">
        <f aca="false">IF((E62="r"),G62," ")</f>
        <v> </v>
      </c>
      <c r="O62" s="334" t="str">
        <f aca="false">IF((E62="g"),G62," ")</f>
        <v> </v>
      </c>
      <c r="P62" s="334" t="str">
        <f aca="false">IF((E62="m"),G62," ")</f>
        <v> </v>
      </c>
      <c r="Q62" s="334" t="str">
        <f aca="false">IF((E62="t"),G62," ")</f>
        <v> </v>
      </c>
      <c r="R62" s="334" t="str">
        <f aca="false">IF((E62="a"),G62," ")</f>
        <v> </v>
      </c>
      <c r="S62" s="334" t="str">
        <f aca="false">IF((E62="l"),G62," ")</f>
        <v> </v>
      </c>
      <c r="T62" s="334" t="str">
        <f aca="false">IF((E62="b"),G62," ")</f>
        <v> </v>
      </c>
      <c r="U62" s="334" t="str">
        <f aca="false">IF((E62="i"),G62," ")</f>
        <v> </v>
      </c>
      <c r="V62" s="334" t="str">
        <f aca="false">IF((E62="o"),G62," ")</f>
        <v> </v>
      </c>
      <c r="W62" s="334" t="str">
        <f aca="false">IF((E62="f"),G62," ")</f>
        <v> </v>
      </c>
    </row>
    <row r="63" customFormat="false" ht="12.75" hidden="false" customHeight="false" outlineLevel="0" collapsed="false">
      <c r="A63" s="355"/>
      <c r="H63" s="338" t="str">
        <f aca="false">IF((G63&lt;&gt;0),IF((D63&gt;0)," ",G63)," ")</f>
        <v> </v>
      </c>
      <c r="I63" s="367" t="str">
        <f aca="false">IF((G63&lt;&gt;0),IF((D63&gt;0)," ",(I$1-A63))," ")</f>
        <v> </v>
      </c>
      <c r="J63" s="334" t="str">
        <f aca="false">IF((E63="s"),G63," ")</f>
        <v> </v>
      </c>
      <c r="K63" s="334" t="str">
        <f aca="false">IF((E63="d"),G63," ")</f>
        <v> </v>
      </c>
      <c r="L63" s="334" t="str">
        <f aca="false">IF((E63="e"),G63," ")</f>
        <v> </v>
      </c>
      <c r="M63" s="334" t="str">
        <f aca="false">IF((E63="p"),G63," ")</f>
        <v> </v>
      </c>
      <c r="N63" s="334" t="str">
        <f aca="false">IF((E63="r"),G63," ")</f>
        <v> </v>
      </c>
      <c r="O63" s="334" t="str">
        <f aca="false">IF((E63="g"),G63," ")</f>
        <v> </v>
      </c>
      <c r="P63" s="334" t="str">
        <f aca="false">IF((E63="m"),G63," ")</f>
        <v> </v>
      </c>
      <c r="Q63" s="334" t="str">
        <f aca="false">IF((E63="t"),G63," ")</f>
        <v> </v>
      </c>
      <c r="R63" s="334" t="str">
        <f aca="false">IF((E63="a"),G63," ")</f>
        <v> </v>
      </c>
      <c r="S63" s="334" t="str">
        <f aca="false">IF((E63="l"),G63," ")</f>
        <v> </v>
      </c>
      <c r="T63" s="334" t="str">
        <f aca="false">IF((E63="b"),G63," ")</f>
        <v> </v>
      </c>
      <c r="U63" s="334" t="str">
        <f aca="false">IF((E63="i"),G63," ")</f>
        <v> </v>
      </c>
      <c r="V63" s="334" t="str">
        <f aca="false">IF((E63="o"),G63," ")</f>
        <v> </v>
      </c>
      <c r="W63" s="334" t="str">
        <f aca="false">IF((E63="f"),G63," ")</f>
        <v> </v>
      </c>
    </row>
    <row r="64" customFormat="false" ht="12.75" hidden="false" customHeight="false" outlineLevel="0" collapsed="false">
      <c r="A64" s="355"/>
      <c r="H64" s="338" t="str">
        <f aca="false">IF((G64&lt;&gt;0),IF((D64&gt;0)," ",G64)," ")</f>
        <v> </v>
      </c>
      <c r="I64" s="367" t="str">
        <f aca="false">IF((G64&lt;&gt;0),IF((D64&gt;0)," ",(I$1-A64))," ")</f>
        <v> </v>
      </c>
      <c r="J64" s="334" t="str">
        <f aca="false">IF((E64="s"),G64," ")</f>
        <v> </v>
      </c>
      <c r="K64" s="334" t="str">
        <f aca="false">IF((E64="d"),G64," ")</f>
        <v> </v>
      </c>
      <c r="L64" s="334" t="str">
        <f aca="false">IF((E64="e"),G64," ")</f>
        <v> </v>
      </c>
      <c r="M64" s="334" t="str">
        <f aca="false">IF((E64="p"),G64," ")</f>
        <v> </v>
      </c>
      <c r="N64" s="334" t="str">
        <f aca="false">IF((E64="r"),G64," ")</f>
        <v> </v>
      </c>
      <c r="O64" s="334" t="str">
        <f aca="false">IF((E64="g"),G64," ")</f>
        <v> </v>
      </c>
      <c r="P64" s="334" t="str">
        <f aca="false">IF((E64="m"),G64," ")</f>
        <v> </v>
      </c>
      <c r="Q64" s="334" t="str">
        <f aca="false">IF((E64="t"),G64," ")</f>
        <v> </v>
      </c>
      <c r="R64" s="334" t="str">
        <f aca="false">IF((E64="a"),G64," ")</f>
        <v> </v>
      </c>
      <c r="S64" s="334" t="str">
        <f aca="false">IF((E64="l"),G64," ")</f>
        <v> </v>
      </c>
      <c r="T64" s="334" t="str">
        <f aca="false">IF((E64="b"),G64," ")</f>
        <v> </v>
      </c>
      <c r="U64" s="334" t="str">
        <f aca="false">IF((E64="i"),G64," ")</f>
        <v> </v>
      </c>
      <c r="V64" s="334" t="str">
        <f aca="false">IF((E64="o"),G64," ")</f>
        <v> </v>
      </c>
      <c r="W64" s="334" t="str">
        <f aca="false">IF((E64="f"),G64," ")</f>
        <v> </v>
      </c>
    </row>
    <row r="65" customFormat="false" ht="12.75" hidden="false" customHeight="false" outlineLevel="0" collapsed="false">
      <c r="A65" s="355"/>
      <c r="H65" s="338" t="str">
        <f aca="false">IF((G65&lt;&gt;0),IF((D65&gt;0)," ",G65)," ")</f>
        <v> </v>
      </c>
      <c r="I65" s="367" t="str">
        <f aca="false">IF((G65&lt;&gt;0),IF((D65&gt;0)," ",(I$1-A65))," ")</f>
        <v> </v>
      </c>
      <c r="J65" s="334" t="str">
        <f aca="false">IF((E65="s"),G65," ")</f>
        <v> </v>
      </c>
      <c r="K65" s="334" t="str">
        <f aca="false">IF((E65="d"),G65," ")</f>
        <v> </v>
      </c>
      <c r="L65" s="334" t="str">
        <f aca="false">IF((E65="e"),G65," ")</f>
        <v> </v>
      </c>
      <c r="M65" s="334" t="str">
        <f aca="false">IF((E65="p"),G65," ")</f>
        <v> </v>
      </c>
      <c r="N65" s="334" t="str">
        <f aca="false">IF((E65="r"),G65," ")</f>
        <v> </v>
      </c>
      <c r="O65" s="334" t="str">
        <f aca="false">IF((E65="g"),G65," ")</f>
        <v> </v>
      </c>
      <c r="P65" s="334" t="str">
        <f aca="false">IF((E65="m"),G65," ")</f>
        <v> </v>
      </c>
      <c r="Q65" s="334" t="str">
        <f aca="false">IF((E65="t"),G65," ")</f>
        <v> </v>
      </c>
      <c r="R65" s="334" t="str">
        <f aca="false">IF((E65="a"),G65," ")</f>
        <v> </v>
      </c>
      <c r="S65" s="334" t="str">
        <f aca="false">IF((E65="l"),G65," ")</f>
        <v> </v>
      </c>
      <c r="T65" s="334" t="str">
        <f aca="false">IF((E65="b"),G65," ")</f>
        <v> </v>
      </c>
      <c r="U65" s="334" t="str">
        <f aca="false">IF((E65="i"),G65," ")</f>
        <v> </v>
      </c>
      <c r="V65" s="334" t="str">
        <f aca="false">IF((E65="o"),G65," ")</f>
        <v> </v>
      </c>
      <c r="W65" s="334" t="str">
        <f aca="false">IF((E65="f"),G65," ")</f>
        <v> </v>
      </c>
    </row>
    <row r="66" customFormat="false" ht="12.75" hidden="false" customHeight="false" outlineLevel="0" collapsed="false">
      <c r="A66" s="355"/>
      <c r="H66" s="338" t="str">
        <f aca="false">IF((G66&lt;&gt;0),IF((D66&gt;0)," ",G66)," ")</f>
        <v> </v>
      </c>
      <c r="I66" s="367" t="str">
        <f aca="false">IF((G66&lt;&gt;0),IF((D66&gt;0)," ",(I$1-A66))," ")</f>
        <v> </v>
      </c>
      <c r="J66" s="334" t="str">
        <f aca="false">IF((E66="s"),G66," ")</f>
        <v> </v>
      </c>
      <c r="K66" s="334" t="str">
        <f aca="false">IF((E66="d"),G66," ")</f>
        <v> </v>
      </c>
      <c r="L66" s="334" t="str">
        <f aca="false">IF((E66="e"),G66," ")</f>
        <v> </v>
      </c>
      <c r="M66" s="334" t="str">
        <f aca="false">IF((E66="p"),G66," ")</f>
        <v> </v>
      </c>
      <c r="N66" s="334" t="str">
        <f aca="false">IF((E66="r"),G66," ")</f>
        <v> </v>
      </c>
      <c r="O66" s="334" t="str">
        <f aca="false">IF((E66="g"),G66," ")</f>
        <v> </v>
      </c>
      <c r="P66" s="334" t="str">
        <f aca="false">IF((E66="m"),G66," ")</f>
        <v> </v>
      </c>
      <c r="Q66" s="334" t="str">
        <f aca="false">IF((E66="t"),G66," ")</f>
        <v> </v>
      </c>
      <c r="R66" s="334" t="str">
        <f aca="false">IF((E66="a"),G66," ")</f>
        <v> </v>
      </c>
      <c r="S66" s="334" t="str">
        <f aca="false">IF((E66="l"),G66," ")</f>
        <v> </v>
      </c>
      <c r="T66" s="334" t="str">
        <f aca="false">IF((E66="b"),G66," ")</f>
        <v> </v>
      </c>
      <c r="U66" s="334" t="str">
        <f aca="false">IF((E66="i"),G66," ")</f>
        <v> </v>
      </c>
      <c r="V66" s="334" t="str">
        <f aca="false">IF((E66="o"),G66," ")</f>
        <v> </v>
      </c>
      <c r="W66" s="334" t="str">
        <f aca="false">IF((E66="f"),G66," ")</f>
        <v> </v>
      </c>
    </row>
    <row r="67" customFormat="false" ht="12.75" hidden="false" customHeight="false" outlineLevel="0" collapsed="false">
      <c r="A67" s="355"/>
      <c r="H67" s="338" t="str">
        <f aca="false">IF((G67&lt;&gt;0),IF((D67&gt;0)," ",G67)," ")</f>
        <v> </v>
      </c>
      <c r="I67" s="367" t="str">
        <f aca="false">IF((G67&lt;&gt;0),IF((D67&gt;0)," ",(I$1-A67))," ")</f>
        <v> </v>
      </c>
      <c r="J67" s="334" t="str">
        <f aca="false">IF((E67="s"),G67," ")</f>
        <v> </v>
      </c>
      <c r="K67" s="334" t="str">
        <f aca="false">IF((E67="d"),G67," ")</f>
        <v> </v>
      </c>
      <c r="L67" s="334" t="str">
        <f aca="false">IF((E67="e"),G67," ")</f>
        <v> </v>
      </c>
      <c r="M67" s="334" t="str">
        <f aca="false">IF((E67="p"),G67," ")</f>
        <v> </v>
      </c>
      <c r="N67" s="334" t="str">
        <f aca="false">IF((E67="r"),G67," ")</f>
        <v> </v>
      </c>
      <c r="O67" s="334" t="str">
        <f aca="false">IF((E67="g"),G67," ")</f>
        <v> </v>
      </c>
      <c r="P67" s="334" t="str">
        <f aca="false">IF((E67="m"),G67," ")</f>
        <v> </v>
      </c>
      <c r="Q67" s="334" t="str">
        <f aca="false">IF((E67="t"),G67," ")</f>
        <v> </v>
      </c>
      <c r="R67" s="334" t="str">
        <f aca="false">IF((E67="a"),G67," ")</f>
        <v> </v>
      </c>
      <c r="S67" s="334" t="str">
        <f aca="false">IF((E67="l"),G67," ")</f>
        <v> </v>
      </c>
      <c r="T67" s="334" t="str">
        <f aca="false">IF((E67="b"),G67," ")</f>
        <v> </v>
      </c>
      <c r="U67" s="334" t="str">
        <f aca="false">IF((E67="i"),G67," ")</f>
        <v> </v>
      </c>
      <c r="V67" s="334" t="str">
        <f aca="false">IF((E67="o"),G67," ")</f>
        <v> </v>
      </c>
      <c r="W67" s="334" t="str">
        <f aca="false">IF((E67="f"),G67," ")</f>
        <v> </v>
      </c>
    </row>
    <row r="68" customFormat="false" ht="12.75" hidden="false" customHeight="false" outlineLevel="0" collapsed="false">
      <c r="A68" s="355"/>
      <c r="H68" s="338" t="str">
        <f aca="false">IF((G68&lt;&gt;0),IF((D68&gt;0)," ",G68)," ")</f>
        <v> </v>
      </c>
      <c r="I68" s="367" t="str">
        <f aca="false">IF((G68&lt;&gt;0),IF((D68&gt;0)," ",(I$1-A68))," ")</f>
        <v> </v>
      </c>
      <c r="J68" s="334" t="str">
        <f aca="false">IF((E68="s"),G68," ")</f>
        <v> </v>
      </c>
      <c r="K68" s="334" t="str">
        <f aca="false">IF((E68="d"),G68," ")</f>
        <v> </v>
      </c>
      <c r="L68" s="334" t="str">
        <f aca="false">IF((E68="e"),G68," ")</f>
        <v> </v>
      </c>
      <c r="M68" s="334" t="str">
        <f aca="false">IF((E68="p"),G68," ")</f>
        <v> </v>
      </c>
      <c r="N68" s="334" t="str">
        <f aca="false">IF((E68="r"),G68," ")</f>
        <v> </v>
      </c>
      <c r="O68" s="334" t="str">
        <f aca="false">IF((E68="g"),G68," ")</f>
        <v> </v>
      </c>
      <c r="P68" s="334" t="str">
        <f aca="false">IF((E68="m"),G68," ")</f>
        <v> </v>
      </c>
      <c r="Q68" s="334" t="str">
        <f aca="false">IF((E68="t"),G68," ")</f>
        <v> </v>
      </c>
      <c r="R68" s="334" t="str">
        <f aca="false">IF((E68="a"),G68," ")</f>
        <v> </v>
      </c>
      <c r="S68" s="334" t="str">
        <f aca="false">IF((E68="l"),G68," ")</f>
        <v> </v>
      </c>
      <c r="T68" s="334" t="str">
        <f aca="false">IF((E68="b"),G68," ")</f>
        <v> </v>
      </c>
      <c r="U68" s="334" t="str">
        <f aca="false">IF((E68="i"),G68," ")</f>
        <v> </v>
      </c>
      <c r="V68" s="334" t="str">
        <f aca="false">IF((E68="o"),G68," ")</f>
        <v> </v>
      </c>
      <c r="W68" s="334" t="str">
        <f aca="false">IF((E68="f"),G68," ")</f>
        <v> </v>
      </c>
    </row>
    <row r="69" customFormat="false" ht="12.75" hidden="false" customHeight="false" outlineLevel="0" collapsed="false">
      <c r="A69" s="355"/>
      <c r="E69" s="365" t="str">
        <f aca="false">IF((G69&lt;&gt;0),"Enter Letter"," ")</f>
        <v> </v>
      </c>
      <c r="H69" s="338" t="str">
        <f aca="false">IF((G69&lt;&gt;0),IF((D69&gt;0)," ",G69)," ")</f>
        <v> </v>
      </c>
      <c r="I69" s="367" t="str">
        <f aca="false">IF((G69&lt;&gt;0),IF((D69&gt;0)," ",(I$1-A69))," ")</f>
        <v> </v>
      </c>
      <c r="J69" s="334" t="str">
        <f aca="false">IF((E69="s"),G69," ")</f>
        <v> </v>
      </c>
      <c r="K69" s="334" t="str">
        <f aca="false">IF((E69="d"),G69," ")</f>
        <v> </v>
      </c>
      <c r="L69" s="334" t="str">
        <f aca="false">IF((E69="e"),G69," ")</f>
        <v> </v>
      </c>
      <c r="M69" s="334" t="str">
        <f aca="false">IF((E69="p"),G69," ")</f>
        <v> </v>
      </c>
      <c r="N69" s="334" t="str">
        <f aca="false">IF((E69="r"),G69," ")</f>
        <v> </v>
      </c>
      <c r="O69" s="334" t="str">
        <f aca="false">IF((E69="g"),G69," ")</f>
        <v> </v>
      </c>
      <c r="P69" s="334" t="str">
        <f aca="false">IF((E69="m"),G69," ")</f>
        <v> </v>
      </c>
      <c r="Q69" s="334" t="str">
        <f aca="false">IF((E69="t"),G69," ")</f>
        <v> </v>
      </c>
      <c r="R69" s="334" t="str">
        <f aca="false">IF((E69="a"),G69," ")</f>
        <v> </v>
      </c>
      <c r="S69" s="334" t="str">
        <f aca="false">IF((E69="l"),G69," ")</f>
        <v> </v>
      </c>
      <c r="T69" s="334" t="str">
        <f aca="false">IF((E69="b"),G69," ")</f>
        <v> </v>
      </c>
      <c r="U69" s="334" t="str">
        <f aca="false">IF((E69="i"),G69," ")</f>
        <v> </v>
      </c>
      <c r="V69" s="334" t="str">
        <f aca="false">IF((E69="o"),G69," ")</f>
        <v> </v>
      </c>
      <c r="W69" s="334" t="str">
        <f aca="false">IF((E69="f"),G69," ")</f>
        <v> </v>
      </c>
    </row>
    <row r="70" customFormat="false" ht="12.75" hidden="false" customHeight="false" outlineLevel="0" collapsed="false">
      <c r="A70" s="355"/>
      <c r="E70" s="365" t="str">
        <f aca="false">IF((G70&lt;&gt;0),"Enter Letter"," ")</f>
        <v> </v>
      </c>
      <c r="H70" s="338" t="str">
        <f aca="false">IF((G70&lt;&gt;0),IF((D70&gt;0)," ",G70)," ")</f>
        <v> </v>
      </c>
      <c r="I70" s="367" t="str">
        <f aca="false">IF((G70&lt;&gt;0),IF((D70&gt;0)," ",(I$1-A70))," ")</f>
        <v> </v>
      </c>
      <c r="J70" s="334" t="str">
        <f aca="false">IF((E70="s"),G70," ")</f>
        <v> </v>
      </c>
      <c r="K70" s="334" t="str">
        <f aca="false">IF((E70="d"),G70," ")</f>
        <v> </v>
      </c>
      <c r="L70" s="334" t="str">
        <f aca="false">IF((E70="e"),G70," ")</f>
        <v> </v>
      </c>
      <c r="M70" s="334" t="str">
        <f aca="false">IF((E70="p"),G70," ")</f>
        <v> </v>
      </c>
      <c r="N70" s="334" t="str">
        <f aca="false">IF((E70="r"),G70," ")</f>
        <v> </v>
      </c>
      <c r="O70" s="334" t="str">
        <f aca="false">IF((E70="g"),G70," ")</f>
        <v> </v>
      </c>
      <c r="P70" s="334" t="str">
        <f aca="false">IF((E70="m"),G70," ")</f>
        <v> </v>
      </c>
      <c r="Q70" s="334" t="str">
        <f aca="false">IF((E70="t"),G70," ")</f>
        <v> </v>
      </c>
      <c r="R70" s="334" t="str">
        <f aca="false">IF((E70="a"),G70," ")</f>
        <v> </v>
      </c>
      <c r="S70" s="334" t="str">
        <f aca="false">IF((E70="l"),G70," ")</f>
        <v> </v>
      </c>
      <c r="T70" s="334" t="str">
        <f aca="false">IF((E70="b"),G70," ")</f>
        <v> </v>
      </c>
      <c r="U70" s="334" t="str">
        <f aca="false">IF((E70="i"),G70," ")</f>
        <v> </v>
      </c>
      <c r="V70" s="334" t="str">
        <f aca="false">IF((E70="o"),G70," ")</f>
        <v> </v>
      </c>
      <c r="W70" s="334" t="str">
        <f aca="false">IF((E70="f"),G70," ")</f>
        <v> </v>
      </c>
    </row>
    <row r="71" customFormat="false" ht="12.75" hidden="false" customHeight="false" outlineLevel="0" collapsed="false">
      <c r="A71" s="355"/>
      <c r="E71" s="365" t="str">
        <f aca="false">IF((G71&lt;&gt;0),"Enter Letter"," ")</f>
        <v> </v>
      </c>
      <c r="H71" s="338" t="str">
        <f aca="false">IF((G71&lt;&gt;0),IF((D71&gt;0)," ",G71)," ")</f>
        <v> </v>
      </c>
      <c r="I71" s="367" t="str">
        <f aca="false">IF((G71&lt;&gt;0),IF((D71&gt;0)," ",(I$1-A71))," ")</f>
        <v> </v>
      </c>
      <c r="J71" s="334" t="str">
        <f aca="false">IF((E71="s"),G71," ")</f>
        <v> </v>
      </c>
      <c r="K71" s="334" t="str">
        <f aca="false">IF((E71="d"),G71," ")</f>
        <v> </v>
      </c>
      <c r="L71" s="334" t="str">
        <f aca="false">IF((E71="e"),G71," ")</f>
        <v> </v>
      </c>
      <c r="M71" s="334" t="str">
        <f aca="false">IF((E71="p"),G71," ")</f>
        <v> </v>
      </c>
      <c r="N71" s="334" t="str">
        <f aca="false">IF((E71="r"),G71," ")</f>
        <v> </v>
      </c>
      <c r="O71" s="334" t="str">
        <f aca="false">IF((E71="g"),G71," ")</f>
        <v> </v>
      </c>
      <c r="P71" s="334" t="str">
        <f aca="false">IF((E71="m"),G71," ")</f>
        <v> </v>
      </c>
      <c r="Q71" s="334" t="str">
        <f aca="false">IF((E71="t"),G71," ")</f>
        <v> </v>
      </c>
      <c r="R71" s="334" t="str">
        <f aca="false">IF((E71="a"),G71," ")</f>
        <v> </v>
      </c>
      <c r="S71" s="334" t="str">
        <f aca="false">IF((E71="l"),G71," ")</f>
        <v> </v>
      </c>
      <c r="T71" s="334" t="str">
        <f aca="false">IF((E71="b"),G71," ")</f>
        <v> </v>
      </c>
      <c r="U71" s="334" t="str">
        <f aca="false">IF((E71="i"),G71," ")</f>
        <v> </v>
      </c>
      <c r="V71" s="334" t="str">
        <f aca="false">IF((E71="o"),G71," ")</f>
        <v> </v>
      </c>
      <c r="W71" s="334" t="str">
        <f aca="false">IF((E71="f"),G71," ")</f>
        <v> </v>
      </c>
    </row>
    <row r="72" customFormat="false" ht="12.75" hidden="false" customHeight="false" outlineLevel="0" collapsed="false">
      <c r="A72" s="355"/>
      <c r="E72" s="365" t="str">
        <f aca="false">IF((G72&lt;&gt;0),"Enter Letter"," ")</f>
        <v> </v>
      </c>
      <c r="H72" s="338" t="str">
        <f aca="false">IF((G72&lt;&gt;0),IF((D72&gt;0)," ",G72)," ")</f>
        <v> </v>
      </c>
      <c r="I72" s="367" t="str">
        <f aca="false">IF((G72&lt;&gt;0),IF((D72&gt;0)," ",(I$1-A72))," ")</f>
        <v> </v>
      </c>
      <c r="J72" s="334" t="str">
        <f aca="false">IF((E72="s"),G72," ")</f>
        <v> </v>
      </c>
      <c r="K72" s="334" t="str">
        <f aca="false">IF((E72="d"),G72," ")</f>
        <v> </v>
      </c>
      <c r="L72" s="334" t="str">
        <f aca="false">IF((E72="e"),G72," ")</f>
        <v> </v>
      </c>
      <c r="M72" s="334" t="str">
        <f aca="false">IF((E72="p"),G72," ")</f>
        <v> </v>
      </c>
      <c r="N72" s="334" t="str">
        <f aca="false">IF((E72="r"),G72," ")</f>
        <v> </v>
      </c>
      <c r="O72" s="334" t="str">
        <f aca="false">IF((E72="g"),G72," ")</f>
        <v> </v>
      </c>
      <c r="P72" s="334" t="str">
        <f aca="false">IF((E72="m"),G72," ")</f>
        <v> </v>
      </c>
      <c r="Q72" s="334" t="str">
        <f aca="false">IF((E72="t"),G72," ")</f>
        <v> </v>
      </c>
      <c r="R72" s="334" t="str">
        <f aca="false">IF((E72="a"),G72," ")</f>
        <v> </v>
      </c>
      <c r="S72" s="334" t="str">
        <f aca="false">IF((E72="l"),G72," ")</f>
        <v> </v>
      </c>
      <c r="T72" s="334" t="str">
        <f aca="false">IF((E72="b"),G72," ")</f>
        <v> </v>
      </c>
      <c r="U72" s="334" t="str">
        <f aca="false">IF((E72="i"),G72," ")</f>
        <v> </v>
      </c>
      <c r="V72" s="334" t="str">
        <f aca="false">IF((E72="o"),G72," ")</f>
        <v> </v>
      </c>
      <c r="W72" s="334" t="str">
        <f aca="false">IF((E72="f"),G72," ")</f>
        <v> </v>
      </c>
    </row>
    <row r="73" customFormat="false" ht="12.75" hidden="false" customHeight="false" outlineLevel="0" collapsed="false">
      <c r="A73" s="355"/>
      <c r="E73" s="365" t="str">
        <f aca="false">IF((G73&lt;&gt;0),"Enter Letter"," ")</f>
        <v> </v>
      </c>
      <c r="H73" s="338" t="str">
        <f aca="false">IF((G73&lt;&gt;0),IF((D73&gt;0)," ",G73)," ")</f>
        <v> </v>
      </c>
      <c r="I73" s="367" t="str">
        <f aca="false">IF((G73&lt;&gt;0),IF((D73&gt;0)," ",(I$1-A73))," ")</f>
        <v> </v>
      </c>
      <c r="J73" s="334" t="str">
        <f aca="false">IF((E73="s"),G73," ")</f>
        <v> </v>
      </c>
      <c r="K73" s="334" t="str">
        <f aca="false">IF((E73="d"),G73," ")</f>
        <v> </v>
      </c>
      <c r="L73" s="334" t="str">
        <f aca="false">IF((E73="e"),G73," ")</f>
        <v> </v>
      </c>
      <c r="M73" s="334" t="str">
        <f aca="false">IF((E73="p"),G73," ")</f>
        <v> </v>
      </c>
      <c r="N73" s="334" t="str">
        <f aca="false">IF((E73="r"),G73," ")</f>
        <v> </v>
      </c>
      <c r="O73" s="334" t="str">
        <f aca="false">IF((E73="g"),G73," ")</f>
        <v> </v>
      </c>
      <c r="P73" s="334" t="str">
        <f aca="false">IF((E73="m"),G73," ")</f>
        <v> </v>
      </c>
      <c r="Q73" s="334" t="str">
        <f aca="false">IF((E73="t"),G73," ")</f>
        <v> </v>
      </c>
      <c r="R73" s="334" t="str">
        <f aca="false">IF((E73="a"),G73," ")</f>
        <v> </v>
      </c>
      <c r="S73" s="334" t="str">
        <f aca="false">IF((E73="l"),G73," ")</f>
        <v> </v>
      </c>
      <c r="T73" s="334" t="str">
        <f aca="false">IF((E73="b"),G73," ")</f>
        <v> </v>
      </c>
      <c r="U73" s="334" t="str">
        <f aca="false">IF((E73="i"),G73," ")</f>
        <v> </v>
      </c>
      <c r="V73" s="334" t="str">
        <f aca="false">IF((E73="o"),G73," ")</f>
        <v> </v>
      </c>
      <c r="W73" s="334" t="str">
        <f aca="false">IF((E73="f"),G73," ")</f>
        <v> </v>
      </c>
    </row>
    <row r="74" customFormat="false" ht="12.75" hidden="false" customHeight="false" outlineLevel="0" collapsed="false">
      <c r="A74" s="355"/>
      <c r="E74" s="365" t="str">
        <f aca="false">IF((G74&lt;&gt;0),"Enter Letter"," ")</f>
        <v> </v>
      </c>
      <c r="H74" s="338" t="str">
        <f aca="false">IF((G74&lt;&gt;0),IF((D74&gt;0)," ",G74)," ")</f>
        <v> </v>
      </c>
      <c r="I74" s="367" t="str">
        <f aca="false">IF((G74&lt;&gt;0),IF((D74&gt;0)," ",(I$1-A74))," ")</f>
        <v> </v>
      </c>
      <c r="J74" s="334" t="str">
        <f aca="false">IF((E74="s"),G74," ")</f>
        <v> </v>
      </c>
      <c r="K74" s="334" t="str">
        <f aca="false">IF((E74="d"),G74," ")</f>
        <v> </v>
      </c>
      <c r="L74" s="334" t="str">
        <f aca="false">IF((E74="e"),G74," ")</f>
        <v> </v>
      </c>
      <c r="M74" s="334" t="str">
        <f aca="false">IF((E74="p"),G74," ")</f>
        <v> </v>
      </c>
      <c r="N74" s="334" t="str">
        <f aca="false">IF((E74="r"),G74," ")</f>
        <v> </v>
      </c>
      <c r="O74" s="334" t="str">
        <f aca="false">IF((E74="g"),G74," ")</f>
        <v> </v>
      </c>
      <c r="P74" s="334" t="str">
        <f aca="false">IF((E74="m"),G74," ")</f>
        <v> </v>
      </c>
      <c r="Q74" s="334" t="str">
        <f aca="false">IF((E74="t"),G74," ")</f>
        <v> </v>
      </c>
      <c r="R74" s="334" t="str">
        <f aca="false">IF((E74="a"),G74," ")</f>
        <v> </v>
      </c>
      <c r="S74" s="334" t="str">
        <f aca="false">IF((E74="l"),G74," ")</f>
        <v> </v>
      </c>
      <c r="T74" s="334" t="str">
        <f aca="false">IF((E74="b"),G74," ")</f>
        <v> </v>
      </c>
      <c r="U74" s="334" t="str">
        <f aca="false">IF((E74="i"),G74," ")</f>
        <v> </v>
      </c>
      <c r="V74" s="334" t="str">
        <f aca="false">IF((E74="o"),G74," ")</f>
        <v> </v>
      </c>
      <c r="W74" s="334" t="str">
        <f aca="false">IF((E74="f"),G74," ")</f>
        <v> </v>
      </c>
    </row>
    <row r="75" customFormat="false" ht="12.75" hidden="false" customHeight="false" outlineLevel="0" collapsed="false">
      <c r="A75" s="355"/>
      <c r="E75" s="365" t="str">
        <f aca="false">IF((G75&lt;&gt;0),"Enter Letter"," ")</f>
        <v> </v>
      </c>
      <c r="H75" s="338" t="str">
        <f aca="false">IF((G75&lt;&gt;0),IF((D75&gt;0)," ",G75)," ")</f>
        <v> </v>
      </c>
      <c r="I75" s="367" t="str">
        <f aca="false">IF((G75&lt;&gt;0),IF((D75&gt;0)," ",(I$1-A75))," ")</f>
        <v> </v>
      </c>
      <c r="J75" s="334" t="str">
        <f aca="false">IF((E75="s"),G75," ")</f>
        <v> </v>
      </c>
      <c r="K75" s="334" t="str">
        <f aca="false">IF((E75="d"),G75," ")</f>
        <v> </v>
      </c>
      <c r="L75" s="334" t="str">
        <f aca="false">IF((E75="e"),G75," ")</f>
        <v> </v>
      </c>
      <c r="M75" s="334" t="str">
        <f aca="false">IF((E75="p"),G75," ")</f>
        <v> </v>
      </c>
      <c r="N75" s="334" t="str">
        <f aca="false">IF((E75="r"),G75," ")</f>
        <v> </v>
      </c>
      <c r="O75" s="334" t="str">
        <f aca="false">IF((E75="g"),G75," ")</f>
        <v> </v>
      </c>
      <c r="P75" s="334" t="str">
        <f aca="false">IF((E75="m"),G75," ")</f>
        <v> </v>
      </c>
      <c r="Q75" s="334" t="str">
        <f aca="false">IF((E75="t"),G75," ")</f>
        <v> </v>
      </c>
      <c r="R75" s="334" t="str">
        <f aca="false">IF((E75="a"),G75," ")</f>
        <v> </v>
      </c>
      <c r="S75" s="334" t="str">
        <f aca="false">IF((E75="l"),G75," ")</f>
        <v> </v>
      </c>
      <c r="T75" s="334" t="str">
        <f aca="false">IF((E75="b"),G75," ")</f>
        <v> </v>
      </c>
      <c r="U75" s="334" t="str">
        <f aca="false">IF((E75="i"),G75," ")</f>
        <v> </v>
      </c>
      <c r="V75" s="334" t="str">
        <f aca="false">IF((E75="o"),G75," ")</f>
        <v> </v>
      </c>
      <c r="W75" s="334" t="str">
        <f aca="false">IF((E75="f"),G75," ")</f>
        <v> </v>
      </c>
    </row>
    <row r="76" customFormat="false" ht="12.75" hidden="false" customHeight="false" outlineLevel="0" collapsed="false">
      <c r="A76" s="355"/>
      <c r="E76" s="365" t="str">
        <f aca="false">IF((G76&lt;&gt;0),"Enter Letter"," ")</f>
        <v> </v>
      </c>
      <c r="H76" s="338" t="str">
        <f aca="false">IF((G76&lt;&gt;0),IF((D76&gt;0)," ",G76)," ")</f>
        <v> </v>
      </c>
      <c r="I76" s="367" t="str">
        <f aca="false">IF((G76&lt;&gt;0),IF((D76&gt;0)," ",(I$1-A76))," ")</f>
        <v> </v>
      </c>
      <c r="J76" s="334" t="str">
        <f aca="false">IF((E76="s"),G76," ")</f>
        <v> </v>
      </c>
      <c r="K76" s="334" t="str">
        <f aca="false">IF((E76="d"),G76," ")</f>
        <v> </v>
      </c>
      <c r="L76" s="334" t="str">
        <f aca="false">IF((E76="e"),G76," ")</f>
        <v> </v>
      </c>
      <c r="M76" s="334" t="str">
        <f aca="false">IF((E76="p"),G76," ")</f>
        <v> </v>
      </c>
      <c r="N76" s="334" t="str">
        <f aca="false">IF((E76="r"),G76," ")</f>
        <v> </v>
      </c>
      <c r="O76" s="334" t="str">
        <f aca="false">IF((E76="g"),G76," ")</f>
        <v> </v>
      </c>
      <c r="P76" s="334" t="str">
        <f aca="false">IF((E76="m"),G76," ")</f>
        <v> </v>
      </c>
      <c r="Q76" s="334" t="str">
        <f aca="false">IF((E76="t"),G76," ")</f>
        <v> </v>
      </c>
      <c r="R76" s="334" t="str">
        <f aca="false">IF((E76="a"),G76," ")</f>
        <v> </v>
      </c>
      <c r="S76" s="334" t="str">
        <f aca="false">IF((E76="l"),G76," ")</f>
        <v> </v>
      </c>
      <c r="T76" s="334" t="str">
        <f aca="false">IF((E76="b"),G76," ")</f>
        <v> </v>
      </c>
      <c r="U76" s="334" t="str">
        <f aca="false">IF((E76="i"),G76," ")</f>
        <v> </v>
      </c>
      <c r="V76" s="334" t="str">
        <f aca="false">IF((E76="o"),G76," ")</f>
        <v> </v>
      </c>
      <c r="W76" s="334" t="str">
        <f aca="false">IF((E76="f"),G76," ")</f>
        <v> </v>
      </c>
    </row>
    <row r="77" customFormat="false" ht="12.75" hidden="false" customHeight="false" outlineLevel="0" collapsed="false">
      <c r="A77" s="355"/>
      <c r="E77" s="365" t="str">
        <f aca="false">IF((G77&lt;&gt;0),"Enter Letter"," ")</f>
        <v> </v>
      </c>
      <c r="H77" s="338" t="str">
        <f aca="false">IF((G77&lt;&gt;0),IF((D77&gt;0)," ",G77)," ")</f>
        <v> </v>
      </c>
      <c r="I77" s="367" t="str">
        <f aca="false">IF((G77&lt;&gt;0),IF((D77&gt;0)," ",(I$1-A77))," ")</f>
        <v> </v>
      </c>
      <c r="J77" s="334" t="str">
        <f aca="false">IF((E77="s"),G77," ")</f>
        <v> </v>
      </c>
      <c r="K77" s="334" t="str">
        <f aca="false">IF((E77="d"),G77," ")</f>
        <v> </v>
      </c>
      <c r="L77" s="334" t="str">
        <f aca="false">IF((E77="e"),G77," ")</f>
        <v> </v>
      </c>
      <c r="M77" s="334" t="str">
        <f aca="false">IF((E77="p"),G77," ")</f>
        <v> </v>
      </c>
      <c r="N77" s="334" t="str">
        <f aca="false">IF((E77="r"),G77," ")</f>
        <v> </v>
      </c>
      <c r="O77" s="334" t="str">
        <f aca="false">IF((E77="g"),G77," ")</f>
        <v> </v>
      </c>
      <c r="P77" s="334" t="str">
        <f aca="false">IF((E77="m"),G77," ")</f>
        <v> </v>
      </c>
      <c r="Q77" s="334" t="str">
        <f aca="false">IF((E77="t"),G77," ")</f>
        <v> </v>
      </c>
      <c r="R77" s="334" t="str">
        <f aca="false">IF((E77="a"),G77," ")</f>
        <v> </v>
      </c>
      <c r="S77" s="334" t="str">
        <f aca="false">IF((E77="l"),G77," ")</f>
        <v> </v>
      </c>
      <c r="T77" s="334" t="str">
        <f aca="false">IF((E77="b"),G77," ")</f>
        <v> </v>
      </c>
      <c r="U77" s="334" t="str">
        <f aca="false">IF((E77="i"),G77," ")</f>
        <v> </v>
      </c>
      <c r="V77" s="334" t="str">
        <f aca="false">IF((E77="o"),G77," ")</f>
        <v> </v>
      </c>
      <c r="W77" s="334" t="str">
        <f aca="false">IF((E77="f"),G77," ")</f>
        <v> </v>
      </c>
    </row>
    <row r="78" customFormat="false" ht="12.75" hidden="false" customHeight="false" outlineLevel="0" collapsed="false">
      <c r="A78" s="355"/>
      <c r="E78" s="365" t="str">
        <f aca="false">IF((G78&lt;&gt;0),"Enter Letter"," ")</f>
        <v> </v>
      </c>
      <c r="H78" s="338" t="str">
        <f aca="false">IF((G78&lt;&gt;0),IF((D78&gt;0)," ",G78)," ")</f>
        <v> </v>
      </c>
      <c r="I78" s="367" t="str">
        <f aca="false">IF((G78&lt;&gt;0),IF((D78&gt;0)," ",(I$1-A78))," ")</f>
        <v> </v>
      </c>
      <c r="J78" s="334" t="str">
        <f aca="false">IF((E78="s"),G78," ")</f>
        <v> </v>
      </c>
      <c r="K78" s="334" t="str">
        <f aca="false">IF((E78="d"),G78," ")</f>
        <v> </v>
      </c>
      <c r="L78" s="334" t="str">
        <f aca="false">IF((E78="e"),G78," ")</f>
        <v> </v>
      </c>
      <c r="M78" s="334" t="str">
        <f aca="false">IF((E78="p"),G78," ")</f>
        <v> </v>
      </c>
      <c r="N78" s="334" t="str">
        <f aca="false">IF((E78="r"),G78," ")</f>
        <v> </v>
      </c>
      <c r="O78" s="334" t="str">
        <f aca="false">IF((E78="g"),G78," ")</f>
        <v> </v>
      </c>
      <c r="P78" s="334" t="str">
        <f aca="false">IF((E78="m"),G78," ")</f>
        <v> </v>
      </c>
      <c r="Q78" s="334" t="str">
        <f aca="false">IF((E78="t"),G78," ")</f>
        <v> </v>
      </c>
      <c r="R78" s="334" t="str">
        <f aca="false">IF((E78="a"),G78," ")</f>
        <v> </v>
      </c>
      <c r="S78" s="334" t="str">
        <f aca="false">IF((E78="l"),G78," ")</f>
        <v> </v>
      </c>
      <c r="T78" s="334" t="str">
        <f aca="false">IF((E78="b"),G78," ")</f>
        <v> </v>
      </c>
      <c r="U78" s="334" t="str">
        <f aca="false">IF((E78="i"),G78," ")</f>
        <v> </v>
      </c>
      <c r="V78" s="334" t="str">
        <f aca="false">IF((E78="o"),G78," ")</f>
        <v> </v>
      </c>
      <c r="W78" s="334" t="str">
        <f aca="false">IF((E78="f"),G78," ")</f>
        <v> </v>
      </c>
    </row>
    <row r="79" customFormat="false" ht="12.75" hidden="false" customHeight="false" outlineLevel="0" collapsed="false">
      <c r="A79" s="355"/>
      <c r="E79" s="365" t="str">
        <f aca="false">IF((G79&lt;&gt;0),"Enter Letter"," ")</f>
        <v> </v>
      </c>
      <c r="H79" s="338" t="str">
        <f aca="false">IF((G79&lt;&gt;0),IF((D79&gt;0)," ",G79)," ")</f>
        <v> </v>
      </c>
      <c r="I79" s="367" t="str">
        <f aca="false">IF((G79&lt;&gt;0),IF((D79&gt;0)," ",(I$1-A79))," ")</f>
        <v> </v>
      </c>
      <c r="J79" s="334" t="str">
        <f aca="false">IF((E79="s"),G79," ")</f>
        <v> </v>
      </c>
      <c r="K79" s="334" t="str">
        <f aca="false">IF((E79="d"),G79," ")</f>
        <v> </v>
      </c>
      <c r="L79" s="334" t="str">
        <f aca="false">IF((E79="e"),G79," ")</f>
        <v> </v>
      </c>
      <c r="M79" s="334" t="str">
        <f aca="false">IF((E79="p"),G79," ")</f>
        <v> </v>
      </c>
      <c r="N79" s="334" t="str">
        <f aca="false">IF((E79="r"),G79," ")</f>
        <v> </v>
      </c>
      <c r="O79" s="334" t="str">
        <f aca="false">IF((E79="g"),G79," ")</f>
        <v> </v>
      </c>
      <c r="P79" s="334" t="str">
        <f aca="false">IF((E79="m"),G79," ")</f>
        <v> </v>
      </c>
      <c r="Q79" s="334" t="str">
        <f aca="false">IF((E79="t"),G79," ")</f>
        <v> </v>
      </c>
      <c r="R79" s="334" t="str">
        <f aca="false">IF((E79="a"),G79," ")</f>
        <v> </v>
      </c>
      <c r="S79" s="334" t="str">
        <f aca="false">IF((E79="l"),G79," ")</f>
        <v> </v>
      </c>
      <c r="T79" s="334" t="str">
        <f aca="false">IF((E79="b"),G79," ")</f>
        <v> </v>
      </c>
      <c r="U79" s="334" t="str">
        <f aca="false">IF((E79="i"),G79," ")</f>
        <v> </v>
      </c>
      <c r="V79" s="334" t="str">
        <f aca="false">IF((E79="o"),G79," ")</f>
        <v> </v>
      </c>
      <c r="W79" s="334" t="str">
        <f aca="false">IF((E79="f"),G79," ")</f>
        <v> </v>
      </c>
    </row>
    <row r="80" customFormat="false" ht="12.75" hidden="false" customHeight="false" outlineLevel="0" collapsed="false">
      <c r="A80" s="355"/>
      <c r="E80" s="365" t="str">
        <f aca="false">IF((G80&lt;&gt;0),"Enter Letter"," ")</f>
        <v> </v>
      </c>
      <c r="H80" s="338" t="str">
        <f aca="false">IF((G80&lt;&gt;0),IF((D80&gt;0)," ",G80)," ")</f>
        <v> </v>
      </c>
      <c r="I80" s="367" t="str">
        <f aca="false">IF((G80&lt;&gt;0),IF((D80&gt;0)," ",(I$1-A80))," ")</f>
        <v> </v>
      </c>
      <c r="J80" s="334" t="str">
        <f aca="false">IF((E80="s"),G80," ")</f>
        <v> </v>
      </c>
      <c r="K80" s="334" t="str">
        <f aca="false">IF((E80="d"),G80," ")</f>
        <v> </v>
      </c>
      <c r="L80" s="334" t="str">
        <f aca="false">IF((E80="e"),G80," ")</f>
        <v> </v>
      </c>
      <c r="M80" s="334" t="str">
        <f aca="false">IF((E80="p"),G80," ")</f>
        <v> </v>
      </c>
      <c r="N80" s="334" t="str">
        <f aca="false">IF((E80="r"),G80," ")</f>
        <v> </v>
      </c>
      <c r="O80" s="334" t="str">
        <f aca="false">IF((E80="g"),G80," ")</f>
        <v> </v>
      </c>
      <c r="P80" s="334" t="str">
        <f aca="false">IF((E80="m"),G80," ")</f>
        <v> </v>
      </c>
      <c r="Q80" s="334" t="str">
        <f aca="false">IF((E80="t"),G80," ")</f>
        <v> </v>
      </c>
      <c r="R80" s="334" t="str">
        <f aca="false">IF((E80="a"),G80," ")</f>
        <v> </v>
      </c>
      <c r="S80" s="334" t="str">
        <f aca="false">IF((E80="l"),G80," ")</f>
        <v> </v>
      </c>
      <c r="T80" s="334" t="str">
        <f aca="false">IF((E80="b"),G80," ")</f>
        <v> </v>
      </c>
      <c r="U80" s="334" t="str">
        <f aca="false">IF((E80="i"),G80," ")</f>
        <v> </v>
      </c>
      <c r="V80" s="334" t="str">
        <f aca="false">IF((E80="o"),G80," ")</f>
        <v> </v>
      </c>
      <c r="W80" s="334" t="str">
        <f aca="false">IF((E80="f"),G80," ")</f>
        <v> </v>
      </c>
    </row>
    <row r="81" customFormat="false" ht="12.75" hidden="false" customHeight="false" outlineLevel="0" collapsed="false">
      <c r="A81" s="355"/>
      <c r="E81" s="365" t="str">
        <f aca="false">IF((G81&lt;&gt;0),"Enter Letter"," ")</f>
        <v> </v>
      </c>
      <c r="H81" s="338" t="str">
        <f aca="false">IF((G81&lt;&gt;0),IF((D81&gt;0)," ",G81)," ")</f>
        <v> </v>
      </c>
      <c r="I81" s="367" t="str">
        <f aca="false">IF((G81&lt;&gt;0),IF((D81&gt;0)," ",(I$1-A81))," ")</f>
        <v> </v>
      </c>
      <c r="J81" s="334" t="str">
        <f aca="false">IF((E81="s"),G81," ")</f>
        <v> </v>
      </c>
      <c r="K81" s="334" t="str">
        <f aca="false">IF((E81="d"),G81," ")</f>
        <v> </v>
      </c>
      <c r="L81" s="334" t="str">
        <f aca="false">IF((E81="e"),G81," ")</f>
        <v> </v>
      </c>
      <c r="M81" s="334" t="str">
        <f aca="false">IF((E81="p"),G81," ")</f>
        <v> </v>
      </c>
      <c r="N81" s="334" t="str">
        <f aca="false">IF((E81="r"),G81," ")</f>
        <v> </v>
      </c>
      <c r="O81" s="334" t="str">
        <f aca="false">IF((E81="g"),G81," ")</f>
        <v> </v>
      </c>
      <c r="P81" s="334" t="str">
        <f aca="false">IF((E81="m"),G81," ")</f>
        <v> </v>
      </c>
      <c r="Q81" s="334" t="str">
        <f aca="false">IF((E81="t"),G81," ")</f>
        <v> </v>
      </c>
      <c r="R81" s="334" t="str">
        <f aca="false">IF((E81="a"),G81," ")</f>
        <v> </v>
      </c>
      <c r="S81" s="334" t="str">
        <f aca="false">IF((E81="l"),G81," ")</f>
        <v> </v>
      </c>
      <c r="T81" s="334" t="str">
        <f aca="false">IF((E81="b"),G81," ")</f>
        <v> </v>
      </c>
      <c r="U81" s="334" t="str">
        <f aca="false">IF((E81="i"),G81," ")</f>
        <v> </v>
      </c>
      <c r="V81" s="334" t="str">
        <f aca="false">IF((E81="o"),G81," ")</f>
        <v> </v>
      </c>
      <c r="W81" s="334" t="str">
        <f aca="false">IF((E81="f"),G81," ")</f>
        <v> </v>
      </c>
    </row>
    <row r="82" customFormat="false" ht="12.75" hidden="false" customHeight="false" outlineLevel="0" collapsed="false">
      <c r="A82" s="355"/>
      <c r="E82" s="365" t="str">
        <f aca="false">IF((G82&lt;&gt;0),"Enter Letter"," ")</f>
        <v> </v>
      </c>
      <c r="H82" s="338" t="str">
        <f aca="false">IF((G82&lt;&gt;0),IF((D82&gt;0)," ",G82)," ")</f>
        <v> </v>
      </c>
      <c r="I82" s="367" t="str">
        <f aca="false">IF((G82&lt;&gt;0),IF((D82&gt;0)," ",(I$1-A82))," ")</f>
        <v> </v>
      </c>
      <c r="J82" s="334" t="str">
        <f aca="false">IF((E82="s"),G82," ")</f>
        <v> </v>
      </c>
      <c r="K82" s="334" t="str">
        <f aca="false">IF((E82="d"),G82," ")</f>
        <v> </v>
      </c>
      <c r="L82" s="334" t="str">
        <f aca="false">IF((E82="e"),G82," ")</f>
        <v> </v>
      </c>
      <c r="M82" s="334" t="str">
        <f aca="false">IF((E82="p"),G82," ")</f>
        <v> </v>
      </c>
      <c r="N82" s="334" t="str">
        <f aca="false">IF((E82="r"),G82," ")</f>
        <v> </v>
      </c>
      <c r="O82" s="334" t="str">
        <f aca="false">IF((E82="g"),G82," ")</f>
        <v> </v>
      </c>
      <c r="P82" s="334" t="str">
        <f aca="false">IF((E82="m"),G82," ")</f>
        <v> </v>
      </c>
      <c r="Q82" s="334" t="str">
        <f aca="false">IF((E82="t"),G82," ")</f>
        <v> </v>
      </c>
      <c r="R82" s="334" t="str">
        <f aca="false">IF((E82="a"),G82," ")</f>
        <v> </v>
      </c>
      <c r="S82" s="334" t="str">
        <f aca="false">IF((E82="l"),G82," ")</f>
        <v> </v>
      </c>
      <c r="T82" s="334" t="str">
        <f aca="false">IF((E82="b"),G82," ")</f>
        <v> </v>
      </c>
      <c r="U82" s="334" t="str">
        <f aca="false">IF((E82="i"),G82," ")</f>
        <v> </v>
      </c>
      <c r="V82" s="334" t="str">
        <f aca="false">IF((E82="o"),G82," ")</f>
        <v> </v>
      </c>
      <c r="W82" s="334" t="str">
        <f aca="false">IF((E82="f"),G82," ")</f>
        <v> </v>
      </c>
    </row>
    <row r="83" customFormat="false" ht="12.75" hidden="false" customHeight="false" outlineLevel="0" collapsed="false">
      <c r="A83" s="355"/>
      <c r="E83" s="365" t="str">
        <f aca="false">IF((G83&lt;&gt;0),"Enter Letter"," ")</f>
        <v> </v>
      </c>
      <c r="H83" s="338" t="str">
        <f aca="false">IF((G83&lt;&gt;0),IF((D83&gt;0)," ",G83)," ")</f>
        <v> </v>
      </c>
      <c r="I83" s="367" t="str">
        <f aca="false">IF((G83&lt;&gt;0),IF((D83&gt;0)," ",(I$1-A83))," ")</f>
        <v> </v>
      </c>
      <c r="J83" s="334" t="str">
        <f aca="false">IF((E83="s"),G83," ")</f>
        <v> </v>
      </c>
      <c r="K83" s="334" t="str">
        <f aca="false">IF((E83="d"),G83," ")</f>
        <v> </v>
      </c>
      <c r="L83" s="334" t="str">
        <f aca="false">IF((E83="e"),G83," ")</f>
        <v> </v>
      </c>
      <c r="M83" s="334" t="str">
        <f aca="false">IF((E83="p"),G83," ")</f>
        <v> </v>
      </c>
      <c r="N83" s="334" t="str">
        <f aca="false">IF((E83="r"),G83," ")</f>
        <v> </v>
      </c>
      <c r="O83" s="334" t="str">
        <f aca="false">IF((E83="g"),G83," ")</f>
        <v> </v>
      </c>
      <c r="P83" s="334" t="str">
        <f aca="false">IF((E83="m"),G83," ")</f>
        <v> </v>
      </c>
      <c r="Q83" s="334" t="str">
        <f aca="false">IF((E83="t"),G83," ")</f>
        <v> </v>
      </c>
      <c r="R83" s="334" t="str">
        <f aca="false">IF((E83="a"),G83," ")</f>
        <v> </v>
      </c>
      <c r="S83" s="334" t="str">
        <f aca="false">IF((E83="l"),G83," ")</f>
        <v> </v>
      </c>
      <c r="T83" s="334" t="str">
        <f aca="false">IF((E83="b"),G83," ")</f>
        <v> </v>
      </c>
      <c r="U83" s="334" t="str">
        <f aca="false">IF((E83="i"),G83," ")</f>
        <v> </v>
      </c>
      <c r="V83" s="334" t="str">
        <f aca="false">IF((E83="o"),G83," ")</f>
        <v> </v>
      </c>
      <c r="W83" s="334" t="str">
        <f aca="false">IF((E83="f"),G83," ")</f>
        <v> </v>
      </c>
    </row>
    <row r="84" customFormat="false" ht="12.75" hidden="false" customHeight="false" outlineLevel="0" collapsed="false">
      <c r="A84" s="355"/>
      <c r="E84" s="365" t="str">
        <f aca="false">IF((G84&lt;&gt;0),"Enter Letter"," ")</f>
        <v> </v>
      </c>
      <c r="H84" s="338" t="str">
        <f aca="false">IF((G84&lt;&gt;0),IF((D84&gt;0)," ",G84)," ")</f>
        <v> </v>
      </c>
      <c r="I84" s="367" t="str">
        <f aca="false">IF((G84&lt;&gt;0),IF((D84&gt;0)," ",(I$1-A84))," ")</f>
        <v> </v>
      </c>
      <c r="J84" s="334" t="str">
        <f aca="false">IF((E84="s"),G84," ")</f>
        <v> </v>
      </c>
      <c r="K84" s="334" t="str">
        <f aca="false">IF((E84="d"),G84," ")</f>
        <v> </v>
      </c>
      <c r="L84" s="334" t="str">
        <f aca="false">IF((E84="e"),G84," ")</f>
        <v> </v>
      </c>
      <c r="M84" s="334" t="str">
        <f aca="false">IF((E84="p"),G84," ")</f>
        <v> </v>
      </c>
      <c r="N84" s="334" t="str">
        <f aca="false">IF((E84="r"),G84," ")</f>
        <v> </v>
      </c>
      <c r="O84" s="334" t="str">
        <f aca="false">IF((E84="g"),G84," ")</f>
        <v> </v>
      </c>
      <c r="P84" s="334" t="str">
        <f aca="false">IF((E84="m"),G84," ")</f>
        <v> </v>
      </c>
      <c r="Q84" s="334" t="str">
        <f aca="false">IF((E84="t"),G84," ")</f>
        <v> </v>
      </c>
      <c r="R84" s="334" t="str">
        <f aca="false">IF((E84="a"),G84," ")</f>
        <v> </v>
      </c>
      <c r="S84" s="334" t="str">
        <f aca="false">IF((E84="l"),G84," ")</f>
        <v> </v>
      </c>
      <c r="T84" s="334" t="str">
        <f aca="false">IF((E84="b"),G84," ")</f>
        <v> </v>
      </c>
      <c r="U84" s="334" t="str">
        <f aca="false">IF((E84="i"),G84," ")</f>
        <v> </v>
      </c>
      <c r="V84" s="334" t="str">
        <f aca="false">IF((E84="o"),G84," ")</f>
        <v> </v>
      </c>
      <c r="W84" s="334" t="str">
        <f aca="false">IF((E84="f"),G84," ")</f>
        <v> </v>
      </c>
    </row>
    <row r="85" customFormat="false" ht="12.75" hidden="false" customHeight="false" outlineLevel="0" collapsed="false">
      <c r="A85" s="355"/>
      <c r="E85" s="365" t="str">
        <f aca="false">IF((G85&lt;&gt;0),"Enter Letter"," ")</f>
        <v> </v>
      </c>
      <c r="H85" s="338" t="str">
        <f aca="false">IF((G85&lt;&gt;0),IF((D85&gt;0)," ",G85)," ")</f>
        <v> </v>
      </c>
      <c r="I85" s="367" t="str">
        <f aca="false">IF((G85&lt;&gt;0),IF((D85&gt;0)," ",(I$1-A85))," ")</f>
        <v> </v>
      </c>
      <c r="J85" s="334" t="str">
        <f aca="false">IF((E85="s"),G85," ")</f>
        <v> </v>
      </c>
      <c r="K85" s="334" t="str">
        <f aca="false">IF((E85="d"),G85," ")</f>
        <v> </v>
      </c>
      <c r="L85" s="334" t="str">
        <f aca="false">IF((E85="e"),G85," ")</f>
        <v> </v>
      </c>
      <c r="M85" s="334" t="str">
        <f aca="false">IF((E85="p"),G85," ")</f>
        <v> </v>
      </c>
      <c r="N85" s="334" t="str">
        <f aca="false">IF((E85="r"),G85," ")</f>
        <v> </v>
      </c>
      <c r="O85" s="334" t="str">
        <f aca="false">IF((E85="g"),G85," ")</f>
        <v> </v>
      </c>
      <c r="P85" s="334" t="str">
        <f aca="false">IF((E85="m"),G85," ")</f>
        <v> </v>
      </c>
      <c r="Q85" s="334" t="str">
        <f aca="false">IF((E85="t"),G85," ")</f>
        <v> </v>
      </c>
      <c r="R85" s="334" t="str">
        <f aca="false">IF((E85="a"),G85," ")</f>
        <v> </v>
      </c>
      <c r="S85" s="334" t="str">
        <f aca="false">IF((E85="l"),G85," ")</f>
        <v> </v>
      </c>
      <c r="T85" s="334" t="str">
        <f aca="false">IF((E85="b"),G85," ")</f>
        <v> </v>
      </c>
      <c r="U85" s="334" t="str">
        <f aca="false">IF((E85="i"),G85," ")</f>
        <v> </v>
      </c>
      <c r="V85" s="334" t="str">
        <f aca="false">IF((E85="o"),G85," ")</f>
        <v> </v>
      </c>
      <c r="W85" s="334" t="str">
        <f aca="false">IF((E85="f"),G85," ")</f>
        <v> </v>
      </c>
    </row>
    <row r="86" customFormat="false" ht="12.75" hidden="false" customHeight="false" outlineLevel="0" collapsed="false">
      <c r="A86" s="355"/>
      <c r="E86" s="365" t="str">
        <f aca="false">IF((G86&lt;&gt;0),"Enter Letter"," ")</f>
        <v> </v>
      </c>
      <c r="H86" s="338" t="str">
        <f aca="false">IF((G86&lt;&gt;0),IF((D86&gt;0)," ",G86)," ")</f>
        <v> </v>
      </c>
      <c r="I86" s="367" t="str">
        <f aca="false">IF((G86&lt;&gt;0),IF((D86&gt;0)," ",(I$1-A86))," ")</f>
        <v> </v>
      </c>
      <c r="J86" s="334" t="str">
        <f aca="false">IF((E86="s"),G86," ")</f>
        <v> </v>
      </c>
      <c r="K86" s="334" t="str">
        <f aca="false">IF((E86="d"),G86," ")</f>
        <v> </v>
      </c>
      <c r="L86" s="334" t="str">
        <f aca="false">IF((E86="e"),G86," ")</f>
        <v> </v>
      </c>
      <c r="M86" s="334" t="str">
        <f aca="false">IF((E86="p"),G86," ")</f>
        <v> </v>
      </c>
      <c r="N86" s="334" t="str">
        <f aca="false">IF((E86="r"),G86," ")</f>
        <v> </v>
      </c>
      <c r="O86" s="334" t="str">
        <f aca="false">IF((E86="g"),G86," ")</f>
        <v> </v>
      </c>
      <c r="P86" s="334" t="str">
        <f aca="false">IF((E86="m"),G86," ")</f>
        <v> </v>
      </c>
      <c r="Q86" s="334" t="str">
        <f aca="false">IF((E86="t"),G86," ")</f>
        <v> </v>
      </c>
      <c r="R86" s="334" t="str">
        <f aca="false">IF((E86="a"),G86," ")</f>
        <v> </v>
      </c>
      <c r="S86" s="334" t="str">
        <f aca="false">IF((E86="l"),G86," ")</f>
        <v> </v>
      </c>
      <c r="T86" s="334" t="str">
        <f aca="false">IF((E86="b"),G86," ")</f>
        <v> </v>
      </c>
      <c r="U86" s="334" t="str">
        <f aca="false">IF((E86="i"),G86," ")</f>
        <v> </v>
      </c>
      <c r="V86" s="334" t="str">
        <f aca="false">IF((E86="o"),G86," ")</f>
        <v> </v>
      </c>
      <c r="W86" s="334" t="str">
        <f aca="false">IF((E86="f"),G86," ")</f>
        <v> </v>
      </c>
    </row>
    <row r="87" customFormat="false" ht="12.75" hidden="false" customHeight="false" outlineLevel="0" collapsed="false">
      <c r="A87" s="355"/>
      <c r="E87" s="365" t="str">
        <f aca="false">IF((G87&lt;&gt;0),"Enter Letter"," ")</f>
        <v> </v>
      </c>
      <c r="H87" s="338" t="str">
        <f aca="false">IF((G87&lt;&gt;0),IF((D87&gt;0)," ",G87)," ")</f>
        <v> </v>
      </c>
      <c r="I87" s="367" t="str">
        <f aca="false">IF((G87&lt;&gt;0),IF((D87&gt;0)," ",(I$1-A87))," ")</f>
        <v> </v>
      </c>
      <c r="J87" s="334" t="str">
        <f aca="false">IF((E87="s"),G87," ")</f>
        <v> </v>
      </c>
      <c r="K87" s="334" t="str">
        <f aca="false">IF((E87="d"),G87," ")</f>
        <v> </v>
      </c>
      <c r="L87" s="334" t="str">
        <f aca="false">IF((E87="e"),G87," ")</f>
        <v> </v>
      </c>
      <c r="M87" s="334" t="str">
        <f aca="false">IF((E87="p"),G87," ")</f>
        <v> </v>
      </c>
      <c r="N87" s="334" t="str">
        <f aca="false">IF((E87="r"),G87," ")</f>
        <v> </v>
      </c>
      <c r="O87" s="334" t="str">
        <f aca="false">IF((E87="g"),G87," ")</f>
        <v> </v>
      </c>
      <c r="P87" s="334" t="str">
        <f aca="false">IF((E87="m"),G87," ")</f>
        <v> </v>
      </c>
      <c r="Q87" s="334" t="str">
        <f aca="false">IF((E87="t"),G87," ")</f>
        <v> </v>
      </c>
      <c r="R87" s="334" t="str">
        <f aca="false">IF((E87="a"),G87," ")</f>
        <v> </v>
      </c>
      <c r="S87" s="334" t="str">
        <f aca="false">IF((E87="l"),G87," ")</f>
        <v> </v>
      </c>
      <c r="T87" s="334" t="str">
        <f aca="false">IF((E87="b"),G87," ")</f>
        <v> </v>
      </c>
      <c r="U87" s="334" t="str">
        <f aca="false">IF((E87="i"),G87," ")</f>
        <v> </v>
      </c>
      <c r="V87" s="334" t="str">
        <f aca="false">IF((E87="o"),G87," ")</f>
        <v> </v>
      </c>
      <c r="W87" s="334" t="str">
        <f aca="false">IF((E87="f"),G87," ")</f>
        <v> </v>
      </c>
    </row>
    <row r="88" customFormat="false" ht="12.75" hidden="false" customHeight="false" outlineLevel="0" collapsed="false">
      <c r="A88" s="355"/>
      <c r="E88" s="365" t="str">
        <f aca="false">IF((G88&lt;&gt;0),"Enter Letter"," ")</f>
        <v> </v>
      </c>
      <c r="H88" s="338" t="str">
        <f aca="false">IF((G88&lt;&gt;0),IF((D88&gt;0)," ",G88)," ")</f>
        <v> </v>
      </c>
      <c r="I88" s="367" t="str">
        <f aca="false">IF((G88&lt;&gt;0),IF((D88&gt;0)," ",(I$1-A88))," ")</f>
        <v> </v>
      </c>
      <c r="J88" s="334" t="str">
        <f aca="false">IF((E88="s"),G88," ")</f>
        <v> </v>
      </c>
      <c r="K88" s="334" t="str">
        <f aca="false">IF((E88="d"),G88," ")</f>
        <v> </v>
      </c>
      <c r="L88" s="334" t="str">
        <f aca="false">IF((E88="e"),G88," ")</f>
        <v> </v>
      </c>
      <c r="M88" s="334" t="str">
        <f aca="false">IF((E88="p"),G88," ")</f>
        <v> </v>
      </c>
      <c r="N88" s="334" t="str">
        <f aca="false">IF((E88="r"),G88," ")</f>
        <v> </v>
      </c>
      <c r="O88" s="334" t="str">
        <f aca="false">IF((E88="g"),G88," ")</f>
        <v> </v>
      </c>
      <c r="P88" s="334" t="str">
        <f aca="false">IF((E88="m"),G88," ")</f>
        <v> </v>
      </c>
      <c r="Q88" s="334" t="str">
        <f aca="false">IF((E88="t"),G88," ")</f>
        <v> </v>
      </c>
      <c r="R88" s="334" t="str">
        <f aca="false">IF((E88="a"),G88," ")</f>
        <v> </v>
      </c>
      <c r="S88" s="334" t="str">
        <f aca="false">IF((E88="l"),G88," ")</f>
        <v> </v>
      </c>
      <c r="T88" s="334" t="str">
        <f aca="false">IF((E88="b"),G88," ")</f>
        <v> </v>
      </c>
      <c r="U88" s="334" t="str">
        <f aca="false">IF((E88="i"),G88," ")</f>
        <v> </v>
      </c>
      <c r="V88" s="334" t="str">
        <f aca="false">IF((E88="o"),G88," ")</f>
        <v> </v>
      </c>
      <c r="W88" s="334" t="str">
        <f aca="false">IF((E88="f"),G88," ")</f>
        <v> </v>
      </c>
    </row>
    <row r="89" customFormat="false" ht="12.75" hidden="false" customHeight="false" outlineLevel="0" collapsed="false">
      <c r="A89" s="355"/>
      <c r="E89" s="365" t="str">
        <f aca="false">IF((G89&lt;&gt;0),"Enter Letter"," ")</f>
        <v> </v>
      </c>
      <c r="H89" s="338" t="str">
        <f aca="false">IF((G89&lt;&gt;0),IF((D89&gt;0)," ",G89)," ")</f>
        <v> </v>
      </c>
      <c r="I89" s="367" t="str">
        <f aca="false">IF((G89&lt;&gt;0),IF((D89&gt;0)," ",(I$1-A89))," ")</f>
        <v> </v>
      </c>
      <c r="J89" s="334" t="str">
        <f aca="false">IF((E89="s"),G89," ")</f>
        <v> </v>
      </c>
      <c r="K89" s="334" t="str">
        <f aca="false">IF((E89="d"),G89," ")</f>
        <v> </v>
      </c>
      <c r="L89" s="334" t="str">
        <f aca="false">IF((E89="e"),G89," ")</f>
        <v> </v>
      </c>
      <c r="M89" s="334" t="str">
        <f aca="false">IF((E89="p"),G89," ")</f>
        <v> </v>
      </c>
      <c r="N89" s="334" t="str">
        <f aca="false">IF((E89="r"),G89," ")</f>
        <v> </v>
      </c>
      <c r="O89" s="334" t="str">
        <f aca="false">IF((E89="g"),G89," ")</f>
        <v> </v>
      </c>
      <c r="P89" s="334" t="str">
        <f aca="false">IF((E89="m"),G89," ")</f>
        <v> </v>
      </c>
      <c r="Q89" s="334" t="str">
        <f aca="false">IF((E89="t"),G89," ")</f>
        <v> </v>
      </c>
      <c r="R89" s="334" t="str">
        <f aca="false">IF((E89="a"),G89," ")</f>
        <v> </v>
      </c>
      <c r="S89" s="334" t="str">
        <f aca="false">IF((E89="l"),G89," ")</f>
        <v> </v>
      </c>
      <c r="T89" s="334" t="str">
        <f aca="false">IF((E89="b"),G89," ")</f>
        <v> </v>
      </c>
      <c r="U89" s="334" t="str">
        <f aca="false">IF((E89="i"),G89," ")</f>
        <v> </v>
      </c>
      <c r="V89" s="334" t="str">
        <f aca="false">IF((E89="o"),G89," ")</f>
        <v> </v>
      </c>
      <c r="W89" s="334" t="str">
        <f aca="false">IF((E89="f"),G89," ")</f>
        <v> </v>
      </c>
    </row>
    <row r="90" customFormat="false" ht="12.75" hidden="false" customHeight="false" outlineLevel="0" collapsed="false">
      <c r="A90" s="355"/>
      <c r="E90" s="365" t="str">
        <f aca="false">IF((G90&lt;&gt;0),"Enter Letter"," ")</f>
        <v> </v>
      </c>
      <c r="H90" s="338" t="str">
        <f aca="false">IF((G90&lt;&gt;0),IF((D90&gt;0)," ",G90)," ")</f>
        <v> </v>
      </c>
      <c r="I90" s="367" t="str">
        <f aca="false">IF((G90&lt;&gt;0),IF((D90&gt;0)," ",(I$1-A90))," ")</f>
        <v> </v>
      </c>
      <c r="J90" s="334" t="str">
        <f aca="false">IF((E90="s"),G90," ")</f>
        <v> </v>
      </c>
      <c r="K90" s="334" t="str">
        <f aca="false">IF((E90="d"),G90," ")</f>
        <v> </v>
      </c>
      <c r="L90" s="334" t="str">
        <f aca="false">IF((E90="e"),G90," ")</f>
        <v> </v>
      </c>
      <c r="M90" s="334" t="str">
        <f aca="false">IF((E90="p"),G90," ")</f>
        <v> </v>
      </c>
      <c r="N90" s="334" t="str">
        <f aca="false">IF((E90="r"),G90," ")</f>
        <v> </v>
      </c>
      <c r="O90" s="334" t="str">
        <f aca="false">IF((E90="g"),G90," ")</f>
        <v> </v>
      </c>
      <c r="P90" s="334" t="str">
        <f aca="false">IF((E90="m"),G90," ")</f>
        <v> </v>
      </c>
      <c r="Q90" s="334" t="str">
        <f aca="false">IF((E90="t"),G90," ")</f>
        <v> </v>
      </c>
      <c r="R90" s="334" t="str">
        <f aca="false">IF((E90="a"),G90," ")</f>
        <v> </v>
      </c>
      <c r="S90" s="334" t="str">
        <f aca="false">IF((E90="l"),G90," ")</f>
        <v> </v>
      </c>
      <c r="T90" s="334" t="str">
        <f aca="false">IF((E90="b"),G90," ")</f>
        <v> </v>
      </c>
      <c r="U90" s="334" t="str">
        <f aca="false">IF((E90="i"),G90," ")</f>
        <v> </v>
      </c>
      <c r="V90" s="334" t="str">
        <f aca="false">IF((E90="o"),G90," ")</f>
        <v> </v>
      </c>
      <c r="W90" s="334" t="str">
        <f aca="false">IF((E90="f"),G90," ")</f>
        <v> </v>
      </c>
    </row>
    <row r="91" customFormat="false" ht="12.75" hidden="false" customHeight="false" outlineLevel="0" collapsed="false">
      <c r="A91" s="355"/>
      <c r="E91" s="365" t="str">
        <f aca="false">IF((G91&lt;&gt;0),"Enter Letter"," ")</f>
        <v> </v>
      </c>
      <c r="H91" s="338" t="str">
        <f aca="false">IF((G91&lt;&gt;0),IF((D91&gt;0)," ",G91)," ")</f>
        <v> </v>
      </c>
      <c r="I91" s="367" t="str">
        <f aca="false">IF((G91&lt;&gt;0),IF((D91&gt;0)," ",(I$1-A91))," ")</f>
        <v> </v>
      </c>
      <c r="J91" s="334" t="str">
        <f aca="false">IF((E91="s"),G91," ")</f>
        <v> </v>
      </c>
      <c r="K91" s="334" t="str">
        <f aca="false">IF((E91="d"),G91," ")</f>
        <v> </v>
      </c>
      <c r="L91" s="334" t="str">
        <f aca="false">IF((E91="e"),G91," ")</f>
        <v> </v>
      </c>
      <c r="M91" s="334" t="str">
        <f aca="false">IF((E91="p"),G91," ")</f>
        <v> </v>
      </c>
      <c r="N91" s="334" t="str">
        <f aca="false">IF((E91="r"),G91," ")</f>
        <v> </v>
      </c>
      <c r="O91" s="334" t="str">
        <f aca="false">IF((E91="g"),G91," ")</f>
        <v> </v>
      </c>
      <c r="P91" s="334" t="str">
        <f aca="false">IF((E91="m"),G91," ")</f>
        <v> </v>
      </c>
      <c r="Q91" s="334" t="str">
        <f aca="false">IF((E91="t"),G91," ")</f>
        <v> </v>
      </c>
      <c r="R91" s="334" t="str">
        <f aca="false">IF((E91="a"),G91," ")</f>
        <v> </v>
      </c>
      <c r="S91" s="334" t="str">
        <f aca="false">IF((E91="l"),G91," ")</f>
        <v> </v>
      </c>
      <c r="T91" s="334" t="str">
        <f aca="false">IF((E91="b"),G91," ")</f>
        <v> </v>
      </c>
      <c r="U91" s="334" t="str">
        <f aca="false">IF((E91="i"),G91," ")</f>
        <v> </v>
      </c>
      <c r="V91" s="334" t="str">
        <f aca="false">IF((E91="o"),G91," ")</f>
        <v> </v>
      </c>
      <c r="W91" s="334" t="str">
        <f aca="false">IF((E91="f"),G91," ")</f>
        <v> </v>
      </c>
    </row>
    <row r="92" customFormat="false" ht="12.75" hidden="false" customHeight="false" outlineLevel="0" collapsed="false">
      <c r="A92" s="355"/>
      <c r="E92" s="365" t="str">
        <f aca="false">IF((G92&lt;&gt;0),"Enter Letter"," ")</f>
        <v> </v>
      </c>
      <c r="H92" s="338" t="str">
        <f aca="false">IF((G92&lt;&gt;0),IF((D92&gt;0)," ",G92)," ")</f>
        <v> </v>
      </c>
      <c r="I92" s="367" t="str">
        <f aca="false">IF((G92&lt;&gt;0),IF((D92&gt;0)," ",(I$1-A92))," ")</f>
        <v> </v>
      </c>
      <c r="J92" s="334" t="str">
        <f aca="false">IF((E92="s"),G92," ")</f>
        <v> </v>
      </c>
      <c r="K92" s="334" t="str">
        <f aca="false">IF((E92="d"),G92," ")</f>
        <v> </v>
      </c>
      <c r="L92" s="334" t="str">
        <f aca="false">IF((E92="e"),G92," ")</f>
        <v> </v>
      </c>
      <c r="M92" s="334" t="str">
        <f aca="false">IF((E92="p"),G92," ")</f>
        <v> </v>
      </c>
      <c r="N92" s="334" t="str">
        <f aca="false">IF((E92="r"),G92," ")</f>
        <v> </v>
      </c>
      <c r="O92" s="334" t="str">
        <f aca="false">IF((E92="g"),G92," ")</f>
        <v> </v>
      </c>
      <c r="P92" s="334" t="str">
        <f aca="false">IF((E92="m"),G92," ")</f>
        <v> </v>
      </c>
      <c r="Q92" s="334" t="str">
        <f aca="false">IF((E92="t"),G92," ")</f>
        <v> </v>
      </c>
      <c r="R92" s="334" t="str">
        <f aca="false">IF((E92="a"),G92," ")</f>
        <v> </v>
      </c>
      <c r="S92" s="334" t="str">
        <f aca="false">IF((E92="l"),G92," ")</f>
        <v> </v>
      </c>
      <c r="T92" s="334" t="str">
        <f aca="false">IF((E92="b"),G92," ")</f>
        <v> </v>
      </c>
      <c r="U92" s="334" t="str">
        <f aca="false">IF((E92="i"),G92," ")</f>
        <v> </v>
      </c>
      <c r="V92" s="334" t="str">
        <f aca="false">IF((E92="o"),G92," ")</f>
        <v> </v>
      </c>
      <c r="W92" s="334" t="str">
        <f aca="false">IF((E92="f"),G92," ")</f>
        <v> </v>
      </c>
    </row>
    <row r="93" customFormat="false" ht="12.75" hidden="false" customHeight="false" outlineLevel="0" collapsed="false">
      <c r="A93" s="355"/>
      <c r="E93" s="365" t="str">
        <f aca="false">IF((G93&lt;&gt;0),"Enter Letter"," ")</f>
        <v> </v>
      </c>
      <c r="H93" s="338" t="str">
        <f aca="false">IF((G93&lt;&gt;0),IF((D93&gt;0)," ",G93)," ")</f>
        <v> </v>
      </c>
      <c r="I93" s="367" t="str">
        <f aca="false">IF((G93&lt;&gt;0),IF((D93&gt;0)," ",(I$1-A93))," ")</f>
        <v> </v>
      </c>
      <c r="J93" s="334" t="str">
        <f aca="false">IF((E93="s"),G93," ")</f>
        <v> </v>
      </c>
      <c r="K93" s="334" t="str">
        <f aca="false">IF((E93="d"),G93," ")</f>
        <v> </v>
      </c>
      <c r="L93" s="334" t="str">
        <f aca="false">IF((E93="e"),G93," ")</f>
        <v> </v>
      </c>
      <c r="M93" s="334" t="str">
        <f aca="false">IF((E93="p"),G93," ")</f>
        <v> </v>
      </c>
      <c r="N93" s="334" t="str">
        <f aca="false">IF((E93="r"),G93," ")</f>
        <v> </v>
      </c>
      <c r="O93" s="334" t="str">
        <f aca="false">IF((E93="g"),G93," ")</f>
        <v> </v>
      </c>
      <c r="P93" s="334" t="str">
        <f aca="false">IF((E93="m"),G93," ")</f>
        <v> </v>
      </c>
      <c r="Q93" s="334" t="str">
        <f aca="false">IF((E93="t"),G93," ")</f>
        <v> </v>
      </c>
      <c r="R93" s="334" t="str">
        <f aca="false">IF((E93="a"),G93," ")</f>
        <v> </v>
      </c>
      <c r="S93" s="334" t="str">
        <f aca="false">IF((E93="l"),G93," ")</f>
        <v> </v>
      </c>
      <c r="T93" s="334" t="str">
        <f aca="false">IF((E93="b"),G93," ")</f>
        <v> </v>
      </c>
      <c r="U93" s="334" t="str">
        <f aca="false">IF((E93="i"),G93," ")</f>
        <v> </v>
      </c>
      <c r="V93" s="334" t="str">
        <f aca="false">IF((E93="o"),G93," ")</f>
        <v> </v>
      </c>
      <c r="W93" s="334" t="str">
        <f aca="false">IF((E93="f"),G93," ")</f>
        <v> </v>
      </c>
    </row>
    <row r="94" customFormat="false" ht="12.75" hidden="false" customHeight="false" outlineLevel="0" collapsed="false">
      <c r="A94" s="355"/>
      <c r="E94" s="365" t="str">
        <f aca="false">IF((G94&lt;&gt;0),"Enter Letter"," ")</f>
        <v> </v>
      </c>
      <c r="H94" s="338" t="str">
        <f aca="false">IF((G94&lt;&gt;0),IF((D94&gt;0)," ",G94)," ")</f>
        <v> </v>
      </c>
      <c r="I94" s="367" t="str">
        <f aca="false">IF((G94&lt;&gt;0),IF((D94&gt;0)," ",(I$1-A94))," ")</f>
        <v> </v>
      </c>
      <c r="J94" s="334" t="str">
        <f aca="false">IF((E94="s"),G94," ")</f>
        <v> </v>
      </c>
      <c r="K94" s="334" t="str">
        <f aca="false">IF((E94="d"),G94," ")</f>
        <v> </v>
      </c>
      <c r="L94" s="334" t="str">
        <f aca="false">IF((E94="e"),G94," ")</f>
        <v> </v>
      </c>
      <c r="M94" s="334" t="str">
        <f aca="false">IF((E94="p"),G94," ")</f>
        <v> </v>
      </c>
      <c r="N94" s="334" t="str">
        <f aca="false">IF((E94="r"),G94," ")</f>
        <v> </v>
      </c>
      <c r="O94" s="334" t="str">
        <f aca="false">IF((E94="g"),G94," ")</f>
        <v> </v>
      </c>
      <c r="P94" s="334" t="str">
        <f aca="false">IF((E94="m"),G94," ")</f>
        <v> </v>
      </c>
      <c r="Q94" s="334" t="str">
        <f aca="false">IF((E94="t"),G94," ")</f>
        <v> </v>
      </c>
      <c r="R94" s="334" t="str">
        <f aca="false">IF((E94="a"),G94," ")</f>
        <v> </v>
      </c>
      <c r="S94" s="334" t="str">
        <f aca="false">IF((E94="l"),G94," ")</f>
        <v> </v>
      </c>
      <c r="T94" s="334" t="str">
        <f aca="false">IF((E94="b"),G94," ")</f>
        <v> </v>
      </c>
      <c r="U94" s="334" t="str">
        <f aca="false">IF((E94="i"),G94," ")</f>
        <v> </v>
      </c>
      <c r="V94" s="334" t="str">
        <f aca="false">IF((E94="o"),G94," ")</f>
        <v> </v>
      </c>
      <c r="W94" s="334" t="str">
        <f aca="false">IF((E94="f"),G94," ")</f>
        <v> </v>
      </c>
    </row>
    <row r="95" customFormat="false" ht="12.75" hidden="false" customHeight="false" outlineLevel="0" collapsed="false">
      <c r="A95" s="355"/>
      <c r="E95" s="365" t="str">
        <f aca="false">IF((G95&lt;&gt;0),"Enter Letter"," ")</f>
        <v> </v>
      </c>
      <c r="H95" s="338" t="str">
        <f aca="false">IF((G95&lt;&gt;0),IF((D95&gt;0)," ",G95)," ")</f>
        <v> </v>
      </c>
      <c r="I95" s="367" t="str">
        <f aca="false">IF((G95&lt;&gt;0),IF((D95&gt;0)," ",(I$1-A95))," ")</f>
        <v> </v>
      </c>
      <c r="J95" s="334" t="str">
        <f aca="false">IF((E95="s"),G95," ")</f>
        <v> </v>
      </c>
      <c r="K95" s="334" t="str">
        <f aca="false">IF((E95="d"),G95," ")</f>
        <v> </v>
      </c>
      <c r="L95" s="334" t="str">
        <f aca="false">IF((E95="e"),G95," ")</f>
        <v> </v>
      </c>
      <c r="M95" s="334" t="str">
        <f aca="false">IF((E95="p"),G95," ")</f>
        <v> </v>
      </c>
      <c r="N95" s="334" t="str">
        <f aca="false">IF((E95="r"),G95," ")</f>
        <v> </v>
      </c>
      <c r="O95" s="334" t="str">
        <f aca="false">IF((E95="g"),G95," ")</f>
        <v> </v>
      </c>
      <c r="P95" s="334" t="str">
        <f aca="false">IF((E95="m"),G95," ")</f>
        <v> </v>
      </c>
      <c r="Q95" s="334" t="str">
        <f aca="false">IF((E95="t"),G95," ")</f>
        <v> </v>
      </c>
      <c r="R95" s="334" t="str">
        <f aca="false">IF((E95="a"),G95," ")</f>
        <v> </v>
      </c>
      <c r="S95" s="334" t="str">
        <f aca="false">IF((E95="l"),G95," ")</f>
        <v> </v>
      </c>
      <c r="T95" s="334" t="str">
        <f aca="false">IF((E95="b"),G95," ")</f>
        <v> </v>
      </c>
      <c r="U95" s="334" t="str">
        <f aca="false">IF((E95="i"),G95," ")</f>
        <v> </v>
      </c>
      <c r="V95" s="334" t="str">
        <f aca="false">IF((E95="o"),G95," ")</f>
        <v> </v>
      </c>
      <c r="W95" s="334" t="str">
        <f aca="false">IF((E95="f"),G95," ")</f>
        <v> </v>
      </c>
    </row>
    <row r="96" customFormat="false" ht="12.75" hidden="false" customHeight="false" outlineLevel="0" collapsed="false">
      <c r="A96" s="355"/>
      <c r="E96" s="365" t="str">
        <f aca="false">IF((G96&lt;&gt;0),"Enter Letter"," ")</f>
        <v> </v>
      </c>
      <c r="H96" s="338" t="str">
        <f aca="false">IF((G96&lt;&gt;0),IF((D96&gt;0)," ",G96)," ")</f>
        <v> </v>
      </c>
      <c r="I96" s="367" t="str">
        <f aca="false">IF((G96&lt;&gt;0),IF((D96&gt;0)," ",(I$1-A96))," ")</f>
        <v> </v>
      </c>
      <c r="J96" s="334" t="str">
        <f aca="false">IF((E96="s"),G96," ")</f>
        <v> </v>
      </c>
      <c r="K96" s="334" t="str">
        <f aca="false">IF((E96="d"),G96," ")</f>
        <v> </v>
      </c>
      <c r="L96" s="334" t="str">
        <f aca="false">IF((E96="e"),G96," ")</f>
        <v> </v>
      </c>
      <c r="M96" s="334" t="str">
        <f aca="false">IF((E96="p"),G96," ")</f>
        <v> </v>
      </c>
      <c r="N96" s="334" t="str">
        <f aca="false">IF((E96="r"),G96," ")</f>
        <v> </v>
      </c>
      <c r="O96" s="334" t="str">
        <f aca="false">IF((E96="g"),G96," ")</f>
        <v> </v>
      </c>
      <c r="P96" s="334" t="str">
        <f aca="false">IF((E96="m"),G96," ")</f>
        <v> </v>
      </c>
      <c r="Q96" s="334" t="str">
        <f aca="false">IF((E96="t"),G96," ")</f>
        <v> </v>
      </c>
      <c r="R96" s="334" t="str">
        <f aca="false">IF((E96="a"),G96," ")</f>
        <v> </v>
      </c>
      <c r="S96" s="334" t="str">
        <f aca="false">IF((E96="l"),G96," ")</f>
        <v> </v>
      </c>
      <c r="T96" s="334" t="str">
        <f aca="false">IF((E96="b"),G96," ")</f>
        <v> </v>
      </c>
      <c r="U96" s="334" t="str">
        <f aca="false">IF((E96="i"),G96," ")</f>
        <v> </v>
      </c>
      <c r="V96" s="334" t="str">
        <f aca="false">IF((E96="o"),G96," ")</f>
        <v> </v>
      </c>
      <c r="W96" s="334" t="str">
        <f aca="false">IF((E96="f"),G96," ")</f>
        <v> </v>
      </c>
    </row>
    <row r="97" customFormat="false" ht="12.75" hidden="false" customHeight="false" outlineLevel="0" collapsed="false">
      <c r="A97" s="355"/>
      <c r="E97" s="365" t="str">
        <f aca="false">IF((G97&lt;&gt;0),"Enter Letter"," ")</f>
        <v> </v>
      </c>
      <c r="H97" s="338" t="str">
        <f aca="false">IF((G97&lt;&gt;0),IF((D97&gt;0)," ",G97)," ")</f>
        <v> </v>
      </c>
      <c r="I97" s="367" t="str">
        <f aca="false">IF((G97&lt;&gt;0),IF((D97&gt;0)," ",(I$1-A97))," ")</f>
        <v> </v>
      </c>
      <c r="J97" s="334" t="str">
        <f aca="false">IF((E97="s"),G97," ")</f>
        <v> </v>
      </c>
      <c r="K97" s="334" t="str">
        <f aca="false">IF((E97="d"),G97," ")</f>
        <v> </v>
      </c>
      <c r="L97" s="334" t="str">
        <f aca="false">IF((E97="e"),G97," ")</f>
        <v> </v>
      </c>
      <c r="M97" s="334" t="str">
        <f aca="false">IF((E97="p"),G97," ")</f>
        <v> </v>
      </c>
      <c r="N97" s="334" t="str">
        <f aca="false">IF((E97="r"),G97," ")</f>
        <v> </v>
      </c>
      <c r="O97" s="334" t="str">
        <f aca="false">IF((E97="g"),G97," ")</f>
        <v> </v>
      </c>
      <c r="P97" s="334" t="str">
        <f aca="false">IF((E97="m"),G97," ")</f>
        <v> </v>
      </c>
      <c r="Q97" s="334" t="str">
        <f aca="false">IF((E97="t"),G97," ")</f>
        <v> </v>
      </c>
      <c r="R97" s="334" t="str">
        <f aca="false">IF((E97="a"),G97," ")</f>
        <v> </v>
      </c>
      <c r="S97" s="334" t="str">
        <f aca="false">IF((E97="l"),G97," ")</f>
        <v> </v>
      </c>
      <c r="T97" s="334" t="str">
        <f aca="false">IF((E97="b"),G97," ")</f>
        <v> </v>
      </c>
      <c r="U97" s="334" t="str">
        <f aca="false">IF((E97="i"),G97," ")</f>
        <v> </v>
      </c>
      <c r="V97" s="334" t="str">
        <f aca="false">IF((E97="o"),G97," ")</f>
        <v> </v>
      </c>
      <c r="W97" s="334" t="str">
        <f aca="false">IF((E97="f"),G97," ")</f>
        <v> </v>
      </c>
    </row>
    <row r="98" customFormat="false" ht="12.75" hidden="false" customHeight="false" outlineLevel="0" collapsed="false">
      <c r="A98" s="355"/>
      <c r="E98" s="365" t="str">
        <f aca="false">IF((G98&lt;&gt;0),"Enter Letter"," ")</f>
        <v> </v>
      </c>
      <c r="H98" s="338" t="str">
        <f aca="false">IF((G98&lt;&gt;0),IF((D98&gt;0)," ",G98)," ")</f>
        <v> </v>
      </c>
      <c r="I98" s="367" t="str">
        <f aca="false">IF((G98&lt;&gt;0),IF((D98&gt;0)," ",(I$1-A98))," ")</f>
        <v> </v>
      </c>
      <c r="J98" s="334" t="str">
        <f aca="false">IF((E98="s"),G98," ")</f>
        <v> </v>
      </c>
      <c r="K98" s="334" t="str">
        <f aca="false">IF((E98="d"),G98," ")</f>
        <v> </v>
      </c>
      <c r="L98" s="334" t="str">
        <f aca="false">IF((E98="e"),G98," ")</f>
        <v> </v>
      </c>
      <c r="M98" s="334" t="str">
        <f aca="false">IF((E98="p"),G98," ")</f>
        <v> </v>
      </c>
      <c r="N98" s="334" t="str">
        <f aca="false">IF((E98="r"),G98," ")</f>
        <v> </v>
      </c>
      <c r="O98" s="334" t="str">
        <f aca="false">IF((E98="g"),G98," ")</f>
        <v> </v>
      </c>
      <c r="P98" s="334" t="str">
        <f aca="false">IF((E98="m"),G98," ")</f>
        <v> </v>
      </c>
      <c r="Q98" s="334" t="str">
        <f aca="false">IF((E98="t"),G98," ")</f>
        <v> </v>
      </c>
      <c r="R98" s="334" t="str">
        <f aca="false">IF((E98="a"),G98," ")</f>
        <v> </v>
      </c>
      <c r="S98" s="334" t="str">
        <f aca="false">IF((E98="l"),G98," ")</f>
        <v> </v>
      </c>
      <c r="T98" s="334" t="str">
        <f aca="false">IF((E98="b"),G98," ")</f>
        <v> </v>
      </c>
      <c r="U98" s="334" t="str">
        <f aca="false">IF((E98="i"),G98," ")</f>
        <v> </v>
      </c>
      <c r="V98" s="334" t="str">
        <f aca="false">IF((E98="o"),G98," ")</f>
        <v> </v>
      </c>
      <c r="W98" s="334" t="str">
        <f aca="false">IF((E98="f"),G98," ")</f>
        <v> </v>
      </c>
    </row>
    <row r="99" customFormat="false" ht="12.75" hidden="false" customHeight="false" outlineLevel="0" collapsed="false">
      <c r="A99" s="355"/>
      <c r="E99" s="365" t="str">
        <f aca="false">IF((G99&lt;&gt;0),"Enter Letter"," ")</f>
        <v> </v>
      </c>
      <c r="H99" s="338" t="str">
        <f aca="false">IF((G99&lt;&gt;0),IF((D99&gt;0)," ",G99)," ")</f>
        <v> </v>
      </c>
      <c r="I99" s="367" t="str">
        <f aca="false">IF((G99&lt;&gt;0),IF((D99&gt;0)," ",(I$1-A99))," ")</f>
        <v> </v>
      </c>
      <c r="J99" s="334" t="str">
        <f aca="false">IF((E99="s"),G99," ")</f>
        <v> </v>
      </c>
      <c r="K99" s="334" t="str">
        <f aca="false">IF((E99="d"),G99," ")</f>
        <v> </v>
      </c>
      <c r="L99" s="334" t="str">
        <f aca="false">IF((E99="e"),G99," ")</f>
        <v> </v>
      </c>
      <c r="M99" s="334" t="str">
        <f aca="false">IF((E99="p"),G99," ")</f>
        <v> </v>
      </c>
      <c r="N99" s="334" t="str">
        <f aca="false">IF((E99="r"),G99," ")</f>
        <v> </v>
      </c>
      <c r="O99" s="334" t="str">
        <f aca="false">IF((E99="g"),G99," ")</f>
        <v> </v>
      </c>
      <c r="P99" s="334" t="str">
        <f aca="false">IF((E99="m"),G99," ")</f>
        <v> </v>
      </c>
      <c r="Q99" s="334" t="str">
        <f aca="false">IF((E99="t"),G99," ")</f>
        <v> </v>
      </c>
      <c r="R99" s="334" t="str">
        <f aca="false">IF((E99="a"),G99," ")</f>
        <v> </v>
      </c>
      <c r="S99" s="334" t="str">
        <f aca="false">IF((E99="l"),G99," ")</f>
        <v> </v>
      </c>
      <c r="T99" s="334" t="str">
        <f aca="false">IF((E99="b"),G99," ")</f>
        <v> </v>
      </c>
      <c r="U99" s="334" t="str">
        <f aca="false">IF((E99="i"),G99," ")</f>
        <v> </v>
      </c>
      <c r="V99" s="334" t="str">
        <f aca="false">IF((E99="o"),G99," ")</f>
        <v> </v>
      </c>
      <c r="W99" s="334" t="str">
        <f aca="false">IF((E99="f"),G99," ")</f>
        <v> </v>
      </c>
    </row>
    <row r="100" customFormat="false" ht="12.75" hidden="false" customHeight="false" outlineLevel="0" collapsed="false">
      <c r="A100" s="355"/>
      <c r="E100" s="365" t="str">
        <f aca="false">IF((G100&lt;&gt;0),"Enter Letter"," ")</f>
        <v> </v>
      </c>
      <c r="H100" s="338" t="str">
        <f aca="false">IF((G100&lt;&gt;0),IF((D100&gt;0)," ",G100)," ")</f>
        <v> </v>
      </c>
      <c r="I100" s="367" t="str">
        <f aca="false">IF((G100&lt;&gt;0),IF((D100&gt;0)," ",(I$1-A100))," ")</f>
        <v> </v>
      </c>
      <c r="J100" s="334" t="str">
        <f aca="false">IF((E100="s"),G100," ")</f>
        <v> </v>
      </c>
      <c r="K100" s="334" t="str">
        <f aca="false">IF((E100="d"),G100," ")</f>
        <v> </v>
      </c>
      <c r="L100" s="334" t="str">
        <f aca="false">IF((E100="e"),G100," ")</f>
        <v> </v>
      </c>
      <c r="M100" s="334" t="str">
        <f aca="false">IF((E100="p"),G100," ")</f>
        <v> </v>
      </c>
      <c r="N100" s="334" t="str">
        <f aca="false">IF((E100="r"),G100," ")</f>
        <v> </v>
      </c>
      <c r="O100" s="334" t="str">
        <f aca="false">IF((E100="g"),G100," ")</f>
        <v> </v>
      </c>
      <c r="P100" s="334" t="str">
        <f aca="false">IF((E100="m"),G100," ")</f>
        <v> </v>
      </c>
      <c r="Q100" s="334" t="str">
        <f aca="false">IF((E100="t"),G100," ")</f>
        <v> </v>
      </c>
      <c r="R100" s="334" t="str">
        <f aca="false">IF((E100="a"),G100," ")</f>
        <v> </v>
      </c>
      <c r="S100" s="334" t="str">
        <f aca="false">IF((E100="l"),G100," ")</f>
        <v> </v>
      </c>
      <c r="T100" s="334" t="str">
        <f aca="false">IF((E100="b"),G100," ")</f>
        <v> </v>
      </c>
      <c r="U100" s="334" t="str">
        <f aca="false">IF((E100="i"),G100," ")</f>
        <v> </v>
      </c>
      <c r="V100" s="334" t="str">
        <f aca="false">IF((E100="o"),G100," ")</f>
        <v> </v>
      </c>
      <c r="W100" s="334" t="str">
        <f aca="false">IF((E100="f"),G100," ")</f>
        <v> </v>
      </c>
    </row>
    <row r="101" customFormat="false" ht="12.75" hidden="false" customHeight="false" outlineLevel="0" collapsed="false">
      <c r="A101" s="355"/>
      <c r="E101" s="365" t="str">
        <f aca="false">IF((G101&lt;&gt;0),"Enter Letter"," ")</f>
        <v> </v>
      </c>
      <c r="H101" s="338" t="str">
        <f aca="false">IF((G101&lt;&gt;0),IF((D101&gt;0)," ",G101)," ")</f>
        <v> </v>
      </c>
      <c r="I101" s="367" t="str">
        <f aca="false">IF((G101&lt;&gt;0),IF((D101&gt;0)," ",(I$1-A101))," ")</f>
        <v> </v>
      </c>
      <c r="J101" s="334" t="str">
        <f aca="false">IF((E101="s"),G101," ")</f>
        <v> </v>
      </c>
      <c r="K101" s="334" t="str">
        <f aca="false">IF((E101="d"),G101," ")</f>
        <v> </v>
      </c>
      <c r="L101" s="334" t="str">
        <f aca="false">IF((E101="e"),G101," ")</f>
        <v> </v>
      </c>
      <c r="M101" s="334" t="str">
        <f aca="false">IF((E101="p"),G101," ")</f>
        <v> </v>
      </c>
      <c r="N101" s="334" t="str">
        <f aca="false">IF((E101="r"),G101," ")</f>
        <v> </v>
      </c>
      <c r="O101" s="334" t="str">
        <f aca="false">IF((E101="g"),G101," ")</f>
        <v> </v>
      </c>
      <c r="P101" s="334" t="str">
        <f aca="false">IF((E101="m"),G101," ")</f>
        <v> </v>
      </c>
      <c r="Q101" s="334" t="str">
        <f aca="false">IF((E101="t"),G101," ")</f>
        <v> </v>
      </c>
      <c r="R101" s="334" t="str">
        <f aca="false">IF((E101="a"),G101," ")</f>
        <v> </v>
      </c>
      <c r="S101" s="334" t="str">
        <f aca="false">IF((E101="l"),G101," ")</f>
        <v> </v>
      </c>
      <c r="T101" s="334" t="str">
        <f aca="false">IF((E101="b"),G101," ")</f>
        <v> </v>
      </c>
      <c r="U101" s="334" t="str">
        <f aca="false">IF((E101="i"),G101," ")</f>
        <v> </v>
      </c>
      <c r="V101" s="334" t="str">
        <f aca="false">IF((E101="o"),G101," ")</f>
        <v> </v>
      </c>
      <c r="W101" s="334" t="str">
        <f aca="false">IF((E101="f"),G101," ")</f>
        <v> </v>
      </c>
    </row>
    <row r="102" customFormat="false" ht="12.75" hidden="false" customHeight="false" outlineLevel="0" collapsed="false">
      <c r="A102" s="355"/>
      <c r="E102" s="365" t="str">
        <f aca="false">IF((G102&lt;&gt;0),"Enter Letter"," ")</f>
        <v> </v>
      </c>
      <c r="H102" s="338" t="str">
        <f aca="false">IF((G102&lt;&gt;0),IF((D102&gt;0)," ",G102)," ")</f>
        <v> </v>
      </c>
      <c r="I102" s="367" t="str">
        <f aca="false">IF((G102&lt;&gt;0),IF((D102&gt;0)," ",(I$1-A102))," ")</f>
        <v> </v>
      </c>
      <c r="J102" s="334" t="str">
        <f aca="false">IF((E102="s"),G102," ")</f>
        <v> </v>
      </c>
      <c r="K102" s="334" t="str">
        <f aca="false">IF((E102="d"),G102," ")</f>
        <v> </v>
      </c>
      <c r="L102" s="334" t="str">
        <f aca="false">IF((E102="e"),G102," ")</f>
        <v> </v>
      </c>
      <c r="M102" s="334" t="str">
        <f aca="false">IF((E102="p"),G102," ")</f>
        <v> </v>
      </c>
      <c r="N102" s="334" t="str">
        <f aca="false">IF((E102="r"),G102," ")</f>
        <v> </v>
      </c>
      <c r="O102" s="334" t="str">
        <f aca="false">IF((E102="g"),G102," ")</f>
        <v> </v>
      </c>
      <c r="P102" s="334" t="str">
        <f aca="false">IF((E102="m"),G102," ")</f>
        <v> </v>
      </c>
      <c r="Q102" s="334" t="str">
        <f aca="false">IF((E102="t"),G102," ")</f>
        <v> </v>
      </c>
      <c r="R102" s="334" t="str">
        <f aca="false">IF((E102="a"),G102," ")</f>
        <v> </v>
      </c>
      <c r="S102" s="334" t="str">
        <f aca="false">IF((E102="l"),G102," ")</f>
        <v> </v>
      </c>
      <c r="T102" s="334" t="str">
        <f aca="false">IF((E102="b"),G102," ")</f>
        <v> </v>
      </c>
      <c r="U102" s="334" t="str">
        <f aca="false">IF((E102="i"),G102," ")</f>
        <v> </v>
      </c>
      <c r="V102" s="334" t="str">
        <f aca="false">IF((E102="o"),G102," ")</f>
        <v> </v>
      </c>
      <c r="W102" s="334" t="str">
        <f aca="false">IF((E102="f"),G102," ")</f>
        <v> </v>
      </c>
    </row>
    <row r="103" customFormat="false" ht="12.75" hidden="false" customHeight="false" outlineLevel="0" collapsed="false">
      <c r="A103" s="355"/>
      <c r="E103" s="365" t="str">
        <f aca="false">IF((G103&lt;&gt;0),"Enter Letter"," ")</f>
        <v> </v>
      </c>
      <c r="H103" s="338" t="str">
        <f aca="false">IF((G103&lt;&gt;0),IF((D103&gt;0)," ",G103)," ")</f>
        <v> </v>
      </c>
      <c r="I103" s="367" t="str">
        <f aca="false">IF((G103&lt;&gt;0),IF((D103&gt;0)," ",(I$1-A103))," ")</f>
        <v> </v>
      </c>
      <c r="J103" s="334" t="str">
        <f aca="false">IF((E103="s"),G103," ")</f>
        <v> </v>
      </c>
      <c r="K103" s="334" t="str">
        <f aca="false">IF((E103="d"),G103," ")</f>
        <v> </v>
      </c>
      <c r="L103" s="334" t="str">
        <f aca="false">IF((E103="e"),G103," ")</f>
        <v> </v>
      </c>
      <c r="M103" s="334" t="str">
        <f aca="false">IF((E103="p"),G103," ")</f>
        <v> </v>
      </c>
      <c r="N103" s="334" t="str">
        <f aca="false">IF((E103="r"),G103," ")</f>
        <v> </v>
      </c>
      <c r="O103" s="334" t="str">
        <f aca="false">IF((E103="g"),G103," ")</f>
        <v> </v>
      </c>
      <c r="P103" s="334" t="str">
        <f aca="false">IF((E103="m"),G103," ")</f>
        <v> </v>
      </c>
      <c r="Q103" s="334" t="str">
        <f aca="false">IF((E103="t"),G103," ")</f>
        <v> </v>
      </c>
      <c r="R103" s="334" t="str">
        <f aca="false">IF((E103="a"),G103," ")</f>
        <v> </v>
      </c>
      <c r="S103" s="334" t="str">
        <f aca="false">IF((E103="l"),G103," ")</f>
        <v> </v>
      </c>
      <c r="T103" s="334" t="str">
        <f aca="false">IF((E103="b"),G103," ")</f>
        <v> </v>
      </c>
      <c r="U103" s="334" t="str">
        <f aca="false">IF((E103="i"),G103," ")</f>
        <v> </v>
      </c>
      <c r="V103" s="334" t="str">
        <f aca="false">IF((E103="o"),G103," ")</f>
        <v> </v>
      </c>
      <c r="W103" s="334" t="str">
        <f aca="false">IF((E103="f"),G103," ")</f>
        <v> </v>
      </c>
    </row>
    <row r="104" customFormat="false" ht="12.75" hidden="false" customHeight="false" outlineLevel="0" collapsed="false">
      <c r="A104" s="355"/>
      <c r="E104" s="365" t="str">
        <f aca="false">IF((G104&lt;&gt;0),"Enter Letter"," ")</f>
        <v> </v>
      </c>
      <c r="H104" s="338" t="str">
        <f aca="false">IF((G104&lt;&gt;0),IF((D104&gt;0)," ",G104)," ")</f>
        <v> </v>
      </c>
      <c r="I104" s="367" t="str">
        <f aca="false">IF((G104&lt;&gt;0),IF((D104&gt;0)," ",(I$1-A104))," ")</f>
        <v> </v>
      </c>
      <c r="J104" s="334" t="str">
        <f aca="false">IF((E104="s"),G104," ")</f>
        <v> </v>
      </c>
      <c r="K104" s="334" t="str">
        <f aca="false">IF((E104="d"),G104," ")</f>
        <v> </v>
      </c>
      <c r="L104" s="334" t="str">
        <f aca="false">IF((E104="e"),G104," ")</f>
        <v> </v>
      </c>
      <c r="M104" s="334" t="str">
        <f aca="false">IF((E104="p"),G104," ")</f>
        <v> </v>
      </c>
      <c r="N104" s="334" t="str">
        <f aca="false">IF((E104="r"),G104," ")</f>
        <v> </v>
      </c>
      <c r="O104" s="334" t="str">
        <f aca="false">IF((E104="g"),G104," ")</f>
        <v> </v>
      </c>
      <c r="P104" s="334" t="str">
        <f aca="false">IF((E104="m"),G104," ")</f>
        <v> </v>
      </c>
      <c r="Q104" s="334" t="str">
        <f aca="false">IF((E104="t"),G104," ")</f>
        <v> </v>
      </c>
      <c r="R104" s="334" t="str">
        <f aca="false">IF((E104="a"),G104," ")</f>
        <v> </v>
      </c>
      <c r="S104" s="334" t="str">
        <f aca="false">IF((E104="l"),G104," ")</f>
        <v> </v>
      </c>
      <c r="T104" s="334" t="str">
        <f aca="false">IF((E104="b"),G104," ")</f>
        <v> </v>
      </c>
      <c r="U104" s="334" t="str">
        <f aca="false">IF((E104="i"),G104," ")</f>
        <v> </v>
      </c>
      <c r="V104" s="334" t="str">
        <f aca="false">IF((E104="o"),G104," ")</f>
        <v> </v>
      </c>
      <c r="W104" s="334" t="str">
        <f aca="false">IF((E104="f"),G104," ")</f>
        <v> </v>
      </c>
    </row>
    <row r="105" customFormat="false" ht="12.75" hidden="false" customHeight="false" outlineLevel="0" collapsed="false">
      <c r="A105" s="355"/>
      <c r="E105" s="365" t="str">
        <f aca="false">IF((G105&lt;&gt;0),"Enter Letter"," ")</f>
        <v> </v>
      </c>
      <c r="H105" s="338" t="str">
        <f aca="false">IF((G105&lt;&gt;0),IF((D105&gt;0)," ",G105)," ")</f>
        <v> </v>
      </c>
      <c r="I105" s="367" t="str">
        <f aca="false">IF((G105&lt;&gt;0),IF((D105&gt;0)," ",(I$1-A105))," ")</f>
        <v> </v>
      </c>
      <c r="J105" s="334" t="str">
        <f aca="false">IF((E105="s"),G105," ")</f>
        <v> </v>
      </c>
      <c r="K105" s="334" t="str">
        <f aca="false">IF((E105="d"),G105," ")</f>
        <v> </v>
      </c>
      <c r="L105" s="334" t="str">
        <f aca="false">IF((E105="e"),G105," ")</f>
        <v> </v>
      </c>
      <c r="M105" s="334" t="str">
        <f aca="false">IF((E105="p"),G105," ")</f>
        <v> </v>
      </c>
      <c r="N105" s="334" t="str">
        <f aca="false">IF((E105="r"),G105," ")</f>
        <v> </v>
      </c>
      <c r="O105" s="334" t="str">
        <f aca="false">IF((E105="g"),G105," ")</f>
        <v> </v>
      </c>
      <c r="P105" s="334" t="str">
        <f aca="false">IF((E105="m"),G105," ")</f>
        <v> </v>
      </c>
      <c r="Q105" s="334" t="str">
        <f aca="false">IF((E105="t"),G105," ")</f>
        <v> </v>
      </c>
      <c r="R105" s="334" t="str">
        <f aca="false">IF((E105="a"),G105," ")</f>
        <v> </v>
      </c>
      <c r="S105" s="334" t="str">
        <f aca="false">IF((E105="l"),G105," ")</f>
        <v> </v>
      </c>
      <c r="T105" s="334" t="str">
        <f aca="false">IF((E105="b"),G105," ")</f>
        <v> </v>
      </c>
      <c r="U105" s="334" t="str">
        <f aca="false">IF((E105="i"),G105," ")</f>
        <v> </v>
      </c>
      <c r="V105" s="334" t="str">
        <f aca="false">IF((E105="o"),G105," ")</f>
        <v> </v>
      </c>
      <c r="W105" s="334" t="str">
        <f aca="false">IF((E105="f"),G105," ")</f>
        <v> </v>
      </c>
    </row>
    <row r="106" customFormat="false" ht="12.75" hidden="false" customHeight="false" outlineLevel="0" collapsed="false">
      <c r="A106" s="355"/>
      <c r="E106" s="365" t="str">
        <f aca="false">IF((G106&lt;&gt;0),"Enter Letter"," ")</f>
        <v> </v>
      </c>
      <c r="H106" s="338" t="str">
        <f aca="false">IF((G106&lt;&gt;0),IF((D106&gt;0)," ",G106)," ")</f>
        <v> </v>
      </c>
      <c r="I106" s="367" t="str">
        <f aca="false">IF((G106&lt;&gt;0),IF((D106&gt;0)," ",(I$1-A106))," ")</f>
        <v> </v>
      </c>
      <c r="J106" s="334" t="str">
        <f aca="false">IF((E106="s"),G106," ")</f>
        <v> </v>
      </c>
      <c r="K106" s="334" t="str">
        <f aca="false">IF((E106="d"),G106," ")</f>
        <v> </v>
      </c>
      <c r="L106" s="334" t="str">
        <f aca="false">IF((E106="e"),G106," ")</f>
        <v> </v>
      </c>
      <c r="M106" s="334" t="str">
        <f aca="false">IF((E106="p"),G106," ")</f>
        <v> </v>
      </c>
      <c r="N106" s="334" t="str">
        <f aca="false">IF((E106="r"),G106," ")</f>
        <v> </v>
      </c>
      <c r="O106" s="334" t="str">
        <f aca="false">IF((E106="g"),G106," ")</f>
        <v> </v>
      </c>
      <c r="P106" s="334" t="str">
        <f aca="false">IF((E106="m"),G106," ")</f>
        <v> </v>
      </c>
      <c r="Q106" s="334" t="str">
        <f aca="false">IF((E106="t"),G106," ")</f>
        <v> </v>
      </c>
      <c r="R106" s="334" t="str">
        <f aca="false">IF((E106="a"),G106," ")</f>
        <v> </v>
      </c>
      <c r="S106" s="334" t="str">
        <f aca="false">IF((E106="l"),G106," ")</f>
        <v> </v>
      </c>
      <c r="T106" s="334" t="str">
        <f aca="false">IF((E106="b"),G106," ")</f>
        <v> </v>
      </c>
      <c r="U106" s="334" t="str">
        <f aca="false">IF((E106="i"),G106," ")</f>
        <v> </v>
      </c>
      <c r="V106" s="334" t="str">
        <f aca="false">IF((E106="o"),G106," ")</f>
        <v> </v>
      </c>
      <c r="W106" s="334" t="str">
        <f aca="false">IF((E106="f"),G106," ")</f>
        <v> </v>
      </c>
    </row>
    <row r="107" customFormat="false" ht="12.75" hidden="false" customHeight="false" outlineLevel="0" collapsed="false">
      <c r="A107" s="355"/>
      <c r="E107" s="365" t="str">
        <f aca="false">IF((G107&lt;&gt;0),"Enter Letter"," ")</f>
        <v> </v>
      </c>
      <c r="H107" s="338" t="str">
        <f aca="false">IF((G107&lt;&gt;0),IF((D107&gt;0)," ",G107)," ")</f>
        <v> </v>
      </c>
      <c r="I107" s="367" t="str">
        <f aca="false">IF((G107&lt;&gt;0),IF((D107&gt;0)," ",(I$1-A107))," ")</f>
        <v> </v>
      </c>
      <c r="J107" s="334" t="str">
        <f aca="false">IF((E107="s"),G107," ")</f>
        <v> </v>
      </c>
      <c r="K107" s="334" t="str">
        <f aca="false">IF((E107="d"),G107," ")</f>
        <v> </v>
      </c>
      <c r="L107" s="334" t="str">
        <f aca="false">IF((E107="e"),G107," ")</f>
        <v> </v>
      </c>
      <c r="M107" s="334" t="str">
        <f aca="false">IF((E107="p"),G107," ")</f>
        <v> </v>
      </c>
      <c r="N107" s="334" t="str">
        <f aca="false">IF((E107="r"),G107," ")</f>
        <v> </v>
      </c>
      <c r="O107" s="334" t="str">
        <f aca="false">IF((E107="g"),G107," ")</f>
        <v> </v>
      </c>
      <c r="P107" s="334" t="str">
        <f aca="false">IF((E107="m"),G107," ")</f>
        <v> </v>
      </c>
      <c r="Q107" s="334" t="str">
        <f aca="false">IF((E107="t"),G107," ")</f>
        <v> </v>
      </c>
      <c r="R107" s="334" t="str">
        <f aca="false">IF((E107="a"),G107," ")</f>
        <v> </v>
      </c>
      <c r="S107" s="334" t="str">
        <f aca="false">IF((E107="l"),G107," ")</f>
        <v> </v>
      </c>
      <c r="T107" s="334" t="str">
        <f aca="false">IF((E107="b"),G107," ")</f>
        <v> </v>
      </c>
      <c r="U107" s="334" t="str">
        <f aca="false">IF((E107="i"),G107," ")</f>
        <v> </v>
      </c>
      <c r="V107" s="334" t="str">
        <f aca="false">IF((E107="o"),G107," ")</f>
        <v> </v>
      </c>
      <c r="W107" s="334" t="str">
        <f aca="false">IF((E107="f"),G107," ")</f>
        <v> </v>
      </c>
    </row>
    <row r="108" customFormat="false" ht="12.75" hidden="false" customHeight="false" outlineLevel="0" collapsed="false">
      <c r="A108" s="355"/>
      <c r="E108" s="365" t="str">
        <f aca="false">IF((G108&lt;&gt;0),"Enter Letter"," ")</f>
        <v> </v>
      </c>
      <c r="H108" s="338" t="str">
        <f aca="false">IF((G108&lt;&gt;0),IF((D108&gt;0)," ",G108)," ")</f>
        <v> </v>
      </c>
      <c r="I108" s="367" t="str">
        <f aca="false">IF((G108&lt;&gt;0),IF((D108&gt;0)," ",(I$1-A108))," ")</f>
        <v> </v>
      </c>
      <c r="J108" s="334" t="str">
        <f aca="false">IF((E108="s"),G108," ")</f>
        <v> </v>
      </c>
      <c r="K108" s="334" t="str">
        <f aca="false">IF((E108="d"),G108," ")</f>
        <v> </v>
      </c>
      <c r="L108" s="334" t="str">
        <f aca="false">IF((E108="e"),G108," ")</f>
        <v> </v>
      </c>
      <c r="M108" s="334" t="str">
        <f aca="false">IF((E108="p"),G108," ")</f>
        <v> </v>
      </c>
      <c r="N108" s="334" t="str">
        <f aca="false">IF((E108="r"),G108," ")</f>
        <v> </v>
      </c>
      <c r="O108" s="334" t="str">
        <f aca="false">IF((E108="g"),G108," ")</f>
        <v> </v>
      </c>
      <c r="P108" s="334" t="str">
        <f aca="false">IF((E108="m"),G108," ")</f>
        <v> </v>
      </c>
      <c r="Q108" s="334" t="str">
        <f aca="false">IF((E108="t"),G108," ")</f>
        <v> </v>
      </c>
      <c r="R108" s="334" t="str">
        <f aca="false">IF((E108="a"),G108," ")</f>
        <v> </v>
      </c>
      <c r="S108" s="334" t="str">
        <f aca="false">IF((E108="l"),G108," ")</f>
        <v> </v>
      </c>
      <c r="T108" s="334" t="str">
        <f aca="false">IF((E108="b"),G108," ")</f>
        <v> </v>
      </c>
      <c r="U108" s="334" t="str">
        <f aca="false">IF((E108="i"),G108," ")</f>
        <v> </v>
      </c>
      <c r="V108" s="334" t="str">
        <f aca="false">IF((E108="o"),G108," ")</f>
        <v> </v>
      </c>
      <c r="W108" s="334" t="str">
        <f aca="false">IF((E108="f"),G108," ")</f>
        <v> </v>
      </c>
    </row>
    <row r="109" customFormat="false" ht="12.75" hidden="false" customHeight="false" outlineLevel="0" collapsed="false">
      <c r="A109" s="355"/>
      <c r="E109" s="365" t="str">
        <f aca="false">IF((G109&lt;&gt;0),"Enter Letter"," ")</f>
        <v> </v>
      </c>
      <c r="H109" s="338" t="str">
        <f aca="false">IF((G109&lt;&gt;0),IF((D109&gt;0)," ",G109)," ")</f>
        <v> </v>
      </c>
      <c r="I109" s="367" t="str">
        <f aca="false">IF((G109&lt;&gt;0),IF((D109&gt;0)," ",(I$1-A109))," ")</f>
        <v> </v>
      </c>
      <c r="J109" s="334" t="str">
        <f aca="false">IF((E109="s"),G109," ")</f>
        <v> </v>
      </c>
      <c r="K109" s="334" t="str">
        <f aca="false">IF((E109="d"),G109," ")</f>
        <v> </v>
      </c>
      <c r="L109" s="334" t="str">
        <f aca="false">IF((E109="e"),G109," ")</f>
        <v> </v>
      </c>
      <c r="M109" s="334" t="str">
        <f aca="false">IF((E109="p"),G109," ")</f>
        <v> </v>
      </c>
      <c r="N109" s="334" t="str">
        <f aca="false">IF((E109="r"),G109," ")</f>
        <v> </v>
      </c>
      <c r="O109" s="334" t="str">
        <f aca="false">IF((E109="g"),G109," ")</f>
        <v> </v>
      </c>
      <c r="P109" s="334" t="str">
        <f aca="false">IF((E109="m"),G109," ")</f>
        <v> </v>
      </c>
      <c r="Q109" s="334" t="str">
        <f aca="false">IF((E109="t"),G109," ")</f>
        <v> </v>
      </c>
      <c r="R109" s="334" t="str">
        <f aca="false">IF((E109="a"),G109," ")</f>
        <v> </v>
      </c>
      <c r="S109" s="334" t="str">
        <f aca="false">IF((E109="l"),G109," ")</f>
        <v> </v>
      </c>
      <c r="T109" s="334" t="str">
        <f aca="false">IF((E109="b"),G109," ")</f>
        <v> </v>
      </c>
      <c r="U109" s="334" t="str">
        <f aca="false">IF((E109="i"),G109," ")</f>
        <v> </v>
      </c>
      <c r="V109" s="334" t="str">
        <f aca="false">IF((E109="o"),G109," ")</f>
        <v> </v>
      </c>
      <c r="W109" s="334" t="str">
        <f aca="false">IF((E109="f"),G109," ")</f>
        <v> </v>
      </c>
    </row>
    <row r="110" customFormat="false" ht="12.75" hidden="false" customHeight="false" outlineLevel="0" collapsed="false">
      <c r="A110" s="355"/>
      <c r="E110" s="365" t="str">
        <f aca="false">IF((G110&lt;&gt;0),"Enter Letter"," ")</f>
        <v> </v>
      </c>
      <c r="H110" s="338" t="str">
        <f aca="false">IF((G110&lt;&gt;0),IF((D110&gt;0)," ",G110)," ")</f>
        <v> </v>
      </c>
      <c r="I110" s="367" t="str">
        <f aca="false">IF((G110&lt;&gt;0),IF((D110&gt;0)," ",(I$1-A110))," ")</f>
        <v> </v>
      </c>
      <c r="J110" s="334" t="str">
        <f aca="false">IF((E110="s"),G110," ")</f>
        <v> </v>
      </c>
      <c r="K110" s="334" t="str">
        <f aca="false">IF((E110="d"),G110," ")</f>
        <v> </v>
      </c>
      <c r="L110" s="334" t="str">
        <f aca="false">IF((E110="e"),G110," ")</f>
        <v> </v>
      </c>
      <c r="M110" s="334" t="str">
        <f aca="false">IF((E110="p"),G110," ")</f>
        <v> </v>
      </c>
      <c r="N110" s="334" t="str">
        <f aca="false">IF((E110="r"),G110," ")</f>
        <v> </v>
      </c>
      <c r="O110" s="334" t="str">
        <f aca="false">IF((E110="g"),G110," ")</f>
        <v> </v>
      </c>
      <c r="P110" s="334" t="str">
        <f aca="false">IF((E110="m"),G110," ")</f>
        <v> </v>
      </c>
      <c r="Q110" s="334" t="str">
        <f aca="false">IF((E110="t"),G110," ")</f>
        <v> </v>
      </c>
      <c r="R110" s="334" t="str">
        <f aca="false">IF((E110="a"),G110," ")</f>
        <v> </v>
      </c>
      <c r="S110" s="334" t="str">
        <f aca="false">IF((E110="l"),G110," ")</f>
        <v> </v>
      </c>
      <c r="T110" s="334" t="str">
        <f aca="false">IF((E110="b"),G110," ")</f>
        <v> </v>
      </c>
      <c r="U110" s="334" t="str">
        <f aca="false">IF((E110="i"),G110," ")</f>
        <v> </v>
      </c>
      <c r="V110" s="334" t="str">
        <f aca="false">IF((E110="o"),G110," ")</f>
        <v> </v>
      </c>
      <c r="W110" s="334" t="str">
        <f aca="false">IF((E110="f"),G110," ")</f>
        <v> </v>
      </c>
    </row>
    <row r="111" customFormat="false" ht="12.75" hidden="false" customHeight="false" outlineLevel="0" collapsed="false">
      <c r="A111" s="355"/>
      <c r="E111" s="365" t="str">
        <f aca="false">IF((G111&lt;&gt;0),"Enter Letter"," ")</f>
        <v> </v>
      </c>
      <c r="H111" s="338" t="str">
        <f aca="false">IF((G111&lt;&gt;0),IF((D111&gt;0)," ",G111)," ")</f>
        <v> </v>
      </c>
      <c r="I111" s="367" t="str">
        <f aca="false">IF((G111&lt;&gt;0),IF((D111&gt;0)," ",(I$1-A111))," ")</f>
        <v> </v>
      </c>
      <c r="J111" s="334" t="str">
        <f aca="false">IF((E111="s"),G111," ")</f>
        <v> </v>
      </c>
      <c r="K111" s="334" t="str">
        <f aca="false">IF((E111="d"),G111," ")</f>
        <v> </v>
      </c>
      <c r="L111" s="334" t="str">
        <f aca="false">IF((E111="e"),G111," ")</f>
        <v> </v>
      </c>
      <c r="M111" s="334" t="str">
        <f aca="false">IF((E111="p"),G111," ")</f>
        <v> </v>
      </c>
      <c r="N111" s="334" t="str">
        <f aca="false">IF((E111="r"),G111," ")</f>
        <v> </v>
      </c>
      <c r="O111" s="334" t="str">
        <f aca="false">IF((E111="g"),G111," ")</f>
        <v> </v>
      </c>
      <c r="P111" s="334" t="str">
        <f aca="false">IF((E111="m"),G111," ")</f>
        <v> </v>
      </c>
      <c r="Q111" s="334" t="str">
        <f aca="false">IF((E111="t"),G111," ")</f>
        <v> </v>
      </c>
      <c r="R111" s="334" t="str">
        <f aca="false">IF((E111="a"),G111," ")</f>
        <v> </v>
      </c>
      <c r="S111" s="334" t="str">
        <f aca="false">IF((E111="l"),G111," ")</f>
        <v> </v>
      </c>
      <c r="T111" s="334" t="str">
        <f aca="false">IF((E111="b"),G111," ")</f>
        <v> </v>
      </c>
      <c r="U111" s="334" t="str">
        <f aca="false">IF((E111="i"),G111," ")</f>
        <v> </v>
      </c>
      <c r="V111" s="334" t="str">
        <f aca="false">IF((E111="o"),G111," ")</f>
        <v> </v>
      </c>
      <c r="W111" s="334" t="str">
        <f aca="false">IF((E111="f"),G111," ")</f>
        <v> </v>
      </c>
    </row>
    <row r="112" customFormat="false" ht="12.75" hidden="false" customHeight="false" outlineLevel="0" collapsed="false">
      <c r="A112" s="355"/>
      <c r="E112" s="365" t="str">
        <f aca="false">IF((G112&lt;&gt;0),"Enter Letter"," ")</f>
        <v> </v>
      </c>
      <c r="H112" s="338" t="str">
        <f aca="false">IF((G112&lt;&gt;0),IF((D112&gt;0)," ",G112)," ")</f>
        <v> </v>
      </c>
      <c r="I112" s="367" t="str">
        <f aca="false">IF((G112&lt;&gt;0),IF((D112&gt;0)," ",(I$1-A112))," ")</f>
        <v> </v>
      </c>
      <c r="J112" s="334" t="str">
        <f aca="false">IF((E112="s"),G112," ")</f>
        <v> </v>
      </c>
      <c r="K112" s="334" t="str">
        <f aca="false">IF((E112="d"),G112," ")</f>
        <v> </v>
      </c>
      <c r="L112" s="334" t="str">
        <f aca="false">IF((E112="e"),G112," ")</f>
        <v> </v>
      </c>
      <c r="M112" s="334" t="str">
        <f aca="false">IF((E112="p"),G112," ")</f>
        <v> </v>
      </c>
      <c r="N112" s="334" t="str">
        <f aca="false">IF((E112="r"),G112," ")</f>
        <v> </v>
      </c>
      <c r="O112" s="334" t="str">
        <f aca="false">IF((E112="g"),G112," ")</f>
        <v> </v>
      </c>
      <c r="P112" s="334" t="str">
        <f aca="false">IF((E112="m"),G112," ")</f>
        <v> </v>
      </c>
      <c r="Q112" s="334" t="str">
        <f aca="false">IF((E112="t"),G112," ")</f>
        <v> </v>
      </c>
      <c r="R112" s="334" t="str">
        <f aca="false">IF((E112="a"),G112," ")</f>
        <v> </v>
      </c>
      <c r="S112" s="334" t="str">
        <f aca="false">IF((E112="l"),G112," ")</f>
        <v> </v>
      </c>
      <c r="T112" s="334" t="str">
        <f aca="false">IF((E112="b"),G112," ")</f>
        <v> </v>
      </c>
      <c r="U112" s="334" t="str">
        <f aca="false">IF((E112="i"),G112," ")</f>
        <v> </v>
      </c>
      <c r="V112" s="334" t="str">
        <f aca="false">IF((E112="o"),G112," ")</f>
        <v> </v>
      </c>
      <c r="W112" s="334" t="str">
        <f aca="false">IF((E112="f"),G112," ")</f>
        <v> </v>
      </c>
    </row>
    <row r="113" customFormat="false" ht="12.75" hidden="false" customHeight="false" outlineLevel="0" collapsed="false">
      <c r="A113" s="355"/>
      <c r="E113" s="365" t="str">
        <f aca="false">IF((G113&lt;&gt;0),"Enter Letter"," ")</f>
        <v> </v>
      </c>
      <c r="H113" s="338" t="str">
        <f aca="false">IF((G113&lt;&gt;0),IF((D113&gt;0)," ",G113)," ")</f>
        <v> </v>
      </c>
      <c r="I113" s="367" t="str">
        <f aca="false">IF((G113&lt;&gt;0),IF((D113&gt;0)," ",(I$1-A113))," ")</f>
        <v> </v>
      </c>
      <c r="J113" s="334" t="str">
        <f aca="false">IF((E113="s"),G113," ")</f>
        <v> </v>
      </c>
      <c r="K113" s="334" t="str">
        <f aca="false">IF((E113="d"),G113," ")</f>
        <v> </v>
      </c>
      <c r="L113" s="334" t="str">
        <f aca="false">IF((E113="e"),G113," ")</f>
        <v> </v>
      </c>
      <c r="M113" s="334" t="str">
        <f aca="false">IF((E113="p"),G113," ")</f>
        <v> </v>
      </c>
      <c r="N113" s="334" t="str">
        <f aca="false">IF((E113="r"),G113," ")</f>
        <v> </v>
      </c>
      <c r="O113" s="334" t="str">
        <f aca="false">IF((E113="g"),G113," ")</f>
        <v> </v>
      </c>
      <c r="P113" s="334" t="str">
        <f aca="false">IF((E113="m"),G113," ")</f>
        <v> </v>
      </c>
      <c r="Q113" s="334" t="str">
        <f aca="false">IF((E113="t"),G113," ")</f>
        <v> </v>
      </c>
      <c r="R113" s="334" t="str">
        <f aca="false">IF((E113="a"),G113," ")</f>
        <v> </v>
      </c>
      <c r="S113" s="334" t="str">
        <f aca="false">IF((E113="l"),G113," ")</f>
        <v> </v>
      </c>
      <c r="T113" s="334" t="str">
        <f aca="false">IF((E113="b"),G113," ")</f>
        <v> </v>
      </c>
      <c r="U113" s="334" t="str">
        <f aca="false">IF((E113="i"),G113," ")</f>
        <v> </v>
      </c>
      <c r="V113" s="334" t="str">
        <f aca="false">IF((E113="o"),G113," ")</f>
        <v> </v>
      </c>
      <c r="W113" s="334" t="str">
        <f aca="false">IF((E113="f"),G113," ")</f>
        <v> </v>
      </c>
    </row>
    <row r="114" customFormat="false" ht="12.75" hidden="false" customHeight="false" outlineLevel="0" collapsed="false">
      <c r="A114" s="355"/>
      <c r="E114" s="365" t="str">
        <f aca="false">IF((G114&lt;&gt;0),"Enter Letter"," ")</f>
        <v> </v>
      </c>
      <c r="H114" s="338" t="str">
        <f aca="false">IF((G114&lt;&gt;0),IF((D114&gt;0)," ",G114)," ")</f>
        <v> </v>
      </c>
      <c r="I114" s="367" t="str">
        <f aca="false">IF((G114&lt;&gt;0),IF((D114&gt;0)," ",(I$1-A114))," ")</f>
        <v> </v>
      </c>
      <c r="J114" s="334" t="str">
        <f aca="false">IF((E114="s"),G114," ")</f>
        <v> </v>
      </c>
      <c r="K114" s="334" t="str">
        <f aca="false">IF((E114="d"),G114," ")</f>
        <v> </v>
      </c>
      <c r="L114" s="334" t="str">
        <f aca="false">IF((E114="e"),G114," ")</f>
        <v> </v>
      </c>
      <c r="M114" s="334" t="str">
        <f aca="false">IF((E114="p"),G114," ")</f>
        <v> </v>
      </c>
      <c r="N114" s="334" t="str">
        <f aca="false">IF((E114="r"),G114," ")</f>
        <v> </v>
      </c>
      <c r="O114" s="334" t="str">
        <f aca="false">IF((E114="g"),G114," ")</f>
        <v> </v>
      </c>
      <c r="P114" s="334" t="str">
        <f aca="false">IF((E114="m"),G114," ")</f>
        <v> </v>
      </c>
      <c r="Q114" s="334" t="str">
        <f aca="false">IF((E114="t"),G114," ")</f>
        <v> </v>
      </c>
      <c r="R114" s="334" t="str">
        <f aca="false">IF((E114="a"),G114," ")</f>
        <v> </v>
      </c>
      <c r="S114" s="334" t="str">
        <f aca="false">IF((E114="l"),G114," ")</f>
        <v> </v>
      </c>
      <c r="T114" s="334" t="str">
        <f aca="false">IF((E114="b"),G114," ")</f>
        <v> </v>
      </c>
      <c r="U114" s="334" t="str">
        <f aca="false">IF((E114="i"),G114," ")</f>
        <v> </v>
      </c>
      <c r="V114" s="334" t="str">
        <f aca="false">IF((E114="o"),G114," ")</f>
        <v> </v>
      </c>
      <c r="W114" s="334" t="str">
        <f aca="false">IF((E114="f"),G114," ")</f>
        <v> </v>
      </c>
    </row>
    <row r="115" customFormat="false" ht="12.75" hidden="false" customHeight="false" outlineLevel="0" collapsed="false">
      <c r="A115" s="355"/>
      <c r="E115" s="365" t="str">
        <f aca="false">IF((G115&lt;&gt;0),"Enter Letter"," ")</f>
        <v> </v>
      </c>
      <c r="H115" s="338" t="str">
        <f aca="false">IF((G115&lt;&gt;0),IF((D115&gt;0)," ",G115)," ")</f>
        <v> </v>
      </c>
      <c r="I115" s="367" t="str">
        <f aca="false">IF((G115&lt;&gt;0),IF((D115&gt;0)," ",(I$1-A115))," ")</f>
        <v> </v>
      </c>
      <c r="J115" s="334" t="str">
        <f aca="false">IF((E115="s"),G115," ")</f>
        <v> </v>
      </c>
      <c r="K115" s="334" t="str">
        <f aca="false">IF((E115="d"),G115," ")</f>
        <v> </v>
      </c>
      <c r="L115" s="334" t="str">
        <f aca="false">IF((E115="e"),G115," ")</f>
        <v> </v>
      </c>
      <c r="M115" s="334" t="str">
        <f aca="false">IF((E115="p"),G115," ")</f>
        <v> </v>
      </c>
      <c r="N115" s="334" t="str">
        <f aca="false">IF((E115="r"),G115," ")</f>
        <v> </v>
      </c>
      <c r="O115" s="334" t="str">
        <f aca="false">IF((E115="g"),G115," ")</f>
        <v> </v>
      </c>
      <c r="P115" s="334" t="str">
        <f aca="false">IF((E115="m"),G115," ")</f>
        <v> </v>
      </c>
      <c r="Q115" s="334" t="str">
        <f aca="false">IF((E115="t"),G115," ")</f>
        <v> </v>
      </c>
      <c r="R115" s="334" t="str">
        <f aca="false">IF((E115="a"),G115," ")</f>
        <v> </v>
      </c>
      <c r="S115" s="334" t="str">
        <f aca="false">IF((E115="l"),G115," ")</f>
        <v> </v>
      </c>
      <c r="T115" s="334" t="str">
        <f aca="false">IF((E115="b"),G115," ")</f>
        <v> </v>
      </c>
      <c r="U115" s="334" t="str">
        <f aca="false">IF((E115="i"),G115," ")</f>
        <v> </v>
      </c>
      <c r="V115" s="334" t="str">
        <f aca="false">IF((E115="o"),G115," ")</f>
        <v> </v>
      </c>
      <c r="W115" s="334" t="str">
        <f aca="false">IF((E115="f"),G115," ")</f>
        <v> </v>
      </c>
    </row>
    <row r="116" customFormat="false" ht="12.75" hidden="false" customHeight="false" outlineLevel="0" collapsed="false">
      <c r="A116" s="355"/>
      <c r="E116" s="365" t="str">
        <f aca="false">IF((G116&lt;&gt;0),"Enter Letter"," ")</f>
        <v> </v>
      </c>
      <c r="H116" s="338" t="str">
        <f aca="false">IF((G116&lt;&gt;0),IF((D116&gt;0)," ",G116)," ")</f>
        <v> </v>
      </c>
      <c r="I116" s="367" t="str">
        <f aca="false">IF((G116&lt;&gt;0),IF((D116&gt;0)," ",(I$1-A116))," ")</f>
        <v> </v>
      </c>
      <c r="J116" s="334" t="str">
        <f aca="false">IF((E116="s"),G116," ")</f>
        <v> </v>
      </c>
      <c r="K116" s="334" t="str">
        <f aca="false">IF((E116="d"),G116," ")</f>
        <v> </v>
      </c>
      <c r="L116" s="334" t="str">
        <f aca="false">IF((E116="e"),G116," ")</f>
        <v> </v>
      </c>
      <c r="M116" s="334" t="str">
        <f aca="false">IF((E116="p"),G116," ")</f>
        <v> </v>
      </c>
      <c r="N116" s="334" t="str">
        <f aca="false">IF((E116="r"),G116," ")</f>
        <v> </v>
      </c>
      <c r="O116" s="334" t="str">
        <f aca="false">IF((E116="g"),G116," ")</f>
        <v> </v>
      </c>
      <c r="P116" s="334" t="str">
        <f aca="false">IF((E116="m"),G116," ")</f>
        <v> </v>
      </c>
      <c r="Q116" s="334" t="str">
        <f aca="false">IF((E116="t"),G116," ")</f>
        <v> </v>
      </c>
      <c r="R116" s="334" t="str">
        <f aca="false">IF((E116="a"),G116," ")</f>
        <v> </v>
      </c>
      <c r="S116" s="334" t="str">
        <f aca="false">IF((E116="l"),G116," ")</f>
        <v> </v>
      </c>
      <c r="T116" s="334" t="str">
        <f aca="false">IF((E116="b"),G116," ")</f>
        <v> </v>
      </c>
      <c r="U116" s="334" t="str">
        <f aca="false">IF((E116="i"),G116," ")</f>
        <v> </v>
      </c>
      <c r="V116" s="334" t="str">
        <f aca="false">IF((E116="o"),G116," ")</f>
        <v> </v>
      </c>
      <c r="W116" s="334" t="str">
        <f aca="false">IF((E116="f"),G116," ")</f>
        <v> </v>
      </c>
    </row>
    <row r="117" customFormat="false" ht="12.75" hidden="false" customHeight="false" outlineLevel="0" collapsed="false">
      <c r="A117" s="355"/>
      <c r="E117" s="365" t="str">
        <f aca="false">IF((G117&lt;&gt;0),"Enter Letter"," ")</f>
        <v> </v>
      </c>
      <c r="H117" s="338" t="str">
        <f aca="false">IF((G117&lt;&gt;0),IF((D117&gt;0)," ",G117)," ")</f>
        <v> </v>
      </c>
      <c r="I117" s="367" t="str">
        <f aca="false">IF((G117&lt;&gt;0),IF((D117&gt;0)," ",(I$1-A117))," ")</f>
        <v> </v>
      </c>
      <c r="J117" s="334" t="str">
        <f aca="false">IF((E117="s"),G117," ")</f>
        <v> </v>
      </c>
      <c r="K117" s="334" t="str">
        <f aca="false">IF((E117="d"),G117," ")</f>
        <v> </v>
      </c>
      <c r="L117" s="334" t="str">
        <f aca="false">IF((E117="e"),G117," ")</f>
        <v> </v>
      </c>
      <c r="M117" s="334" t="str">
        <f aca="false">IF((E117="p"),G117," ")</f>
        <v> </v>
      </c>
      <c r="N117" s="334" t="str">
        <f aca="false">IF((E117="r"),G117," ")</f>
        <v> </v>
      </c>
      <c r="O117" s="334" t="str">
        <f aca="false">IF((E117="g"),G117," ")</f>
        <v> </v>
      </c>
      <c r="P117" s="334" t="str">
        <f aca="false">IF((E117="m"),G117," ")</f>
        <v> </v>
      </c>
      <c r="Q117" s="334" t="str">
        <f aca="false">IF((E117="t"),G117," ")</f>
        <v> </v>
      </c>
      <c r="R117" s="334" t="str">
        <f aca="false">IF((E117="a"),G117," ")</f>
        <v> </v>
      </c>
      <c r="S117" s="334" t="str">
        <f aca="false">IF((E117="l"),G117," ")</f>
        <v> </v>
      </c>
      <c r="T117" s="334" t="str">
        <f aca="false">IF((E117="b"),G117," ")</f>
        <v> </v>
      </c>
      <c r="U117" s="334" t="str">
        <f aca="false">IF((E117="i"),G117," ")</f>
        <v> </v>
      </c>
      <c r="V117" s="334" t="str">
        <f aca="false">IF((E117="o"),G117," ")</f>
        <v> </v>
      </c>
      <c r="W117" s="334" t="str">
        <f aca="false">IF((E117="f"),G117," ")</f>
        <v> </v>
      </c>
    </row>
    <row r="118" customFormat="false" ht="12.75" hidden="false" customHeight="false" outlineLevel="0" collapsed="false">
      <c r="A118" s="355"/>
      <c r="E118" s="365" t="str">
        <f aca="false">IF((G118&lt;&gt;0),"Enter Letter"," ")</f>
        <v> </v>
      </c>
      <c r="H118" s="338" t="str">
        <f aca="false">IF((G118&lt;&gt;0),IF((D118&gt;0)," ",G118)," ")</f>
        <v> </v>
      </c>
      <c r="I118" s="367" t="str">
        <f aca="false">IF((G118&lt;&gt;0),IF((D118&gt;0)," ",(I$1-A118))," ")</f>
        <v> </v>
      </c>
      <c r="J118" s="334" t="str">
        <f aca="false">IF((E118="s"),G118," ")</f>
        <v> </v>
      </c>
      <c r="K118" s="334" t="str">
        <f aca="false">IF((E118="d"),G118," ")</f>
        <v> </v>
      </c>
      <c r="L118" s="334" t="str">
        <f aca="false">IF((E118="e"),G118," ")</f>
        <v> </v>
      </c>
      <c r="M118" s="334" t="str">
        <f aca="false">IF((E118="p"),G118," ")</f>
        <v> </v>
      </c>
      <c r="N118" s="334" t="str">
        <f aca="false">IF((E118="r"),G118," ")</f>
        <v> </v>
      </c>
      <c r="O118" s="334" t="str">
        <f aca="false">IF((E118="g"),G118," ")</f>
        <v> </v>
      </c>
      <c r="P118" s="334" t="str">
        <f aca="false">IF((E118="m"),G118," ")</f>
        <v> </v>
      </c>
      <c r="Q118" s="334" t="str">
        <f aca="false">IF((E118="t"),G118," ")</f>
        <v> </v>
      </c>
      <c r="R118" s="334" t="str">
        <f aca="false">IF((E118="a"),G118," ")</f>
        <v> </v>
      </c>
      <c r="S118" s="334" t="str">
        <f aca="false">IF((E118="l"),G118," ")</f>
        <v> </v>
      </c>
      <c r="T118" s="334" t="str">
        <f aca="false">IF((E118="b"),G118," ")</f>
        <v> </v>
      </c>
      <c r="U118" s="334" t="str">
        <f aca="false">IF((E118="i"),G118," ")</f>
        <v> </v>
      </c>
      <c r="V118" s="334" t="str">
        <f aca="false">IF((E118="o"),G118," ")</f>
        <v> </v>
      </c>
      <c r="W118" s="334" t="str">
        <f aca="false">IF((E118="f"),G118," ")</f>
        <v> </v>
      </c>
    </row>
    <row r="119" customFormat="false" ht="12.75" hidden="false" customHeight="false" outlineLevel="0" collapsed="false">
      <c r="A119" s="355"/>
      <c r="E119" s="365" t="str">
        <f aca="false">IF((G119&lt;&gt;0),"Enter Letter"," ")</f>
        <v> </v>
      </c>
      <c r="H119" s="338" t="str">
        <f aca="false">IF((G119&lt;&gt;0),IF((D119&gt;0)," ",G119)," ")</f>
        <v> </v>
      </c>
      <c r="I119" s="367" t="str">
        <f aca="false">IF((G119&lt;&gt;0),IF((D119&gt;0)," ",(I$1-A119))," ")</f>
        <v> </v>
      </c>
      <c r="J119" s="334" t="str">
        <f aca="false">IF((E119="s"),G119," ")</f>
        <v> </v>
      </c>
      <c r="K119" s="334" t="str">
        <f aca="false">IF((E119="d"),G119," ")</f>
        <v> </v>
      </c>
      <c r="L119" s="334" t="str">
        <f aca="false">IF((E119="e"),G119," ")</f>
        <v> </v>
      </c>
      <c r="M119" s="334" t="str">
        <f aca="false">IF((E119="p"),G119," ")</f>
        <v> </v>
      </c>
      <c r="N119" s="334" t="str">
        <f aca="false">IF((E119="r"),G119," ")</f>
        <v> </v>
      </c>
      <c r="O119" s="334" t="str">
        <f aca="false">IF((E119="g"),G119," ")</f>
        <v> </v>
      </c>
      <c r="P119" s="334" t="str">
        <f aca="false">IF((E119="m"),G119," ")</f>
        <v> </v>
      </c>
      <c r="Q119" s="334" t="str">
        <f aca="false">IF((E119="t"),G119," ")</f>
        <v> </v>
      </c>
      <c r="R119" s="334" t="str">
        <f aca="false">IF((E119="a"),G119," ")</f>
        <v> </v>
      </c>
      <c r="S119" s="334" t="str">
        <f aca="false">IF((E119="l"),G119," ")</f>
        <v> </v>
      </c>
      <c r="T119" s="334" t="str">
        <f aca="false">IF((E119="b"),G119," ")</f>
        <v> </v>
      </c>
      <c r="U119" s="334" t="str">
        <f aca="false">IF((E119="i"),G119," ")</f>
        <v> </v>
      </c>
      <c r="V119" s="334" t="str">
        <f aca="false">IF((E119="o"),G119," ")</f>
        <v> </v>
      </c>
      <c r="W119" s="334" t="str">
        <f aca="false">IF((E119="f"),G119," ")</f>
        <v> </v>
      </c>
    </row>
    <row r="120" customFormat="false" ht="12.75" hidden="false" customHeight="false" outlineLevel="0" collapsed="false">
      <c r="A120" s="355"/>
      <c r="E120" s="365" t="str">
        <f aca="false">IF((G120&lt;&gt;0),"Enter Letter"," ")</f>
        <v> </v>
      </c>
      <c r="H120" s="338" t="str">
        <f aca="false">IF((G120&lt;&gt;0),IF((D120&gt;0)," ",G120)," ")</f>
        <v> </v>
      </c>
      <c r="I120" s="367" t="str">
        <f aca="false">IF((G120&lt;&gt;0),IF((D120&gt;0)," ",(I$1-A120))," ")</f>
        <v> </v>
      </c>
      <c r="J120" s="334" t="str">
        <f aca="false">IF((E120="s"),G120," ")</f>
        <v> </v>
      </c>
      <c r="K120" s="334" t="str">
        <f aca="false">IF((E120="d"),G120," ")</f>
        <v> </v>
      </c>
      <c r="L120" s="334" t="str">
        <f aca="false">IF((E120="e"),G120," ")</f>
        <v> </v>
      </c>
      <c r="M120" s="334" t="str">
        <f aca="false">IF((E120="p"),G120," ")</f>
        <v> </v>
      </c>
      <c r="N120" s="334" t="str">
        <f aca="false">IF((E120="r"),G120," ")</f>
        <v> </v>
      </c>
      <c r="O120" s="334" t="str">
        <f aca="false">IF((E120="g"),G120," ")</f>
        <v> </v>
      </c>
      <c r="P120" s="334" t="str">
        <f aca="false">IF((E120="m"),G120," ")</f>
        <v> </v>
      </c>
      <c r="Q120" s="334" t="str">
        <f aca="false">IF((E120="t"),G120," ")</f>
        <v> </v>
      </c>
      <c r="R120" s="334" t="str">
        <f aca="false">IF((E120="a"),G120," ")</f>
        <v> </v>
      </c>
      <c r="S120" s="334" t="str">
        <f aca="false">IF((E120="l"),G120," ")</f>
        <v> </v>
      </c>
      <c r="T120" s="334" t="str">
        <f aca="false">IF((E120="b"),G120," ")</f>
        <v> </v>
      </c>
      <c r="U120" s="334" t="str">
        <f aca="false">IF((E120="i"),G120," ")</f>
        <v> </v>
      </c>
      <c r="V120" s="334" t="str">
        <f aca="false">IF((E120="o"),G120," ")</f>
        <v> </v>
      </c>
      <c r="W120" s="334" t="str">
        <f aca="false">IF((E120="f"),G120," ")</f>
        <v> </v>
      </c>
    </row>
    <row r="121" customFormat="false" ht="12.75" hidden="false" customHeight="false" outlineLevel="0" collapsed="false">
      <c r="A121" s="355"/>
      <c r="E121" s="365" t="str">
        <f aca="false">IF((G121&lt;&gt;0),"Enter Letter"," ")</f>
        <v> </v>
      </c>
      <c r="H121" s="338" t="str">
        <f aca="false">IF((G121&lt;&gt;0),IF((D121&gt;0)," ",G121)," ")</f>
        <v> </v>
      </c>
      <c r="I121" s="367" t="str">
        <f aca="false">IF((G121&lt;&gt;0),IF((D121&gt;0)," ",(I$1-A121))," ")</f>
        <v> </v>
      </c>
      <c r="J121" s="334" t="str">
        <f aca="false">IF((E121="s"),G121," ")</f>
        <v> </v>
      </c>
      <c r="K121" s="334" t="str">
        <f aca="false">IF((E121="d"),G121," ")</f>
        <v> </v>
      </c>
      <c r="L121" s="334" t="str">
        <f aca="false">IF((E121="e"),G121," ")</f>
        <v> </v>
      </c>
      <c r="M121" s="334" t="str">
        <f aca="false">IF((E121="p"),G121," ")</f>
        <v> </v>
      </c>
      <c r="N121" s="334" t="str">
        <f aca="false">IF((E121="r"),G121," ")</f>
        <v> </v>
      </c>
      <c r="O121" s="334" t="str">
        <f aca="false">IF((E121="g"),G121," ")</f>
        <v> </v>
      </c>
      <c r="P121" s="334" t="str">
        <f aca="false">IF((E121="m"),G121," ")</f>
        <v> </v>
      </c>
      <c r="Q121" s="334" t="str">
        <f aca="false">IF((E121="t"),G121," ")</f>
        <v> </v>
      </c>
      <c r="R121" s="334" t="str">
        <f aca="false">IF((E121="a"),G121," ")</f>
        <v> </v>
      </c>
      <c r="S121" s="334" t="str">
        <f aca="false">IF((E121="l"),G121," ")</f>
        <v> </v>
      </c>
      <c r="T121" s="334" t="str">
        <f aca="false">IF((E121="b"),G121," ")</f>
        <v> </v>
      </c>
      <c r="U121" s="334" t="str">
        <f aca="false">IF((E121="i"),G121," ")</f>
        <v> </v>
      </c>
      <c r="V121" s="334" t="str">
        <f aca="false">IF((E121="o"),G121," ")</f>
        <v> </v>
      </c>
      <c r="W121" s="334" t="str">
        <f aca="false">IF((E121="f"),G121," ")</f>
        <v> </v>
      </c>
    </row>
    <row r="122" customFormat="false" ht="12.75" hidden="false" customHeight="false" outlineLevel="0" collapsed="false">
      <c r="A122" s="355"/>
      <c r="E122" s="365" t="str">
        <f aca="false">IF((G122&lt;&gt;0),"Enter Letter"," ")</f>
        <v> </v>
      </c>
      <c r="H122" s="338" t="str">
        <f aca="false">IF((G122&lt;&gt;0),IF((D122&gt;0)," ",G122)," ")</f>
        <v> </v>
      </c>
      <c r="I122" s="367" t="str">
        <f aca="false">IF((G122&lt;&gt;0),IF((D122&gt;0)," ",(I$1-A122))," ")</f>
        <v> </v>
      </c>
      <c r="J122" s="334" t="str">
        <f aca="false">IF((E122="s"),G122," ")</f>
        <v> </v>
      </c>
      <c r="K122" s="334" t="str">
        <f aca="false">IF((E122="d"),G122," ")</f>
        <v> </v>
      </c>
      <c r="L122" s="334" t="str">
        <f aca="false">IF((E122="e"),G122," ")</f>
        <v> </v>
      </c>
      <c r="M122" s="334" t="str">
        <f aca="false">IF((E122="p"),G122," ")</f>
        <v> </v>
      </c>
      <c r="N122" s="334" t="str">
        <f aca="false">IF((E122="r"),G122," ")</f>
        <v> </v>
      </c>
      <c r="O122" s="334" t="str">
        <f aca="false">IF((E122="g"),G122," ")</f>
        <v> </v>
      </c>
      <c r="P122" s="334" t="str">
        <f aca="false">IF((E122="m"),G122," ")</f>
        <v> </v>
      </c>
      <c r="Q122" s="334" t="str">
        <f aca="false">IF((E122="t"),G122," ")</f>
        <v> </v>
      </c>
      <c r="R122" s="334" t="str">
        <f aca="false">IF((E122="a"),G122," ")</f>
        <v> </v>
      </c>
      <c r="S122" s="334" t="str">
        <f aca="false">IF((E122="l"),G122," ")</f>
        <v> </v>
      </c>
      <c r="T122" s="334" t="str">
        <f aca="false">IF((E122="b"),G122," ")</f>
        <v> </v>
      </c>
      <c r="U122" s="334" t="str">
        <f aca="false">IF((E122="i"),G122," ")</f>
        <v> </v>
      </c>
      <c r="V122" s="334" t="str">
        <f aca="false">IF((E122="o"),G122," ")</f>
        <v> </v>
      </c>
      <c r="W122" s="334" t="str">
        <f aca="false">IF((E122="f"),G122," ")</f>
        <v> </v>
      </c>
    </row>
    <row r="123" customFormat="false" ht="12.75" hidden="false" customHeight="false" outlineLevel="0" collapsed="false">
      <c r="A123" s="355"/>
      <c r="E123" s="365" t="str">
        <f aca="false">IF((G123&lt;&gt;0),"Enter Letter"," ")</f>
        <v> </v>
      </c>
      <c r="H123" s="338" t="str">
        <f aca="false">IF((G123&lt;&gt;0),IF((D123&gt;0)," ",G123)," ")</f>
        <v> </v>
      </c>
      <c r="I123" s="367" t="str">
        <f aca="false">IF((G123&lt;&gt;0),IF((D123&gt;0)," ",(I$1-A123))," ")</f>
        <v> </v>
      </c>
      <c r="J123" s="334" t="str">
        <f aca="false">IF((E123="s"),G123," ")</f>
        <v> </v>
      </c>
      <c r="K123" s="334" t="str">
        <f aca="false">IF((E123="d"),G123," ")</f>
        <v> </v>
      </c>
      <c r="L123" s="334" t="str">
        <f aca="false">IF((E123="e"),G123," ")</f>
        <v> </v>
      </c>
      <c r="M123" s="334" t="str">
        <f aca="false">IF((E123="p"),G123," ")</f>
        <v> </v>
      </c>
      <c r="N123" s="334" t="str">
        <f aca="false">IF((E123="r"),G123," ")</f>
        <v> </v>
      </c>
      <c r="O123" s="334" t="str">
        <f aca="false">IF((E123="g"),G123," ")</f>
        <v> </v>
      </c>
      <c r="P123" s="334" t="str">
        <f aca="false">IF((E123="m"),G123," ")</f>
        <v> </v>
      </c>
      <c r="Q123" s="334" t="str">
        <f aca="false">IF((E123="t"),G123," ")</f>
        <v> </v>
      </c>
      <c r="R123" s="334" t="str">
        <f aca="false">IF((E123="a"),G123," ")</f>
        <v> </v>
      </c>
      <c r="S123" s="334" t="str">
        <f aca="false">IF((E123="l"),G123," ")</f>
        <v> </v>
      </c>
      <c r="T123" s="334" t="str">
        <f aca="false">IF((E123="b"),G123," ")</f>
        <v> </v>
      </c>
      <c r="U123" s="334" t="str">
        <f aca="false">IF((E123="i"),G123," ")</f>
        <v> </v>
      </c>
      <c r="V123" s="334" t="str">
        <f aca="false">IF((E123="o"),G123," ")</f>
        <v> </v>
      </c>
      <c r="W123" s="334" t="str">
        <f aca="false">IF((E123="f"),G123," ")</f>
        <v> </v>
      </c>
    </row>
    <row r="124" customFormat="false" ht="12.75" hidden="false" customHeight="false" outlineLevel="0" collapsed="false">
      <c r="A124" s="355"/>
      <c r="E124" s="365" t="str">
        <f aca="false">IF((G124&lt;&gt;0),"Enter Letter"," ")</f>
        <v> </v>
      </c>
      <c r="H124" s="338" t="str">
        <f aca="false">IF((G124&lt;&gt;0),IF((D124&gt;0)," ",G124)," ")</f>
        <v> </v>
      </c>
      <c r="I124" s="367" t="str">
        <f aca="false">IF((G124&lt;&gt;0),IF((D124&gt;0)," ",(I$1-A124))," ")</f>
        <v> </v>
      </c>
      <c r="J124" s="334" t="str">
        <f aca="false">IF((E124="s"),G124," ")</f>
        <v> </v>
      </c>
      <c r="K124" s="334" t="str">
        <f aca="false">IF((E124="d"),G124," ")</f>
        <v> </v>
      </c>
      <c r="L124" s="334" t="str">
        <f aca="false">IF((E124="e"),G124," ")</f>
        <v> </v>
      </c>
      <c r="M124" s="334" t="str">
        <f aca="false">IF((E124="p"),G124," ")</f>
        <v> </v>
      </c>
      <c r="N124" s="334" t="str">
        <f aca="false">IF((E124="r"),G124," ")</f>
        <v> </v>
      </c>
      <c r="O124" s="334" t="str">
        <f aca="false">IF((E124="g"),G124," ")</f>
        <v> </v>
      </c>
      <c r="P124" s="334" t="str">
        <f aca="false">IF((E124="m"),G124," ")</f>
        <v> </v>
      </c>
      <c r="Q124" s="334" t="str">
        <f aca="false">IF((E124="t"),G124," ")</f>
        <v> </v>
      </c>
      <c r="R124" s="334" t="str">
        <f aca="false">IF((E124="a"),G124," ")</f>
        <v> </v>
      </c>
      <c r="S124" s="334" t="str">
        <f aca="false">IF((E124="l"),G124," ")</f>
        <v> </v>
      </c>
      <c r="T124" s="334" t="str">
        <f aca="false">IF((E124="b"),G124," ")</f>
        <v> </v>
      </c>
      <c r="U124" s="334" t="str">
        <f aca="false">IF((E124="i"),G124," ")</f>
        <v> </v>
      </c>
      <c r="V124" s="334" t="str">
        <f aca="false">IF((E124="o"),G124," ")</f>
        <v> </v>
      </c>
      <c r="W124" s="334" t="str">
        <f aca="false">IF((E124="f"),G124," ")</f>
        <v> </v>
      </c>
    </row>
    <row r="125" customFormat="false" ht="12.75" hidden="false" customHeight="false" outlineLevel="0" collapsed="false">
      <c r="A125" s="355"/>
      <c r="E125" s="365" t="str">
        <f aca="false">IF((G125&lt;&gt;0),"Enter Letter"," ")</f>
        <v> </v>
      </c>
      <c r="H125" s="338" t="str">
        <f aca="false">IF((G125&lt;&gt;0),IF((D125&gt;0)," ",G125)," ")</f>
        <v> </v>
      </c>
      <c r="I125" s="367" t="str">
        <f aca="false">IF((G125&lt;&gt;0),IF((D125&gt;0)," ",(I$1-A125))," ")</f>
        <v> </v>
      </c>
      <c r="J125" s="334" t="str">
        <f aca="false">IF((E125="s"),G125," ")</f>
        <v> </v>
      </c>
      <c r="K125" s="334" t="str">
        <f aca="false">IF((E125="d"),G125," ")</f>
        <v> </v>
      </c>
      <c r="L125" s="334" t="str">
        <f aca="false">IF((E125="e"),G125," ")</f>
        <v> </v>
      </c>
      <c r="M125" s="334" t="str">
        <f aca="false">IF((E125="p"),G125," ")</f>
        <v> </v>
      </c>
      <c r="N125" s="334" t="str">
        <f aca="false">IF((E125="r"),G125," ")</f>
        <v> </v>
      </c>
      <c r="O125" s="334" t="str">
        <f aca="false">IF((E125="g"),G125," ")</f>
        <v> </v>
      </c>
      <c r="P125" s="334" t="str">
        <f aca="false">IF((E125="m"),G125," ")</f>
        <v> </v>
      </c>
      <c r="Q125" s="334" t="str">
        <f aca="false">IF((E125="t"),G125," ")</f>
        <v> </v>
      </c>
      <c r="R125" s="334" t="str">
        <f aca="false">IF((E125="a"),G125," ")</f>
        <v> </v>
      </c>
      <c r="S125" s="334" t="str">
        <f aca="false">IF((E125="l"),G125," ")</f>
        <v> </v>
      </c>
      <c r="T125" s="334" t="str">
        <f aca="false">IF((E125="b"),G125," ")</f>
        <v> </v>
      </c>
      <c r="U125" s="334" t="str">
        <f aca="false">IF((E125="i"),G125," ")</f>
        <v> </v>
      </c>
      <c r="V125" s="334" t="str">
        <f aca="false">IF((E125="o"),G125," ")</f>
        <v> </v>
      </c>
      <c r="W125" s="334" t="str">
        <f aca="false">IF((E125="f"),G125," ")</f>
        <v> </v>
      </c>
    </row>
    <row r="126" customFormat="false" ht="12.75" hidden="false" customHeight="false" outlineLevel="0" collapsed="false">
      <c r="A126" s="355"/>
      <c r="E126" s="365" t="str">
        <f aca="false">IF((G126&lt;&gt;0),"Enter Letter"," ")</f>
        <v> </v>
      </c>
      <c r="H126" s="338" t="str">
        <f aca="false">IF((G126&lt;&gt;0),IF((D126&gt;0)," ",G126)," ")</f>
        <v> </v>
      </c>
      <c r="I126" s="367" t="str">
        <f aca="false">IF((G126&lt;&gt;0),IF((D126&gt;0)," ",(I$1-A126))," ")</f>
        <v> </v>
      </c>
      <c r="J126" s="334" t="str">
        <f aca="false">IF((E126="s"),G126," ")</f>
        <v> </v>
      </c>
      <c r="K126" s="334" t="str">
        <f aca="false">IF((E126="d"),G126," ")</f>
        <v> </v>
      </c>
      <c r="L126" s="334" t="str">
        <f aca="false">IF((E126="e"),G126," ")</f>
        <v> </v>
      </c>
      <c r="M126" s="334" t="str">
        <f aca="false">IF((E126="p"),G126," ")</f>
        <v> </v>
      </c>
      <c r="N126" s="334" t="str">
        <f aca="false">IF((E126="r"),G126," ")</f>
        <v> </v>
      </c>
      <c r="O126" s="334" t="str">
        <f aca="false">IF((E126="g"),G126," ")</f>
        <v> </v>
      </c>
      <c r="P126" s="334" t="str">
        <f aca="false">IF((E126="m"),G126," ")</f>
        <v> </v>
      </c>
      <c r="Q126" s="334" t="str">
        <f aca="false">IF((E126="t"),G126," ")</f>
        <v> </v>
      </c>
      <c r="R126" s="334" t="str">
        <f aca="false">IF((E126="a"),G126," ")</f>
        <v> </v>
      </c>
      <c r="S126" s="334" t="str">
        <f aca="false">IF((E126="l"),G126," ")</f>
        <v> </v>
      </c>
      <c r="T126" s="334" t="str">
        <f aca="false">IF((E126="b"),G126," ")</f>
        <v> </v>
      </c>
      <c r="U126" s="334" t="str">
        <f aca="false">IF((E126="i"),G126," ")</f>
        <v> </v>
      </c>
      <c r="V126" s="334" t="str">
        <f aca="false">IF((E126="o"),G126," ")</f>
        <v> </v>
      </c>
      <c r="W126" s="334" t="str">
        <f aca="false">IF((E126="f"),G126," ")</f>
        <v> </v>
      </c>
    </row>
    <row r="127" customFormat="false" ht="12.75" hidden="false" customHeight="false" outlineLevel="0" collapsed="false">
      <c r="A127" s="355"/>
      <c r="E127" s="365" t="str">
        <f aca="false">IF((G127&lt;&gt;0),"Enter Letter"," ")</f>
        <v> </v>
      </c>
      <c r="H127" s="338" t="str">
        <f aca="false">IF((G127&lt;&gt;0),IF((D127&gt;0)," ",G127)," ")</f>
        <v> </v>
      </c>
      <c r="I127" s="367" t="str">
        <f aca="false">IF((G127&lt;&gt;0),IF((D127&gt;0)," ",(I$1-A127))," ")</f>
        <v> </v>
      </c>
      <c r="J127" s="334" t="str">
        <f aca="false">IF((E127="s"),G127," ")</f>
        <v> </v>
      </c>
      <c r="K127" s="334" t="str">
        <f aca="false">IF((E127="d"),G127," ")</f>
        <v> </v>
      </c>
      <c r="L127" s="334" t="str">
        <f aca="false">IF((E127="e"),G127," ")</f>
        <v> </v>
      </c>
      <c r="M127" s="334" t="str">
        <f aca="false">IF((E127="p"),G127," ")</f>
        <v> </v>
      </c>
      <c r="N127" s="334" t="str">
        <f aca="false">IF((E127="r"),G127," ")</f>
        <v> </v>
      </c>
      <c r="O127" s="334" t="str">
        <f aca="false">IF((E127="g"),G127," ")</f>
        <v> </v>
      </c>
      <c r="P127" s="334" t="str">
        <f aca="false">IF((E127="m"),G127," ")</f>
        <v> </v>
      </c>
      <c r="Q127" s="334" t="str">
        <f aca="false">IF((E127="t"),G127," ")</f>
        <v> </v>
      </c>
      <c r="R127" s="334" t="str">
        <f aca="false">IF((E127="a"),G127," ")</f>
        <v> </v>
      </c>
      <c r="S127" s="334" t="str">
        <f aca="false">IF((E127="l"),G127," ")</f>
        <v> </v>
      </c>
      <c r="T127" s="334" t="str">
        <f aca="false">IF((E127="b"),G127," ")</f>
        <v> </v>
      </c>
      <c r="U127" s="334" t="str">
        <f aca="false">IF((E127="i"),G127," ")</f>
        <v> </v>
      </c>
      <c r="V127" s="334" t="str">
        <f aca="false">IF((E127="o"),G127," ")</f>
        <v> </v>
      </c>
      <c r="W127" s="334" t="str">
        <f aca="false">IF((E127="f"),G127," ")</f>
        <v> </v>
      </c>
    </row>
    <row r="128" customFormat="false" ht="12.75" hidden="false" customHeight="false" outlineLevel="0" collapsed="false">
      <c r="A128" s="355"/>
      <c r="E128" s="365" t="str">
        <f aca="false">IF((G128&lt;&gt;0),"Enter Letter"," ")</f>
        <v> </v>
      </c>
      <c r="H128" s="338" t="str">
        <f aca="false">IF((G128&lt;&gt;0),IF((D128&gt;0)," ",G128)," ")</f>
        <v> </v>
      </c>
      <c r="I128" s="367" t="str">
        <f aca="false">IF((G128&lt;&gt;0),IF((D128&gt;0)," ",(I$1-A128))," ")</f>
        <v> </v>
      </c>
      <c r="J128" s="334" t="str">
        <f aca="false">IF((E128="s"),G128," ")</f>
        <v> </v>
      </c>
      <c r="K128" s="334" t="str">
        <f aca="false">IF((E128="d"),G128," ")</f>
        <v> </v>
      </c>
      <c r="L128" s="334" t="str">
        <f aca="false">IF((E128="e"),G128," ")</f>
        <v> </v>
      </c>
      <c r="M128" s="334" t="str">
        <f aca="false">IF((E128="p"),G128," ")</f>
        <v> </v>
      </c>
      <c r="N128" s="334" t="str">
        <f aca="false">IF((E128="r"),G128," ")</f>
        <v> </v>
      </c>
      <c r="O128" s="334" t="str">
        <f aca="false">IF((E128="g"),G128," ")</f>
        <v> </v>
      </c>
      <c r="P128" s="334" t="str">
        <f aca="false">IF((E128="m"),G128," ")</f>
        <v> </v>
      </c>
      <c r="Q128" s="334" t="str">
        <f aca="false">IF((E128="t"),G128," ")</f>
        <v> </v>
      </c>
      <c r="R128" s="334" t="str">
        <f aca="false">IF((E128="a"),G128," ")</f>
        <v> </v>
      </c>
      <c r="S128" s="334" t="str">
        <f aca="false">IF((E128="l"),G128," ")</f>
        <v> </v>
      </c>
      <c r="T128" s="334" t="str">
        <f aca="false">IF((E128="b"),G128," ")</f>
        <v> </v>
      </c>
      <c r="U128" s="334" t="str">
        <f aca="false">IF((E128="i"),G128," ")</f>
        <v> </v>
      </c>
      <c r="V128" s="334" t="str">
        <f aca="false">IF((E128="o"),G128," ")</f>
        <v> </v>
      </c>
      <c r="W128" s="334" t="str">
        <f aca="false">IF((E128="f"),G128," ")</f>
        <v> </v>
      </c>
    </row>
    <row r="129" customFormat="false" ht="12.75" hidden="false" customHeight="false" outlineLevel="0" collapsed="false">
      <c r="A129" s="355"/>
      <c r="E129" s="365" t="str">
        <f aca="false">IF((G129&lt;&gt;0),"Enter Letter"," ")</f>
        <v> </v>
      </c>
      <c r="H129" s="338" t="str">
        <f aca="false">IF((G129&lt;&gt;0),IF((D129&gt;0)," ",G129)," ")</f>
        <v> </v>
      </c>
      <c r="I129" s="367" t="str">
        <f aca="false">IF((G129&lt;&gt;0),IF((D129&gt;0)," ",(I$1-A129))," ")</f>
        <v> </v>
      </c>
      <c r="J129" s="334" t="str">
        <f aca="false">IF((E129="s"),G129," ")</f>
        <v> </v>
      </c>
      <c r="K129" s="334" t="str">
        <f aca="false">IF((E129="d"),G129," ")</f>
        <v> </v>
      </c>
      <c r="L129" s="334" t="str">
        <f aca="false">IF((E129="e"),G129," ")</f>
        <v> </v>
      </c>
      <c r="M129" s="334" t="str">
        <f aca="false">IF((E129="p"),G129," ")</f>
        <v> </v>
      </c>
      <c r="N129" s="334" t="str">
        <f aca="false">IF((E129="r"),G129," ")</f>
        <v> </v>
      </c>
      <c r="O129" s="334" t="str">
        <f aca="false">IF((E129="g"),G129," ")</f>
        <v> </v>
      </c>
      <c r="P129" s="334" t="str">
        <f aca="false">IF((E129="m"),G129," ")</f>
        <v> </v>
      </c>
      <c r="Q129" s="334" t="str">
        <f aca="false">IF((E129="t"),G129," ")</f>
        <v> </v>
      </c>
      <c r="R129" s="334" t="str">
        <f aca="false">IF((E129="a"),G129," ")</f>
        <v> </v>
      </c>
      <c r="S129" s="334" t="str">
        <f aca="false">IF((E129="l"),G129," ")</f>
        <v> </v>
      </c>
      <c r="T129" s="334" t="str">
        <f aca="false">IF((E129="b"),G129," ")</f>
        <v> </v>
      </c>
      <c r="U129" s="334" t="str">
        <f aca="false">IF((E129="i"),G129," ")</f>
        <v> </v>
      </c>
      <c r="V129" s="334" t="str">
        <f aca="false">IF((E129="o"),G129," ")</f>
        <v> </v>
      </c>
      <c r="W129" s="334" t="str">
        <f aca="false">IF((E129="f"),G129," ")</f>
        <v> </v>
      </c>
    </row>
    <row r="130" customFormat="false" ht="12.75" hidden="false" customHeight="false" outlineLevel="0" collapsed="false">
      <c r="A130" s="355"/>
      <c r="E130" s="365" t="str">
        <f aca="false">IF((G130&lt;&gt;0),"Enter Letter"," ")</f>
        <v> </v>
      </c>
      <c r="H130" s="338" t="str">
        <f aca="false">IF((G130&lt;&gt;0),IF((D130&gt;0)," ",G130)," ")</f>
        <v> </v>
      </c>
      <c r="I130" s="367" t="str">
        <f aca="false">IF((G130&lt;&gt;0),IF((D130&gt;0)," ",(I$1-A130))," ")</f>
        <v> </v>
      </c>
      <c r="J130" s="334" t="str">
        <f aca="false">IF((E130="s"),G130," ")</f>
        <v> </v>
      </c>
      <c r="K130" s="334" t="str">
        <f aca="false">IF((E130="d"),G130," ")</f>
        <v> </v>
      </c>
      <c r="L130" s="334" t="str">
        <f aca="false">IF((E130="e"),G130," ")</f>
        <v> </v>
      </c>
      <c r="M130" s="334" t="str">
        <f aca="false">IF((E130="p"),G130," ")</f>
        <v> </v>
      </c>
      <c r="N130" s="334" t="str">
        <f aca="false">IF((E130="r"),G130," ")</f>
        <v> </v>
      </c>
      <c r="O130" s="334" t="str">
        <f aca="false">IF((E130="g"),G130," ")</f>
        <v> </v>
      </c>
      <c r="P130" s="334" t="str">
        <f aca="false">IF((E130="m"),G130," ")</f>
        <v> </v>
      </c>
      <c r="Q130" s="334" t="str">
        <f aca="false">IF((E130="t"),G130," ")</f>
        <v> </v>
      </c>
      <c r="R130" s="334" t="str">
        <f aca="false">IF((E130="a"),G130," ")</f>
        <v> </v>
      </c>
      <c r="S130" s="334" t="str">
        <f aca="false">IF((E130="l"),G130," ")</f>
        <v> </v>
      </c>
      <c r="T130" s="334" t="str">
        <f aca="false">IF((E130="b"),G130," ")</f>
        <v> </v>
      </c>
      <c r="U130" s="334" t="str">
        <f aca="false">IF((E130="i"),G130," ")</f>
        <v> </v>
      </c>
      <c r="V130" s="334" t="str">
        <f aca="false">IF((E130="o"),G130," ")</f>
        <v> </v>
      </c>
      <c r="W130" s="334" t="str">
        <f aca="false">IF((E130="f"),G130," ")</f>
        <v> </v>
      </c>
    </row>
    <row r="131" customFormat="false" ht="12.75" hidden="false" customHeight="false" outlineLevel="0" collapsed="false">
      <c r="A131" s="355"/>
      <c r="E131" s="365" t="str">
        <f aca="false">IF((G131&lt;&gt;0),"Enter Letter"," ")</f>
        <v> </v>
      </c>
      <c r="H131" s="338" t="str">
        <f aca="false">IF((G131&lt;&gt;0),IF((D131&gt;0)," ",G131)," ")</f>
        <v> </v>
      </c>
      <c r="I131" s="367" t="str">
        <f aca="false">IF((G131&lt;&gt;0),IF((D131&gt;0)," ",(I$1-A131))," ")</f>
        <v> </v>
      </c>
      <c r="J131" s="334" t="str">
        <f aca="false">IF((E131="s"),G131," ")</f>
        <v> </v>
      </c>
      <c r="K131" s="334" t="str">
        <f aca="false">IF((E131="d"),G131," ")</f>
        <v> </v>
      </c>
      <c r="L131" s="334" t="str">
        <f aca="false">IF((E131="e"),G131," ")</f>
        <v> </v>
      </c>
      <c r="M131" s="334" t="str">
        <f aca="false">IF((E131="p"),G131," ")</f>
        <v> </v>
      </c>
      <c r="N131" s="334" t="str">
        <f aca="false">IF((E131="r"),G131," ")</f>
        <v> </v>
      </c>
      <c r="O131" s="334" t="str">
        <f aca="false">IF((E131="g"),G131," ")</f>
        <v> </v>
      </c>
      <c r="P131" s="334" t="str">
        <f aca="false">IF((E131="m"),G131," ")</f>
        <v> </v>
      </c>
      <c r="Q131" s="334" t="str">
        <f aca="false">IF((E131="t"),G131," ")</f>
        <v> </v>
      </c>
      <c r="R131" s="334" t="str">
        <f aca="false">IF((E131="a"),G131," ")</f>
        <v> </v>
      </c>
      <c r="S131" s="334" t="str">
        <f aca="false">IF((E131="l"),G131," ")</f>
        <v> </v>
      </c>
      <c r="T131" s="334" t="str">
        <f aca="false">IF((E131="b"),G131," ")</f>
        <v> </v>
      </c>
      <c r="U131" s="334" t="str">
        <f aca="false">IF((E131="i"),G131," ")</f>
        <v> </v>
      </c>
      <c r="V131" s="334" t="str">
        <f aca="false">IF((E131="o"),G131," ")</f>
        <v> </v>
      </c>
      <c r="W131" s="334" t="str">
        <f aca="false">IF((E131="f"),G131," ")</f>
        <v> </v>
      </c>
    </row>
    <row r="132" customFormat="false" ht="12.75" hidden="false" customHeight="false" outlineLevel="0" collapsed="false">
      <c r="A132" s="355"/>
      <c r="E132" s="365" t="str">
        <f aca="false">IF((G132&lt;&gt;0),"Enter Letter"," ")</f>
        <v> </v>
      </c>
      <c r="H132" s="338" t="str">
        <f aca="false">IF((G132&lt;&gt;0),IF((D132&gt;0)," ",G132)," ")</f>
        <v> </v>
      </c>
      <c r="I132" s="367" t="str">
        <f aca="false">IF((G132&lt;&gt;0),IF((D132&gt;0)," ",(I$1-A132))," ")</f>
        <v> </v>
      </c>
      <c r="J132" s="334" t="str">
        <f aca="false">IF((E132="s"),G132," ")</f>
        <v> </v>
      </c>
      <c r="K132" s="334" t="str">
        <f aca="false">IF((E132="d"),G132," ")</f>
        <v> </v>
      </c>
      <c r="L132" s="334" t="str">
        <f aca="false">IF((E132="e"),G132," ")</f>
        <v> </v>
      </c>
      <c r="M132" s="334" t="str">
        <f aca="false">IF((E132="p"),G132," ")</f>
        <v> </v>
      </c>
      <c r="N132" s="334" t="str">
        <f aca="false">IF((E132="r"),G132," ")</f>
        <v> </v>
      </c>
      <c r="O132" s="334" t="str">
        <f aca="false">IF((E132="g"),G132," ")</f>
        <v> </v>
      </c>
      <c r="P132" s="334" t="str">
        <f aca="false">IF((E132="m"),G132," ")</f>
        <v> </v>
      </c>
      <c r="Q132" s="334" t="str">
        <f aca="false">IF((E132="t"),G132," ")</f>
        <v> </v>
      </c>
      <c r="R132" s="334" t="str">
        <f aca="false">IF((E132="a"),G132," ")</f>
        <v> </v>
      </c>
      <c r="S132" s="334" t="str">
        <f aca="false">IF((E132="l"),G132," ")</f>
        <v> </v>
      </c>
      <c r="T132" s="334" t="str">
        <f aca="false">IF((E132="b"),G132," ")</f>
        <v> </v>
      </c>
      <c r="U132" s="334" t="str">
        <f aca="false">IF((E132="i"),G132," ")</f>
        <v> </v>
      </c>
      <c r="V132" s="334" t="str">
        <f aca="false">IF((E132="o"),G132," ")</f>
        <v> </v>
      </c>
      <c r="W132" s="334" t="str">
        <f aca="false">IF((E132="f"),G132," ")</f>
        <v> </v>
      </c>
    </row>
    <row r="133" customFormat="false" ht="12.75" hidden="false" customHeight="false" outlineLevel="0" collapsed="false">
      <c r="A133" s="355"/>
      <c r="E133" s="365" t="str">
        <f aca="false">IF((G133&lt;&gt;0),"Enter Letter"," ")</f>
        <v> </v>
      </c>
      <c r="H133" s="338" t="str">
        <f aca="false">IF((G133&lt;&gt;0),IF((D133&gt;0)," ",G133)," ")</f>
        <v> </v>
      </c>
      <c r="I133" s="367" t="str">
        <f aca="false">IF((G133&lt;&gt;0),IF((D133&gt;0)," ",(I$1-A133))," ")</f>
        <v> </v>
      </c>
      <c r="J133" s="334" t="str">
        <f aca="false">IF((E133="s"),G133," ")</f>
        <v> </v>
      </c>
      <c r="K133" s="334" t="str">
        <f aca="false">IF((E133="d"),G133," ")</f>
        <v> </v>
      </c>
      <c r="L133" s="334" t="str">
        <f aca="false">IF((E133="e"),G133," ")</f>
        <v> </v>
      </c>
      <c r="M133" s="334" t="str">
        <f aca="false">IF((E133="p"),G133," ")</f>
        <v> </v>
      </c>
      <c r="N133" s="334" t="str">
        <f aca="false">IF((E133="r"),G133," ")</f>
        <v> </v>
      </c>
      <c r="O133" s="334" t="str">
        <f aca="false">IF((E133="g"),G133," ")</f>
        <v> </v>
      </c>
      <c r="P133" s="334" t="str">
        <f aca="false">IF((E133="m"),G133," ")</f>
        <v> </v>
      </c>
      <c r="Q133" s="334" t="str">
        <f aca="false">IF((E133="t"),G133," ")</f>
        <v> </v>
      </c>
      <c r="R133" s="334" t="str">
        <f aca="false">IF((E133="a"),G133," ")</f>
        <v> </v>
      </c>
      <c r="S133" s="334" t="str">
        <f aca="false">IF((E133="l"),G133," ")</f>
        <v> </v>
      </c>
      <c r="T133" s="334" t="str">
        <f aca="false">IF((E133="b"),G133," ")</f>
        <v> </v>
      </c>
      <c r="U133" s="334" t="str">
        <f aca="false">IF((E133="i"),G133," ")</f>
        <v> </v>
      </c>
      <c r="V133" s="334" t="str">
        <f aca="false">IF((E133="o"),G133," ")</f>
        <v> </v>
      </c>
      <c r="W133" s="334" t="str">
        <f aca="false">IF((E133="f"),G133," ")</f>
        <v> </v>
      </c>
    </row>
    <row r="134" customFormat="false" ht="12.75" hidden="false" customHeight="false" outlineLevel="0" collapsed="false">
      <c r="A134" s="355"/>
      <c r="E134" s="365" t="str">
        <f aca="false">IF((G134&lt;&gt;0),"Enter Letter"," ")</f>
        <v> </v>
      </c>
      <c r="H134" s="338" t="str">
        <f aca="false">IF((G134&lt;&gt;0),IF((D134&gt;0)," ",G134)," ")</f>
        <v> </v>
      </c>
      <c r="I134" s="367" t="str">
        <f aca="false">IF((G134&lt;&gt;0),IF((D134&gt;0)," ",(I$1-A134))," ")</f>
        <v> </v>
      </c>
      <c r="J134" s="334" t="str">
        <f aca="false">IF((E134="s"),G134," ")</f>
        <v> </v>
      </c>
      <c r="K134" s="334" t="str">
        <f aca="false">IF((E134="d"),G134," ")</f>
        <v> </v>
      </c>
      <c r="L134" s="334" t="str">
        <f aca="false">IF((E134="e"),G134," ")</f>
        <v> </v>
      </c>
      <c r="M134" s="334" t="str">
        <f aca="false">IF((E134="p"),G134," ")</f>
        <v> </v>
      </c>
      <c r="N134" s="334" t="str">
        <f aca="false">IF((E134="r"),G134," ")</f>
        <v> </v>
      </c>
      <c r="O134" s="334" t="str">
        <f aca="false">IF((E134="g"),G134," ")</f>
        <v> </v>
      </c>
      <c r="P134" s="334" t="str">
        <f aca="false">IF((E134="m"),G134," ")</f>
        <v> </v>
      </c>
      <c r="Q134" s="334" t="str">
        <f aca="false">IF((E134="t"),G134," ")</f>
        <v> </v>
      </c>
      <c r="R134" s="334" t="str">
        <f aca="false">IF((E134="a"),G134," ")</f>
        <v> </v>
      </c>
      <c r="S134" s="334" t="str">
        <f aca="false">IF((E134="l"),G134," ")</f>
        <v> </v>
      </c>
      <c r="T134" s="334" t="str">
        <f aca="false">IF((E134="b"),G134," ")</f>
        <v> </v>
      </c>
      <c r="U134" s="334" t="str">
        <f aca="false">IF((E134="i"),G134," ")</f>
        <v> </v>
      </c>
      <c r="V134" s="334" t="str">
        <f aca="false">IF((E134="o"),G134," ")</f>
        <v> </v>
      </c>
      <c r="W134" s="334" t="str">
        <f aca="false">IF((E134="f"),G134," ")</f>
        <v> </v>
      </c>
    </row>
    <row r="135" customFormat="false" ht="12.75" hidden="false" customHeight="false" outlineLevel="0" collapsed="false">
      <c r="A135" s="355"/>
      <c r="E135" s="365" t="str">
        <f aca="false">IF((G135&lt;&gt;0),"Enter Letter"," ")</f>
        <v> </v>
      </c>
      <c r="H135" s="338" t="str">
        <f aca="false">IF((G135&lt;&gt;0),IF((D135&gt;0)," ",G135)," ")</f>
        <v> </v>
      </c>
      <c r="I135" s="367" t="str">
        <f aca="false">IF((G135&lt;&gt;0),IF((D135&gt;0)," ",(I$1-A135))," ")</f>
        <v> </v>
      </c>
      <c r="J135" s="334" t="str">
        <f aca="false">IF((E135="s"),G135," ")</f>
        <v> </v>
      </c>
      <c r="K135" s="334" t="str">
        <f aca="false">IF((E135="d"),G135," ")</f>
        <v> </v>
      </c>
      <c r="L135" s="334" t="str">
        <f aca="false">IF((E135="e"),G135," ")</f>
        <v> </v>
      </c>
      <c r="M135" s="334" t="str">
        <f aca="false">IF((E135="p"),G135," ")</f>
        <v> </v>
      </c>
      <c r="N135" s="334" t="str">
        <f aca="false">IF((E135="r"),G135," ")</f>
        <v> </v>
      </c>
      <c r="O135" s="334" t="str">
        <f aca="false">IF((E135="g"),G135," ")</f>
        <v> </v>
      </c>
      <c r="P135" s="334" t="str">
        <f aca="false">IF((E135="m"),G135," ")</f>
        <v> </v>
      </c>
      <c r="Q135" s="334" t="str">
        <f aca="false">IF((E135="t"),G135," ")</f>
        <v> </v>
      </c>
      <c r="R135" s="334" t="str">
        <f aca="false">IF((E135="a"),G135," ")</f>
        <v> </v>
      </c>
      <c r="S135" s="334" t="str">
        <f aca="false">IF((E135="l"),G135," ")</f>
        <v> </v>
      </c>
      <c r="T135" s="334" t="str">
        <f aca="false">IF((E135="b"),G135," ")</f>
        <v> </v>
      </c>
      <c r="U135" s="334" t="str">
        <f aca="false">IF((E135="i"),G135," ")</f>
        <v> </v>
      </c>
      <c r="V135" s="334" t="str">
        <f aca="false">IF((E135="o"),G135," ")</f>
        <v> </v>
      </c>
      <c r="W135" s="334" t="str">
        <f aca="false">IF((E135="f"),G135," ")</f>
        <v> </v>
      </c>
    </row>
    <row r="136" customFormat="false" ht="12.75" hidden="false" customHeight="false" outlineLevel="0" collapsed="false">
      <c r="A136" s="355"/>
      <c r="E136" s="365" t="str">
        <f aca="false">IF((G136&lt;&gt;0),"Enter Letter"," ")</f>
        <v> </v>
      </c>
      <c r="H136" s="338" t="str">
        <f aca="false">IF((G136&lt;&gt;0),IF((D136&gt;0)," ",G136)," ")</f>
        <v> </v>
      </c>
      <c r="I136" s="367" t="str">
        <f aca="false">IF((G136&lt;&gt;0),IF((D136&gt;0)," ",(I$1-A136))," ")</f>
        <v> </v>
      </c>
      <c r="J136" s="334" t="str">
        <f aca="false">IF((E136="s"),G136," ")</f>
        <v> </v>
      </c>
      <c r="K136" s="334" t="str">
        <f aca="false">IF((E136="d"),G136," ")</f>
        <v> </v>
      </c>
      <c r="L136" s="334" t="str">
        <f aca="false">IF((E136="e"),G136," ")</f>
        <v> </v>
      </c>
      <c r="M136" s="334" t="str">
        <f aca="false">IF((E136="p"),G136," ")</f>
        <v> </v>
      </c>
      <c r="N136" s="334" t="str">
        <f aca="false">IF((E136="r"),G136," ")</f>
        <v> </v>
      </c>
      <c r="O136" s="334" t="str">
        <f aca="false">IF((E136="g"),G136," ")</f>
        <v> </v>
      </c>
      <c r="P136" s="334" t="str">
        <f aca="false">IF((E136="m"),G136," ")</f>
        <v> </v>
      </c>
      <c r="Q136" s="334" t="str">
        <f aca="false">IF((E136="t"),G136," ")</f>
        <v> </v>
      </c>
      <c r="R136" s="334" t="str">
        <f aca="false">IF((E136="a"),G136," ")</f>
        <v> </v>
      </c>
      <c r="S136" s="334" t="str">
        <f aca="false">IF((E136="l"),G136," ")</f>
        <v> </v>
      </c>
      <c r="T136" s="334" t="str">
        <f aca="false">IF((E136="b"),G136," ")</f>
        <v> </v>
      </c>
      <c r="U136" s="334" t="str">
        <f aca="false">IF((E136="i"),G136," ")</f>
        <v> </v>
      </c>
      <c r="V136" s="334" t="str">
        <f aca="false">IF((E136="o"),G136," ")</f>
        <v> </v>
      </c>
      <c r="W136" s="334" t="str">
        <f aca="false">IF((E136="f"),G136," ")</f>
        <v> </v>
      </c>
    </row>
    <row r="137" customFormat="false" ht="12.75" hidden="false" customHeight="false" outlineLevel="0" collapsed="false">
      <c r="A137" s="355"/>
      <c r="E137" s="365" t="str">
        <f aca="false">IF((G137&lt;&gt;0),"Enter Letter"," ")</f>
        <v> </v>
      </c>
      <c r="H137" s="338" t="str">
        <f aca="false">IF((G137&lt;&gt;0),IF((D137&gt;0)," ",G137)," ")</f>
        <v> </v>
      </c>
      <c r="I137" s="367" t="str">
        <f aca="false">IF((G137&lt;&gt;0),IF((D137&gt;0)," ",(I$1-A137))," ")</f>
        <v> </v>
      </c>
      <c r="J137" s="334" t="str">
        <f aca="false">IF((E137="s"),G137," ")</f>
        <v> </v>
      </c>
      <c r="K137" s="334" t="str">
        <f aca="false">IF((E137="d"),G137," ")</f>
        <v> </v>
      </c>
      <c r="L137" s="334" t="str">
        <f aca="false">IF((E137="e"),G137," ")</f>
        <v> </v>
      </c>
      <c r="M137" s="334" t="str">
        <f aca="false">IF((E137="p"),G137," ")</f>
        <v> </v>
      </c>
      <c r="N137" s="334" t="str">
        <f aca="false">IF((E137="r"),G137," ")</f>
        <v> </v>
      </c>
      <c r="O137" s="334" t="str">
        <f aca="false">IF((E137="g"),G137," ")</f>
        <v> </v>
      </c>
      <c r="P137" s="334" t="str">
        <f aca="false">IF((E137="m"),G137," ")</f>
        <v> </v>
      </c>
      <c r="Q137" s="334" t="str">
        <f aca="false">IF((E137="t"),G137," ")</f>
        <v> </v>
      </c>
      <c r="R137" s="334" t="str">
        <f aca="false">IF((E137="a"),G137," ")</f>
        <v> </v>
      </c>
      <c r="S137" s="334" t="str">
        <f aca="false">IF((E137="l"),G137," ")</f>
        <v> </v>
      </c>
      <c r="T137" s="334" t="str">
        <f aca="false">IF((E137="b"),G137," ")</f>
        <v> </v>
      </c>
      <c r="U137" s="334" t="str">
        <f aca="false">IF((E137="i"),G137," ")</f>
        <v> </v>
      </c>
      <c r="V137" s="334" t="str">
        <f aca="false">IF((E137="o"),G137," ")</f>
        <v> </v>
      </c>
      <c r="W137" s="334" t="str">
        <f aca="false">IF((E137="f"),G137," ")</f>
        <v> </v>
      </c>
    </row>
    <row r="138" customFormat="false" ht="12.75" hidden="false" customHeight="false" outlineLevel="0" collapsed="false">
      <c r="A138" s="355"/>
      <c r="E138" s="365" t="str">
        <f aca="false">IF((G138&lt;&gt;0),"Enter Letter"," ")</f>
        <v> </v>
      </c>
      <c r="H138" s="338" t="str">
        <f aca="false">IF((G138&lt;&gt;0),IF((D138&gt;0)," ",G138)," ")</f>
        <v> </v>
      </c>
      <c r="I138" s="367" t="str">
        <f aca="false">IF((G138&lt;&gt;0),IF((D138&gt;0)," ",(I$1-A138))," ")</f>
        <v> </v>
      </c>
      <c r="J138" s="334" t="str">
        <f aca="false">IF((E138="s"),G138," ")</f>
        <v> </v>
      </c>
      <c r="K138" s="334" t="str">
        <f aca="false">IF((E138="d"),G138," ")</f>
        <v> </v>
      </c>
      <c r="L138" s="334" t="str">
        <f aca="false">IF((E138="e"),G138," ")</f>
        <v> </v>
      </c>
      <c r="M138" s="334" t="str">
        <f aca="false">IF((E138="p"),G138," ")</f>
        <v> </v>
      </c>
      <c r="N138" s="334" t="str">
        <f aca="false">IF((E138="r"),G138," ")</f>
        <v> </v>
      </c>
      <c r="O138" s="334" t="str">
        <f aca="false">IF((E138="g"),G138," ")</f>
        <v> </v>
      </c>
      <c r="P138" s="334" t="str">
        <f aca="false">IF((E138="m"),G138," ")</f>
        <v> </v>
      </c>
      <c r="Q138" s="334" t="str">
        <f aca="false">IF((E138="t"),G138," ")</f>
        <v> </v>
      </c>
      <c r="R138" s="334" t="str">
        <f aca="false">IF((E138="a"),G138," ")</f>
        <v> </v>
      </c>
      <c r="S138" s="334" t="str">
        <f aca="false">IF((E138="l"),G138," ")</f>
        <v> </v>
      </c>
      <c r="T138" s="334" t="str">
        <f aca="false">IF((E138="b"),G138," ")</f>
        <v> </v>
      </c>
      <c r="U138" s="334" t="str">
        <f aca="false">IF((E138="i"),G138," ")</f>
        <v> </v>
      </c>
      <c r="V138" s="334" t="str">
        <f aca="false">IF((E138="o"),G138," ")</f>
        <v> </v>
      </c>
      <c r="W138" s="334" t="str">
        <f aca="false">IF((E138="f"),G138," ")</f>
        <v> </v>
      </c>
    </row>
    <row r="139" customFormat="false" ht="12.75" hidden="false" customHeight="false" outlineLevel="0" collapsed="false">
      <c r="A139" s="355"/>
      <c r="E139" s="365" t="str">
        <f aca="false">IF((G139&lt;&gt;0),"Enter Letter"," ")</f>
        <v> </v>
      </c>
      <c r="H139" s="338" t="str">
        <f aca="false">IF((G139&lt;&gt;0),IF((D139&gt;0)," ",G139)," ")</f>
        <v> </v>
      </c>
      <c r="I139" s="367" t="str">
        <f aca="false">IF((G139&lt;&gt;0),IF((D139&gt;0)," ",(I$1-A139))," ")</f>
        <v> </v>
      </c>
      <c r="J139" s="334" t="str">
        <f aca="false">IF((E139="s"),G139," ")</f>
        <v> </v>
      </c>
      <c r="K139" s="334" t="str">
        <f aca="false">IF((E139="d"),G139," ")</f>
        <v> </v>
      </c>
      <c r="L139" s="334" t="str">
        <f aca="false">IF((E139="e"),G139," ")</f>
        <v> </v>
      </c>
      <c r="M139" s="334" t="str">
        <f aca="false">IF((E139="p"),G139," ")</f>
        <v> </v>
      </c>
      <c r="N139" s="334" t="str">
        <f aca="false">IF((E139="r"),G139," ")</f>
        <v> </v>
      </c>
      <c r="O139" s="334" t="str">
        <f aca="false">IF((E139="g"),G139," ")</f>
        <v> </v>
      </c>
      <c r="P139" s="334" t="str">
        <f aca="false">IF((E139="m"),G139," ")</f>
        <v> </v>
      </c>
      <c r="Q139" s="334" t="str">
        <f aca="false">IF((E139="t"),G139," ")</f>
        <v> </v>
      </c>
      <c r="R139" s="334" t="str">
        <f aca="false">IF((E139="a"),G139," ")</f>
        <v> </v>
      </c>
      <c r="S139" s="334" t="str">
        <f aca="false">IF((E139="l"),G139," ")</f>
        <v> </v>
      </c>
      <c r="T139" s="334" t="str">
        <f aca="false">IF((E139="b"),G139," ")</f>
        <v> </v>
      </c>
      <c r="U139" s="334" t="str">
        <f aca="false">IF((E139="i"),G139," ")</f>
        <v> </v>
      </c>
      <c r="V139" s="334" t="str">
        <f aca="false">IF((E139="o"),G139," ")</f>
        <v> </v>
      </c>
      <c r="W139" s="334" t="str">
        <f aca="false">IF((E139="f"),G139," ")</f>
        <v> </v>
      </c>
    </row>
    <row r="140" customFormat="false" ht="12.75" hidden="false" customHeight="false" outlineLevel="0" collapsed="false">
      <c r="A140" s="355"/>
      <c r="E140" s="365" t="str">
        <f aca="false">IF((G140&lt;&gt;0),"Enter Letter"," ")</f>
        <v> </v>
      </c>
      <c r="H140" s="338" t="str">
        <f aca="false">IF((G140&lt;&gt;0),IF((D140&gt;0)," ",G140)," ")</f>
        <v> </v>
      </c>
      <c r="I140" s="367" t="str">
        <f aca="false">IF((G140&lt;&gt;0),IF((D140&gt;0)," ",(I$1-A140))," ")</f>
        <v> </v>
      </c>
      <c r="J140" s="334" t="str">
        <f aca="false">IF((E140="s"),G140," ")</f>
        <v> </v>
      </c>
      <c r="K140" s="334" t="str">
        <f aca="false">IF((E140="d"),G140," ")</f>
        <v> </v>
      </c>
      <c r="L140" s="334" t="str">
        <f aca="false">IF((E140="e"),G140," ")</f>
        <v> </v>
      </c>
      <c r="M140" s="334" t="str">
        <f aca="false">IF((E140="p"),G140," ")</f>
        <v> </v>
      </c>
      <c r="N140" s="334" t="str">
        <f aca="false">IF((E140="r"),G140," ")</f>
        <v> </v>
      </c>
      <c r="O140" s="334" t="str">
        <f aca="false">IF((E140="g"),G140," ")</f>
        <v> </v>
      </c>
      <c r="P140" s="334" t="str">
        <f aca="false">IF((E140="m"),G140," ")</f>
        <v> </v>
      </c>
      <c r="Q140" s="334" t="str">
        <f aca="false">IF((E140="t"),G140," ")</f>
        <v> </v>
      </c>
      <c r="R140" s="334" t="str">
        <f aca="false">IF((E140="a"),G140," ")</f>
        <v> </v>
      </c>
      <c r="S140" s="334" t="str">
        <f aca="false">IF((E140="l"),G140," ")</f>
        <v> </v>
      </c>
      <c r="T140" s="334" t="str">
        <f aca="false">IF((E140="b"),G140," ")</f>
        <v> </v>
      </c>
      <c r="U140" s="334" t="str">
        <f aca="false">IF((E140="i"),G140," ")</f>
        <v> </v>
      </c>
      <c r="V140" s="334" t="str">
        <f aca="false">IF((E140="o"),G140," ")</f>
        <v> </v>
      </c>
      <c r="W140" s="334" t="str">
        <f aca="false">IF((E140="f"),G140," ")</f>
        <v> </v>
      </c>
    </row>
    <row r="141" customFormat="false" ht="12.75" hidden="false" customHeight="false" outlineLevel="0" collapsed="false">
      <c r="A141" s="355"/>
      <c r="E141" s="365" t="str">
        <f aca="false">IF((G141&lt;&gt;0),"Enter Letter"," ")</f>
        <v> </v>
      </c>
      <c r="H141" s="338" t="str">
        <f aca="false">IF((G141&lt;&gt;0),IF((D141&gt;0)," ",G141)," ")</f>
        <v> </v>
      </c>
      <c r="I141" s="367" t="str">
        <f aca="false">IF((G141&lt;&gt;0),IF((D141&gt;0)," ",(I$1-A141))," ")</f>
        <v> </v>
      </c>
      <c r="J141" s="334" t="str">
        <f aca="false">IF((E141="s"),G141," ")</f>
        <v> </v>
      </c>
      <c r="K141" s="334" t="str">
        <f aca="false">IF((E141="d"),G141," ")</f>
        <v> </v>
      </c>
      <c r="L141" s="334" t="str">
        <f aca="false">IF((E141="e"),G141," ")</f>
        <v> </v>
      </c>
      <c r="M141" s="334" t="str">
        <f aca="false">IF((E141="p"),G141," ")</f>
        <v> </v>
      </c>
      <c r="N141" s="334" t="str">
        <f aca="false">IF((E141="r"),G141," ")</f>
        <v> </v>
      </c>
      <c r="O141" s="334" t="str">
        <f aca="false">IF((E141="g"),G141," ")</f>
        <v> </v>
      </c>
      <c r="P141" s="334" t="str">
        <f aca="false">IF((E141="m"),G141," ")</f>
        <v> </v>
      </c>
      <c r="Q141" s="334" t="str">
        <f aca="false">IF((E141="t"),G141," ")</f>
        <v> </v>
      </c>
      <c r="R141" s="334" t="str">
        <f aca="false">IF((E141="a"),G141," ")</f>
        <v> </v>
      </c>
      <c r="S141" s="334" t="str">
        <f aca="false">IF((E141="l"),G141," ")</f>
        <v> </v>
      </c>
      <c r="T141" s="334" t="str">
        <f aca="false">IF((E141="b"),G141," ")</f>
        <v> </v>
      </c>
      <c r="U141" s="334" t="str">
        <f aca="false">IF((E141="i"),G141," ")</f>
        <v> </v>
      </c>
      <c r="V141" s="334" t="str">
        <f aca="false">IF((E141="o"),G141," ")</f>
        <v> </v>
      </c>
      <c r="W141" s="334" t="str">
        <f aca="false">IF((E141="f"),G141," ")</f>
        <v> </v>
      </c>
    </row>
    <row r="142" customFormat="false" ht="12.75" hidden="false" customHeight="false" outlineLevel="0" collapsed="false">
      <c r="A142" s="355"/>
      <c r="E142" s="365" t="str">
        <f aca="false">IF((G142&lt;&gt;0),"Enter Letter"," ")</f>
        <v> </v>
      </c>
      <c r="H142" s="338" t="str">
        <f aca="false">IF((G142&lt;&gt;0),IF((D142&gt;0)," ",G142)," ")</f>
        <v> </v>
      </c>
      <c r="I142" s="367" t="str">
        <f aca="false">IF((G142&lt;&gt;0),IF((D142&gt;0)," ",(I$1-A142))," ")</f>
        <v> </v>
      </c>
      <c r="J142" s="334" t="str">
        <f aca="false">IF((E142="s"),G142," ")</f>
        <v> </v>
      </c>
      <c r="K142" s="334" t="str">
        <f aca="false">IF((E142="d"),G142," ")</f>
        <v> </v>
      </c>
      <c r="L142" s="334" t="str">
        <f aca="false">IF((E142="e"),G142," ")</f>
        <v> </v>
      </c>
      <c r="M142" s="334" t="str">
        <f aca="false">IF((E142="p"),G142," ")</f>
        <v> </v>
      </c>
      <c r="N142" s="334" t="str">
        <f aca="false">IF((E142="r"),G142," ")</f>
        <v> </v>
      </c>
      <c r="O142" s="334" t="str">
        <f aca="false">IF((E142="g"),G142," ")</f>
        <v> </v>
      </c>
      <c r="P142" s="334" t="str">
        <f aca="false">IF((E142="m"),G142," ")</f>
        <v> </v>
      </c>
      <c r="Q142" s="334" t="str">
        <f aca="false">IF((E142="t"),G142," ")</f>
        <v> </v>
      </c>
      <c r="R142" s="334" t="str">
        <f aca="false">IF((E142="a"),G142," ")</f>
        <v> </v>
      </c>
      <c r="S142" s="334" t="str">
        <f aca="false">IF((E142="l"),G142," ")</f>
        <v> </v>
      </c>
      <c r="T142" s="334" t="str">
        <f aca="false">IF((E142="b"),G142," ")</f>
        <v> </v>
      </c>
      <c r="U142" s="334" t="str">
        <f aca="false">IF((E142="i"),G142," ")</f>
        <v> </v>
      </c>
      <c r="V142" s="334" t="str">
        <f aca="false">IF((E142="o"),G142," ")</f>
        <v> </v>
      </c>
      <c r="W142" s="334" t="str">
        <f aca="false">IF((E142="f"),G142," ")</f>
        <v> </v>
      </c>
    </row>
    <row r="143" customFormat="false" ht="12.75" hidden="false" customHeight="false" outlineLevel="0" collapsed="false">
      <c r="A143" s="355"/>
      <c r="E143" s="365" t="str">
        <f aca="false">IF((G143&lt;&gt;0),"Enter Letter"," ")</f>
        <v> </v>
      </c>
      <c r="H143" s="338" t="str">
        <f aca="false">IF((G143&lt;&gt;0),IF((D143&gt;0)," ",G143)," ")</f>
        <v> </v>
      </c>
      <c r="I143" s="367" t="str">
        <f aca="false">IF((G143&lt;&gt;0),IF((D143&gt;0)," ",(I$1-A143))," ")</f>
        <v> </v>
      </c>
      <c r="J143" s="334" t="str">
        <f aca="false">IF((E143="s"),G143," ")</f>
        <v> </v>
      </c>
      <c r="K143" s="334" t="str">
        <f aca="false">IF((E143="d"),G143," ")</f>
        <v> </v>
      </c>
      <c r="L143" s="334" t="str">
        <f aca="false">IF((E143="e"),G143," ")</f>
        <v> </v>
      </c>
      <c r="M143" s="334" t="str">
        <f aca="false">IF((E143="p"),G143," ")</f>
        <v> </v>
      </c>
      <c r="N143" s="334" t="str">
        <f aca="false">IF((E143="r"),G143," ")</f>
        <v> </v>
      </c>
      <c r="O143" s="334" t="str">
        <f aca="false">IF((E143="g"),G143," ")</f>
        <v> </v>
      </c>
      <c r="P143" s="334" t="str">
        <f aca="false">IF((E143="m"),G143," ")</f>
        <v> </v>
      </c>
      <c r="Q143" s="334" t="str">
        <f aca="false">IF((E143="t"),G143," ")</f>
        <v> </v>
      </c>
      <c r="R143" s="334" t="str">
        <f aca="false">IF((E143="a"),G143," ")</f>
        <v> </v>
      </c>
      <c r="S143" s="334" t="str">
        <f aca="false">IF((E143="l"),G143," ")</f>
        <v> </v>
      </c>
      <c r="T143" s="334" t="str">
        <f aca="false">IF((E143="b"),G143," ")</f>
        <v> </v>
      </c>
      <c r="U143" s="334" t="str">
        <f aca="false">IF((E143="i"),G143," ")</f>
        <v> </v>
      </c>
      <c r="V143" s="334" t="str">
        <f aca="false">IF((E143="o"),G143," ")</f>
        <v> </v>
      </c>
      <c r="W143" s="334" t="str">
        <f aca="false">IF((E143="f"),G143," ")</f>
        <v> </v>
      </c>
    </row>
    <row r="144" customFormat="false" ht="12.75" hidden="false" customHeight="false" outlineLevel="0" collapsed="false">
      <c r="A144" s="355"/>
      <c r="E144" s="365" t="str">
        <f aca="false">IF((G144&lt;&gt;0),"Enter Letter"," ")</f>
        <v> </v>
      </c>
      <c r="H144" s="338" t="str">
        <f aca="false">IF((G144&lt;&gt;0),IF((D144&gt;0)," ",G144)," ")</f>
        <v> </v>
      </c>
      <c r="I144" s="367" t="str">
        <f aca="false">IF((G144&lt;&gt;0),IF((D144&gt;0)," ",(I$1-A144))," ")</f>
        <v> </v>
      </c>
      <c r="J144" s="334" t="str">
        <f aca="false">IF((E144="s"),G144," ")</f>
        <v> </v>
      </c>
      <c r="K144" s="334" t="str">
        <f aca="false">IF((E144="d"),G144," ")</f>
        <v> </v>
      </c>
      <c r="L144" s="334" t="str">
        <f aca="false">IF((E144="e"),G144," ")</f>
        <v> </v>
      </c>
      <c r="M144" s="334" t="str">
        <f aca="false">IF((E144="p"),G144," ")</f>
        <v> </v>
      </c>
      <c r="N144" s="334" t="str">
        <f aca="false">IF((E144="r"),G144," ")</f>
        <v> </v>
      </c>
      <c r="O144" s="334" t="str">
        <f aca="false">IF((E144="g"),G144," ")</f>
        <v> </v>
      </c>
      <c r="P144" s="334" t="str">
        <f aca="false">IF((E144="m"),G144," ")</f>
        <v> </v>
      </c>
      <c r="Q144" s="334" t="str">
        <f aca="false">IF((E144="t"),G144," ")</f>
        <v> </v>
      </c>
      <c r="R144" s="334" t="str">
        <f aca="false">IF((E144="a"),G144," ")</f>
        <v> </v>
      </c>
      <c r="S144" s="334" t="str">
        <f aca="false">IF((E144="l"),G144," ")</f>
        <v> </v>
      </c>
      <c r="T144" s="334" t="str">
        <f aca="false">IF((E144="b"),G144," ")</f>
        <v> </v>
      </c>
      <c r="U144" s="334" t="str">
        <f aca="false">IF((E144="i"),G144," ")</f>
        <v> </v>
      </c>
      <c r="V144" s="334" t="str">
        <f aca="false">IF((E144="o"),G144," ")</f>
        <v> </v>
      </c>
      <c r="W144" s="334" t="str">
        <f aca="false">IF((E144="f"),G144," ")</f>
        <v> </v>
      </c>
    </row>
    <row r="145" customFormat="false" ht="12.75" hidden="false" customHeight="false" outlineLevel="0" collapsed="false">
      <c r="A145" s="355"/>
      <c r="E145" s="365" t="str">
        <f aca="false">IF((G145&lt;&gt;0),"Enter Letter"," ")</f>
        <v> </v>
      </c>
      <c r="H145" s="338" t="str">
        <f aca="false">IF((G145&lt;&gt;0),IF((D145&gt;0)," ",G145)," ")</f>
        <v> </v>
      </c>
      <c r="I145" s="367" t="str">
        <f aca="false">IF((G145&lt;&gt;0),IF((D145&gt;0)," ",(I$1-A145))," ")</f>
        <v> </v>
      </c>
      <c r="J145" s="334" t="str">
        <f aca="false">IF((E145="s"),G145," ")</f>
        <v> </v>
      </c>
      <c r="K145" s="334" t="str">
        <f aca="false">IF((E145="d"),G145," ")</f>
        <v> </v>
      </c>
      <c r="L145" s="334" t="str">
        <f aca="false">IF((E145="e"),G145," ")</f>
        <v> </v>
      </c>
      <c r="M145" s="334" t="str">
        <f aca="false">IF((E145="p"),G145," ")</f>
        <v> </v>
      </c>
      <c r="N145" s="334" t="str">
        <f aca="false">IF((E145="r"),G145," ")</f>
        <v> </v>
      </c>
      <c r="O145" s="334" t="str">
        <f aca="false">IF((E145="g"),G145," ")</f>
        <v> </v>
      </c>
      <c r="P145" s="334" t="str">
        <f aca="false">IF((E145="m"),G145," ")</f>
        <v> </v>
      </c>
      <c r="Q145" s="334" t="str">
        <f aca="false">IF((E145="t"),G145," ")</f>
        <v> </v>
      </c>
      <c r="R145" s="334" t="str">
        <f aca="false">IF((E145="a"),G145," ")</f>
        <v> </v>
      </c>
      <c r="S145" s="334" t="str">
        <f aca="false">IF((E145="l"),G145," ")</f>
        <v> </v>
      </c>
      <c r="T145" s="334" t="str">
        <f aca="false">IF((E145="b"),G145," ")</f>
        <v> </v>
      </c>
      <c r="U145" s="334" t="str">
        <f aca="false">IF((E145="i"),G145," ")</f>
        <v> </v>
      </c>
      <c r="V145" s="334" t="str">
        <f aca="false">IF((E145="o"),G145," ")</f>
        <v> </v>
      </c>
      <c r="W145" s="334" t="str">
        <f aca="false">IF((E145="f"),G145," ")</f>
        <v> </v>
      </c>
    </row>
    <row r="146" customFormat="false" ht="12.75" hidden="false" customHeight="false" outlineLevel="0" collapsed="false">
      <c r="A146" s="355"/>
      <c r="E146" s="365" t="str">
        <f aca="false">IF((G146&lt;&gt;0),"Enter Letter"," ")</f>
        <v> </v>
      </c>
      <c r="H146" s="338" t="str">
        <f aca="false">IF((G146&lt;&gt;0),IF((D146&gt;0)," ",G146)," ")</f>
        <v> </v>
      </c>
      <c r="I146" s="367" t="str">
        <f aca="false">IF((G146&lt;&gt;0),IF((D146&gt;0)," ",(I$1-A146))," ")</f>
        <v> </v>
      </c>
      <c r="J146" s="334" t="str">
        <f aca="false">IF((E146="s"),G146," ")</f>
        <v> </v>
      </c>
      <c r="K146" s="334" t="str">
        <f aca="false">IF((E146="d"),G146," ")</f>
        <v> </v>
      </c>
      <c r="L146" s="334" t="str">
        <f aca="false">IF((E146="e"),G146," ")</f>
        <v> </v>
      </c>
      <c r="M146" s="334" t="str">
        <f aca="false">IF((E146="p"),G146," ")</f>
        <v> </v>
      </c>
      <c r="N146" s="334" t="str">
        <f aca="false">IF((E146="r"),G146," ")</f>
        <v> </v>
      </c>
      <c r="O146" s="334" t="str">
        <f aca="false">IF((E146="g"),G146," ")</f>
        <v> </v>
      </c>
      <c r="P146" s="334" t="str">
        <f aca="false">IF((E146="m"),G146," ")</f>
        <v> </v>
      </c>
      <c r="Q146" s="334" t="str">
        <f aca="false">IF((E146="t"),G146," ")</f>
        <v> </v>
      </c>
      <c r="R146" s="334" t="str">
        <f aca="false">IF((E146="a"),G146," ")</f>
        <v> </v>
      </c>
      <c r="S146" s="334" t="str">
        <f aca="false">IF((E146="l"),G146," ")</f>
        <v> </v>
      </c>
      <c r="T146" s="334" t="str">
        <f aca="false">IF((E146="b"),G146," ")</f>
        <v> </v>
      </c>
      <c r="U146" s="334" t="str">
        <f aca="false">IF((E146="i"),G146," ")</f>
        <v> </v>
      </c>
      <c r="V146" s="334" t="str">
        <f aca="false">IF((E146="o"),G146," ")</f>
        <v> </v>
      </c>
      <c r="W146" s="334" t="str">
        <f aca="false">IF((E146="f"),G146," ")</f>
        <v> </v>
      </c>
    </row>
    <row r="147" customFormat="false" ht="12.75" hidden="false" customHeight="false" outlineLevel="0" collapsed="false">
      <c r="A147" s="355"/>
      <c r="E147" s="365" t="str">
        <f aca="false">IF((G147&lt;&gt;0),"Enter Letter"," ")</f>
        <v> </v>
      </c>
      <c r="H147" s="338" t="str">
        <f aca="false">IF((G147&lt;&gt;0),IF((D147&gt;0)," ",G147)," ")</f>
        <v> </v>
      </c>
      <c r="I147" s="367" t="str">
        <f aca="false">IF((G147&lt;&gt;0),IF((D147&gt;0)," ",(I$1-A147))," ")</f>
        <v> </v>
      </c>
      <c r="J147" s="334" t="str">
        <f aca="false">IF((E147="s"),G147," ")</f>
        <v> </v>
      </c>
      <c r="K147" s="334" t="str">
        <f aca="false">IF((E147="d"),G147," ")</f>
        <v> </v>
      </c>
      <c r="L147" s="334" t="str">
        <f aca="false">IF((E147="e"),G147," ")</f>
        <v> </v>
      </c>
      <c r="M147" s="334" t="str">
        <f aca="false">IF((E147="p"),G147," ")</f>
        <v> </v>
      </c>
      <c r="N147" s="334" t="str">
        <f aca="false">IF((E147="r"),G147," ")</f>
        <v> </v>
      </c>
      <c r="O147" s="334" t="str">
        <f aca="false">IF((E147="g"),G147," ")</f>
        <v> </v>
      </c>
      <c r="P147" s="334" t="str">
        <f aca="false">IF((E147="m"),G147," ")</f>
        <v> </v>
      </c>
      <c r="Q147" s="334" t="str">
        <f aca="false">IF((E147="t"),G147," ")</f>
        <v> </v>
      </c>
      <c r="R147" s="334" t="str">
        <f aca="false">IF((E147="a"),G147," ")</f>
        <v> </v>
      </c>
      <c r="S147" s="334" t="str">
        <f aca="false">IF((E147="l"),G147," ")</f>
        <v> </v>
      </c>
      <c r="T147" s="334" t="str">
        <f aca="false">IF((E147="b"),G147," ")</f>
        <v> </v>
      </c>
      <c r="U147" s="334" t="str">
        <f aca="false">IF((E147="i"),G147," ")</f>
        <v> </v>
      </c>
      <c r="V147" s="334" t="str">
        <f aca="false">IF((E147="o"),G147," ")</f>
        <v> </v>
      </c>
      <c r="W147" s="334" t="str">
        <f aca="false">IF((E147="f"),G147," ")</f>
        <v> </v>
      </c>
    </row>
    <row r="148" customFormat="false" ht="12.75" hidden="false" customHeight="false" outlineLevel="0" collapsed="false">
      <c r="A148" s="355"/>
      <c r="E148" s="365" t="str">
        <f aca="false">IF((G148&lt;&gt;0),"Enter Letter"," ")</f>
        <v> </v>
      </c>
      <c r="H148" s="338" t="str">
        <f aca="false">IF((G148&lt;&gt;0),IF((D148&gt;0)," ",G148)," ")</f>
        <v> </v>
      </c>
      <c r="I148" s="367" t="str">
        <f aca="false">IF((G148&lt;&gt;0),IF((D148&gt;0)," ",(I$1-A148))," ")</f>
        <v> </v>
      </c>
      <c r="J148" s="334" t="str">
        <f aca="false">IF((E148="s"),G148," ")</f>
        <v> </v>
      </c>
      <c r="K148" s="334" t="str">
        <f aca="false">IF((E148="d"),G148," ")</f>
        <v> </v>
      </c>
      <c r="L148" s="334" t="str">
        <f aca="false">IF((E148="e"),G148," ")</f>
        <v> </v>
      </c>
      <c r="M148" s="334" t="str">
        <f aca="false">IF((E148="p"),G148," ")</f>
        <v> </v>
      </c>
      <c r="N148" s="334" t="str">
        <f aca="false">IF((E148="r"),G148," ")</f>
        <v> </v>
      </c>
      <c r="O148" s="334" t="str">
        <f aca="false">IF((E148="g"),G148," ")</f>
        <v> </v>
      </c>
      <c r="P148" s="334" t="str">
        <f aca="false">IF((E148="m"),G148," ")</f>
        <v> </v>
      </c>
      <c r="Q148" s="334" t="str">
        <f aca="false">IF((E148="t"),G148," ")</f>
        <v> </v>
      </c>
      <c r="R148" s="334" t="str">
        <f aca="false">IF((E148="a"),G148," ")</f>
        <v> </v>
      </c>
      <c r="S148" s="334" t="str">
        <f aca="false">IF((E148="l"),G148," ")</f>
        <v> </v>
      </c>
      <c r="T148" s="334" t="str">
        <f aca="false">IF((E148="b"),G148," ")</f>
        <v> </v>
      </c>
      <c r="U148" s="334" t="str">
        <f aca="false">IF((E148="i"),G148," ")</f>
        <v> </v>
      </c>
      <c r="V148" s="334" t="str">
        <f aca="false">IF((E148="o"),G148," ")</f>
        <v> </v>
      </c>
      <c r="W148" s="334" t="str">
        <f aca="false">IF((E148="f"),G148," ")</f>
        <v> </v>
      </c>
    </row>
    <row r="149" customFormat="false" ht="12.75" hidden="false" customHeight="false" outlineLevel="0" collapsed="false">
      <c r="A149" s="355"/>
      <c r="E149" s="365" t="str">
        <f aca="false">IF((G149&lt;&gt;0),"Enter Letter"," ")</f>
        <v> </v>
      </c>
      <c r="H149" s="338" t="str">
        <f aca="false">IF((G149&lt;&gt;0),IF((D149&gt;0)," ",G149)," ")</f>
        <v> </v>
      </c>
      <c r="I149" s="367" t="str">
        <f aca="false">IF((G149&lt;&gt;0),IF((D149&gt;0)," ",(I$1-A149))," ")</f>
        <v> </v>
      </c>
      <c r="J149" s="334" t="str">
        <f aca="false">IF((E149="s"),G149," ")</f>
        <v> </v>
      </c>
      <c r="K149" s="334" t="str">
        <f aca="false">IF((E149="d"),G149," ")</f>
        <v> </v>
      </c>
      <c r="L149" s="334" t="str">
        <f aca="false">IF((E149="e"),G149," ")</f>
        <v> </v>
      </c>
      <c r="M149" s="334" t="str">
        <f aca="false">IF((E149="p"),G149," ")</f>
        <v> </v>
      </c>
      <c r="N149" s="334" t="str">
        <f aca="false">IF((E149="r"),G149," ")</f>
        <v> </v>
      </c>
      <c r="O149" s="334" t="str">
        <f aca="false">IF((E149="g"),G149," ")</f>
        <v> </v>
      </c>
      <c r="P149" s="334" t="str">
        <f aca="false">IF((E149="m"),G149," ")</f>
        <v> </v>
      </c>
      <c r="Q149" s="334" t="str">
        <f aca="false">IF((E149="t"),G149," ")</f>
        <v> </v>
      </c>
      <c r="R149" s="334" t="str">
        <f aca="false">IF((E149="a"),G149," ")</f>
        <v> </v>
      </c>
      <c r="S149" s="334" t="str">
        <f aca="false">IF((E149="l"),G149," ")</f>
        <v> </v>
      </c>
      <c r="T149" s="334" t="str">
        <f aca="false">IF((E149="b"),G149," ")</f>
        <v> </v>
      </c>
      <c r="U149" s="334" t="str">
        <f aca="false">IF((E149="i"),G149," ")</f>
        <v> </v>
      </c>
      <c r="V149" s="334" t="str">
        <f aca="false">IF((E149="o"),G149," ")</f>
        <v> </v>
      </c>
      <c r="W149" s="334" t="str">
        <f aca="false">IF((E149="f"),G149," ")</f>
        <v> </v>
      </c>
    </row>
    <row r="150" customFormat="false" ht="12.75" hidden="false" customHeight="false" outlineLevel="0" collapsed="false">
      <c r="A150" s="355"/>
      <c r="E150" s="365" t="str">
        <f aca="false">IF((G150&lt;&gt;0),"Enter Letter"," ")</f>
        <v> </v>
      </c>
      <c r="H150" s="338" t="str">
        <f aca="false">IF((G150&lt;&gt;0),IF((D150&gt;0)," ",G150)," ")</f>
        <v> </v>
      </c>
      <c r="I150" s="367" t="str">
        <f aca="false">IF((G150&lt;&gt;0),IF((D150&gt;0)," ",(I$1-A150))," ")</f>
        <v> </v>
      </c>
      <c r="J150" s="334" t="str">
        <f aca="false">IF((E150="s"),G150," ")</f>
        <v> </v>
      </c>
      <c r="K150" s="334" t="str">
        <f aca="false">IF((E150="d"),G150," ")</f>
        <v> </v>
      </c>
      <c r="L150" s="334" t="str">
        <f aca="false">IF((E150="e"),G150," ")</f>
        <v> </v>
      </c>
      <c r="M150" s="334" t="str">
        <f aca="false">IF((E150="p"),G150," ")</f>
        <v> </v>
      </c>
      <c r="N150" s="334" t="str">
        <f aca="false">IF((E150="r"),G150," ")</f>
        <v> </v>
      </c>
      <c r="O150" s="334" t="str">
        <f aca="false">IF((E150="g"),G150," ")</f>
        <v> </v>
      </c>
      <c r="P150" s="334" t="str">
        <f aca="false">IF((E150="m"),G150," ")</f>
        <v> </v>
      </c>
      <c r="Q150" s="334" t="str">
        <f aca="false">IF((E150="t"),G150," ")</f>
        <v> </v>
      </c>
      <c r="R150" s="334" t="str">
        <f aca="false">IF((E150="a"),G150," ")</f>
        <v> </v>
      </c>
      <c r="S150" s="334" t="str">
        <f aca="false">IF((E150="l"),G150," ")</f>
        <v> </v>
      </c>
      <c r="T150" s="334" t="str">
        <f aca="false">IF((E150="b"),G150," ")</f>
        <v> </v>
      </c>
      <c r="U150" s="334" t="str">
        <f aca="false">IF((E150="i"),G150," ")</f>
        <v> </v>
      </c>
      <c r="V150" s="334" t="str">
        <f aca="false">IF((E150="o"),G150," ")</f>
        <v> </v>
      </c>
      <c r="W150" s="334" t="str">
        <f aca="false">IF((E150="f"),G150," ")</f>
        <v> </v>
      </c>
    </row>
    <row r="151" customFormat="false" ht="12.75" hidden="false" customHeight="false" outlineLevel="0" collapsed="false">
      <c r="A151" s="355"/>
      <c r="E151" s="365" t="str">
        <f aca="false">IF((G151&lt;&gt;0),"Enter Letter"," ")</f>
        <v> </v>
      </c>
      <c r="H151" s="338" t="str">
        <f aca="false">IF((G151&lt;&gt;0),IF((D151&gt;0)," ",G151)," ")</f>
        <v> </v>
      </c>
      <c r="I151" s="367" t="str">
        <f aca="false">IF((G151&lt;&gt;0),IF((D151&gt;0)," ",(I$1-A151))," ")</f>
        <v> </v>
      </c>
      <c r="J151" s="334" t="str">
        <f aca="false">IF((E151="s"),G151," ")</f>
        <v> </v>
      </c>
      <c r="K151" s="334" t="str">
        <f aca="false">IF((E151="d"),G151," ")</f>
        <v> </v>
      </c>
      <c r="L151" s="334" t="str">
        <f aca="false">IF((E151="e"),G151," ")</f>
        <v> </v>
      </c>
      <c r="M151" s="334" t="str">
        <f aca="false">IF((E151="p"),G151," ")</f>
        <v> </v>
      </c>
      <c r="N151" s="334" t="str">
        <f aca="false">IF((E151="r"),G151," ")</f>
        <v> </v>
      </c>
      <c r="O151" s="334" t="str">
        <f aca="false">IF((E151="g"),G151," ")</f>
        <v> </v>
      </c>
      <c r="P151" s="334" t="str">
        <f aca="false">IF((E151="m"),G151," ")</f>
        <v> </v>
      </c>
      <c r="Q151" s="334" t="str">
        <f aca="false">IF((E151="t"),G151," ")</f>
        <v> </v>
      </c>
      <c r="R151" s="334" t="str">
        <f aca="false">IF((E151="a"),G151," ")</f>
        <v> </v>
      </c>
      <c r="S151" s="334" t="str">
        <f aca="false">IF((E151="l"),G151," ")</f>
        <v> </v>
      </c>
      <c r="T151" s="334" t="str">
        <f aca="false">IF((E151="b"),G151," ")</f>
        <v> </v>
      </c>
      <c r="U151" s="334" t="str">
        <f aca="false">IF((E151="i"),G151," ")</f>
        <v> </v>
      </c>
      <c r="V151" s="334" t="str">
        <f aca="false">IF((E151="o"),G151," ")</f>
        <v> </v>
      </c>
      <c r="W151" s="334" t="str">
        <f aca="false">IF((E151="f"),G151," ")</f>
        <v> </v>
      </c>
    </row>
    <row r="152" customFormat="false" ht="12.75" hidden="false" customHeight="false" outlineLevel="0" collapsed="false">
      <c r="A152" s="355"/>
      <c r="E152" s="365" t="str">
        <f aca="false">IF((G152&lt;&gt;0),"Enter Letter"," ")</f>
        <v> </v>
      </c>
      <c r="H152" s="338" t="str">
        <f aca="false">IF((G152&lt;&gt;0),IF((D152&gt;0)," ",G152)," ")</f>
        <v> </v>
      </c>
      <c r="I152" s="367" t="str">
        <f aca="false">IF((G152&lt;&gt;0),IF((D152&gt;0)," ",(I$1-A152))," ")</f>
        <v> </v>
      </c>
      <c r="J152" s="334" t="str">
        <f aca="false">IF((E152="s"),G152," ")</f>
        <v> </v>
      </c>
      <c r="K152" s="334" t="str">
        <f aca="false">IF((E152="d"),G152," ")</f>
        <v> </v>
      </c>
      <c r="L152" s="334" t="str">
        <f aca="false">IF((E152="e"),G152," ")</f>
        <v> </v>
      </c>
      <c r="M152" s="334" t="str">
        <f aca="false">IF((E152="p"),G152," ")</f>
        <v> </v>
      </c>
      <c r="N152" s="334" t="str">
        <f aca="false">IF((E152="r"),G152," ")</f>
        <v> </v>
      </c>
      <c r="O152" s="334" t="str">
        <f aca="false">IF((E152="g"),G152," ")</f>
        <v> </v>
      </c>
      <c r="P152" s="334" t="str">
        <f aca="false">IF((E152="m"),G152," ")</f>
        <v> </v>
      </c>
      <c r="Q152" s="334" t="str">
        <f aca="false">IF((E152="t"),G152," ")</f>
        <v> </v>
      </c>
      <c r="R152" s="334" t="str">
        <f aca="false">IF((E152="a"),G152," ")</f>
        <v> </v>
      </c>
      <c r="S152" s="334" t="str">
        <f aca="false">IF((E152="l"),G152," ")</f>
        <v> </v>
      </c>
      <c r="T152" s="334" t="str">
        <f aca="false">IF((E152="b"),G152," ")</f>
        <v> </v>
      </c>
      <c r="U152" s="334" t="str">
        <f aca="false">IF((E152="i"),G152," ")</f>
        <v> </v>
      </c>
      <c r="V152" s="334" t="str">
        <f aca="false">IF((E152="o"),G152," ")</f>
        <v> </v>
      </c>
      <c r="W152" s="334" t="str">
        <f aca="false">IF((E152="f"),G152," ")</f>
        <v> </v>
      </c>
    </row>
    <row r="153" customFormat="false" ht="12.75" hidden="false" customHeight="false" outlineLevel="0" collapsed="false">
      <c r="A153" s="355"/>
      <c r="E153" s="365" t="str">
        <f aca="false">IF((G153&lt;&gt;0),"Enter Letter"," ")</f>
        <v> </v>
      </c>
      <c r="H153" s="338" t="str">
        <f aca="false">IF((G153&lt;&gt;0),IF((D153&gt;0)," ",G153)," ")</f>
        <v> </v>
      </c>
      <c r="I153" s="367" t="str">
        <f aca="false">IF((G153&lt;&gt;0),IF((D153&gt;0)," ",(I$1-A153))," ")</f>
        <v> </v>
      </c>
      <c r="J153" s="334" t="str">
        <f aca="false">IF((E153="s"),G153," ")</f>
        <v> </v>
      </c>
      <c r="K153" s="334" t="str">
        <f aca="false">IF((E153="d"),G153," ")</f>
        <v> </v>
      </c>
      <c r="L153" s="334" t="str">
        <f aca="false">IF((E153="e"),G153," ")</f>
        <v> </v>
      </c>
      <c r="M153" s="334" t="str">
        <f aca="false">IF((E153="p"),G153," ")</f>
        <v> </v>
      </c>
      <c r="N153" s="334" t="str">
        <f aca="false">IF((E153="r"),G153," ")</f>
        <v> </v>
      </c>
      <c r="O153" s="334" t="str">
        <f aca="false">IF((E153="g"),G153," ")</f>
        <v> </v>
      </c>
      <c r="P153" s="334" t="str">
        <f aca="false">IF((E153="m"),G153," ")</f>
        <v> </v>
      </c>
      <c r="Q153" s="334" t="str">
        <f aca="false">IF((E153="t"),G153," ")</f>
        <v> </v>
      </c>
      <c r="R153" s="334" t="str">
        <f aca="false">IF((E153="a"),G153," ")</f>
        <v> </v>
      </c>
      <c r="S153" s="334" t="str">
        <f aca="false">IF((E153="l"),G153," ")</f>
        <v> </v>
      </c>
      <c r="T153" s="334" t="str">
        <f aca="false">IF((E153="b"),G153," ")</f>
        <v> </v>
      </c>
      <c r="U153" s="334" t="str">
        <f aca="false">IF((E153="i"),G153," ")</f>
        <v> </v>
      </c>
      <c r="V153" s="334" t="str">
        <f aca="false">IF((E153="o"),G153," ")</f>
        <v> </v>
      </c>
      <c r="W153" s="334" t="str">
        <f aca="false">IF((E153="f"),G153," ")</f>
        <v> </v>
      </c>
    </row>
    <row r="154" customFormat="false" ht="12.75" hidden="false" customHeight="false" outlineLevel="0" collapsed="false">
      <c r="A154" s="355"/>
      <c r="E154" s="365" t="str">
        <f aca="false">IF((G154&lt;&gt;0),"Enter Letter"," ")</f>
        <v> </v>
      </c>
      <c r="H154" s="338" t="str">
        <f aca="false">IF((G154&lt;&gt;0),IF((D154&gt;0)," ",G154)," ")</f>
        <v> </v>
      </c>
      <c r="I154" s="367" t="str">
        <f aca="false">IF((G154&lt;&gt;0),IF((D154&gt;0)," ",(I$1-A154))," ")</f>
        <v> </v>
      </c>
      <c r="J154" s="334" t="str">
        <f aca="false">IF((E154="s"),G154," ")</f>
        <v> </v>
      </c>
      <c r="K154" s="334" t="str">
        <f aca="false">IF((E154="d"),G154," ")</f>
        <v> </v>
      </c>
      <c r="L154" s="334" t="str">
        <f aca="false">IF((E154="e"),G154," ")</f>
        <v> </v>
      </c>
      <c r="M154" s="334" t="str">
        <f aca="false">IF((E154="p"),G154," ")</f>
        <v> </v>
      </c>
      <c r="N154" s="334" t="str">
        <f aca="false">IF((E154="r"),G154," ")</f>
        <v> </v>
      </c>
      <c r="O154" s="334" t="str">
        <f aca="false">IF((E154="g"),G154," ")</f>
        <v> </v>
      </c>
      <c r="P154" s="334" t="str">
        <f aca="false">IF((E154="m"),G154," ")</f>
        <v> </v>
      </c>
      <c r="Q154" s="334" t="str">
        <f aca="false">IF((E154="t"),G154," ")</f>
        <v> </v>
      </c>
      <c r="R154" s="334" t="str">
        <f aca="false">IF((E154="a"),G154," ")</f>
        <v> </v>
      </c>
      <c r="S154" s="334" t="str">
        <f aca="false">IF((E154="l"),G154," ")</f>
        <v> </v>
      </c>
      <c r="T154" s="334" t="str">
        <f aca="false">IF((E154="b"),G154," ")</f>
        <v> </v>
      </c>
      <c r="U154" s="334" t="str">
        <f aca="false">IF((E154="i"),G154," ")</f>
        <v> </v>
      </c>
      <c r="V154" s="334" t="str">
        <f aca="false">IF((E154="o"),G154," ")</f>
        <v> </v>
      </c>
      <c r="W154" s="334" t="str">
        <f aca="false">IF((E154="f"),G154," ")</f>
        <v> </v>
      </c>
    </row>
    <row r="155" customFormat="false" ht="12.75" hidden="false" customHeight="false" outlineLevel="0" collapsed="false">
      <c r="A155" s="355"/>
      <c r="E155" s="365" t="str">
        <f aca="false">IF((G155&lt;&gt;0),"Enter Letter"," ")</f>
        <v> </v>
      </c>
      <c r="H155" s="338" t="str">
        <f aca="false">IF((G155&lt;&gt;0),IF((D155&gt;0)," ",G155)," ")</f>
        <v> </v>
      </c>
      <c r="I155" s="367" t="str">
        <f aca="false">IF((G155&lt;&gt;0),IF((D155&gt;0)," ",(I$1-A155))," ")</f>
        <v> </v>
      </c>
      <c r="J155" s="334" t="str">
        <f aca="false">IF((E155="s"),G155," ")</f>
        <v> </v>
      </c>
      <c r="K155" s="334" t="str">
        <f aca="false">IF((E155="d"),G155," ")</f>
        <v> </v>
      </c>
      <c r="L155" s="334" t="str">
        <f aca="false">IF((E155="e"),G155," ")</f>
        <v> </v>
      </c>
      <c r="M155" s="334" t="str">
        <f aca="false">IF((E155="p"),G155," ")</f>
        <v> </v>
      </c>
      <c r="N155" s="334" t="str">
        <f aca="false">IF((E155="r"),G155," ")</f>
        <v> </v>
      </c>
      <c r="O155" s="334" t="str">
        <f aca="false">IF((E155="g"),G155," ")</f>
        <v> </v>
      </c>
      <c r="P155" s="334" t="str">
        <f aca="false">IF((E155="m"),G155," ")</f>
        <v> </v>
      </c>
      <c r="Q155" s="334" t="str">
        <f aca="false">IF((E155="t"),G155," ")</f>
        <v> </v>
      </c>
      <c r="R155" s="334" t="str">
        <f aca="false">IF((E155="a"),G155," ")</f>
        <v> </v>
      </c>
      <c r="S155" s="334" t="str">
        <f aca="false">IF((E155="l"),G155," ")</f>
        <v> </v>
      </c>
      <c r="T155" s="334" t="str">
        <f aca="false">IF((E155="b"),G155," ")</f>
        <v> </v>
      </c>
      <c r="U155" s="334" t="str">
        <f aca="false">IF((E155="i"),G155," ")</f>
        <v> </v>
      </c>
      <c r="V155" s="334" t="str">
        <f aca="false">IF((E155="o"),G155," ")</f>
        <v> </v>
      </c>
      <c r="W155" s="334" t="str">
        <f aca="false">IF((E155="f"),G155," ")</f>
        <v> </v>
      </c>
    </row>
    <row r="156" customFormat="false" ht="12.75" hidden="false" customHeight="false" outlineLevel="0" collapsed="false">
      <c r="A156" s="355"/>
      <c r="E156" s="365" t="str">
        <f aca="false">IF((G156&lt;&gt;0),"Enter Letter"," ")</f>
        <v> </v>
      </c>
      <c r="H156" s="338" t="str">
        <f aca="false">IF((G156&lt;&gt;0),IF((D156&gt;0)," ",G156)," ")</f>
        <v> </v>
      </c>
      <c r="I156" s="367" t="str">
        <f aca="false">IF((G156&lt;&gt;0),IF((D156&gt;0)," ",(I$1-A156))," ")</f>
        <v> </v>
      </c>
      <c r="J156" s="334" t="str">
        <f aca="false">IF((E156="s"),G156," ")</f>
        <v> </v>
      </c>
      <c r="K156" s="334" t="str">
        <f aca="false">IF((E156="d"),G156," ")</f>
        <v> </v>
      </c>
      <c r="L156" s="334" t="str">
        <f aca="false">IF((E156="e"),G156," ")</f>
        <v> </v>
      </c>
      <c r="M156" s="334" t="str">
        <f aca="false">IF((E156="p"),G156," ")</f>
        <v> </v>
      </c>
      <c r="N156" s="334" t="str">
        <f aca="false">IF((E156="r"),G156," ")</f>
        <v> </v>
      </c>
      <c r="O156" s="334" t="str">
        <f aca="false">IF((E156="g"),G156," ")</f>
        <v> </v>
      </c>
      <c r="P156" s="334" t="str">
        <f aca="false">IF((E156="m"),G156," ")</f>
        <v> </v>
      </c>
      <c r="Q156" s="334" t="str">
        <f aca="false">IF((E156="t"),G156," ")</f>
        <v> </v>
      </c>
      <c r="R156" s="334" t="str">
        <f aca="false">IF((E156="a"),G156," ")</f>
        <v> </v>
      </c>
      <c r="S156" s="334" t="str">
        <f aca="false">IF((E156="l"),G156," ")</f>
        <v> </v>
      </c>
      <c r="T156" s="334" t="str">
        <f aca="false">IF((E156="b"),G156," ")</f>
        <v> </v>
      </c>
      <c r="U156" s="334" t="str">
        <f aca="false">IF((E156="i"),G156," ")</f>
        <v> </v>
      </c>
      <c r="V156" s="334" t="str">
        <f aca="false">IF((E156="o"),G156," ")</f>
        <v> </v>
      </c>
      <c r="W156" s="334" t="str">
        <f aca="false">IF((E156="f"),G156," ")</f>
        <v> </v>
      </c>
    </row>
    <row r="157" customFormat="false" ht="12.75" hidden="false" customHeight="false" outlineLevel="0" collapsed="false">
      <c r="A157" s="355"/>
      <c r="E157" s="365" t="str">
        <f aca="false">IF((G157&lt;&gt;0),"Enter Letter"," ")</f>
        <v> </v>
      </c>
      <c r="H157" s="338" t="str">
        <f aca="false">IF((G157&lt;&gt;0),IF((D157&gt;0)," ",G157)," ")</f>
        <v> </v>
      </c>
      <c r="I157" s="367" t="str">
        <f aca="false">IF((G157&lt;&gt;0),IF((D157&gt;0)," ",(I$1-A157))," ")</f>
        <v> </v>
      </c>
      <c r="J157" s="334" t="str">
        <f aca="false">IF((E157="s"),G157," ")</f>
        <v> </v>
      </c>
      <c r="K157" s="334" t="str">
        <f aca="false">IF((E157="d"),G157," ")</f>
        <v> </v>
      </c>
      <c r="L157" s="334" t="str">
        <f aca="false">IF((E157="e"),G157," ")</f>
        <v> </v>
      </c>
      <c r="M157" s="334" t="str">
        <f aca="false">IF((E157="p"),G157," ")</f>
        <v> </v>
      </c>
      <c r="N157" s="334" t="str">
        <f aca="false">IF((E157="r"),G157," ")</f>
        <v> </v>
      </c>
      <c r="O157" s="334" t="str">
        <f aca="false">IF((E157="g"),G157," ")</f>
        <v> </v>
      </c>
      <c r="P157" s="334" t="str">
        <f aca="false">IF((E157="m"),G157," ")</f>
        <v> </v>
      </c>
      <c r="Q157" s="334" t="str">
        <f aca="false">IF((E157="t"),G157," ")</f>
        <v> </v>
      </c>
      <c r="R157" s="334" t="str">
        <f aca="false">IF((E157="a"),G157," ")</f>
        <v> </v>
      </c>
      <c r="S157" s="334" t="str">
        <f aca="false">IF((E157="l"),G157," ")</f>
        <v> </v>
      </c>
      <c r="T157" s="334" t="str">
        <f aca="false">IF((E157="b"),G157," ")</f>
        <v> </v>
      </c>
      <c r="U157" s="334" t="str">
        <f aca="false">IF((E157="i"),G157," ")</f>
        <v> </v>
      </c>
      <c r="V157" s="334" t="str">
        <f aca="false">IF((E157="o"),G157," ")</f>
        <v> </v>
      </c>
      <c r="W157" s="334" t="str">
        <f aca="false">IF((E157="f"),G157," ")</f>
        <v> </v>
      </c>
    </row>
    <row r="158" customFormat="false" ht="12.75" hidden="false" customHeight="false" outlineLevel="0" collapsed="false">
      <c r="A158" s="355"/>
      <c r="E158" s="365" t="str">
        <f aca="false">IF((G158&lt;&gt;0),"Enter Letter"," ")</f>
        <v> </v>
      </c>
      <c r="H158" s="338" t="str">
        <f aca="false">IF((G158&lt;&gt;0),IF((D158&gt;0)," ",G158)," ")</f>
        <v> </v>
      </c>
      <c r="I158" s="367" t="str">
        <f aca="false">IF((G158&lt;&gt;0),IF((D158&gt;0)," ",(I$1-A158))," ")</f>
        <v> </v>
      </c>
      <c r="J158" s="334" t="str">
        <f aca="false">IF((E158="s"),G158," ")</f>
        <v> </v>
      </c>
      <c r="K158" s="334" t="str">
        <f aca="false">IF((E158="d"),G158," ")</f>
        <v> </v>
      </c>
      <c r="L158" s="334" t="str">
        <f aca="false">IF((E158="e"),G158," ")</f>
        <v> </v>
      </c>
      <c r="M158" s="334" t="str">
        <f aca="false">IF((E158="p"),G158," ")</f>
        <v> </v>
      </c>
      <c r="N158" s="334" t="str">
        <f aca="false">IF((E158="r"),G158," ")</f>
        <v> </v>
      </c>
      <c r="O158" s="334" t="str">
        <f aca="false">IF((E158="g"),G158," ")</f>
        <v> </v>
      </c>
      <c r="P158" s="334" t="str">
        <f aca="false">IF((E158="m"),G158," ")</f>
        <v> </v>
      </c>
      <c r="Q158" s="334" t="str">
        <f aca="false">IF((E158="t"),G158," ")</f>
        <v> </v>
      </c>
      <c r="R158" s="334" t="str">
        <f aca="false">IF((E158="a"),G158," ")</f>
        <v> </v>
      </c>
      <c r="S158" s="334" t="str">
        <f aca="false">IF((E158="l"),G158," ")</f>
        <v> </v>
      </c>
      <c r="T158" s="334" t="str">
        <f aca="false">IF((E158="b"),G158," ")</f>
        <v> </v>
      </c>
      <c r="U158" s="334" t="str">
        <f aca="false">IF((E158="i"),G158," ")</f>
        <v> </v>
      </c>
      <c r="V158" s="334" t="str">
        <f aca="false">IF((E158="o"),G158," ")</f>
        <v> </v>
      </c>
      <c r="W158" s="334" t="str">
        <f aca="false">IF((E158="f"),G158," ")</f>
        <v> </v>
      </c>
    </row>
    <row r="159" customFormat="false" ht="12.75" hidden="false" customHeight="false" outlineLevel="0" collapsed="false">
      <c r="A159" s="355"/>
      <c r="E159" s="365" t="str">
        <f aca="false">IF((G159&lt;&gt;0),"Enter Letter"," ")</f>
        <v> </v>
      </c>
      <c r="H159" s="338" t="str">
        <f aca="false">IF((G159&lt;&gt;0),IF((D159&gt;0)," ",G159)," ")</f>
        <v> </v>
      </c>
      <c r="I159" s="367" t="str">
        <f aca="false">IF((G159&lt;&gt;0),IF((D159&gt;0)," ",(I$1-A159))," ")</f>
        <v> </v>
      </c>
      <c r="J159" s="334" t="str">
        <f aca="false">IF((E159="s"),G159," ")</f>
        <v> </v>
      </c>
      <c r="K159" s="334" t="str">
        <f aca="false">IF((E159="d"),G159," ")</f>
        <v> </v>
      </c>
      <c r="L159" s="334" t="str">
        <f aca="false">IF((E159="e"),G159," ")</f>
        <v> </v>
      </c>
      <c r="M159" s="334" t="str">
        <f aca="false">IF((E159="p"),G159," ")</f>
        <v> </v>
      </c>
      <c r="N159" s="334" t="str">
        <f aca="false">IF((E159="r"),G159," ")</f>
        <v> </v>
      </c>
      <c r="O159" s="334" t="str">
        <f aca="false">IF((E159="g"),G159," ")</f>
        <v> </v>
      </c>
      <c r="P159" s="334" t="str">
        <f aca="false">IF((E159="m"),G159," ")</f>
        <v> </v>
      </c>
      <c r="Q159" s="334" t="str">
        <f aca="false">IF((E159="t"),G159," ")</f>
        <v> </v>
      </c>
      <c r="R159" s="334" t="str">
        <f aca="false">IF((E159="a"),G159," ")</f>
        <v> </v>
      </c>
      <c r="S159" s="334" t="str">
        <f aca="false">IF((E159="l"),G159," ")</f>
        <v> </v>
      </c>
      <c r="T159" s="334" t="str">
        <f aca="false">IF((E159="b"),G159," ")</f>
        <v> </v>
      </c>
      <c r="U159" s="334" t="str">
        <f aca="false">IF((E159="i"),G159," ")</f>
        <v> </v>
      </c>
      <c r="V159" s="334" t="str">
        <f aca="false">IF((E159="o"),G159," ")</f>
        <v> </v>
      </c>
      <c r="W159" s="334" t="str">
        <f aca="false">IF((E159="f"),G159," ")</f>
        <v> </v>
      </c>
    </row>
    <row r="160" customFormat="false" ht="12.75" hidden="false" customHeight="false" outlineLevel="0" collapsed="false">
      <c r="A160" s="355"/>
      <c r="E160" s="365" t="str">
        <f aca="false">IF((G160&lt;&gt;0),"Enter Letter"," ")</f>
        <v> </v>
      </c>
      <c r="H160" s="338" t="str">
        <f aca="false">IF((G160&lt;&gt;0),IF((D160&gt;0)," ",G160)," ")</f>
        <v> </v>
      </c>
      <c r="I160" s="367" t="str">
        <f aca="false">IF((G160&lt;&gt;0),IF((D160&gt;0)," ",(I$1-A160))," ")</f>
        <v> </v>
      </c>
      <c r="J160" s="334" t="str">
        <f aca="false">IF((E160="s"),G160," ")</f>
        <v> </v>
      </c>
      <c r="K160" s="334" t="str">
        <f aca="false">IF((E160="d"),G160," ")</f>
        <v> </v>
      </c>
      <c r="L160" s="334" t="str">
        <f aca="false">IF((E160="e"),G160," ")</f>
        <v> </v>
      </c>
      <c r="M160" s="334" t="str">
        <f aca="false">IF((E160="p"),G160," ")</f>
        <v> </v>
      </c>
      <c r="N160" s="334" t="str">
        <f aca="false">IF((E160="r"),G160," ")</f>
        <v> </v>
      </c>
      <c r="O160" s="334" t="str">
        <f aca="false">IF((E160="g"),G160," ")</f>
        <v> </v>
      </c>
      <c r="P160" s="334" t="str">
        <f aca="false">IF((E160="m"),G160," ")</f>
        <v> </v>
      </c>
      <c r="Q160" s="334" t="str">
        <f aca="false">IF((E160="t"),G160," ")</f>
        <v> </v>
      </c>
      <c r="R160" s="334" t="str">
        <f aca="false">IF((E160="a"),G160," ")</f>
        <v> </v>
      </c>
      <c r="S160" s="334" t="str">
        <f aca="false">IF((E160="l"),G160," ")</f>
        <v> </v>
      </c>
      <c r="T160" s="334" t="str">
        <f aca="false">IF((E160="b"),G160," ")</f>
        <v> </v>
      </c>
      <c r="U160" s="334" t="str">
        <f aca="false">IF((E160="i"),G160," ")</f>
        <v> </v>
      </c>
      <c r="V160" s="334" t="str">
        <f aca="false">IF((E160="o"),G160," ")</f>
        <v> </v>
      </c>
      <c r="W160" s="334" t="str">
        <f aca="false">IF((E160="f"),G160," ")</f>
        <v> </v>
      </c>
    </row>
    <row r="161" customFormat="false" ht="12.75" hidden="false" customHeight="false" outlineLevel="0" collapsed="false">
      <c r="A161" s="355"/>
      <c r="E161" s="365" t="str">
        <f aca="false">IF((G161&lt;&gt;0),"Enter Letter"," ")</f>
        <v> </v>
      </c>
      <c r="H161" s="338" t="str">
        <f aca="false">IF((G161&lt;&gt;0),IF((D161&gt;0)," ",G161)," ")</f>
        <v> </v>
      </c>
      <c r="I161" s="367" t="str">
        <f aca="false">IF((G161&lt;&gt;0),IF((D161&gt;0)," ",(I$1-A161))," ")</f>
        <v> </v>
      </c>
      <c r="J161" s="334" t="str">
        <f aca="false">IF((E161="s"),G161," ")</f>
        <v> </v>
      </c>
      <c r="K161" s="334" t="str">
        <f aca="false">IF((E161="d"),G161," ")</f>
        <v> </v>
      </c>
      <c r="L161" s="334" t="str">
        <f aca="false">IF((E161="e"),G161," ")</f>
        <v> </v>
      </c>
      <c r="M161" s="334" t="str">
        <f aca="false">IF((E161="p"),G161," ")</f>
        <v> </v>
      </c>
      <c r="N161" s="334" t="str">
        <f aca="false">IF((E161="r"),G161," ")</f>
        <v> </v>
      </c>
      <c r="O161" s="334" t="str">
        <f aca="false">IF((E161="g"),G161," ")</f>
        <v> </v>
      </c>
      <c r="P161" s="334" t="str">
        <f aca="false">IF((E161="m"),G161," ")</f>
        <v> </v>
      </c>
      <c r="Q161" s="334" t="str">
        <f aca="false">IF((E161="t"),G161," ")</f>
        <v> </v>
      </c>
      <c r="R161" s="334" t="str">
        <f aca="false">IF((E161="a"),G161," ")</f>
        <v> </v>
      </c>
      <c r="S161" s="334" t="str">
        <f aca="false">IF((E161="l"),G161," ")</f>
        <v> </v>
      </c>
      <c r="T161" s="334" t="str">
        <f aca="false">IF((E161="b"),G161," ")</f>
        <v> </v>
      </c>
      <c r="U161" s="334" t="str">
        <f aca="false">IF((E161="i"),G161," ")</f>
        <v> </v>
      </c>
      <c r="V161" s="334" t="str">
        <f aca="false">IF((E161="o"),G161," ")</f>
        <v> </v>
      </c>
      <c r="W161" s="334" t="str">
        <f aca="false">IF((E161="f"),G161," ")</f>
        <v> </v>
      </c>
    </row>
    <row r="162" customFormat="false" ht="12.75" hidden="false" customHeight="false" outlineLevel="0" collapsed="false">
      <c r="A162" s="355"/>
      <c r="E162" s="365" t="str">
        <f aca="false">IF((G162&lt;&gt;0),"Enter Letter"," ")</f>
        <v> </v>
      </c>
      <c r="H162" s="338" t="str">
        <f aca="false">IF((G162&lt;&gt;0),IF((D162&gt;0)," ",G162)," ")</f>
        <v> </v>
      </c>
      <c r="I162" s="367" t="str">
        <f aca="false">IF((G162&lt;&gt;0),IF((D162&gt;0)," ",(I$1-A162))," ")</f>
        <v> </v>
      </c>
      <c r="J162" s="334" t="str">
        <f aca="false">IF((E162="s"),G162," ")</f>
        <v> </v>
      </c>
      <c r="K162" s="334" t="str">
        <f aca="false">IF((E162="d"),G162," ")</f>
        <v> </v>
      </c>
      <c r="L162" s="334" t="str">
        <f aca="false">IF((E162="e"),G162," ")</f>
        <v> </v>
      </c>
      <c r="M162" s="334" t="str">
        <f aca="false">IF((E162="p"),G162," ")</f>
        <v> </v>
      </c>
      <c r="N162" s="334" t="str">
        <f aca="false">IF((E162="r"),G162," ")</f>
        <v> </v>
      </c>
      <c r="O162" s="334" t="str">
        <f aca="false">IF((E162="g"),G162," ")</f>
        <v> </v>
      </c>
      <c r="P162" s="334" t="str">
        <f aca="false">IF((E162="m"),G162," ")</f>
        <v> </v>
      </c>
      <c r="Q162" s="334" t="str">
        <f aca="false">IF((E162="t"),G162," ")</f>
        <v> </v>
      </c>
      <c r="R162" s="334" t="str">
        <f aca="false">IF((E162="a"),G162," ")</f>
        <v> </v>
      </c>
      <c r="S162" s="334" t="str">
        <f aca="false">IF((E162="l"),G162," ")</f>
        <v> </v>
      </c>
      <c r="T162" s="334" t="str">
        <f aca="false">IF((E162="b"),G162," ")</f>
        <v> </v>
      </c>
      <c r="U162" s="334" t="str">
        <f aca="false">IF((E162="i"),G162," ")</f>
        <v> </v>
      </c>
      <c r="V162" s="334" t="str">
        <f aca="false">IF((E162="o"),G162," ")</f>
        <v> </v>
      </c>
      <c r="W162" s="334" t="str">
        <f aca="false">IF((E162="f"),G162," ")</f>
        <v> </v>
      </c>
    </row>
    <row r="163" customFormat="false" ht="12.75" hidden="false" customHeight="false" outlineLevel="0" collapsed="false">
      <c r="A163" s="355"/>
      <c r="E163" s="365" t="str">
        <f aca="false">IF((G163&lt;&gt;0),"Enter Letter"," ")</f>
        <v> </v>
      </c>
      <c r="H163" s="338" t="str">
        <f aca="false">IF((G163&lt;&gt;0),IF((D163&gt;0)," ",G163)," ")</f>
        <v> </v>
      </c>
      <c r="I163" s="367" t="str">
        <f aca="false">IF((G163&lt;&gt;0),IF((D163&gt;0)," ",(I$1-A163))," ")</f>
        <v> </v>
      </c>
      <c r="J163" s="334" t="str">
        <f aca="false">IF((E163="s"),G163," ")</f>
        <v> </v>
      </c>
      <c r="K163" s="334" t="str">
        <f aca="false">IF((E163="d"),G163," ")</f>
        <v> </v>
      </c>
      <c r="L163" s="334" t="str">
        <f aca="false">IF((E163="e"),G163," ")</f>
        <v> </v>
      </c>
      <c r="M163" s="334" t="str">
        <f aca="false">IF((E163="p"),G163," ")</f>
        <v> </v>
      </c>
      <c r="N163" s="334" t="str">
        <f aca="false">IF((E163="r"),G163," ")</f>
        <v> </v>
      </c>
      <c r="O163" s="334" t="str">
        <f aca="false">IF((E163="g"),G163," ")</f>
        <v> </v>
      </c>
      <c r="P163" s="334" t="str">
        <f aca="false">IF((E163="m"),G163," ")</f>
        <v> </v>
      </c>
      <c r="Q163" s="334" t="str">
        <f aca="false">IF((E163="t"),G163," ")</f>
        <v> </v>
      </c>
      <c r="R163" s="334" t="str">
        <f aca="false">IF((E163="a"),G163," ")</f>
        <v> </v>
      </c>
      <c r="S163" s="334" t="str">
        <f aca="false">IF((E163="l"),G163," ")</f>
        <v> </v>
      </c>
      <c r="T163" s="334" t="str">
        <f aca="false">IF((E163="b"),G163," ")</f>
        <v> </v>
      </c>
      <c r="U163" s="334" t="str">
        <f aca="false">IF((E163="i"),G163," ")</f>
        <v> </v>
      </c>
      <c r="V163" s="334" t="str">
        <f aca="false">IF((E163="o"),G163," ")</f>
        <v> </v>
      </c>
      <c r="W163" s="334" t="str">
        <f aca="false">IF((E163="f"),G163," ")</f>
        <v> </v>
      </c>
    </row>
    <row r="164" customFormat="false" ht="12.75" hidden="false" customHeight="false" outlineLevel="0" collapsed="false">
      <c r="A164" s="355"/>
      <c r="E164" s="365" t="str">
        <f aca="false">IF((G164&lt;&gt;0),"Enter Letter"," ")</f>
        <v> </v>
      </c>
      <c r="H164" s="338" t="str">
        <f aca="false">IF((G164&lt;&gt;0),IF((D164&gt;0)," ",G164)," ")</f>
        <v> </v>
      </c>
      <c r="I164" s="367" t="str">
        <f aca="false">IF((G164&lt;&gt;0),IF((D164&gt;0)," ",(I$1-A164))," ")</f>
        <v> </v>
      </c>
      <c r="J164" s="334" t="str">
        <f aca="false">IF((E164="s"),G164," ")</f>
        <v> </v>
      </c>
      <c r="K164" s="334" t="str">
        <f aca="false">IF((E164="d"),G164," ")</f>
        <v> </v>
      </c>
      <c r="L164" s="334" t="str">
        <f aca="false">IF((E164="e"),G164," ")</f>
        <v> </v>
      </c>
      <c r="M164" s="334" t="str">
        <f aca="false">IF((E164="p"),G164," ")</f>
        <v> </v>
      </c>
      <c r="N164" s="334" t="str">
        <f aca="false">IF((E164="r"),G164," ")</f>
        <v> </v>
      </c>
      <c r="O164" s="334" t="str">
        <f aca="false">IF((E164="g"),G164," ")</f>
        <v> </v>
      </c>
      <c r="P164" s="334" t="str">
        <f aca="false">IF((E164="m"),G164," ")</f>
        <v> </v>
      </c>
      <c r="Q164" s="334" t="str">
        <f aca="false">IF((E164="t"),G164," ")</f>
        <v> </v>
      </c>
      <c r="R164" s="334" t="str">
        <f aca="false">IF((E164="a"),G164," ")</f>
        <v> </v>
      </c>
      <c r="S164" s="334" t="str">
        <f aca="false">IF((E164="l"),G164," ")</f>
        <v> </v>
      </c>
      <c r="T164" s="334" t="str">
        <f aca="false">IF((E164="b"),G164," ")</f>
        <v> </v>
      </c>
      <c r="U164" s="334" t="str">
        <f aca="false">IF((E164="i"),G164," ")</f>
        <v> </v>
      </c>
      <c r="V164" s="334" t="str">
        <f aca="false">IF((E164="o"),G164," ")</f>
        <v> </v>
      </c>
      <c r="W164" s="334" t="str">
        <f aca="false">IF((E164="f"),G164," ")</f>
        <v> </v>
      </c>
    </row>
    <row r="165" customFormat="false" ht="12.75" hidden="false" customHeight="false" outlineLevel="0" collapsed="false">
      <c r="A165" s="355"/>
      <c r="E165" s="365" t="str">
        <f aca="false">IF((G165&lt;&gt;0),"Enter Letter"," ")</f>
        <v> </v>
      </c>
      <c r="H165" s="338" t="str">
        <f aca="false">IF((G165&lt;&gt;0),IF((D165&gt;0)," ",G165)," ")</f>
        <v> </v>
      </c>
      <c r="I165" s="367" t="str">
        <f aca="false">IF((G165&lt;&gt;0),IF((D165&gt;0)," ",(I$1-A165))," ")</f>
        <v> </v>
      </c>
      <c r="J165" s="334" t="str">
        <f aca="false">IF((E165="s"),G165," ")</f>
        <v> </v>
      </c>
      <c r="K165" s="334" t="str">
        <f aca="false">IF((E165="d"),G165," ")</f>
        <v> </v>
      </c>
      <c r="L165" s="334" t="str">
        <f aca="false">IF((E165="e"),G165," ")</f>
        <v> </v>
      </c>
      <c r="M165" s="334" t="str">
        <f aca="false">IF((E165="p"),G165," ")</f>
        <v> </v>
      </c>
      <c r="N165" s="334" t="str">
        <f aca="false">IF((E165="r"),G165," ")</f>
        <v> </v>
      </c>
      <c r="O165" s="334" t="str">
        <f aca="false">IF((E165="g"),G165," ")</f>
        <v> </v>
      </c>
      <c r="P165" s="334" t="str">
        <f aca="false">IF((E165="m"),G165," ")</f>
        <v> </v>
      </c>
      <c r="Q165" s="334" t="str">
        <f aca="false">IF((E165="t"),G165," ")</f>
        <v> </v>
      </c>
      <c r="R165" s="334" t="str">
        <f aca="false">IF((E165="a"),G165," ")</f>
        <v> </v>
      </c>
      <c r="S165" s="334" t="str">
        <f aca="false">IF((E165="l"),G165," ")</f>
        <v> </v>
      </c>
      <c r="T165" s="334" t="str">
        <f aca="false">IF((E165="b"),G165," ")</f>
        <v> </v>
      </c>
      <c r="U165" s="334" t="str">
        <f aca="false">IF((E165="i"),G165," ")</f>
        <v> </v>
      </c>
      <c r="V165" s="334" t="str">
        <f aca="false">IF((E165="o"),G165," ")</f>
        <v> </v>
      </c>
      <c r="W165" s="334" t="str">
        <f aca="false">IF((E165="f"),G165," ")</f>
        <v> </v>
      </c>
    </row>
    <row r="166" customFormat="false" ht="12.75" hidden="false" customHeight="false" outlineLevel="0" collapsed="false">
      <c r="A166" s="355"/>
      <c r="E166" s="365" t="str">
        <f aca="false">IF((G166&lt;&gt;0),"Enter Letter"," ")</f>
        <v> </v>
      </c>
      <c r="H166" s="338" t="str">
        <f aca="false">IF((G166&lt;&gt;0),IF((D166&gt;0)," ",G166)," ")</f>
        <v> </v>
      </c>
      <c r="I166" s="367" t="str">
        <f aca="false">IF((G166&lt;&gt;0),IF((D166&gt;0)," ",(I$1-A166))," ")</f>
        <v> </v>
      </c>
      <c r="J166" s="334" t="str">
        <f aca="false">IF((E166="s"),G166," ")</f>
        <v> </v>
      </c>
      <c r="K166" s="334" t="str">
        <f aca="false">IF((E166="d"),G166," ")</f>
        <v> </v>
      </c>
      <c r="L166" s="334" t="str">
        <f aca="false">IF((E166="e"),G166," ")</f>
        <v> </v>
      </c>
      <c r="M166" s="334" t="str">
        <f aca="false">IF((E166="p"),G166," ")</f>
        <v> </v>
      </c>
      <c r="N166" s="334" t="str">
        <f aca="false">IF((E166="r"),G166," ")</f>
        <v> </v>
      </c>
      <c r="O166" s="334" t="str">
        <f aca="false">IF((E166="g"),G166," ")</f>
        <v> </v>
      </c>
      <c r="P166" s="334" t="str">
        <f aca="false">IF((E166="m"),G166," ")</f>
        <v> </v>
      </c>
      <c r="Q166" s="334" t="str">
        <f aca="false">IF((E166="t"),G166," ")</f>
        <v> </v>
      </c>
      <c r="R166" s="334" t="str">
        <f aca="false">IF((E166="a"),G166," ")</f>
        <v> </v>
      </c>
      <c r="S166" s="334" t="str">
        <f aca="false">IF((E166="l"),G166," ")</f>
        <v> </v>
      </c>
      <c r="T166" s="334" t="str">
        <f aca="false">IF((E166="b"),G166," ")</f>
        <v> </v>
      </c>
      <c r="U166" s="334" t="str">
        <f aca="false">IF((E166="i"),G166," ")</f>
        <v> </v>
      </c>
      <c r="V166" s="334" t="str">
        <f aca="false">IF((E166="o"),G166," ")</f>
        <v> </v>
      </c>
      <c r="W166" s="334" t="str">
        <f aca="false">IF((E166="f"),G166," ")</f>
        <v> </v>
      </c>
    </row>
    <row r="167" customFormat="false" ht="12.75" hidden="false" customHeight="false" outlineLevel="0" collapsed="false">
      <c r="A167" s="355"/>
      <c r="E167" s="365" t="str">
        <f aca="false">IF((G167&lt;&gt;0),"Enter Letter"," ")</f>
        <v> </v>
      </c>
      <c r="H167" s="338" t="str">
        <f aca="false">IF((G167&lt;&gt;0),IF((D167&gt;0)," ",G167)," ")</f>
        <v> </v>
      </c>
      <c r="I167" s="367" t="str">
        <f aca="false">IF((G167&lt;&gt;0),IF((D167&gt;0)," ",(I$1-A167))," ")</f>
        <v> </v>
      </c>
      <c r="J167" s="334" t="str">
        <f aca="false">IF((E167="s"),G167," ")</f>
        <v> </v>
      </c>
      <c r="K167" s="334" t="str">
        <f aca="false">IF((E167="d"),G167," ")</f>
        <v> </v>
      </c>
      <c r="L167" s="334" t="str">
        <f aca="false">IF((E167="e"),G167," ")</f>
        <v> </v>
      </c>
      <c r="M167" s="334" t="str">
        <f aca="false">IF((E167="p"),G167," ")</f>
        <v> </v>
      </c>
      <c r="N167" s="334" t="str">
        <f aca="false">IF((E167="r"),G167," ")</f>
        <v> </v>
      </c>
      <c r="O167" s="334" t="str">
        <f aca="false">IF((E167="g"),G167," ")</f>
        <v> </v>
      </c>
      <c r="P167" s="334" t="str">
        <f aca="false">IF((E167="m"),G167," ")</f>
        <v> </v>
      </c>
      <c r="Q167" s="334" t="str">
        <f aca="false">IF((E167="t"),G167," ")</f>
        <v> </v>
      </c>
      <c r="R167" s="334" t="str">
        <f aca="false">IF((E167="a"),G167," ")</f>
        <v> </v>
      </c>
      <c r="S167" s="334" t="str">
        <f aca="false">IF((E167="l"),G167," ")</f>
        <v> </v>
      </c>
      <c r="T167" s="334" t="str">
        <f aca="false">IF((E167="b"),G167," ")</f>
        <v> </v>
      </c>
      <c r="U167" s="334" t="str">
        <f aca="false">IF((E167="i"),G167," ")</f>
        <v> </v>
      </c>
      <c r="V167" s="334" t="str">
        <f aca="false">IF((E167="o"),G167," ")</f>
        <v> </v>
      </c>
      <c r="W167" s="334" t="str">
        <f aca="false">IF((E167="f"),G167," ")</f>
        <v> </v>
      </c>
    </row>
    <row r="168" customFormat="false" ht="12.75" hidden="false" customHeight="false" outlineLevel="0" collapsed="false">
      <c r="A168" s="355"/>
      <c r="E168" s="365" t="str">
        <f aca="false">IF((G168&lt;&gt;0),"Enter Letter"," ")</f>
        <v> </v>
      </c>
      <c r="H168" s="338" t="str">
        <f aca="false">IF((G168&lt;&gt;0),IF((D168&gt;0)," ",G168)," ")</f>
        <v> </v>
      </c>
      <c r="I168" s="367" t="str">
        <f aca="false">IF((G168&lt;&gt;0),IF((D168&gt;0)," ",(I$1-A168))," ")</f>
        <v> </v>
      </c>
      <c r="J168" s="334" t="str">
        <f aca="false">IF((E168="s"),G168," ")</f>
        <v> </v>
      </c>
      <c r="K168" s="334" t="str">
        <f aca="false">IF((E168="d"),G168," ")</f>
        <v> </v>
      </c>
      <c r="L168" s="334" t="str">
        <f aca="false">IF((E168="e"),G168," ")</f>
        <v> </v>
      </c>
      <c r="M168" s="334" t="str">
        <f aca="false">IF((E168="p"),G168," ")</f>
        <v> </v>
      </c>
      <c r="N168" s="334" t="str">
        <f aca="false">IF((E168="r"),G168," ")</f>
        <v> </v>
      </c>
      <c r="O168" s="334" t="str">
        <f aca="false">IF((E168="g"),G168," ")</f>
        <v> </v>
      </c>
      <c r="P168" s="334" t="str">
        <f aca="false">IF((E168="m"),G168," ")</f>
        <v> </v>
      </c>
      <c r="Q168" s="334" t="str">
        <f aca="false">IF((E168="t"),G168," ")</f>
        <v> </v>
      </c>
      <c r="R168" s="334" t="str">
        <f aca="false">IF((E168="a"),G168," ")</f>
        <v> </v>
      </c>
      <c r="S168" s="334" t="str">
        <f aca="false">IF((E168="l"),G168," ")</f>
        <v> </v>
      </c>
      <c r="T168" s="334" t="str">
        <f aca="false">IF((E168="b"),G168," ")</f>
        <v> </v>
      </c>
      <c r="U168" s="334" t="str">
        <f aca="false">IF((E168="i"),G168," ")</f>
        <v> </v>
      </c>
      <c r="V168" s="334" t="str">
        <f aca="false">IF((E168="o"),G168," ")</f>
        <v> </v>
      </c>
      <c r="W168" s="334" t="str">
        <f aca="false">IF((E168="f"),G168," ")</f>
        <v> </v>
      </c>
    </row>
    <row r="169" customFormat="false" ht="12.75" hidden="false" customHeight="false" outlineLevel="0" collapsed="false">
      <c r="A169" s="355"/>
      <c r="E169" s="365" t="str">
        <f aca="false">IF((G169&lt;&gt;0),"Enter Letter"," ")</f>
        <v> </v>
      </c>
      <c r="H169" s="338" t="str">
        <f aca="false">IF((G169&lt;&gt;0),IF((D169&gt;0)," ",G169)," ")</f>
        <v> </v>
      </c>
      <c r="I169" s="367" t="str">
        <f aca="false">IF((G169&lt;&gt;0),IF((D169&gt;0)," ",(I$1-A169))," ")</f>
        <v> </v>
      </c>
      <c r="J169" s="334" t="str">
        <f aca="false">IF((E169="s"),G169," ")</f>
        <v> </v>
      </c>
      <c r="K169" s="334" t="str">
        <f aca="false">IF((E169="d"),G169," ")</f>
        <v> </v>
      </c>
      <c r="L169" s="334" t="str">
        <f aca="false">IF((E169="e"),G169," ")</f>
        <v> </v>
      </c>
      <c r="M169" s="334" t="str">
        <f aca="false">IF((E169="p"),G169," ")</f>
        <v> </v>
      </c>
      <c r="N169" s="334" t="str">
        <f aca="false">IF((E169="r"),G169," ")</f>
        <v> </v>
      </c>
      <c r="O169" s="334" t="str">
        <f aca="false">IF((E169="g"),G169," ")</f>
        <v> </v>
      </c>
      <c r="P169" s="334" t="str">
        <f aca="false">IF((E169="m"),G169," ")</f>
        <v> </v>
      </c>
      <c r="Q169" s="334" t="str">
        <f aca="false">IF((E169="t"),G169," ")</f>
        <v> </v>
      </c>
      <c r="R169" s="334" t="str">
        <f aca="false">IF((E169="a"),G169," ")</f>
        <v> </v>
      </c>
      <c r="S169" s="334" t="str">
        <f aca="false">IF((E169="l"),G169," ")</f>
        <v> </v>
      </c>
      <c r="T169" s="334" t="str">
        <f aca="false">IF((E169="b"),G169," ")</f>
        <v> </v>
      </c>
      <c r="U169" s="334" t="str">
        <f aca="false">IF((E169="i"),G169," ")</f>
        <v> </v>
      </c>
      <c r="V169" s="334" t="str">
        <f aca="false">IF((E169="o"),G169," ")</f>
        <v> </v>
      </c>
      <c r="W169" s="334" t="str">
        <f aca="false">IF((E169="f"),G169," ")</f>
        <v> </v>
      </c>
    </row>
    <row r="170" customFormat="false" ht="12.75" hidden="false" customHeight="false" outlineLevel="0" collapsed="false">
      <c r="A170" s="355"/>
      <c r="E170" s="365" t="str">
        <f aca="false">IF((G170&lt;&gt;0),"Enter Letter"," ")</f>
        <v> </v>
      </c>
      <c r="H170" s="338" t="str">
        <f aca="false">IF((G170&lt;&gt;0),IF((D170&gt;0)," ",G170)," ")</f>
        <v> </v>
      </c>
      <c r="I170" s="367" t="str">
        <f aca="false">IF((G170&lt;&gt;0),IF((D170&gt;0)," ",(I$1-A170))," ")</f>
        <v> </v>
      </c>
      <c r="J170" s="334" t="str">
        <f aca="false">IF((E170="s"),G170," ")</f>
        <v> </v>
      </c>
      <c r="K170" s="334" t="str">
        <f aca="false">IF((E170="d"),G170," ")</f>
        <v> </v>
      </c>
      <c r="L170" s="334" t="str">
        <f aca="false">IF((E170="e"),G170," ")</f>
        <v> </v>
      </c>
      <c r="M170" s="334" t="str">
        <f aca="false">IF((E170="p"),G170," ")</f>
        <v> </v>
      </c>
      <c r="N170" s="334" t="str">
        <f aca="false">IF((E170="r"),G170," ")</f>
        <v> </v>
      </c>
      <c r="O170" s="334" t="str">
        <f aca="false">IF((E170="g"),G170," ")</f>
        <v> </v>
      </c>
      <c r="P170" s="334" t="str">
        <f aca="false">IF((E170="m"),G170," ")</f>
        <v> </v>
      </c>
      <c r="Q170" s="334" t="str">
        <f aca="false">IF((E170="t"),G170," ")</f>
        <v> </v>
      </c>
      <c r="R170" s="334" t="str">
        <f aca="false">IF((E170="a"),G170," ")</f>
        <v> </v>
      </c>
      <c r="S170" s="334" t="str">
        <f aca="false">IF((E170="l"),G170," ")</f>
        <v> </v>
      </c>
      <c r="T170" s="334" t="str">
        <f aca="false">IF((E170="b"),G170," ")</f>
        <v> </v>
      </c>
      <c r="U170" s="334" t="str">
        <f aca="false">IF((E170="i"),G170," ")</f>
        <v> </v>
      </c>
      <c r="V170" s="334" t="str">
        <f aca="false">IF((E170="o"),G170," ")</f>
        <v> </v>
      </c>
      <c r="W170" s="334" t="str">
        <f aca="false">IF((E170="f"),G170," ")</f>
        <v> </v>
      </c>
    </row>
    <row r="171" customFormat="false" ht="12.75" hidden="false" customHeight="false" outlineLevel="0" collapsed="false">
      <c r="A171" s="355"/>
      <c r="E171" s="365" t="str">
        <f aca="false">IF((G171&lt;&gt;0),"Enter Letter"," ")</f>
        <v> </v>
      </c>
      <c r="H171" s="338" t="str">
        <f aca="false">IF((G171&lt;&gt;0),IF((D171&gt;0)," ",G171)," ")</f>
        <v> </v>
      </c>
      <c r="I171" s="367" t="str">
        <f aca="false">IF((G171&lt;&gt;0),IF((D171&gt;0)," ",(I$1-A171))," ")</f>
        <v> </v>
      </c>
      <c r="J171" s="334" t="str">
        <f aca="false">IF((E171="s"),G171," ")</f>
        <v> </v>
      </c>
      <c r="K171" s="334" t="str">
        <f aca="false">IF((E171="d"),G171," ")</f>
        <v> </v>
      </c>
      <c r="L171" s="334" t="str">
        <f aca="false">IF((E171="e"),G171," ")</f>
        <v> </v>
      </c>
      <c r="M171" s="334" t="str">
        <f aca="false">IF((E171="p"),G171," ")</f>
        <v> </v>
      </c>
      <c r="N171" s="334" t="str">
        <f aca="false">IF((E171="r"),G171," ")</f>
        <v> </v>
      </c>
      <c r="O171" s="334" t="str">
        <f aca="false">IF((E171="g"),G171," ")</f>
        <v> </v>
      </c>
      <c r="P171" s="334" t="str">
        <f aca="false">IF((E171="m"),G171," ")</f>
        <v> </v>
      </c>
      <c r="Q171" s="334" t="str">
        <f aca="false">IF((E171="t"),G171," ")</f>
        <v> </v>
      </c>
      <c r="R171" s="334" t="str">
        <f aca="false">IF((E171="a"),G171," ")</f>
        <v> </v>
      </c>
      <c r="S171" s="334" t="str">
        <f aca="false">IF((E171="l"),G171," ")</f>
        <v> </v>
      </c>
      <c r="T171" s="334" t="str">
        <f aca="false">IF((E171="b"),G171," ")</f>
        <v> </v>
      </c>
      <c r="U171" s="334" t="str">
        <f aca="false">IF((E171="i"),G171," ")</f>
        <v> </v>
      </c>
      <c r="V171" s="334" t="str">
        <f aca="false">IF((E171="o"),G171," ")</f>
        <v> </v>
      </c>
      <c r="W171" s="334" t="str">
        <f aca="false">IF((E171="f"),G171," ")</f>
        <v> </v>
      </c>
    </row>
    <row r="172" customFormat="false" ht="12.75" hidden="false" customHeight="false" outlineLevel="0" collapsed="false">
      <c r="A172" s="355"/>
      <c r="E172" s="365" t="str">
        <f aca="false">IF((G172&lt;&gt;0),"Enter Letter"," ")</f>
        <v> </v>
      </c>
      <c r="H172" s="338" t="str">
        <f aca="false">IF((G172&lt;&gt;0),IF((D172&gt;0)," ",G172)," ")</f>
        <v> </v>
      </c>
      <c r="I172" s="367" t="str">
        <f aca="false">IF((G172&lt;&gt;0),IF((D172&gt;0)," ",(I$1-A172))," ")</f>
        <v> </v>
      </c>
      <c r="J172" s="334" t="str">
        <f aca="false">IF((E172="s"),G172," ")</f>
        <v> </v>
      </c>
      <c r="K172" s="334" t="str">
        <f aca="false">IF((E172="d"),G172," ")</f>
        <v> </v>
      </c>
      <c r="L172" s="334" t="str">
        <f aca="false">IF((E172="e"),G172," ")</f>
        <v> </v>
      </c>
      <c r="M172" s="334" t="str">
        <f aca="false">IF((E172="p"),G172," ")</f>
        <v> </v>
      </c>
      <c r="N172" s="334" t="str">
        <f aca="false">IF((E172="r"),G172," ")</f>
        <v> </v>
      </c>
      <c r="O172" s="334" t="str">
        <f aca="false">IF((E172="g"),G172," ")</f>
        <v> </v>
      </c>
      <c r="P172" s="334" t="str">
        <f aca="false">IF((E172="m"),G172," ")</f>
        <v> </v>
      </c>
      <c r="Q172" s="334" t="str">
        <f aca="false">IF((E172="t"),G172," ")</f>
        <v> </v>
      </c>
      <c r="R172" s="334" t="str">
        <f aca="false">IF((E172="a"),G172," ")</f>
        <v> </v>
      </c>
      <c r="S172" s="334" t="str">
        <f aca="false">IF((E172="l"),G172," ")</f>
        <v> </v>
      </c>
      <c r="T172" s="334" t="str">
        <f aca="false">IF((E172="b"),G172," ")</f>
        <v> </v>
      </c>
      <c r="U172" s="334" t="str">
        <f aca="false">IF((E172="i"),G172," ")</f>
        <v> </v>
      </c>
      <c r="V172" s="334" t="str">
        <f aca="false">IF((E172="o"),G172," ")</f>
        <v> </v>
      </c>
      <c r="W172" s="334" t="str">
        <f aca="false">IF((E172="f"),G172," ")</f>
        <v> </v>
      </c>
    </row>
    <row r="173" customFormat="false" ht="12.75" hidden="false" customHeight="false" outlineLevel="0" collapsed="false">
      <c r="A173" s="355"/>
      <c r="E173" s="365" t="str">
        <f aca="false">IF((G173&lt;&gt;0),"Enter Letter"," ")</f>
        <v> </v>
      </c>
      <c r="H173" s="338" t="str">
        <f aca="false">IF((G173&lt;&gt;0),IF((D173&gt;0)," ",G173)," ")</f>
        <v> </v>
      </c>
      <c r="I173" s="367" t="str">
        <f aca="false">IF((G173&lt;&gt;0),IF((D173&gt;0)," ",(I$1-A173))," ")</f>
        <v> </v>
      </c>
      <c r="J173" s="334" t="str">
        <f aca="false">IF((E173="s"),G173," ")</f>
        <v> </v>
      </c>
      <c r="K173" s="334" t="str">
        <f aca="false">IF((E173="d"),G173," ")</f>
        <v> </v>
      </c>
      <c r="L173" s="334" t="str">
        <f aca="false">IF((E173="e"),G173," ")</f>
        <v> </v>
      </c>
      <c r="M173" s="334" t="str">
        <f aca="false">IF((E173="p"),G173," ")</f>
        <v> </v>
      </c>
      <c r="N173" s="334" t="str">
        <f aca="false">IF((E173="r"),G173," ")</f>
        <v> </v>
      </c>
      <c r="O173" s="334" t="str">
        <f aca="false">IF((E173="g"),G173," ")</f>
        <v> </v>
      </c>
      <c r="P173" s="334" t="str">
        <f aca="false">IF((E173="m"),G173," ")</f>
        <v> </v>
      </c>
      <c r="Q173" s="334" t="str">
        <f aca="false">IF((E173="t"),G173," ")</f>
        <v> </v>
      </c>
      <c r="R173" s="334" t="str">
        <f aca="false">IF((E173="a"),G173," ")</f>
        <v> </v>
      </c>
      <c r="S173" s="334" t="str">
        <f aca="false">IF((E173="l"),G173," ")</f>
        <v> </v>
      </c>
      <c r="T173" s="334" t="str">
        <f aca="false">IF((E173="b"),G173," ")</f>
        <v> </v>
      </c>
      <c r="U173" s="334" t="str">
        <f aca="false">IF((E173="i"),G173," ")</f>
        <v> </v>
      </c>
      <c r="V173" s="334" t="str">
        <f aca="false">IF((E173="o"),G173," ")</f>
        <v> </v>
      </c>
      <c r="W173" s="334" t="str">
        <f aca="false">IF((E173="f"),G173," ")</f>
        <v> </v>
      </c>
    </row>
    <row r="174" customFormat="false" ht="12.75" hidden="false" customHeight="false" outlineLevel="0" collapsed="false">
      <c r="A174" s="355"/>
      <c r="E174" s="365" t="str">
        <f aca="false">IF((G174&lt;&gt;0),"Enter Letter"," ")</f>
        <v> </v>
      </c>
      <c r="H174" s="338" t="str">
        <f aca="false">IF((G174&lt;&gt;0),IF((D174&gt;0)," ",G174)," ")</f>
        <v> </v>
      </c>
      <c r="I174" s="367" t="str">
        <f aca="false">IF((G174&lt;&gt;0),IF((D174&gt;0)," ",(I$1-A174))," ")</f>
        <v> </v>
      </c>
      <c r="J174" s="334" t="str">
        <f aca="false">IF((E174="s"),G174," ")</f>
        <v> </v>
      </c>
      <c r="K174" s="334" t="str">
        <f aca="false">IF((E174="d"),G174," ")</f>
        <v> </v>
      </c>
      <c r="L174" s="334" t="str">
        <f aca="false">IF((E174="e"),G174," ")</f>
        <v> </v>
      </c>
      <c r="M174" s="334" t="str">
        <f aca="false">IF((E174="p"),G174," ")</f>
        <v> </v>
      </c>
      <c r="N174" s="334" t="str">
        <f aca="false">IF((E174="r"),G174," ")</f>
        <v> </v>
      </c>
      <c r="O174" s="334" t="str">
        <f aca="false">IF((E174="g"),G174," ")</f>
        <v> </v>
      </c>
      <c r="P174" s="334" t="str">
        <f aca="false">IF((E174="m"),G174," ")</f>
        <v> </v>
      </c>
      <c r="Q174" s="334" t="str">
        <f aca="false">IF((E174="t"),G174," ")</f>
        <v> </v>
      </c>
      <c r="R174" s="334" t="str">
        <f aca="false">IF((E174="a"),G174," ")</f>
        <v> </v>
      </c>
      <c r="S174" s="334" t="str">
        <f aca="false">IF((E174="l"),G174," ")</f>
        <v> </v>
      </c>
      <c r="T174" s="334" t="str">
        <f aca="false">IF((E174="b"),G174," ")</f>
        <v> </v>
      </c>
      <c r="U174" s="334" t="str">
        <f aca="false">IF((E174="i"),G174," ")</f>
        <v> </v>
      </c>
      <c r="V174" s="334" t="str">
        <f aca="false">IF((E174="o"),G174," ")</f>
        <v> </v>
      </c>
      <c r="W174" s="334" t="str">
        <f aca="false">IF((E174="f"),G174," ")</f>
        <v> </v>
      </c>
    </row>
    <row r="175" customFormat="false" ht="12.75" hidden="false" customHeight="false" outlineLevel="0" collapsed="false">
      <c r="A175" s="355"/>
      <c r="E175" s="365" t="str">
        <f aca="false">IF((G175&lt;&gt;0),"Enter Letter"," ")</f>
        <v> </v>
      </c>
      <c r="H175" s="338" t="str">
        <f aca="false">IF((G175&lt;&gt;0),IF((D175&gt;0)," ",G175)," ")</f>
        <v> </v>
      </c>
      <c r="I175" s="367" t="str">
        <f aca="false">IF((G175&lt;&gt;0),IF((D175&gt;0)," ",(I$1-A175))," ")</f>
        <v> </v>
      </c>
      <c r="J175" s="334" t="str">
        <f aca="false">IF((E175="s"),G175," ")</f>
        <v> </v>
      </c>
      <c r="K175" s="334" t="str">
        <f aca="false">IF((E175="d"),G175," ")</f>
        <v> </v>
      </c>
      <c r="L175" s="334" t="str">
        <f aca="false">IF((E175="e"),G175," ")</f>
        <v> </v>
      </c>
      <c r="M175" s="334" t="str">
        <f aca="false">IF((E175="p"),G175," ")</f>
        <v> </v>
      </c>
      <c r="N175" s="334" t="str">
        <f aca="false">IF((E175="r"),G175," ")</f>
        <v> </v>
      </c>
      <c r="O175" s="334" t="str">
        <f aca="false">IF((E175="g"),G175," ")</f>
        <v> </v>
      </c>
      <c r="P175" s="334" t="str">
        <f aca="false">IF((E175="m"),G175," ")</f>
        <v> </v>
      </c>
      <c r="Q175" s="334" t="str">
        <f aca="false">IF((E175="t"),G175," ")</f>
        <v> </v>
      </c>
      <c r="R175" s="334" t="str">
        <f aca="false">IF((E175="a"),G175," ")</f>
        <v> </v>
      </c>
      <c r="S175" s="334" t="str">
        <f aca="false">IF((E175="l"),G175," ")</f>
        <v> </v>
      </c>
      <c r="T175" s="334" t="str">
        <f aca="false">IF((E175="b"),G175," ")</f>
        <v> </v>
      </c>
      <c r="U175" s="334" t="str">
        <f aca="false">IF((E175="i"),G175," ")</f>
        <v> </v>
      </c>
      <c r="V175" s="334" t="str">
        <f aca="false">IF((E175="o"),G175," ")</f>
        <v> </v>
      </c>
      <c r="W175" s="334" t="str">
        <f aca="false">IF((E175="f"),G175," ")</f>
        <v> </v>
      </c>
    </row>
    <row r="176" customFormat="false" ht="12.75" hidden="false" customHeight="false" outlineLevel="0" collapsed="false">
      <c r="A176" s="355"/>
      <c r="E176" s="365" t="str">
        <f aca="false">IF((G176&lt;&gt;0),"Enter Letter"," ")</f>
        <v> </v>
      </c>
      <c r="H176" s="338" t="str">
        <f aca="false">IF((G176&lt;&gt;0),IF((D176&gt;0)," ",G176)," ")</f>
        <v> </v>
      </c>
      <c r="I176" s="367" t="str">
        <f aca="false">IF((G176&lt;&gt;0),IF((D176&gt;0)," ",(I$1-A176))," ")</f>
        <v> </v>
      </c>
      <c r="J176" s="334" t="str">
        <f aca="false">IF((E176="s"),G176," ")</f>
        <v> </v>
      </c>
      <c r="K176" s="334" t="str">
        <f aca="false">IF((E176="d"),G176," ")</f>
        <v> </v>
      </c>
      <c r="L176" s="334" t="str">
        <f aca="false">IF((E176="e"),G176," ")</f>
        <v> </v>
      </c>
      <c r="M176" s="334" t="str">
        <f aca="false">IF((E176="p"),G176," ")</f>
        <v> </v>
      </c>
      <c r="N176" s="334" t="str">
        <f aca="false">IF((E176="r"),G176," ")</f>
        <v> </v>
      </c>
      <c r="O176" s="334" t="str">
        <f aca="false">IF((E176="g"),G176," ")</f>
        <v> </v>
      </c>
      <c r="P176" s="334" t="str">
        <f aca="false">IF((E176="m"),G176," ")</f>
        <v> </v>
      </c>
      <c r="Q176" s="334" t="str">
        <f aca="false">IF((E176="t"),G176," ")</f>
        <v> </v>
      </c>
      <c r="R176" s="334" t="str">
        <f aca="false">IF((E176="a"),G176," ")</f>
        <v> </v>
      </c>
      <c r="S176" s="334" t="str">
        <f aca="false">IF((E176="l"),G176," ")</f>
        <v> </v>
      </c>
      <c r="T176" s="334" t="str">
        <f aca="false">IF((E176="b"),G176," ")</f>
        <v> </v>
      </c>
      <c r="U176" s="334" t="str">
        <f aca="false">IF((E176="i"),G176," ")</f>
        <v> </v>
      </c>
      <c r="V176" s="334" t="str">
        <f aca="false">IF((E176="o"),G176," ")</f>
        <v> </v>
      </c>
      <c r="W176" s="334" t="str">
        <f aca="false">IF((E176="f"),G176," ")</f>
        <v> </v>
      </c>
    </row>
    <row r="177" customFormat="false" ht="12.75" hidden="false" customHeight="false" outlineLevel="0" collapsed="false">
      <c r="A177" s="355"/>
      <c r="E177" s="365" t="str">
        <f aca="false">IF((G177&lt;&gt;0),"Enter Letter"," ")</f>
        <v> </v>
      </c>
      <c r="H177" s="338" t="str">
        <f aca="false">IF((G177&lt;&gt;0),IF((D177&gt;0)," ",G177)," ")</f>
        <v> </v>
      </c>
      <c r="I177" s="367" t="str">
        <f aca="false">IF((G177&lt;&gt;0),IF((D177&gt;0)," ",(I$1-A177))," ")</f>
        <v> </v>
      </c>
      <c r="J177" s="334" t="str">
        <f aca="false">IF((E177="s"),G177," ")</f>
        <v> </v>
      </c>
      <c r="K177" s="334" t="str">
        <f aca="false">IF((E177="d"),G177," ")</f>
        <v> </v>
      </c>
      <c r="L177" s="334" t="str">
        <f aca="false">IF((E177="e"),G177," ")</f>
        <v> </v>
      </c>
      <c r="M177" s="334" t="str">
        <f aca="false">IF((E177="p"),G177," ")</f>
        <v> </v>
      </c>
      <c r="N177" s="334" t="str">
        <f aca="false">IF((E177="r"),G177," ")</f>
        <v> </v>
      </c>
      <c r="O177" s="334" t="str">
        <f aca="false">IF((E177="g"),G177," ")</f>
        <v> </v>
      </c>
      <c r="P177" s="334" t="str">
        <f aca="false">IF((E177="m"),G177," ")</f>
        <v> </v>
      </c>
      <c r="Q177" s="334" t="str">
        <f aca="false">IF((E177="t"),G177," ")</f>
        <v> </v>
      </c>
      <c r="R177" s="334" t="str">
        <f aca="false">IF((E177="a"),G177," ")</f>
        <v> </v>
      </c>
      <c r="S177" s="334" t="str">
        <f aca="false">IF((E177="l"),G177," ")</f>
        <v> </v>
      </c>
      <c r="T177" s="334" t="str">
        <f aca="false">IF((E177="b"),G177," ")</f>
        <v> </v>
      </c>
      <c r="U177" s="334" t="str">
        <f aca="false">IF((E177="i"),G177," ")</f>
        <v> </v>
      </c>
      <c r="V177" s="334" t="str">
        <f aca="false">IF((E177="o"),G177," ")</f>
        <v> </v>
      </c>
      <c r="W177" s="334" t="str">
        <f aca="false">IF((E177="f"),G177," ")</f>
        <v> </v>
      </c>
    </row>
    <row r="178" customFormat="false" ht="12.75" hidden="false" customHeight="false" outlineLevel="0" collapsed="false">
      <c r="A178" s="355"/>
      <c r="E178" s="365" t="str">
        <f aca="false">IF((G178&lt;&gt;0),"Enter Letter"," ")</f>
        <v> </v>
      </c>
      <c r="H178" s="338" t="str">
        <f aca="false">IF((G178&lt;&gt;0),IF((D178&gt;0)," ",G178)," ")</f>
        <v> </v>
      </c>
      <c r="I178" s="367" t="str">
        <f aca="false">IF((G178&lt;&gt;0),IF((D178&gt;0)," ",(I$1-A178))," ")</f>
        <v> </v>
      </c>
      <c r="J178" s="334" t="str">
        <f aca="false">IF((E178="s"),G178," ")</f>
        <v> </v>
      </c>
      <c r="K178" s="334" t="str">
        <f aca="false">IF((E178="d"),G178," ")</f>
        <v> </v>
      </c>
      <c r="L178" s="334" t="str">
        <f aca="false">IF((E178="e"),G178," ")</f>
        <v> </v>
      </c>
      <c r="M178" s="334" t="str">
        <f aca="false">IF((E178="p"),G178," ")</f>
        <v> </v>
      </c>
      <c r="N178" s="334" t="str">
        <f aca="false">IF((E178="r"),G178," ")</f>
        <v> </v>
      </c>
      <c r="O178" s="334" t="str">
        <f aca="false">IF((E178="g"),G178," ")</f>
        <v> </v>
      </c>
      <c r="P178" s="334" t="str">
        <f aca="false">IF((E178="m"),G178," ")</f>
        <v> </v>
      </c>
      <c r="Q178" s="334" t="str">
        <f aca="false">IF((E178="t"),G178," ")</f>
        <v> </v>
      </c>
      <c r="R178" s="334" t="str">
        <f aca="false">IF((E178="a"),G178," ")</f>
        <v> </v>
      </c>
      <c r="S178" s="334" t="str">
        <f aca="false">IF((E178="l"),G178," ")</f>
        <v> </v>
      </c>
      <c r="T178" s="334" t="str">
        <f aca="false">IF((E178="b"),G178," ")</f>
        <v> </v>
      </c>
      <c r="U178" s="334" t="str">
        <f aca="false">IF((E178="i"),G178," ")</f>
        <v> </v>
      </c>
      <c r="V178" s="334" t="str">
        <f aca="false">IF((E178="o"),G178," ")</f>
        <v> </v>
      </c>
      <c r="W178" s="334" t="str">
        <f aca="false">IF((E178="f"),G178," ")</f>
        <v> </v>
      </c>
    </row>
    <row r="179" customFormat="false" ht="12.75" hidden="false" customHeight="false" outlineLevel="0" collapsed="false">
      <c r="A179" s="355"/>
      <c r="E179" s="365" t="str">
        <f aca="false">IF((G179&lt;&gt;0),"Enter Letter"," ")</f>
        <v> </v>
      </c>
      <c r="H179" s="338" t="str">
        <f aca="false">IF((G179&lt;&gt;0),IF((D179&gt;0)," ",G179)," ")</f>
        <v> </v>
      </c>
      <c r="I179" s="367" t="str">
        <f aca="false">IF((G179&lt;&gt;0),IF((D179&gt;0)," ",(I$1-A179))," ")</f>
        <v> </v>
      </c>
      <c r="J179" s="334" t="str">
        <f aca="false">IF((E179="s"),G179," ")</f>
        <v> </v>
      </c>
      <c r="K179" s="334" t="str">
        <f aca="false">IF((E179="d"),G179," ")</f>
        <v> </v>
      </c>
      <c r="L179" s="334" t="str">
        <f aca="false">IF((E179="e"),G179," ")</f>
        <v> </v>
      </c>
      <c r="M179" s="334" t="str">
        <f aca="false">IF((E179="p"),G179," ")</f>
        <v> </v>
      </c>
      <c r="N179" s="334" t="str">
        <f aca="false">IF((E179="r"),G179," ")</f>
        <v> </v>
      </c>
      <c r="O179" s="334" t="str">
        <f aca="false">IF((E179="g"),G179," ")</f>
        <v> </v>
      </c>
      <c r="P179" s="334" t="str">
        <f aca="false">IF((E179="m"),G179," ")</f>
        <v> </v>
      </c>
      <c r="Q179" s="334" t="str">
        <f aca="false">IF((E179="t"),G179," ")</f>
        <v> </v>
      </c>
      <c r="R179" s="334" t="str">
        <f aca="false">IF((E179="a"),G179," ")</f>
        <v> </v>
      </c>
      <c r="S179" s="334" t="str">
        <f aca="false">IF((E179="l"),G179," ")</f>
        <v> </v>
      </c>
      <c r="T179" s="334" t="str">
        <f aca="false">IF((E179="b"),G179," ")</f>
        <v> </v>
      </c>
      <c r="U179" s="334" t="str">
        <f aca="false">IF((E179="i"),G179," ")</f>
        <v> </v>
      </c>
      <c r="V179" s="334" t="str">
        <f aca="false">IF((E179="o"),G179," ")</f>
        <v> </v>
      </c>
      <c r="W179" s="334" t="str">
        <f aca="false">IF((E179="f"),G179," ")</f>
        <v> </v>
      </c>
    </row>
    <row r="180" customFormat="false" ht="12.75" hidden="false" customHeight="false" outlineLevel="0" collapsed="false">
      <c r="A180" s="355"/>
      <c r="E180" s="365" t="str">
        <f aca="false">IF((G180&lt;&gt;0),"Enter Letter"," ")</f>
        <v> </v>
      </c>
      <c r="H180" s="338" t="str">
        <f aca="false">IF((G180&lt;&gt;0),IF((D180&gt;0)," ",G180)," ")</f>
        <v> </v>
      </c>
      <c r="I180" s="367" t="str">
        <f aca="false">IF((G180&lt;&gt;0),IF((D180&gt;0)," ",(I$1-A180))," ")</f>
        <v> </v>
      </c>
      <c r="J180" s="334" t="str">
        <f aca="false">IF((E180="s"),G180," ")</f>
        <v> </v>
      </c>
      <c r="K180" s="334" t="str">
        <f aca="false">IF((E180="d"),G180," ")</f>
        <v> </v>
      </c>
      <c r="L180" s="334" t="str">
        <f aca="false">IF((E180="e"),G180," ")</f>
        <v> </v>
      </c>
      <c r="M180" s="334" t="str">
        <f aca="false">IF((E180="p"),G180," ")</f>
        <v> </v>
      </c>
      <c r="N180" s="334" t="str">
        <f aca="false">IF((E180="r"),G180," ")</f>
        <v> </v>
      </c>
      <c r="O180" s="334" t="str">
        <f aca="false">IF((E180="g"),G180," ")</f>
        <v> </v>
      </c>
      <c r="P180" s="334" t="str">
        <f aca="false">IF((E180="m"),G180," ")</f>
        <v> </v>
      </c>
      <c r="Q180" s="334" t="str">
        <f aca="false">IF((E180="t"),G180," ")</f>
        <v> </v>
      </c>
      <c r="R180" s="334" t="str">
        <f aca="false">IF((E180="a"),G180," ")</f>
        <v> </v>
      </c>
      <c r="S180" s="334" t="str">
        <f aca="false">IF((E180="l"),G180," ")</f>
        <v> </v>
      </c>
      <c r="T180" s="334" t="str">
        <f aca="false">IF((E180="b"),G180," ")</f>
        <v> </v>
      </c>
      <c r="U180" s="334" t="str">
        <f aca="false">IF((E180="i"),G180," ")</f>
        <v> </v>
      </c>
      <c r="V180" s="334" t="str">
        <f aca="false">IF((E180="o"),G180," ")</f>
        <v> </v>
      </c>
      <c r="W180" s="334" t="str">
        <f aca="false">IF((E180="f"),G180," ")</f>
        <v> </v>
      </c>
    </row>
    <row r="181" customFormat="false" ht="12.75" hidden="false" customHeight="false" outlineLevel="0" collapsed="false">
      <c r="A181" s="355"/>
      <c r="E181" s="365" t="str">
        <f aca="false">IF((G181&lt;&gt;0),"Enter Letter"," ")</f>
        <v> </v>
      </c>
      <c r="H181" s="338" t="str">
        <f aca="false">IF((G181&lt;&gt;0),IF((D181&gt;0)," ",G181)," ")</f>
        <v> </v>
      </c>
      <c r="I181" s="367" t="str">
        <f aca="false">IF((G181&lt;&gt;0),IF((D181&gt;0)," ",(I$1-A181))," ")</f>
        <v> </v>
      </c>
      <c r="J181" s="334" t="str">
        <f aca="false">IF((E181="s"),G181," ")</f>
        <v> </v>
      </c>
      <c r="K181" s="334" t="str">
        <f aca="false">IF((E181="d"),G181," ")</f>
        <v> </v>
      </c>
      <c r="L181" s="334" t="str">
        <f aca="false">IF((E181="e"),G181," ")</f>
        <v> </v>
      </c>
      <c r="M181" s="334" t="str">
        <f aca="false">IF((E181="p"),G181," ")</f>
        <v> </v>
      </c>
      <c r="N181" s="334" t="str">
        <f aca="false">IF((E181="r"),G181," ")</f>
        <v> </v>
      </c>
      <c r="O181" s="334" t="str">
        <f aca="false">IF((E181="g"),G181," ")</f>
        <v> </v>
      </c>
      <c r="P181" s="334" t="str">
        <f aca="false">IF((E181="m"),G181," ")</f>
        <v> </v>
      </c>
      <c r="Q181" s="334" t="str">
        <f aca="false">IF((E181="t"),G181," ")</f>
        <v> </v>
      </c>
      <c r="R181" s="334" t="str">
        <f aca="false">IF((E181="a"),G181," ")</f>
        <v> </v>
      </c>
      <c r="S181" s="334" t="str">
        <f aca="false">IF((E181="l"),G181," ")</f>
        <v> </v>
      </c>
      <c r="T181" s="334" t="str">
        <f aca="false">IF((E181="b"),G181," ")</f>
        <v> </v>
      </c>
      <c r="U181" s="334" t="str">
        <f aca="false">IF((E181="i"),G181," ")</f>
        <v> </v>
      </c>
      <c r="V181" s="334" t="str">
        <f aca="false">IF((E181="o"),G181," ")</f>
        <v> </v>
      </c>
      <c r="W181" s="334" t="str">
        <f aca="false">IF((E181="f"),G181," ")</f>
        <v> </v>
      </c>
    </row>
    <row r="182" customFormat="false" ht="12.75" hidden="false" customHeight="false" outlineLevel="0" collapsed="false">
      <c r="A182" s="355"/>
      <c r="E182" s="365" t="str">
        <f aca="false">IF((G182&lt;&gt;0),"Enter Letter"," ")</f>
        <v> </v>
      </c>
      <c r="H182" s="338" t="str">
        <f aca="false">IF((G182&lt;&gt;0),IF((D182&gt;0)," ",G182)," ")</f>
        <v> </v>
      </c>
      <c r="I182" s="367" t="str">
        <f aca="false">IF((G182&lt;&gt;0),IF((D182&gt;0)," ",(I$1-A182))," ")</f>
        <v> </v>
      </c>
      <c r="J182" s="334" t="str">
        <f aca="false">IF((E182="s"),G182," ")</f>
        <v> </v>
      </c>
      <c r="K182" s="334" t="str">
        <f aca="false">IF((E182="d"),G182," ")</f>
        <v> </v>
      </c>
      <c r="L182" s="334" t="str">
        <f aca="false">IF((E182="e"),G182," ")</f>
        <v> </v>
      </c>
      <c r="M182" s="334" t="str">
        <f aca="false">IF((E182="p"),G182," ")</f>
        <v> </v>
      </c>
      <c r="N182" s="334" t="str">
        <f aca="false">IF((E182="r"),G182," ")</f>
        <v> </v>
      </c>
      <c r="O182" s="334" t="str">
        <f aca="false">IF((E182="g"),G182," ")</f>
        <v> </v>
      </c>
      <c r="P182" s="334" t="str">
        <f aca="false">IF((E182="m"),G182," ")</f>
        <v> </v>
      </c>
      <c r="Q182" s="334" t="str">
        <f aca="false">IF((E182="t"),G182," ")</f>
        <v> </v>
      </c>
      <c r="R182" s="334" t="str">
        <f aca="false">IF((E182="a"),G182," ")</f>
        <v> </v>
      </c>
      <c r="S182" s="334" t="str">
        <f aca="false">IF((E182="l"),G182," ")</f>
        <v> </v>
      </c>
      <c r="T182" s="334" t="str">
        <f aca="false">IF((E182="b"),G182," ")</f>
        <v> </v>
      </c>
      <c r="U182" s="334" t="str">
        <f aca="false">IF((E182="i"),G182," ")</f>
        <v> </v>
      </c>
      <c r="V182" s="334" t="str">
        <f aca="false">IF((E182="o"),G182," ")</f>
        <v> </v>
      </c>
      <c r="W182" s="334" t="str">
        <f aca="false">IF((E182="f"),G182," ")</f>
        <v> </v>
      </c>
    </row>
    <row r="183" customFormat="false" ht="12.75" hidden="false" customHeight="false" outlineLevel="0" collapsed="false">
      <c r="A183" s="355"/>
      <c r="E183" s="365" t="str">
        <f aca="false">IF((G183&lt;&gt;0),"Enter Letter"," ")</f>
        <v> </v>
      </c>
      <c r="H183" s="338" t="str">
        <f aca="false">IF((G183&lt;&gt;0),IF((D183&gt;0)," ",G183)," ")</f>
        <v> </v>
      </c>
      <c r="I183" s="367" t="str">
        <f aca="false">IF((G183&lt;&gt;0),IF((D183&gt;0)," ",(I$1-A183))," ")</f>
        <v> </v>
      </c>
      <c r="J183" s="334" t="str">
        <f aca="false">IF((E183="s"),G183," ")</f>
        <v> </v>
      </c>
      <c r="K183" s="334" t="str">
        <f aca="false">IF((E183="d"),G183," ")</f>
        <v> </v>
      </c>
      <c r="L183" s="334" t="str">
        <f aca="false">IF((E183="e"),G183," ")</f>
        <v> </v>
      </c>
      <c r="M183" s="334" t="str">
        <f aca="false">IF((E183="p"),G183," ")</f>
        <v> </v>
      </c>
      <c r="N183" s="334" t="str">
        <f aca="false">IF((E183="r"),G183," ")</f>
        <v> </v>
      </c>
      <c r="O183" s="334" t="str">
        <f aca="false">IF((E183="g"),G183," ")</f>
        <v> </v>
      </c>
      <c r="P183" s="334" t="str">
        <f aca="false">IF((E183="m"),G183," ")</f>
        <v> </v>
      </c>
      <c r="Q183" s="334" t="str">
        <f aca="false">IF((E183="t"),G183," ")</f>
        <v> </v>
      </c>
      <c r="R183" s="334" t="str">
        <f aca="false">IF((E183="a"),G183," ")</f>
        <v> </v>
      </c>
      <c r="S183" s="334" t="str">
        <f aca="false">IF((E183="l"),G183," ")</f>
        <v> </v>
      </c>
      <c r="T183" s="334" t="str">
        <f aca="false">IF((E183="b"),G183," ")</f>
        <v> </v>
      </c>
      <c r="U183" s="334" t="str">
        <f aca="false">IF((E183="i"),G183," ")</f>
        <v> </v>
      </c>
      <c r="V183" s="334" t="str">
        <f aca="false">IF((E183="o"),G183," ")</f>
        <v> </v>
      </c>
      <c r="W183" s="334" t="str">
        <f aca="false">IF((E183="f"),G183," ")</f>
        <v> </v>
      </c>
    </row>
    <row r="184" customFormat="false" ht="12.75" hidden="false" customHeight="false" outlineLevel="0" collapsed="false">
      <c r="A184" s="355"/>
      <c r="E184" s="365" t="str">
        <f aca="false">IF((G184&lt;&gt;0),"Enter Letter"," ")</f>
        <v> </v>
      </c>
      <c r="H184" s="338" t="str">
        <f aca="false">IF((G184&lt;&gt;0),IF((D184&gt;0)," ",G184)," ")</f>
        <v> </v>
      </c>
      <c r="I184" s="367" t="str">
        <f aca="false">IF((G184&lt;&gt;0),IF((D184&gt;0)," ",(I$1-A184))," ")</f>
        <v> </v>
      </c>
      <c r="J184" s="334" t="str">
        <f aca="false">IF((E184="s"),G184," ")</f>
        <v> </v>
      </c>
      <c r="K184" s="334" t="str">
        <f aca="false">IF((E184="d"),G184," ")</f>
        <v> </v>
      </c>
      <c r="L184" s="334" t="str">
        <f aca="false">IF((E184="e"),G184," ")</f>
        <v> </v>
      </c>
      <c r="M184" s="334" t="str">
        <f aca="false">IF((E184="p"),G184," ")</f>
        <v> </v>
      </c>
      <c r="N184" s="334" t="str">
        <f aca="false">IF((E184="r"),G184," ")</f>
        <v> </v>
      </c>
      <c r="O184" s="334" t="str">
        <f aca="false">IF((E184="g"),G184," ")</f>
        <v> </v>
      </c>
      <c r="P184" s="334" t="str">
        <f aca="false">IF((E184="m"),G184," ")</f>
        <v> </v>
      </c>
      <c r="Q184" s="334" t="str">
        <f aca="false">IF((E184="t"),G184," ")</f>
        <v> </v>
      </c>
      <c r="R184" s="334" t="str">
        <f aca="false">IF((E184="a"),G184," ")</f>
        <v> </v>
      </c>
      <c r="S184" s="334" t="str">
        <f aca="false">IF((E184="l"),G184," ")</f>
        <v> </v>
      </c>
      <c r="T184" s="334" t="str">
        <f aca="false">IF((E184="b"),G184," ")</f>
        <v> </v>
      </c>
      <c r="U184" s="334" t="str">
        <f aca="false">IF((E184="i"),G184," ")</f>
        <v> </v>
      </c>
      <c r="V184" s="334" t="str">
        <f aca="false">IF((E184="o"),G184," ")</f>
        <v> </v>
      </c>
      <c r="W184" s="334" t="str">
        <f aca="false">IF((E184="f"),G184," ")</f>
        <v> </v>
      </c>
    </row>
    <row r="185" customFormat="false" ht="12.75" hidden="false" customHeight="false" outlineLevel="0" collapsed="false">
      <c r="A185" s="355"/>
      <c r="E185" s="365" t="str">
        <f aca="false">IF((G185&lt;&gt;0),"Enter Letter"," ")</f>
        <v> </v>
      </c>
      <c r="H185" s="338" t="str">
        <f aca="false">IF((G185&lt;&gt;0),IF((D185&gt;0)," ",G185)," ")</f>
        <v> </v>
      </c>
      <c r="I185" s="367" t="str">
        <f aca="false">IF((G185&lt;&gt;0),IF((D185&gt;0)," ",(I$1-A185))," ")</f>
        <v> </v>
      </c>
      <c r="J185" s="334" t="str">
        <f aca="false">IF((E185="s"),G185," ")</f>
        <v> </v>
      </c>
      <c r="K185" s="334" t="str">
        <f aca="false">IF((E185="d"),G185," ")</f>
        <v> </v>
      </c>
      <c r="L185" s="334" t="str">
        <f aca="false">IF((E185="e"),G185," ")</f>
        <v> </v>
      </c>
      <c r="M185" s="334" t="str">
        <f aca="false">IF((E185="p"),G185," ")</f>
        <v> </v>
      </c>
      <c r="N185" s="334" t="str">
        <f aca="false">IF((E185="r"),G185," ")</f>
        <v> </v>
      </c>
      <c r="O185" s="334" t="str">
        <f aca="false">IF((E185="g"),G185," ")</f>
        <v> </v>
      </c>
      <c r="P185" s="334" t="str">
        <f aca="false">IF((E185="m"),G185," ")</f>
        <v> </v>
      </c>
      <c r="Q185" s="334" t="str">
        <f aca="false">IF((E185="t"),G185," ")</f>
        <v> </v>
      </c>
      <c r="R185" s="334" t="str">
        <f aca="false">IF((E185="a"),G185," ")</f>
        <v> </v>
      </c>
      <c r="S185" s="334" t="str">
        <f aca="false">IF((E185="l"),G185," ")</f>
        <v> </v>
      </c>
      <c r="T185" s="334" t="str">
        <f aca="false">IF((E185="b"),G185," ")</f>
        <v> </v>
      </c>
      <c r="U185" s="334" t="str">
        <f aca="false">IF((E185="i"),G185," ")</f>
        <v> </v>
      </c>
      <c r="V185" s="334" t="str">
        <f aca="false">IF((E185="o"),G185," ")</f>
        <v> </v>
      </c>
      <c r="W185" s="334" t="str">
        <f aca="false">IF((E185="f"),G185," ")</f>
        <v> </v>
      </c>
    </row>
    <row r="186" customFormat="false" ht="12.75" hidden="false" customHeight="false" outlineLevel="0" collapsed="false">
      <c r="A186" s="355"/>
      <c r="E186" s="365" t="str">
        <f aca="false">IF((G186&lt;&gt;0),"Enter Letter"," ")</f>
        <v> </v>
      </c>
      <c r="H186" s="338" t="str">
        <f aca="false">IF((G186&lt;&gt;0),IF((D186&gt;0)," ",G186)," ")</f>
        <v> </v>
      </c>
      <c r="I186" s="367" t="str">
        <f aca="false">IF((G186&lt;&gt;0),IF((D186&gt;0)," ",(I$1-A186))," ")</f>
        <v> </v>
      </c>
      <c r="J186" s="334" t="str">
        <f aca="false">IF((E186="s"),G186," ")</f>
        <v> </v>
      </c>
      <c r="K186" s="334" t="str">
        <f aca="false">IF((E186="d"),G186," ")</f>
        <v> </v>
      </c>
      <c r="L186" s="334" t="str">
        <f aca="false">IF((E186="e"),G186," ")</f>
        <v> </v>
      </c>
      <c r="M186" s="334" t="str">
        <f aca="false">IF((E186="p"),G186," ")</f>
        <v> </v>
      </c>
      <c r="N186" s="334" t="str">
        <f aca="false">IF((E186="r"),G186," ")</f>
        <v> </v>
      </c>
      <c r="O186" s="334" t="str">
        <f aca="false">IF((E186="g"),G186," ")</f>
        <v> </v>
      </c>
      <c r="P186" s="334" t="str">
        <f aca="false">IF((E186="m"),G186," ")</f>
        <v> </v>
      </c>
      <c r="Q186" s="334" t="str">
        <f aca="false">IF((E186="t"),G186," ")</f>
        <v> </v>
      </c>
      <c r="R186" s="334" t="str">
        <f aca="false">IF((E186="a"),G186," ")</f>
        <v> </v>
      </c>
      <c r="S186" s="334" t="str">
        <f aca="false">IF((E186="l"),G186," ")</f>
        <v> </v>
      </c>
      <c r="T186" s="334" t="str">
        <f aca="false">IF((E186="b"),G186," ")</f>
        <v> </v>
      </c>
      <c r="U186" s="334" t="str">
        <f aca="false">IF((E186="i"),G186," ")</f>
        <v> </v>
      </c>
      <c r="V186" s="334" t="str">
        <f aca="false">IF((E186="o"),G186," ")</f>
        <v> </v>
      </c>
      <c r="W186" s="334" t="str">
        <f aca="false">IF((E186="f"),G186," ")</f>
        <v> </v>
      </c>
    </row>
    <row r="187" customFormat="false" ht="12.75" hidden="false" customHeight="false" outlineLevel="0" collapsed="false">
      <c r="A187" s="355"/>
      <c r="E187" s="365" t="str">
        <f aca="false">IF((G187&lt;&gt;0),"Enter Letter"," ")</f>
        <v> </v>
      </c>
      <c r="H187" s="338" t="str">
        <f aca="false">IF((G187&lt;&gt;0),IF((D187&gt;0)," ",G187)," ")</f>
        <v> </v>
      </c>
      <c r="I187" s="367" t="str">
        <f aca="false">IF((G187&lt;&gt;0),IF((D187&gt;0)," ",(I$1-A187))," ")</f>
        <v> </v>
      </c>
      <c r="J187" s="334" t="str">
        <f aca="false">IF((E187="s"),G187," ")</f>
        <v> </v>
      </c>
      <c r="K187" s="334" t="str">
        <f aca="false">IF((E187="d"),G187," ")</f>
        <v> </v>
      </c>
      <c r="L187" s="334" t="str">
        <f aca="false">IF((E187="e"),G187," ")</f>
        <v> </v>
      </c>
      <c r="M187" s="334" t="str">
        <f aca="false">IF((E187="p"),G187," ")</f>
        <v> </v>
      </c>
      <c r="N187" s="334" t="str">
        <f aca="false">IF((E187="r"),G187," ")</f>
        <v> </v>
      </c>
      <c r="O187" s="334" t="str">
        <f aca="false">IF((E187="g"),G187," ")</f>
        <v> </v>
      </c>
      <c r="P187" s="334" t="str">
        <f aca="false">IF((E187="m"),G187," ")</f>
        <v> </v>
      </c>
      <c r="Q187" s="334" t="str">
        <f aca="false">IF((E187="t"),G187," ")</f>
        <v> </v>
      </c>
      <c r="R187" s="334" t="str">
        <f aca="false">IF((E187="a"),G187," ")</f>
        <v> </v>
      </c>
      <c r="S187" s="334" t="str">
        <f aca="false">IF((E187="l"),G187," ")</f>
        <v> </v>
      </c>
      <c r="T187" s="334" t="str">
        <f aca="false">IF((E187="b"),G187," ")</f>
        <v> </v>
      </c>
      <c r="U187" s="334" t="str">
        <f aca="false">IF((E187="i"),G187," ")</f>
        <v> </v>
      </c>
      <c r="V187" s="334" t="str">
        <f aca="false">IF((E187="o"),G187," ")</f>
        <v> </v>
      </c>
      <c r="W187" s="334" t="str">
        <f aca="false">IF((E187="f"),G187," ")</f>
        <v> </v>
      </c>
    </row>
    <row r="188" customFormat="false" ht="12.75" hidden="false" customHeight="false" outlineLevel="0" collapsed="false">
      <c r="A188" s="355"/>
      <c r="E188" s="365" t="str">
        <f aca="false">IF((G188&lt;&gt;0),"Enter Letter"," ")</f>
        <v> </v>
      </c>
      <c r="H188" s="338" t="str">
        <f aca="false">IF((G188&lt;&gt;0),IF((D188&gt;0)," ",G188)," ")</f>
        <v> </v>
      </c>
      <c r="I188" s="367" t="str">
        <f aca="false">IF((G188&lt;&gt;0),IF((D188&gt;0)," ",(I$1-A188))," ")</f>
        <v> </v>
      </c>
      <c r="J188" s="334" t="str">
        <f aca="false">IF((E188="s"),G188," ")</f>
        <v> </v>
      </c>
      <c r="K188" s="334" t="str">
        <f aca="false">IF((E188="d"),G188," ")</f>
        <v> </v>
      </c>
      <c r="L188" s="334" t="str">
        <f aca="false">IF((E188="e"),G188," ")</f>
        <v> </v>
      </c>
      <c r="M188" s="334" t="str">
        <f aca="false">IF((E188="p"),G188," ")</f>
        <v> </v>
      </c>
      <c r="N188" s="334" t="str">
        <f aca="false">IF((E188="r"),G188," ")</f>
        <v> </v>
      </c>
      <c r="O188" s="334" t="str">
        <f aca="false">IF((E188="g"),G188," ")</f>
        <v> </v>
      </c>
      <c r="P188" s="334" t="str">
        <f aca="false">IF((E188="m"),G188," ")</f>
        <v> </v>
      </c>
      <c r="Q188" s="334" t="str">
        <f aca="false">IF((E188="t"),G188," ")</f>
        <v> </v>
      </c>
      <c r="R188" s="334" t="str">
        <f aca="false">IF((E188="a"),G188," ")</f>
        <v> </v>
      </c>
      <c r="S188" s="334" t="str">
        <f aca="false">IF((E188="l"),G188," ")</f>
        <v> </v>
      </c>
      <c r="T188" s="334" t="str">
        <f aca="false">IF((E188="b"),G188," ")</f>
        <v> </v>
      </c>
      <c r="U188" s="334" t="str">
        <f aca="false">IF((E188="i"),G188," ")</f>
        <v> </v>
      </c>
      <c r="V188" s="334" t="str">
        <f aca="false">IF((E188="o"),G188," ")</f>
        <v> </v>
      </c>
      <c r="W188" s="334" t="str">
        <f aca="false">IF((E188="f"),G188," ")</f>
        <v> </v>
      </c>
    </row>
    <row r="189" customFormat="false" ht="12.75" hidden="false" customHeight="false" outlineLevel="0" collapsed="false">
      <c r="A189" s="355"/>
      <c r="E189" s="365" t="str">
        <f aca="false">IF((G189&lt;&gt;0),"Enter Letter"," ")</f>
        <v> </v>
      </c>
      <c r="H189" s="338" t="str">
        <f aca="false">IF((G189&lt;&gt;0),IF((D189&gt;0)," ",G189)," ")</f>
        <v> </v>
      </c>
      <c r="I189" s="367" t="str">
        <f aca="false">IF((G189&lt;&gt;0),IF((D189&gt;0)," ",(I$1-A189))," ")</f>
        <v> </v>
      </c>
      <c r="J189" s="334" t="str">
        <f aca="false">IF((E189="s"),G189," ")</f>
        <v> </v>
      </c>
      <c r="K189" s="334" t="str">
        <f aca="false">IF((E189="d"),G189," ")</f>
        <v> </v>
      </c>
      <c r="L189" s="334" t="str">
        <f aca="false">IF((E189="e"),G189," ")</f>
        <v> </v>
      </c>
      <c r="M189" s="334" t="str">
        <f aca="false">IF((E189="p"),G189," ")</f>
        <v> </v>
      </c>
      <c r="N189" s="334" t="str">
        <f aca="false">IF((E189="r"),G189," ")</f>
        <v> </v>
      </c>
      <c r="O189" s="334" t="str">
        <f aca="false">IF((E189="g"),G189," ")</f>
        <v> </v>
      </c>
      <c r="P189" s="334" t="str">
        <f aca="false">IF((E189="m"),G189," ")</f>
        <v> </v>
      </c>
      <c r="Q189" s="334" t="str">
        <f aca="false">IF((E189="t"),G189," ")</f>
        <v> </v>
      </c>
      <c r="R189" s="334" t="str">
        <f aca="false">IF((E189="a"),G189," ")</f>
        <v> </v>
      </c>
      <c r="S189" s="334" t="str">
        <f aca="false">IF((E189="l"),G189," ")</f>
        <v> </v>
      </c>
      <c r="T189" s="334" t="str">
        <f aca="false">IF((E189="b"),G189," ")</f>
        <v> </v>
      </c>
      <c r="U189" s="334" t="str">
        <f aca="false">IF((E189="i"),G189," ")</f>
        <v> </v>
      </c>
      <c r="V189" s="334" t="str">
        <f aca="false">IF((E189="o"),G189," ")</f>
        <v> </v>
      </c>
      <c r="W189" s="334" t="str">
        <f aca="false">IF((E189="f"),G189," ")</f>
        <v> </v>
      </c>
    </row>
    <row r="190" customFormat="false" ht="12.75" hidden="false" customHeight="false" outlineLevel="0" collapsed="false">
      <c r="A190" s="355"/>
      <c r="E190" s="365" t="str">
        <f aca="false">IF((G190&lt;&gt;0),"Enter Letter"," ")</f>
        <v> </v>
      </c>
      <c r="H190" s="338" t="str">
        <f aca="false">IF((G190&lt;&gt;0),IF((D190&gt;0)," ",G190)," ")</f>
        <v> </v>
      </c>
      <c r="I190" s="367" t="str">
        <f aca="false">IF((G190&lt;&gt;0),IF((D190&gt;0)," ",(I$1-A190))," ")</f>
        <v> </v>
      </c>
      <c r="J190" s="334" t="str">
        <f aca="false">IF((E190="s"),G190," ")</f>
        <v> </v>
      </c>
      <c r="K190" s="334" t="str">
        <f aca="false">IF((E190="d"),G190," ")</f>
        <v> </v>
      </c>
      <c r="L190" s="334" t="str">
        <f aca="false">IF((E190="e"),G190," ")</f>
        <v> </v>
      </c>
      <c r="M190" s="334" t="str">
        <f aca="false">IF((E190="p"),G190," ")</f>
        <v> </v>
      </c>
      <c r="N190" s="334" t="str">
        <f aca="false">IF((E190="r"),G190," ")</f>
        <v> </v>
      </c>
      <c r="O190" s="334" t="str">
        <f aca="false">IF((E190="g"),G190," ")</f>
        <v> </v>
      </c>
      <c r="P190" s="334" t="str">
        <f aca="false">IF((E190="m"),G190," ")</f>
        <v> </v>
      </c>
      <c r="Q190" s="334" t="str">
        <f aca="false">IF((E190="t"),G190," ")</f>
        <v> </v>
      </c>
      <c r="R190" s="334" t="str">
        <f aca="false">IF((E190="a"),G190," ")</f>
        <v> </v>
      </c>
      <c r="S190" s="334" t="str">
        <f aca="false">IF((E190="l"),G190," ")</f>
        <v> </v>
      </c>
      <c r="T190" s="334" t="str">
        <f aca="false">IF((E190="b"),G190," ")</f>
        <v> </v>
      </c>
      <c r="U190" s="334" t="str">
        <f aca="false">IF((E190="i"),G190," ")</f>
        <v> </v>
      </c>
      <c r="V190" s="334" t="str">
        <f aca="false">IF((E190="o"),G190," ")</f>
        <v> </v>
      </c>
      <c r="W190" s="334" t="str">
        <f aca="false">IF((E190="f"),G190," ")</f>
        <v> </v>
      </c>
    </row>
    <row r="191" customFormat="false" ht="12.75" hidden="false" customHeight="false" outlineLevel="0" collapsed="false">
      <c r="A191" s="355"/>
      <c r="E191" s="365" t="str">
        <f aca="false">IF((G191&lt;&gt;0),"Enter Letter"," ")</f>
        <v> </v>
      </c>
      <c r="H191" s="338" t="str">
        <f aca="false">IF((G191&lt;&gt;0),IF((D191&gt;0)," ",G191)," ")</f>
        <v> </v>
      </c>
      <c r="I191" s="367" t="str">
        <f aca="false">IF((G191&lt;&gt;0),IF((D191&gt;0)," ",(I$1-A191))," ")</f>
        <v> </v>
      </c>
      <c r="J191" s="334" t="str">
        <f aca="false">IF((E191="s"),G191," ")</f>
        <v> </v>
      </c>
      <c r="K191" s="334" t="str">
        <f aca="false">IF((E191="d"),G191," ")</f>
        <v> </v>
      </c>
      <c r="L191" s="334" t="str">
        <f aca="false">IF((E191="e"),G191," ")</f>
        <v> </v>
      </c>
      <c r="M191" s="334" t="str">
        <f aca="false">IF((E191="p"),G191," ")</f>
        <v> </v>
      </c>
      <c r="N191" s="334" t="str">
        <f aca="false">IF((E191="r"),G191," ")</f>
        <v> </v>
      </c>
      <c r="O191" s="334" t="str">
        <f aca="false">IF((E191="g"),G191," ")</f>
        <v> </v>
      </c>
      <c r="P191" s="334" t="str">
        <f aca="false">IF((E191="m"),G191," ")</f>
        <v> </v>
      </c>
      <c r="Q191" s="334" t="str">
        <f aca="false">IF((E191="t"),G191," ")</f>
        <v> </v>
      </c>
      <c r="R191" s="334" t="str">
        <f aca="false">IF((E191="a"),G191," ")</f>
        <v> </v>
      </c>
      <c r="S191" s="334" t="str">
        <f aca="false">IF((E191="l"),G191," ")</f>
        <v> </v>
      </c>
      <c r="T191" s="334" t="str">
        <f aca="false">IF((E191="b"),G191," ")</f>
        <v> </v>
      </c>
      <c r="U191" s="334" t="str">
        <f aca="false">IF((E191="i"),G191," ")</f>
        <v> </v>
      </c>
      <c r="V191" s="334" t="str">
        <f aca="false">IF((E191="o"),G191," ")</f>
        <v> </v>
      </c>
      <c r="W191" s="334" t="str">
        <f aca="false">IF((E191="f"),G191," ")</f>
        <v> </v>
      </c>
    </row>
    <row r="192" customFormat="false" ht="12.75" hidden="false" customHeight="false" outlineLevel="0" collapsed="false">
      <c r="A192" s="355"/>
      <c r="E192" s="365" t="str">
        <f aca="false">IF((G192&lt;&gt;0),"Enter Letter"," ")</f>
        <v> </v>
      </c>
      <c r="H192" s="338" t="str">
        <f aca="false">IF((G192&lt;&gt;0),IF((D192&gt;0)," ",G192)," ")</f>
        <v> </v>
      </c>
      <c r="I192" s="367" t="str">
        <f aca="false">IF((G192&lt;&gt;0),IF((D192&gt;0)," ",(I$1-A192))," ")</f>
        <v> </v>
      </c>
      <c r="J192" s="334" t="str">
        <f aca="false">IF((E192="s"),G192," ")</f>
        <v> </v>
      </c>
      <c r="K192" s="334" t="str">
        <f aca="false">IF((E192="d"),G192," ")</f>
        <v> </v>
      </c>
      <c r="L192" s="334" t="str">
        <f aca="false">IF((E192="e"),G192," ")</f>
        <v> </v>
      </c>
      <c r="M192" s="334" t="str">
        <f aca="false">IF((E192="p"),G192," ")</f>
        <v> </v>
      </c>
      <c r="N192" s="334" t="str">
        <f aca="false">IF((E192="r"),G192," ")</f>
        <v> </v>
      </c>
      <c r="O192" s="334" t="str">
        <f aca="false">IF((E192="g"),G192," ")</f>
        <v> </v>
      </c>
      <c r="P192" s="334" t="str">
        <f aca="false">IF((E192="m"),G192," ")</f>
        <v> </v>
      </c>
      <c r="Q192" s="334" t="str">
        <f aca="false">IF((E192="t"),G192," ")</f>
        <v> </v>
      </c>
      <c r="R192" s="334" t="str">
        <f aca="false">IF((E192="a"),G192," ")</f>
        <v> </v>
      </c>
      <c r="S192" s="334" t="str">
        <f aca="false">IF((E192="l"),G192," ")</f>
        <v> </v>
      </c>
      <c r="T192" s="334" t="str">
        <f aca="false">IF((E192="b"),G192," ")</f>
        <v> </v>
      </c>
      <c r="U192" s="334" t="str">
        <f aca="false">IF((E192="i"),G192," ")</f>
        <v> </v>
      </c>
      <c r="V192" s="334" t="str">
        <f aca="false">IF((E192="o"),G192," ")</f>
        <v> </v>
      </c>
      <c r="W192" s="334" t="str">
        <f aca="false">IF((E192="f"),G192," ")</f>
        <v> </v>
      </c>
    </row>
    <row r="193" customFormat="false" ht="12.75" hidden="false" customHeight="false" outlineLevel="0" collapsed="false">
      <c r="A193" s="355"/>
      <c r="E193" s="365" t="str">
        <f aca="false">IF((G193&lt;&gt;0),"Enter Letter"," ")</f>
        <v> </v>
      </c>
      <c r="H193" s="338" t="str">
        <f aca="false">IF((G193&lt;&gt;0),IF((D193&gt;0)," ",G193)," ")</f>
        <v> </v>
      </c>
      <c r="I193" s="367" t="str">
        <f aca="false">IF((G193&lt;&gt;0),IF((D193&gt;0)," ",(I$1-A193))," ")</f>
        <v> </v>
      </c>
      <c r="J193" s="334" t="str">
        <f aca="false">IF((E193="s"),G193," ")</f>
        <v> </v>
      </c>
      <c r="K193" s="334" t="str">
        <f aca="false">IF((E193="d"),G193," ")</f>
        <v> </v>
      </c>
      <c r="L193" s="334" t="str">
        <f aca="false">IF((E193="e"),G193," ")</f>
        <v> </v>
      </c>
      <c r="M193" s="334" t="str">
        <f aca="false">IF((E193="p"),G193," ")</f>
        <v> </v>
      </c>
      <c r="N193" s="334" t="str">
        <f aca="false">IF((E193="r"),G193," ")</f>
        <v> </v>
      </c>
      <c r="O193" s="334" t="str">
        <f aca="false">IF((E193="g"),G193," ")</f>
        <v> </v>
      </c>
      <c r="P193" s="334" t="str">
        <f aca="false">IF((E193="m"),G193," ")</f>
        <v> </v>
      </c>
      <c r="Q193" s="334" t="str">
        <f aca="false">IF((E193="t"),G193," ")</f>
        <v> </v>
      </c>
      <c r="R193" s="334" t="str">
        <f aca="false">IF((E193="a"),G193," ")</f>
        <v> </v>
      </c>
      <c r="S193" s="334" t="str">
        <f aca="false">IF((E193="l"),G193," ")</f>
        <v> </v>
      </c>
      <c r="T193" s="334" t="str">
        <f aca="false">IF((E193="b"),G193," ")</f>
        <v> </v>
      </c>
      <c r="U193" s="334" t="str">
        <f aca="false">IF((E193="i"),G193," ")</f>
        <v> </v>
      </c>
      <c r="V193" s="334" t="str">
        <f aca="false">IF((E193="o"),G193," ")</f>
        <v> </v>
      </c>
      <c r="W193" s="334" t="str">
        <f aca="false">IF((E193="f"),G193," ")</f>
        <v> </v>
      </c>
    </row>
    <row r="194" customFormat="false" ht="12.75" hidden="false" customHeight="false" outlineLevel="0" collapsed="false">
      <c r="A194" s="355"/>
      <c r="E194" s="365" t="str">
        <f aca="false">IF((G194&lt;&gt;0),"Enter Letter"," ")</f>
        <v> </v>
      </c>
      <c r="H194" s="338" t="str">
        <f aca="false">IF((G194&lt;&gt;0),IF((D194&gt;0)," ",G194)," ")</f>
        <v> </v>
      </c>
      <c r="I194" s="367" t="str">
        <f aca="false">IF((G194&lt;&gt;0),IF((D194&gt;0)," ",(I$1-A194))," ")</f>
        <v> </v>
      </c>
      <c r="J194" s="334" t="str">
        <f aca="false">IF((E194="s"),G194," ")</f>
        <v> </v>
      </c>
      <c r="K194" s="334" t="str">
        <f aca="false">IF((E194="d"),G194," ")</f>
        <v> </v>
      </c>
      <c r="L194" s="334" t="str">
        <f aca="false">IF((E194="e"),G194," ")</f>
        <v> </v>
      </c>
      <c r="M194" s="334" t="str">
        <f aca="false">IF((E194="p"),G194," ")</f>
        <v> </v>
      </c>
      <c r="N194" s="334" t="str">
        <f aca="false">IF((E194="r"),G194," ")</f>
        <v> </v>
      </c>
      <c r="O194" s="334" t="str">
        <f aca="false">IF((E194="g"),G194," ")</f>
        <v> </v>
      </c>
      <c r="P194" s="334" t="str">
        <f aca="false">IF((E194="m"),G194," ")</f>
        <v> </v>
      </c>
      <c r="Q194" s="334" t="str">
        <f aca="false">IF((E194="t"),G194," ")</f>
        <v> </v>
      </c>
      <c r="R194" s="334" t="str">
        <f aca="false">IF((E194="a"),G194," ")</f>
        <v> </v>
      </c>
      <c r="S194" s="334" t="str">
        <f aca="false">IF((E194="l"),G194," ")</f>
        <v> </v>
      </c>
      <c r="T194" s="334" t="str">
        <f aca="false">IF((E194="b"),G194," ")</f>
        <v> </v>
      </c>
      <c r="U194" s="334" t="str">
        <f aca="false">IF((E194="i"),G194," ")</f>
        <v> </v>
      </c>
      <c r="V194" s="334" t="str">
        <f aca="false">IF((E194="o"),G194," ")</f>
        <v> </v>
      </c>
      <c r="W194" s="334" t="str">
        <f aca="false">IF((E194="f"),G194," ")</f>
        <v> </v>
      </c>
    </row>
    <row r="195" customFormat="false" ht="12.75" hidden="false" customHeight="false" outlineLevel="0" collapsed="false">
      <c r="A195" s="355"/>
      <c r="E195" s="365" t="str">
        <f aca="false">IF((G195&lt;&gt;0),"Enter Letter"," ")</f>
        <v> </v>
      </c>
      <c r="H195" s="338" t="str">
        <f aca="false">IF((G195&lt;&gt;0),IF((D195&gt;0)," ",G195)," ")</f>
        <v> </v>
      </c>
      <c r="I195" s="367" t="str">
        <f aca="false">IF((G195&lt;&gt;0),IF((D195&gt;0)," ",(I$1-A195))," ")</f>
        <v> </v>
      </c>
      <c r="J195" s="334" t="str">
        <f aca="false">IF((E195="s"),G195," ")</f>
        <v> </v>
      </c>
      <c r="K195" s="334" t="str">
        <f aca="false">IF((E195="d"),G195," ")</f>
        <v> </v>
      </c>
      <c r="L195" s="334" t="str">
        <f aca="false">IF((E195="e"),G195," ")</f>
        <v> </v>
      </c>
      <c r="M195" s="334" t="str">
        <f aca="false">IF((E195="p"),G195," ")</f>
        <v> </v>
      </c>
      <c r="N195" s="334" t="str">
        <f aca="false">IF((E195="r"),G195," ")</f>
        <v> </v>
      </c>
      <c r="O195" s="334" t="str">
        <f aca="false">IF((E195="g"),G195," ")</f>
        <v> </v>
      </c>
      <c r="P195" s="334" t="str">
        <f aca="false">IF((E195="m"),G195," ")</f>
        <v> </v>
      </c>
      <c r="Q195" s="334" t="str">
        <f aca="false">IF((E195="t"),G195," ")</f>
        <v> </v>
      </c>
      <c r="R195" s="334" t="str">
        <f aca="false">IF((E195="a"),G195," ")</f>
        <v> </v>
      </c>
      <c r="S195" s="334" t="str">
        <f aca="false">IF((E195="l"),G195," ")</f>
        <v> </v>
      </c>
      <c r="T195" s="334" t="str">
        <f aca="false">IF((E195="b"),G195," ")</f>
        <v> </v>
      </c>
      <c r="U195" s="334" t="str">
        <f aca="false">IF((E195="i"),G195," ")</f>
        <v> </v>
      </c>
      <c r="V195" s="334" t="str">
        <f aca="false">IF((E195="o"),G195," ")</f>
        <v> </v>
      </c>
      <c r="W195" s="334" t="str">
        <f aca="false">IF((E195="f"),G195," ")</f>
        <v> </v>
      </c>
    </row>
    <row r="196" customFormat="false" ht="12.75" hidden="false" customHeight="false" outlineLevel="0" collapsed="false">
      <c r="A196" s="355"/>
      <c r="E196" s="365" t="str">
        <f aca="false">IF((G196&lt;&gt;0),"Enter Letter"," ")</f>
        <v> </v>
      </c>
      <c r="H196" s="338" t="str">
        <f aca="false">IF((G196&lt;&gt;0),IF((D196&gt;0)," ",G196)," ")</f>
        <v> </v>
      </c>
      <c r="I196" s="367" t="str">
        <f aca="false">IF((G196&lt;&gt;0),IF((D196&gt;0)," ",(I$1-A196))," ")</f>
        <v> </v>
      </c>
      <c r="J196" s="334" t="str">
        <f aca="false">IF((E196="s"),G196," ")</f>
        <v> </v>
      </c>
      <c r="K196" s="334" t="str">
        <f aca="false">IF((E196="d"),G196," ")</f>
        <v> </v>
      </c>
      <c r="L196" s="334" t="str">
        <f aca="false">IF((E196="e"),G196," ")</f>
        <v> </v>
      </c>
      <c r="M196" s="334" t="str">
        <f aca="false">IF((E196="p"),G196," ")</f>
        <v> </v>
      </c>
      <c r="N196" s="334" t="str">
        <f aca="false">IF((E196="r"),G196," ")</f>
        <v> </v>
      </c>
      <c r="O196" s="334" t="str">
        <f aca="false">IF((E196="g"),G196," ")</f>
        <v> </v>
      </c>
      <c r="P196" s="334" t="str">
        <f aca="false">IF((E196="m"),G196," ")</f>
        <v> </v>
      </c>
      <c r="Q196" s="334" t="str">
        <f aca="false">IF((E196="t"),G196," ")</f>
        <v> </v>
      </c>
      <c r="R196" s="334" t="str">
        <f aca="false">IF((E196="a"),G196," ")</f>
        <v> </v>
      </c>
      <c r="S196" s="334" t="str">
        <f aca="false">IF((E196="l"),G196," ")</f>
        <v> </v>
      </c>
      <c r="T196" s="334" t="str">
        <f aca="false">IF((E196="b"),G196," ")</f>
        <v> </v>
      </c>
      <c r="U196" s="334" t="str">
        <f aca="false">IF((E196="i"),G196," ")</f>
        <v> </v>
      </c>
      <c r="V196" s="334" t="str">
        <f aca="false">IF((E196="o"),G196," ")</f>
        <v> </v>
      </c>
      <c r="W196" s="334" t="str">
        <f aca="false">IF((E196="f"),G196," ")</f>
        <v> </v>
      </c>
    </row>
    <row r="197" customFormat="false" ht="12.75" hidden="false" customHeight="false" outlineLevel="0" collapsed="false">
      <c r="A197" s="355"/>
      <c r="E197" s="365" t="str">
        <f aca="false">IF((G197&lt;&gt;0),"Enter Letter"," ")</f>
        <v> </v>
      </c>
      <c r="H197" s="338" t="str">
        <f aca="false">IF((G197&lt;&gt;0),IF((D197&gt;0)," ",G197)," ")</f>
        <v> </v>
      </c>
      <c r="I197" s="367" t="str">
        <f aca="false">IF((G197&lt;&gt;0),IF((D197&gt;0)," ",(I$1-A197))," ")</f>
        <v> </v>
      </c>
      <c r="J197" s="334" t="str">
        <f aca="false">IF((E197="s"),G197," ")</f>
        <v> </v>
      </c>
      <c r="K197" s="334" t="str">
        <f aca="false">IF((E197="d"),G197," ")</f>
        <v> </v>
      </c>
      <c r="L197" s="334" t="str">
        <f aca="false">IF((E197="e"),G197," ")</f>
        <v> </v>
      </c>
      <c r="M197" s="334" t="str">
        <f aca="false">IF((E197="p"),G197," ")</f>
        <v> </v>
      </c>
      <c r="N197" s="334" t="str">
        <f aca="false">IF((E197="r"),G197," ")</f>
        <v> </v>
      </c>
      <c r="O197" s="334" t="str">
        <f aca="false">IF((E197="g"),G197," ")</f>
        <v> </v>
      </c>
      <c r="P197" s="334" t="str">
        <f aca="false">IF((E197="m"),G197," ")</f>
        <v> </v>
      </c>
      <c r="Q197" s="334" t="str">
        <f aca="false">IF((E197="t"),G197," ")</f>
        <v> </v>
      </c>
      <c r="R197" s="334" t="str">
        <f aca="false">IF((E197="a"),G197," ")</f>
        <v> </v>
      </c>
      <c r="S197" s="334" t="str">
        <f aca="false">IF((E197="l"),G197," ")</f>
        <v> </v>
      </c>
      <c r="T197" s="334" t="str">
        <f aca="false">IF((E197="b"),G197," ")</f>
        <v> </v>
      </c>
      <c r="U197" s="334" t="str">
        <f aca="false">IF((E197="i"),G197," ")</f>
        <v> </v>
      </c>
      <c r="V197" s="334" t="str">
        <f aca="false">IF((E197="o"),G197," ")</f>
        <v> </v>
      </c>
      <c r="W197" s="334" t="str">
        <f aca="false">IF((E197="f"),G197," ")</f>
        <v> </v>
      </c>
    </row>
    <row r="198" customFormat="false" ht="12.75" hidden="false" customHeight="false" outlineLevel="0" collapsed="false">
      <c r="A198" s="355"/>
      <c r="E198" s="365" t="str">
        <f aca="false">IF((G198&lt;&gt;0),"Enter Letter"," ")</f>
        <v> </v>
      </c>
      <c r="H198" s="338" t="str">
        <f aca="false">IF((G198&lt;&gt;0),IF((D198&gt;0)," ",G198)," ")</f>
        <v> </v>
      </c>
      <c r="I198" s="367" t="str">
        <f aca="false">IF((G198&lt;&gt;0),IF((D198&gt;0)," ",(I$1-A198))," ")</f>
        <v> </v>
      </c>
      <c r="J198" s="334" t="str">
        <f aca="false">IF((E198="s"),G198," ")</f>
        <v> </v>
      </c>
      <c r="K198" s="334" t="str">
        <f aca="false">IF((E198="d"),G198," ")</f>
        <v> </v>
      </c>
      <c r="L198" s="334" t="str">
        <f aca="false">IF((E198="e"),G198," ")</f>
        <v> </v>
      </c>
      <c r="M198" s="334" t="str">
        <f aca="false">IF((E198="p"),G198," ")</f>
        <v> </v>
      </c>
      <c r="N198" s="334" t="str">
        <f aca="false">IF((E198="r"),G198," ")</f>
        <v> </v>
      </c>
      <c r="O198" s="334" t="str">
        <f aca="false">IF((E198="g"),G198," ")</f>
        <v> </v>
      </c>
      <c r="P198" s="334" t="str">
        <f aca="false">IF((E198="m"),G198," ")</f>
        <v> </v>
      </c>
      <c r="Q198" s="334" t="str">
        <f aca="false">IF((E198="t"),G198," ")</f>
        <v> </v>
      </c>
      <c r="R198" s="334" t="str">
        <f aca="false">IF((E198="a"),G198," ")</f>
        <v> </v>
      </c>
      <c r="S198" s="334" t="str">
        <f aca="false">IF((E198="l"),G198," ")</f>
        <v> </v>
      </c>
      <c r="T198" s="334" t="str">
        <f aca="false">IF((E198="b"),G198," ")</f>
        <v> </v>
      </c>
      <c r="U198" s="334" t="str">
        <f aca="false">IF((E198="i"),G198," ")</f>
        <v> </v>
      </c>
      <c r="V198" s="334" t="str">
        <f aca="false">IF((E198="o"),G198," ")</f>
        <v> </v>
      </c>
      <c r="W198" s="334" t="str">
        <f aca="false">IF((E198="f"),G198," ")</f>
        <v> </v>
      </c>
    </row>
    <row r="199" customFormat="false" ht="12.75" hidden="false" customHeight="false" outlineLevel="0" collapsed="false">
      <c r="A199" s="355"/>
      <c r="E199" s="365" t="str">
        <f aca="false">IF((G199&lt;&gt;0),"Enter Letter"," ")</f>
        <v> </v>
      </c>
      <c r="H199" s="338" t="str">
        <f aca="false">IF((G199&lt;&gt;0),IF((D199&gt;0)," ",G199)," ")</f>
        <v> </v>
      </c>
      <c r="I199" s="367" t="str">
        <f aca="false">IF((G199&lt;&gt;0),IF((D199&gt;0)," ",(I$1-A199))," ")</f>
        <v> </v>
      </c>
      <c r="J199" s="334" t="str">
        <f aca="false">IF((E199="s"),G199," ")</f>
        <v> </v>
      </c>
      <c r="K199" s="334" t="str">
        <f aca="false">IF((E199="d"),G199," ")</f>
        <v> </v>
      </c>
      <c r="L199" s="334" t="str">
        <f aca="false">IF((E199="e"),G199," ")</f>
        <v> </v>
      </c>
      <c r="M199" s="334" t="str">
        <f aca="false">IF((E199="p"),G199," ")</f>
        <v> </v>
      </c>
      <c r="N199" s="334" t="str">
        <f aca="false">IF((E199="r"),G199," ")</f>
        <v> </v>
      </c>
      <c r="O199" s="334" t="str">
        <f aca="false">IF((E199="g"),G199," ")</f>
        <v> </v>
      </c>
      <c r="P199" s="334" t="str">
        <f aca="false">IF((E199="m"),G199," ")</f>
        <v> </v>
      </c>
      <c r="Q199" s="334" t="str">
        <f aca="false">IF((E199="t"),G199," ")</f>
        <v> </v>
      </c>
      <c r="R199" s="334" t="str">
        <f aca="false">IF((E199="a"),G199," ")</f>
        <v> </v>
      </c>
      <c r="S199" s="334" t="str">
        <f aca="false">IF((E199="l"),G199," ")</f>
        <v> </v>
      </c>
      <c r="T199" s="334" t="str">
        <f aca="false">IF((E199="b"),G199," ")</f>
        <v> </v>
      </c>
      <c r="U199" s="334" t="str">
        <f aca="false">IF((E199="i"),G199," ")</f>
        <v> </v>
      </c>
      <c r="V199" s="334" t="str">
        <f aca="false">IF((E199="o"),G199," ")</f>
        <v> </v>
      </c>
      <c r="W199" s="334" t="str">
        <f aca="false">IF((E199="f"),G199," ")</f>
        <v> </v>
      </c>
    </row>
    <row r="200" customFormat="false" ht="12.75" hidden="false" customHeight="false" outlineLevel="0" collapsed="false">
      <c r="A200" s="355"/>
      <c r="E200" s="365" t="str">
        <f aca="false">IF((G200&lt;&gt;0),"Enter Letter"," ")</f>
        <v> </v>
      </c>
      <c r="H200" s="338" t="str">
        <f aca="false">IF((G200&lt;&gt;0),IF((D200&gt;0)," ",G200)," ")</f>
        <v> </v>
      </c>
      <c r="I200" s="367" t="str">
        <f aca="false">IF((G200&lt;&gt;0),IF((D200&gt;0)," ",(I$1-A200))," ")</f>
        <v> </v>
      </c>
      <c r="J200" s="334" t="str">
        <f aca="false">IF((E200="s"),G200," ")</f>
        <v> </v>
      </c>
      <c r="K200" s="334" t="str">
        <f aca="false">IF((E200="d"),G200," ")</f>
        <v> </v>
      </c>
      <c r="L200" s="334" t="str">
        <f aca="false">IF((E200="e"),G200," ")</f>
        <v> </v>
      </c>
      <c r="M200" s="334" t="str">
        <f aca="false">IF((E200="p"),G200," ")</f>
        <v> </v>
      </c>
      <c r="N200" s="334" t="str">
        <f aca="false">IF((E200="r"),G200," ")</f>
        <v> </v>
      </c>
      <c r="O200" s="334" t="str">
        <f aca="false">IF((E200="g"),G200," ")</f>
        <v> </v>
      </c>
      <c r="P200" s="334" t="str">
        <f aca="false">IF((E200="m"),G200," ")</f>
        <v> </v>
      </c>
      <c r="Q200" s="334" t="str">
        <f aca="false">IF((E200="t"),G200," ")</f>
        <v> </v>
      </c>
      <c r="R200" s="334" t="str">
        <f aca="false">IF((E200="a"),G200," ")</f>
        <v> </v>
      </c>
      <c r="S200" s="334" t="str">
        <f aca="false">IF((E200="l"),G200," ")</f>
        <v> </v>
      </c>
      <c r="T200" s="334" t="str">
        <f aca="false">IF((E200="b"),G200," ")</f>
        <v> </v>
      </c>
      <c r="U200" s="334" t="str">
        <f aca="false">IF((E200="i"),G200," ")</f>
        <v> </v>
      </c>
      <c r="V200" s="334" t="str">
        <f aca="false">IF((E200="o"),G200," ")</f>
        <v> </v>
      </c>
      <c r="W200" s="334" t="str">
        <f aca="false">IF((E200="f"),G200," ")</f>
        <v> </v>
      </c>
      <c r="Y200" s="399"/>
      <c r="Z200" s="399"/>
    </row>
    <row r="201" customFormat="false" ht="12.75" hidden="false" customHeight="false" outlineLevel="0" collapsed="false">
      <c r="A201" s="355"/>
      <c r="E201" s="365" t="str">
        <f aca="false">IF((G201&lt;&gt;0),"Enter Letter"," ")</f>
        <v> </v>
      </c>
      <c r="H201" s="338" t="str">
        <f aca="false">IF((G201&lt;&gt;0),IF((D201&gt;0)," ",G201)," ")</f>
        <v> </v>
      </c>
      <c r="I201" s="367" t="str">
        <f aca="false">IF((G201&lt;&gt;0),IF((D201&gt;0)," ",(I$1-A201))," ")</f>
        <v> </v>
      </c>
      <c r="J201" s="334" t="str">
        <f aca="false">IF((E201="s"),G201," ")</f>
        <v> </v>
      </c>
      <c r="K201" s="334" t="str">
        <f aca="false">IF((E201="d"),G201," ")</f>
        <v> </v>
      </c>
      <c r="L201" s="334" t="str">
        <f aca="false">IF((E201="e"),G201," ")</f>
        <v> </v>
      </c>
      <c r="M201" s="334" t="str">
        <f aca="false">IF((E201="p"),G201," ")</f>
        <v> </v>
      </c>
      <c r="N201" s="334" t="str">
        <f aca="false">IF((E201="r"),G201," ")</f>
        <v> </v>
      </c>
      <c r="O201" s="334" t="str">
        <f aca="false">IF((E201="g"),G201," ")</f>
        <v> </v>
      </c>
      <c r="P201" s="334" t="str">
        <f aca="false">IF((E201="m"),G201," ")</f>
        <v> </v>
      </c>
      <c r="Q201" s="334" t="str">
        <f aca="false">IF((E201="t"),G201," ")</f>
        <v> </v>
      </c>
      <c r="R201" s="334" t="str">
        <f aca="false">IF((E201="a"),G201," ")</f>
        <v> </v>
      </c>
      <c r="S201" s="334" t="str">
        <f aca="false">IF((E201="l"),G201," ")</f>
        <v> </v>
      </c>
      <c r="T201" s="334" t="str">
        <f aca="false">IF((E201="b"),G201," ")</f>
        <v> </v>
      </c>
      <c r="U201" s="334" t="str">
        <f aca="false">IF((E201="i"),G201," ")</f>
        <v> </v>
      </c>
      <c r="V201" s="334" t="str">
        <f aca="false">IF((E201="o"),G201," ")</f>
        <v> </v>
      </c>
      <c r="W201" s="334" t="str">
        <f aca="false">IF((E201="f"),G201," ")</f>
        <v> </v>
      </c>
    </row>
    <row r="202" customFormat="false" ht="12.75" hidden="false" customHeight="false" outlineLevel="0" collapsed="false">
      <c r="A202" s="355"/>
      <c r="E202" s="365" t="str">
        <f aca="false">IF((G202&lt;&gt;0),"Enter Letter"," ")</f>
        <v> </v>
      </c>
      <c r="H202" s="338" t="str">
        <f aca="false">IF((G202&lt;&gt;0),IF((D202&gt;0)," ",G202)," ")</f>
        <v> </v>
      </c>
      <c r="I202" s="367" t="str">
        <f aca="false">IF((G202&lt;&gt;0),IF((D202&gt;0)," ",(I$1-A202))," ")</f>
        <v> </v>
      </c>
      <c r="J202" s="334" t="str">
        <f aca="false">IF((E202="s"),G202," ")</f>
        <v> </v>
      </c>
      <c r="K202" s="334" t="str">
        <f aca="false">IF((E202="d"),G202," ")</f>
        <v> </v>
      </c>
      <c r="L202" s="334" t="str">
        <f aca="false">IF((E202="e"),G202," ")</f>
        <v> </v>
      </c>
      <c r="M202" s="334" t="str">
        <f aca="false">IF((E202="p"),G202," ")</f>
        <v> </v>
      </c>
      <c r="N202" s="334" t="str">
        <f aca="false">IF((E202="r"),G202," ")</f>
        <v> </v>
      </c>
      <c r="O202" s="334" t="str">
        <f aca="false">IF((E202="g"),G202," ")</f>
        <v> </v>
      </c>
      <c r="P202" s="334" t="str">
        <f aca="false">IF((E202="m"),G202," ")</f>
        <v> </v>
      </c>
      <c r="Q202" s="334" t="str">
        <f aca="false">IF((E202="t"),G202," ")</f>
        <v> </v>
      </c>
      <c r="R202" s="334" t="str">
        <f aca="false">IF((E202="a"),G202," ")</f>
        <v> </v>
      </c>
      <c r="S202" s="334" t="str">
        <f aca="false">IF((E202="l"),G202," ")</f>
        <v> </v>
      </c>
      <c r="T202" s="334" t="str">
        <f aca="false">IF((E202="b"),G202," ")</f>
        <v> </v>
      </c>
      <c r="U202" s="334" t="str">
        <f aca="false">IF((E202="i"),G202," ")</f>
        <v> </v>
      </c>
      <c r="V202" s="334" t="str">
        <f aca="false">IF((E202="o"),G202," ")</f>
        <v> </v>
      </c>
      <c r="W202" s="334" t="str">
        <f aca="false">IF((E202="f"),G202," ")</f>
        <v> </v>
      </c>
    </row>
    <row r="203" customFormat="false" ht="12.75" hidden="false" customHeight="false" outlineLevel="0" collapsed="false">
      <c r="A203" s="355"/>
      <c r="E203" s="365" t="str">
        <f aca="false">IF((G203&lt;&gt;0),"Enter Letter"," ")</f>
        <v> </v>
      </c>
      <c r="H203" s="338" t="str">
        <f aca="false">IF((G203&lt;&gt;0),IF((D203&gt;0)," ",G203)," ")</f>
        <v> </v>
      </c>
      <c r="I203" s="367" t="str">
        <f aca="false">IF((G203&lt;&gt;0),IF((D203&gt;0)," ",(I$1-A203))," ")</f>
        <v> </v>
      </c>
      <c r="J203" s="334" t="str">
        <f aca="false">IF((E203="s"),G203," ")</f>
        <v> </v>
      </c>
      <c r="K203" s="334" t="str">
        <f aca="false">IF((E203="d"),G203," ")</f>
        <v> </v>
      </c>
      <c r="L203" s="334" t="str">
        <f aca="false">IF((E203="e"),G203," ")</f>
        <v> </v>
      </c>
      <c r="M203" s="334" t="str">
        <f aca="false">IF((E203="p"),G203," ")</f>
        <v> </v>
      </c>
      <c r="N203" s="334" t="str">
        <f aca="false">IF((E203="r"),G203," ")</f>
        <v> </v>
      </c>
      <c r="O203" s="334" t="str">
        <f aca="false">IF((E203="g"),G203," ")</f>
        <v> </v>
      </c>
      <c r="P203" s="334" t="str">
        <f aca="false">IF((E203="m"),G203," ")</f>
        <v> </v>
      </c>
      <c r="Q203" s="334" t="str">
        <f aca="false">IF((E203="t"),G203," ")</f>
        <v> </v>
      </c>
      <c r="R203" s="334" t="str">
        <f aca="false">IF((E203="a"),G203," ")</f>
        <v> </v>
      </c>
      <c r="S203" s="334" t="str">
        <f aca="false">IF((E203="l"),G203," ")</f>
        <v> </v>
      </c>
      <c r="T203" s="334" t="str">
        <f aca="false">IF((E203="b"),G203," ")</f>
        <v> </v>
      </c>
      <c r="U203" s="334" t="str">
        <f aca="false">IF((E203="i"),G203," ")</f>
        <v> </v>
      </c>
      <c r="V203" s="334" t="str">
        <f aca="false">IF((E203="o"),G203," ")</f>
        <v> </v>
      </c>
      <c r="W203" s="334" t="str">
        <f aca="false">IF((E203="f"),G203," ")</f>
        <v> </v>
      </c>
    </row>
    <row r="204" customFormat="false" ht="12.75" hidden="false" customHeight="false" outlineLevel="0" collapsed="false">
      <c r="A204" s="355"/>
      <c r="E204" s="365" t="str">
        <f aca="false">IF((G204&lt;&gt;0),"Enter Letter"," ")</f>
        <v> </v>
      </c>
      <c r="H204" s="338" t="str">
        <f aca="false">IF((G204&lt;&gt;0),IF((D204&gt;0)," ",G204)," ")</f>
        <v> </v>
      </c>
      <c r="I204" s="367" t="str">
        <f aca="false">IF((G204&lt;&gt;0),IF((D204&gt;0)," ",(I$1-A204))," ")</f>
        <v> </v>
      </c>
      <c r="J204" s="334" t="str">
        <f aca="false">IF((E204="s"),G204," ")</f>
        <v> </v>
      </c>
      <c r="K204" s="334" t="str">
        <f aca="false">IF((E204="d"),G204," ")</f>
        <v> </v>
      </c>
      <c r="L204" s="334" t="str">
        <f aca="false">IF((E204="e"),G204," ")</f>
        <v> </v>
      </c>
      <c r="M204" s="334" t="str">
        <f aca="false">IF((E204="p"),G204," ")</f>
        <v> </v>
      </c>
      <c r="N204" s="334" t="str">
        <f aca="false">IF((E204="r"),G204," ")</f>
        <v> </v>
      </c>
      <c r="O204" s="334" t="str">
        <f aca="false">IF((E204="g"),G204," ")</f>
        <v> </v>
      </c>
      <c r="P204" s="334" t="str">
        <f aca="false">IF((E204="m"),G204," ")</f>
        <v> </v>
      </c>
      <c r="Q204" s="334" t="str">
        <f aca="false">IF((E204="t"),G204," ")</f>
        <v> </v>
      </c>
      <c r="R204" s="334" t="str">
        <f aca="false">IF((E204="a"),G204," ")</f>
        <v> </v>
      </c>
      <c r="S204" s="334" t="str">
        <f aca="false">IF((E204="l"),G204," ")</f>
        <v> </v>
      </c>
      <c r="T204" s="334" t="str">
        <f aca="false">IF((E204="b"),G204," ")</f>
        <v> </v>
      </c>
      <c r="U204" s="334" t="str">
        <f aca="false">IF((E204="i"),G204," ")</f>
        <v> </v>
      </c>
      <c r="V204" s="334" t="str">
        <f aca="false">IF((E204="o"),G204," ")</f>
        <v> </v>
      </c>
      <c r="W204" s="334" t="str">
        <f aca="false">IF((E204="f"),G204," ")</f>
        <v> </v>
      </c>
    </row>
    <row r="205" customFormat="false" ht="12.75" hidden="false" customHeight="false" outlineLevel="0" collapsed="false">
      <c r="A205" s="355"/>
      <c r="E205" s="365" t="str">
        <f aca="false">IF((G205&lt;&gt;0),"Enter Letter"," ")</f>
        <v> </v>
      </c>
      <c r="J205" s="334" t="str">
        <f aca="false">IF((E205="s"),G205," ")</f>
        <v> </v>
      </c>
      <c r="K205" s="334" t="str">
        <f aca="false">IF((E205="d"),G205," ")</f>
        <v> </v>
      </c>
      <c r="L205" s="334" t="str">
        <f aca="false">IF((E205="e"),G205," ")</f>
        <v> </v>
      </c>
      <c r="M205" s="334" t="str">
        <f aca="false">IF((E205="p"),G205," ")</f>
        <v> </v>
      </c>
      <c r="N205" s="334" t="str">
        <f aca="false">IF((E205="r"),G205," ")</f>
        <v> </v>
      </c>
      <c r="O205" s="334" t="str">
        <f aca="false">IF((E205="g"),G205," ")</f>
        <v> </v>
      </c>
      <c r="P205" s="334" t="str">
        <f aca="false">IF((E205="m"),G205," ")</f>
        <v> </v>
      </c>
      <c r="Q205" s="334" t="str">
        <f aca="false">IF((E205="t"),G205," ")</f>
        <v> </v>
      </c>
      <c r="R205" s="334" t="str">
        <f aca="false">IF((E205="a"),G205," ")</f>
        <v> </v>
      </c>
      <c r="S205" s="334" t="str">
        <f aca="false">IF((E205="l"),G205," ")</f>
        <v> </v>
      </c>
      <c r="T205" s="334" t="str">
        <f aca="false">IF((E205="b"),G205," ")</f>
        <v> </v>
      </c>
      <c r="U205" s="334" t="str">
        <f aca="false">IF((E205="i"),G205," ")</f>
        <v> </v>
      </c>
      <c r="V205" s="334" t="str">
        <f aca="false">IF((E205="o"),G205," ")</f>
        <v> </v>
      </c>
      <c r="W205" s="334" t="str">
        <f aca="false">IF((E205="f"),G205," ")</f>
        <v> </v>
      </c>
    </row>
    <row r="206" customFormat="false" ht="12.75" hidden="false" customHeight="false" outlineLevel="0" collapsed="false">
      <c r="A206" s="355"/>
      <c r="E206" s="365" t="str">
        <f aca="false">IF((G206&lt;&gt;0),"Enter Letter"," ")</f>
        <v> </v>
      </c>
      <c r="J206" s="334" t="str">
        <f aca="false">IF((E206="s"),G206," ")</f>
        <v> </v>
      </c>
      <c r="K206" s="334" t="str">
        <f aca="false">IF((E206="d"),G206," ")</f>
        <v> </v>
      </c>
      <c r="L206" s="334" t="str">
        <f aca="false">IF((E206="e"),G206," ")</f>
        <v> </v>
      </c>
      <c r="M206" s="334" t="str">
        <f aca="false">IF((E206="p"),G206," ")</f>
        <v> </v>
      </c>
      <c r="N206" s="334" t="str">
        <f aca="false">IF((E206="r"),G206," ")</f>
        <v> </v>
      </c>
      <c r="O206" s="334" t="str">
        <f aca="false">IF((E206="g"),G206," ")</f>
        <v> </v>
      </c>
      <c r="P206" s="334" t="str">
        <f aca="false">IF((E206="m"),G206," ")</f>
        <v> </v>
      </c>
      <c r="Q206" s="334" t="str">
        <f aca="false">IF((E206="t"),G206," ")</f>
        <v> </v>
      </c>
      <c r="R206" s="334" t="str">
        <f aca="false">IF((E206="a"),G206," ")</f>
        <v> </v>
      </c>
      <c r="S206" s="334" t="str">
        <f aca="false">IF((E206="l"),G206," ")</f>
        <v> </v>
      </c>
      <c r="T206" s="334" t="str">
        <f aca="false">IF((E206="b"),G206," ")</f>
        <v> </v>
      </c>
      <c r="U206" s="334" t="str">
        <f aca="false">IF((E206="i"),G206," ")</f>
        <v> </v>
      </c>
      <c r="V206" s="334" t="str">
        <f aca="false">IF((E206="o"),G206," ")</f>
        <v> </v>
      </c>
      <c r="W206" s="334" t="str">
        <f aca="false">IF((E206="f"),G206," ")</f>
        <v> </v>
      </c>
    </row>
    <row r="207" customFormat="false" ht="12.75" hidden="false" customHeight="false" outlineLevel="0" collapsed="false">
      <c r="A207" s="355"/>
      <c r="E207" s="365" t="str">
        <f aca="false">IF((G207&lt;&gt;0),"Enter Letter"," ")</f>
        <v> </v>
      </c>
      <c r="J207" s="334" t="str">
        <f aca="false">IF((E207="s"),G207," ")</f>
        <v> </v>
      </c>
      <c r="K207" s="334" t="str">
        <f aca="false">IF((E207="d"),G207," ")</f>
        <v> </v>
      </c>
      <c r="L207" s="334" t="str">
        <f aca="false">IF((E207="e"),G207," ")</f>
        <v> </v>
      </c>
      <c r="M207" s="334" t="str">
        <f aca="false">IF((E207="p"),G207," ")</f>
        <v> </v>
      </c>
      <c r="N207" s="334" t="str">
        <f aca="false">IF((E207="r"),G207," ")</f>
        <v> </v>
      </c>
      <c r="O207" s="334" t="str">
        <f aca="false">IF((E207="g"),G207," ")</f>
        <v> </v>
      </c>
      <c r="P207" s="334" t="str">
        <f aca="false">IF((E207="m"),G207," ")</f>
        <v> </v>
      </c>
      <c r="Q207" s="334" t="str">
        <f aca="false">IF((E207="t"),G207," ")</f>
        <v> </v>
      </c>
      <c r="R207" s="334" t="str">
        <f aca="false">IF((E207="a"),G207," ")</f>
        <v> </v>
      </c>
      <c r="S207" s="334" t="str">
        <f aca="false">IF((E207="l"),G207," ")</f>
        <v> </v>
      </c>
      <c r="T207" s="334" t="str">
        <f aca="false">IF((E207="b"),G207," ")</f>
        <v> </v>
      </c>
      <c r="U207" s="334" t="str">
        <f aca="false">IF((E207="i"),G207," ")</f>
        <v> </v>
      </c>
      <c r="V207" s="334" t="str">
        <f aca="false">IF((E207="o"),G207," ")</f>
        <v> </v>
      </c>
      <c r="W207" s="334" t="str">
        <f aca="false">IF((E207="f"),G207," ")</f>
        <v> </v>
      </c>
    </row>
    <row r="208" customFormat="false" ht="12.75" hidden="false" customHeight="false" outlineLevel="0" collapsed="false">
      <c r="A208" s="355"/>
      <c r="E208" s="365" t="str">
        <f aca="false">IF((G208&lt;&gt;0),"Enter Letter"," ")</f>
        <v> </v>
      </c>
      <c r="J208" s="334" t="str">
        <f aca="false">IF((E208="s"),G208," ")</f>
        <v> </v>
      </c>
      <c r="K208" s="334" t="str">
        <f aca="false">IF((E208="d"),G208," ")</f>
        <v> </v>
      </c>
      <c r="L208" s="334" t="str">
        <f aca="false">IF((E208="e"),G208," ")</f>
        <v> </v>
      </c>
      <c r="M208" s="334" t="str">
        <f aca="false">IF((E208="p"),G208," ")</f>
        <v> </v>
      </c>
      <c r="N208" s="334" t="str">
        <f aca="false">IF((E208="r"),G208," ")</f>
        <v> </v>
      </c>
      <c r="O208" s="334" t="str">
        <f aca="false">IF((E208="g"),G208," ")</f>
        <v> </v>
      </c>
      <c r="P208" s="334" t="str">
        <f aca="false">IF((E208="m"),G208," ")</f>
        <v> </v>
      </c>
      <c r="Q208" s="334" t="str">
        <f aca="false">IF((E208="t"),G208," ")</f>
        <v> </v>
      </c>
      <c r="R208" s="334" t="str">
        <f aca="false">IF((E208="a"),G208," ")</f>
        <v> </v>
      </c>
      <c r="S208" s="334" t="str">
        <f aca="false">IF((E208="l"),G208," ")</f>
        <v> </v>
      </c>
      <c r="T208" s="334" t="str">
        <f aca="false">IF((E208="b"),G208," ")</f>
        <v> </v>
      </c>
      <c r="U208" s="334" t="str">
        <f aca="false">IF((E208="i"),G208," ")</f>
        <v> </v>
      </c>
      <c r="V208" s="334" t="str">
        <f aca="false">IF((E208="o"),G208," ")</f>
        <v> </v>
      </c>
      <c r="W208" s="334" t="str">
        <f aca="false">IF((E208="f"),G208," ")</f>
        <v> </v>
      </c>
    </row>
    <row r="209" customFormat="false" ht="12.75" hidden="false" customHeight="false" outlineLevel="0" collapsed="false">
      <c r="A209" s="355"/>
      <c r="E209" s="365" t="str">
        <f aca="false">IF((G209&lt;&gt;0),"Enter Letter"," ")</f>
        <v> </v>
      </c>
      <c r="J209" s="334" t="str">
        <f aca="false">IF((E209="s"),G209," ")</f>
        <v> </v>
      </c>
      <c r="K209" s="334" t="str">
        <f aca="false">IF((E209="d"),G209," ")</f>
        <v> </v>
      </c>
      <c r="L209" s="334" t="str">
        <f aca="false">IF((E209="e"),G209," ")</f>
        <v> </v>
      </c>
      <c r="M209" s="334" t="str">
        <f aca="false">IF((E209="p"),G209," ")</f>
        <v> </v>
      </c>
      <c r="N209" s="334" t="str">
        <f aca="false">IF((E209="r"),G209," ")</f>
        <v> </v>
      </c>
      <c r="O209" s="334" t="str">
        <f aca="false">IF((E209="g"),G209," ")</f>
        <v> </v>
      </c>
      <c r="P209" s="334" t="str">
        <f aca="false">IF((E209="m"),G209," ")</f>
        <v> </v>
      </c>
      <c r="Q209" s="334" t="str">
        <f aca="false">IF((E209="t"),G209," ")</f>
        <v> </v>
      </c>
      <c r="R209" s="334" t="str">
        <f aca="false">IF((E209="a"),G209," ")</f>
        <v> </v>
      </c>
      <c r="S209" s="334" t="str">
        <f aca="false">IF((E209="l"),G209," ")</f>
        <v> </v>
      </c>
      <c r="T209" s="334" t="str">
        <f aca="false">IF((E209="b"),G209," ")</f>
        <v> </v>
      </c>
      <c r="U209" s="334" t="str">
        <f aca="false">IF((E209="i"),G209," ")</f>
        <v> </v>
      </c>
      <c r="V209" s="334" t="str">
        <f aca="false">IF((E209="o"),G209," ")</f>
        <v> </v>
      </c>
      <c r="W209" s="334" t="str">
        <f aca="false">IF((E209="f"),G209," ")</f>
        <v> </v>
      </c>
    </row>
    <row r="210" customFormat="false" ht="12.75" hidden="false" customHeight="false" outlineLevel="0" collapsed="false">
      <c r="A210" s="355"/>
      <c r="E210" s="365" t="str">
        <f aca="false">IF((G210&lt;&gt;0),"Enter Letter"," ")</f>
        <v> </v>
      </c>
      <c r="J210" s="334" t="str">
        <f aca="false">IF((E210="s"),G210," ")</f>
        <v> </v>
      </c>
      <c r="K210" s="334" t="str">
        <f aca="false">IF((E210="d"),G210," ")</f>
        <v> </v>
      </c>
      <c r="L210" s="334" t="str">
        <f aca="false">IF((E210="e"),G210," ")</f>
        <v> </v>
      </c>
      <c r="M210" s="334" t="str">
        <f aca="false">IF((E210="p"),G210," ")</f>
        <v> </v>
      </c>
      <c r="N210" s="334" t="str">
        <f aca="false">IF((E210="r"),G210," ")</f>
        <v> </v>
      </c>
      <c r="O210" s="334" t="str">
        <f aca="false">IF((E210="g"),G210," ")</f>
        <v> </v>
      </c>
      <c r="P210" s="334" t="str">
        <f aca="false">IF((E210="m"),G210," ")</f>
        <v> </v>
      </c>
      <c r="Q210" s="334" t="str">
        <f aca="false">IF((E210="t"),G210," ")</f>
        <v> </v>
      </c>
      <c r="R210" s="334" t="str">
        <f aca="false">IF((E210="a"),G210," ")</f>
        <v> </v>
      </c>
      <c r="S210" s="334" t="str">
        <f aca="false">IF((E210="l"),G210," ")</f>
        <v> </v>
      </c>
      <c r="T210" s="334" t="str">
        <f aca="false">IF((E210="b"),G210," ")</f>
        <v> </v>
      </c>
      <c r="U210" s="334" t="str">
        <f aca="false">IF((E210="i"),G210," ")</f>
        <v> </v>
      </c>
      <c r="V210" s="334" t="str">
        <f aca="false">IF((E210="o"),G210," ")</f>
        <v> </v>
      </c>
      <c r="W210" s="334" t="str">
        <f aca="false">IF((E210="f"),G210," ")</f>
        <v> </v>
      </c>
    </row>
    <row r="211" customFormat="false" ht="12.75" hidden="false" customHeight="false" outlineLevel="0" collapsed="false">
      <c r="A211" s="355"/>
      <c r="E211" s="365" t="str">
        <f aca="false">IF((G211&lt;&gt;0),"Enter Letter"," ")</f>
        <v> </v>
      </c>
      <c r="J211" s="334" t="str">
        <f aca="false">IF((E211="s"),G211," ")</f>
        <v> </v>
      </c>
      <c r="K211" s="334" t="str">
        <f aca="false">IF((E211="d"),G211," ")</f>
        <v> </v>
      </c>
      <c r="L211" s="334" t="str">
        <f aca="false">IF((E211="e"),G211," ")</f>
        <v> </v>
      </c>
      <c r="M211" s="334" t="str">
        <f aca="false">IF((E211="p"),G211," ")</f>
        <v> </v>
      </c>
      <c r="N211" s="334" t="str">
        <f aca="false">IF((E211="r"),G211," ")</f>
        <v> </v>
      </c>
      <c r="O211" s="334" t="str">
        <f aca="false">IF((E211="g"),G211," ")</f>
        <v> </v>
      </c>
      <c r="P211" s="334" t="str">
        <f aca="false">IF((E211="m"),G211," ")</f>
        <v> </v>
      </c>
      <c r="Q211" s="334" t="str">
        <f aca="false">IF((E211="t"),G211," ")</f>
        <v> </v>
      </c>
      <c r="R211" s="334" t="str">
        <f aca="false">IF((E211="a"),G211," ")</f>
        <v> </v>
      </c>
      <c r="S211" s="334" t="str">
        <f aca="false">IF((E211="l"),G211," ")</f>
        <v> </v>
      </c>
      <c r="T211" s="334" t="str">
        <f aca="false">IF((E211="b"),G211," ")</f>
        <v> </v>
      </c>
      <c r="U211" s="334" t="str">
        <f aca="false">IF((E211="i"),G211," ")</f>
        <v> </v>
      </c>
      <c r="V211" s="334" t="str">
        <f aca="false">IF((E211="o"),G211," ")</f>
        <v> </v>
      </c>
      <c r="W211" s="334" t="str">
        <f aca="false">IF((E211="f"),G211," ")</f>
        <v> </v>
      </c>
    </row>
    <row r="212" customFormat="false" ht="12.75" hidden="false" customHeight="false" outlineLevel="0" collapsed="false">
      <c r="A212" s="355"/>
      <c r="E212" s="365" t="str">
        <f aca="false">IF((G212&lt;&gt;0),"Enter Letter"," ")</f>
        <v> </v>
      </c>
      <c r="J212" s="334" t="str">
        <f aca="false">IF((E212="s"),G212," ")</f>
        <v> </v>
      </c>
      <c r="K212" s="334" t="str">
        <f aca="false">IF((E212="d"),G212," ")</f>
        <v> </v>
      </c>
      <c r="L212" s="334" t="str">
        <f aca="false">IF((E212="e"),G212," ")</f>
        <v> </v>
      </c>
      <c r="M212" s="334" t="str">
        <f aca="false">IF((E212="p"),G212," ")</f>
        <v> </v>
      </c>
      <c r="N212" s="334" t="str">
        <f aca="false">IF((E212="r"),G212," ")</f>
        <v> </v>
      </c>
      <c r="O212" s="334" t="str">
        <f aca="false">IF((E212="g"),G212," ")</f>
        <v> </v>
      </c>
      <c r="P212" s="334" t="str">
        <f aca="false">IF((E212="m"),G212," ")</f>
        <v> </v>
      </c>
      <c r="Q212" s="334" t="str">
        <f aca="false">IF((E212="t"),G212," ")</f>
        <v> </v>
      </c>
      <c r="R212" s="334" t="str">
        <f aca="false">IF((E212="a"),G212," ")</f>
        <v> </v>
      </c>
      <c r="S212" s="334" t="str">
        <f aca="false">IF((E212="l"),G212," ")</f>
        <v> </v>
      </c>
      <c r="T212" s="334" t="str">
        <f aca="false">IF((E212="b"),G212," ")</f>
        <v> </v>
      </c>
      <c r="U212" s="334" t="str">
        <f aca="false">IF((E212="i"),G212," ")</f>
        <v> </v>
      </c>
      <c r="V212" s="334" t="str">
        <f aca="false">IF((E212="o"),G212," ")</f>
        <v> </v>
      </c>
      <c r="W212" s="334" t="str">
        <f aca="false">IF((E212="f"),G212," ")</f>
        <v> </v>
      </c>
    </row>
    <row r="213" customFormat="false" ht="12.75" hidden="false" customHeight="false" outlineLevel="0" collapsed="false">
      <c r="A213" s="355"/>
      <c r="E213" s="365" t="str">
        <f aca="false">IF((G213&lt;&gt;0),"Enter Letter"," ")</f>
        <v> </v>
      </c>
      <c r="J213" s="334" t="str">
        <f aca="false">IF((E213="s"),G213," ")</f>
        <v> </v>
      </c>
      <c r="K213" s="334" t="str">
        <f aca="false">IF((E213="d"),G213," ")</f>
        <v> </v>
      </c>
      <c r="L213" s="334" t="str">
        <f aca="false">IF((E213="e"),G213," ")</f>
        <v> </v>
      </c>
      <c r="M213" s="334" t="str">
        <f aca="false">IF((E213="p"),G213," ")</f>
        <v> </v>
      </c>
      <c r="N213" s="334" t="str">
        <f aca="false">IF((E213="r"),G213," ")</f>
        <v> </v>
      </c>
      <c r="O213" s="334" t="str">
        <f aca="false">IF((E213="g"),G213," ")</f>
        <v> </v>
      </c>
      <c r="P213" s="334" t="str">
        <f aca="false">IF((E213="m"),G213," ")</f>
        <v> </v>
      </c>
      <c r="Q213" s="334" t="str">
        <f aca="false">IF((E213="t"),G213," ")</f>
        <v> </v>
      </c>
      <c r="R213" s="334" t="str">
        <f aca="false">IF((E213="a"),G213," ")</f>
        <v> </v>
      </c>
      <c r="S213" s="334" t="str">
        <f aca="false">IF((E213="l"),G213," ")</f>
        <v> </v>
      </c>
      <c r="T213" s="334" t="str">
        <f aca="false">IF((E213="b"),G213," ")</f>
        <v> </v>
      </c>
      <c r="U213" s="334" t="str">
        <f aca="false">IF((E213="i"),G213," ")</f>
        <v> </v>
      </c>
      <c r="V213" s="334" t="str">
        <f aca="false">IF((E213="o"),G213," ")</f>
        <v> </v>
      </c>
      <c r="W213" s="334" t="str">
        <f aca="false">IF((E213="f"),G213," ")</f>
        <v> </v>
      </c>
    </row>
    <row r="214" customFormat="false" ht="12.75" hidden="false" customHeight="false" outlineLevel="0" collapsed="false">
      <c r="A214" s="355"/>
      <c r="E214" s="365" t="str">
        <f aca="false">IF((G214&lt;&gt;0),"Enter Letter"," ")</f>
        <v> </v>
      </c>
      <c r="J214" s="334" t="str">
        <f aca="false">IF((E214="s"),G214," ")</f>
        <v> </v>
      </c>
      <c r="K214" s="334" t="str">
        <f aca="false">IF((E214="d"),G214," ")</f>
        <v> </v>
      </c>
      <c r="L214" s="334" t="str">
        <f aca="false">IF((E214="e"),G214," ")</f>
        <v> </v>
      </c>
      <c r="M214" s="334" t="str">
        <f aca="false">IF((E214="p"),G214," ")</f>
        <v> </v>
      </c>
      <c r="N214" s="334" t="str">
        <f aca="false">IF((E214="r"),G214," ")</f>
        <v> </v>
      </c>
      <c r="O214" s="334" t="str">
        <f aca="false">IF((E214="g"),G214," ")</f>
        <v> </v>
      </c>
      <c r="P214" s="334" t="str">
        <f aca="false">IF((E214="m"),G214," ")</f>
        <v> </v>
      </c>
      <c r="Q214" s="334" t="str">
        <f aca="false">IF((E214="t"),G214," ")</f>
        <v> </v>
      </c>
      <c r="R214" s="334" t="str">
        <f aca="false">IF((E214="a"),G214," ")</f>
        <v> </v>
      </c>
      <c r="S214" s="334" t="str">
        <f aca="false">IF((E214="l"),G214," ")</f>
        <v> </v>
      </c>
      <c r="T214" s="334" t="str">
        <f aca="false">IF((E214="b"),G214," ")</f>
        <v> </v>
      </c>
      <c r="U214" s="334" t="str">
        <f aca="false">IF((E214="i"),G214," ")</f>
        <v> </v>
      </c>
      <c r="V214" s="334" t="str">
        <f aca="false">IF((E214="o"),G214," ")</f>
        <v> </v>
      </c>
      <c r="W214" s="334" t="str">
        <f aca="false">IF((E214="f"),G214," ")</f>
        <v> </v>
      </c>
    </row>
    <row r="215" customFormat="false" ht="12.75" hidden="false" customHeight="false" outlineLevel="0" collapsed="false">
      <c r="A215" s="355"/>
      <c r="E215" s="365" t="str">
        <f aca="false">IF((G215&lt;&gt;0),"Enter Letter"," ")</f>
        <v> </v>
      </c>
      <c r="J215" s="334" t="str">
        <f aca="false">IF((E215="s"),G215," ")</f>
        <v> </v>
      </c>
      <c r="K215" s="334" t="str">
        <f aca="false">IF((E215="d"),G215," ")</f>
        <v> </v>
      </c>
      <c r="L215" s="334" t="str">
        <f aca="false">IF((E215="e"),G215," ")</f>
        <v> </v>
      </c>
      <c r="M215" s="334" t="str">
        <f aca="false">IF((E215="p"),G215," ")</f>
        <v> </v>
      </c>
      <c r="N215" s="334" t="str">
        <f aca="false">IF((E215="r"),G215," ")</f>
        <v> </v>
      </c>
      <c r="O215" s="334" t="str">
        <f aca="false">IF((E215="g"),G215," ")</f>
        <v> </v>
      </c>
      <c r="P215" s="334" t="str">
        <f aca="false">IF((E215="m"),G215," ")</f>
        <v> </v>
      </c>
      <c r="Q215" s="334" t="str">
        <f aca="false">IF((E215="t"),G215," ")</f>
        <v> </v>
      </c>
      <c r="R215" s="334" t="str">
        <f aca="false">IF((E215="a"),G215," ")</f>
        <v> </v>
      </c>
      <c r="S215" s="334" t="str">
        <f aca="false">IF((E215="l"),G215," ")</f>
        <v> </v>
      </c>
      <c r="T215" s="334" t="str">
        <f aca="false">IF((E215="b"),G215," ")</f>
        <v> </v>
      </c>
      <c r="U215" s="334" t="str">
        <f aca="false">IF((E215="i"),G215," ")</f>
        <v> </v>
      </c>
      <c r="V215" s="334" t="str">
        <f aca="false">IF((E215="o"),G215," ")</f>
        <v> </v>
      </c>
      <c r="W215" s="334" t="str">
        <f aca="false">IF((E215="f"),G215," ")</f>
        <v> </v>
      </c>
    </row>
    <row r="216" customFormat="false" ht="12.75" hidden="false" customHeight="false" outlineLevel="0" collapsed="false">
      <c r="A216" s="355"/>
      <c r="E216" s="365" t="str">
        <f aca="false">IF((G216&lt;&gt;0),"Enter Letter"," ")</f>
        <v> </v>
      </c>
      <c r="J216" s="334" t="str">
        <f aca="false">IF((E216="s"),G216," ")</f>
        <v> </v>
      </c>
      <c r="K216" s="334" t="str">
        <f aca="false">IF((E216="d"),G216," ")</f>
        <v> </v>
      </c>
      <c r="L216" s="334" t="str">
        <f aca="false">IF((E216="e"),G216," ")</f>
        <v> </v>
      </c>
      <c r="M216" s="334" t="str">
        <f aca="false">IF((E216="p"),G216," ")</f>
        <v> </v>
      </c>
      <c r="N216" s="334" t="str">
        <f aca="false">IF((E216="r"),G216," ")</f>
        <v> </v>
      </c>
      <c r="O216" s="334" t="str">
        <f aca="false">IF((E216="g"),G216," ")</f>
        <v> </v>
      </c>
      <c r="P216" s="334" t="str">
        <f aca="false">IF((E216="m"),G216," ")</f>
        <v> </v>
      </c>
      <c r="Q216" s="334" t="str">
        <f aca="false">IF((E216="t"),G216," ")</f>
        <v> </v>
      </c>
      <c r="R216" s="334" t="str">
        <f aca="false">IF((E216="a"),G216," ")</f>
        <v> </v>
      </c>
      <c r="S216" s="334" t="str">
        <f aca="false">IF((E216="l"),G216," ")</f>
        <v> </v>
      </c>
      <c r="T216" s="334" t="str">
        <f aca="false">IF((E216="b"),G216," ")</f>
        <v> </v>
      </c>
      <c r="U216" s="334" t="str">
        <f aca="false">IF((E216="i"),G216," ")</f>
        <v> </v>
      </c>
      <c r="V216" s="334" t="str">
        <f aca="false">IF((E216="o"),G216," ")</f>
        <v> </v>
      </c>
      <c r="W216" s="334" t="str">
        <f aca="false">IF((E216="f"),G216," ")</f>
        <v> </v>
      </c>
    </row>
    <row r="217" customFormat="false" ht="12.75" hidden="false" customHeight="false" outlineLevel="0" collapsed="false">
      <c r="A217" s="355"/>
      <c r="E217" s="365" t="str">
        <f aca="false">IF((G217&lt;&gt;0),"Enter Letter"," ")</f>
        <v> </v>
      </c>
      <c r="J217" s="334" t="str">
        <f aca="false">IF((E217="s"),G217," ")</f>
        <v> </v>
      </c>
      <c r="K217" s="334" t="str">
        <f aca="false">IF((E217="d"),G217," ")</f>
        <v> </v>
      </c>
      <c r="L217" s="334" t="str">
        <f aca="false">IF((E217="e"),G217," ")</f>
        <v> </v>
      </c>
      <c r="M217" s="334" t="str">
        <f aca="false">IF((E217="p"),G217," ")</f>
        <v> </v>
      </c>
      <c r="N217" s="334" t="str">
        <f aca="false">IF((E217="r"),G217," ")</f>
        <v> </v>
      </c>
      <c r="O217" s="334" t="str">
        <f aca="false">IF((E217="g"),G217," ")</f>
        <v> </v>
      </c>
      <c r="P217" s="334" t="str">
        <f aca="false">IF((E217="m"),G217," ")</f>
        <v> </v>
      </c>
      <c r="Q217" s="334" t="str">
        <f aca="false">IF((E217="t"),G217," ")</f>
        <v> </v>
      </c>
      <c r="R217" s="334" t="str">
        <f aca="false">IF((E217="a"),G217," ")</f>
        <v> </v>
      </c>
      <c r="S217" s="334" t="str">
        <f aca="false">IF((E217="l"),G217," ")</f>
        <v> </v>
      </c>
      <c r="T217" s="334" t="str">
        <f aca="false">IF((E217="b"),G217," ")</f>
        <v> </v>
      </c>
      <c r="U217" s="334" t="str">
        <f aca="false">IF((E217="i"),G217," ")</f>
        <v> </v>
      </c>
      <c r="V217" s="334" t="str">
        <f aca="false">IF((E217="o"),G217," ")</f>
        <v> </v>
      </c>
      <c r="W217" s="334" t="str">
        <f aca="false">IF((E217="f"),G217," ")</f>
        <v> </v>
      </c>
    </row>
    <row r="218" customFormat="false" ht="12.75" hidden="false" customHeight="false" outlineLevel="0" collapsed="false">
      <c r="A218" s="355"/>
      <c r="E218" s="365" t="str">
        <f aca="false">IF((G218&lt;&gt;0),"Enter Letter"," ")</f>
        <v> </v>
      </c>
      <c r="J218" s="334" t="str">
        <f aca="false">IF((E218="s"),G218," ")</f>
        <v> </v>
      </c>
      <c r="K218" s="334" t="str">
        <f aca="false">IF((E218="d"),G218," ")</f>
        <v> </v>
      </c>
      <c r="L218" s="334" t="str">
        <f aca="false">IF((E218="e"),G218," ")</f>
        <v> </v>
      </c>
      <c r="M218" s="334" t="str">
        <f aca="false">IF((E218="p"),G218," ")</f>
        <v> </v>
      </c>
      <c r="N218" s="334" t="str">
        <f aca="false">IF((E218="r"),G218," ")</f>
        <v> </v>
      </c>
      <c r="O218" s="334" t="str">
        <f aca="false">IF((E218="g"),G218," ")</f>
        <v> </v>
      </c>
      <c r="P218" s="334" t="str">
        <f aca="false">IF((E218="m"),G218," ")</f>
        <v> </v>
      </c>
      <c r="Q218" s="334" t="str">
        <f aca="false">IF((E218="t"),G218," ")</f>
        <v> </v>
      </c>
      <c r="R218" s="334" t="str">
        <f aca="false">IF((E218="a"),G218," ")</f>
        <v> </v>
      </c>
      <c r="S218" s="334" t="str">
        <f aca="false">IF((E218="l"),G218," ")</f>
        <v> </v>
      </c>
      <c r="T218" s="334" t="str">
        <f aca="false">IF((E218="b"),G218," ")</f>
        <v> </v>
      </c>
      <c r="U218" s="334" t="str">
        <f aca="false">IF((E218="i"),G218," ")</f>
        <v> </v>
      </c>
      <c r="V218" s="334" t="str">
        <f aca="false">IF((E218="o"),G218," ")</f>
        <v> </v>
      </c>
      <c r="W218" s="334" t="str">
        <f aca="false">IF((E218="f"),G218," ")</f>
        <v> </v>
      </c>
    </row>
    <row r="219" customFormat="false" ht="12.75" hidden="false" customHeight="false" outlineLevel="0" collapsed="false">
      <c r="A219" s="355"/>
      <c r="E219" s="365" t="str">
        <f aca="false">IF((G219&lt;&gt;0),"Enter Letter"," ")</f>
        <v> </v>
      </c>
      <c r="J219" s="334" t="str">
        <f aca="false">IF((E219="s"),G219," ")</f>
        <v> </v>
      </c>
      <c r="K219" s="334" t="str">
        <f aca="false">IF((E219="d"),G219," ")</f>
        <v> </v>
      </c>
      <c r="L219" s="334" t="str">
        <f aca="false">IF((E219="e"),G219," ")</f>
        <v> </v>
      </c>
      <c r="M219" s="334" t="str">
        <f aca="false">IF((E219="p"),G219," ")</f>
        <v> </v>
      </c>
      <c r="N219" s="334" t="str">
        <f aca="false">IF((E219="r"),G219," ")</f>
        <v> </v>
      </c>
      <c r="O219" s="334" t="str">
        <f aca="false">IF((E219="g"),G219," ")</f>
        <v> </v>
      </c>
      <c r="P219" s="334" t="str">
        <f aca="false">IF((E219="m"),G219," ")</f>
        <v> </v>
      </c>
      <c r="Q219" s="334" t="str">
        <f aca="false">IF((E219="t"),G219," ")</f>
        <v> </v>
      </c>
      <c r="R219" s="334" t="str">
        <f aca="false">IF((E219="a"),G219," ")</f>
        <v> </v>
      </c>
      <c r="S219" s="334" t="str">
        <f aca="false">IF((E219="l"),G219," ")</f>
        <v> </v>
      </c>
      <c r="T219" s="334" t="str">
        <f aca="false">IF((E219="b"),G219," ")</f>
        <v> </v>
      </c>
      <c r="U219" s="334" t="str">
        <f aca="false">IF((E219="i"),G219," ")</f>
        <v> </v>
      </c>
      <c r="V219" s="334" t="str">
        <f aca="false">IF((E219="o"),G219," ")</f>
        <v> </v>
      </c>
      <c r="W219" s="334" t="str">
        <f aca="false">IF((E219="f"),G219," ")</f>
        <v> </v>
      </c>
    </row>
    <row r="220" customFormat="false" ht="12.75" hidden="false" customHeight="false" outlineLevel="0" collapsed="false">
      <c r="A220" s="355"/>
      <c r="E220" s="365" t="str">
        <f aca="false">IF((G220&lt;&gt;0),"Enter Letter"," ")</f>
        <v> </v>
      </c>
      <c r="J220" s="334" t="str">
        <f aca="false">IF((E220="s"),G220," ")</f>
        <v> </v>
      </c>
      <c r="K220" s="334" t="str">
        <f aca="false">IF((E220="d"),G220," ")</f>
        <v> </v>
      </c>
      <c r="L220" s="334" t="str">
        <f aca="false">IF((E220="e"),G220," ")</f>
        <v> </v>
      </c>
      <c r="M220" s="334" t="str">
        <f aca="false">IF((E220="p"),G220," ")</f>
        <v> </v>
      </c>
      <c r="N220" s="334" t="str">
        <f aca="false">IF((E220="r"),G220," ")</f>
        <v> </v>
      </c>
      <c r="O220" s="334" t="str">
        <f aca="false">IF((E220="g"),G220," ")</f>
        <v> </v>
      </c>
      <c r="P220" s="334" t="str">
        <f aca="false">IF((E220="m"),G220," ")</f>
        <v> </v>
      </c>
      <c r="Q220" s="334" t="str">
        <f aca="false">IF((E220="t"),G220," ")</f>
        <v> </v>
      </c>
      <c r="R220" s="334" t="str">
        <f aca="false">IF((E220="a"),G220," ")</f>
        <v> </v>
      </c>
      <c r="S220" s="334" t="str">
        <f aca="false">IF((E220="l"),G220," ")</f>
        <v> </v>
      </c>
      <c r="T220" s="334" t="str">
        <f aca="false">IF((E220="b"),G220," ")</f>
        <v> </v>
      </c>
      <c r="U220" s="334" t="str">
        <f aca="false">IF((E220="i"),G220," ")</f>
        <v> </v>
      </c>
      <c r="V220" s="334" t="str">
        <f aca="false">IF((E220="o"),G220," ")</f>
        <v> </v>
      </c>
      <c r="W220" s="334" t="str">
        <f aca="false">IF((E220="f"),G220," ")</f>
        <v> </v>
      </c>
    </row>
    <row r="221" customFormat="false" ht="12.75" hidden="false" customHeight="false" outlineLevel="0" collapsed="false">
      <c r="A221" s="355"/>
      <c r="E221" s="365" t="str">
        <f aca="false">IF((G221&lt;&gt;0),"Enter Letter"," ")</f>
        <v> </v>
      </c>
      <c r="J221" s="334" t="str">
        <f aca="false">IF((E221="s"),G221," ")</f>
        <v> </v>
      </c>
      <c r="K221" s="334" t="str">
        <f aca="false">IF((E221="d"),G221," ")</f>
        <v> </v>
      </c>
      <c r="L221" s="334" t="str">
        <f aca="false">IF((E221="e"),G221," ")</f>
        <v> </v>
      </c>
      <c r="M221" s="334" t="str">
        <f aca="false">IF((E221="p"),G221," ")</f>
        <v> </v>
      </c>
      <c r="N221" s="334" t="str">
        <f aca="false">IF((E221="r"),G221," ")</f>
        <v> </v>
      </c>
      <c r="O221" s="334" t="str">
        <f aca="false">IF((E221="g"),G221," ")</f>
        <v> </v>
      </c>
      <c r="P221" s="334" t="str">
        <f aca="false">IF((E221="m"),G221," ")</f>
        <v> </v>
      </c>
      <c r="Q221" s="334" t="str">
        <f aca="false">IF((E221="t"),G221," ")</f>
        <v> </v>
      </c>
      <c r="R221" s="334" t="str">
        <f aca="false">IF((E221="a"),G221," ")</f>
        <v> </v>
      </c>
      <c r="S221" s="334" t="str">
        <f aca="false">IF((E221="l"),G221," ")</f>
        <v> </v>
      </c>
      <c r="T221" s="334" t="str">
        <f aca="false">IF((E221="b"),G221," ")</f>
        <v> </v>
      </c>
      <c r="U221" s="334" t="str">
        <f aca="false">IF((E221="i"),G221," ")</f>
        <v> </v>
      </c>
      <c r="V221" s="334" t="str">
        <f aca="false">IF((E221="o"),G221," ")</f>
        <v> </v>
      </c>
      <c r="W221" s="334" t="str">
        <f aca="false">IF((E221="f"),G221," ")</f>
        <v> </v>
      </c>
    </row>
    <row r="222" customFormat="false" ht="12.75" hidden="false" customHeight="false" outlineLevel="0" collapsed="false">
      <c r="A222" s="355"/>
      <c r="E222" s="365" t="str">
        <f aca="false">IF((G222&lt;&gt;0),"Enter Letter"," ")</f>
        <v> </v>
      </c>
      <c r="J222" s="334" t="str">
        <f aca="false">IF((E222="s"),G222," ")</f>
        <v> </v>
      </c>
      <c r="K222" s="334" t="str">
        <f aca="false">IF((E222="d"),G222," ")</f>
        <v> </v>
      </c>
      <c r="L222" s="334" t="str">
        <f aca="false">IF((E222="e"),G222," ")</f>
        <v> </v>
      </c>
      <c r="M222" s="334" t="str">
        <f aca="false">IF((E222="p"),G222," ")</f>
        <v> </v>
      </c>
      <c r="N222" s="334" t="str">
        <f aca="false">IF((E222="r"),G222," ")</f>
        <v> </v>
      </c>
      <c r="O222" s="334" t="str">
        <f aca="false">IF((E222="g"),G222," ")</f>
        <v> </v>
      </c>
      <c r="P222" s="334" t="str">
        <f aca="false">IF((E222="m"),G222," ")</f>
        <v> </v>
      </c>
      <c r="Q222" s="334" t="str">
        <f aca="false">IF((E222="t"),G222," ")</f>
        <v> </v>
      </c>
      <c r="R222" s="334" t="str">
        <f aca="false">IF((E222="a"),G222," ")</f>
        <v> </v>
      </c>
      <c r="S222" s="334" t="str">
        <f aca="false">IF((E222="l"),G222," ")</f>
        <v> </v>
      </c>
      <c r="T222" s="334" t="str">
        <f aca="false">IF((E222="b"),G222," ")</f>
        <v> </v>
      </c>
      <c r="U222" s="334" t="str">
        <f aca="false">IF((E222="i"),G222," ")</f>
        <v> </v>
      </c>
      <c r="V222" s="334" t="str">
        <f aca="false">IF((E222="o"),G222," ")</f>
        <v> </v>
      </c>
      <c r="W222" s="334" t="str">
        <f aca="false">IF((E222="f"),G222," ")</f>
        <v> </v>
      </c>
    </row>
    <row r="223" customFormat="false" ht="12.75" hidden="false" customHeight="false" outlineLevel="0" collapsed="false">
      <c r="A223" s="355"/>
      <c r="E223" s="365" t="str">
        <f aca="false">IF((G223&lt;&gt;0),"Enter Letter"," ")</f>
        <v> </v>
      </c>
      <c r="J223" s="334" t="str">
        <f aca="false">IF((E223="s"),G223," ")</f>
        <v> </v>
      </c>
      <c r="K223" s="334" t="str">
        <f aca="false">IF((E223="d"),G223," ")</f>
        <v> </v>
      </c>
      <c r="L223" s="334" t="str">
        <f aca="false">IF((E223="e"),G223," ")</f>
        <v> </v>
      </c>
      <c r="M223" s="334" t="str">
        <f aca="false">IF((E223="p"),G223," ")</f>
        <v> </v>
      </c>
      <c r="N223" s="334" t="str">
        <f aca="false">IF((E223="r"),G223," ")</f>
        <v> </v>
      </c>
      <c r="O223" s="334" t="str">
        <f aca="false">IF((E223="g"),G223," ")</f>
        <v> </v>
      </c>
      <c r="P223" s="334" t="str">
        <f aca="false">IF((E223="m"),G223," ")</f>
        <v> </v>
      </c>
      <c r="Q223" s="334" t="str">
        <f aca="false">IF((E223="t"),G223," ")</f>
        <v> </v>
      </c>
      <c r="R223" s="334" t="str">
        <f aca="false">IF((E223="a"),G223," ")</f>
        <v> </v>
      </c>
      <c r="S223" s="334" t="str">
        <f aca="false">IF((E223="l"),G223," ")</f>
        <v> </v>
      </c>
      <c r="T223" s="334" t="str">
        <f aca="false">IF((E223="b"),G223," ")</f>
        <v> </v>
      </c>
      <c r="U223" s="334" t="str">
        <f aca="false">IF((E223="i"),G223," ")</f>
        <v> </v>
      </c>
      <c r="V223" s="334" t="str">
        <f aca="false">IF((E223="o"),G223," ")</f>
        <v> </v>
      </c>
      <c r="W223" s="334" t="str">
        <f aca="false">IF((E223="f"),G223," ")</f>
        <v> </v>
      </c>
    </row>
    <row r="224" customFormat="false" ht="12.75" hidden="false" customHeight="false" outlineLevel="0" collapsed="false">
      <c r="A224" s="355"/>
      <c r="E224" s="365" t="str">
        <f aca="false">IF((G224&lt;&gt;0),"Enter Letter"," ")</f>
        <v> </v>
      </c>
      <c r="J224" s="334" t="str">
        <f aca="false">IF((E224="s"),G224," ")</f>
        <v> </v>
      </c>
      <c r="K224" s="334" t="str">
        <f aca="false">IF((E224="d"),G224," ")</f>
        <v> </v>
      </c>
      <c r="L224" s="334" t="str">
        <f aca="false">IF((E224="e"),G224," ")</f>
        <v> </v>
      </c>
      <c r="M224" s="334" t="str">
        <f aca="false">IF((E224="p"),G224," ")</f>
        <v> </v>
      </c>
      <c r="N224" s="334" t="str">
        <f aca="false">IF((E224="r"),G224," ")</f>
        <v> </v>
      </c>
      <c r="O224" s="334" t="str">
        <f aca="false">IF((E224="g"),G224," ")</f>
        <v> </v>
      </c>
      <c r="P224" s="334" t="str">
        <f aca="false">IF((E224="m"),G224," ")</f>
        <v> </v>
      </c>
      <c r="Q224" s="334" t="str">
        <f aca="false">IF((E224="t"),G224," ")</f>
        <v> </v>
      </c>
      <c r="R224" s="334" t="str">
        <f aca="false">IF((E224="a"),G224," ")</f>
        <v> </v>
      </c>
      <c r="S224" s="334" t="str">
        <f aca="false">IF((E224="l"),G224," ")</f>
        <v> </v>
      </c>
      <c r="T224" s="334" t="str">
        <f aca="false">IF((E224="b"),G224," ")</f>
        <v> </v>
      </c>
      <c r="U224" s="334" t="str">
        <f aca="false">IF((E224="i"),G224," ")</f>
        <v> </v>
      </c>
      <c r="V224" s="334" t="str">
        <f aca="false">IF((E224="o"),G224," ")</f>
        <v> </v>
      </c>
      <c r="W224" s="334" t="str">
        <f aca="false">IF((E224="f"),G224," ")</f>
        <v> </v>
      </c>
    </row>
    <row r="225" customFormat="false" ht="12.75" hidden="false" customHeight="false" outlineLevel="0" collapsed="false">
      <c r="A225" s="355"/>
      <c r="E225" s="365" t="str">
        <f aca="false">IF((G225&lt;&gt;0),"Enter Letter"," ")</f>
        <v> </v>
      </c>
      <c r="J225" s="334" t="str">
        <f aca="false">IF((E225="s"),G225," ")</f>
        <v> </v>
      </c>
      <c r="K225" s="334" t="str">
        <f aca="false">IF((E225="d"),G225," ")</f>
        <v> </v>
      </c>
      <c r="L225" s="334" t="str">
        <f aca="false">IF((E225="e"),G225," ")</f>
        <v> </v>
      </c>
      <c r="M225" s="334" t="str">
        <f aca="false">IF((E225="p"),G225," ")</f>
        <v> </v>
      </c>
      <c r="N225" s="334" t="str">
        <f aca="false">IF((E225="r"),G225," ")</f>
        <v> </v>
      </c>
      <c r="O225" s="334" t="str">
        <f aca="false">IF((E225="g"),G225," ")</f>
        <v> </v>
      </c>
      <c r="P225" s="334" t="str">
        <f aca="false">IF((E225="m"),G225," ")</f>
        <v> </v>
      </c>
      <c r="Q225" s="334" t="str">
        <f aca="false">IF((E225="t"),G225," ")</f>
        <v> </v>
      </c>
      <c r="R225" s="334" t="str">
        <f aca="false">IF((E225="a"),G225," ")</f>
        <v> </v>
      </c>
      <c r="S225" s="334" t="str">
        <f aca="false">IF((E225="l"),G225," ")</f>
        <v> </v>
      </c>
      <c r="T225" s="334" t="str">
        <f aca="false">IF((E225="b"),G225," ")</f>
        <v> </v>
      </c>
      <c r="U225" s="334" t="str">
        <f aca="false">IF((E225="i"),G225," ")</f>
        <v> </v>
      </c>
      <c r="V225" s="334" t="str">
        <f aca="false">IF((E225="o"),G225," ")</f>
        <v> </v>
      </c>
      <c r="W225" s="334" t="str">
        <f aca="false">IF((E225="f"),G225," ")</f>
        <v> </v>
      </c>
    </row>
    <row r="226" customFormat="false" ht="12.75" hidden="false" customHeight="false" outlineLevel="0" collapsed="false">
      <c r="A226" s="355"/>
      <c r="E226" s="365" t="str">
        <f aca="false">IF((G226&lt;&gt;0),"Enter Letter"," ")</f>
        <v> </v>
      </c>
      <c r="J226" s="334" t="str">
        <f aca="false">IF((E226="s"),G226," ")</f>
        <v> </v>
      </c>
      <c r="K226" s="334" t="str">
        <f aca="false">IF((E226="d"),G226," ")</f>
        <v> </v>
      </c>
      <c r="L226" s="334" t="str">
        <f aca="false">IF((E226="e"),G226," ")</f>
        <v> </v>
      </c>
      <c r="M226" s="334" t="str">
        <f aca="false">IF((E226="p"),G226," ")</f>
        <v> </v>
      </c>
      <c r="N226" s="334" t="str">
        <f aca="false">IF((E226="r"),G226," ")</f>
        <v> </v>
      </c>
      <c r="O226" s="334" t="str">
        <f aca="false">IF((E226="g"),G226," ")</f>
        <v> </v>
      </c>
      <c r="P226" s="334" t="str">
        <f aca="false">IF((E226="m"),G226," ")</f>
        <v> </v>
      </c>
      <c r="Q226" s="334" t="str">
        <f aca="false">IF((E226="t"),G226," ")</f>
        <v> </v>
      </c>
      <c r="R226" s="334" t="str">
        <f aca="false">IF((E226="a"),G226," ")</f>
        <v> </v>
      </c>
      <c r="S226" s="334" t="str">
        <f aca="false">IF((E226="l"),G226," ")</f>
        <v> </v>
      </c>
      <c r="T226" s="334" t="str">
        <f aca="false">IF((E226="b"),G226," ")</f>
        <v> </v>
      </c>
      <c r="U226" s="334" t="str">
        <f aca="false">IF((E226="i"),G226," ")</f>
        <v> </v>
      </c>
      <c r="V226" s="334" t="str">
        <f aca="false">IF((E226="o"),G226," ")</f>
        <v> </v>
      </c>
      <c r="W226" s="334" t="str">
        <f aca="false">IF((E226="f"),G226," ")</f>
        <v> </v>
      </c>
    </row>
    <row r="227" customFormat="false" ht="12.75" hidden="false" customHeight="false" outlineLevel="0" collapsed="false">
      <c r="A227" s="355"/>
      <c r="E227" s="365" t="str">
        <f aca="false">IF((G227&lt;&gt;0),"Enter Letter"," ")</f>
        <v> </v>
      </c>
      <c r="J227" s="334" t="str">
        <f aca="false">IF((E227="s"),G227," ")</f>
        <v> </v>
      </c>
      <c r="K227" s="334" t="str">
        <f aca="false">IF((E227="d"),G227," ")</f>
        <v> </v>
      </c>
      <c r="L227" s="334" t="str">
        <f aca="false">IF((E227="e"),G227," ")</f>
        <v> </v>
      </c>
      <c r="M227" s="334" t="str">
        <f aca="false">IF((E227="p"),G227," ")</f>
        <v> </v>
      </c>
      <c r="N227" s="334" t="str">
        <f aca="false">IF((E227="r"),G227," ")</f>
        <v> </v>
      </c>
      <c r="O227" s="334" t="str">
        <f aca="false">IF((E227="g"),G227," ")</f>
        <v> </v>
      </c>
      <c r="P227" s="334" t="str">
        <f aca="false">IF((E227="m"),G227," ")</f>
        <v> </v>
      </c>
      <c r="Q227" s="334" t="str">
        <f aca="false">IF((E227="t"),G227," ")</f>
        <v> </v>
      </c>
      <c r="R227" s="334" t="str">
        <f aca="false">IF((E227="a"),G227," ")</f>
        <v> </v>
      </c>
      <c r="S227" s="334" t="str">
        <f aca="false">IF((E227="l"),G227," ")</f>
        <v> </v>
      </c>
      <c r="T227" s="334" t="str">
        <f aca="false">IF((E227="b"),G227," ")</f>
        <v> </v>
      </c>
      <c r="U227" s="334" t="str">
        <f aca="false">IF((E227="i"),G227," ")</f>
        <v> </v>
      </c>
      <c r="V227" s="334" t="str">
        <f aca="false">IF((E227="o"),G227," ")</f>
        <v> </v>
      </c>
      <c r="W227" s="334" t="str">
        <f aca="false">IF((E227="f"),G227," ")</f>
        <v> </v>
      </c>
    </row>
    <row r="228" customFormat="false" ht="12.75" hidden="false" customHeight="false" outlineLevel="0" collapsed="false">
      <c r="A228" s="355"/>
      <c r="E228" s="365" t="str">
        <f aca="false">IF((G228&lt;&gt;0),"Enter Letter"," ")</f>
        <v> </v>
      </c>
      <c r="J228" s="334" t="str">
        <f aca="false">IF((E228="s"),G228," ")</f>
        <v> </v>
      </c>
      <c r="K228" s="334" t="str">
        <f aca="false">IF((E228="d"),G228," ")</f>
        <v> </v>
      </c>
      <c r="L228" s="334" t="str">
        <f aca="false">IF((E228="e"),G228," ")</f>
        <v> </v>
      </c>
      <c r="M228" s="334" t="str">
        <f aca="false">IF((E228="p"),G228," ")</f>
        <v> </v>
      </c>
      <c r="N228" s="334" t="str">
        <f aca="false">IF((E228="r"),G228," ")</f>
        <v> </v>
      </c>
      <c r="O228" s="334" t="str">
        <f aca="false">IF((E228="g"),G228," ")</f>
        <v> </v>
      </c>
      <c r="P228" s="334" t="str">
        <f aca="false">IF((E228="m"),G228," ")</f>
        <v> </v>
      </c>
      <c r="Q228" s="334" t="str">
        <f aca="false">IF((E228="t"),G228," ")</f>
        <v> </v>
      </c>
      <c r="R228" s="334" t="str">
        <f aca="false">IF((E228="a"),G228," ")</f>
        <v> </v>
      </c>
      <c r="S228" s="334" t="str">
        <f aca="false">IF((E228="l"),G228," ")</f>
        <v> </v>
      </c>
      <c r="T228" s="334" t="str">
        <f aca="false">IF((E228="b"),G228," ")</f>
        <v> </v>
      </c>
      <c r="U228" s="334" t="str">
        <f aca="false">IF((E228="i"),G228," ")</f>
        <v> </v>
      </c>
      <c r="V228" s="334" t="str">
        <f aca="false">IF((E228="o"),G228," ")</f>
        <v> </v>
      </c>
      <c r="W228" s="334" t="str">
        <f aca="false">IF((E228="f"),G228," ")</f>
        <v> </v>
      </c>
    </row>
    <row r="229" customFormat="false" ht="12.75" hidden="false" customHeight="false" outlineLevel="0" collapsed="false">
      <c r="A229" s="355"/>
      <c r="E229" s="365" t="str">
        <f aca="false">IF((G229&lt;&gt;0),"Enter Letter"," ")</f>
        <v> </v>
      </c>
      <c r="J229" s="334" t="str">
        <f aca="false">IF((E229="s"),G229," ")</f>
        <v> </v>
      </c>
      <c r="K229" s="334" t="str">
        <f aca="false">IF((E229="d"),G229," ")</f>
        <v> </v>
      </c>
      <c r="L229" s="334" t="str">
        <f aca="false">IF((E229="e"),G229," ")</f>
        <v> </v>
      </c>
      <c r="M229" s="334" t="str">
        <f aca="false">IF((E229="p"),G229," ")</f>
        <v> </v>
      </c>
      <c r="N229" s="334" t="str">
        <f aca="false">IF((E229="r"),G229," ")</f>
        <v> </v>
      </c>
      <c r="O229" s="334" t="str">
        <f aca="false">IF((E229="g"),G229," ")</f>
        <v> </v>
      </c>
      <c r="P229" s="334" t="str">
        <f aca="false">IF((E229="m"),G229," ")</f>
        <v> </v>
      </c>
      <c r="Q229" s="334" t="str">
        <f aca="false">IF((E229="t"),G229," ")</f>
        <v> </v>
      </c>
      <c r="R229" s="334" t="str">
        <f aca="false">IF((E229="a"),G229," ")</f>
        <v> </v>
      </c>
      <c r="S229" s="334" t="str">
        <f aca="false">IF((E229="l"),G229," ")</f>
        <v> </v>
      </c>
      <c r="T229" s="334" t="str">
        <f aca="false">IF((E229="b"),G229," ")</f>
        <v> </v>
      </c>
      <c r="U229" s="334" t="str">
        <f aca="false">IF((E229="i"),G229," ")</f>
        <v> </v>
      </c>
      <c r="V229" s="334" t="str">
        <f aca="false">IF((E229="o"),G229," ")</f>
        <v> </v>
      </c>
      <c r="W229" s="334" t="str">
        <f aca="false">IF((E229="f"),G229," ")</f>
        <v> </v>
      </c>
    </row>
    <row r="230" customFormat="false" ht="12.75" hidden="false" customHeight="false" outlineLevel="0" collapsed="false">
      <c r="A230" s="355"/>
      <c r="E230" s="365" t="str">
        <f aca="false">IF((G230&lt;&gt;0),"Enter Letter"," ")</f>
        <v> </v>
      </c>
      <c r="J230" s="334" t="str">
        <f aca="false">IF((E230="s"),G230," ")</f>
        <v> </v>
      </c>
      <c r="K230" s="334" t="str">
        <f aca="false">IF((E230="d"),G230," ")</f>
        <v> </v>
      </c>
      <c r="L230" s="334" t="str">
        <f aca="false">IF((E230="e"),G230," ")</f>
        <v> </v>
      </c>
      <c r="M230" s="334" t="str">
        <f aca="false">IF((E230="p"),G230," ")</f>
        <v> </v>
      </c>
      <c r="N230" s="334" t="str">
        <f aca="false">IF((E230="r"),G230," ")</f>
        <v> </v>
      </c>
      <c r="O230" s="334" t="str">
        <f aca="false">IF((E230="g"),G230," ")</f>
        <v> </v>
      </c>
      <c r="P230" s="334" t="str">
        <f aca="false">IF((E230="m"),G230," ")</f>
        <v> </v>
      </c>
      <c r="Q230" s="334" t="str">
        <f aca="false">IF((E230="t"),G230," ")</f>
        <v> </v>
      </c>
      <c r="R230" s="334" t="str">
        <f aca="false">IF((E230="a"),G230," ")</f>
        <v> </v>
      </c>
      <c r="S230" s="334" t="str">
        <f aca="false">IF((E230="l"),G230," ")</f>
        <v> </v>
      </c>
      <c r="T230" s="334" t="str">
        <f aca="false">IF((E230="b"),G230," ")</f>
        <v> </v>
      </c>
      <c r="U230" s="334" t="str">
        <f aca="false">IF((E230="i"),G230," ")</f>
        <v> </v>
      </c>
      <c r="V230" s="334" t="str">
        <f aca="false">IF((E230="o"),G230," ")</f>
        <v> </v>
      </c>
      <c r="W230" s="334" t="str">
        <f aca="false">IF((E230="f"),G230," ")</f>
        <v> </v>
      </c>
    </row>
    <row r="231" customFormat="false" ht="12.75" hidden="false" customHeight="false" outlineLevel="0" collapsed="false">
      <c r="A231" s="355"/>
      <c r="E231" s="365" t="str">
        <f aca="false">IF((G231&lt;&gt;0),"Enter Letter"," ")</f>
        <v> </v>
      </c>
      <c r="J231" s="334" t="str">
        <f aca="false">IF((E231="s"),G231," ")</f>
        <v> </v>
      </c>
      <c r="K231" s="334" t="str">
        <f aca="false">IF((E231="d"),G231," ")</f>
        <v> </v>
      </c>
      <c r="L231" s="334" t="str">
        <f aca="false">IF((E231="e"),G231," ")</f>
        <v> </v>
      </c>
      <c r="M231" s="334" t="str">
        <f aca="false">IF((E231="p"),G231," ")</f>
        <v> </v>
      </c>
      <c r="N231" s="334" t="str">
        <f aca="false">IF((E231="r"),G231," ")</f>
        <v> </v>
      </c>
      <c r="O231" s="334" t="str">
        <f aca="false">IF((E231="g"),G231," ")</f>
        <v> </v>
      </c>
      <c r="P231" s="334" t="str">
        <f aca="false">IF((E231="m"),G231," ")</f>
        <v> </v>
      </c>
      <c r="Q231" s="334" t="str">
        <f aca="false">IF((E231="t"),G231," ")</f>
        <v> </v>
      </c>
      <c r="R231" s="334" t="str">
        <f aca="false">IF((E231="a"),G231," ")</f>
        <v> </v>
      </c>
      <c r="S231" s="334" t="str">
        <f aca="false">IF((E231="l"),G231," ")</f>
        <v> </v>
      </c>
      <c r="T231" s="334" t="str">
        <f aca="false">IF((E231="b"),G231," ")</f>
        <v> </v>
      </c>
      <c r="U231" s="334" t="str">
        <f aca="false">IF((E231="i"),G231," ")</f>
        <v> </v>
      </c>
      <c r="V231" s="334" t="str">
        <f aca="false">IF((E231="o"),G231," ")</f>
        <v> </v>
      </c>
      <c r="W231" s="334" t="str">
        <f aca="false">IF((E231="f"),G231," ")</f>
        <v> </v>
      </c>
    </row>
    <row r="232" customFormat="false" ht="12.75" hidden="false" customHeight="false" outlineLevel="0" collapsed="false">
      <c r="A232" s="355"/>
      <c r="E232" s="365" t="str">
        <f aca="false">IF((G232&lt;&gt;0),"Enter Letter"," ")</f>
        <v> </v>
      </c>
      <c r="J232" s="334" t="str">
        <f aca="false">IF((E232="s"),G232," ")</f>
        <v> </v>
      </c>
      <c r="K232" s="334" t="str">
        <f aca="false">IF((E232="d"),G232," ")</f>
        <v> </v>
      </c>
      <c r="L232" s="334" t="str">
        <f aca="false">IF((E232="e"),G232," ")</f>
        <v> </v>
      </c>
      <c r="M232" s="334" t="str">
        <f aca="false">IF((E232="p"),G232," ")</f>
        <v> </v>
      </c>
      <c r="N232" s="334" t="str">
        <f aca="false">IF((E232="r"),G232," ")</f>
        <v> </v>
      </c>
      <c r="O232" s="334" t="str">
        <f aca="false">IF((E232="g"),G232," ")</f>
        <v> </v>
      </c>
      <c r="P232" s="334" t="str">
        <f aca="false">IF((E232="m"),G232," ")</f>
        <v> </v>
      </c>
      <c r="Q232" s="334" t="str">
        <f aca="false">IF((E232="t"),G232," ")</f>
        <v> </v>
      </c>
      <c r="R232" s="334" t="str">
        <f aca="false">IF((E232="a"),G232," ")</f>
        <v> </v>
      </c>
      <c r="S232" s="334" t="str">
        <f aca="false">IF((E232="l"),G232," ")</f>
        <v> </v>
      </c>
      <c r="T232" s="334" t="str">
        <f aca="false">IF((E232="b"),G232," ")</f>
        <v> </v>
      </c>
      <c r="U232" s="334" t="str">
        <f aca="false">IF((E232="i"),G232," ")</f>
        <v> </v>
      </c>
      <c r="V232" s="334" t="str">
        <f aca="false">IF((E232="o"),G232," ")</f>
        <v> </v>
      </c>
      <c r="W232" s="334" t="str">
        <f aca="false">IF((E232="f"),G232," ")</f>
        <v> </v>
      </c>
    </row>
    <row r="233" customFormat="false" ht="12.75" hidden="false" customHeight="false" outlineLevel="0" collapsed="false">
      <c r="A233" s="355"/>
      <c r="E233" s="365" t="str">
        <f aca="false">IF((G233&lt;&gt;0),"Enter Letter"," ")</f>
        <v> </v>
      </c>
      <c r="J233" s="334" t="str">
        <f aca="false">IF((E233="s"),G233," ")</f>
        <v> </v>
      </c>
      <c r="K233" s="334" t="str">
        <f aca="false">IF((E233="d"),G233," ")</f>
        <v> </v>
      </c>
      <c r="L233" s="334" t="str">
        <f aca="false">IF((E233="e"),G233," ")</f>
        <v> </v>
      </c>
      <c r="M233" s="334" t="str">
        <f aca="false">IF((E233="p"),G233," ")</f>
        <v> </v>
      </c>
      <c r="N233" s="334" t="str">
        <f aca="false">IF((E233="r"),G233," ")</f>
        <v> </v>
      </c>
      <c r="O233" s="334" t="str">
        <f aca="false">IF((E233="g"),G233," ")</f>
        <v> </v>
      </c>
      <c r="P233" s="334" t="str">
        <f aca="false">IF((E233="m"),G233," ")</f>
        <v> </v>
      </c>
      <c r="Q233" s="334" t="str">
        <f aca="false">IF((E233="t"),G233," ")</f>
        <v> </v>
      </c>
      <c r="R233" s="334" t="str">
        <f aca="false">IF((E233="a"),G233," ")</f>
        <v> </v>
      </c>
      <c r="S233" s="334" t="str">
        <f aca="false">IF((E233="l"),G233," ")</f>
        <v> </v>
      </c>
      <c r="T233" s="334" t="str">
        <f aca="false">IF((E233="b"),G233," ")</f>
        <v> </v>
      </c>
      <c r="U233" s="334" t="str">
        <f aca="false">IF((E233="i"),G233," ")</f>
        <v> </v>
      </c>
      <c r="V233" s="334" t="str">
        <f aca="false">IF((E233="o"),G233," ")</f>
        <v> </v>
      </c>
      <c r="W233" s="334" t="str">
        <f aca="false">IF((E233="f"),G233," ")</f>
        <v> </v>
      </c>
    </row>
    <row r="234" customFormat="false" ht="12.75" hidden="false" customHeight="false" outlineLevel="0" collapsed="false">
      <c r="A234" s="355"/>
      <c r="E234" s="365" t="str">
        <f aca="false">IF((G234&lt;&gt;0),"Enter Letter"," ")</f>
        <v> </v>
      </c>
      <c r="J234" s="334" t="str">
        <f aca="false">IF((E234="s"),G234," ")</f>
        <v> </v>
      </c>
      <c r="K234" s="334" t="str">
        <f aca="false">IF((E234="d"),G234," ")</f>
        <v> </v>
      </c>
      <c r="L234" s="334" t="str">
        <f aca="false">IF((E234="e"),G234," ")</f>
        <v> </v>
      </c>
      <c r="M234" s="334" t="str">
        <f aca="false">IF((E234="p"),G234," ")</f>
        <v> </v>
      </c>
      <c r="N234" s="334" t="str">
        <f aca="false">IF((E234="r"),G234," ")</f>
        <v> </v>
      </c>
      <c r="O234" s="334" t="str">
        <f aca="false">IF((E234="g"),G234," ")</f>
        <v> </v>
      </c>
      <c r="P234" s="334" t="str">
        <f aca="false">IF((E234="m"),G234," ")</f>
        <v> </v>
      </c>
      <c r="Q234" s="334" t="str">
        <f aca="false">IF((E234="t"),G234," ")</f>
        <v> </v>
      </c>
      <c r="R234" s="334" t="str">
        <f aca="false">IF((E234="a"),G234," ")</f>
        <v> </v>
      </c>
      <c r="S234" s="334" t="str">
        <f aca="false">IF((E234="l"),G234," ")</f>
        <v> </v>
      </c>
      <c r="T234" s="334" t="str">
        <f aca="false">IF((E234="b"),G234," ")</f>
        <v> </v>
      </c>
      <c r="U234" s="334" t="str">
        <f aca="false">IF((E234="i"),G234," ")</f>
        <v> </v>
      </c>
      <c r="V234" s="334" t="str">
        <f aca="false">IF((E234="o"),G234," ")</f>
        <v> </v>
      </c>
      <c r="W234" s="334" t="str">
        <f aca="false">IF((E234="f"),G234," ")</f>
        <v> </v>
      </c>
    </row>
    <row r="235" customFormat="false" ht="12.75" hidden="false" customHeight="false" outlineLevel="0" collapsed="false">
      <c r="A235" s="355"/>
      <c r="E235" s="365" t="str">
        <f aca="false">IF((G235&lt;&gt;0),"Enter Letter"," ")</f>
        <v> </v>
      </c>
      <c r="J235" s="334" t="str">
        <f aca="false">IF((E235="s"),G235," ")</f>
        <v> </v>
      </c>
      <c r="K235" s="334" t="str">
        <f aca="false">IF((E235="d"),G235," ")</f>
        <v> </v>
      </c>
      <c r="L235" s="334" t="str">
        <f aca="false">IF((E235="e"),G235," ")</f>
        <v> </v>
      </c>
      <c r="M235" s="334" t="str">
        <f aca="false">IF((E235="p"),G235," ")</f>
        <v> </v>
      </c>
      <c r="N235" s="334" t="str">
        <f aca="false">IF((E235="r"),G235," ")</f>
        <v> </v>
      </c>
      <c r="O235" s="334" t="str">
        <f aca="false">IF((E235="g"),G235," ")</f>
        <v> </v>
      </c>
      <c r="P235" s="334" t="str">
        <f aca="false">IF((E235="m"),G235," ")</f>
        <v> </v>
      </c>
      <c r="Q235" s="334" t="str">
        <f aca="false">IF((E235="t"),G235," ")</f>
        <v> </v>
      </c>
      <c r="R235" s="334" t="str">
        <f aca="false">IF((E235="a"),G235," ")</f>
        <v> </v>
      </c>
      <c r="S235" s="334" t="str">
        <f aca="false">IF((E235="l"),G235," ")</f>
        <v> </v>
      </c>
      <c r="T235" s="334" t="str">
        <f aca="false">IF((E235="b"),G235," ")</f>
        <v> </v>
      </c>
      <c r="U235" s="334" t="str">
        <f aca="false">IF((E235="i"),G235," ")</f>
        <v> </v>
      </c>
      <c r="V235" s="334" t="str">
        <f aca="false">IF((E235="o"),G235," ")</f>
        <v> </v>
      </c>
      <c r="W235" s="334" t="str">
        <f aca="false">IF((E235="f"),G235," ")</f>
        <v> </v>
      </c>
    </row>
    <row r="236" customFormat="false" ht="12.75" hidden="false" customHeight="false" outlineLevel="0" collapsed="false">
      <c r="A236" s="355"/>
      <c r="E236" s="365" t="str">
        <f aca="false">IF((G236&lt;&gt;0),"Enter Letter"," ")</f>
        <v> </v>
      </c>
      <c r="J236" s="334" t="str">
        <f aca="false">IF((E236="s"),G236," ")</f>
        <v> </v>
      </c>
      <c r="K236" s="334" t="str">
        <f aca="false">IF((E236="d"),G236," ")</f>
        <v> </v>
      </c>
      <c r="L236" s="334" t="str">
        <f aca="false">IF((E236="e"),G236," ")</f>
        <v> </v>
      </c>
      <c r="M236" s="334" t="str">
        <f aca="false">IF((E236="p"),G236," ")</f>
        <v> </v>
      </c>
      <c r="N236" s="334" t="str">
        <f aca="false">IF((E236="r"),G236," ")</f>
        <v> </v>
      </c>
      <c r="O236" s="334" t="str">
        <f aca="false">IF((E236="g"),G236," ")</f>
        <v> </v>
      </c>
      <c r="P236" s="334" t="str">
        <f aca="false">IF((E236="m"),G236," ")</f>
        <v> </v>
      </c>
      <c r="Q236" s="334" t="str">
        <f aca="false">IF((E236="t"),G236," ")</f>
        <v> </v>
      </c>
      <c r="R236" s="334" t="str">
        <f aca="false">IF((E236="a"),G236," ")</f>
        <v> </v>
      </c>
      <c r="S236" s="334" t="str">
        <f aca="false">IF((E236="l"),G236," ")</f>
        <v> </v>
      </c>
      <c r="T236" s="334" t="str">
        <f aca="false">IF((E236="b"),G236," ")</f>
        <v> </v>
      </c>
      <c r="U236" s="334" t="str">
        <f aca="false">IF((E236="i"),G236," ")</f>
        <v> </v>
      </c>
      <c r="V236" s="334" t="str">
        <f aca="false">IF((E236="o"),G236," ")</f>
        <v> </v>
      </c>
      <c r="W236" s="334" t="str">
        <f aca="false">IF((E236="f"),G236," ")</f>
        <v> </v>
      </c>
    </row>
    <row r="237" customFormat="false" ht="12.75" hidden="false" customHeight="false" outlineLevel="0" collapsed="false">
      <c r="A237" s="355"/>
      <c r="E237" s="365" t="str">
        <f aca="false">IF((G237&lt;&gt;0),"Enter Letter"," ")</f>
        <v> </v>
      </c>
      <c r="J237" s="334" t="str">
        <f aca="false">IF((E237="s"),G237," ")</f>
        <v> </v>
      </c>
      <c r="K237" s="334" t="str">
        <f aca="false">IF((E237="d"),G237," ")</f>
        <v> </v>
      </c>
      <c r="L237" s="334" t="str">
        <f aca="false">IF((E237="e"),G237," ")</f>
        <v> </v>
      </c>
      <c r="M237" s="334" t="str">
        <f aca="false">IF((E237="p"),G237," ")</f>
        <v> </v>
      </c>
      <c r="N237" s="334" t="str">
        <f aca="false">IF((E237="r"),G237," ")</f>
        <v> </v>
      </c>
      <c r="O237" s="334" t="str">
        <f aca="false">IF((E237="g"),G237," ")</f>
        <v> </v>
      </c>
      <c r="P237" s="334" t="str">
        <f aca="false">IF((E237="m"),G237," ")</f>
        <v> </v>
      </c>
      <c r="Q237" s="334" t="str">
        <f aca="false">IF((E237="t"),G237," ")</f>
        <v> </v>
      </c>
      <c r="R237" s="334" t="str">
        <f aca="false">IF((E237="a"),G237," ")</f>
        <v> </v>
      </c>
      <c r="S237" s="334" t="str">
        <f aca="false">IF((E237="l"),G237," ")</f>
        <v> </v>
      </c>
      <c r="T237" s="334" t="str">
        <f aca="false">IF((E237="b"),G237," ")</f>
        <v> </v>
      </c>
      <c r="U237" s="334" t="str">
        <f aca="false">IF((E237="i"),G237," ")</f>
        <v> </v>
      </c>
      <c r="V237" s="334" t="str">
        <f aca="false">IF((E237="o"),G237," ")</f>
        <v> </v>
      </c>
      <c r="W237" s="334" t="str">
        <f aca="false">IF((E237="f"),G237," ")</f>
        <v> </v>
      </c>
    </row>
    <row r="238" customFormat="false" ht="12.75" hidden="false" customHeight="false" outlineLevel="0" collapsed="false">
      <c r="A238" s="355"/>
      <c r="E238" s="365" t="str">
        <f aca="false">IF((G238&lt;&gt;0),"Enter Letter"," ")</f>
        <v> </v>
      </c>
      <c r="J238" s="334" t="str">
        <f aca="false">IF((E238="s"),G238," ")</f>
        <v> </v>
      </c>
      <c r="K238" s="334" t="str">
        <f aca="false">IF((E238="d"),G238," ")</f>
        <v> </v>
      </c>
      <c r="L238" s="334" t="str">
        <f aca="false">IF((E238="e"),G238," ")</f>
        <v> </v>
      </c>
      <c r="M238" s="334" t="str">
        <f aca="false">IF((E238="p"),G238," ")</f>
        <v> </v>
      </c>
      <c r="N238" s="334" t="str">
        <f aca="false">IF((E238="r"),G238," ")</f>
        <v> </v>
      </c>
      <c r="O238" s="334" t="str">
        <f aca="false">IF((E238="g"),G238," ")</f>
        <v> </v>
      </c>
      <c r="P238" s="334" t="str">
        <f aca="false">IF((E238="m"),G238," ")</f>
        <v> </v>
      </c>
      <c r="Q238" s="334" t="str">
        <f aca="false">IF((E238="t"),G238," ")</f>
        <v> </v>
      </c>
      <c r="R238" s="334" t="str">
        <f aca="false">IF((E238="a"),G238," ")</f>
        <v> </v>
      </c>
      <c r="S238" s="334" t="str">
        <f aca="false">IF((E238="l"),G238," ")</f>
        <v> </v>
      </c>
      <c r="T238" s="334" t="str">
        <f aca="false">IF((E238="b"),G238," ")</f>
        <v> </v>
      </c>
      <c r="U238" s="334" t="str">
        <f aca="false">IF((E238="i"),G238," ")</f>
        <v> </v>
      </c>
      <c r="V238" s="334" t="str">
        <f aca="false">IF((E238="o"),G238," ")</f>
        <v> </v>
      </c>
      <c r="W238" s="334" t="str">
        <f aca="false">IF((E238="f"),G238," ")</f>
        <v> </v>
      </c>
    </row>
    <row r="239" customFormat="false" ht="12.75" hidden="false" customHeight="false" outlineLevel="0" collapsed="false">
      <c r="A239" s="355"/>
      <c r="E239" s="365" t="str">
        <f aca="false">IF((G239&lt;&gt;0),"Enter Letter"," ")</f>
        <v> </v>
      </c>
      <c r="J239" s="334" t="str">
        <f aca="false">IF((E239="s"),G239," ")</f>
        <v> </v>
      </c>
      <c r="K239" s="334" t="str">
        <f aca="false">IF((E239="d"),G239," ")</f>
        <v> </v>
      </c>
      <c r="L239" s="334" t="str">
        <f aca="false">IF((E239="e"),G239," ")</f>
        <v> </v>
      </c>
      <c r="M239" s="334" t="str">
        <f aca="false">IF((E239="p"),G239," ")</f>
        <v> </v>
      </c>
      <c r="N239" s="334" t="str">
        <f aca="false">IF((E239="r"),G239," ")</f>
        <v> </v>
      </c>
      <c r="O239" s="334" t="str">
        <f aca="false">IF((E239="g"),G239," ")</f>
        <v> </v>
      </c>
      <c r="P239" s="334" t="str">
        <f aca="false">IF((E239="m"),G239," ")</f>
        <v> </v>
      </c>
      <c r="Q239" s="334" t="str">
        <f aca="false">IF((E239="t"),G239," ")</f>
        <v> </v>
      </c>
      <c r="R239" s="334" t="str">
        <f aca="false">IF((E239="a"),G239," ")</f>
        <v> </v>
      </c>
      <c r="S239" s="334" t="str">
        <f aca="false">IF((E239="l"),G239," ")</f>
        <v> </v>
      </c>
      <c r="T239" s="334" t="str">
        <f aca="false">IF((E239="b"),G239," ")</f>
        <v> </v>
      </c>
      <c r="U239" s="334" t="str">
        <f aca="false">IF((E239="i"),G239," ")</f>
        <v> </v>
      </c>
      <c r="V239" s="334" t="str">
        <f aca="false">IF((E239="o"),G239," ")</f>
        <v> </v>
      </c>
      <c r="W239" s="334" t="str">
        <f aca="false">IF((E239="f"),G239," ")</f>
        <v> </v>
      </c>
    </row>
    <row r="240" customFormat="false" ht="12.75" hidden="false" customHeight="false" outlineLevel="0" collapsed="false">
      <c r="A240" s="355"/>
      <c r="E240" s="365" t="str">
        <f aca="false">IF((G240&lt;&gt;0),"Enter Letter"," ")</f>
        <v> </v>
      </c>
      <c r="J240" s="334" t="str">
        <f aca="false">IF((E240="s"),G240," ")</f>
        <v> </v>
      </c>
      <c r="K240" s="334" t="str">
        <f aca="false">IF((E240="d"),G240," ")</f>
        <v> </v>
      </c>
      <c r="L240" s="334" t="str">
        <f aca="false">IF((E240="e"),G240," ")</f>
        <v> </v>
      </c>
      <c r="M240" s="334" t="str">
        <f aca="false">IF((E240="p"),G240," ")</f>
        <v> </v>
      </c>
      <c r="N240" s="334" t="str">
        <f aca="false">IF((E240="r"),G240," ")</f>
        <v> </v>
      </c>
      <c r="O240" s="334" t="str">
        <f aca="false">IF((E240="g"),G240," ")</f>
        <v> </v>
      </c>
      <c r="P240" s="334" t="str">
        <f aca="false">IF((E240="m"),G240," ")</f>
        <v> </v>
      </c>
      <c r="Q240" s="334" t="str">
        <f aca="false">IF((E240="t"),G240," ")</f>
        <v> </v>
      </c>
      <c r="R240" s="334" t="str">
        <f aca="false">IF((E240="a"),G240," ")</f>
        <v> </v>
      </c>
      <c r="S240" s="334" t="str">
        <f aca="false">IF((E240="l"),G240," ")</f>
        <v> </v>
      </c>
      <c r="T240" s="334" t="str">
        <f aca="false">IF((E240="b"),G240," ")</f>
        <v> </v>
      </c>
      <c r="U240" s="334" t="str">
        <f aca="false">IF((E240="i"),G240," ")</f>
        <v> </v>
      </c>
      <c r="V240" s="334" t="str">
        <f aca="false">IF((E240="o"),G240," ")</f>
        <v> </v>
      </c>
      <c r="W240" s="334" t="str">
        <f aca="false">IF((E240="f"),G240," ")</f>
        <v> </v>
      </c>
    </row>
    <row r="241" customFormat="false" ht="12.75" hidden="false" customHeight="false" outlineLevel="0" collapsed="false">
      <c r="A241" s="355"/>
      <c r="E241" s="365" t="str">
        <f aca="false">IF((G241&lt;&gt;0),"Enter Letter"," ")</f>
        <v> </v>
      </c>
      <c r="J241" s="334" t="str">
        <f aca="false">IF((E241="s"),G241," ")</f>
        <v> </v>
      </c>
      <c r="K241" s="334" t="str">
        <f aca="false">IF((E241="d"),G241," ")</f>
        <v> </v>
      </c>
      <c r="L241" s="334" t="str">
        <f aca="false">IF((E241="e"),G241," ")</f>
        <v> </v>
      </c>
      <c r="M241" s="334" t="str">
        <f aca="false">IF((E241="p"),G241," ")</f>
        <v> </v>
      </c>
      <c r="N241" s="334" t="str">
        <f aca="false">IF((E241="r"),G241," ")</f>
        <v> </v>
      </c>
      <c r="O241" s="334" t="str">
        <f aca="false">IF((E241="g"),G241," ")</f>
        <v> </v>
      </c>
      <c r="P241" s="334" t="str">
        <f aca="false">IF((E241="m"),G241," ")</f>
        <v> </v>
      </c>
      <c r="Q241" s="334" t="str">
        <f aca="false">IF((E241="t"),G241," ")</f>
        <v> </v>
      </c>
      <c r="R241" s="334" t="str">
        <f aca="false">IF((E241="a"),G241," ")</f>
        <v> </v>
      </c>
      <c r="S241" s="334" t="str">
        <f aca="false">IF((E241="l"),G241," ")</f>
        <v> </v>
      </c>
      <c r="T241" s="334" t="str">
        <f aca="false">IF((E241="b"),G241," ")</f>
        <v> </v>
      </c>
      <c r="U241" s="334" t="str">
        <f aca="false">IF((E241="i"),G241," ")</f>
        <v> </v>
      </c>
      <c r="V241" s="334" t="str">
        <f aca="false">IF((E241="o"),G241," ")</f>
        <v> </v>
      </c>
      <c r="W241" s="334" t="str">
        <f aca="false">IF((E241="f"),G241," ")</f>
        <v> </v>
      </c>
    </row>
    <row r="242" customFormat="false" ht="12.75" hidden="false" customHeight="false" outlineLevel="0" collapsed="false">
      <c r="A242" s="355"/>
      <c r="E242" s="365" t="str">
        <f aca="false">IF((G242&lt;&gt;0),"Enter Letter"," ")</f>
        <v> </v>
      </c>
      <c r="J242" s="334" t="str">
        <f aca="false">IF((E242="s"),G242," ")</f>
        <v> </v>
      </c>
      <c r="K242" s="334" t="str">
        <f aca="false">IF((E242="d"),G242," ")</f>
        <v> </v>
      </c>
      <c r="L242" s="334" t="str">
        <f aca="false">IF((E242="e"),G242," ")</f>
        <v> </v>
      </c>
      <c r="M242" s="334" t="str">
        <f aca="false">IF((E242="p"),G242," ")</f>
        <v> </v>
      </c>
      <c r="N242" s="334" t="str">
        <f aca="false">IF((E242="r"),G242," ")</f>
        <v> </v>
      </c>
      <c r="O242" s="334" t="str">
        <f aca="false">IF((E242="g"),G242," ")</f>
        <v> </v>
      </c>
      <c r="P242" s="334" t="str">
        <f aca="false">IF((E242="m"),G242," ")</f>
        <v> </v>
      </c>
      <c r="Q242" s="334" t="str">
        <f aca="false">IF((E242="t"),G242," ")</f>
        <v> </v>
      </c>
      <c r="R242" s="334" t="str">
        <f aca="false">IF((E242="a"),G242," ")</f>
        <v> </v>
      </c>
      <c r="S242" s="334" t="str">
        <f aca="false">IF((E242="l"),G242," ")</f>
        <v> </v>
      </c>
      <c r="T242" s="334" t="str">
        <f aca="false">IF((E242="b"),G242," ")</f>
        <v> </v>
      </c>
      <c r="U242" s="334" t="str">
        <f aca="false">IF((E242="i"),G242," ")</f>
        <v> </v>
      </c>
      <c r="V242" s="334" t="str">
        <f aca="false">IF((E242="o"),G242," ")</f>
        <v> </v>
      </c>
      <c r="W242" s="334" t="str">
        <f aca="false">IF((E242="f"),G242," ")</f>
        <v> </v>
      </c>
    </row>
    <row r="243" customFormat="false" ht="12.75" hidden="false" customHeight="false" outlineLevel="0" collapsed="false">
      <c r="A243" s="355"/>
      <c r="E243" s="365" t="str">
        <f aca="false">IF((G243&lt;&gt;0),"Enter Letter"," ")</f>
        <v> </v>
      </c>
      <c r="J243" s="334" t="str">
        <f aca="false">IF((E243="s"),G243," ")</f>
        <v> </v>
      </c>
      <c r="K243" s="334" t="str">
        <f aca="false">IF((E243="d"),G243," ")</f>
        <v> </v>
      </c>
      <c r="L243" s="334" t="str">
        <f aca="false">IF((E243="e"),G243," ")</f>
        <v> </v>
      </c>
      <c r="M243" s="334" t="str">
        <f aca="false">IF((E243="p"),G243," ")</f>
        <v> </v>
      </c>
      <c r="N243" s="334" t="str">
        <f aca="false">IF((E243="r"),G243," ")</f>
        <v> </v>
      </c>
      <c r="O243" s="334" t="str">
        <f aca="false">IF((E243="g"),G243," ")</f>
        <v> </v>
      </c>
      <c r="P243" s="334" t="str">
        <f aca="false">IF((E243="m"),G243," ")</f>
        <v> </v>
      </c>
      <c r="Q243" s="334" t="str">
        <f aca="false">IF((E243="t"),G243," ")</f>
        <v> </v>
      </c>
      <c r="R243" s="334" t="str">
        <f aca="false">IF((E243="a"),G243," ")</f>
        <v> </v>
      </c>
      <c r="S243" s="334" t="str">
        <f aca="false">IF((E243="l"),G243," ")</f>
        <v> </v>
      </c>
      <c r="T243" s="334" t="str">
        <f aca="false">IF((E243="b"),G243," ")</f>
        <v> </v>
      </c>
      <c r="U243" s="334" t="str">
        <f aca="false">IF((E243="i"),G243," ")</f>
        <v> </v>
      </c>
      <c r="V243" s="334" t="str">
        <f aca="false">IF((E243="o"),G243," ")</f>
        <v> </v>
      </c>
      <c r="W243" s="334" t="str">
        <f aca="false">IF((E243="f"),G243," ")</f>
        <v> </v>
      </c>
    </row>
    <row r="244" customFormat="false" ht="12.75" hidden="false" customHeight="false" outlineLevel="0" collapsed="false">
      <c r="A244" s="355"/>
      <c r="E244" s="365" t="str">
        <f aca="false">IF((G244&lt;&gt;0),"Enter Letter"," ")</f>
        <v> </v>
      </c>
      <c r="J244" s="334" t="str">
        <f aca="false">IF((E244="s"),G244," ")</f>
        <v> </v>
      </c>
      <c r="K244" s="334" t="str">
        <f aca="false">IF((E244="d"),G244," ")</f>
        <v> </v>
      </c>
      <c r="L244" s="334" t="str">
        <f aca="false">IF((E244="e"),G244," ")</f>
        <v> </v>
      </c>
      <c r="M244" s="334" t="str">
        <f aca="false">IF((E244="p"),G244," ")</f>
        <v> </v>
      </c>
      <c r="N244" s="334" t="str">
        <f aca="false">IF((E244="r"),G244," ")</f>
        <v> </v>
      </c>
      <c r="O244" s="334" t="str">
        <f aca="false">IF((E244="g"),G244," ")</f>
        <v> </v>
      </c>
      <c r="P244" s="334" t="str">
        <f aca="false">IF((E244="m"),G244," ")</f>
        <v> </v>
      </c>
      <c r="Q244" s="334" t="str">
        <f aca="false">IF((E244="t"),G244," ")</f>
        <v> </v>
      </c>
      <c r="R244" s="334" t="str">
        <f aca="false">IF((E244="a"),G244," ")</f>
        <v> </v>
      </c>
      <c r="S244" s="334" t="str">
        <f aca="false">IF((E244="l"),G244," ")</f>
        <v> </v>
      </c>
      <c r="T244" s="334" t="str">
        <f aca="false">IF((E244="b"),G244," ")</f>
        <v> </v>
      </c>
      <c r="U244" s="334" t="str">
        <f aca="false">IF((E244="i"),G244," ")</f>
        <v> </v>
      </c>
      <c r="V244" s="334" t="str">
        <f aca="false">IF((E244="o"),G244," ")</f>
        <v> </v>
      </c>
      <c r="W244" s="334" t="str">
        <f aca="false">IF((E244="f"),G244," ")</f>
        <v> </v>
      </c>
    </row>
    <row r="245" customFormat="false" ht="12.75" hidden="false" customHeight="false" outlineLevel="0" collapsed="false">
      <c r="A245" s="355"/>
      <c r="E245" s="365" t="str">
        <f aca="false">IF((G245&lt;&gt;0),"Enter Letter"," ")</f>
        <v> </v>
      </c>
      <c r="J245" s="334" t="str">
        <f aca="false">IF((E245="s"),G245," ")</f>
        <v> </v>
      </c>
      <c r="K245" s="334" t="str">
        <f aca="false">IF((E245="d"),G245," ")</f>
        <v> </v>
      </c>
      <c r="L245" s="334" t="str">
        <f aca="false">IF((E245="e"),G245," ")</f>
        <v> </v>
      </c>
      <c r="M245" s="334" t="str">
        <f aca="false">IF((E245="p"),G245," ")</f>
        <v> </v>
      </c>
      <c r="N245" s="334" t="str">
        <f aca="false">IF((E245="r"),G245," ")</f>
        <v> </v>
      </c>
      <c r="O245" s="334" t="str">
        <f aca="false">IF((E245="g"),G245," ")</f>
        <v> </v>
      </c>
      <c r="P245" s="334" t="str">
        <f aca="false">IF((E245="m"),G245," ")</f>
        <v> </v>
      </c>
      <c r="Q245" s="334" t="str">
        <f aca="false">IF((E245="t"),G245," ")</f>
        <v> </v>
      </c>
      <c r="R245" s="334" t="str">
        <f aca="false">IF((E245="a"),G245," ")</f>
        <v> </v>
      </c>
      <c r="S245" s="334" t="str">
        <f aca="false">IF((E245="l"),G245," ")</f>
        <v> </v>
      </c>
      <c r="T245" s="334" t="str">
        <f aca="false">IF((E245="b"),G245," ")</f>
        <v> </v>
      </c>
      <c r="U245" s="334" t="str">
        <f aca="false">IF((E245="i"),G245," ")</f>
        <v> </v>
      </c>
      <c r="V245" s="334" t="str">
        <f aca="false">IF((E245="o"),G245," ")</f>
        <v> </v>
      </c>
      <c r="W245" s="334" t="str">
        <f aca="false">IF((E245="f"),G245," ")</f>
        <v> </v>
      </c>
    </row>
    <row r="246" customFormat="false" ht="12.75" hidden="false" customHeight="false" outlineLevel="0" collapsed="false">
      <c r="A246" s="355"/>
      <c r="E246" s="365" t="str">
        <f aca="false">IF((G246&lt;&gt;0),"Enter Letter"," ")</f>
        <v> </v>
      </c>
      <c r="J246" s="334" t="str">
        <f aca="false">IF((E246="s"),G246," ")</f>
        <v> </v>
      </c>
      <c r="K246" s="334" t="str">
        <f aca="false">IF((E246="d"),G246," ")</f>
        <v> </v>
      </c>
      <c r="L246" s="334" t="str">
        <f aca="false">IF((E246="e"),G246," ")</f>
        <v> </v>
      </c>
      <c r="M246" s="334" t="str">
        <f aca="false">IF((E246="p"),G246," ")</f>
        <v> </v>
      </c>
      <c r="N246" s="334" t="str">
        <f aca="false">IF((E246="r"),G246," ")</f>
        <v> </v>
      </c>
      <c r="O246" s="334" t="str">
        <f aca="false">IF((E246="g"),G246," ")</f>
        <v> </v>
      </c>
      <c r="P246" s="334" t="str">
        <f aca="false">IF((E246="m"),G246," ")</f>
        <v> </v>
      </c>
      <c r="Q246" s="334" t="str">
        <f aca="false">IF((E246="t"),G246," ")</f>
        <v> </v>
      </c>
      <c r="R246" s="334" t="str">
        <f aca="false">IF((E246="a"),G246," ")</f>
        <v> </v>
      </c>
      <c r="S246" s="334" t="str">
        <f aca="false">IF((E246="l"),G246," ")</f>
        <v> </v>
      </c>
      <c r="T246" s="334" t="str">
        <f aca="false">IF((E246="b"),G246," ")</f>
        <v> </v>
      </c>
      <c r="U246" s="334" t="str">
        <f aca="false">IF((E246="i"),G246," ")</f>
        <v> </v>
      </c>
      <c r="V246" s="334" t="str">
        <f aca="false">IF((E246="o"),G246," ")</f>
        <v> </v>
      </c>
      <c r="W246" s="334" t="str">
        <f aca="false">IF((E246="f"),G246," ")</f>
        <v> </v>
      </c>
    </row>
    <row r="247" customFormat="false" ht="12.75" hidden="false" customHeight="false" outlineLevel="0" collapsed="false">
      <c r="A247" s="355"/>
      <c r="E247" s="365" t="str">
        <f aca="false">IF((G247&lt;&gt;0),"Enter Letter"," ")</f>
        <v> </v>
      </c>
      <c r="J247" s="334" t="str">
        <f aca="false">IF((E247="s"),G247," ")</f>
        <v> </v>
      </c>
      <c r="K247" s="334" t="str">
        <f aca="false">IF((E247="d"),G247," ")</f>
        <v> </v>
      </c>
      <c r="L247" s="334" t="str">
        <f aca="false">IF((E247="e"),G247," ")</f>
        <v> </v>
      </c>
      <c r="M247" s="334" t="str">
        <f aca="false">IF((E247="p"),G247," ")</f>
        <v> </v>
      </c>
      <c r="N247" s="334" t="str">
        <f aca="false">IF((E247="r"),G247," ")</f>
        <v> </v>
      </c>
      <c r="O247" s="334" t="str">
        <f aca="false">IF((E247="g"),G247," ")</f>
        <v> </v>
      </c>
      <c r="P247" s="334" t="str">
        <f aca="false">IF((E247="m"),G247," ")</f>
        <v> </v>
      </c>
      <c r="Q247" s="334" t="str">
        <f aca="false">IF((E247="t"),G247," ")</f>
        <v> </v>
      </c>
      <c r="R247" s="334" t="str">
        <f aca="false">IF((E247="a"),G247," ")</f>
        <v> </v>
      </c>
      <c r="S247" s="334" t="str">
        <f aca="false">IF((E247="l"),G247," ")</f>
        <v> </v>
      </c>
      <c r="T247" s="334" t="str">
        <f aca="false">IF((E247="b"),G247," ")</f>
        <v> </v>
      </c>
      <c r="U247" s="334" t="str">
        <f aca="false">IF((E247="i"),G247," ")</f>
        <v> </v>
      </c>
      <c r="V247" s="334" t="str">
        <f aca="false">IF((E247="o"),G247," ")</f>
        <v> </v>
      </c>
      <c r="W247" s="334" t="str">
        <f aca="false">IF((E247="f"),G247," ")</f>
        <v> </v>
      </c>
    </row>
    <row r="248" customFormat="false" ht="12.75" hidden="false" customHeight="false" outlineLevel="0" collapsed="false">
      <c r="A248" s="355"/>
      <c r="E248" s="365" t="str">
        <f aca="false">IF((G248&lt;&gt;0),"Enter Letter"," ")</f>
        <v> </v>
      </c>
      <c r="J248" s="334" t="str">
        <f aca="false">IF((E248="s"),G248," ")</f>
        <v> </v>
      </c>
      <c r="K248" s="334" t="str">
        <f aca="false">IF((E248="d"),G248," ")</f>
        <v> </v>
      </c>
      <c r="L248" s="334" t="str">
        <f aca="false">IF((E248="e"),G248," ")</f>
        <v> </v>
      </c>
      <c r="M248" s="334" t="str">
        <f aca="false">IF((E248="p"),G248," ")</f>
        <v> </v>
      </c>
      <c r="N248" s="334" t="str">
        <f aca="false">IF((E248="r"),G248," ")</f>
        <v> </v>
      </c>
      <c r="O248" s="334" t="str">
        <f aca="false">IF((E248="g"),G248," ")</f>
        <v> </v>
      </c>
      <c r="P248" s="334" t="str">
        <f aca="false">IF((E248="m"),G248," ")</f>
        <v> </v>
      </c>
      <c r="Q248" s="334" t="str">
        <f aca="false">IF((E248="t"),G248," ")</f>
        <v> </v>
      </c>
      <c r="R248" s="334" t="str">
        <f aca="false">IF((E248="a"),G248," ")</f>
        <v> </v>
      </c>
      <c r="S248" s="334" t="str">
        <f aca="false">IF((E248="l"),G248," ")</f>
        <v> </v>
      </c>
      <c r="T248" s="334" t="str">
        <f aca="false">IF((E248="b"),G248," ")</f>
        <v> </v>
      </c>
      <c r="U248" s="334" t="str">
        <f aca="false">IF((E248="i"),G248," ")</f>
        <v> </v>
      </c>
      <c r="V248" s="334" t="str">
        <f aca="false">IF((E248="o"),G248," ")</f>
        <v> </v>
      </c>
      <c r="W248" s="334" t="str">
        <f aca="false">IF((E248="f"),G248," ")</f>
        <v> </v>
      </c>
    </row>
    <row r="249" customFormat="false" ht="12.75" hidden="false" customHeight="false" outlineLevel="0" collapsed="false">
      <c r="A249" s="355"/>
      <c r="E249" s="365" t="str">
        <f aca="false">IF((G249&lt;&gt;0),"Enter Letter"," ")</f>
        <v> </v>
      </c>
      <c r="J249" s="334" t="str">
        <f aca="false">IF((E249="s"),G249," ")</f>
        <v> </v>
      </c>
      <c r="K249" s="334" t="str">
        <f aca="false">IF((E249="d"),G249," ")</f>
        <v> </v>
      </c>
      <c r="L249" s="334" t="str">
        <f aca="false">IF((E249="e"),G249," ")</f>
        <v> </v>
      </c>
      <c r="M249" s="334" t="str">
        <f aca="false">IF((E249="p"),G249," ")</f>
        <v> </v>
      </c>
      <c r="N249" s="334" t="str">
        <f aca="false">IF((E249="r"),G249," ")</f>
        <v> </v>
      </c>
      <c r="O249" s="334" t="str">
        <f aca="false">IF((E249="g"),G249," ")</f>
        <v> </v>
      </c>
      <c r="P249" s="334" t="str">
        <f aca="false">IF((E249="m"),G249," ")</f>
        <v> </v>
      </c>
      <c r="Q249" s="334" t="str">
        <f aca="false">IF((E249="t"),G249," ")</f>
        <v> </v>
      </c>
      <c r="R249" s="334" t="str">
        <f aca="false">IF((E249="a"),G249," ")</f>
        <v> </v>
      </c>
      <c r="S249" s="334" t="str">
        <f aca="false">IF((E249="l"),G249," ")</f>
        <v> </v>
      </c>
      <c r="T249" s="334" t="str">
        <f aca="false">IF((E249="b"),G249," ")</f>
        <v> </v>
      </c>
      <c r="U249" s="334" t="str">
        <f aca="false">IF((E249="i"),G249," ")</f>
        <v> </v>
      </c>
      <c r="V249" s="334" t="str">
        <f aca="false">IF((E249="o"),G249," ")</f>
        <v> </v>
      </c>
      <c r="W249" s="334" t="str">
        <f aca="false">IF((E249="f"),G249," ")</f>
        <v> </v>
      </c>
    </row>
    <row r="250" customFormat="false" ht="12.75" hidden="false" customHeight="false" outlineLevel="0" collapsed="false">
      <c r="A250" s="355"/>
      <c r="E250" s="365" t="str">
        <f aca="false">IF((G250&lt;&gt;0),"Enter Letter"," ")</f>
        <v> </v>
      </c>
      <c r="J250" s="334" t="str">
        <f aca="false">IF((E250="s"),G250," ")</f>
        <v> </v>
      </c>
      <c r="K250" s="334" t="str">
        <f aca="false">IF((E250="d"),G250," ")</f>
        <v> </v>
      </c>
      <c r="L250" s="334" t="str">
        <f aca="false">IF((E250="e"),G250," ")</f>
        <v> </v>
      </c>
      <c r="M250" s="334" t="str">
        <f aca="false">IF((E250="p"),G250," ")</f>
        <v> </v>
      </c>
      <c r="N250" s="334" t="str">
        <f aca="false">IF((E250="r"),G250," ")</f>
        <v> </v>
      </c>
      <c r="O250" s="334" t="str">
        <f aca="false">IF((E250="g"),G250," ")</f>
        <v> </v>
      </c>
      <c r="P250" s="334" t="str">
        <f aca="false">IF((E250="m"),G250," ")</f>
        <v> </v>
      </c>
      <c r="Q250" s="334" t="str">
        <f aca="false">IF((E250="t"),G250," ")</f>
        <v> </v>
      </c>
      <c r="R250" s="334" t="str">
        <f aca="false">IF((E250="a"),G250," ")</f>
        <v> </v>
      </c>
      <c r="S250" s="334" t="str">
        <f aca="false">IF((E250="l"),G250," ")</f>
        <v> </v>
      </c>
      <c r="T250" s="334" t="str">
        <f aca="false">IF((E250="b"),G250," ")</f>
        <v> </v>
      </c>
      <c r="U250" s="334" t="str">
        <f aca="false">IF((E250="i"),G250," ")</f>
        <v> </v>
      </c>
      <c r="V250" s="334" t="str">
        <f aca="false">IF((E250="o"),G250," ")</f>
        <v> </v>
      </c>
      <c r="W250" s="334" t="str">
        <f aca="false">IF((E250="f"),G250," ")</f>
        <v> </v>
      </c>
    </row>
    <row r="251" customFormat="false" ht="12.75" hidden="false" customHeight="false" outlineLevel="0" collapsed="false">
      <c r="A251" s="355"/>
      <c r="E251" s="365" t="str">
        <f aca="false">IF((G251&lt;&gt;0),"Enter Letter"," ")</f>
        <v> </v>
      </c>
      <c r="J251" s="334" t="str">
        <f aca="false">IF((E251="s"),G251," ")</f>
        <v> </v>
      </c>
      <c r="K251" s="334" t="str">
        <f aca="false">IF((E251="d"),G251," ")</f>
        <v> </v>
      </c>
      <c r="L251" s="334" t="str">
        <f aca="false">IF((E251="e"),G251," ")</f>
        <v> </v>
      </c>
      <c r="M251" s="334" t="str">
        <f aca="false">IF((E251="p"),G251," ")</f>
        <v> </v>
      </c>
      <c r="N251" s="334" t="str">
        <f aca="false">IF((E251="r"),G251," ")</f>
        <v> </v>
      </c>
      <c r="O251" s="334" t="str">
        <f aca="false">IF((E251="g"),G251," ")</f>
        <v> </v>
      </c>
      <c r="P251" s="334" t="str">
        <f aca="false">IF((E251="m"),G251," ")</f>
        <v> </v>
      </c>
      <c r="Q251" s="334" t="str">
        <f aca="false">IF((E251="t"),G251," ")</f>
        <v> </v>
      </c>
      <c r="R251" s="334" t="str">
        <f aca="false">IF((E251="a"),G251," ")</f>
        <v> </v>
      </c>
      <c r="S251" s="334" t="str">
        <f aca="false">IF((E251="l"),G251," ")</f>
        <v> </v>
      </c>
      <c r="T251" s="334" t="str">
        <f aca="false">IF((E251="b"),G251," ")</f>
        <v> </v>
      </c>
      <c r="U251" s="334" t="str">
        <f aca="false">IF((E251="i"),G251," ")</f>
        <v> </v>
      </c>
      <c r="V251" s="334" t="str">
        <f aca="false">IF((E251="o"),G251," ")</f>
        <v> </v>
      </c>
      <c r="W251" s="334" t="str">
        <f aca="false">IF((E251="f"),G251," ")</f>
        <v> </v>
      </c>
    </row>
    <row r="252" customFormat="false" ht="12.75" hidden="false" customHeight="false" outlineLevel="0" collapsed="false">
      <c r="A252" s="355"/>
      <c r="E252" s="365" t="str">
        <f aca="false">IF((G252&lt;&gt;0),"Enter Letter"," ")</f>
        <v> </v>
      </c>
      <c r="J252" s="334" t="str">
        <f aca="false">IF((E252="s"),G252," ")</f>
        <v> </v>
      </c>
      <c r="K252" s="334" t="str">
        <f aca="false">IF((E252="d"),G252," ")</f>
        <v> </v>
      </c>
      <c r="L252" s="334" t="str">
        <f aca="false">IF((E252="e"),G252," ")</f>
        <v> </v>
      </c>
      <c r="M252" s="334" t="str">
        <f aca="false">IF((E252="p"),G252," ")</f>
        <v> </v>
      </c>
      <c r="N252" s="334" t="str">
        <f aca="false">IF((E252="r"),G252," ")</f>
        <v> </v>
      </c>
      <c r="O252" s="334" t="str">
        <f aca="false">IF((E252="g"),G252," ")</f>
        <v> </v>
      </c>
      <c r="P252" s="334" t="str">
        <f aca="false">IF((E252="m"),G252," ")</f>
        <v> </v>
      </c>
      <c r="Q252" s="334" t="str">
        <f aca="false">IF((E252="t"),G252," ")</f>
        <v> </v>
      </c>
      <c r="R252" s="334" t="str">
        <f aca="false">IF((E252="a"),G252," ")</f>
        <v> </v>
      </c>
      <c r="S252" s="334" t="str">
        <f aca="false">IF((E252="l"),G252," ")</f>
        <v> </v>
      </c>
      <c r="T252" s="334" t="str">
        <f aca="false">IF((E252="b"),G252," ")</f>
        <v> </v>
      </c>
      <c r="U252" s="334" t="str">
        <f aca="false">IF((E252="i"),G252," ")</f>
        <v> </v>
      </c>
      <c r="V252" s="334" t="str">
        <f aca="false">IF((E252="o"),G252," ")</f>
        <v> </v>
      </c>
      <c r="W252" s="334" t="str">
        <f aca="false">IF((E252="f"),G252," ")</f>
        <v> </v>
      </c>
    </row>
    <row r="253" customFormat="false" ht="12.75" hidden="false" customHeight="false" outlineLevel="0" collapsed="false">
      <c r="A253" s="355"/>
      <c r="E253" s="365" t="str">
        <f aca="false">IF((G253&lt;&gt;0),"Enter Letter"," ")</f>
        <v> </v>
      </c>
      <c r="J253" s="334" t="str">
        <f aca="false">IF((E253="s"),G253," ")</f>
        <v> </v>
      </c>
      <c r="K253" s="334" t="str">
        <f aca="false">IF((E253="d"),G253," ")</f>
        <v> </v>
      </c>
      <c r="L253" s="334" t="str">
        <f aca="false">IF((E253="e"),G253," ")</f>
        <v> </v>
      </c>
      <c r="M253" s="334" t="str">
        <f aca="false">IF((E253="p"),G253," ")</f>
        <v> </v>
      </c>
      <c r="N253" s="334" t="str">
        <f aca="false">IF((E253="r"),G253," ")</f>
        <v> </v>
      </c>
      <c r="O253" s="334" t="str">
        <f aca="false">IF((E253="g"),G253," ")</f>
        <v> </v>
      </c>
      <c r="P253" s="334" t="str">
        <f aca="false">IF((E253="m"),G253," ")</f>
        <v> </v>
      </c>
      <c r="Q253" s="334" t="str">
        <f aca="false">IF((E253="t"),G253," ")</f>
        <v> </v>
      </c>
      <c r="R253" s="334" t="str">
        <f aca="false">IF((E253="a"),G253," ")</f>
        <v> </v>
      </c>
      <c r="S253" s="334" t="str">
        <f aca="false">IF((E253="l"),G253," ")</f>
        <v> </v>
      </c>
      <c r="T253" s="334" t="str">
        <f aca="false">IF((E253="b"),G253," ")</f>
        <v> </v>
      </c>
      <c r="U253" s="334" t="str">
        <f aca="false">IF((E253="i"),G253," ")</f>
        <v> </v>
      </c>
      <c r="V253" s="334" t="str">
        <f aca="false">IF((E253="o"),G253," ")</f>
        <v> </v>
      </c>
      <c r="W253" s="334" t="str">
        <f aca="false">IF((E253="f"),G253," ")</f>
        <v> </v>
      </c>
    </row>
    <row r="254" customFormat="false" ht="12.75" hidden="false" customHeight="false" outlineLevel="0" collapsed="false">
      <c r="A254" s="355"/>
      <c r="E254" s="365" t="str">
        <f aca="false">IF((G254&lt;&gt;0),"Enter Letter"," ")</f>
        <v> </v>
      </c>
      <c r="J254" s="334" t="str">
        <f aca="false">IF((E254="s"),G254," ")</f>
        <v> </v>
      </c>
      <c r="K254" s="334" t="str">
        <f aca="false">IF((E254="d"),G254," ")</f>
        <v> </v>
      </c>
      <c r="L254" s="334" t="str">
        <f aca="false">IF((E254="e"),G254," ")</f>
        <v> </v>
      </c>
      <c r="M254" s="334" t="str">
        <f aca="false">IF((E254="p"),G254," ")</f>
        <v> </v>
      </c>
      <c r="N254" s="334" t="str">
        <f aca="false">IF((E254="r"),G254," ")</f>
        <v> </v>
      </c>
      <c r="O254" s="334" t="str">
        <f aca="false">IF((E254="g"),G254," ")</f>
        <v> </v>
      </c>
      <c r="P254" s="334" t="str">
        <f aca="false">IF((E254="m"),G254," ")</f>
        <v> </v>
      </c>
      <c r="Q254" s="334" t="str">
        <f aca="false">IF((E254="t"),G254," ")</f>
        <v> </v>
      </c>
      <c r="R254" s="334" t="str">
        <f aca="false">IF((E254="a"),G254," ")</f>
        <v> </v>
      </c>
      <c r="S254" s="334" t="str">
        <f aca="false">IF((E254="l"),G254," ")</f>
        <v> </v>
      </c>
      <c r="T254" s="334" t="str">
        <f aca="false">IF((E254="b"),G254," ")</f>
        <v> </v>
      </c>
      <c r="U254" s="334" t="str">
        <f aca="false">IF((E254="i"),G254," ")</f>
        <v> </v>
      </c>
      <c r="V254" s="334" t="str">
        <f aca="false">IF((E254="o"),G254," ")</f>
        <v> </v>
      </c>
      <c r="W254" s="334" t="str">
        <f aca="false">IF((E254="f"),G254," ")</f>
        <v> </v>
      </c>
    </row>
    <row r="255" customFormat="false" ht="12.75" hidden="false" customHeight="false" outlineLevel="0" collapsed="false">
      <c r="A255" s="355"/>
      <c r="E255" s="365" t="str">
        <f aca="false">IF((G255&lt;&gt;0),"Enter Letter"," ")</f>
        <v> </v>
      </c>
      <c r="J255" s="334" t="str">
        <f aca="false">IF((E255="s"),G255," ")</f>
        <v> </v>
      </c>
      <c r="K255" s="334" t="str">
        <f aca="false">IF((E255="d"),G255," ")</f>
        <v> </v>
      </c>
      <c r="L255" s="334" t="str">
        <f aca="false">IF((E255="e"),G255," ")</f>
        <v> </v>
      </c>
      <c r="M255" s="334" t="str">
        <f aca="false">IF((E255="p"),G255," ")</f>
        <v> </v>
      </c>
      <c r="N255" s="334" t="str">
        <f aca="false">IF((E255="r"),G255," ")</f>
        <v> </v>
      </c>
      <c r="O255" s="334" t="str">
        <f aca="false">IF((E255="g"),G255," ")</f>
        <v> </v>
      </c>
      <c r="P255" s="334" t="str">
        <f aca="false">IF((E255="m"),G255," ")</f>
        <v> </v>
      </c>
      <c r="Q255" s="334" t="str">
        <f aca="false">IF((E255="t"),G255," ")</f>
        <v> </v>
      </c>
      <c r="R255" s="334" t="str">
        <f aca="false">IF((E255="a"),G255," ")</f>
        <v> </v>
      </c>
      <c r="S255" s="334" t="str">
        <f aca="false">IF((E255="l"),G255," ")</f>
        <v> </v>
      </c>
      <c r="T255" s="334" t="str">
        <f aca="false">IF((E255="b"),G255," ")</f>
        <v> </v>
      </c>
      <c r="U255" s="334" t="str">
        <f aca="false">IF((E255="i"),G255," ")</f>
        <v> </v>
      </c>
      <c r="V255" s="334" t="str">
        <f aca="false">IF((E255="o"),G255," ")</f>
        <v> </v>
      </c>
      <c r="W255" s="334" t="str">
        <f aca="false">IF((E255="f"),G255," ")</f>
        <v> </v>
      </c>
    </row>
    <row r="256" customFormat="false" ht="12.75" hidden="false" customHeight="false" outlineLevel="0" collapsed="false">
      <c r="A256" s="355"/>
      <c r="E256" s="365" t="str">
        <f aca="false">IF((G256&lt;&gt;0),"Enter Letter"," ")</f>
        <v> </v>
      </c>
      <c r="J256" s="334" t="str">
        <f aca="false">IF((E256="s"),G256," ")</f>
        <v> </v>
      </c>
      <c r="K256" s="334" t="str">
        <f aca="false">IF((E256="d"),G256," ")</f>
        <v> </v>
      </c>
      <c r="L256" s="334" t="str">
        <f aca="false">IF((E256="e"),G256," ")</f>
        <v> </v>
      </c>
      <c r="M256" s="334" t="str">
        <f aca="false">IF((E256="p"),G256," ")</f>
        <v> </v>
      </c>
      <c r="N256" s="334" t="str">
        <f aca="false">IF((E256="r"),G256," ")</f>
        <v> </v>
      </c>
      <c r="O256" s="334" t="str">
        <f aca="false">IF((E256="g"),G256," ")</f>
        <v> </v>
      </c>
      <c r="P256" s="334" t="str">
        <f aca="false">IF((E256="m"),G256," ")</f>
        <v> </v>
      </c>
      <c r="Q256" s="334" t="str">
        <f aca="false">IF((E256="t"),G256," ")</f>
        <v> </v>
      </c>
      <c r="R256" s="334" t="str">
        <f aca="false">IF((E256="a"),G256," ")</f>
        <v> </v>
      </c>
      <c r="S256" s="334" t="str">
        <f aca="false">IF((E256="l"),G256," ")</f>
        <v> </v>
      </c>
      <c r="T256" s="334" t="str">
        <f aca="false">IF((E256="b"),G256," ")</f>
        <v> </v>
      </c>
      <c r="U256" s="334" t="str">
        <f aca="false">IF((E256="i"),G256," ")</f>
        <v> </v>
      </c>
      <c r="V256" s="334" t="str">
        <f aca="false">IF((E256="o"),G256," ")</f>
        <v> </v>
      </c>
      <c r="W256" s="334" t="str">
        <f aca="false">IF((E256="f"),G256," ")</f>
        <v> </v>
      </c>
    </row>
    <row r="257" customFormat="false" ht="12.75" hidden="false" customHeight="false" outlineLevel="0" collapsed="false">
      <c r="A257" s="355"/>
      <c r="E257" s="365" t="str">
        <f aca="false">IF((G257&lt;&gt;0),"Enter Letter"," ")</f>
        <v> </v>
      </c>
      <c r="J257" s="334" t="str">
        <f aca="false">IF((E257="s"),G257," ")</f>
        <v> </v>
      </c>
      <c r="K257" s="334" t="str">
        <f aca="false">IF((E257="d"),G257," ")</f>
        <v> </v>
      </c>
      <c r="L257" s="334" t="str">
        <f aca="false">IF((E257="e"),G257," ")</f>
        <v> </v>
      </c>
      <c r="M257" s="334" t="str">
        <f aca="false">IF((E257="p"),G257," ")</f>
        <v> </v>
      </c>
      <c r="N257" s="334" t="str">
        <f aca="false">IF((E257="r"),G257," ")</f>
        <v> </v>
      </c>
      <c r="O257" s="334" t="str">
        <f aca="false">IF((E257="g"),G257," ")</f>
        <v> </v>
      </c>
      <c r="P257" s="334" t="str">
        <f aca="false">IF((E257="m"),G257," ")</f>
        <v> </v>
      </c>
      <c r="Q257" s="334" t="str">
        <f aca="false">IF((E257="t"),G257," ")</f>
        <v> </v>
      </c>
      <c r="R257" s="334" t="str">
        <f aca="false">IF((E257="a"),G257," ")</f>
        <v> </v>
      </c>
      <c r="S257" s="334" t="str">
        <f aca="false">IF((E257="l"),G257," ")</f>
        <v> </v>
      </c>
      <c r="T257" s="334" t="str">
        <f aca="false">IF((E257="b"),G257," ")</f>
        <v> </v>
      </c>
      <c r="U257" s="334" t="str">
        <f aca="false">IF((E257="i"),G257," ")</f>
        <v> </v>
      </c>
      <c r="V257" s="334" t="str">
        <f aca="false">IF((E257="o"),G257," ")</f>
        <v> </v>
      </c>
      <c r="W257" s="334" t="str">
        <f aca="false">IF((E257="f"),G257," ")</f>
        <v> </v>
      </c>
    </row>
    <row r="258" customFormat="false" ht="12.75" hidden="false" customHeight="false" outlineLevel="0" collapsed="false">
      <c r="A258" s="355"/>
      <c r="E258" s="365" t="str">
        <f aca="false">IF((G258&lt;&gt;0),"Enter Letter"," ")</f>
        <v> </v>
      </c>
      <c r="J258" s="334" t="str">
        <f aca="false">IF((E258="s"),G258," ")</f>
        <v> </v>
      </c>
      <c r="K258" s="334" t="str">
        <f aca="false">IF((E258="d"),G258," ")</f>
        <v> </v>
      </c>
      <c r="L258" s="334" t="str">
        <f aca="false">IF((E258="e"),G258," ")</f>
        <v> </v>
      </c>
      <c r="M258" s="334" t="str">
        <f aca="false">IF((E258="p"),G258," ")</f>
        <v> </v>
      </c>
      <c r="N258" s="334" t="str">
        <f aca="false">IF((E258="r"),G258," ")</f>
        <v> </v>
      </c>
      <c r="O258" s="334" t="str">
        <f aca="false">IF((E258="g"),G258," ")</f>
        <v> </v>
      </c>
      <c r="P258" s="334" t="str">
        <f aca="false">IF((E258="m"),G258," ")</f>
        <v> </v>
      </c>
      <c r="Q258" s="334" t="str">
        <f aca="false">IF((E258="t"),G258," ")</f>
        <v> </v>
      </c>
      <c r="R258" s="334" t="str">
        <f aca="false">IF((E258="a"),G258," ")</f>
        <v> </v>
      </c>
      <c r="S258" s="334" t="str">
        <f aca="false">IF((E258="l"),G258," ")</f>
        <v> </v>
      </c>
      <c r="T258" s="334" t="str">
        <f aca="false">IF((E258="b"),G258," ")</f>
        <v> </v>
      </c>
      <c r="U258" s="334" t="str">
        <f aca="false">IF((E258="i"),G258," ")</f>
        <v> </v>
      </c>
      <c r="V258" s="334" t="str">
        <f aca="false">IF((E258="o"),G258," ")</f>
        <v> </v>
      </c>
      <c r="W258" s="334" t="str">
        <f aca="false">IF((E258="f"),G258," ")</f>
        <v> </v>
      </c>
    </row>
    <row r="259" customFormat="false" ht="12.75" hidden="false" customHeight="false" outlineLevel="0" collapsed="false">
      <c r="A259" s="355"/>
      <c r="E259" s="365" t="str">
        <f aca="false">IF((G259&lt;&gt;0),"Enter Letter"," ")</f>
        <v> </v>
      </c>
      <c r="J259" s="334" t="str">
        <f aca="false">IF((E259="s"),G259," ")</f>
        <v> </v>
      </c>
      <c r="K259" s="334" t="str">
        <f aca="false">IF((E259="d"),G259," ")</f>
        <v> </v>
      </c>
      <c r="L259" s="334" t="str">
        <f aca="false">IF((E259="e"),G259," ")</f>
        <v> </v>
      </c>
      <c r="M259" s="334" t="str">
        <f aca="false">IF((E259="p"),G259," ")</f>
        <v> </v>
      </c>
      <c r="N259" s="334" t="str">
        <f aca="false">IF((E259="r"),G259," ")</f>
        <v> </v>
      </c>
      <c r="O259" s="334" t="str">
        <f aca="false">IF((E259="g"),G259," ")</f>
        <v> </v>
      </c>
      <c r="P259" s="334" t="str">
        <f aca="false">IF((E259="m"),G259," ")</f>
        <v> </v>
      </c>
      <c r="Q259" s="334" t="str">
        <f aca="false">IF((E259="t"),G259," ")</f>
        <v> </v>
      </c>
      <c r="R259" s="334" t="str">
        <f aca="false">IF((E259="a"),G259," ")</f>
        <v> </v>
      </c>
      <c r="S259" s="334" t="str">
        <f aca="false">IF((E259="l"),G259," ")</f>
        <v> </v>
      </c>
      <c r="T259" s="334" t="str">
        <f aca="false">IF((E259="b"),G259," ")</f>
        <v> </v>
      </c>
      <c r="U259" s="334" t="str">
        <f aca="false">IF((E259="i"),G259," ")</f>
        <v> </v>
      </c>
      <c r="V259" s="334" t="str">
        <f aca="false">IF((E259="o"),G259," ")</f>
        <v> </v>
      </c>
      <c r="W259" s="334" t="str">
        <f aca="false">IF((E259="f"),G259," ")</f>
        <v> </v>
      </c>
    </row>
    <row r="260" customFormat="false" ht="12.75" hidden="false" customHeight="false" outlineLevel="0" collapsed="false">
      <c r="A260" s="355"/>
      <c r="E260" s="365" t="str">
        <f aca="false">IF((G260&lt;&gt;0),"Enter Letter"," ")</f>
        <v> </v>
      </c>
      <c r="J260" s="334" t="str">
        <f aca="false">IF((E260="s"),G260," ")</f>
        <v> </v>
      </c>
      <c r="K260" s="334" t="str">
        <f aca="false">IF((E260="d"),G260," ")</f>
        <v> </v>
      </c>
      <c r="L260" s="334" t="str">
        <f aca="false">IF((E260="e"),G260," ")</f>
        <v> </v>
      </c>
      <c r="M260" s="334" t="str">
        <f aca="false">IF((E260="p"),G260," ")</f>
        <v> </v>
      </c>
      <c r="N260" s="334" t="str">
        <f aca="false">IF((E260="r"),G260," ")</f>
        <v> </v>
      </c>
      <c r="O260" s="334" t="str">
        <f aca="false">IF((E260="g"),G260," ")</f>
        <v> </v>
      </c>
      <c r="P260" s="334" t="str">
        <f aca="false">IF((E260="m"),G260," ")</f>
        <v> </v>
      </c>
      <c r="Q260" s="334" t="str">
        <f aca="false">IF((E260="t"),G260," ")</f>
        <v> </v>
      </c>
      <c r="R260" s="334" t="str">
        <f aca="false">IF((E260="a"),G260," ")</f>
        <v> </v>
      </c>
      <c r="S260" s="334" t="str">
        <f aca="false">IF((E260="l"),G260," ")</f>
        <v> </v>
      </c>
      <c r="T260" s="334" t="str">
        <f aca="false">IF((E260="b"),G260," ")</f>
        <v> </v>
      </c>
      <c r="U260" s="334" t="str">
        <f aca="false">IF((E260="i"),G260," ")</f>
        <v> </v>
      </c>
      <c r="V260" s="334" t="str">
        <f aca="false">IF((E260="o"),G260," ")</f>
        <v> </v>
      </c>
      <c r="W260" s="334" t="str">
        <f aca="false">IF((E260="f"),G260," ")</f>
        <v> </v>
      </c>
    </row>
    <row r="261" customFormat="false" ht="12.75" hidden="false" customHeight="false" outlineLevel="0" collapsed="false">
      <c r="A261" s="355"/>
      <c r="E261" s="365" t="str">
        <f aca="false">IF((G261&lt;&gt;0),"Enter Letter"," ")</f>
        <v> </v>
      </c>
      <c r="J261" s="334" t="str">
        <f aca="false">IF((E261="s"),G261," ")</f>
        <v> </v>
      </c>
      <c r="K261" s="334" t="str">
        <f aca="false">IF((E261="d"),G261," ")</f>
        <v> </v>
      </c>
      <c r="L261" s="334" t="str">
        <f aca="false">IF((E261="e"),G261," ")</f>
        <v> </v>
      </c>
      <c r="M261" s="334" t="str">
        <f aca="false">IF((E261="p"),G261," ")</f>
        <v> </v>
      </c>
      <c r="N261" s="334" t="str">
        <f aca="false">IF((E261="r"),G261," ")</f>
        <v> </v>
      </c>
      <c r="O261" s="334" t="str">
        <f aca="false">IF((E261="g"),G261," ")</f>
        <v> </v>
      </c>
      <c r="P261" s="334" t="str">
        <f aca="false">IF((E261="m"),G261," ")</f>
        <v> </v>
      </c>
      <c r="Q261" s="334" t="str">
        <f aca="false">IF((E261="t"),G261," ")</f>
        <v> </v>
      </c>
      <c r="R261" s="334" t="str">
        <f aca="false">IF((E261="a"),G261," ")</f>
        <v> </v>
      </c>
      <c r="S261" s="334" t="str">
        <f aca="false">IF((E261="l"),G261," ")</f>
        <v> </v>
      </c>
      <c r="T261" s="334" t="str">
        <f aca="false">IF((E261="b"),G261," ")</f>
        <v> </v>
      </c>
      <c r="U261" s="334" t="str">
        <f aca="false">IF((E261="i"),G261," ")</f>
        <v> </v>
      </c>
      <c r="V261" s="334" t="str">
        <f aca="false">IF((E261="o"),G261," ")</f>
        <v> </v>
      </c>
      <c r="W261" s="334" t="str">
        <f aca="false">IF((E261="f"),G261," ")</f>
        <v> </v>
      </c>
    </row>
    <row r="262" customFormat="false" ht="12.75" hidden="false" customHeight="false" outlineLevel="0" collapsed="false">
      <c r="A262" s="355"/>
      <c r="E262" s="365" t="str">
        <f aca="false">IF((G262&lt;&gt;0),"Enter Letter"," ")</f>
        <v> </v>
      </c>
      <c r="J262" s="334" t="str">
        <f aca="false">IF((E262="s"),G262," ")</f>
        <v> </v>
      </c>
      <c r="K262" s="334" t="str">
        <f aca="false">IF((E262="d"),G262," ")</f>
        <v> </v>
      </c>
      <c r="L262" s="334" t="str">
        <f aca="false">IF((E262="e"),G262," ")</f>
        <v> </v>
      </c>
      <c r="M262" s="334" t="str">
        <f aca="false">IF((E262="p"),G262," ")</f>
        <v> </v>
      </c>
      <c r="N262" s="334" t="str">
        <f aca="false">IF((E262="r"),G262," ")</f>
        <v> </v>
      </c>
      <c r="O262" s="334" t="str">
        <f aca="false">IF((E262="g"),G262," ")</f>
        <v> </v>
      </c>
      <c r="P262" s="334" t="str">
        <f aca="false">IF((E262="m"),G262," ")</f>
        <v> </v>
      </c>
      <c r="Q262" s="334" t="str">
        <f aca="false">IF((E262="t"),G262," ")</f>
        <v> </v>
      </c>
      <c r="R262" s="334" t="str">
        <f aca="false">IF((E262="a"),G262," ")</f>
        <v> </v>
      </c>
      <c r="S262" s="334" t="str">
        <f aca="false">IF((E262="l"),G262," ")</f>
        <v> </v>
      </c>
      <c r="T262" s="334" t="str">
        <f aca="false">IF((E262="b"),G262," ")</f>
        <v> </v>
      </c>
      <c r="U262" s="334" t="str">
        <f aca="false">IF((E262="i"),G262," ")</f>
        <v> </v>
      </c>
      <c r="V262" s="334" t="str">
        <f aca="false">IF((E262="o"),G262," ")</f>
        <v> </v>
      </c>
      <c r="W262" s="334" t="str">
        <f aca="false">IF((E262="f"),G262," ")</f>
        <v> </v>
      </c>
    </row>
    <row r="263" customFormat="false" ht="12.75" hidden="false" customHeight="false" outlineLevel="0" collapsed="false">
      <c r="A263" s="355"/>
      <c r="E263" s="365" t="str">
        <f aca="false">IF((G263&lt;&gt;0),"Enter Letter"," ")</f>
        <v> </v>
      </c>
      <c r="J263" s="334" t="str">
        <f aca="false">IF((E263="s"),G263," ")</f>
        <v> </v>
      </c>
      <c r="K263" s="334" t="str">
        <f aca="false">IF((E263="d"),G263," ")</f>
        <v> </v>
      </c>
      <c r="L263" s="334" t="str">
        <f aca="false">IF((E263="e"),G263," ")</f>
        <v> </v>
      </c>
      <c r="M263" s="334" t="str">
        <f aca="false">IF((E263="p"),G263," ")</f>
        <v> </v>
      </c>
      <c r="N263" s="334" t="str">
        <f aca="false">IF((E263="r"),G263," ")</f>
        <v> </v>
      </c>
      <c r="O263" s="334" t="str">
        <f aca="false">IF((E263="g"),G263," ")</f>
        <v> </v>
      </c>
      <c r="P263" s="334" t="str">
        <f aca="false">IF((E263="m"),G263," ")</f>
        <v> </v>
      </c>
      <c r="Q263" s="334" t="str">
        <f aca="false">IF((E263="t"),G263," ")</f>
        <v> </v>
      </c>
      <c r="R263" s="334" t="str">
        <f aca="false">IF((E263="a"),G263," ")</f>
        <v> </v>
      </c>
      <c r="S263" s="334" t="str">
        <f aca="false">IF((E263="l"),G263," ")</f>
        <v> </v>
      </c>
      <c r="T263" s="334" t="str">
        <f aca="false">IF((E263="b"),G263," ")</f>
        <v> </v>
      </c>
      <c r="U263" s="334" t="str">
        <f aca="false">IF((E263="i"),G263," ")</f>
        <v> </v>
      </c>
      <c r="V263" s="334" t="str">
        <f aca="false">IF((E263="o"),G263," ")</f>
        <v> </v>
      </c>
      <c r="W263" s="334" t="str">
        <f aca="false">IF((E263="f"),G263," ")</f>
        <v> </v>
      </c>
    </row>
    <row r="264" customFormat="false" ht="12.75" hidden="false" customHeight="false" outlineLevel="0" collapsed="false">
      <c r="A264" s="355"/>
      <c r="E264" s="365" t="str">
        <f aca="false">IF((G264&lt;&gt;0),"Enter Letter"," ")</f>
        <v> </v>
      </c>
      <c r="J264" s="334" t="str">
        <f aca="false">IF((E264="s"),G264," ")</f>
        <v> </v>
      </c>
      <c r="K264" s="334" t="str">
        <f aca="false">IF((E264="d"),G264," ")</f>
        <v> </v>
      </c>
      <c r="L264" s="334" t="str">
        <f aca="false">IF((E264="e"),G264," ")</f>
        <v> </v>
      </c>
      <c r="M264" s="334" t="str">
        <f aca="false">IF((E264="p"),G264," ")</f>
        <v> </v>
      </c>
      <c r="N264" s="334" t="str">
        <f aca="false">IF((E264="r"),G264," ")</f>
        <v> </v>
      </c>
      <c r="O264" s="334" t="str">
        <f aca="false">IF((E264="g"),G264," ")</f>
        <v> </v>
      </c>
      <c r="P264" s="334" t="str">
        <f aca="false">IF((E264="m"),G264," ")</f>
        <v> </v>
      </c>
      <c r="Q264" s="334" t="str">
        <f aca="false">IF((E264="t"),G264," ")</f>
        <v> </v>
      </c>
      <c r="R264" s="334" t="str">
        <f aca="false">IF((E264="a"),G264," ")</f>
        <v> </v>
      </c>
      <c r="S264" s="334" t="str">
        <f aca="false">IF((E264="l"),G264," ")</f>
        <v> </v>
      </c>
      <c r="T264" s="334" t="str">
        <f aca="false">IF((E264="b"),G264," ")</f>
        <v> </v>
      </c>
      <c r="U264" s="334" t="str">
        <f aca="false">IF((E264="i"),G264," ")</f>
        <v> </v>
      </c>
      <c r="V264" s="334" t="str">
        <f aca="false">IF((E264="o"),G264," ")</f>
        <v> </v>
      </c>
      <c r="W264" s="334" t="str">
        <f aca="false">IF((E264="f"),G264," ")</f>
        <v> </v>
      </c>
    </row>
    <row r="265" customFormat="false" ht="12.75" hidden="false" customHeight="false" outlineLevel="0" collapsed="false">
      <c r="A265" s="355"/>
      <c r="E265" s="365" t="str">
        <f aca="false">IF((G265&lt;&gt;0),"Enter Letter"," ")</f>
        <v> </v>
      </c>
      <c r="J265" s="334" t="str">
        <f aca="false">IF((E265="s"),G265," ")</f>
        <v> </v>
      </c>
      <c r="K265" s="334" t="str">
        <f aca="false">IF((E265="d"),G265," ")</f>
        <v> </v>
      </c>
      <c r="L265" s="334" t="str">
        <f aca="false">IF((E265="e"),G265," ")</f>
        <v> </v>
      </c>
      <c r="M265" s="334" t="str">
        <f aca="false">IF((E265="p"),G265," ")</f>
        <v> </v>
      </c>
      <c r="N265" s="334" t="str">
        <f aca="false">IF((E265="r"),G265," ")</f>
        <v> </v>
      </c>
      <c r="O265" s="334" t="str">
        <f aca="false">IF((E265="g"),G265," ")</f>
        <v> </v>
      </c>
      <c r="P265" s="334" t="str">
        <f aca="false">IF((E265="m"),G265," ")</f>
        <v> </v>
      </c>
      <c r="Q265" s="334" t="str">
        <f aca="false">IF((E265="t"),G265," ")</f>
        <v> </v>
      </c>
      <c r="R265" s="334" t="str">
        <f aca="false">IF((E265="a"),G265," ")</f>
        <v> </v>
      </c>
      <c r="S265" s="334" t="str">
        <f aca="false">IF((E265="l"),G265," ")</f>
        <v> </v>
      </c>
      <c r="T265" s="334" t="str">
        <f aca="false">IF((E265="b"),G265," ")</f>
        <v> </v>
      </c>
      <c r="U265" s="334" t="str">
        <f aca="false">IF((E265="i"),G265," ")</f>
        <v> </v>
      </c>
      <c r="V265" s="334" t="str">
        <f aca="false">IF((E265="o"),G265," ")</f>
        <v> </v>
      </c>
      <c r="W265" s="334" t="str">
        <f aca="false">IF((E265="f"),G265," ")</f>
        <v> </v>
      </c>
    </row>
    <row r="266" customFormat="false" ht="12.75" hidden="false" customHeight="false" outlineLevel="0" collapsed="false">
      <c r="A266" s="355"/>
      <c r="E266" s="365" t="str">
        <f aca="false">IF((G266&lt;&gt;0),"Enter Letter"," ")</f>
        <v> </v>
      </c>
      <c r="J266" s="334" t="str">
        <f aca="false">IF((E266="s"),G266," ")</f>
        <v> </v>
      </c>
      <c r="K266" s="334" t="str">
        <f aca="false">IF((E266="d"),G266," ")</f>
        <v> </v>
      </c>
      <c r="L266" s="334" t="str">
        <f aca="false">IF((E266="e"),G266," ")</f>
        <v> </v>
      </c>
      <c r="M266" s="334" t="str">
        <f aca="false">IF((E266="p"),G266," ")</f>
        <v> </v>
      </c>
      <c r="N266" s="334" t="str">
        <f aca="false">IF((E266="r"),G266," ")</f>
        <v> </v>
      </c>
      <c r="O266" s="334" t="str">
        <f aca="false">IF((E266="g"),G266," ")</f>
        <v> </v>
      </c>
      <c r="P266" s="334" t="str">
        <f aca="false">IF((E266="m"),G266," ")</f>
        <v> </v>
      </c>
      <c r="Q266" s="334" t="str">
        <f aca="false">IF((E266="t"),G266," ")</f>
        <v> </v>
      </c>
      <c r="R266" s="334" t="str">
        <f aca="false">IF((E266="a"),G266," ")</f>
        <v> </v>
      </c>
      <c r="S266" s="334" t="str">
        <f aca="false">IF((E266="l"),G266," ")</f>
        <v> </v>
      </c>
      <c r="T266" s="334" t="str">
        <f aca="false">IF((E266="b"),G266," ")</f>
        <v> </v>
      </c>
      <c r="U266" s="334" t="str">
        <f aca="false">IF((E266="i"),G266," ")</f>
        <v> </v>
      </c>
      <c r="V266" s="334" t="str">
        <f aca="false">IF((E266="o"),G266," ")</f>
        <v> </v>
      </c>
      <c r="W266" s="334" t="str">
        <f aca="false">IF((E266="f"),G266," ")</f>
        <v> </v>
      </c>
    </row>
    <row r="267" customFormat="false" ht="12.75" hidden="false" customHeight="false" outlineLevel="0" collapsed="false">
      <c r="A267" s="355"/>
      <c r="E267" s="365" t="str">
        <f aca="false">IF((G267&lt;&gt;0),"Enter Letter"," ")</f>
        <v> </v>
      </c>
      <c r="J267" s="334" t="str">
        <f aca="false">IF((E267="s"),G267," ")</f>
        <v> </v>
      </c>
      <c r="K267" s="334" t="str">
        <f aca="false">IF((E267="d"),G267," ")</f>
        <v> </v>
      </c>
      <c r="L267" s="334" t="str">
        <f aca="false">IF((E267="e"),G267," ")</f>
        <v> </v>
      </c>
      <c r="M267" s="334" t="str">
        <f aca="false">IF((E267="p"),G267," ")</f>
        <v> </v>
      </c>
      <c r="N267" s="334" t="str">
        <f aca="false">IF((E267="r"),G267," ")</f>
        <v> </v>
      </c>
      <c r="O267" s="334" t="str">
        <f aca="false">IF((E267="g"),G267," ")</f>
        <v> </v>
      </c>
      <c r="P267" s="334" t="str">
        <f aca="false">IF((E267="m"),G267," ")</f>
        <v> </v>
      </c>
      <c r="Q267" s="334" t="str">
        <f aca="false">IF((E267="t"),G267," ")</f>
        <v> </v>
      </c>
      <c r="R267" s="334" t="str">
        <f aca="false">IF((E267="a"),G267," ")</f>
        <v> </v>
      </c>
      <c r="S267" s="334" t="str">
        <f aca="false">IF((E267="l"),G267," ")</f>
        <v> </v>
      </c>
      <c r="T267" s="334" t="str">
        <f aca="false">IF((E267="b"),G267," ")</f>
        <v> </v>
      </c>
      <c r="U267" s="334" t="str">
        <f aca="false">IF((E267="i"),G267," ")</f>
        <v> </v>
      </c>
      <c r="V267" s="334" t="str">
        <f aca="false">IF((E267="o"),G267," ")</f>
        <v> </v>
      </c>
      <c r="W267" s="334" t="str">
        <f aca="false">IF((E267="f"),G267," ")</f>
        <v> </v>
      </c>
    </row>
    <row r="268" customFormat="false" ht="12.75" hidden="false" customHeight="false" outlineLevel="0" collapsed="false">
      <c r="A268" s="355"/>
      <c r="E268" s="365" t="str">
        <f aca="false">IF((G268&lt;&gt;0),"Enter Letter"," ")</f>
        <v> </v>
      </c>
      <c r="J268" s="334" t="str">
        <f aca="false">IF((E268="s"),G268," ")</f>
        <v> </v>
      </c>
      <c r="K268" s="334" t="str">
        <f aca="false">IF((E268="d"),G268," ")</f>
        <v> </v>
      </c>
      <c r="L268" s="334" t="str">
        <f aca="false">IF((E268="e"),G268," ")</f>
        <v> </v>
      </c>
      <c r="M268" s="334" t="str">
        <f aca="false">IF((E268="p"),G268," ")</f>
        <v> </v>
      </c>
      <c r="N268" s="334" t="str">
        <f aca="false">IF((E268="r"),G268," ")</f>
        <v> </v>
      </c>
      <c r="O268" s="334" t="str">
        <f aca="false">IF((E268="g"),G268," ")</f>
        <v> </v>
      </c>
      <c r="P268" s="334" t="str">
        <f aca="false">IF((E268="m"),G268," ")</f>
        <v> </v>
      </c>
      <c r="Q268" s="334" t="str">
        <f aca="false">IF((E268="t"),G268," ")</f>
        <v> </v>
      </c>
      <c r="R268" s="334" t="str">
        <f aca="false">IF((E268="a"),G268," ")</f>
        <v> </v>
      </c>
      <c r="S268" s="334" t="str">
        <f aca="false">IF((E268="l"),G268," ")</f>
        <v> </v>
      </c>
      <c r="T268" s="334" t="str">
        <f aca="false">IF((E268="b"),G268," ")</f>
        <v> </v>
      </c>
      <c r="U268" s="334" t="str">
        <f aca="false">IF((E268="i"),G268," ")</f>
        <v> </v>
      </c>
      <c r="V268" s="334" t="str">
        <f aca="false">IF((E268="o"),G268," ")</f>
        <v> </v>
      </c>
      <c r="W268" s="334" t="str">
        <f aca="false">IF((E268="f"),G268," ")</f>
        <v> </v>
      </c>
    </row>
    <row r="269" customFormat="false" ht="12.75" hidden="false" customHeight="false" outlineLevel="0" collapsed="false">
      <c r="A269" s="355"/>
      <c r="E269" s="365" t="str">
        <f aca="false">IF((G269&lt;&gt;0),"Enter Letter"," ")</f>
        <v> </v>
      </c>
      <c r="J269" s="334" t="str">
        <f aca="false">IF((E269="s"),G269," ")</f>
        <v> </v>
      </c>
      <c r="K269" s="334" t="str">
        <f aca="false">IF((E269="d"),G269," ")</f>
        <v> </v>
      </c>
      <c r="L269" s="334" t="str">
        <f aca="false">IF((E269="e"),G269," ")</f>
        <v> </v>
      </c>
      <c r="M269" s="334" t="str">
        <f aca="false">IF((E269="p"),G269," ")</f>
        <v> </v>
      </c>
      <c r="N269" s="334" t="str">
        <f aca="false">IF((E269="r"),G269," ")</f>
        <v> </v>
      </c>
      <c r="O269" s="334" t="str">
        <f aca="false">IF((E269="g"),G269," ")</f>
        <v> </v>
      </c>
      <c r="P269" s="334" t="str">
        <f aca="false">IF((E269="m"),G269," ")</f>
        <v> </v>
      </c>
      <c r="Q269" s="334" t="str">
        <f aca="false">IF((E269="t"),G269," ")</f>
        <v> </v>
      </c>
      <c r="R269" s="334" t="str">
        <f aca="false">IF((E269="a"),G269," ")</f>
        <v> </v>
      </c>
      <c r="S269" s="334" t="str">
        <f aca="false">IF((E269="l"),G269," ")</f>
        <v> </v>
      </c>
      <c r="T269" s="334" t="str">
        <f aca="false">IF((E269="b"),G269," ")</f>
        <v> </v>
      </c>
      <c r="U269" s="334" t="str">
        <f aca="false">IF((E269="i"),G269," ")</f>
        <v> </v>
      </c>
      <c r="V269" s="334" t="str">
        <f aca="false">IF((E269="o"),G269," ")</f>
        <v> </v>
      </c>
      <c r="W269" s="334" t="str">
        <f aca="false">IF((E269="f"),G269," ")</f>
        <v> </v>
      </c>
    </row>
    <row r="270" customFormat="false" ht="12.75" hidden="false" customHeight="false" outlineLevel="0" collapsed="false">
      <c r="A270" s="355"/>
      <c r="E270" s="365" t="str">
        <f aca="false">IF((G270&lt;&gt;0),"Enter Letter"," ")</f>
        <v> </v>
      </c>
      <c r="J270" s="334" t="str">
        <f aca="false">IF((E270="s"),G270," ")</f>
        <v> </v>
      </c>
      <c r="K270" s="334" t="str">
        <f aca="false">IF((E270="d"),G270," ")</f>
        <v> </v>
      </c>
      <c r="L270" s="334" t="str">
        <f aca="false">IF((E270="e"),G270," ")</f>
        <v> </v>
      </c>
      <c r="M270" s="334" t="str">
        <f aca="false">IF((E270="p"),G270," ")</f>
        <v> </v>
      </c>
      <c r="N270" s="334" t="str">
        <f aca="false">IF((E270="r"),G270," ")</f>
        <v> </v>
      </c>
      <c r="O270" s="334" t="str">
        <f aca="false">IF((E270="g"),G270," ")</f>
        <v> </v>
      </c>
      <c r="P270" s="334" t="str">
        <f aca="false">IF((E270="m"),G270," ")</f>
        <v> </v>
      </c>
      <c r="Q270" s="334" t="str">
        <f aca="false">IF((E270="t"),G270," ")</f>
        <v> </v>
      </c>
      <c r="R270" s="334" t="str">
        <f aca="false">IF((E270="a"),G270," ")</f>
        <v> </v>
      </c>
      <c r="S270" s="334" t="str">
        <f aca="false">IF((E270="l"),G270," ")</f>
        <v> </v>
      </c>
      <c r="T270" s="334" t="str">
        <f aca="false">IF((E270="b"),G270," ")</f>
        <v> </v>
      </c>
      <c r="U270" s="334" t="str">
        <f aca="false">IF((E270="i"),G270," ")</f>
        <v> </v>
      </c>
      <c r="V270" s="334" t="str">
        <f aca="false">IF((E270="o"),G270," ")</f>
        <v> </v>
      </c>
      <c r="W270" s="334" t="str">
        <f aca="false">IF((E270="f"),G270," ")</f>
        <v> </v>
      </c>
    </row>
    <row r="271" customFormat="false" ht="12.75" hidden="false" customHeight="false" outlineLevel="0" collapsed="false">
      <c r="A271" s="355"/>
      <c r="E271" s="365" t="str">
        <f aca="false">IF((G271&lt;&gt;0),"Enter Letter"," ")</f>
        <v> </v>
      </c>
      <c r="J271" s="334" t="str">
        <f aca="false">IF((E271="s"),G271," ")</f>
        <v> </v>
      </c>
      <c r="K271" s="334" t="str">
        <f aca="false">IF((E271="d"),G271," ")</f>
        <v> </v>
      </c>
      <c r="L271" s="334" t="str">
        <f aca="false">IF((E271="e"),G271," ")</f>
        <v> </v>
      </c>
      <c r="M271" s="334" t="str">
        <f aca="false">IF((E271="p"),G271," ")</f>
        <v> </v>
      </c>
      <c r="N271" s="334" t="str">
        <f aca="false">IF((E271="r"),G271," ")</f>
        <v> </v>
      </c>
      <c r="O271" s="334" t="str">
        <f aca="false">IF((E271="g"),G271," ")</f>
        <v> </v>
      </c>
      <c r="P271" s="334" t="str">
        <f aca="false">IF((E271="m"),G271," ")</f>
        <v> </v>
      </c>
      <c r="Q271" s="334" t="str">
        <f aca="false">IF((E271="t"),G271," ")</f>
        <v> </v>
      </c>
      <c r="R271" s="334" t="str">
        <f aca="false">IF((E271="a"),G271," ")</f>
        <v> </v>
      </c>
      <c r="S271" s="334" t="str">
        <f aca="false">IF((E271="l"),G271," ")</f>
        <v> </v>
      </c>
      <c r="T271" s="334" t="str">
        <f aca="false">IF((E271="b"),G271," ")</f>
        <v> </v>
      </c>
      <c r="U271" s="334" t="str">
        <f aca="false">IF((E271="i"),G271," ")</f>
        <v> </v>
      </c>
      <c r="V271" s="334" t="str">
        <f aca="false">IF((E271="o"),G271," ")</f>
        <v> </v>
      </c>
      <c r="W271" s="334" t="str">
        <f aca="false">IF((E271="f"),G271," ")</f>
        <v> </v>
      </c>
    </row>
    <row r="272" customFormat="false" ht="12.75" hidden="false" customHeight="false" outlineLevel="0" collapsed="false">
      <c r="A272" s="355"/>
      <c r="E272" s="365" t="str">
        <f aca="false">IF((G272&lt;&gt;0),"Enter Letter"," ")</f>
        <v> </v>
      </c>
      <c r="J272" s="334" t="str">
        <f aca="false">IF((E272="s"),G272," ")</f>
        <v> </v>
      </c>
      <c r="K272" s="334" t="str">
        <f aca="false">IF((E272="d"),G272," ")</f>
        <v> </v>
      </c>
      <c r="L272" s="334" t="str">
        <f aca="false">IF((E272="e"),G272," ")</f>
        <v> </v>
      </c>
      <c r="M272" s="334" t="str">
        <f aca="false">IF((E272="p"),G272," ")</f>
        <v> </v>
      </c>
      <c r="N272" s="334" t="str">
        <f aca="false">IF((E272="r"),G272," ")</f>
        <v> </v>
      </c>
      <c r="O272" s="334" t="str">
        <f aca="false">IF((E272="g"),G272," ")</f>
        <v> </v>
      </c>
      <c r="P272" s="334" t="str">
        <f aca="false">IF((E272="m"),G272," ")</f>
        <v> </v>
      </c>
      <c r="Q272" s="334" t="str">
        <f aca="false">IF((E272="t"),G272," ")</f>
        <v> </v>
      </c>
      <c r="R272" s="334" t="str">
        <f aca="false">IF((E272="a"),G272," ")</f>
        <v> </v>
      </c>
      <c r="S272" s="334" t="str">
        <f aca="false">IF((E272="l"),G272," ")</f>
        <v> </v>
      </c>
      <c r="T272" s="334" t="str">
        <f aca="false">IF((E272="b"),G272," ")</f>
        <v> </v>
      </c>
      <c r="U272" s="334" t="str">
        <f aca="false">IF((E272="i"),G272," ")</f>
        <v> </v>
      </c>
      <c r="V272" s="334" t="str">
        <f aca="false">IF((E272="o"),G272," ")</f>
        <v> </v>
      </c>
      <c r="W272" s="334" t="str">
        <f aca="false">IF((E272="f"),G272," ")</f>
        <v> </v>
      </c>
    </row>
    <row r="273" customFormat="false" ht="12.75" hidden="false" customHeight="false" outlineLevel="0" collapsed="false">
      <c r="A273" s="355"/>
      <c r="E273" s="365" t="str">
        <f aca="false">IF((G273&lt;&gt;0),"Enter Letter"," ")</f>
        <v> </v>
      </c>
      <c r="J273" s="334" t="str">
        <f aca="false">IF((E273="s"),G273," ")</f>
        <v> </v>
      </c>
      <c r="K273" s="334" t="str">
        <f aca="false">IF((E273="d"),G273," ")</f>
        <v> </v>
      </c>
      <c r="L273" s="334" t="str">
        <f aca="false">IF((E273="e"),G273," ")</f>
        <v> </v>
      </c>
      <c r="M273" s="334" t="str">
        <f aca="false">IF((E273="p"),G273," ")</f>
        <v> </v>
      </c>
      <c r="N273" s="334" t="str">
        <f aca="false">IF((E273="r"),G273," ")</f>
        <v> </v>
      </c>
      <c r="O273" s="334" t="str">
        <f aca="false">IF((E273="g"),G273," ")</f>
        <v> </v>
      </c>
      <c r="P273" s="334" t="str">
        <f aca="false">IF((E273="m"),G273," ")</f>
        <v> </v>
      </c>
      <c r="Q273" s="334" t="str">
        <f aca="false">IF((E273="t"),G273," ")</f>
        <v> </v>
      </c>
      <c r="R273" s="334" t="str">
        <f aca="false">IF((E273="a"),G273," ")</f>
        <v> </v>
      </c>
      <c r="S273" s="334" t="str">
        <f aca="false">IF((E273="l"),G273," ")</f>
        <v> </v>
      </c>
      <c r="T273" s="334" t="str">
        <f aca="false">IF((E273="b"),G273," ")</f>
        <v> </v>
      </c>
      <c r="U273" s="334" t="str">
        <f aca="false">IF((E273="i"),G273," ")</f>
        <v> </v>
      </c>
      <c r="V273" s="334" t="str">
        <f aca="false">IF((E273="o"),G273," ")</f>
        <v> </v>
      </c>
      <c r="W273" s="334" t="str">
        <f aca="false">IF((E273="f"),G273," ")</f>
        <v> </v>
      </c>
    </row>
    <row r="274" customFormat="false" ht="12.75" hidden="false" customHeight="false" outlineLevel="0" collapsed="false">
      <c r="A274" s="355"/>
      <c r="E274" s="365" t="str">
        <f aca="false">IF((G274&lt;&gt;0),"Enter Letter"," ")</f>
        <v> </v>
      </c>
      <c r="J274" s="334" t="str">
        <f aca="false">IF((E274="s"),G274," ")</f>
        <v> </v>
      </c>
      <c r="K274" s="334" t="str">
        <f aca="false">IF((E274="d"),G274," ")</f>
        <v> </v>
      </c>
      <c r="L274" s="334" t="str">
        <f aca="false">IF((E274="e"),G274," ")</f>
        <v> </v>
      </c>
      <c r="M274" s="334" t="str">
        <f aca="false">IF((E274="p"),G274," ")</f>
        <v> </v>
      </c>
      <c r="N274" s="334" t="str">
        <f aca="false">IF((E274="r"),G274," ")</f>
        <v> </v>
      </c>
      <c r="O274" s="334" t="str">
        <f aca="false">IF((E274="g"),G274," ")</f>
        <v> </v>
      </c>
      <c r="P274" s="334" t="str">
        <f aca="false">IF((E274="m"),G274," ")</f>
        <v> </v>
      </c>
      <c r="Q274" s="334" t="str">
        <f aca="false">IF((E274="t"),G274," ")</f>
        <v> </v>
      </c>
      <c r="R274" s="334" t="str">
        <f aca="false">IF((E274="a"),G274," ")</f>
        <v> </v>
      </c>
      <c r="S274" s="334" t="str">
        <f aca="false">IF((E274="l"),G274," ")</f>
        <v> </v>
      </c>
      <c r="T274" s="334" t="str">
        <f aca="false">IF((E274="b"),G274," ")</f>
        <v> </v>
      </c>
      <c r="U274" s="334" t="str">
        <f aca="false">IF((E274="i"),G274," ")</f>
        <v> </v>
      </c>
      <c r="V274" s="334" t="str">
        <f aca="false">IF((E274="o"),G274," ")</f>
        <v> </v>
      </c>
      <c r="W274" s="334" t="str">
        <f aca="false">IF((E274="f"),G274," ")</f>
        <v> </v>
      </c>
    </row>
    <row r="275" customFormat="false" ht="12.75" hidden="false" customHeight="false" outlineLevel="0" collapsed="false">
      <c r="A275" s="355"/>
      <c r="E275" s="365" t="str">
        <f aca="false">IF((G275&lt;&gt;0),"Enter Letter"," ")</f>
        <v> </v>
      </c>
      <c r="J275" s="334" t="str">
        <f aca="false">IF((E275="s"),G275," ")</f>
        <v> </v>
      </c>
      <c r="K275" s="334" t="str">
        <f aca="false">IF((E275="d"),G275," ")</f>
        <v> </v>
      </c>
      <c r="L275" s="334" t="str">
        <f aca="false">IF((E275="e"),G275," ")</f>
        <v> </v>
      </c>
      <c r="M275" s="334" t="str">
        <f aca="false">IF((E275="p"),G275," ")</f>
        <v> </v>
      </c>
      <c r="N275" s="334" t="str">
        <f aca="false">IF((E275="r"),G275," ")</f>
        <v> </v>
      </c>
      <c r="O275" s="334" t="str">
        <f aca="false">IF((E275="g"),G275," ")</f>
        <v> </v>
      </c>
      <c r="P275" s="334" t="str">
        <f aca="false">IF((E275="m"),G275," ")</f>
        <v> </v>
      </c>
      <c r="Q275" s="334" t="str">
        <f aca="false">IF((E275="t"),G275," ")</f>
        <v> </v>
      </c>
      <c r="R275" s="334" t="str">
        <f aca="false">IF((E275="a"),G275," ")</f>
        <v> </v>
      </c>
      <c r="S275" s="334" t="str">
        <f aca="false">IF((E275="l"),G275," ")</f>
        <v> </v>
      </c>
      <c r="T275" s="334" t="str">
        <f aca="false">IF((E275="b"),G275," ")</f>
        <v> </v>
      </c>
      <c r="U275" s="334" t="str">
        <f aca="false">IF((E275="i"),G275," ")</f>
        <v> </v>
      </c>
      <c r="V275" s="334" t="str">
        <f aca="false">IF((E275="o"),G275," ")</f>
        <v> </v>
      </c>
      <c r="W275" s="334" t="str">
        <f aca="false">IF((E275="f"),G275," ")</f>
        <v> </v>
      </c>
    </row>
    <row r="276" customFormat="false" ht="12.75" hidden="false" customHeight="false" outlineLevel="0" collapsed="false">
      <c r="A276" s="355"/>
      <c r="E276" s="365" t="str">
        <f aca="false">IF((G276&lt;&gt;0),"Enter Letter"," ")</f>
        <v> </v>
      </c>
      <c r="J276" s="334" t="str">
        <f aca="false">IF((E276="s"),G276," ")</f>
        <v> </v>
      </c>
      <c r="K276" s="334" t="str">
        <f aca="false">IF((E276="d"),G276," ")</f>
        <v> </v>
      </c>
      <c r="L276" s="334" t="str">
        <f aca="false">IF((E276="e"),G276," ")</f>
        <v> </v>
      </c>
      <c r="M276" s="334" t="str">
        <f aca="false">IF((E276="p"),G276," ")</f>
        <v> </v>
      </c>
      <c r="N276" s="334" t="str">
        <f aca="false">IF((E276="r"),G276," ")</f>
        <v> </v>
      </c>
      <c r="O276" s="334" t="str">
        <f aca="false">IF((E276="g"),G276," ")</f>
        <v> </v>
      </c>
      <c r="P276" s="334" t="str">
        <f aca="false">IF((E276="m"),G276," ")</f>
        <v> </v>
      </c>
      <c r="Q276" s="334" t="str">
        <f aca="false">IF((E276="t"),G276," ")</f>
        <v> </v>
      </c>
      <c r="R276" s="334" t="str">
        <f aca="false">IF((E276="a"),G276," ")</f>
        <v> </v>
      </c>
      <c r="S276" s="334" t="str">
        <f aca="false">IF((E276="l"),G276," ")</f>
        <v> </v>
      </c>
      <c r="T276" s="334" t="str">
        <f aca="false">IF((E276="b"),G276," ")</f>
        <v> </v>
      </c>
      <c r="U276" s="334" t="str">
        <f aca="false">IF((E276="i"),G276," ")</f>
        <v> </v>
      </c>
      <c r="V276" s="334" t="str">
        <f aca="false">IF((E276="o"),G276," ")</f>
        <v> </v>
      </c>
      <c r="W276" s="334" t="str">
        <f aca="false">IF((E276="f"),G276," ")</f>
        <v> </v>
      </c>
    </row>
    <row r="277" customFormat="false" ht="12.75" hidden="false" customHeight="false" outlineLevel="0" collapsed="false">
      <c r="A277" s="355"/>
      <c r="E277" s="365" t="str">
        <f aca="false">IF((G277&lt;&gt;0),"Enter Letter"," ")</f>
        <v> </v>
      </c>
      <c r="J277" s="334" t="str">
        <f aca="false">IF((E277="s"),G277," ")</f>
        <v> </v>
      </c>
      <c r="K277" s="334" t="str">
        <f aca="false">IF((E277="d"),G277," ")</f>
        <v> </v>
      </c>
      <c r="L277" s="334" t="str">
        <f aca="false">IF((E277="e"),G277," ")</f>
        <v> </v>
      </c>
      <c r="M277" s="334" t="str">
        <f aca="false">IF((E277="p"),G277," ")</f>
        <v> </v>
      </c>
      <c r="N277" s="334" t="str">
        <f aca="false">IF((E277="r"),G277," ")</f>
        <v> </v>
      </c>
      <c r="O277" s="334" t="str">
        <f aca="false">IF((E277="g"),G277," ")</f>
        <v> </v>
      </c>
      <c r="P277" s="334" t="str">
        <f aca="false">IF((E277="m"),G277," ")</f>
        <v> </v>
      </c>
      <c r="Q277" s="334" t="str">
        <f aca="false">IF((E277="t"),G277," ")</f>
        <v> </v>
      </c>
      <c r="R277" s="334" t="str">
        <f aca="false">IF((E277="a"),G277," ")</f>
        <v> </v>
      </c>
      <c r="S277" s="334" t="str">
        <f aca="false">IF((E277="l"),G277," ")</f>
        <v> </v>
      </c>
      <c r="T277" s="334" t="str">
        <f aca="false">IF((E277="b"),G277," ")</f>
        <v> </v>
      </c>
      <c r="U277" s="334" t="str">
        <f aca="false">IF((E277="i"),G277," ")</f>
        <v> </v>
      </c>
      <c r="V277" s="334" t="str">
        <f aca="false">IF((E277="o"),G277," ")</f>
        <v> </v>
      </c>
      <c r="W277" s="334" t="str">
        <f aca="false">IF((E277="f"),G277," ")</f>
        <v> </v>
      </c>
    </row>
    <row r="278" customFormat="false" ht="12.75" hidden="false" customHeight="false" outlineLevel="0" collapsed="false">
      <c r="A278" s="355"/>
      <c r="E278" s="365" t="str">
        <f aca="false">IF((G278&lt;&gt;0),"Enter Letter"," ")</f>
        <v> </v>
      </c>
      <c r="J278" s="334" t="str">
        <f aca="false">IF((E278="s"),G278," ")</f>
        <v> </v>
      </c>
      <c r="K278" s="334" t="str">
        <f aca="false">IF((E278="d"),G278," ")</f>
        <v> </v>
      </c>
      <c r="L278" s="334" t="str">
        <f aca="false">IF((E278="e"),G278," ")</f>
        <v> </v>
      </c>
      <c r="M278" s="334" t="str">
        <f aca="false">IF((E278="p"),G278," ")</f>
        <v> </v>
      </c>
      <c r="N278" s="334" t="str">
        <f aca="false">IF((E278="r"),G278," ")</f>
        <v> </v>
      </c>
      <c r="O278" s="334" t="str">
        <f aca="false">IF((E278="g"),G278," ")</f>
        <v> </v>
      </c>
      <c r="P278" s="334" t="str">
        <f aca="false">IF((E278="m"),G278," ")</f>
        <v> </v>
      </c>
      <c r="Q278" s="334" t="str">
        <f aca="false">IF((E278="t"),G278," ")</f>
        <v> </v>
      </c>
      <c r="R278" s="334" t="str">
        <f aca="false">IF((E278="a"),G278," ")</f>
        <v> </v>
      </c>
      <c r="S278" s="334" t="str">
        <f aca="false">IF((E278="l"),G278," ")</f>
        <v> </v>
      </c>
      <c r="T278" s="334" t="str">
        <f aca="false">IF((E278="b"),G278," ")</f>
        <v> </v>
      </c>
      <c r="U278" s="334" t="str">
        <f aca="false">IF((E278="i"),G278," ")</f>
        <v> </v>
      </c>
      <c r="V278" s="334" t="str">
        <f aca="false">IF((E278="o"),G278," ")</f>
        <v> </v>
      </c>
      <c r="W278" s="334" t="str">
        <f aca="false">IF((E278="f"),G278," ")</f>
        <v> </v>
      </c>
    </row>
    <row r="279" customFormat="false" ht="12.75" hidden="false" customHeight="false" outlineLevel="0" collapsed="false">
      <c r="A279" s="355"/>
      <c r="E279" s="365" t="str">
        <f aca="false">IF((G279&lt;&gt;0),"Enter Letter"," ")</f>
        <v> </v>
      </c>
      <c r="J279" s="334" t="str">
        <f aca="false">IF((E279="s"),G279," ")</f>
        <v> </v>
      </c>
      <c r="K279" s="334" t="str">
        <f aca="false">IF((E279="d"),G279," ")</f>
        <v> </v>
      </c>
      <c r="L279" s="334" t="str">
        <f aca="false">IF((E279="e"),G279," ")</f>
        <v> </v>
      </c>
      <c r="M279" s="334" t="str">
        <f aca="false">IF((E279="p"),G279," ")</f>
        <v> </v>
      </c>
      <c r="N279" s="334" t="str">
        <f aca="false">IF((E279="r"),G279," ")</f>
        <v> </v>
      </c>
      <c r="O279" s="334" t="str">
        <f aca="false">IF((E279="g"),G279," ")</f>
        <v> </v>
      </c>
      <c r="P279" s="334" t="str">
        <f aca="false">IF((E279="m"),G279," ")</f>
        <v> </v>
      </c>
      <c r="Q279" s="334" t="str">
        <f aca="false">IF((E279="t"),G279," ")</f>
        <v> </v>
      </c>
      <c r="R279" s="334" t="str">
        <f aca="false">IF((E279="a"),G279," ")</f>
        <v> </v>
      </c>
      <c r="S279" s="334" t="str">
        <f aca="false">IF((E279="l"),G279," ")</f>
        <v> </v>
      </c>
      <c r="T279" s="334" t="str">
        <f aca="false">IF((E279="b"),G279," ")</f>
        <v> </v>
      </c>
      <c r="U279" s="334" t="str">
        <f aca="false">IF((E279="i"),G279," ")</f>
        <v> </v>
      </c>
      <c r="V279" s="334" t="str">
        <f aca="false">IF((E279="o"),G279," ")</f>
        <v> </v>
      </c>
      <c r="W279" s="334" t="str">
        <f aca="false">IF((E279="f"),G279," ")</f>
        <v> </v>
      </c>
    </row>
    <row r="280" customFormat="false" ht="12.75" hidden="false" customHeight="false" outlineLevel="0" collapsed="false">
      <c r="A280" s="355"/>
      <c r="E280" s="365" t="str">
        <f aca="false">IF((G280&lt;&gt;0),"Enter Letter"," ")</f>
        <v> </v>
      </c>
      <c r="J280" s="334" t="str">
        <f aca="false">IF((E280="s"),G280," ")</f>
        <v> </v>
      </c>
      <c r="K280" s="334" t="str">
        <f aca="false">IF((E280="d"),G280," ")</f>
        <v> </v>
      </c>
      <c r="L280" s="334" t="str">
        <f aca="false">IF((E280="e"),G280," ")</f>
        <v> </v>
      </c>
      <c r="M280" s="334" t="str">
        <f aca="false">IF((E280="p"),G280," ")</f>
        <v> </v>
      </c>
      <c r="N280" s="334" t="str">
        <f aca="false">IF((E280="r"),G280," ")</f>
        <v> </v>
      </c>
      <c r="O280" s="334" t="str">
        <f aca="false">IF((E280="g"),G280," ")</f>
        <v> </v>
      </c>
      <c r="P280" s="334" t="str">
        <f aca="false">IF((E280="m"),G280," ")</f>
        <v> </v>
      </c>
      <c r="Q280" s="334" t="str">
        <f aca="false">IF((E280="t"),G280," ")</f>
        <v> </v>
      </c>
      <c r="R280" s="334" t="str">
        <f aca="false">IF((E280="a"),G280," ")</f>
        <v> </v>
      </c>
      <c r="S280" s="334" t="str">
        <f aca="false">IF((E280="l"),G280," ")</f>
        <v> </v>
      </c>
      <c r="T280" s="334" t="str">
        <f aca="false">IF((E280="b"),G280," ")</f>
        <v> </v>
      </c>
      <c r="U280" s="334" t="str">
        <f aca="false">IF((E280="i"),G280," ")</f>
        <v> </v>
      </c>
      <c r="V280" s="334" t="str">
        <f aca="false">IF((E280="o"),G280," ")</f>
        <v> </v>
      </c>
      <c r="W280" s="334" t="str">
        <f aca="false">IF((E280="f"),G280," ")</f>
        <v> </v>
      </c>
    </row>
    <row r="281" customFormat="false" ht="12.75" hidden="false" customHeight="false" outlineLevel="0" collapsed="false">
      <c r="A281" s="355"/>
      <c r="E281" s="365" t="str">
        <f aca="false">IF((G281&lt;&gt;0),"Enter Letter"," ")</f>
        <v> </v>
      </c>
      <c r="J281" s="334" t="str">
        <f aca="false">IF((E281="s"),G281," ")</f>
        <v> </v>
      </c>
      <c r="K281" s="334" t="str">
        <f aca="false">IF((E281="d"),G281," ")</f>
        <v> </v>
      </c>
      <c r="L281" s="334" t="str">
        <f aca="false">IF((E281="e"),G281," ")</f>
        <v> </v>
      </c>
      <c r="M281" s="334" t="str">
        <f aca="false">IF((E281="p"),G281," ")</f>
        <v> </v>
      </c>
      <c r="N281" s="334" t="str">
        <f aca="false">IF((E281="r"),G281," ")</f>
        <v> </v>
      </c>
      <c r="O281" s="334" t="str">
        <f aca="false">IF((E281="g"),G281," ")</f>
        <v> </v>
      </c>
      <c r="P281" s="334" t="str">
        <f aca="false">IF((E281="m"),G281," ")</f>
        <v> </v>
      </c>
      <c r="Q281" s="334" t="str">
        <f aca="false">IF((E281="t"),G281," ")</f>
        <v> </v>
      </c>
      <c r="R281" s="334" t="str">
        <f aca="false">IF((E281="a"),G281," ")</f>
        <v> </v>
      </c>
      <c r="S281" s="334" t="str">
        <f aca="false">IF((E281="l"),G281," ")</f>
        <v> </v>
      </c>
      <c r="T281" s="334" t="str">
        <f aca="false">IF((E281="b"),G281," ")</f>
        <v> </v>
      </c>
      <c r="U281" s="334" t="str">
        <f aca="false">IF((E281="i"),G281," ")</f>
        <v> </v>
      </c>
      <c r="V281" s="334" t="str">
        <f aca="false">IF((E281="o"),G281," ")</f>
        <v> </v>
      </c>
      <c r="W281" s="334" t="str">
        <f aca="false">IF((E281="f"),G281," ")</f>
        <v> </v>
      </c>
    </row>
    <row r="282" customFormat="false" ht="12.75" hidden="false" customHeight="false" outlineLevel="0" collapsed="false">
      <c r="A282" s="355"/>
      <c r="E282" s="365" t="str">
        <f aca="false">IF((G282&lt;&gt;0),"Enter Letter"," ")</f>
        <v> </v>
      </c>
      <c r="J282" s="334" t="str">
        <f aca="false">IF((E282="s"),G282," ")</f>
        <v> </v>
      </c>
      <c r="K282" s="334" t="str">
        <f aca="false">IF((E282="d"),G282," ")</f>
        <v> </v>
      </c>
      <c r="L282" s="334" t="str">
        <f aca="false">IF((E282="e"),G282," ")</f>
        <v> </v>
      </c>
      <c r="M282" s="334" t="str">
        <f aca="false">IF((E282="p"),G282," ")</f>
        <v> </v>
      </c>
      <c r="N282" s="334" t="str">
        <f aca="false">IF((E282="r"),G282," ")</f>
        <v> </v>
      </c>
      <c r="O282" s="334" t="str">
        <f aca="false">IF((E282="g"),G282," ")</f>
        <v> </v>
      </c>
      <c r="P282" s="334" t="str">
        <f aca="false">IF((E282="m"),G282," ")</f>
        <v> </v>
      </c>
      <c r="Q282" s="334" t="str">
        <f aca="false">IF((E282="t"),G282," ")</f>
        <v> </v>
      </c>
      <c r="R282" s="334" t="str">
        <f aca="false">IF((E282="a"),G282," ")</f>
        <v> </v>
      </c>
      <c r="S282" s="334" t="str">
        <f aca="false">IF((E282="l"),G282," ")</f>
        <v> </v>
      </c>
      <c r="T282" s="334" t="str">
        <f aca="false">IF((E282="b"),G282," ")</f>
        <v> </v>
      </c>
      <c r="U282" s="334" t="str">
        <f aca="false">IF((E282="i"),G282," ")</f>
        <v> </v>
      </c>
      <c r="V282" s="334" t="str">
        <f aca="false">IF((E282="o"),G282," ")</f>
        <v> </v>
      </c>
      <c r="W282" s="334" t="str">
        <f aca="false">IF((E282="f"),G282," ")</f>
        <v> </v>
      </c>
    </row>
    <row r="283" customFormat="false" ht="12.75" hidden="false" customHeight="false" outlineLevel="0" collapsed="false">
      <c r="A283" s="355"/>
      <c r="E283" s="365" t="str">
        <f aca="false">IF((G283&lt;&gt;0),"Enter Letter"," ")</f>
        <v> </v>
      </c>
      <c r="J283" s="334" t="str">
        <f aca="false">IF((E283="s"),G283," ")</f>
        <v> </v>
      </c>
      <c r="K283" s="334" t="str">
        <f aca="false">IF((E283="d"),G283," ")</f>
        <v> </v>
      </c>
      <c r="L283" s="334" t="str">
        <f aca="false">IF((E283="e"),G283," ")</f>
        <v> </v>
      </c>
      <c r="M283" s="334" t="str">
        <f aca="false">IF((E283="p"),G283," ")</f>
        <v> </v>
      </c>
      <c r="N283" s="334" t="str">
        <f aca="false">IF((E283="r"),G283," ")</f>
        <v> </v>
      </c>
      <c r="O283" s="334" t="str">
        <f aca="false">IF((E283="g"),G283," ")</f>
        <v> </v>
      </c>
      <c r="P283" s="334" t="str">
        <f aca="false">IF((E283="m"),G283," ")</f>
        <v> </v>
      </c>
      <c r="Q283" s="334" t="str">
        <f aca="false">IF((E283="t"),G283," ")</f>
        <v> </v>
      </c>
      <c r="R283" s="334" t="str">
        <f aca="false">IF((E283="a"),G283," ")</f>
        <v> </v>
      </c>
      <c r="S283" s="334" t="str">
        <f aca="false">IF((E283="l"),G283," ")</f>
        <v> </v>
      </c>
      <c r="T283" s="334" t="str">
        <f aca="false">IF((E283="b"),G283," ")</f>
        <v> </v>
      </c>
      <c r="U283" s="334" t="str">
        <f aca="false">IF((E283="i"),G283," ")</f>
        <v> </v>
      </c>
      <c r="V283" s="334" t="str">
        <f aca="false">IF((E283="o"),G283," ")</f>
        <v> </v>
      </c>
      <c r="W283" s="334" t="str">
        <f aca="false">IF((E283="f"),G283," ")</f>
        <v> </v>
      </c>
    </row>
    <row r="284" customFormat="false" ht="12.75" hidden="false" customHeight="false" outlineLevel="0" collapsed="false">
      <c r="A284" s="355"/>
      <c r="E284" s="365" t="str">
        <f aca="false">IF((G284&lt;&gt;0),"Enter Letter"," ")</f>
        <v> </v>
      </c>
      <c r="J284" s="334" t="str">
        <f aca="false">IF((E284="s"),G284," ")</f>
        <v> </v>
      </c>
      <c r="K284" s="334" t="str">
        <f aca="false">IF((E284="d"),G284," ")</f>
        <v> </v>
      </c>
      <c r="L284" s="334" t="str">
        <f aca="false">IF((E284="e"),G284," ")</f>
        <v> </v>
      </c>
      <c r="M284" s="334" t="str">
        <f aca="false">IF((E284="p"),G284," ")</f>
        <v> </v>
      </c>
      <c r="N284" s="334" t="str">
        <f aca="false">IF((E284="r"),G284," ")</f>
        <v> </v>
      </c>
      <c r="O284" s="334" t="str">
        <f aca="false">IF((E284="g"),G284," ")</f>
        <v> </v>
      </c>
      <c r="P284" s="334" t="str">
        <f aca="false">IF((E284="m"),G284," ")</f>
        <v> </v>
      </c>
      <c r="Q284" s="334" t="str">
        <f aca="false">IF((E284="t"),G284," ")</f>
        <v> </v>
      </c>
      <c r="R284" s="334" t="str">
        <f aca="false">IF((E284="a"),G284," ")</f>
        <v> </v>
      </c>
      <c r="S284" s="334" t="str">
        <f aca="false">IF((E284="l"),G284," ")</f>
        <v> </v>
      </c>
      <c r="T284" s="334" t="str">
        <f aca="false">IF((E284="b"),G284," ")</f>
        <v> </v>
      </c>
      <c r="U284" s="334" t="str">
        <f aca="false">IF((E284="i"),G284," ")</f>
        <v> </v>
      </c>
      <c r="V284" s="334" t="str">
        <f aca="false">IF((E284="o"),G284," ")</f>
        <v> </v>
      </c>
      <c r="W284" s="334" t="str">
        <f aca="false">IF((E284="f"),G284," ")</f>
        <v> </v>
      </c>
    </row>
    <row r="285" customFormat="false" ht="12.75" hidden="false" customHeight="false" outlineLevel="0" collapsed="false">
      <c r="A285" s="355"/>
      <c r="E285" s="365" t="str">
        <f aca="false">IF((G285&lt;&gt;0),"Enter Letter"," ")</f>
        <v> </v>
      </c>
      <c r="J285" s="334" t="str">
        <f aca="false">IF((E285="s"),G285," ")</f>
        <v> </v>
      </c>
      <c r="K285" s="334" t="str">
        <f aca="false">IF((E285="d"),G285," ")</f>
        <v> </v>
      </c>
      <c r="L285" s="334" t="str">
        <f aca="false">IF((E285="e"),G285," ")</f>
        <v> </v>
      </c>
      <c r="M285" s="334" t="str">
        <f aca="false">IF((E285="p"),G285," ")</f>
        <v> </v>
      </c>
      <c r="N285" s="334" t="str">
        <f aca="false">IF((E285="r"),G285," ")</f>
        <v> </v>
      </c>
      <c r="O285" s="334" t="str">
        <f aca="false">IF((E285="g"),G285," ")</f>
        <v> </v>
      </c>
      <c r="P285" s="334" t="str">
        <f aca="false">IF((E285="m"),G285," ")</f>
        <v> </v>
      </c>
      <c r="Q285" s="334" t="str">
        <f aca="false">IF((E285="t"),G285," ")</f>
        <v> </v>
      </c>
      <c r="R285" s="334" t="str">
        <f aca="false">IF((E285="a"),G285," ")</f>
        <v> </v>
      </c>
      <c r="S285" s="334" t="str">
        <f aca="false">IF((E285="l"),G285," ")</f>
        <v> </v>
      </c>
      <c r="T285" s="334" t="str">
        <f aca="false">IF((E285="b"),G285," ")</f>
        <v> </v>
      </c>
      <c r="U285" s="334" t="str">
        <f aca="false">IF((E285="i"),G285," ")</f>
        <v> </v>
      </c>
      <c r="V285" s="334" t="str">
        <f aca="false">IF((E285="o"),G285," ")</f>
        <v> </v>
      </c>
      <c r="W285" s="334" t="str">
        <f aca="false">IF((E285="f"),G285," ")</f>
        <v> </v>
      </c>
    </row>
    <row r="286" customFormat="false" ht="12.75" hidden="false" customHeight="false" outlineLevel="0" collapsed="false">
      <c r="A286" s="355"/>
      <c r="E286" s="365" t="str">
        <f aca="false">IF((G286&lt;&gt;0),"Enter Letter"," ")</f>
        <v> </v>
      </c>
      <c r="J286" s="334" t="str">
        <f aca="false">IF((E286="s"),G286," ")</f>
        <v> </v>
      </c>
      <c r="K286" s="334" t="str">
        <f aca="false">IF((E286="d"),G286," ")</f>
        <v> </v>
      </c>
      <c r="L286" s="334" t="str">
        <f aca="false">IF((E286="e"),G286," ")</f>
        <v> </v>
      </c>
      <c r="M286" s="334" t="str">
        <f aca="false">IF((E286="p"),G286," ")</f>
        <v> </v>
      </c>
      <c r="N286" s="334" t="str">
        <f aca="false">IF((E286="r"),G286," ")</f>
        <v> </v>
      </c>
      <c r="O286" s="334" t="str">
        <f aca="false">IF((E286="g"),G286," ")</f>
        <v> </v>
      </c>
      <c r="P286" s="334" t="str">
        <f aca="false">IF((E286="m"),G286," ")</f>
        <v> </v>
      </c>
      <c r="Q286" s="334" t="str">
        <f aca="false">IF((E286="t"),G286," ")</f>
        <v> </v>
      </c>
      <c r="R286" s="334" t="str">
        <f aca="false">IF((E286="a"),G286," ")</f>
        <v> </v>
      </c>
      <c r="S286" s="334" t="str">
        <f aca="false">IF((E286="l"),G286," ")</f>
        <v> </v>
      </c>
      <c r="T286" s="334" t="str">
        <f aca="false">IF((E286="b"),G286," ")</f>
        <v> </v>
      </c>
      <c r="U286" s="334" t="str">
        <f aca="false">IF((E286="i"),G286," ")</f>
        <v> </v>
      </c>
      <c r="V286" s="334" t="str">
        <f aca="false">IF((E286="o"),G286," ")</f>
        <v> </v>
      </c>
      <c r="W286" s="334" t="str">
        <f aca="false">IF((E286="f"),G286," ")</f>
        <v> </v>
      </c>
    </row>
    <row r="287" customFormat="false" ht="12.75" hidden="false" customHeight="false" outlineLevel="0" collapsed="false">
      <c r="A287" s="355"/>
      <c r="E287" s="365" t="str">
        <f aca="false">IF((G287&lt;&gt;0),"Enter Letter"," ")</f>
        <v> </v>
      </c>
      <c r="J287" s="334" t="str">
        <f aca="false">IF((E287="s"),G287," ")</f>
        <v> </v>
      </c>
      <c r="K287" s="334" t="str">
        <f aca="false">IF((E287="d"),G287," ")</f>
        <v> </v>
      </c>
      <c r="L287" s="334" t="str">
        <f aca="false">IF((E287="e"),G287," ")</f>
        <v> </v>
      </c>
      <c r="M287" s="334" t="str">
        <f aca="false">IF((E287="p"),G287," ")</f>
        <v> </v>
      </c>
      <c r="N287" s="334" t="str">
        <f aca="false">IF((E287="r"),G287," ")</f>
        <v> </v>
      </c>
      <c r="O287" s="334" t="str">
        <f aca="false">IF((E287="g"),G287," ")</f>
        <v> </v>
      </c>
      <c r="P287" s="334" t="str">
        <f aca="false">IF((E287="m"),G287," ")</f>
        <v> </v>
      </c>
      <c r="Q287" s="334" t="str">
        <f aca="false">IF((E287="t"),G287," ")</f>
        <v> </v>
      </c>
      <c r="R287" s="334" t="str">
        <f aca="false">IF((E287="a"),G287," ")</f>
        <v> </v>
      </c>
      <c r="S287" s="334" t="str">
        <f aca="false">IF((E287="l"),G287," ")</f>
        <v> </v>
      </c>
      <c r="T287" s="334" t="str">
        <f aca="false">IF((E287="b"),G287," ")</f>
        <v> </v>
      </c>
      <c r="U287" s="334" t="str">
        <f aca="false">IF((E287="i"),G287," ")</f>
        <v> </v>
      </c>
      <c r="V287" s="334" t="str">
        <f aca="false">IF((E287="o"),G287," ")</f>
        <v> </v>
      </c>
      <c r="W287" s="334" t="str">
        <f aca="false">IF((E287="f"),G287," ")</f>
        <v> </v>
      </c>
    </row>
    <row r="288" customFormat="false" ht="12.75" hidden="false" customHeight="false" outlineLevel="0" collapsed="false">
      <c r="A288" s="355"/>
      <c r="E288" s="365" t="str">
        <f aca="false">IF((G288&lt;&gt;0),"Enter Letter"," ")</f>
        <v> </v>
      </c>
      <c r="J288" s="334" t="str">
        <f aca="false">IF((E288="s"),G288," ")</f>
        <v> </v>
      </c>
      <c r="K288" s="334" t="str">
        <f aca="false">IF((E288="d"),G288," ")</f>
        <v> </v>
      </c>
      <c r="L288" s="334" t="str">
        <f aca="false">IF((E288="e"),G288," ")</f>
        <v> </v>
      </c>
      <c r="M288" s="334" t="str">
        <f aca="false">IF((E288="p"),G288," ")</f>
        <v> </v>
      </c>
      <c r="N288" s="334" t="str">
        <f aca="false">IF((E288="r"),G288," ")</f>
        <v> </v>
      </c>
      <c r="O288" s="334" t="str">
        <f aca="false">IF((E288="g"),G288," ")</f>
        <v> </v>
      </c>
      <c r="P288" s="334" t="str">
        <f aca="false">IF((E288="m"),G288," ")</f>
        <v> </v>
      </c>
      <c r="Q288" s="334" t="str">
        <f aca="false">IF((E288="t"),G288," ")</f>
        <v> </v>
      </c>
      <c r="R288" s="334" t="str">
        <f aca="false">IF((E288="a"),G288," ")</f>
        <v> </v>
      </c>
      <c r="S288" s="334" t="str">
        <f aca="false">IF((E288="l"),G288," ")</f>
        <v> </v>
      </c>
      <c r="T288" s="334" t="str">
        <f aca="false">IF((E288="b"),G288," ")</f>
        <v> </v>
      </c>
      <c r="U288" s="334" t="str">
        <f aca="false">IF((E288="i"),G288," ")</f>
        <v> </v>
      </c>
      <c r="V288" s="334" t="str">
        <f aca="false">IF((E288="o"),G288," ")</f>
        <v> </v>
      </c>
      <c r="W288" s="334" t="str">
        <f aca="false">IF((E288="f"),G288," ")</f>
        <v> </v>
      </c>
    </row>
    <row r="289" customFormat="false" ht="12.75" hidden="false" customHeight="false" outlineLevel="0" collapsed="false">
      <c r="A289" s="355"/>
      <c r="E289" s="365" t="str">
        <f aca="false">IF((G289&lt;&gt;0),"Enter Letter"," ")</f>
        <v> </v>
      </c>
      <c r="J289" s="334" t="str">
        <f aca="false">IF((E289="s"),G289," ")</f>
        <v> </v>
      </c>
      <c r="K289" s="334" t="str">
        <f aca="false">IF((E289="d"),G289," ")</f>
        <v> </v>
      </c>
      <c r="L289" s="334" t="str">
        <f aca="false">IF((E289="e"),G289," ")</f>
        <v> </v>
      </c>
      <c r="M289" s="334" t="str">
        <f aca="false">IF((E289="p"),G289," ")</f>
        <v> </v>
      </c>
      <c r="N289" s="334" t="str">
        <f aca="false">IF((E289="r"),G289," ")</f>
        <v> </v>
      </c>
      <c r="O289" s="334" t="str">
        <f aca="false">IF((E289="g"),G289," ")</f>
        <v> </v>
      </c>
      <c r="P289" s="334" t="str">
        <f aca="false">IF((E289="m"),G289," ")</f>
        <v> </v>
      </c>
      <c r="Q289" s="334" t="str">
        <f aca="false">IF((E289="t"),G289," ")</f>
        <v> </v>
      </c>
      <c r="R289" s="334" t="str">
        <f aca="false">IF((E289="a"),G289," ")</f>
        <v> </v>
      </c>
      <c r="S289" s="334" t="str">
        <f aca="false">IF((E289="l"),G289," ")</f>
        <v> </v>
      </c>
      <c r="T289" s="334" t="str">
        <f aca="false">IF((E289="b"),G289," ")</f>
        <v> </v>
      </c>
      <c r="U289" s="334" t="str">
        <f aca="false">IF((E289="i"),G289," ")</f>
        <v> </v>
      </c>
      <c r="V289" s="334" t="str">
        <f aca="false">IF((E289="o"),G289," ")</f>
        <v> </v>
      </c>
      <c r="W289" s="334" t="str">
        <f aca="false">IF((E289="f"),G289," ")</f>
        <v> </v>
      </c>
    </row>
    <row r="290" customFormat="false" ht="12.75" hidden="false" customHeight="false" outlineLevel="0" collapsed="false">
      <c r="A290" s="355"/>
      <c r="E290" s="365" t="str">
        <f aca="false">IF((G290&lt;&gt;0),"Enter Letter"," ")</f>
        <v> </v>
      </c>
      <c r="J290" s="334" t="str">
        <f aca="false">IF((E290="s"),G290," ")</f>
        <v> </v>
      </c>
      <c r="K290" s="334" t="str">
        <f aca="false">IF((E290="d"),G290," ")</f>
        <v> </v>
      </c>
      <c r="L290" s="334" t="str">
        <f aca="false">IF((E290="e"),G290," ")</f>
        <v> </v>
      </c>
      <c r="M290" s="334" t="str">
        <f aca="false">IF((E290="p"),G290," ")</f>
        <v> </v>
      </c>
      <c r="N290" s="334" t="str">
        <f aca="false">IF((E290="r"),G290," ")</f>
        <v> </v>
      </c>
      <c r="O290" s="334" t="str">
        <f aca="false">IF((E290="g"),G290," ")</f>
        <v> </v>
      </c>
      <c r="P290" s="334" t="str">
        <f aca="false">IF((E290="m"),G290," ")</f>
        <v> </v>
      </c>
      <c r="Q290" s="334" t="str">
        <f aca="false">IF((E290="t"),G290," ")</f>
        <v> </v>
      </c>
      <c r="R290" s="334" t="str">
        <f aca="false">IF((E290="a"),G290," ")</f>
        <v> </v>
      </c>
      <c r="S290" s="334" t="str">
        <f aca="false">IF((E290="l"),G290," ")</f>
        <v> </v>
      </c>
      <c r="T290" s="334" t="str">
        <f aca="false">IF((E290="b"),G290," ")</f>
        <v> </v>
      </c>
      <c r="U290" s="334" t="str">
        <f aca="false">IF((E290="i"),G290," ")</f>
        <v> </v>
      </c>
      <c r="V290" s="334" t="str">
        <f aca="false">IF((E290="o"),G290," ")</f>
        <v> </v>
      </c>
      <c r="W290" s="334" t="str">
        <f aca="false">IF((E290="f"),G290," ")</f>
        <v> </v>
      </c>
    </row>
    <row r="291" customFormat="false" ht="12.75" hidden="false" customHeight="false" outlineLevel="0" collapsed="false">
      <c r="A291" s="355"/>
      <c r="E291" s="365" t="str">
        <f aca="false">IF((G291&lt;&gt;0),"Enter Letter"," ")</f>
        <v> </v>
      </c>
      <c r="J291" s="334" t="str">
        <f aca="false">IF((E291="s"),G291," ")</f>
        <v> </v>
      </c>
      <c r="K291" s="334" t="str">
        <f aca="false">IF((E291="d"),G291," ")</f>
        <v> </v>
      </c>
      <c r="L291" s="334" t="str">
        <f aca="false">IF((E291="e"),G291," ")</f>
        <v> </v>
      </c>
      <c r="M291" s="334" t="str">
        <f aca="false">IF((E291="p"),G291," ")</f>
        <v> </v>
      </c>
      <c r="N291" s="334" t="str">
        <f aca="false">IF((E291="r"),G291," ")</f>
        <v> </v>
      </c>
      <c r="O291" s="334" t="str">
        <f aca="false">IF((E291="g"),G291," ")</f>
        <v> </v>
      </c>
      <c r="P291" s="334" t="str">
        <f aca="false">IF((E291="m"),G291," ")</f>
        <v> </v>
      </c>
      <c r="Q291" s="334" t="str">
        <f aca="false">IF((E291="t"),G291," ")</f>
        <v> </v>
      </c>
      <c r="R291" s="334" t="str">
        <f aca="false">IF((E291="a"),G291," ")</f>
        <v> </v>
      </c>
      <c r="S291" s="334" t="str">
        <f aca="false">IF((E291="l"),G291," ")</f>
        <v> </v>
      </c>
      <c r="T291" s="334" t="str">
        <f aca="false">IF((E291="b"),G291," ")</f>
        <v> </v>
      </c>
      <c r="U291" s="334" t="str">
        <f aca="false">IF((E291="i"),G291," ")</f>
        <v> </v>
      </c>
      <c r="V291" s="334" t="str">
        <f aca="false">IF((E291="o"),G291," ")</f>
        <v> </v>
      </c>
      <c r="W291" s="334" t="str">
        <f aca="false">IF((E291="f"),G291," ")</f>
        <v> </v>
      </c>
    </row>
    <row r="292" customFormat="false" ht="12.75" hidden="false" customHeight="false" outlineLevel="0" collapsed="false">
      <c r="A292" s="355"/>
      <c r="E292" s="365" t="str">
        <f aca="false">IF((G292&lt;&gt;0),"Enter Letter"," ")</f>
        <v> </v>
      </c>
      <c r="J292" s="334" t="str">
        <f aca="false">IF((E292="s"),G292," ")</f>
        <v> </v>
      </c>
      <c r="K292" s="334" t="str">
        <f aca="false">IF((E292="d"),G292," ")</f>
        <v> </v>
      </c>
      <c r="L292" s="334" t="str">
        <f aca="false">IF((E292="e"),G292," ")</f>
        <v> </v>
      </c>
      <c r="M292" s="334" t="str">
        <f aca="false">IF((E292="p"),G292," ")</f>
        <v> </v>
      </c>
      <c r="N292" s="334" t="str">
        <f aca="false">IF((E292="r"),G292," ")</f>
        <v> </v>
      </c>
      <c r="O292" s="334" t="str">
        <f aca="false">IF((E292="g"),G292," ")</f>
        <v> </v>
      </c>
      <c r="P292" s="334" t="str">
        <f aca="false">IF((E292="m"),G292," ")</f>
        <v> </v>
      </c>
      <c r="Q292" s="334" t="str">
        <f aca="false">IF((E292="t"),G292," ")</f>
        <v> </v>
      </c>
      <c r="R292" s="334" t="str">
        <f aca="false">IF((E292="a"),G292," ")</f>
        <v> </v>
      </c>
      <c r="S292" s="334" t="str">
        <f aca="false">IF((E292="l"),G292," ")</f>
        <v> </v>
      </c>
      <c r="T292" s="334" t="str">
        <f aca="false">IF((E292="b"),G292," ")</f>
        <v> </v>
      </c>
      <c r="U292" s="334" t="str">
        <f aca="false">IF((E292="i"),G292," ")</f>
        <v> </v>
      </c>
      <c r="V292" s="334" t="str">
        <f aca="false">IF((E292="o"),G292," ")</f>
        <v> </v>
      </c>
      <c r="W292" s="334" t="str">
        <f aca="false">IF((E292="f"),G292," ")</f>
        <v> </v>
      </c>
    </row>
    <row r="293" customFormat="false" ht="12.75" hidden="false" customHeight="false" outlineLevel="0" collapsed="false">
      <c r="A293" s="355"/>
      <c r="E293" s="365" t="str">
        <f aca="false">IF((G293&lt;&gt;0),"Enter Letter"," ")</f>
        <v> </v>
      </c>
      <c r="J293" s="334" t="str">
        <f aca="false">IF((E293="s"),G293," ")</f>
        <v> </v>
      </c>
      <c r="K293" s="334" t="str">
        <f aca="false">IF((E293="d"),G293," ")</f>
        <v> </v>
      </c>
      <c r="L293" s="334" t="str">
        <f aca="false">IF((E293="e"),G293," ")</f>
        <v> </v>
      </c>
      <c r="M293" s="334" t="str">
        <f aca="false">IF((E293="p"),G293," ")</f>
        <v> </v>
      </c>
      <c r="N293" s="334" t="str">
        <f aca="false">IF((E293="r"),G293," ")</f>
        <v> </v>
      </c>
      <c r="O293" s="334" t="str">
        <f aca="false">IF((E293="g"),G293," ")</f>
        <v> </v>
      </c>
      <c r="P293" s="334" t="str">
        <f aca="false">IF((E293="m"),G293," ")</f>
        <v> </v>
      </c>
      <c r="Q293" s="334" t="str">
        <f aca="false">IF((E293="t"),G293," ")</f>
        <v> </v>
      </c>
      <c r="R293" s="334" t="str">
        <f aca="false">IF((E293="a"),G293," ")</f>
        <v> </v>
      </c>
      <c r="S293" s="334" t="str">
        <f aca="false">IF((E293="l"),G293," ")</f>
        <v> </v>
      </c>
      <c r="T293" s="334" t="str">
        <f aca="false">IF((E293="b"),G293," ")</f>
        <v> </v>
      </c>
      <c r="U293" s="334" t="str">
        <f aca="false">IF((E293="i"),G293," ")</f>
        <v> </v>
      </c>
      <c r="V293" s="334" t="str">
        <f aca="false">IF((E293="o"),G293," ")</f>
        <v> </v>
      </c>
      <c r="W293" s="334" t="str">
        <f aca="false">IF((E293="f"),G293," ")</f>
        <v> </v>
      </c>
    </row>
    <row r="294" customFormat="false" ht="12.75" hidden="false" customHeight="false" outlineLevel="0" collapsed="false">
      <c r="A294" s="355"/>
      <c r="E294" s="365" t="str">
        <f aca="false">IF((G294&lt;&gt;0),"Enter Letter"," ")</f>
        <v> </v>
      </c>
      <c r="J294" s="334" t="str">
        <f aca="false">IF((E294="s"),G294," ")</f>
        <v> </v>
      </c>
      <c r="K294" s="334" t="str">
        <f aca="false">IF((E294="d"),G294," ")</f>
        <v> </v>
      </c>
      <c r="L294" s="334" t="str">
        <f aca="false">IF((E294="e"),G294," ")</f>
        <v> </v>
      </c>
      <c r="M294" s="334" t="str">
        <f aca="false">IF((E294="p"),G294," ")</f>
        <v> </v>
      </c>
      <c r="N294" s="334" t="str">
        <f aca="false">IF((E294="r"),G294," ")</f>
        <v> </v>
      </c>
      <c r="O294" s="334" t="str">
        <f aca="false">IF((E294="g"),G294," ")</f>
        <v> </v>
      </c>
      <c r="P294" s="334" t="str">
        <f aca="false">IF((E294="m"),G294," ")</f>
        <v> </v>
      </c>
      <c r="Q294" s="334" t="str">
        <f aca="false">IF((E294="t"),G294," ")</f>
        <v> </v>
      </c>
      <c r="R294" s="334" t="str">
        <f aca="false">IF((E294="a"),G294," ")</f>
        <v> </v>
      </c>
      <c r="S294" s="334" t="str">
        <f aca="false">IF((E294="l"),G294," ")</f>
        <v> </v>
      </c>
      <c r="T294" s="334" t="str">
        <f aca="false">IF((E294="b"),G294," ")</f>
        <v> </v>
      </c>
      <c r="U294" s="334" t="str">
        <f aca="false">IF((E294="i"),G294," ")</f>
        <v> </v>
      </c>
      <c r="V294" s="334" t="str">
        <f aca="false">IF((E294="o"),G294," ")</f>
        <v> </v>
      </c>
      <c r="W294" s="334" t="str">
        <f aca="false">IF((E294="f"),G294," ")</f>
        <v> </v>
      </c>
    </row>
    <row r="295" customFormat="false" ht="12.75" hidden="false" customHeight="false" outlineLevel="0" collapsed="false">
      <c r="A295" s="355"/>
      <c r="E295" s="365" t="str">
        <f aca="false">IF((G295&lt;&gt;0),"Enter Letter"," ")</f>
        <v> </v>
      </c>
      <c r="J295" s="334" t="str">
        <f aca="false">IF((E295="s"),G295," ")</f>
        <v> </v>
      </c>
      <c r="K295" s="334" t="str">
        <f aca="false">IF((E295="d"),G295," ")</f>
        <v> </v>
      </c>
      <c r="L295" s="334" t="str">
        <f aca="false">IF((E295="e"),G295," ")</f>
        <v> </v>
      </c>
      <c r="M295" s="334" t="str">
        <f aca="false">IF((E295="p"),G295," ")</f>
        <v> </v>
      </c>
      <c r="N295" s="334" t="str">
        <f aca="false">IF((E295="r"),G295," ")</f>
        <v> </v>
      </c>
      <c r="O295" s="334" t="str">
        <f aca="false">IF((E295="g"),G295," ")</f>
        <v> </v>
      </c>
      <c r="P295" s="334" t="str">
        <f aca="false">IF((E295="m"),G295," ")</f>
        <v> </v>
      </c>
      <c r="Q295" s="334" t="str">
        <f aca="false">IF((E295="t"),G295," ")</f>
        <v> </v>
      </c>
      <c r="R295" s="334" t="str">
        <f aca="false">IF((E295="a"),G295," ")</f>
        <v> </v>
      </c>
      <c r="S295" s="334" t="str">
        <f aca="false">IF((E295="l"),G295," ")</f>
        <v> </v>
      </c>
      <c r="T295" s="334" t="str">
        <f aca="false">IF((E295="b"),G295," ")</f>
        <v> </v>
      </c>
      <c r="U295" s="334" t="str">
        <f aca="false">IF((E295="i"),G295," ")</f>
        <v> </v>
      </c>
      <c r="V295" s="334" t="str">
        <f aca="false">IF((E295="o"),G295," ")</f>
        <v> </v>
      </c>
      <c r="W295" s="334" t="str">
        <f aca="false">IF((E295="f"),G295," ")</f>
        <v> </v>
      </c>
    </row>
    <row r="296" customFormat="false" ht="12.75" hidden="false" customHeight="false" outlineLevel="0" collapsed="false">
      <c r="A296" s="355"/>
      <c r="E296" s="365" t="str">
        <f aca="false">IF((G296&lt;&gt;0),"Enter Letter"," ")</f>
        <v> </v>
      </c>
      <c r="J296" s="334" t="str">
        <f aca="false">IF((E296="s"),G296," ")</f>
        <v> </v>
      </c>
      <c r="K296" s="334" t="str">
        <f aca="false">IF((E296="d"),G296," ")</f>
        <v> </v>
      </c>
      <c r="L296" s="334" t="str">
        <f aca="false">IF((E296="e"),G296," ")</f>
        <v> </v>
      </c>
      <c r="M296" s="334" t="str">
        <f aca="false">IF((E296="p"),G296," ")</f>
        <v> </v>
      </c>
      <c r="N296" s="334" t="str">
        <f aca="false">IF((E296="r"),G296," ")</f>
        <v> </v>
      </c>
      <c r="O296" s="334" t="str">
        <f aca="false">IF((E296="g"),G296," ")</f>
        <v> </v>
      </c>
      <c r="P296" s="334" t="str">
        <f aca="false">IF((E296="m"),G296," ")</f>
        <v> </v>
      </c>
      <c r="Q296" s="334" t="str">
        <f aca="false">IF((E296="t"),G296," ")</f>
        <v> </v>
      </c>
      <c r="R296" s="334" t="str">
        <f aca="false">IF((E296="a"),G296," ")</f>
        <v> </v>
      </c>
      <c r="S296" s="334" t="str">
        <f aca="false">IF((E296="l"),G296," ")</f>
        <v> </v>
      </c>
      <c r="T296" s="334" t="str">
        <f aca="false">IF((E296="b"),G296," ")</f>
        <v> </v>
      </c>
      <c r="U296" s="334" t="str">
        <f aca="false">IF((E296="i"),G296," ")</f>
        <v> </v>
      </c>
      <c r="V296" s="334" t="str">
        <f aca="false">IF((E296="o"),G296," ")</f>
        <v> </v>
      </c>
      <c r="W296" s="334" t="str">
        <f aca="false">IF((E296="f"),G296," ")</f>
        <v> </v>
      </c>
    </row>
    <row r="297" customFormat="false" ht="12.75" hidden="false" customHeight="false" outlineLevel="0" collapsed="false">
      <c r="A297" s="355"/>
      <c r="E297" s="365" t="str">
        <f aca="false">IF((G297&lt;&gt;0),"Enter Letter"," ")</f>
        <v> </v>
      </c>
      <c r="J297" s="334" t="str">
        <f aca="false">IF((E297="s"),G297," ")</f>
        <v> </v>
      </c>
      <c r="K297" s="334" t="str">
        <f aca="false">IF((E297="d"),G297," ")</f>
        <v> </v>
      </c>
      <c r="L297" s="334" t="str">
        <f aca="false">IF((E297="e"),G297," ")</f>
        <v> </v>
      </c>
      <c r="M297" s="334" t="str">
        <f aca="false">IF((E297="p"),G297," ")</f>
        <v> </v>
      </c>
      <c r="N297" s="334" t="str">
        <f aca="false">IF((E297="r"),G297," ")</f>
        <v> </v>
      </c>
      <c r="O297" s="334" t="str">
        <f aca="false">IF((E297="g"),G297," ")</f>
        <v> </v>
      </c>
      <c r="P297" s="334" t="str">
        <f aca="false">IF((E297="m"),G297," ")</f>
        <v> </v>
      </c>
      <c r="Q297" s="334" t="str">
        <f aca="false">IF((E297="t"),G297," ")</f>
        <v> </v>
      </c>
      <c r="R297" s="334" t="str">
        <f aca="false">IF((E297="a"),G297," ")</f>
        <v> </v>
      </c>
      <c r="S297" s="334" t="str">
        <f aca="false">IF((E297="l"),G297," ")</f>
        <v> </v>
      </c>
      <c r="T297" s="334" t="str">
        <f aca="false">IF((E297="b"),G297," ")</f>
        <v> </v>
      </c>
      <c r="U297" s="334" t="str">
        <f aca="false">IF((E297="i"),G297," ")</f>
        <v> </v>
      </c>
      <c r="V297" s="334" t="str">
        <f aca="false">IF((E297="o"),G297," ")</f>
        <v> </v>
      </c>
      <c r="W297" s="334" t="str">
        <f aca="false">IF((E297="f"),G297," ")</f>
        <v> </v>
      </c>
    </row>
    <row r="298" customFormat="false" ht="12.75" hidden="false" customHeight="false" outlineLevel="0" collapsed="false">
      <c r="A298" s="355"/>
      <c r="E298" s="365" t="str">
        <f aca="false">IF((G298&lt;&gt;0),"Enter Letter"," ")</f>
        <v> </v>
      </c>
      <c r="J298" s="334" t="str">
        <f aca="false">IF((E298="s"),G298," ")</f>
        <v> </v>
      </c>
      <c r="K298" s="334" t="str">
        <f aca="false">IF((E298="d"),G298," ")</f>
        <v> </v>
      </c>
      <c r="L298" s="334" t="str">
        <f aca="false">IF((E298="e"),G298," ")</f>
        <v> </v>
      </c>
      <c r="M298" s="334" t="str">
        <f aca="false">IF((E298="p"),G298," ")</f>
        <v> </v>
      </c>
      <c r="N298" s="334" t="str">
        <f aca="false">IF((E298="r"),G298," ")</f>
        <v> </v>
      </c>
      <c r="O298" s="334" t="str">
        <f aca="false">IF((E298="g"),G298," ")</f>
        <v> </v>
      </c>
      <c r="P298" s="334" t="str">
        <f aca="false">IF((E298="m"),G298," ")</f>
        <v> </v>
      </c>
      <c r="Q298" s="334" t="str">
        <f aca="false">IF((E298="t"),G298," ")</f>
        <v> </v>
      </c>
      <c r="R298" s="334" t="str">
        <f aca="false">IF((E298="a"),G298," ")</f>
        <v> </v>
      </c>
      <c r="S298" s="334" t="str">
        <f aca="false">IF((E298="l"),G298," ")</f>
        <v> </v>
      </c>
      <c r="T298" s="334" t="str">
        <f aca="false">IF((E298="b"),G298," ")</f>
        <v> </v>
      </c>
      <c r="U298" s="334" t="str">
        <f aca="false">IF((E298="i"),G298," ")</f>
        <v> </v>
      </c>
      <c r="V298" s="334" t="str">
        <f aca="false">IF((E298="o"),G298," ")</f>
        <v> </v>
      </c>
      <c r="W298" s="334" t="str">
        <f aca="false">IF((E298="f"),G298," ")</f>
        <v> </v>
      </c>
    </row>
    <row r="299" customFormat="false" ht="12.75" hidden="false" customHeight="false" outlineLevel="0" collapsed="false">
      <c r="A299" s="355"/>
      <c r="E299" s="365" t="str">
        <f aca="false">IF((G299&lt;&gt;0),"Enter Letter"," ")</f>
        <v> </v>
      </c>
      <c r="J299" s="334" t="str">
        <f aca="false">IF((E299="s"),G299," ")</f>
        <v> </v>
      </c>
      <c r="K299" s="334" t="str">
        <f aca="false">IF((E299="d"),G299," ")</f>
        <v> </v>
      </c>
      <c r="L299" s="334" t="str">
        <f aca="false">IF((E299="e"),G299," ")</f>
        <v> </v>
      </c>
      <c r="M299" s="334" t="str">
        <f aca="false">IF((E299="p"),G299," ")</f>
        <v> </v>
      </c>
      <c r="N299" s="334" t="str">
        <f aca="false">IF((E299="r"),G299," ")</f>
        <v> </v>
      </c>
      <c r="O299" s="334" t="str">
        <f aca="false">IF((E299="g"),G299," ")</f>
        <v> </v>
      </c>
      <c r="P299" s="334" t="str">
        <f aca="false">IF((E299="m"),G299," ")</f>
        <v> </v>
      </c>
      <c r="Q299" s="334" t="str">
        <f aca="false">IF((E299="t"),G299," ")</f>
        <v> </v>
      </c>
      <c r="R299" s="334" t="str">
        <f aca="false">IF((E299="a"),G299," ")</f>
        <v> </v>
      </c>
      <c r="S299" s="334" t="str">
        <f aca="false">IF((E299="l"),G299," ")</f>
        <v> </v>
      </c>
      <c r="T299" s="334" t="str">
        <f aca="false">IF((E299="b"),G299," ")</f>
        <v> </v>
      </c>
      <c r="U299" s="334" t="str">
        <f aca="false">IF((E299="i"),G299," ")</f>
        <v> </v>
      </c>
      <c r="V299" s="334" t="str">
        <f aca="false">IF((E299="o"),G299," ")</f>
        <v> </v>
      </c>
      <c r="W299" s="334" t="str">
        <f aca="false">IF((E299="f"),G299," ")</f>
        <v> </v>
      </c>
    </row>
    <row r="300" customFormat="false" ht="12.75" hidden="false" customHeight="false" outlineLevel="0" collapsed="false">
      <c r="A300" s="355"/>
      <c r="B300" s="393"/>
      <c r="C300" s="393"/>
      <c r="D300" s="394"/>
      <c r="E300" s="395" t="str">
        <f aca="false">IF((G300&lt;&gt;0),"Enter Letter"," ")</f>
        <v> </v>
      </c>
      <c r="F300" s="396"/>
      <c r="G300" s="397"/>
      <c r="H300" s="360"/>
      <c r="I300" s="398"/>
      <c r="J300" s="356" t="str">
        <f aca="false">IF((E300="s"),G300," ")</f>
        <v> </v>
      </c>
      <c r="K300" s="356" t="str">
        <f aca="false">IF((E300="d"),G300," ")</f>
        <v> </v>
      </c>
      <c r="L300" s="356" t="str">
        <f aca="false">IF((E300="e"),G300," ")</f>
        <v> </v>
      </c>
      <c r="M300" s="356" t="str">
        <f aca="false">IF((E300="p"),G300," ")</f>
        <v> </v>
      </c>
      <c r="N300" s="356" t="str">
        <f aca="false">IF((E300="r"),G300," ")</f>
        <v> </v>
      </c>
      <c r="O300" s="356" t="str">
        <f aca="false">IF((E300="g"),G300," ")</f>
        <v> </v>
      </c>
      <c r="P300" s="356" t="str">
        <f aca="false">IF((E300="m"),G300," ")</f>
        <v> </v>
      </c>
      <c r="Q300" s="356" t="str">
        <f aca="false">IF((E300="t"),G300," ")</f>
        <v> </v>
      </c>
      <c r="R300" s="356" t="str">
        <f aca="false">IF((E300="a"),G300," ")</f>
        <v> </v>
      </c>
      <c r="S300" s="356" t="str">
        <f aca="false">IF((E300="l"),G300," ")</f>
        <v> </v>
      </c>
      <c r="T300" s="356" t="str">
        <f aca="false">IF((E300="b"),G300," ")</f>
        <v> </v>
      </c>
      <c r="U300" s="356" t="str">
        <f aca="false">IF((E300="i"),G300," ")</f>
        <v> </v>
      </c>
      <c r="V300" s="356" t="str">
        <f aca="false">IF((E300="o"),G300," ")</f>
        <v> </v>
      </c>
      <c r="W300" s="356" t="str">
        <f aca="false">IF((E300="f"),G300," ")</f>
        <v> </v>
      </c>
    </row>
  </sheetData>
  <mergeCells count="25">
    <mergeCell ref="A2:A4"/>
    <mergeCell ref="B2:B4"/>
    <mergeCell ref="C2:C4"/>
    <mergeCell ref="D2:D4"/>
    <mergeCell ref="E2:E3"/>
    <mergeCell ref="F2:F4"/>
    <mergeCell ref="G2:G3"/>
    <mergeCell ref="H2:H4"/>
    <mergeCell ref="I2:I4"/>
    <mergeCell ref="J2:J3"/>
    <mergeCell ref="K2:K3"/>
    <mergeCell ref="L2:L3"/>
    <mergeCell ref="M2:M3"/>
    <mergeCell ref="N2:N3"/>
    <mergeCell ref="O2:O3"/>
    <mergeCell ref="Q2:Q3"/>
    <mergeCell ref="R2:R3"/>
    <mergeCell ref="S2:S3"/>
    <mergeCell ref="T2:T3"/>
    <mergeCell ref="U2:U3"/>
    <mergeCell ref="V2:V3"/>
    <mergeCell ref="W2:W3"/>
    <mergeCell ref="X2:X4"/>
    <mergeCell ref="Y2:Z2"/>
    <mergeCell ref="Y3:Z3"/>
  </mergeCells>
  <dataValidations count="3">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5:A300" type="date">
      <formula1>38353</formula1>
      <formula2>53327</formula2>
    </dataValidation>
    <dataValidation allowBlank="true" errorStyle="stop" operator="between" prompt="An amount in this cell shows the total purchases in cell G1 does not agree with the totals in the analysis columns cells J1 to W&#10;&#10;CHECK all expense code letters have been entered correctly or any manual entries in the analysis correct&#10;" promptTitle="ERROR ALERT" showDropDown="false" showErrorMessage="true" showInputMessage="true" sqref="E1" type="none">
      <formula1>0</formula1>
      <formula2>0</formula2>
    </dataValidation>
    <dataValidation allowBlank="true" errorStyle="stop" operator="between" showDropDown="false" showErrorMessage="true" showInputMessage="false" sqref="E5:E300" type="list">
      <formula1>$J$4:$W$4</formula1>
      <formula2>0</formula2>
    </dataValidation>
  </dataValidations>
  <printOptions headings="false" gridLines="true" gridLinesSet="true" horizontalCentered="false" verticalCentered="false"/>
  <pageMargins left="0.315277777777778" right="0.472222222222222"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2" manualBreakCount="2">
    <brk id="9" man="true" max="65535" min="0"/>
    <brk id="22" man="true" max="65535" min="0"/>
  </colBreaks>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false" hidden="false" outlineLevel="0" max="1" min="1" style="333" width="9.15"/>
    <col collapsed="false" customWidth="true" hidden="false" outlineLevel="0" max="2" min="2" style="334" width="17.66"/>
    <col collapsed="false" customWidth="true" hidden="false" outlineLevel="0" max="3" min="3" style="335" width="11.32"/>
    <col collapsed="false" customWidth="true" hidden="false" outlineLevel="0" max="4" min="4" style="336" width="14.49"/>
    <col collapsed="false" customWidth="true" hidden="false" outlineLevel="0" max="5" min="5" style="337" width="7.66"/>
    <col collapsed="false" customWidth="true" hidden="false" outlineLevel="0" max="7" min="6" style="334" width="9.66"/>
    <col collapsed="false" customWidth="true" hidden="false" outlineLevel="0" max="8" min="8" style="338" width="9.66"/>
    <col collapsed="false" customWidth="true" hidden="false" outlineLevel="0" max="9" min="9" style="339" width="10.5"/>
    <col collapsed="false" customWidth="false" hidden="false" outlineLevel="0" max="257" min="10" style="334" width="9.15"/>
  </cols>
  <sheetData>
    <row r="1" s="348" customFormat="true" ht="12.75" hidden="false" customHeight="true" outlineLevel="0" collapsed="false">
      <c r="A1" s="340" t="s">
        <v>246</v>
      </c>
      <c r="B1" s="341" t="s">
        <v>247</v>
      </c>
      <c r="C1" s="342"/>
      <c r="D1" s="343" t="s">
        <v>248</v>
      </c>
      <c r="E1" s="344" t="n">
        <f aca="false">SUM(E4:E300)</f>
        <v>0</v>
      </c>
      <c r="F1" s="343" t="n">
        <f aca="false">SUM(F4:F300)</f>
        <v>35440</v>
      </c>
      <c r="G1" s="343" t="n">
        <f aca="false">SUM(G4:G300)</f>
        <v>0</v>
      </c>
      <c r="H1" s="345" t="n">
        <f aca="false">SUM(H4:H300)</f>
        <v>0</v>
      </c>
      <c r="I1" s="346" t="n">
        <f aca="true">TODAY()</f>
        <v>46138</v>
      </c>
      <c r="J1" s="343" t="n">
        <f aca="false">SUM(J4:J300)</f>
        <v>0</v>
      </c>
      <c r="K1" s="347" t="n">
        <f aca="false">J1+SalesDec!K1</f>
        <v>0</v>
      </c>
    </row>
    <row r="2" s="348" customFormat="true" ht="12.75" hidden="false" customHeight="true" outlineLevel="0" collapsed="false">
      <c r="A2" s="340"/>
      <c r="B2" s="341"/>
      <c r="C2" s="349" t="s">
        <v>249</v>
      </c>
      <c r="D2" s="350" t="s">
        <v>250</v>
      </c>
      <c r="E2" s="351" t="s">
        <v>251</v>
      </c>
      <c r="F2" s="341" t="s">
        <v>252</v>
      </c>
      <c r="G2" s="341" t="s">
        <v>253</v>
      </c>
      <c r="H2" s="352" t="s">
        <v>254</v>
      </c>
      <c r="I2" s="353" t="s">
        <v>255</v>
      </c>
      <c r="J2" s="341" t="s">
        <v>256</v>
      </c>
      <c r="K2" s="341"/>
    </row>
    <row r="3" s="354" customFormat="true" ht="38.25" hidden="false" customHeight="true" outlineLevel="0" collapsed="false">
      <c r="A3" s="340"/>
      <c r="B3" s="341"/>
      <c r="C3" s="349"/>
      <c r="D3" s="350"/>
      <c r="E3" s="351"/>
      <c r="F3" s="351"/>
      <c r="G3" s="351"/>
      <c r="H3" s="352"/>
      <c r="I3" s="353"/>
      <c r="J3" s="341" t="s">
        <v>257</v>
      </c>
      <c r="K3" s="341" t="s">
        <v>258</v>
      </c>
    </row>
    <row r="4" customFormat="false" ht="12.75" hidden="false" customHeight="false" outlineLevel="0" collapsed="false">
      <c r="A4" s="355" t="n">
        <v>46023</v>
      </c>
      <c r="B4" s="334" t="s">
        <v>236</v>
      </c>
      <c r="F4" s="334" t="n">
        <v>1200</v>
      </c>
      <c r="I4" s="339" t="n">
        <f aca="false">IF((F4&lt;&gt;0),IF((D4&gt;0)," ",(I$1-A4))," ")</f>
        <v>115</v>
      </c>
    </row>
    <row r="5" customFormat="false" ht="12.75" hidden="false" customHeight="false" outlineLevel="0" collapsed="false">
      <c r="A5" s="355" t="n">
        <v>46025</v>
      </c>
      <c r="B5" s="334" t="s">
        <v>259</v>
      </c>
      <c r="F5" s="334" t="n">
        <v>360</v>
      </c>
      <c r="I5" s="339" t="n">
        <f aca="false">IF((F5&lt;&gt;0),IF((D5&gt;0)," ",(I$1-A5))," ")</f>
        <v>113</v>
      </c>
    </row>
    <row r="6" customFormat="false" ht="12.75" hidden="false" customHeight="false" outlineLevel="0" collapsed="false">
      <c r="A6" s="355" t="n">
        <v>46027</v>
      </c>
      <c r="B6" s="334" t="s">
        <v>260</v>
      </c>
      <c r="F6" s="334" t="n">
        <v>600</v>
      </c>
      <c r="I6" s="339" t="n">
        <f aca="false">IF((F6&lt;&gt;0),IF((D6&gt;0)," ",(I$1-A6))," ")</f>
        <v>111</v>
      </c>
    </row>
    <row r="7" customFormat="false" ht="12.75" hidden="false" customHeight="false" outlineLevel="0" collapsed="false">
      <c r="A7" s="355" t="n">
        <v>46030</v>
      </c>
      <c r="B7" s="334" t="s">
        <v>261</v>
      </c>
      <c r="F7" s="334" t="n">
        <v>480</v>
      </c>
      <c r="I7" s="339" t="n">
        <f aca="false">IF((F7&lt;&gt;0),IF((D7&gt;0)," ",(I$1-A7))," ")</f>
        <v>108</v>
      </c>
    </row>
    <row r="8" customFormat="false" ht="12.75" hidden="false" customHeight="false" outlineLevel="0" collapsed="false">
      <c r="A8" s="355" t="n">
        <v>46032</v>
      </c>
      <c r="B8" s="334" t="s">
        <v>262</v>
      </c>
      <c r="F8" s="334" t="n">
        <v>720</v>
      </c>
      <c r="I8" s="339" t="n">
        <f aca="false">IF((F8&lt;&gt;0),IF((D8&gt;0)," ",(I$1-A8))," ")</f>
        <v>106</v>
      </c>
    </row>
    <row r="9" customFormat="false" ht="12.75" hidden="false" customHeight="false" outlineLevel="0" collapsed="false">
      <c r="A9" s="355" t="n">
        <v>46036</v>
      </c>
      <c r="B9" s="334" t="s">
        <v>365</v>
      </c>
      <c r="F9" s="334" t="n">
        <v>2160</v>
      </c>
      <c r="I9" s="339" t="n">
        <f aca="false">IF((F9&lt;&gt;0),IF((D9&gt;0)," ",(I$1-A9))," ")</f>
        <v>102</v>
      </c>
    </row>
    <row r="10" customFormat="false" ht="12.75" hidden="false" customHeight="false" outlineLevel="0" collapsed="false">
      <c r="A10" s="355" t="n">
        <v>46037</v>
      </c>
      <c r="B10" s="334" t="s">
        <v>235</v>
      </c>
      <c r="F10" s="334" t="n">
        <v>25000</v>
      </c>
      <c r="I10" s="339" t="n">
        <f aca="false">IF((F10&lt;&gt;0),IF((D10&gt;0)," ",(I$1-A10))," ")</f>
        <v>101</v>
      </c>
    </row>
    <row r="11" customFormat="false" ht="12.75" hidden="false" customHeight="false" outlineLevel="0" collapsed="false">
      <c r="A11" s="355" t="n">
        <v>46038</v>
      </c>
      <c r="B11" s="334" t="s">
        <v>342</v>
      </c>
      <c r="F11" s="334" t="n">
        <v>1200</v>
      </c>
      <c r="I11" s="339" t="n">
        <f aca="false">IF((F11&lt;&gt;0),IF((D11&gt;0)," ",(I$1-A11))," ")</f>
        <v>100</v>
      </c>
    </row>
    <row r="12" customFormat="false" ht="12.75" hidden="false" customHeight="false" outlineLevel="0" collapsed="false">
      <c r="A12" s="355" t="n">
        <v>46040</v>
      </c>
      <c r="B12" s="334" t="s">
        <v>237</v>
      </c>
      <c r="F12" s="334" t="n">
        <v>2400</v>
      </c>
      <c r="I12" s="339" t="n">
        <f aca="false">IF((F12&lt;&gt;0),IF((D12&gt;0)," ",(I$1-A12))," ")</f>
        <v>98</v>
      </c>
    </row>
    <row r="13" customFormat="false" ht="12.75" hidden="false" customHeight="false" outlineLevel="0" collapsed="false">
      <c r="A13" s="355" t="n">
        <v>46047</v>
      </c>
      <c r="B13" s="334" t="s">
        <v>385</v>
      </c>
      <c r="F13" s="334" t="n">
        <v>480</v>
      </c>
      <c r="I13" s="339" t="n">
        <f aca="false">IF((F13&lt;&gt;0),IF((D13&gt;0)," ",(I$1-A13))," ")</f>
        <v>91</v>
      </c>
    </row>
    <row r="14" customFormat="false" ht="12.75" hidden="false" customHeight="false" outlineLevel="0" collapsed="false">
      <c r="A14" s="355" t="n">
        <v>46050</v>
      </c>
      <c r="B14" s="334" t="s">
        <v>264</v>
      </c>
      <c r="F14" s="334" t="n">
        <v>840</v>
      </c>
      <c r="I14" s="339" t="n">
        <f aca="false">IF((F14&lt;&gt;0),IF((D14&gt;0)," ",(I$1-A14))," ")</f>
        <v>88</v>
      </c>
    </row>
    <row r="15" customFormat="false" ht="12.75" hidden="false" customHeight="false" outlineLevel="0" collapsed="false">
      <c r="A15" s="355"/>
      <c r="I15" s="339" t="str">
        <f aca="false">IF((F15&lt;&gt;0),IF((D15&gt;0)," ",(I$1-A15))," ")</f>
        <v> </v>
      </c>
    </row>
    <row r="16" customFormat="false" ht="12.75" hidden="false" customHeight="false" outlineLevel="0" collapsed="false">
      <c r="A16" s="355"/>
      <c r="I16" s="339" t="str">
        <f aca="false">IF((F16&lt;&gt;0),IF((D16&gt;0)," ",(I$1-A16))," ")</f>
        <v> </v>
      </c>
    </row>
    <row r="17" customFormat="false" ht="12.75" hidden="false" customHeight="false" outlineLevel="0" collapsed="false">
      <c r="A17" s="355"/>
      <c r="I17" s="339" t="str">
        <f aca="false">IF((F17&lt;&gt;0),IF((D17&gt;0)," ",(I$1-A17))," ")</f>
        <v> </v>
      </c>
    </row>
    <row r="18" customFormat="false" ht="12.75" hidden="false" customHeight="false" outlineLevel="0" collapsed="false">
      <c r="A18" s="355"/>
      <c r="I18" s="339" t="str">
        <f aca="false">IF((F18&lt;&gt;0),IF((D18&gt;0)," ",(I$1-A18))," ")</f>
        <v> </v>
      </c>
    </row>
    <row r="19" customFormat="false" ht="12.75" hidden="false" customHeight="false" outlineLevel="0" collapsed="false">
      <c r="A19" s="355"/>
      <c r="I19" s="339" t="str">
        <f aca="false">IF((F19&lt;&gt;0),IF((D19&gt;0)," ",(I$1-A19))," ")</f>
        <v> </v>
      </c>
    </row>
    <row r="20" customFormat="false" ht="12.75" hidden="false" customHeight="false" outlineLevel="0" collapsed="false">
      <c r="A20" s="355"/>
      <c r="I20" s="339" t="str">
        <f aca="false">IF((F20&lt;&gt;0),IF((D20&gt;0)," ",(I$1-A20))," ")</f>
        <v> </v>
      </c>
    </row>
    <row r="21" customFormat="false" ht="12.75" hidden="false" customHeight="false" outlineLevel="0" collapsed="false">
      <c r="A21" s="355"/>
      <c r="I21" s="339" t="str">
        <f aca="false">IF((F21&lt;&gt;0),IF((D21&gt;0)," ",(I$1-A21))," ")</f>
        <v> </v>
      </c>
    </row>
    <row r="22" customFormat="false" ht="12.75" hidden="false" customHeight="false" outlineLevel="0" collapsed="false">
      <c r="A22" s="355"/>
      <c r="I22" s="339" t="str">
        <f aca="false">IF((F22&lt;&gt;0),IF((D22&gt;0)," ",(I$1-A22))," ")</f>
        <v> </v>
      </c>
    </row>
    <row r="23" customFormat="false" ht="12.75" hidden="false" customHeight="false" outlineLevel="0" collapsed="false">
      <c r="A23" s="355"/>
      <c r="I23" s="339" t="str">
        <f aca="false">IF((F23&lt;&gt;0),IF((D23&gt;0)," ",(I$1-A23))," ")</f>
        <v> </v>
      </c>
    </row>
    <row r="24" customFormat="false" ht="12.75" hidden="false" customHeight="false" outlineLevel="0" collapsed="false">
      <c r="A24" s="355"/>
      <c r="I24" s="339" t="str">
        <f aca="false">IF((F24&lt;&gt;0),IF((D24&gt;0)," ",(I$1-A24))," ")</f>
        <v> </v>
      </c>
    </row>
    <row r="25" customFormat="false" ht="12.75" hidden="false" customHeight="false" outlineLevel="0" collapsed="false">
      <c r="A25" s="355"/>
      <c r="I25" s="339" t="str">
        <f aca="false">IF((F25&lt;&gt;0),IF((D25&gt;0)," ",(I$1-A25))," ")</f>
        <v> </v>
      </c>
    </row>
    <row r="26" customFormat="false" ht="12.75" hidden="false" customHeight="false" outlineLevel="0" collapsed="false">
      <c r="A26" s="355"/>
      <c r="I26" s="339" t="str">
        <f aca="false">IF((F26&lt;&gt;0),IF((D26&gt;0)," ",(I$1-A26))," ")</f>
        <v> </v>
      </c>
    </row>
    <row r="27" customFormat="false" ht="12.75" hidden="false" customHeight="false" outlineLevel="0" collapsed="false">
      <c r="A27" s="355"/>
      <c r="I27" s="339" t="str">
        <f aca="false">IF((F27&lt;&gt;0),IF((D27&gt;0)," ",(I$1-A27))," ")</f>
        <v> </v>
      </c>
    </row>
    <row r="28" customFormat="false" ht="12.75" hidden="false" customHeight="false" outlineLevel="0" collapsed="false">
      <c r="A28" s="355"/>
      <c r="I28" s="339" t="str">
        <f aca="false">IF((F28&lt;&gt;0),IF((D28&gt;0)," ",(I$1-A28))," ")</f>
        <v> </v>
      </c>
    </row>
    <row r="29" customFormat="false" ht="12.75" hidden="false" customHeight="false" outlineLevel="0" collapsed="false">
      <c r="A29" s="355"/>
      <c r="I29" s="339" t="str">
        <f aca="false">IF((F29&lt;&gt;0),IF((D29&gt;0)," ",(I$1-A29))," ")</f>
        <v> </v>
      </c>
    </row>
    <row r="30" customFormat="false" ht="12.75" hidden="false" customHeight="false" outlineLevel="0" collapsed="false">
      <c r="A30" s="355"/>
      <c r="I30" s="339" t="str">
        <f aca="false">IF((F30&lt;&gt;0),IF((D30&gt;0)," ",(I$1-A30))," ")</f>
        <v> </v>
      </c>
    </row>
    <row r="31" customFormat="false" ht="12.75" hidden="false" customHeight="false" outlineLevel="0" collapsed="false">
      <c r="A31" s="355"/>
      <c r="I31" s="339" t="str">
        <f aca="false">IF((F31&lt;&gt;0),IF((D31&gt;0)," ",(I$1-A31))," ")</f>
        <v> </v>
      </c>
    </row>
    <row r="32" customFormat="false" ht="12.75" hidden="false" customHeight="false" outlineLevel="0" collapsed="false">
      <c r="A32" s="355"/>
      <c r="I32" s="339" t="str">
        <f aca="false">IF((F32&lt;&gt;0),IF((D32&gt;0)," ",(I$1-A32))," ")</f>
        <v> </v>
      </c>
    </row>
    <row r="33" customFormat="false" ht="12.75" hidden="false" customHeight="false" outlineLevel="0" collapsed="false">
      <c r="A33" s="355"/>
      <c r="I33" s="339" t="str">
        <f aca="false">IF((F33&lt;&gt;0),IF((D33&gt;0)," ",(I$1-A33))," ")</f>
        <v> </v>
      </c>
    </row>
    <row r="34" customFormat="false" ht="12.75" hidden="false" customHeight="false" outlineLevel="0" collapsed="false">
      <c r="A34" s="355"/>
      <c r="I34" s="339" t="str">
        <f aca="false">IF((F34&lt;&gt;0),IF((D34&gt;0)," ",(I$1-A34))," ")</f>
        <v> </v>
      </c>
    </row>
    <row r="35" customFormat="false" ht="12.75" hidden="false" customHeight="false" outlineLevel="0" collapsed="false">
      <c r="A35" s="355"/>
      <c r="I35" s="339" t="str">
        <f aca="false">IF((F35&lt;&gt;0),IF((D35&gt;0)," ",(I$1-A35))," ")</f>
        <v> </v>
      </c>
    </row>
    <row r="36" customFormat="false" ht="12.75" hidden="false" customHeight="false" outlineLevel="0" collapsed="false">
      <c r="A36" s="355"/>
      <c r="I36" s="339" t="str">
        <f aca="false">IF((F36&lt;&gt;0),IF((D36&gt;0)," ",(I$1-A36))," ")</f>
        <v> </v>
      </c>
    </row>
    <row r="37" customFormat="false" ht="12.75" hidden="false" customHeight="false" outlineLevel="0" collapsed="false">
      <c r="A37" s="355"/>
      <c r="I37" s="339" t="str">
        <f aca="false">IF((F37&lt;&gt;0),IF((D37&gt;0)," ",(I$1-A37))," ")</f>
        <v> </v>
      </c>
    </row>
    <row r="38" customFormat="false" ht="12.75" hidden="false" customHeight="false" outlineLevel="0" collapsed="false">
      <c r="A38" s="355"/>
      <c r="I38" s="339" t="str">
        <f aca="false">IF((F38&lt;&gt;0),IF((D38&gt;0)," ",(I$1-A38))," ")</f>
        <v> </v>
      </c>
    </row>
    <row r="39" customFormat="false" ht="12.75" hidden="false" customHeight="false" outlineLevel="0" collapsed="false">
      <c r="A39" s="355"/>
      <c r="I39" s="339" t="str">
        <f aca="false">IF((F39&lt;&gt;0),IF((D39&gt;0)," ",(I$1-A39))," ")</f>
        <v> </v>
      </c>
    </row>
    <row r="40" customFormat="false" ht="12.75" hidden="false" customHeight="false" outlineLevel="0" collapsed="false">
      <c r="A40" s="355"/>
      <c r="I40" s="339" t="str">
        <f aca="false">IF((F40&lt;&gt;0),IF((D40&gt;0)," ",(I$1-A40))," ")</f>
        <v> </v>
      </c>
    </row>
    <row r="41" customFormat="false" ht="12.75" hidden="false" customHeight="false" outlineLevel="0" collapsed="false">
      <c r="A41" s="355"/>
      <c r="I41" s="339" t="str">
        <f aca="false">IF((F41&lt;&gt;0),IF((D41&gt;0)," ",(I$1-A41))," ")</f>
        <v> </v>
      </c>
    </row>
    <row r="42" customFormat="false" ht="12.75" hidden="false" customHeight="false" outlineLevel="0" collapsed="false">
      <c r="A42" s="355"/>
      <c r="I42" s="339" t="str">
        <f aca="false">IF((F42&lt;&gt;0),IF((D42&gt;0)," ",(I$1-A42))," ")</f>
        <v> </v>
      </c>
    </row>
    <row r="43" customFormat="false" ht="12.75" hidden="false" customHeight="false" outlineLevel="0" collapsed="false">
      <c r="A43" s="355"/>
      <c r="I43" s="339" t="str">
        <f aca="false">IF((F43&lt;&gt;0),IF((D43&gt;0)," ",(I$1-A43))," ")</f>
        <v> </v>
      </c>
    </row>
    <row r="44" customFormat="false" ht="12.75" hidden="false" customHeight="false" outlineLevel="0" collapsed="false">
      <c r="A44" s="355"/>
      <c r="I44" s="339" t="str">
        <f aca="false">IF((F44&lt;&gt;0),IF((D44&gt;0)," ",(I$1-A44))," ")</f>
        <v> </v>
      </c>
    </row>
    <row r="45" customFormat="false" ht="12.75" hidden="false" customHeight="false" outlineLevel="0" collapsed="false">
      <c r="A45" s="355"/>
      <c r="I45" s="339" t="str">
        <f aca="false">IF((F45&lt;&gt;0),IF((D45&gt;0)," ",(I$1-A45))," ")</f>
        <v> </v>
      </c>
    </row>
    <row r="46" customFormat="false" ht="12.75" hidden="false" customHeight="false" outlineLevel="0" collapsed="false">
      <c r="A46" s="355"/>
      <c r="I46" s="339" t="str">
        <f aca="false">IF((F46&lt;&gt;0),IF((D46&gt;0)," ",(I$1-A46))," ")</f>
        <v> </v>
      </c>
    </row>
    <row r="47" customFormat="false" ht="12.75" hidden="false" customHeight="false" outlineLevel="0" collapsed="false">
      <c r="A47" s="355"/>
      <c r="I47" s="339" t="str">
        <f aca="false">IF((F47&lt;&gt;0),IF((D47&gt;0)," ",(I$1-A47))," ")</f>
        <v> </v>
      </c>
    </row>
    <row r="48" customFormat="false" ht="12.75" hidden="false" customHeight="false" outlineLevel="0" collapsed="false">
      <c r="A48" s="355"/>
      <c r="I48" s="339" t="str">
        <f aca="false">IF((F48&lt;&gt;0),IF((D48&gt;0)," ",(I$1-A48))," ")</f>
        <v> </v>
      </c>
    </row>
    <row r="49" customFormat="false" ht="12.75" hidden="false" customHeight="false" outlineLevel="0" collapsed="false">
      <c r="A49" s="355"/>
      <c r="I49" s="339" t="str">
        <f aca="false">IF((F49&lt;&gt;0),IF((D49&gt;0)," ",(I$1-A49))," ")</f>
        <v> </v>
      </c>
    </row>
    <row r="50" customFormat="false" ht="12.75" hidden="false" customHeight="false" outlineLevel="0" collapsed="false">
      <c r="A50" s="355"/>
      <c r="I50" s="339" t="str">
        <f aca="false">IF((F50&lt;&gt;0),IF((D50&gt;0)," ",(I$1-A50))," ")</f>
        <v> </v>
      </c>
    </row>
    <row r="51" customFormat="false" ht="12.75" hidden="false" customHeight="false" outlineLevel="0" collapsed="false">
      <c r="A51" s="355"/>
      <c r="I51" s="339" t="str">
        <f aca="false">IF((F51&lt;&gt;0),IF((D51&gt;0)," ",(I$1-A51))," ")</f>
        <v> </v>
      </c>
    </row>
    <row r="52" customFormat="false" ht="12.75" hidden="false" customHeight="false" outlineLevel="0" collapsed="false">
      <c r="A52" s="355"/>
      <c r="I52" s="339" t="str">
        <f aca="false">IF((F52&lt;&gt;0),IF((D52&gt;0)," ",(I$1-A52))," ")</f>
        <v> </v>
      </c>
    </row>
    <row r="53" customFormat="false" ht="12.75" hidden="false" customHeight="false" outlineLevel="0" collapsed="false">
      <c r="A53" s="355"/>
      <c r="I53" s="339" t="str">
        <f aca="false">IF((F53&lt;&gt;0),IF((D53&gt;0)," ",(I$1-A53))," ")</f>
        <v> </v>
      </c>
    </row>
    <row r="54" customFormat="false" ht="12.75" hidden="false" customHeight="false" outlineLevel="0" collapsed="false">
      <c r="A54" s="355"/>
      <c r="I54" s="339" t="str">
        <f aca="false">IF((F54&lt;&gt;0),IF((D54&gt;0)," ",(I$1-A54))," ")</f>
        <v> </v>
      </c>
    </row>
    <row r="55" customFormat="false" ht="12.75" hidden="false" customHeight="false" outlineLevel="0" collapsed="false">
      <c r="A55" s="355"/>
      <c r="I55" s="339" t="str">
        <f aca="false">IF((F55&lt;&gt;0),IF((D55&gt;0)," ",(I$1-A55))," ")</f>
        <v> </v>
      </c>
    </row>
    <row r="56" customFormat="false" ht="12.75" hidden="false" customHeight="false" outlineLevel="0" collapsed="false">
      <c r="A56" s="355"/>
      <c r="I56" s="339" t="str">
        <f aca="false">IF((F56&lt;&gt;0),IF((D56&gt;0)," ",(I$1-A56))," ")</f>
        <v> </v>
      </c>
    </row>
    <row r="57" customFormat="false" ht="12.75" hidden="false" customHeight="false" outlineLevel="0" collapsed="false">
      <c r="A57" s="355"/>
      <c r="I57" s="339" t="str">
        <f aca="false">IF((F57&lt;&gt;0),IF((D57&gt;0)," ",(I$1-A57))," ")</f>
        <v> </v>
      </c>
    </row>
    <row r="58" customFormat="false" ht="12.75" hidden="false" customHeight="false" outlineLevel="0" collapsed="false">
      <c r="A58" s="355"/>
      <c r="I58" s="339" t="str">
        <f aca="false">IF((F58&lt;&gt;0),IF((D58&gt;0)," ",(I$1-A58))," ")</f>
        <v> </v>
      </c>
    </row>
    <row r="59" customFormat="false" ht="12.75" hidden="false" customHeight="false" outlineLevel="0" collapsed="false">
      <c r="A59" s="355"/>
      <c r="I59" s="339" t="str">
        <f aca="false">IF((F59&lt;&gt;0),IF((D59&gt;0)," ",(I$1-A59))," ")</f>
        <v> </v>
      </c>
    </row>
    <row r="60" customFormat="false" ht="12.75" hidden="false" customHeight="false" outlineLevel="0" collapsed="false">
      <c r="A60" s="355"/>
      <c r="I60" s="339" t="str">
        <f aca="false">IF((F60&lt;&gt;0),IF((D60&gt;0)," ",(I$1-A60))," ")</f>
        <v> </v>
      </c>
    </row>
    <row r="61" customFormat="false" ht="12.75" hidden="false" customHeight="false" outlineLevel="0" collapsed="false">
      <c r="A61" s="355"/>
      <c r="I61" s="339" t="str">
        <f aca="false">IF((F61&lt;&gt;0),IF((D61&gt;0)," ",(I$1-A61))," ")</f>
        <v> </v>
      </c>
    </row>
    <row r="62" customFormat="false" ht="12.75" hidden="false" customHeight="false" outlineLevel="0" collapsed="false">
      <c r="A62" s="355"/>
      <c r="I62" s="339" t="str">
        <f aca="false">IF((F62&lt;&gt;0),IF((D62&gt;0)," ",(I$1-A62))," ")</f>
        <v> </v>
      </c>
    </row>
    <row r="63" customFormat="false" ht="12.75" hidden="false" customHeight="false" outlineLevel="0" collapsed="false">
      <c r="A63" s="355"/>
      <c r="I63" s="339" t="str">
        <f aca="false">IF((F63&lt;&gt;0),IF((D63&gt;0)," ",(I$1-A63))," ")</f>
        <v> </v>
      </c>
    </row>
    <row r="64" customFormat="false" ht="12.75" hidden="false" customHeight="false" outlineLevel="0" collapsed="false">
      <c r="A64" s="355"/>
      <c r="I64" s="339" t="str">
        <f aca="false">IF((F64&lt;&gt;0),IF((D64&gt;0)," ",(I$1-A64))," ")</f>
        <v> </v>
      </c>
    </row>
    <row r="65" customFormat="false" ht="12.75" hidden="false" customHeight="false" outlineLevel="0" collapsed="false">
      <c r="A65" s="355"/>
      <c r="I65" s="339" t="str">
        <f aca="false">IF((F65&lt;&gt;0),IF((D65&gt;0)," ",(I$1-A65))," ")</f>
        <v> </v>
      </c>
    </row>
    <row r="66" customFormat="false" ht="12.75" hidden="false" customHeight="false" outlineLevel="0" collapsed="false">
      <c r="A66" s="355"/>
      <c r="I66" s="339" t="str">
        <f aca="false">IF((F66&lt;&gt;0),IF((D66&gt;0)," ",(I$1-A66))," ")</f>
        <v> </v>
      </c>
    </row>
    <row r="67" customFormat="false" ht="12.75" hidden="false" customHeight="false" outlineLevel="0" collapsed="false">
      <c r="A67" s="355"/>
      <c r="I67" s="339" t="str">
        <f aca="false">IF((F67&lt;&gt;0),IF((D67&gt;0)," ",(I$1-A67))," ")</f>
        <v> </v>
      </c>
    </row>
    <row r="68" customFormat="false" ht="12.75" hidden="false" customHeight="false" outlineLevel="0" collapsed="false">
      <c r="A68" s="355"/>
      <c r="H68" s="338" t="str">
        <f aca="false">IF((F68&lt;&gt;0),IF((D68&gt;0)," ",F68)," ")</f>
        <v> </v>
      </c>
      <c r="I68" s="339" t="str">
        <f aca="false">IF((F68&lt;&gt;0),IF((D68&gt;0)," ",(I$1-A68))," ")</f>
        <v> </v>
      </c>
    </row>
    <row r="69" customFormat="false" ht="12.75" hidden="false" customHeight="false" outlineLevel="0" collapsed="false">
      <c r="A69" s="355"/>
      <c r="H69" s="338" t="str">
        <f aca="false">IF((F69&lt;&gt;0),IF((D69&gt;0)," ",F69)," ")</f>
        <v> </v>
      </c>
      <c r="I69" s="339" t="str">
        <f aca="false">IF((F69&lt;&gt;0),IF((D69&gt;0)," ",(I$1-A69))," ")</f>
        <v> </v>
      </c>
    </row>
    <row r="70" customFormat="false" ht="12.75" hidden="false" customHeight="false" outlineLevel="0" collapsed="false">
      <c r="A70" s="355"/>
      <c r="H70" s="338" t="str">
        <f aca="false">IF((F70&lt;&gt;0),IF((D70&gt;0)," ",F70)," ")</f>
        <v> </v>
      </c>
      <c r="I70" s="339" t="str">
        <f aca="false">IF((F70&lt;&gt;0),IF((D70&gt;0)," ",(I$1-A70))," ")</f>
        <v> </v>
      </c>
    </row>
    <row r="71" customFormat="false" ht="12.75" hidden="false" customHeight="false" outlineLevel="0" collapsed="false">
      <c r="A71" s="355"/>
      <c r="H71" s="338" t="str">
        <f aca="false">IF((F71&lt;&gt;0),IF((D71&gt;0)," ",F71)," ")</f>
        <v> </v>
      </c>
      <c r="I71" s="339" t="str">
        <f aca="false">IF((F71&lt;&gt;0),IF((D71&gt;0)," ",(I$1-A71))," ")</f>
        <v> </v>
      </c>
    </row>
    <row r="72" customFormat="false" ht="12.75" hidden="false" customHeight="false" outlineLevel="0" collapsed="false">
      <c r="A72" s="355"/>
      <c r="H72" s="338" t="str">
        <f aca="false">IF((F72&lt;&gt;0),IF((D72&gt;0)," ",F72)," ")</f>
        <v> </v>
      </c>
      <c r="I72" s="339" t="str">
        <f aca="false">IF((F72&lt;&gt;0),IF((D72&gt;0)," ",(I$1-A72))," ")</f>
        <v> </v>
      </c>
    </row>
    <row r="73" customFormat="false" ht="12.75" hidden="false" customHeight="false" outlineLevel="0" collapsed="false">
      <c r="A73" s="355"/>
      <c r="H73" s="338" t="str">
        <f aca="false">IF((F73&lt;&gt;0),IF((D73&gt;0)," ",F73)," ")</f>
        <v> </v>
      </c>
      <c r="I73" s="339" t="str">
        <f aca="false">IF((F73&lt;&gt;0),IF((D73&gt;0)," ",(I$1-A73))," ")</f>
        <v> </v>
      </c>
    </row>
    <row r="74" customFormat="false" ht="12.75" hidden="false" customHeight="false" outlineLevel="0" collapsed="false">
      <c r="A74" s="355"/>
      <c r="H74" s="338" t="str">
        <f aca="false">IF((F74&lt;&gt;0),IF((D74&gt;0)," ",F74)," ")</f>
        <v> </v>
      </c>
      <c r="I74" s="339" t="str">
        <f aca="false">IF((F74&lt;&gt;0),IF((D74&gt;0)," ",(I$1-A74))," ")</f>
        <v> </v>
      </c>
    </row>
    <row r="75" customFormat="false" ht="12.75" hidden="false" customHeight="false" outlineLevel="0" collapsed="false">
      <c r="A75" s="355"/>
      <c r="H75" s="338" t="str">
        <f aca="false">IF((F75&lt;&gt;0),IF((D75&gt;0)," ",F75)," ")</f>
        <v> </v>
      </c>
      <c r="I75" s="339" t="str">
        <f aca="false">IF((F75&lt;&gt;0),IF((D75&gt;0)," ",(I$1-A75))," ")</f>
        <v> </v>
      </c>
    </row>
    <row r="76" customFormat="false" ht="12.75" hidden="false" customHeight="false" outlineLevel="0" collapsed="false">
      <c r="A76" s="355"/>
      <c r="H76" s="338" t="str">
        <f aca="false">IF((F76&lt;&gt;0),IF((D76&gt;0)," ",F76)," ")</f>
        <v> </v>
      </c>
      <c r="I76" s="339" t="str">
        <f aca="false">IF((F76&lt;&gt;0),IF((D76&gt;0)," ",(I$1-A76))," ")</f>
        <v> </v>
      </c>
    </row>
    <row r="77" customFormat="false" ht="12.75" hidden="false" customHeight="false" outlineLevel="0" collapsed="false">
      <c r="A77" s="355"/>
      <c r="H77" s="338" t="str">
        <f aca="false">IF((F77&lt;&gt;0),IF((D77&gt;0)," ",F77)," ")</f>
        <v> </v>
      </c>
      <c r="I77" s="339" t="str">
        <f aca="false">IF((F77&lt;&gt;0),IF((D77&gt;0)," ",(I$1-A77))," ")</f>
        <v> </v>
      </c>
    </row>
    <row r="78" customFormat="false" ht="12.75" hidden="false" customHeight="false" outlineLevel="0" collapsed="false">
      <c r="A78" s="355"/>
      <c r="H78" s="338" t="str">
        <f aca="false">IF((F78&lt;&gt;0),IF((D78&gt;0)," ",F78)," ")</f>
        <v> </v>
      </c>
      <c r="I78" s="339" t="str">
        <f aca="false">IF((F78&lt;&gt;0),IF((D78&gt;0)," ",(I$1-A78))," ")</f>
        <v> </v>
      </c>
    </row>
    <row r="79" customFormat="false" ht="12.75" hidden="false" customHeight="false" outlineLevel="0" collapsed="false">
      <c r="A79" s="355"/>
      <c r="H79" s="338" t="str">
        <f aca="false">IF((F79&lt;&gt;0),IF((D79&gt;0)," ",F79)," ")</f>
        <v> </v>
      </c>
      <c r="I79" s="339" t="str">
        <f aca="false">IF((F79&lt;&gt;0),IF((D79&gt;0)," ",(I$1-A79))," ")</f>
        <v> </v>
      </c>
    </row>
    <row r="80" customFormat="false" ht="12.75" hidden="false" customHeight="false" outlineLevel="0" collapsed="false">
      <c r="A80" s="355"/>
      <c r="H80" s="338" t="str">
        <f aca="false">IF((F80&lt;&gt;0),IF((D80&gt;0)," ",F80)," ")</f>
        <v> </v>
      </c>
      <c r="I80" s="339" t="str">
        <f aca="false">IF((F80&lt;&gt;0),IF((D80&gt;0)," ",(I$1-A80))," ")</f>
        <v> </v>
      </c>
    </row>
    <row r="81" customFormat="false" ht="12.75" hidden="false" customHeight="false" outlineLevel="0" collapsed="false">
      <c r="A81" s="355"/>
      <c r="H81" s="338" t="str">
        <f aca="false">IF((F81&lt;&gt;0),IF((D81&gt;0)," ",F81)," ")</f>
        <v> </v>
      </c>
      <c r="I81" s="339" t="str">
        <f aca="false">IF((F81&lt;&gt;0),IF((D81&gt;0)," ",(I$1-A81))," ")</f>
        <v> </v>
      </c>
    </row>
    <row r="82" customFormat="false" ht="12.75" hidden="false" customHeight="false" outlineLevel="0" collapsed="false">
      <c r="A82" s="355"/>
      <c r="H82" s="338" t="str">
        <f aca="false">IF((F82&lt;&gt;0),IF((D82&gt;0)," ",F82)," ")</f>
        <v> </v>
      </c>
      <c r="I82" s="339" t="str">
        <f aca="false">IF((F82&lt;&gt;0),IF((D82&gt;0)," ",(I$1-A82))," ")</f>
        <v> </v>
      </c>
    </row>
    <row r="83" customFormat="false" ht="12.75" hidden="false" customHeight="false" outlineLevel="0" collapsed="false">
      <c r="A83" s="355"/>
      <c r="H83" s="338" t="str">
        <f aca="false">IF((F83&lt;&gt;0),IF((D83&gt;0)," ",F83)," ")</f>
        <v> </v>
      </c>
      <c r="I83" s="339" t="str">
        <f aca="false">IF((F83&lt;&gt;0),IF((D83&gt;0)," ",(I$1-A83))," ")</f>
        <v> </v>
      </c>
    </row>
    <row r="84" customFormat="false" ht="12.75" hidden="false" customHeight="false" outlineLevel="0" collapsed="false">
      <c r="A84" s="355"/>
      <c r="H84" s="338" t="str">
        <f aca="false">IF((F84&lt;&gt;0),IF((D84&gt;0)," ",F84)," ")</f>
        <v> </v>
      </c>
      <c r="I84" s="339" t="str">
        <f aca="false">IF((F84&lt;&gt;0),IF((D84&gt;0)," ",(I$1-A84))," ")</f>
        <v> </v>
      </c>
    </row>
    <row r="85" customFormat="false" ht="12.75" hidden="false" customHeight="false" outlineLevel="0" collapsed="false">
      <c r="A85" s="355"/>
      <c r="H85" s="338" t="str">
        <f aca="false">IF((F85&lt;&gt;0),IF((D85&gt;0)," ",F85)," ")</f>
        <v> </v>
      </c>
      <c r="I85" s="339" t="str">
        <f aca="false">IF((F85&lt;&gt;0),IF((D85&gt;0)," ",(I$1-A85))," ")</f>
        <v> </v>
      </c>
    </row>
    <row r="86" customFormat="false" ht="12.75" hidden="false" customHeight="false" outlineLevel="0" collapsed="false">
      <c r="A86" s="355"/>
      <c r="H86" s="338" t="str">
        <f aca="false">IF((F86&lt;&gt;0),IF((D86&gt;0)," ",F86)," ")</f>
        <v> </v>
      </c>
      <c r="I86" s="339" t="str">
        <f aca="false">IF((F86&lt;&gt;0),IF((D86&gt;0)," ",(I$1-A86))," ")</f>
        <v> </v>
      </c>
    </row>
    <row r="87" customFormat="false" ht="12.75" hidden="false" customHeight="false" outlineLevel="0" collapsed="false">
      <c r="A87" s="355"/>
      <c r="H87" s="338" t="str">
        <f aca="false">IF((F87&lt;&gt;0),IF((D87&gt;0)," ",F87)," ")</f>
        <v> </v>
      </c>
      <c r="I87" s="339" t="str">
        <f aca="false">IF((F87&lt;&gt;0),IF((D87&gt;0)," ",(I$1-A87))," ")</f>
        <v> </v>
      </c>
    </row>
    <row r="88" customFormat="false" ht="12.75" hidden="false" customHeight="false" outlineLevel="0" collapsed="false">
      <c r="A88" s="355"/>
      <c r="H88" s="338" t="str">
        <f aca="false">IF((F88&lt;&gt;0),IF((D88&gt;0)," ",F88)," ")</f>
        <v> </v>
      </c>
      <c r="I88" s="339" t="str">
        <f aca="false">IF((F88&lt;&gt;0),IF((D88&gt;0)," ",(I$1-A88))," ")</f>
        <v> </v>
      </c>
    </row>
    <row r="89" customFormat="false" ht="12.75" hidden="false" customHeight="false" outlineLevel="0" collapsed="false">
      <c r="A89" s="355"/>
      <c r="H89" s="338" t="str">
        <f aca="false">IF((F89&lt;&gt;0),IF((D89&gt;0)," ",F89)," ")</f>
        <v> </v>
      </c>
      <c r="I89" s="339" t="str">
        <f aca="false">IF((F89&lt;&gt;0),IF((D89&gt;0)," ",(I$1-A89))," ")</f>
        <v> </v>
      </c>
    </row>
    <row r="90" customFormat="false" ht="12.75" hidden="false" customHeight="false" outlineLevel="0" collapsed="false">
      <c r="A90" s="355"/>
      <c r="H90" s="338" t="str">
        <f aca="false">IF((F90&lt;&gt;0),IF((D90&gt;0)," ",F90)," ")</f>
        <v> </v>
      </c>
      <c r="I90" s="339" t="str">
        <f aca="false">IF((F90&lt;&gt;0),IF((D90&gt;0)," ",(I$1-A90))," ")</f>
        <v> </v>
      </c>
    </row>
    <row r="91" customFormat="false" ht="12.75" hidden="false" customHeight="false" outlineLevel="0" collapsed="false">
      <c r="A91" s="355"/>
      <c r="H91" s="338" t="str">
        <f aca="false">IF((F91&lt;&gt;0),IF((D91&gt;0)," ",F91)," ")</f>
        <v> </v>
      </c>
      <c r="I91" s="339" t="str">
        <f aca="false">IF((F91&lt;&gt;0),IF((D91&gt;0)," ",(I$1-A91))," ")</f>
        <v> </v>
      </c>
    </row>
    <row r="92" customFormat="false" ht="12.75" hidden="false" customHeight="false" outlineLevel="0" collapsed="false">
      <c r="A92" s="355"/>
      <c r="H92" s="338" t="str">
        <f aca="false">IF((F92&lt;&gt;0),IF((D92&gt;0)," ",F92)," ")</f>
        <v> </v>
      </c>
      <c r="I92" s="339" t="str">
        <f aca="false">IF((F92&lt;&gt;0),IF((D92&gt;0)," ",(I$1-A92))," ")</f>
        <v> </v>
      </c>
    </row>
    <row r="93" customFormat="false" ht="12.75" hidden="false" customHeight="false" outlineLevel="0" collapsed="false">
      <c r="A93" s="355"/>
      <c r="H93" s="338" t="str">
        <f aca="false">IF((F93&lt;&gt;0),IF((D93&gt;0)," ",F93)," ")</f>
        <v> </v>
      </c>
      <c r="I93" s="339" t="str">
        <f aca="false">IF((F93&lt;&gt;0),IF((D93&gt;0)," ",(I$1-A93))," ")</f>
        <v> </v>
      </c>
    </row>
    <row r="94" customFormat="false" ht="12.75" hidden="false" customHeight="false" outlineLevel="0" collapsed="false">
      <c r="A94" s="355"/>
      <c r="H94" s="338" t="str">
        <f aca="false">IF((F94&lt;&gt;0),IF((D94&gt;0)," ",F94)," ")</f>
        <v> </v>
      </c>
      <c r="I94" s="339" t="str">
        <f aca="false">IF((F94&lt;&gt;0),IF((D94&gt;0)," ",(I$1-A94))," ")</f>
        <v> </v>
      </c>
    </row>
    <row r="95" customFormat="false" ht="12.75" hidden="false" customHeight="false" outlineLevel="0" collapsed="false">
      <c r="A95" s="355"/>
      <c r="H95" s="338" t="str">
        <f aca="false">IF((F95&lt;&gt;0),IF((D95&gt;0)," ",F95)," ")</f>
        <v> </v>
      </c>
      <c r="I95" s="339" t="str">
        <f aca="false">IF((F95&lt;&gt;0),IF((D95&gt;0)," ",(I$1-A95))," ")</f>
        <v> </v>
      </c>
    </row>
    <row r="96" customFormat="false" ht="12.75" hidden="false" customHeight="false" outlineLevel="0" collapsed="false">
      <c r="A96" s="355"/>
      <c r="H96" s="338" t="str">
        <f aca="false">IF((F96&lt;&gt;0),IF((D96&gt;0)," ",F96)," ")</f>
        <v> </v>
      </c>
      <c r="I96" s="339" t="str">
        <f aca="false">IF((F96&lt;&gt;0),IF((D96&gt;0)," ",(I$1-A96))," ")</f>
        <v> </v>
      </c>
    </row>
    <row r="97" customFormat="false" ht="12.75" hidden="false" customHeight="false" outlineLevel="0" collapsed="false">
      <c r="A97" s="355"/>
      <c r="H97" s="338" t="str">
        <f aca="false">IF((F97&lt;&gt;0),IF((D97&gt;0)," ",F97)," ")</f>
        <v> </v>
      </c>
      <c r="I97" s="339" t="str">
        <f aca="false">IF((F97&lt;&gt;0),IF((D97&gt;0)," ",(I$1-A97))," ")</f>
        <v> </v>
      </c>
    </row>
    <row r="98" customFormat="false" ht="12.75" hidden="false" customHeight="false" outlineLevel="0" collapsed="false">
      <c r="A98" s="355"/>
      <c r="H98" s="338" t="str">
        <f aca="false">IF((F98&lt;&gt;0),IF((D98&gt;0)," ",F98)," ")</f>
        <v> </v>
      </c>
      <c r="I98" s="339" t="str">
        <f aca="false">IF((F98&lt;&gt;0),IF((D98&gt;0)," ",(I$1-A98))," ")</f>
        <v> </v>
      </c>
    </row>
    <row r="99" customFormat="false" ht="12.75" hidden="false" customHeight="false" outlineLevel="0" collapsed="false">
      <c r="A99" s="355"/>
      <c r="H99" s="338" t="str">
        <f aca="false">IF((F99&lt;&gt;0),IF((D99&gt;0)," ",F99)," ")</f>
        <v> </v>
      </c>
      <c r="I99" s="339" t="str">
        <f aca="false">IF((F99&lt;&gt;0),IF((D99&gt;0)," ",(I$1-A99))," ")</f>
        <v> </v>
      </c>
    </row>
    <row r="100" customFormat="false" ht="12.75" hidden="false" customHeight="false" outlineLevel="0" collapsed="false">
      <c r="A100" s="355"/>
      <c r="H100" s="338" t="str">
        <f aca="false">IF((F100&lt;&gt;0),IF((D100&gt;0)," ",F100)," ")</f>
        <v> </v>
      </c>
      <c r="I100" s="339" t="str">
        <f aca="false">IF((F100&lt;&gt;0),IF((D100&gt;0)," ",(I$1-A100))," ")</f>
        <v> </v>
      </c>
    </row>
    <row r="101" customFormat="false" ht="12.75" hidden="false" customHeight="false" outlineLevel="0" collapsed="false">
      <c r="A101" s="355"/>
      <c r="H101" s="338" t="str">
        <f aca="false">IF((F101&lt;&gt;0),IF((D101&gt;0)," ",F101)," ")</f>
        <v> </v>
      </c>
      <c r="I101" s="339" t="str">
        <f aca="false">IF((F101&lt;&gt;0),IF((D101&gt;0)," ",(I$1-A101))," ")</f>
        <v> </v>
      </c>
    </row>
    <row r="102" customFormat="false" ht="12.75" hidden="false" customHeight="false" outlineLevel="0" collapsed="false">
      <c r="A102" s="355"/>
      <c r="H102" s="338" t="str">
        <f aca="false">IF((F102&lt;&gt;0),IF((D102&gt;0)," ",F102)," ")</f>
        <v> </v>
      </c>
      <c r="I102" s="339" t="str">
        <f aca="false">IF((F102&lt;&gt;0),IF((D102&gt;0)," ",(I$1-A102))," ")</f>
        <v> </v>
      </c>
    </row>
    <row r="103" customFormat="false" ht="12.75" hidden="false" customHeight="false" outlineLevel="0" collapsed="false">
      <c r="A103" s="355"/>
      <c r="H103" s="338" t="str">
        <f aca="false">IF((F103&lt;&gt;0),IF((D103&gt;0)," ",F103)," ")</f>
        <v> </v>
      </c>
      <c r="I103" s="339" t="str">
        <f aca="false">IF((F103&lt;&gt;0),IF((D103&gt;0)," ",(I$1-A103))," ")</f>
        <v> </v>
      </c>
    </row>
    <row r="104" customFormat="false" ht="12.75" hidden="false" customHeight="false" outlineLevel="0" collapsed="false">
      <c r="A104" s="355"/>
      <c r="H104" s="338" t="str">
        <f aca="false">IF((F104&lt;&gt;0),IF((D104&gt;0)," ",F104)," ")</f>
        <v> </v>
      </c>
      <c r="I104" s="339" t="str">
        <f aca="false">IF((F104&lt;&gt;0),IF((D104&gt;0)," ",(I$1-A104))," ")</f>
        <v> </v>
      </c>
    </row>
    <row r="105" customFormat="false" ht="12.75" hidden="false" customHeight="false" outlineLevel="0" collapsed="false">
      <c r="A105" s="355"/>
      <c r="H105" s="338" t="str">
        <f aca="false">IF((F105&lt;&gt;0),IF((D105&gt;0)," ",F105)," ")</f>
        <v> </v>
      </c>
      <c r="I105" s="339" t="str">
        <f aca="false">IF((F105&lt;&gt;0),IF((D105&gt;0)," ",(I$1-A105))," ")</f>
        <v> </v>
      </c>
    </row>
    <row r="106" customFormat="false" ht="12.75" hidden="false" customHeight="false" outlineLevel="0" collapsed="false">
      <c r="A106" s="355"/>
      <c r="H106" s="338" t="str">
        <f aca="false">IF((F106&lt;&gt;0),IF((D106&gt;0)," ",F106)," ")</f>
        <v> </v>
      </c>
      <c r="I106" s="339" t="str">
        <f aca="false">IF((F106&lt;&gt;0),IF((D106&gt;0)," ",(I$1-A106))," ")</f>
        <v> </v>
      </c>
    </row>
    <row r="107" customFormat="false" ht="12.75" hidden="false" customHeight="false" outlineLevel="0" collapsed="false">
      <c r="A107" s="355"/>
      <c r="H107" s="338" t="str">
        <f aca="false">IF((F107&lt;&gt;0),IF((D107&gt;0)," ",F107)," ")</f>
        <v> </v>
      </c>
      <c r="I107" s="339" t="str">
        <f aca="false">IF((F107&lt;&gt;0),IF((D107&gt;0)," ",(I$1-A107))," ")</f>
        <v> </v>
      </c>
    </row>
    <row r="108" customFormat="false" ht="12.75" hidden="false" customHeight="false" outlineLevel="0" collapsed="false">
      <c r="A108" s="355"/>
      <c r="H108" s="338" t="str">
        <f aca="false">IF((F108&lt;&gt;0),IF((D108&gt;0)," ",F108)," ")</f>
        <v> </v>
      </c>
      <c r="I108" s="339" t="str">
        <f aca="false">IF((F108&lt;&gt;0),IF((D108&gt;0)," ",(I$1-A108))," ")</f>
        <v> </v>
      </c>
    </row>
    <row r="109" customFormat="false" ht="12.75" hidden="false" customHeight="false" outlineLevel="0" collapsed="false">
      <c r="A109" s="355"/>
      <c r="H109" s="338" t="str">
        <f aca="false">IF((F109&lt;&gt;0),IF((D109&gt;0)," ",F109)," ")</f>
        <v> </v>
      </c>
      <c r="I109" s="339" t="str">
        <f aca="false">IF((F109&lt;&gt;0),IF((D109&gt;0)," ",(I$1-A109))," ")</f>
        <v> </v>
      </c>
    </row>
    <row r="110" customFormat="false" ht="12.75" hidden="false" customHeight="false" outlineLevel="0" collapsed="false">
      <c r="A110" s="355"/>
      <c r="H110" s="338" t="str">
        <f aca="false">IF((F110&lt;&gt;0),IF((D110&gt;0)," ",F110)," ")</f>
        <v> </v>
      </c>
      <c r="I110" s="339" t="str">
        <f aca="false">IF((F110&lt;&gt;0),IF((D110&gt;0)," ",(I$1-A110))," ")</f>
        <v> </v>
      </c>
    </row>
    <row r="111" customFormat="false" ht="12.75" hidden="false" customHeight="false" outlineLevel="0" collapsed="false">
      <c r="A111" s="355"/>
      <c r="H111" s="338" t="str">
        <f aca="false">IF((F111&lt;&gt;0),IF((D111&gt;0)," ",F111)," ")</f>
        <v> </v>
      </c>
      <c r="I111" s="339" t="str">
        <f aca="false">IF((F111&lt;&gt;0),IF((D111&gt;0)," ",(I$1-A111))," ")</f>
        <v> </v>
      </c>
    </row>
    <row r="112" customFormat="false" ht="12.75" hidden="false" customHeight="false" outlineLevel="0" collapsed="false">
      <c r="A112" s="355"/>
      <c r="H112" s="338" t="str">
        <f aca="false">IF((F112&lt;&gt;0),IF((D112&gt;0)," ",F112)," ")</f>
        <v> </v>
      </c>
      <c r="I112" s="339" t="str">
        <f aca="false">IF((F112&lt;&gt;0),IF((D112&gt;0)," ",(I$1-A112))," ")</f>
        <v> </v>
      </c>
    </row>
    <row r="113" customFormat="false" ht="12.75" hidden="false" customHeight="false" outlineLevel="0" collapsed="false">
      <c r="A113" s="355"/>
      <c r="H113" s="338" t="str">
        <f aca="false">IF((F113&lt;&gt;0),IF((D113&gt;0)," ",F113)," ")</f>
        <v> </v>
      </c>
      <c r="I113" s="339" t="str">
        <f aca="false">IF((F113&lt;&gt;0),IF((D113&gt;0)," ",(I$1-A113))," ")</f>
        <v> </v>
      </c>
    </row>
    <row r="114" customFormat="false" ht="12.75" hidden="false" customHeight="false" outlineLevel="0" collapsed="false">
      <c r="A114" s="355"/>
      <c r="H114" s="338" t="str">
        <f aca="false">IF((F114&lt;&gt;0),IF((D114&gt;0)," ",F114)," ")</f>
        <v> </v>
      </c>
      <c r="I114" s="339" t="str">
        <f aca="false">IF((F114&lt;&gt;0),IF((D114&gt;0)," ",(I$1-A114))," ")</f>
        <v> </v>
      </c>
    </row>
    <row r="115" customFormat="false" ht="12.75" hidden="false" customHeight="false" outlineLevel="0" collapsed="false">
      <c r="A115" s="355"/>
      <c r="H115" s="338" t="str">
        <f aca="false">IF((F115&lt;&gt;0),IF((D115&gt;0)," ",F115)," ")</f>
        <v> </v>
      </c>
      <c r="I115" s="339" t="str">
        <f aca="false">IF((F115&lt;&gt;0),IF((D115&gt;0)," ",(I$1-A115))," ")</f>
        <v> </v>
      </c>
    </row>
    <row r="116" customFormat="false" ht="12.75" hidden="false" customHeight="false" outlineLevel="0" collapsed="false">
      <c r="A116" s="355"/>
      <c r="H116" s="338" t="str">
        <f aca="false">IF((F116&lt;&gt;0),IF((D116&gt;0)," ",F116)," ")</f>
        <v> </v>
      </c>
      <c r="I116" s="339" t="str">
        <f aca="false">IF((F116&lt;&gt;0),IF((D116&gt;0)," ",(I$1-A116))," ")</f>
        <v> </v>
      </c>
    </row>
    <row r="117" customFormat="false" ht="12.75" hidden="false" customHeight="false" outlineLevel="0" collapsed="false">
      <c r="A117" s="355"/>
      <c r="H117" s="338" t="str">
        <f aca="false">IF((F117&lt;&gt;0),IF((D117&gt;0)," ",F117)," ")</f>
        <v> </v>
      </c>
      <c r="I117" s="339" t="str">
        <f aca="false">IF((F117&lt;&gt;0),IF((D117&gt;0)," ",(I$1-A117))," ")</f>
        <v> </v>
      </c>
    </row>
    <row r="118" customFormat="false" ht="12.75" hidden="false" customHeight="false" outlineLevel="0" collapsed="false">
      <c r="A118" s="355"/>
      <c r="H118" s="338" t="str">
        <f aca="false">IF((F118&lt;&gt;0),IF((D118&gt;0)," ",F118)," ")</f>
        <v> </v>
      </c>
      <c r="I118" s="339" t="str">
        <f aca="false">IF((F118&lt;&gt;0),IF((D118&gt;0)," ",(I$1-A118))," ")</f>
        <v> </v>
      </c>
    </row>
    <row r="119" customFormat="false" ht="12.75" hidden="false" customHeight="false" outlineLevel="0" collapsed="false">
      <c r="A119" s="355"/>
      <c r="H119" s="338" t="str">
        <f aca="false">IF((F119&lt;&gt;0),IF((D119&gt;0)," ",F119)," ")</f>
        <v> </v>
      </c>
      <c r="I119" s="339" t="str">
        <f aca="false">IF((F119&lt;&gt;0),IF((D119&gt;0)," ",(I$1-A119))," ")</f>
        <v> </v>
      </c>
    </row>
    <row r="120" customFormat="false" ht="12.75" hidden="false" customHeight="false" outlineLevel="0" collapsed="false">
      <c r="A120" s="355"/>
      <c r="H120" s="338" t="str">
        <f aca="false">IF((F120&lt;&gt;0),IF((D120&gt;0)," ",F120)," ")</f>
        <v> </v>
      </c>
      <c r="I120" s="339" t="str">
        <f aca="false">IF((F120&lt;&gt;0),IF((D120&gt;0)," ",(I$1-A120))," ")</f>
        <v> </v>
      </c>
    </row>
    <row r="121" customFormat="false" ht="12.75" hidden="false" customHeight="false" outlineLevel="0" collapsed="false">
      <c r="A121" s="355"/>
      <c r="H121" s="338" t="str">
        <f aca="false">IF((F121&lt;&gt;0),IF((D121&gt;0)," ",F121)," ")</f>
        <v> </v>
      </c>
      <c r="I121" s="339" t="str">
        <f aca="false">IF((F121&lt;&gt;0),IF((D121&gt;0)," ",(I$1-A121))," ")</f>
        <v> </v>
      </c>
    </row>
    <row r="122" customFormat="false" ht="12.75" hidden="false" customHeight="false" outlineLevel="0" collapsed="false">
      <c r="A122" s="355"/>
      <c r="H122" s="338" t="str">
        <f aca="false">IF((F122&lt;&gt;0),IF((D122&gt;0)," ",F122)," ")</f>
        <v> </v>
      </c>
      <c r="I122" s="339" t="str">
        <f aca="false">IF((F122&lt;&gt;0),IF((D122&gt;0)," ",(I$1-A122))," ")</f>
        <v> </v>
      </c>
    </row>
    <row r="123" customFormat="false" ht="12.75" hidden="false" customHeight="false" outlineLevel="0" collapsed="false">
      <c r="A123" s="355"/>
      <c r="H123" s="338" t="str">
        <f aca="false">IF((F123&lt;&gt;0),IF((D123&gt;0)," ",F123)," ")</f>
        <v> </v>
      </c>
      <c r="I123" s="339" t="str">
        <f aca="false">IF((F123&lt;&gt;0),IF((D123&gt;0)," ",(I$1-A123))," ")</f>
        <v> </v>
      </c>
    </row>
    <row r="124" customFormat="false" ht="12.75" hidden="false" customHeight="false" outlineLevel="0" collapsed="false">
      <c r="A124" s="355"/>
      <c r="H124" s="338" t="str">
        <f aca="false">IF((F124&lt;&gt;0),IF((D124&gt;0)," ",F124)," ")</f>
        <v> </v>
      </c>
      <c r="I124" s="339" t="str">
        <f aca="false">IF((F124&lt;&gt;0),IF((D124&gt;0)," ",(I$1-A124))," ")</f>
        <v> </v>
      </c>
    </row>
    <row r="125" customFormat="false" ht="12.75" hidden="false" customHeight="false" outlineLevel="0" collapsed="false">
      <c r="A125" s="355"/>
      <c r="H125" s="338" t="str">
        <f aca="false">IF((F125&lt;&gt;0),IF((D125&gt;0)," ",F125)," ")</f>
        <v> </v>
      </c>
      <c r="I125" s="339" t="str">
        <f aca="false">IF((F125&lt;&gt;0),IF((D125&gt;0)," ",(I$1-A125))," ")</f>
        <v> </v>
      </c>
    </row>
    <row r="126" customFormat="false" ht="12.75" hidden="false" customHeight="false" outlineLevel="0" collapsed="false">
      <c r="A126" s="355"/>
      <c r="H126" s="338" t="str">
        <f aca="false">IF((F126&lt;&gt;0),IF((D126&gt;0)," ",F126)," ")</f>
        <v> </v>
      </c>
      <c r="I126" s="339" t="str">
        <f aca="false">IF((F126&lt;&gt;0),IF((D126&gt;0)," ",(I$1-A126))," ")</f>
        <v> </v>
      </c>
    </row>
    <row r="127" customFormat="false" ht="12.75" hidden="false" customHeight="false" outlineLevel="0" collapsed="false">
      <c r="A127" s="355"/>
      <c r="H127" s="338" t="str">
        <f aca="false">IF((F127&lt;&gt;0),IF((D127&gt;0)," ",F127)," ")</f>
        <v> </v>
      </c>
      <c r="I127" s="339" t="str">
        <f aca="false">IF((F127&lt;&gt;0),IF((D127&gt;0)," ",(I$1-A127))," ")</f>
        <v> </v>
      </c>
    </row>
    <row r="128" customFormat="false" ht="12.75" hidden="false" customHeight="false" outlineLevel="0" collapsed="false">
      <c r="A128" s="355"/>
      <c r="H128" s="338" t="str">
        <f aca="false">IF((F128&lt;&gt;0),IF((D128&gt;0)," ",F128)," ")</f>
        <v> </v>
      </c>
      <c r="I128" s="339" t="str">
        <f aca="false">IF((F128&lt;&gt;0),IF((D128&gt;0)," ",(I$1-A128))," ")</f>
        <v> </v>
      </c>
    </row>
    <row r="129" customFormat="false" ht="12.75" hidden="false" customHeight="false" outlineLevel="0" collapsed="false">
      <c r="A129" s="355"/>
      <c r="H129" s="338" t="str">
        <f aca="false">IF((F129&lt;&gt;0),IF((D129&gt;0)," ",F129)," ")</f>
        <v> </v>
      </c>
      <c r="I129" s="339" t="str">
        <f aca="false">IF((F129&lt;&gt;0),IF((D129&gt;0)," ",(I$1-A129))," ")</f>
        <v> </v>
      </c>
    </row>
    <row r="130" customFormat="false" ht="12.75" hidden="false" customHeight="false" outlineLevel="0" collapsed="false">
      <c r="A130" s="355"/>
      <c r="H130" s="338" t="str">
        <f aca="false">IF((F130&lt;&gt;0),IF((D130&gt;0)," ",F130)," ")</f>
        <v> </v>
      </c>
      <c r="I130" s="339" t="str">
        <f aca="false">IF((F130&lt;&gt;0),IF((D130&gt;0)," ",(I$1-A130))," ")</f>
        <v> </v>
      </c>
    </row>
    <row r="131" customFormat="false" ht="12.75" hidden="false" customHeight="false" outlineLevel="0" collapsed="false">
      <c r="A131" s="355"/>
      <c r="H131" s="338" t="str">
        <f aca="false">IF((F131&lt;&gt;0),IF((D131&gt;0)," ",F131)," ")</f>
        <v> </v>
      </c>
      <c r="I131" s="339" t="str">
        <f aca="false">IF((F131&lt;&gt;0),IF((D131&gt;0)," ",(I$1-A131))," ")</f>
        <v> </v>
      </c>
    </row>
    <row r="132" customFormat="false" ht="12.75" hidden="false" customHeight="false" outlineLevel="0" collapsed="false">
      <c r="A132" s="355"/>
      <c r="H132" s="338" t="str">
        <f aca="false">IF((F132&lt;&gt;0),IF((D132&gt;0)," ",F132)," ")</f>
        <v> </v>
      </c>
      <c r="I132" s="339" t="str">
        <f aca="false">IF((F132&lt;&gt;0),IF((D132&gt;0)," ",(I$1-A132))," ")</f>
        <v> </v>
      </c>
    </row>
    <row r="133" customFormat="false" ht="12.75" hidden="false" customHeight="false" outlineLevel="0" collapsed="false">
      <c r="A133" s="355"/>
      <c r="H133" s="338" t="str">
        <f aca="false">IF((F133&lt;&gt;0),IF((D133&gt;0)," ",F133)," ")</f>
        <v> </v>
      </c>
      <c r="I133" s="339" t="str">
        <f aca="false">IF((F133&lt;&gt;0),IF((D133&gt;0)," ",(I$1-A133))," ")</f>
        <v> </v>
      </c>
    </row>
    <row r="134" customFormat="false" ht="12.75" hidden="false" customHeight="false" outlineLevel="0" collapsed="false">
      <c r="A134" s="355"/>
      <c r="H134" s="338" t="str">
        <f aca="false">IF((F134&lt;&gt;0),IF((D134&gt;0)," ",F134)," ")</f>
        <v> </v>
      </c>
      <c r="I134" s="339" t="str">
        <f aca="false">IF((F134&lt;&gt;0),IF((D134&gt;0)," ",(I$1-A134))," ")</f>
        <v> </v>
      </c>
    </row>
    <row r="135" customFormat="false" ht="12.75" hidden="false" customHeight="false" outlineLevel="0" collapsed="false">
      <c r="A135" s="355"/>
      <c r="H135" s="338" t="str">
        <f aca="false">IF((F135&lt;&gt;0),IF((D135&gt;0)," ",F135)," ")</f>
        <v> </v>
      </c>
      <c r="I135" s="339" t="str">
        <f aca="false">IF((F135&lt;&gt;0),IF((D135&gt;0)," ",(I$1-A135))," ")</f>
        <v> </v>
      </c>
    </row>
    <row r="136" customFormat="false" ht="12.75" hidden="false" customHeight="false" outlineLevel="0" collapsed="false">
      <c r="A136" s="355"/>
      <c r="H136" s="338" t="str">
        <f aca="false">IF((F136&lt;&gt;0),IF((D136&gt;0)," ",F136)," ")</f>
        <v> </v>
      </c>
      <c r="I136" s="339" t="str">
        <f aca="false">IF((F136&lt;&gt;0),IF((D136&gt;0)," ",(I$1-A136))," ")</f>
        <v> </v>
      </c>
    </row>
    <row r="137" customFormat="false" ht="12.75" hidden="false" customHeight="false" outlineLevel="0" collapsed="false">
      <c r="A137" s="355"/>
      <c r="H137" s="338" t="str">
        <f aca="false">IF((F137&lt;&gt;0),IF((D137&gt;0)," ",F137)," ")</f>
        <v> </v>
      </c>
      <c r="I137" s="339" t="str">
        <f aca="false">IF((F137&lt;&gt;0),IF((D137&gt;0)," ",(I$1-A137))," ")</f>
        <v> </v>
      </c>
    </row>
    <row r="138" customFormat="false" ht="12.75" hidden="false" customHeight="false" outlineLevel="0" collapsed="false">
      <c r="A138" s="355"/>
      <c r="H138" s="338" t="str">
        <f aca="false">IF((F138&lt;&gt;0),IF((D138&gt;0)," ",F138)," ")</f>
        <v> </v>
      </c>
      <c r="I138" s="339" t="str">
        <f aca="false">IF((F138&lt;&gt;0),IF((D138&gt;0)," ",(I$1-A138))," ")</f>
        <v> </v>
      </c>
    </row>
    <row r="139" customFormat="false" ht="12.75" hidden="false" customHeight="false" outlineLevel="0" collapsed="false">
      <c r="A139" s="355"/>
      <c r="H139" s="338" t="str">
        <f aca="false">IF((F139&lt;&gt;0),IF((D139&gt;0)," ",F139)," ")</f>
        <v> </v>
      </c>
      <c r="I139" s="339" t="str">
        <f aca="false">IF((F139&lt;&gt;0),IF((D139&gt;0)," ",(I$1-A139))," ")</f>
        <v> </v>
      </c>
    </row>
    <row r="140" customFormat="false" ht="12.75" hidden="false" customHeight="false" outlineLevel="0" collapsed="false">
      <c r="A140" s="355"/>
      <c r="H140" s="338" t="str">
        <f aca="false">IF((F140&lt;&gt;0),IF((D140&gt;0)," ",F140)," ")</f>
        <v> </v>
      </c>
      <c r="I140" s="339" t="str">
        <f aca="false">IF((F140&lt;&gt;0),IF((D140&gt;0)," ",(I$1-A140))," ")</f>
        <v> </v>
      </c>
    </row>
    <row r="141" customFormat="false" ht="12.75" hidden="false" customHeight="false" outlineLevel="0" collapsed="false">
      <c r="A141" s="355"/>
      <c r="H141" s="338" t="str">
        <f aca="false">IF((F141&lt;&gt;0),IF((D141&gt;0)," ",F141)," ")</f>
        <v> </v>
      </c>
      <c r="I141" s="339" t="str">
        <f aca="false">IF((F141&lt;&gt;0),IF((D141&gt;0)," ",(I$1-A141))," ")</f>
        <v> </v>
      </c>
    </row>
    <row r="142" customFormat="false" ht="12.75" hidden="false" customHeight="false" outlineLevel="0" collapsed="false">
      <c r="A142" s="355"/>
      <c r="H142" s="338" t="str">
        <f aca="false">IF((F142&lt;&gt;0),IF((D142&gt;0)," ",F142)," ")</f>
        <v> </v>
      </c>
      <c r="I142" s="339" t="str">
        <f aca="false">IF((F142&lt;&gt;0),IF((D142&gt;0)," ",(I$1-A142))," ")</f>
        <v> </v>
      </c>
    </row>
    <row r="143" customFormat="false" ht="12.75" hidden="false" customHeight="false" outlineLevel="0" collapsed="false">
      <c r="A143" s="355"/>
      <c r="H143" s="338" t="str">
        <f aca="false">IF((F143&lt;&gt;0),IF((D143&gt;0)," ",F143)," ")</f>
        <v> </v>
      </c>
      <c r="I143" s="339" t="str">
        <f aca="false">IF((F143&lt;&gt;0),IF((D143&gt;0)," ",(I$1-A143))," ")</f>
        <v> </v>
      </c>
    </row>
    <row r="144" customFormat="false" ht="12.75" hidden="false" customHeight="false" outlineLevel="0" collapsed="false">
      <c r="A144" s="355"/>
      <c r="H144" s="338" t="str">
        <f aca="false">IF((F144&lt;&gt;0),IF((D144&gt;0)," ",F144)," ")</f>
        <v> </v>
      </c>
      <c r="I144" s="339" t="str">
        <f aca="false">IF((F144&lt;&gt;0),IF((D144&gt;0)," ",(I$1-A144))," ")</f>
        <v> </v>
      </c>
    </row>
    <row r="145" customFormat="false" ht="12.75" hidden="false" customHeight="false" outlineLevel="0" collapsed="false">
      <c r="A145" s="355"/>
      <c r="H145" s="338" t="str">
        <f aca="false">IF((F145&lt;&gt;0),IF((D145&gt;0)," ",F145)," ")</f>
        <v> </v>
      </c>
      <c r="I145" s="339" t="str">
        <f aca="false">IF((F145&lt;&gt;0),IF((D145&gt;0)," ",(I$1-A145))," ")</f>
        <v> </v>
      </c>
    </row>
    <row r="146" customFormat="false" ht="12.75" hidden="false" customHeight="false" outlineLevel="0" collapsed="false">
      <c r="A146" s="355"/>
      <c r="H146" s="338" t="str">
        <f aca="false">IF((F146&lt;&gt;0),IF((D146&gt;0)," ",F146)," ")</f>
        <v> </v>
      </c>
      <c r="I146" s="339" t="str">
        <f aca="false">IF((F146&lt;&gt;0),IF((D146&gt;0)," ",(I$1-A146))," ")</f>
        <v> </v>
      </c>
    </row>
    <row r="147" customFormat="false" ht="12.75" hidden="false" customHeight="false" outlineLevel="0" collapsed="false">
      <c r="A147" s="355"/>
      <c r="H147" s="338" t="str">
        <f aca="false">IF((F147&lt;&gt;0),IF((D147&gt;0)," ",F147)," ")</f>
        <v> </v>
      </c>
      <c r="I147" s="339" t="str">
        <f aca="false">IF((F147&lt;&gt;0),IF((D147&gt;0)," ",(I$1-A147))," ")</f>
        <v> </v>
      </c>
    </row>
    <row r="148" customFormat="false" ht="12.75" hidden="false" customHeight="false" outlineLevel="0" collapsed="false">
      <c r="A148" s="355"/>
      <c r="H148" s="338" t="str">
        <f aca="false">IF((F148&lt;&gt;0),IF((D148&gt;0)," ",F148)," ")</f>
        <v> </v>
      </c>
      <c r="I148" s="339" t="str">
        <f aca="false">IF((F148&lt;&gt;0),IF((D148&gt;0)," ",(I$1-A148))," ")</f>
        <v> </v>
      </c>
    </row>
    <row r="149" customFormat="false" ht="12.75" hidden="false" customHeight="false" outlineLevel="0" collapsed="false">
      <c r="A149" s="355"/>
      <c r="H149" s="338" t="str">
        <f aca="false">IF((F149&lt;&gt;0),IF((D149&gt;0)," ",F149)," ")</f>
        <v> </v>
      </c>
      <c r="I149" s="339" t="str">
        <f aca="false">IF((F149&lt;&gt;0),IF((D149&gt;0)," ",(I$1-A149))," ")</f>
        <v> </v>
      </c>
    </row>
    <row r="150" customFormat="false" ht="12.75" hidden="false" customHeight="false" outlineLevel="0" collapsed="false">
      <c r="A150" s="355"/>
      <c r="H150" s="338" t="str">
        <f aca="false">IF((F150&lt;&gt;0),IF((D150&gt;0)," ",F150)," ")</f>
        <v> </v>
      </c>
      <c r="I150" s="339" t="str">
        <f aca="false">IF((F150&lt;&gt;0),IF((D150&gt;0)," ",(I$1-A150))," ")</f>
        <v> </v>
      </c>
    </row>
    <row r="151" customFormat="false" ht="12.75" hidden="false" customHeight="false" outlineLevel="0" collapsed="false">
      <c r="A151" s="355"/>
      <c r="H151" s="338" t="str">
        <f aca="false">IF((F151&lt;&gt;0),IF((D151&gt;0)," ",F151)," ")</f>
        <v> </v>
      </c>
      <c r="I151" s="339" t="str">
        <f aca="false">IF((F151&lt;&gt;0),IF((D151&gt;0)," ",(I$1-A151))," ")</f>
        <v> </v>
      </c>
    </row>
    <row r="152" customFormat="false" ht="12.75" hidden="false" customHeight="false" outlineLevel="0" collapsed="false">
      <c r="A152" s="355"/>
      <c r="H152" s="338" t="str">
        <f aca="false">IF((F152&lt;&gt;0),IF((D152&gt;0)," ",F152)," ")</f>
        <v> </v>
      </c>
      <c r="I152" s="339" t="str">
        <f aca="false">IF((F152&lt;&gt;0),IF((D152&gt;0)," ",(I$1-A152))," ")</f>
        <v> </v>
      </c>
    </row>
    <row r="153" customFormat="false" ht="12.75" hidden="false" customHeight="false" outlineLevel="0" collapsed="false">
      <c r="A153" s="355"/>
      <c r="H153" s="338" t="str">
        <f aca="false">IF((F153&lt;&gt;0),IF((D153&gt;0)," ",F153)," ")</f>
        <v> </v>
      </c>
      <c r="I153" s="339" t="str">
        <f aca="false">IF((F153&lt;&gt;0),IF((D153&gt;0)," ",(I$1-A153))," ")</f>
        <v> </v>
      </c>
    </row>
    <row r="154" customFormat="false" ht="12.75" hidden="false" customHeight="false" outlineLevel="0" collapsed="false">
      <c r="A154" s="355"/>
      <c r="H154" s="338" t="str">
        <f aca="false">IF((F154&lt;&gt;0),IF((D154&gt;0)," ",F154)," ")</f>
        <v> </v>
      </c>
      <c r="I154" s="339" t="str">
        <f aca="false">IF((F154&lt;&gt;0),IF((D154&gt;0)," ",(I$1-A154))," ")</f>
        <v> </v>
      </c>
    </row>
    <row r="155" customFormat="false" ht="12.75" hidden="false" customHeight="false" outlineLevel="0" collapsed="false">
      <c r="A155" s="355"/>
      <c r="H155" s="338" t="str">
        <f aca="false">IF((F155&lt;&gt;0),IF((D155&gt;0)," ",F155)," ")</f>
        <v> </v>
      </c>
      <c r="I155" s="339" t="str">
        <f aca="false">IF((F155&lt;&gt;0),IF((D155&gt;0)," ",(I$1-A155))," ")</f>
        <v> </v>
      </c>
    </row>
    <row r="156" customFormat="false" ht="12.75" hidden="false" customHeight="false" outlineLevel="0" collapsed="false">
      <c r="A156" s="355"/>
      <c r="H156" s="338" t="str">
        <f aca="false">IF((F156&lt;&gt;0),IF((D156&gt;0)," ",F156)," ")</f>
        <v> </v>
      </c>
      <c r="I156" s="339" t="str">
        <f aca="false">IF((F156&lt;&gt;0),IF((D156&gt;0)," ",(I$1-A156))," ")</f>
        <v> </v>
      </c>
    </row>
    <row r="157" customFormat="false" ht="12.75" hidden="false" customHeight="false" outlineLevel="0" collapsed="false">
      <c r="A157" s="355"/>
      <c r="H157" s="338" t="str">
        <f aca="false">IF((F157&lt;&gt;0),IF((D157&gt;0)," ",F157)," ")</f>
        <v> </v>
      </c>
      <c r="I157" s="339" t="str">
        <f aca="false">IF((F157&lt;&gt;0),IF((D157&gt;0)," ",(I$1-A157))," ")</f>
        <v> </v>
      </c>
    </row>
    <row r="158" customFormat="false" ht="12.75" hidden="false" customHeight="false" outlineLevel="0" collapsed="false">
      <c r="A158" s="355"/>
      <c r="H158" s="338" t="str">
        <f aca="false">IF((F158&lt;&gt;0),IF((D158&gt;0)," ",F158)," ")</f>
        <v> </v>
      </c>
      <c r="I158" s="339" t="str">
        <f aca="false">IF((F158&lt;&gt;0),IF((D158&gt;0)," ",(I$1-A158))," ")</f>
        <v> </v>
      </c>
    </row>
    <row r="159" customFormat="false" ht="12.75" hidden="false" customHeight="false" outlineLevel="0" collapsed="false">
      <c r="A159" s="355"/>
      <c r="H159" s="338" t="str">
        <f aca="false">IF((F159&lt;&gt;0),IF((D159&gt;0)," ",F159)," ")</f>
        <v> </v>
      </c>
      <c r="I159" s="339" t="str">
        <f aca="false">IF((F159&lt;&gt;0),IF((D159&gt;0)," ",(I$1-A159))," ")</f>
        <v> </v>
      </c>
    </row>
    <row r="160" customFormat="false" ht="12.75" hidden="false" customHeight="false" outlineLevel="0" collapsed="false">
      <c r="A160" s="355"/>
      <c r="H160" s="338" t="str">
        <f aca="false">IF((F160&lt;&gt;0),IF((D160&gt;0)," ",F160)," ")</f>
        <v> </v>
      </c>
      <c r="I160" s="339" t="str">
        <f aca="false">IF((F160&lt;&gt;0),IF((D160&gt;0)," ",(I$1-A160))," ")</f>
        <v> </v>
      </c>
    </row>
    <row r="161" customFormat="false" ht="12.75" hidden="false" customHeight="false" outlineLevel="0" collapsed="false">
      <c r="A161" s="355"/>
      <c r="H161" s="338" t="str">
        <f aca="false">IF((F161&lt;&gt;0),IF((D161&gt;0)," ",F161)," ")</f>
        <v> </v>
      </c>
      <c r="I161" s="339" t="str">
        <f aca="false">IF((F161&lt;&gt;0),IF((D161&gt;0)," ",(I$1-A161))," ")</f>
        <v> </v>
      </c>
    </row>
    <row r="162" customFormat="false" ht="12.75" hidden="false" customHeight="false" outlineLevel="0" collapsed="false">
      <c r="A162" s="355"/>
      <c r="H162" s="338" t="str">
        <f aca="false">IF((F162&lt;&gt;0),IF((D162&gt;0)," ",F162)," ")</f>
        <v> </v>
      </c>
      <c r="I162" s="339" t="str">
        <f aca="false">IF((F162&lt;&gt;0),IF((D162&gt;0)," ",(I$1-A162))," ")</f>
        <v> </v>
      </c>
    </row>
    <row r="163" customFormat="false" ht="12.75" hidden="false" customHeight="false" outlineLevel="0" collapsed="false">
      <c r="A163" s="355"/>
      <c r="H163" s="338" t="str">
        <f aca="false">IF((F163&lt;&gt;0),IF((D163&gt;0)," ",F163)," ")</f>
        <v> </v>
      </c>
      <c r="I163" s="339" t="str">
        <f aca="false">IF((F163&lt;&gt;0),IF((D163&gt;0)," ",(I$1-A163))," ")</f>
        <v> </v>
      </c>
    </row>
    <row r="164" customFormat="false" ht="12.75" hidden="false" customHeight="false" outlineLevel="0" collapsed="false">
      <c r="A164" s="355"/>
      <c r="H164" s="338" t="str">
        <f aca="false">IF((F164&lt;&gt;0),IF((D164&gt;0)," ",F164)," ")</f>
        <v> </v>
      </c>
      <c r="I164" s="339" t="str">
        <f aca="false">IF((F164&lt;&gt;0),IF((D164&gt;0)," ",(I$1-A164))," ")</f>
        <v> </v>
      </c>
    </row>
    <row r="165" customFormat="false" ht="12.75" hidden="false" customHeight="false" outlineLevel="0" collapsed="false">
      <c r="A165" s="355"/>
      <c r="H165" s="338" t="str">
        <f aca="false">IF((F165&lt;&gt;0),IF((D165&gt;0)," ",F165)," ")</f>
        <v> </v>
      </c>
      <c r="I165" s="339" t="str">
        <f aca="false">IF((F165&lt;&gt;0),IF((D165&gt;0)," ",(I$1-A165))," ")</f>
        <v> </v>
      </c>
    </row>
    <row r="166" customFormat="false" ht="12.75" hidden="false" customHeight="false" outlineLevel="0" collapsed="false">
      <c r="A166" s="355"/>
      <c r="H166" s="338" t="str">
        <f aca="false">IF((F166&lt;&gt;0),IF((D166&gt;0)," ",F166)," ")</f>
        <v> </v>
      </c>
      <c r="I166" s="339" t="str">
        <f aca="false">IF((F166&lt;&gt;0),IF((D166&gt;0)," ",(I$1-A166))," ")</f>
        <v> </v>
      </c>
    </row>
    <row r="167" customFormat="false" ht="12.75" hidden="false" customHeight="false" outlineLevel="0" collapsed="false">
      <c r="A167" s="355"/>
      <c r="H167" s="338" t="str">
        <f aca="false">IF((F167&lt;&gt;0),IF((D167&gt;0)," ",F167)," ")</f>
        <v> </v>
      </c>
      <c r="I167" s="339" t="str">
        <f aca="false">IF((F167&lt;&gt;0),IF((D167&gt;0)," ",(I$1-A167))," ")</f>
        <v> </v>
      </c>
    </row>
    <row r="168" customFormat="false" ht="12.75" hidden="false" customHeight="false" outlineLevel="0" collapsed="false">
      <c r="A168" s="355"/>
      <c r="H168" s="338" t="str">
        <f aca="false">IF((F168&lt;&gt;0),IF((D168&gt;0)," ",F168)," ")</f>
        <v> </v>
      </c>
      <c r="I168" s="339" t="str">
        <f aca="false">IF((F168&lt;&gt;0),IF((D168&gt;0)," ",(I$1-A168))," ")</f>
        <v> </v>
      </c>
    </row>
    <row r="169" customFormat="false" ht="12.75" hidden="false" customHeight="false" outlineLevel="0" collapsed="false">
      <c r="A169" s="355"/>
      <c r="H169" s="338" t="str">
        <f aca="false">IF((F169&lt;&gt;0),IF((D169&gt;0)," ",F169)," ")</f>
        <v> </v>
      </c>
      <c r="I169" s="339" t="str">
        <f aca="false">IF((F169&lt;&gt;0),IF((D169&gt;0)," ",(I$1-A169))," ")</f>
        <v> </v>
      </c>
    </row>
    <row r="170" customFormat="false" ht="12.75" hidden="false" customHeight="false" outlineLevel="0" collapsed="false">
      <c r="A170" s="355"/>
      <c r="H170" s="338" t="str">
        <f aca="false">IF((F170&lt;&gt;0),IF((D170&gt;0)," ",F170)," ")</f>
        <v> </v>
      </c>
      <c r="I170" s="339" t="str">
        <f aca="false">IF((F170&lt;&gt;0),IF((D170&gt;0)," ",(I$1-A170))," ")</f>
        <v> </v>
      </c>
    </row>
    <row r="171" customFormat="false" ht="12.75" hidden="false" customHeight="false" outlineLevel="0" collapsed="false">
      <c r="A171" s="355"/>
      <c r="H171" s="338" t="str">
        <f aca="false">IF((F171&lt;&gt;0),IF((D171&gt;0)," ",F171)," ")</f>
        <v> </v>
      </c>
      <c r="I171" s="339" t="str">
        <f aca="false">IF((F171&lt;&gt;0),IF((D171&gt;0)," ",(I$1-A171))," ")</f>
        <v> </v>
      </c>
    </row>
    <row r="172" customFormat="false" ht="12.75" hidden="false" customHeight="false" outlineLevel="0" collapsed="false">
      <c r="A172" s="355"/>
      <c r="H172" s="338" t="str">
        <f aca="false">IF((F172&lt;&gt;0),IF((D172&gt;0)," ",F172)," ")</f>
        <v> </v>
      </c>
      <c r="I172" s="339" t="str">
        <f aca="false">IF((F172&lt;&gt;0),IF((D172&gt;0)," ",(I$1-A172))," ")</f>
        <v> </v>
      </c>
    </row>
    <row r="173" customFormat="false" ht="12.75" hidden="false" customHeight="false" outlineLevel="0" collapsed="false">
      <c r="A173" s="355"/>
      <c r="H173" s="338" t="str">
        <f aca="false">IF((F173&lt;&gt;0),IF((D173&gt;0)," ",F173)," ")</f>
        <v> </v>
      </c>
      <c r="I173" s="339" t="str">
        <f aca="false">IF((F173&lt;&gt;0),IF((D173&gt;0)," ",(I$1-A173))," ")</f>
        <v> </v>
      </c>
    </row>
    <row r="174" customFormat="false" ht="12.75" hidden="false" customHeight="false" outlineLevel="0" collapsed="false">
      <c r="A174" s="355"/>
      <c r="H174" s="338" t="str">
        <f aca="false">IF((F174&lt;&gt;0),IF((D174&gt;0)," ",F174)," ")</f>
        <v> </v>
      </c>
      <c r="I174" s="339" t="str">
        <f aca="false">IF((F174&lt;&gt;0),IF((D174&gt;0)," ",(I$1-A174))," ")</f>
        <v> </v>
      </c>
    </row>
    <row r="175" customFormat="false" ht="12.75" hidden="false" customHeight="false" outlineLevel="0" collapsed="false">
      <c r="A175" s="355"/>
      <c r="H175" s="338" t="str">
        <f aca="false">IF((F175&lt;&gt;0),IF((D175&gt;0)," ",F175)," ")</f>
        <v> </v>
      </c>
      <c r="I175" s="339" t="str">
        <f aca="false">IF((F175&lt;&gt;0),IF((D175&gt;0)," ",(I$1-A175))," ")</f>
        <v> </v>
      </c>
    </row>
    <row r="176" customFormat="false" ht="12.75" hidden="false" customHeight="false" outlineLevel="0" collapsed="false">
      <c r="A176" s="355"/>
      <c r="H176" s="338" t="str">
        <f aca="false">IF((F176&lt;&gt;0),IF((D176&gt;0)," ",F176)," ")</f>
        <v> </v>
      </c>
      <c r="I176" s="339" t="str">
        <f aca="false">IF((F176&lt;&gt;0),IF((D176&gt;0)," ",(I$1-A176))," ")</f>
        <v> </v>
      </c>
    </row>
    <row r="177" customFormat="false" ht="12.75" hidden="false" customHeight="false" outlineLevel="0" collapsed="false">
      <c r="A177" s="355"/>
      <c r="H177" s="338" t="str">
        <f aca="false">IF((F177&lt;&gt;0),IF((D177&gt;0)," ",F177)," ")</f>
        <v> </v>
      </c>
      <c r="I177" s="339" t="str">
        <f aca="false">IF((F177&lt;&gt;0),IF((D177&gt;0)," ",(I$1-A177))," ")</f>
        <v> </v>
      </c>
    </row>
    <row r="178" customFormat="false" ht="12.75" hidden="false" customHeight="false" outlineLevel="0" collapsed="false">
      <c r="A178" s="355"/>
      <c r="H178" s="338" t="str">
        <f aca="false">IF((F178&lt;&gt;0),IF((D178&gt;0)," ",F178)," ")</f>
        <v> </v>
      </c>
      <c r="I178" s="339" t="str">
        <f aca="false">IF((F178&lt;&gt;0),IF((D178&gt;0)," ",(I$1-A178))," ")</f>
        <v> </v>
      </c>
    </row>
    <row r="179" customFormat="false" ht="12.75" hidden="false" customHeight="false" outlineLevel="0" collapsed="false">
      <c r="A179" s="355"/>
      <c r="H179" s="338" t="str">
        <f aca="false">IF((F179&lt;&gt;0),IF((D179&gt;0)," ",F179)," ")</f>
        <v> </v>
      </c>
      <c r="I179" s="339" t="str">
        <f aca="false">IF((F179&lt;&gt;0),IF((D179&gt;0)," ",(I$1-A179))," ")</f>
        <v> </v>
      </c>
    </row>
    <row r="180" customFormat="false" ht="12.75" hidden="false" customHeight="false" outlineLevel="0" collapsed="false">
      <c r="A180" s="355"/>
      <c r="H180" s="338" t="str">
        <f aca="false">IF((F180&lt;&gt;0),IF((D180&gt;0)," ",F180)," ")</f>
        <v> </v>
      </c>
      <c r="I180" s="339" t="str">
        <f aca="false">IF((F180&lt;&gt;0),IF((D180&gt;0)," ",(I$1-A180))," ")</f>
        <v> </v>
      </c>
    </row>
    <row r="181" customFormat="false" ht="12.75" hidden="false" customHeight="false" outlineLevel="0" collapsed="false">
      <c r="A181" s="355"/>
      <c r="H181" s="338" t="str">
        <f aca="false">IF((F181&lt;&gt;0),IF((D181&gt;0)," ",F181)," ")</f>
        <v> </v>
      </c>
      <c r="I181" s="339" t="str">
        <f aca="false">IF((F181&lt;&gt;0),IF((D181&gt;0)," ",(I$1-A181))," ")</f>
        <v> </v>
      </c>
    </row>
    <row r="182" customFormat="false" ht="12.75" hidden="false" customHeight="false" outlineLevel="0" collapsed="false">
      <c r="A182" s="355"/>
      <c r="H182" s="338" t="str">
        <f aca="false">IF((F182&lt;&gt;0),IF((D182&gt;0)," ",F182)," ")</f>
        <v> </v>
      </c>
      <c r="I182" s="339" t="str">
        <f aca="false">IF((F182&lt;&gt;0),IF((D182&gt;0)," ",(I$1-A182))," ")</f>
        <v> </v>
      </c>
    </row>
    <row r="183" customFormat="false" ht="12.75" hidden="false" customHeight="false" outlineLevel="0" collapsed="false">
      <c r="A183" s="355"/>
      <c r="H183" s="338" t="str">
        <f aca="false">IF((F183&lt;&gt;0),IF((D183&gt;0)," ",F183)," ")</f>
        <v> </v>
      </c>
      <c r="I183" s="339" t="str">
        <f aca="false">IF((F183&lt;&gt;0),IF((D183&gt;0)," ",(I$1-A183))," ")</f>
        <v> </v>
      </c>
    </row>
    <row r="184" customFormat="false" ht="12.75" hidden="false" customHeight="false" outlineLevel="0" collapsed="false">
      <c r="A184" s="355"/>
      <c r="H184" s="338" t="str">
        <f aca="false">IF((F184&lt;&gt;0),IF((D184&gt;0)," ",F184)," ")</f>
        <v> </v>
      </c>
      <c r="I184" s="339" t="str">
        <f aca="false">IF((F184&lt;&gt;0),IF((D184&gt;0)," ",(I$1-A184))," ")</f>
        <v> </v>
      </c>
    </row>
    <row r="185" customFormat="false" ht="12.75" hidden="false" customHeight="false" outlineLevel="0" collapsed="false">
      <c r="A185" s="355"/>
      <c r="H185" s="338" t="str">
        <f aca="false">IF((F185&lt;&gt;0),IF((D185&gt;0)," ",F185)," ")</f>
        <v> </v>
      </c>
      <c r="I185" s="339" t="str">
        <f aca="false">IF((F185&lt;&gt;0),IF((D185&gt;0)," ",(I$1-A185))," ")</f>
        <v> </v>
      </c>
    </row>
    <row r="186" customFormat="false" ht="12.75" hidden="false" customHeight="false" outlineLevel="0" collapsed="false">
      <c r="A186" s="355"/>
      <c r="H186" s="338" t="str">
        <f aca="false">IF((F186&lt;&gt;0),IF((D186&gt;0)," ",F186)," ")</f>
        <v> </v>
      </c>
      <c r="I186" s="339" t="str">
        <f aca="false">IF((F186&lt;&gt;0),IF((D186&gt;0)," ",(I$1-A186))," ")</f>
        <v> </v>
      </c>
    </row>
    <row r="187" customFormat="false" ht="12.75" hidden="false" customHeight="false" outlineLevel="0" collapsed="false">
      <c r="A187" s="355"/>
      <c r="H187" s="338" t="str">
        <f aca="false">IF((F187&lt;&gt;0),IF((D187&gt;0)," ",F187)," ")</f>
        <v> </v>
      </c>
      <c r="I187" s="339" t="str">
        <f aca="false">IF((F187&lt;&gt;0),IF((D187&gt;0)," ",(I$1-A187))," ")</f>
        <v> </v>
      </c>
    </row>
    <row r="188" customFormat="false" ht="12.75" hidden="false" customHeight="false" outlineLevel="0" collapsed="false">
      <c r="A188" s="355"/>
      <c r="H188" s="338" t="str">
        <f aca="false">IF((F188&lt;&gt;0),IF((D188&gt;0)," ",F188)," ")</f>
        <v> </v>
      </c>
      <c r="I188" s="339" t="str">
        <f aca="false">IF((F188&lt;&gt;0),IF((D188&gt;0)," ",(I$1-A188))," ")</f>
        <v> </v>
      </c>
    </row>
    <row r="189" customFormat="false" ht="12.75" hidden="false" customHeight="false" outlineLevel="0" collapsed="false">
      <c r="A189" s="355"/>
      <c r="H189" s="338" t="str">
        <f aca="false">IF((F189&lt;&gt;0),IF((D189&gt;0)," ",F189)," ")</f>
        <v> </v>
      </c>
      <c r="I189" s="339" t="str">
        <f aca="false">IF((F189&lt;&gt;0),IF((D189&gt;0)," ",(I$1-A189))," ")</f>
        <v> </v>
      </c>
    </row>
    <row r="190" customFormat="false" ht="12.75" hidden="false" customHeight="false" outlineLevel="0" collapsed="false">
      <c r="A190" s="355"/>
      <c r="H190" s="338" t="str">
        <f aca="false">IF((F190&lt;&gt;0),IF((D190&gt;0)," ",F190)," ")</f>
        <v> </v>
      </c>
      <c r="I190" s="339" t="str">
        <f aca="false">IF((F190&lt;&gt;0),IF((D190&gt;0)," ",(I$1-A190))," ")</f>
        <v> </v>
      </c>
    </row>
    <row r="191" customFormat="false" ht="12.75" hidden="false" customHeight="false" outlineLevel="0" collapsed="false">
      <c r="A191" s="355"/>
      <c r="H191" s="338" t="str">
        <f aca="false">IF((F191&lt;&gt;0),IF((D191&gt;0)," ",F191)," ")</f>
        <v> </v>
      </c>
      <c r="I191" s="339" t="str">
        <f aca="false">IF((F191&lt;&gt;0),IF((D191&gt;0)," ",(I$1-A191))," ")</f>
        <v> </v>
      </c>
    </row>
    <row r="192" customFormat="false" ht="12.75" hidden="false" customHeight="false" outlineLevel="0" collapsed="false">
      <c r="A192" s="355"/>
      <c r="H192" s="338" t="str">
        <f aca="false">IF((F192&lt;&gt;0),IF((D192&gt;0)," ",F192)," ")</f>
        <v> </v>
      </c>
      <c r="I192" s="339" t="str">
        <f aca="false">IF((F192&lt;&gt;0),IF((D192&gt;0)," ",(I$1-A192))," ")</f>
        <v> </v>
      </c>
    </row>
    <row r="193" customFormat="false" ht="12.75" hidden="false" customHeight="false" outlineLevel="0" collapsed="false">
      <c r="A193" s="355"/>
      <c r="H193" s="338" t="str">
        <f aca="false">IF((F193&lt;&gt;0),IF((D193&gt;0)," ",F193)," ")</f>
        <v> </v>
      </c>
      <c r="I193" s="339" t="str">
        <f aca="false">IF((F193&lt;&gt;0),IF((D193&gt;0)," ",(I$1-A193))," ")</f>
        <v> </v>
      </c>
    </row>
    <row r="194" customFormat="false" ht="12.75" hidden="false" customHeight="false" outlineLevel="0" collapsed="false">
      <c r="A194" s="355"/>
      <c r="H194" s="338" t="str">
        <f aca="false">IF((F194&lt;&gt;0),IF((D194&gt;0)," ",F194)," ")</f>
        <v> </v>
      </c>
      <c r="I194" s="339" t="str">
        <f aca="false">IF((F194&lt;&gt;0),IF((D194&gt;0)," ",(I$1-A194))," ")</f>
        <v> </v>
      </c>
    </row>
    <row r="195" customFormat="false" ht="12.75" hidden="false" customHeight="false" outlineLevel="0" collapsed="false">
      <c r="A195" s="355"/>
      <c r="H195" s="338" t="str">
        <f aca="false">IF((F195&lt;&gt;0),IF((D195&gt;0)," ",F195)," ")</f>
        <v> </v>
      </c>
      <c r="I195" s="339" t="str">
        <f aca="false">IF((F195&lt;&gt;0),IF((D195&gt;0)," ",(I$1-A195))," ")</f>
        <v> </v>
      </c>
    </row>
    <row r="196" customFormat="false" ht="12.75" hidden="false" customHeight="false" outlineLevel="0" collapsed="false">
      <c r="A196" s="355"/>
      <c r="H196" s="338" t="str">
        <f aca="false">IF((F196&lt;&gt;0),IF((D196&gt;0)," ",F196)," ")</f>
        <v> </v>
      </c>
      <c r="I196" s="339" t="str">
        <f aca="false">IF((F196&lt;&gt;0),IF((D196&gt;0)," ",(I$1-A196))," ")</f>
        <v> </v>
      </c>
    </row>
    <row r="197" customFormat="false" ht="12.75" hidden="false" customHeight="false" outlineLevel="0" collapsed="false">
      <c r="A197" s="355"/>
      <c r="H197" s="338" t="str">
        <f aca="false">IF((F197&lt;&gt;0),IF((D197&gt;0)," ",F197)," ")</f>
        <v> </v>
      </c>
      <c r="I197" s="339" t="str">
        <f aca="false">IF((F197&lt;&gt;0),IF((D197&gt;0)," ",(I$1-A197))," ")</f>
        <v> </v>
      </c>
    </row>
    <row r="198" customFormat="false" ht="12.75" hidden="false" customHeight="false" outlineLevel="0" collapsed="false">
      <c r="A198" s="355"/>
      <c r="H198" s="338" t="str">
        <f aca="false">IF((F198&lt;&gt;0),IF((D198&gt;0)," ",F198)," ")</f>
        <v> </v>
      </c>
      <c r="I198" s="339" t="str">
        <f aca="false">IF((F198&lt;&gt;0),IF((D198&gt;0)," ",(I$1-A198))," ")</f>
        <v> </v>
      </c>
    </row>
    <row r="199" customFormat="false" ht="12.75" hidden="false" customHeight="false" outlineLevel="0" collapsed="false">
      <c r="A199" s="355"/>
      <c r="H199" s="338" t="str">
        <f aca="false">IF((F199&lt;&gt;0),IF((D199&gt;0)," ",F199)," ")</f>
        <v> </v>
      </c>
      <c r="I199" s="339" t="str">
        <f aca="false">IF((F199&lt;&gt;0),IF((D199&gt;0)," ",(I$1-A199))," ")</f>
        <v> </v>
      </c>
    </row>
    <row r="200" customFormat="false" ht="12.75" hidden="false" customHeight="false" outlineLevel="0" collapsed="false">
      <c r="A200" s="355"/>
      <c r="H200" s="338" t="str">
        <f aca="false">IF((F200&lt;&gt;0),IF((D200&gt;0)," ",F200)," ")</f>
        <v> </v>
      </c>
      <c r="I200" s="339" t="str">
        <f aca="false">IF((F200&lt;&gt;0),IF((D200&gt;0)," ",(I$1-A200))," ")</f>
        <v> </v>
      </c>
    </row>
    <row r="201" customFormat="false" ht="12.75" hidden="false" customHeight="false" outlineLevel="0" collapsed="false">
      <c r="A201" s="355"/>
      <c r="H201" s="338" t="str">
        <f aca="false">IF((F201&lt;&gt;0),IF((D201&gt;0)," ",F201)," ")</f>
        <v> </v>
      </c>
      <c r="I201" s="339" t="str">
        <f aca="false">IF((F201&lt;&gt;0),IF((D201&gt;0)," ",(I$1-A201))," ")</f>
        <v> </v>
      </c>
    </row>
    <row r="202" customFormat="false" ht="12.75" hidden="false" customHeight="false" outlineLevel="0" collapsed="false">
      <c r="A202" s="355"/>
      <c r="H202" s="338" t="str">
        <f aca="false">IF((F202&lt;&gt;0),IF((D202&gt;0)," ",F202)," ")</f>
        <v> </v>
      </c>
      <c r="I202" s="339" t="str">
        <f aca="false">IF((F202&lt;&gt;0),IF((D202&gt;0)," ",(I$1-A202))," ")</f>
        <v> </v>
      </c>
    </row>
    <row r="203" customFormat="false" ht="12.75" hidden="false" customHeight="false" outlineLevel="0" collapsed="false">
      <c r="A203" s="355"/>
      <c r="H203" s="338" t="str">
        <f aca="false">IF((F203&lt;&gt;0),IF((D203&gt;0)," ",F203)," ")</f>
        <v> </v>
      </c>
      <c r="I203" s="339" t="str">
        <f aca="false">IF((F203&lt;&gt;0),IF((D203&gt;0)," ",(I$1-A203))," ")</f>
        <v> </v>
      </c>
    </row>
    <row r="204" customFormat="false" ht="12.75" hidden="false" customHeight="false" outlineLevel="0" collapsed="false">
      <c r="A204" s="355"/>
      <c r="H204" s="338" t="str">
        <f aca="false">IF((F204&lt;&gt;0),IF((D204&gt;0)," ",F204)," ")</f>
        <v> </v>
      </c>
      <c r="I204" s="339" t="str">
        <f aca="false">IF((F204&lt;&gt;0),IF((D204&gt;0)," ",(I$1-A204))," ")</f>
        <v> </v>
      </c>
    </row>
    <row r="205" customFormat="false" ht="12.75" hidden="false" customHeight="false" outlineLevel="0" collapsed="false">
      <c r="A205" s="355"/>
    </row>
    <row r="206" customFormat="false" ht="12.75" hidden="false" customHeight="false" outlineLevel="0" collapsed="false">
      <c r="A206" s="355"/>
    </row>
    <row r="207" customFormat="false" ht="12.75" hidden="false" customHeight="false" outlineLevel="0" collapsed="false">
      <c r="A207" s="355"/>
    </row>
    <row r="208" customFormat="false" ht="12.75" hidden="false" customHeight="false" outlineLevel="0" collapsed="false">
      <c r="A208" s="355"/>
    </row>
    <row r="209" customFormat="false" ht="12.75" hidden="false" customHeight="false" outlineLevel="0" collapsed="false">
      <c r="A209" s="355"/>
    </row>
    <row r="210" customFormat="false" ht="12.75" hidden="false" customHeight="false" outlineLevel="0" collapsed="false">
      <c r="A210" s="355"/>
    </row>
    <row r="211" customFormat="false" ht="12.75" hidden="false" customHeight="false" outlineLevel="0" collapsed="false">
      <c r="A211" s="355"/>
    </row>
    <row r="212" customFormat="false" ht="12.75" hidden="false" customHeight="false" outlineLevel="0" collapsed="false">
      <c r="A212" s="355"/>
    </row>
    <row r="213" customFormat="false" ht="12.75" hidden="false" customHeight="false" outlineLevel="0" collapsed="false">
      <c r="A213" s="355"/>
    </row>
    <row r="214" customFormat="false" ht="12.75" hidden="false" customHeight="false" outlineLevel="0" collapsed="false">
      <c r="A214" s="355"/>
    </row>
    <row r="215" customFormat="false" ht="12.75" hidden="false" customHeight="false" outlineLevel="0" collapsed="false">
      <c r="A215" s="355"/>
    </row>
    <row r="216" customFormat="false" ht="12.75" hidden="false" customHeight="false" outlineLevel="0" collapsed="false">
      <c r="A216" s="355"/>
    </row>
    <row r="217" customFormat="false" ht="12.75" hidden="false" customHeight="false" outlineLevel="0" collapsed="false">
      <c r="A217" s="355"/>
    </row>
    <row r="218" customFormat="false" ht="12.75" hidden="false" customHeight="false" outlineLevel="0" collapsed="false">
      <c r="A218" s="355"/>
    </row>
    <row r="219" customFormat="false" ht="12.75" hidden="false" customHeight="false" outlineLevel="0" collapsed="false">
      <c r="A219" s="355"/>
    </row>
    <row r="220" customFormat="false" ht="12.75" hidden="false" customHeight="false" outlineLevel="0" collapsed="false">
      <c r="A220" s="355"/>
    </row>
    <row r="221" customFormat="false" ht="12.75" hidden="false" customHeight="false" outlineLevel="0" collapsed="false">
      <c r="A221" s="355"/>
    </row>
    <row r="222" customFormat="false" ht="12.75" hidden="false" customHeight="false" outlineLevel="0" collapsed="false">
      <c r="A222" s="355"/>
    </row>
    <row r="223" customFormat="false" ht="12.75" hidden="false" customHeight="false" outlineLevel="0" collapsed="false">
      <c r="A223" s="355"/>
    </row>
    <row r="224" customFormat="false" ht="12.75" hidden="false" customHeight="false" outlineLevel="0" collapsed="false">
      <c r="A224" s="355"/>
    </row>
    <row r="225" customFormat="false" ht="12.75" hidden="false" customHeight="false" outlineLevel="0" collapsed="false">
      <c r="A225" s="355"/>
    </row>
    <row r="226" customFormat="false" ht="12.75" hidden="false" customHeight="false" outlineLevel="0" collapsed="false">
      <c r="A226" s="355"/>
    </row>
    <row r="227" customFormat="false" ht="12.75" hidden="false" customHeight="false" outlineLevel="0" collapsed="false">
      <c r="A227" s="355"/>
    </row>
    <row r="228" customFormat="false" ht="12.75" hidden="false" customHeight="false" outlineLevel="0" collapsed="false">
      <c r="A228" s="355"/>
    </row>
    <row r="229" customFormat="false" ht="12.75" hidden="false" customHeight="false" outlineLevel="0" collapsed="false">
      <c r="A229" s="355"/>
    </row>
    <row r="230" customFormat="false" ht="12.75" hidden="false" customHeight="false" outlineLevel="0" collapsed="false">
      <c r="A230" s="355"/>
    </row>
    <row r="231" customFormat="false" ht="12.75" hidden="false" customHeight="false" outlineLevel="0" collapsed="false">
      <c r="A231" s="355"/>
    </row>
    <row r="232" customFormat="false" ht="12.75" hidden="false" customHeight="false" outlineLevel="0" collapsed="false">
      <c r="A232" s="355"/>
    </row>
    <row r="233" customFormat="false" ht="12.75" hidden="false" customHeight="false" outlineLevel="0" collapsed="false">
      <c r="A233" s="355"/>
    </row>
    <row r="234" customFormat="false" ht="12.75" hidden="false" customHeight="false" outlineLevel="0" collapsed="false">
      <c r="A234" s="355"/>
    </row>
    <row r="235" customFormat="false" ht="12.75" hidden="false" customHeight="false" outlineLevel="0" collapsed="false">
      <c r="A235" s="355"/>
    </row>
    <row r="236" customFormat="false" ht="12.75" hidden="false" customHeight="false" outlineLevel="0" collapsed="false">
      <c r="A236" s="355"/>
    </row>
    <row r="237" customFormat="false" ht="12.75" hidden="false" customHeight="false" outlineLevel="0" collapsed="false">
      <c r="A237" s="355"/>
    </row>
    <row r="238" customFormat="false" ht="12.75" hidden="false" customHeight="false" outlineLevel="0" collapsed="false">
      <c r="A238" s="355"/>
    </row>
    <row r="239" customFormat="false" ht="12.75" hidden="false" customHeight="false" outlineLevel="0" collapsed="false">
      <c r="A239" s="355"/>
    </row>
    <row r="240" customFormat="false" ht="12.75" hidden="false" customHeight="false" outlineLevel="0" collapsed="false">
      <c r="A240" s="355"/>
    </row>
    <row r="241" customFormat="false" ht="12.75" hidden="false" customHeight="false" outlineLevel="0" collapsed="false">
      <c r="A241" s="355"/>
    </row>
    <row r="242" customFormat="false" ht="12.75" hidden="false" customHeight="false" outlineLevel="0" collapsed="false">
      <c r="A242" s="355"/>
    </row>
    <row r="243" customFormat="false" ht="12.75" hidden="false" customHeight="false" outlineLevel="0" collapsed="false">
      <c r="A243" s="355"/>
    </row>
    <row r="244" customFormat="false" ht="12.75" hidden="false" customHeight="false" outlineLevel="0" collapsed="false">
      <c r="A244" s="355"/>
    </row>
    <row r="245" customFormat="false" ht="12.75" hidden="false" customHeight="false" outlineLevel="0" collapsed="false">
      <c r="A245" s="355"/>
    </row>
    <row r="246" customFormat="false" ht="12.75" hidden="false" customHeight="false" outlineLevel="0" collapsed="false">
      <c r="A246" s="355"/>
    </row>
    <row r="247" customFormat="false" ht="12.75" hidden="false" customHeight="false" outlineLevel="0" collapsed="false">
      <c r="A247" s="355"/>
    </row>
    <row r="248" customFormat="false" ht="12.75" hidden="false" customHeight="false" outlineLevel="0" collapsed="false">
      <c r="A248" s="355"/>
    </row>
    <row r="249" customFormat="false" ht="12.75" hidden="false" customHeight="false" outlineLevel="0" collapsed="false">
      <c r="A249" s="355"/>
    </row>
    <row r="250" customFormat="false" ht="12.75" hidden="false" customHeight="false" outlineLevel="0" collapsed="false">
      <c r="A250" s="355"/>
    </row>
    <row r="251" customFormat="false" ht="12.75" hidden="false" customHeight="false" outlineLevel="0" collapsed="false">
      <c r="A251" s="355"/>
    </row>
    <row r="252" customFormat="false" ht="12.75" hidden="false" customHeight="false" outlineLevel="0" collapsed="false">
      <c r="A252" s="355"/>
    </row>
    <row r="253" customFormat="false" ht="12.75" hidden="false" customHeight="false" outlineLevel="0" collapsed="false">
      <c r="A253" s="355"/>
    </row>
    <row r="254" customFormat="false" ht="12.75" hidden="false" customHeight="false" outlineLevel="0" collapsed="false">
      <c r="A254" s="355"/>
    </row>
    <row r="255" customFormat="false" ht="12.75" hidden="false" customHeight="false" outlineLevel="0" collapsed="false">
      <c r="A255" s="355"/>
    </row>
    <row r="256" customFormat="false" ht="12.75" hidden="false" customHeight="false" outlineLevel="0" collapsed="false">
      <c r="A256" s="355"/>
    </row>
    <row r="257" customFormat="false" ht="12.75" hidden="false" customHeight="false" outlineLevel="0" collapsed="false">
      <c r="A257" s="355"/>
    </row>
    <row r="258" customFormat="false" ht="12.75" hidden="false" customHeight="false" outlineLevel="0" collapsed="false">
      <c r="A258" s="355"/>
    </row>
    <row r="259" customFormat="false" ht="12.75" hidden="false" customHeight="false" outlineLevel="0" collapsed="false">
      <c r="A259" s="355"/>
    </row>
    <row r="260" customFormat="false" ht="12.75" hidden="false" customHeight="false" outlineLevel="0" collapsed="false">
      <c r="A260" s="355"/>
    </row>
    <row r="261" customFormat="false" ht="12.75" hidden="false" customHeight="false" outlineLevel="0" collapsed="false">
      <c r="A261" s="355"/>
    </row>
    <row r="262" customFormat="false" ht="12.75" hidden="false" customHeight="false" outlineLevel="0" collapsed="false">
      <c r="A262" s="355"/>
    </row>
    <row r="263" customFormat="false" ht="12.75" hidden="false" customHeight="false" outlineLevel="0" collapsed="false">
      <c r="A263" s="355"/>
    </row>
    <row r="264" customFormat="false" ht="12.75" hidden="false" customHeight="false" outlineLevel="0" collapsed="false">
      <c r="A264" s="355"/>
    </row>
    <row r="265" customFormat="false" ht="12.75" hidden="false" customHeight="false" outlineLevel="0" collapsed="false">
      <c r="A265" s="355"/>
    </row>
    <row r="266" customFormat="false" ht="12.75" hidden="false" customHeight="false" outlineLevel="0" collapsed="false">
      <c r="A266" s="355"/>
    </row>
    <row r="267" customFormat="false" ht="12.75" hidden="false" customHeight="false" outlineLevel="0" collapsed="false">
      <c r="A267" s="355"/>
    </row>
    <row r="268" customFormat="false" ht="12.75" hidden="false" customHeight="false" outlineLevel="0" collapsed="false">
      <c r="A268" s="355"/>
    </row>
    <row r="269" customFormat="false" ht="12.75" hidden="false" customHeight="false" outlineLevel="0" collapsed="false">
      <c r="A269" s="355"/>
    </row>
    <row r="270" customFormat="false" ht="12.75" hidden="false" customHeight="false" outlineLevel="0" collapsed="false">
      <c r="A270" s="355"/>
    </row>
    <row r="271" customFormat="false" ht="12.75" hidden="false" customHeight="false" outlineLevel="0" collapsed="false">
      <c r="A271" s="355"/>
    </row>
    <row r="272" customFormat="false" ht="12.75" hidden="false" customHeight="false" outlineLevel="0" collapsed="false">
      <c r="A272" s="355"/>
    </row>
    <row r="273" customFormat="false" ht="12.75" hidden="false" customHeight="false" outlineLevel="0" collapsed="false">
      <c r="A273" s="355"/>
    </row>
    <row r="274" customFormat="false" ht="12.75" hidden="false" customHeight="false" outlineLevel="0" collapsed="false">
      <c r="A274" s="355"/>
    </row>
    <row r="275" customFormat="false" ht="12.75" hidden="false" customHeight="false" outlineLevel="0" collapsed="false">
      <c r="A275" s="355"/>
    </row>
    <row r="276" customFormat="false" ht="12.75" hidden="false" customHeight="false" outlineLevel="0" collapsed="false">
      <c r="A276" s="355"/>
    </row>
    <row r="277" customFormat="false" ht="12.75" hidden="false" customHeight="false" outlineLevel="0" collapsed="false">
      <c r="A277" s="355"/>
    </row>
    <row r="278" customFormat="false" ht="12.75" hidden="false" customHeight="false" outlineLevel="0" collapsed="false">
      <c r="A278" s="355"/>
    </row>
    <row r="279" customFormat="false" ht="12.75" hidden="false" customHeight="false" outlineLevel="0" collapsed="false">
      <c r="A279" s="355"/>
    </row>
    <row r="280" customFormat="false" ht="12.75" hidden="false" customHeight="false" outlineLevel="0" collapsed="false">
      <c r="A280" s="355"/>
    </row>
    <row r="281" customFormat="false" ht="12.75" hidden="false" customHeight="false" outlineLevel="0" collapsed="false">
      <c r="A281" s="355"/>
    </row>
    <row r="282" customFormat="false" ht="12.75" hidden="false" customHeight="false" outlineLevel="0" collapsed="false">
      <c r="A282" s="355"/>
    </row>
    <row r="283" customFormat="false" ht="12.75" hidden="false" customHeight="false" outlineLevel="0" collapsed="false">
      <c r="A283" s="355"/>
    </row>
    <row r="284" customFormat="false" ht="12.75" hidden="false" customHeight="false" outlineLevel="0" collapsed="false">
      <c r="A284" s="355"/>
    </row>
    <row r="285" customFormat="false" ht="12.75" hidden="false" customHeight="false" outlineLevel="0" collapsed="false">
      <c r="A285" s="355"/>
    </row>
    <row r="286" customFormat="false" ht="12.75" hidden="false" customHeight="false" outlineLevel="0" collapsed="false">
      <c r="A286" s="355"/>
    </row>
    <row r="287" customFormat="false" ht="12.75" hidden="false" customHeight="false" outlineLevel="0" collapsed="false">
      <c r="A287" s="355"/>
    </row>
    <row r="288" customFormat="false" ht="12.75" hidden="false" customHeight="false" outlineLevel="0" collapsed="false">
      <c r="A288" s="355"/>
    </row>
    <row r="289" customFormat="false" ht="12.75" hidden="false" customHeight="false" outlineLevel="0" collapsed="false">
      <c r="A289" s="355"/>
    </row>
    <row r="290" customFormat="false" ht="12.75" hidden="false" customHeight="false" outlineLevel="0" collapsed="false">
      <c r="A290" s="355"/>
    </row>
    <row r="291" customFormat="false" ht="12.75" hidden="false" customHeight="false" outlineLevel="0" collapsed="false">
      <c r="A291" s="355"/>
    </row>
    <row r="292" customFormat="false" ht="12.75" hidden="false" customHeight="false" outlineLevel="0" collapsed="false">
      <c r="A292" s="355"/>
    </row>
    <row r="293" customFormat="false" ht="12.75" hidden="false" customHeight="false" outlineLevel="0" collapsed="false">
      <c r="A293" s="355"/>
    </row>
    <row r="294" customFormat="false" ht="12.75" hidden="false" customHeight="false" outlineLevel="0" collapsed="false">
      <c r="A294" s="355"/>
    </row>
    <row r="295" customFormat="false" ht="12.75" hidden="false" customHeight="false" outlineLevel="0" collapsed="false">
      <c r="A295" s="355"/>
    </row>
    <row r="296" customFormat="false" ht="12.75" hidden="false" customHeight="false" outlineLevel="0" collapsed="false">
      <c r="A296" s="355"/>
    </row>
    <row r="297" customFormat="false" ht="12.75" hidden="false" customHeight="false" outlineLevel="0" collapsed="false">
      <c r="A297" s="355"/>
    </row>
    <row r="298" customFormat="false" ht="12.75" hidden="false" customHeight="false" outlineLevel="0" collapsed="false">
      <c r="A298" s="355"/>
    </row>
    <row r="299" customFormat="false" ht="12.75" hidden="false" customHeight="false" outlineLevel="0" collapsed="false">
      <c r="A299" s="355"/>
    </row>
    <row r="300" customFormat="false" ht="12.75" hidden="false" customHeight="false" outlineLevel="0" collapsed="false">
      <c r="A300" s="355"/>
      <c r="B300" s="356"/>
      <c r="C300" s="357"/>
      <c r="D300" s="358"/>
      <c r="E300" s="359"/>
      <c r="F300" s="356"/>
      <c r="G300" s="356"/>
      <c r="H300" s="360"/>
      <c r="I300" s="361"/>
      <c r="J300" s="356"/>
    </row>
    <row r="301" customFormat="false" ht="12.75" hidden="false" customHeight="false" outlineLevel="0" collapsed="false">
      <c r="A301" s="333" t="s">
        <v>265</v>
      </c>
    </row>
  </sheetData>
  <mergeCells count="10">
    <mergeCell ref="A1:A3"/>
    <mergeCell ref="B1:B3"/>
    <mergeCell ref="C2:C3"/>
    <mergeCell ref="D2:D3"/>
    <mergeCell ref="E2:E3"/>
    <mergeCell ref="F2:F3"/>
    <mergeCell ref="G2:G3"/>
    <mergeCell ref="H2:H3"/>
    <mergeCell ref="I2:I3"/>
    <mergeCell ref="J2:K2"/>
  </mergeCells>
  <dataValidations count="1">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4:A300" type="date">
      <formula1>38353</formula1>
      <formula2>53327</formula2>
    </dataValidation>
  </dataValidations>
  <printOptions headings="false" gridLines="true" gridLinesSet="true" horizontalCentered="false" verticalCentered="false"/>
  <pageMargins left="0.196527777777778" right="0.39375" top="0.590972222222222" bottom="0.590972222222222"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&amp;C&amp;"Arial,Bold"&amp;11Sales Turnover</oddHeader>
    <oddFooter>&amp;L&amp;D  &amp;T&amp;C&amp;P  of  &amp;N&amp;R&amp;F  &amp;A</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62" width="9.66"/>
    <col collapsed="false" customWidth="true" hidden="false" outlineLevel="0" max="2" min="2" style="363" width="23.99"/>
    <col collapsed="false" customWidth="true" hidden="false" outlineLevel="0" max="3" min="3" style="363" width="15.99"/>
    <col collapsed="false" customWidth="true" hidden="false" outlineLevel="0" max="4" min="4" style="364" width="16.15"/>
    <col collapsed="false" customWidth="true" hidden="false" outlineLevel="0" max="5" min="5" style="365" width="9.49"/>
    <col collapsed="false" customWidth="true" hidden="false" outlineLevel="0" max="6" min="6" style="365" width="8.66"/>
    <col collapsed="false" customWidth="true" hidden="false" outlineLevel="0" max="7" min="7" style="366" width="12.66"/>
    <col collapsed="false" customWidth="true" hidden="false" outlineLevel="0" max="8" min="8" style="338" width="11.5"/>
    <col collapsed="false" customWidth="true" hidden="false" outlineLevel="0" max="9" min="9" style="367" width="10.5"/>
    <col collapsed="false" customWidth="true" hidden="false" outlineLevel="0" max="19" min="10" style="334" width="9.66"/>
    <col collapsed="false" customWidth="true" hidden="false" outlineLevel="0" max="22" min="20" style="334" width="7.66"/>
    <col collapsed="false" customWidth="true" hidden="false" outlineLevel="0" max="23" min="23" style="334" width="9.66"/>
    <col collapsed="false" customWidth="true" hidden="false" outlineLevel="0" max="24" min="24" style="363" width="24.66"/>
    <col collapsed="false" customWidth="false" hidden="false" outlineLevel="0" max="25" min="25" style="368" width="9.15"/>
    <col collapsed="false" customWidth="true" hidden="false" outlineLevel="0" max="26" min="26" style="368" width="12.66"/>
    <col collapsed="false" customWidth="false" hidden="false" outlineLevel="0" max="257" min="27" style="363" width="9.15"/>
  </cols>
  <sheetData>
    <row r="1" s="334" customFormat="true" ht="13.5" hidden="false" customHeight="true" outlineLevel="0" collapsed="false">
      <c r="A1" s="369" t="n">
        <f aca="false">G4+PurchasesDec!A1</f>
        <v>0</v>
      </c>
      <c r="B1" s="370" t="s">
        <v>266</v>
      </c>
      <c r="C1" s="344" t="n">
        <f aca="false">PurchasesDec!C1+PurchasesJan!F1+SalesJan!$E$1</f>
        <v>0</v>
      </c>
      <c r="D1" s="369" t="s">
        <v>248</v>
      </c>
      <c r="E1" s="371" t="str">
        <f aca="false">IF((G1-SUM(J1:W1)&lt;&gt;0),(G1-SUM(J1:W1))," ")</f>
        <v> </v>
      </c>
      <c r="F1" s="344" t="n">
        <f aca="false">SUM(F5:F300)</f>
        <v>0</v>
      </c>
      <c r="G1" s="343" t="n">
        <f aca="false">SUM(G4:G300)</f>
        <v>4511.25</v>
      </c>
      <c r="H1" s="372" t="n">
        <f aca="false">SUM(H5:H300)</f>
        <v>4511.25</v>
      </c>
      <c r="I1" s="373" t="n">
        <f aca="true">TODAY()</f>
        <v>46138</v>
      </c>
      <c r="J1" s="343" t="n">
        <f aca="false">SUM(J5:J300)</f>
        <v>600</v>
      </c>
      <c r="K1" s="343" t="n">
        <f aca="false">SUM(K5:K300)</f>
        <v>0</v>
      </c>
      <c r="L1" s="343" t="n">
        <f aca="false">SUM(L5:L300)</f>
        <v>0</v>
      </c>
      <c r="M1" s="343" t="n">
        <f aca="false">SUM(M5:M300)</f>
        <v>1200</v>
      </c>
      <c r="N1" s="343" t="n">
        <f aca="false">SUM(N5:N300)</f>
        <v>144</v>
      </c>
      <c r="O1" s="343" t="n">
        <f aca="false">SUM(O5:O300)</f>
        <v>153</v>
      </c>
      <c r="P1" s="343" t="n">
        <f aca="false">SUM(P3:P300)</f>
        <v>638.25</v>
      </c>
      <c r="Q1" s="343" t="n">
        <f aca="false">SUM(Q5:Q300)</f>
        <v>92</v>
      </c>
      <c r="R1" s="343" t="n">
        <f aca="false">SUM(R5:R300)</f>
        <v>480</v>
      </c>
      <c r="S1" s="343" t="n">
        <f aca="false">SUM(S5:S300)</f>
        <v>300</v>
      </c>
      <c r="T1" s="343" t="n">
        <f aca="false">SUM(T5:T300)</f>
        <v>0</v>
      </c>
      <c r="U1" s="343" t="n">
        <f aca="false">SUM(U5:U300)</f>
        <v>0</v>
      </c>
      <c r="V1" s="343" t="n">
        <f aca="false">SUM(V5:V300)</f>
        <v>904</v>
      </c>
      <c r="W1" s="345" t="n">
        <f aca="false">SUM(W5:W300)</f>
        <v>0</v>
      </c>
      <c r="X1" s="374" t="n">
        <f aca="false">W1+PurchasesDec!X1</f>
        <v>39000</v>
      </c>
      <c r="Y1" s="375" t="n">
        <f aca="false">SUM(Y5:Y200)</f>
        <v>0</v>
      </c>
      <c r="Z1" s="376" t="n">
        <f aca="false">Y1+PurchasesDec!Z1</f>
        <v>0</v>
      </c>
    </row>
    <row r="2" s="384" customFormat="true" ht="24" hidden="false" customHeight="true" outlineLevel="0" collapsed="false">
      <c r="A2" s="377" t="s">
        <v>267</v>
      </c>
      <c r="B2" s="378" t="str">
        <f aca="false">IF((G1-SUM(J1:W1)&lt;&gt;0),"COMPLETE EXPENSE ANALYSIS by inserting expense letter in col E","Supplier")</f>
        <v>Supplier</v>
      </c>
      <c r="C2" s="379" t="s">
        <v>268</v>
      </c>
      <c r="D2" s="379" t="s">
        <v>269</v>
      </c>
      <c r="E2" s="379" t="s">
        <v>270</v>
      </c>
      <c r="F2" s="379" t="s">
        <v>344</v>
      </c>
      <c r="G2" s="380" t="s">
        <v>272</v>
      </c>
      <c r="H2" s="381" t="s">
        <v>273</v>
      </c>
      <c r="I2" s="382" t="s">
        <v>274</v>
      </c>
      <c r="J2" s="380" t="s">
        <v>275</v>
      </c>
      <c r="K2" s="380" t="s">
        <v>276</v>
      </c>
      <c r="L2" s="380" t="s">
        <v>277</v>
      </c>
      <c r="M2" s="380" t="s">
        <v>278</v>
      </c>
      <c r="N2" s="380" t="s">
        <v>279</v>
      </c>
      <c r="O2" s="380" t="s">
        <v>280</v>
      </c>
      <c r="P2" s="380" t="s">
        <v>281</v>
      </c>
      <c r="Q2" s="380" t="s">
        <v>282</v>
      </c>
      <c r="R2" s="380" t="s">
        <v>283</v>
      </c>
      <c r="S2" s="380" t="s">
        <v>284</v>
      </c>
      <c r="T2" s="380" t="s">
        <v>285</v>
      </c>
      <c r="U2" s="380" t="s">
        <v>286</v>
      </c>
      <c r="V2" s="380" t="s">
        <v>287</v>
      </c>
      <c r="W2" s="381" t="s">
        <v>288</v>
      </c>
      <c r="X2" s="383" t="str">
        <f aca="false">IF(X1&gt;('Fixed Assets'!$E$110),"FIXED ASSETS requires updating with new additions","Fixed Assets Description  (Vehicles: make, model, date reg. and reg. mark)")</f>
        <v>FIXED ASSETS requires updating with new additions</v>
      </c>
      <c r="Y2" s="380" t="s">
        <v>289</v>
      </c>
      <c r="Z2" s="380"/>
    </row>
    <row r="3" s="386" customFormat="true" ht="12" hidden="false" customHeight="true" outlineLevel="0" collapsed="false">
      <c r="A3" s="377"/>
      <c r="B3" s="377"/>
      <c r="C3" s="377"/>
      <c r="D3" s="377"/>
      <c r="E3" s="379"/>
      <c r="F3" s="379"/>
      <c r="G3" s="380"/>
      <c r="H3" s="381"/>
      <c r="I3" s="381"/>
      <c r="J3" s="380"/>
      <c r="K3" s="380"/>
      <c r="L3" s="380"/>
      <c r="M3" s="380"/>
      <c r="N3" s="380"/>
      <c r="O3" s="380"/>
      <c r="P3" s="385" t="n">
        <f aca="false">IF((E$4="m"),G$4," ")</f>
        <v>0</v>
      </c>
      <c r="Q3" s="380"/>
      <c r="R3" s="380"/>
      <c r="S3" s="380"/>
      <c r="T3" s="380"/>
      <c r="U3" s="380"/>
      <c r="V3" s="380"/>
      <c r="W3" s="381"/>
      <c r="X3" s="383"/>
      <c r="Y3" s="380" t="s">
        <v>290</v>
      </c>
      <c r="Z3" s="380"/>
    </row>
    <row r="4" s="365" customFormat="true" ht="12.75" hidden="false" customHeight="false" outlineLevel="0" collapsed="false">
      <c r="A4" s="377"/>
      <c r="B4" s="377"/>
      <c r="C4" s="377"/>
      <c r="D4" s="377"/>
      <c r="E4" s="387" t="s">
        <v>291</v>
      </c>
      <c r="F4" s="379"/>
      <c r="G4" s="400" t="n">
        <f aca="false">IF((C1&lt;Admin!$F$22),((C1-PurchasesDec!C1)*Admin!$G$21),(C1*Admin!$G$21-(C1-Admin!$F$21)*(Admin!$G$21-Admin!$G$22)-PurchasesDec!A1))</f>
        <v>0</v>
      </c>
      <c r="H4" s="381"/>
      <c r="I4" s="381"/>
      <c r="J4" s="389" t="s">
        <v>292</v>
      </c>
      <c r="K4" s="390" t="s">
        <v>293</v>
      </c>
      <c r="L4" s="390" t="s">
        <v>294</v>
      </c>
      <c r="M4" s="390" t="s">
        <v>295</v>
      </c>
      <c r="N4" s="390" t="s">
        <v>296</v>
      </c>
      <c r="O4" s="390" t="s">
        <v>297</v>
      </c>
      <c r="P4" s="391" t="s">
        <v>298</v>
      </c>
      <c r="Q4" s="390" t="s">
        <v>299</v>
      </c>
      <c r="R4" s="390" t="s">
        <v>300</v>
      </c>
      <c r="S4" s="390" t="s">
        <v>301</v>
      </c>
      <c r="T4" s="390" t="s">
        <v>302</v>
      </c>
      <c r="U4" s="390" t="s">
        <v>303</v>
      </c>
      <c r="V4" s="390" t="s">
        <v>304</v>
      </c>
      <c r="W4" s="392" t="s">
        <v>305</v>
      </c>
      <c r="X4" s="383"/>
      <c r="Y4" s="380" t="s">
        <v>306</v>
      </c>
      <c r="Z4" s="380" t="s">
        <v>307</v>
      </c>
    </row>
    <row r="5" customFormat="false" ht="12.75" hidden="false" customHeight="false" outlineLevel="0" collapsed="false">
      <c r="A5" s="355" t="n">
        <v>46023</v>
      </c>
      <c r="B5" s="363" t="s">
        <v>239</v>
      </c>
      <c r="E5" s="365" t="s">
        <v>308</v>
      </c>
      <c r="G5" s="366" t="n">
        <v>1200</v>
      </c>
      <c r="H5" s="338" t="n">
        <f aca="false">IF((G5&lt;&gt;0),IF((D5&gt;0)," ",G5)," ")</f>
        <v>1200</v>
      </c>
      <c r="I5" s="367" t="n">
        <f aca="false">IF((G5&lt;&gt;0),IF((D5&gt;0)," ",(I$1-A5))," ")</f>
        <v>115</v>
      </c>
      <c r="J5" s="334" t="str">
        <f aca="false">IF((E5="s"),G5," ")</f>
        <v> </v>
      </c>
      <c r="K5" s="334" t="str">
        <f aca="false">IF((E5="d"),G5," ")</f>
        <v> </v>
      </c>
      <c r="L5" s="334" t="str">
        <f aca="false">IF((E5="e"),G5," ")</f>
        <v> </v>
      </c>
      <c r="M5" s="334" t="n">
        <f aca="false">IF((E5="p"),G5," ")</f>
        <v>1200</v>
      </c>
      <c r="N5" s="334" t="str">
        <f aca="false">IF((E5="r"),G5," ")</f>
        <v> </v>
      </c>
      <c r="O5" s="334" t="str">
        <f aca="false">IF((E5="g"),G5," ")</f>
        <v> </v>
      </c>
      <c r="P5" s="334" t="str">
        <f aca="false">IF((E5="m"),G5," ")</f>
        <v> </v>
      </c>
      <c r="Q5" s="334" t="str">
        <f aca="false">IF((E5="t"),G5," ")</f>
        <v> </v>
      </c>
      <c r="R5" s="334" t="str">
        <f aca="false">IF((E5="a"),G5," ")</f>
        <v> </v>
      </c>
      <c r="S5" s="334" t="str">
        <f aca="false">IF((E5="l"),G5," ")</f>
        <v> </v>
      </c>
      <c r="T5" s="334" t="str">
        <f aca="false">IF((E5="b"),G5," ")</f>
        <v> </v>
      </c>
      <c r="U5" s="334" t="str">
        <f aca="false">IF((E5="i"),G5," ")</f>
        <v> </v>
      </c>
      <c r="V5" s="334" t="str">
        <f aca="false">IF((E5="o"),G5," ")</f>
        <v> </v>
      </c>
      <c r="W5" s="334" t="str">
        <f aca="false">IF((E5="f"),G5," ")</f>
        <v> </v>
      </c>
    </row>
    <row r="6" customFormat="false" ht="12.75" hidden="false" customHeight="false" outlineLevel="0" collapsed="false">
      <c r="A6" s="355" t="n">
        <v>46023</v>
      </c>
      <c r="B6" s="363" t="s">
        <v>309</v>
      </c>
      <c r="E6" s="365" t="s">
        <v>310</v>
      </c>
      <c r="G6" s="366" t="n">
        <v>30</v>
      </c>
      <c r="H6" s="338" t="n">
        <f aca="false">IF((G6&lt;&gt;0),IF((D6&gt;0)," ",G6)," ")</f>
        <v>30</v>
      </c>
      <c r="I6" s="367" t="n">
        <f aca="false">IF((G6&lt;&gt;0),IF((D6&gt;0)," ",(I$1-A6))," ")</f>
        <v>115</v>
      </c>
      <c r="J6" s="334" t="str">
        <f aca="false">IF((E6="s"),G6," ")</f>
        <v> </v>
      </c>
      <c r="K6" s="334" t="str">
        <f aca="false">IF((E6="d"),G6," ")</f>
        <v> </v>
      </c>
      <c r="L6" s="334" t="str">
        <f aca="false">IF((E6="e"),G6," ")</f>
        <v> </v>
      </c>
      <c r="M6" s="334" t="str">
        <f aca="false">IF((E6="p"),G6," ")</f>
        <v> </v>
      </c>
      <c r="N6" s="334" t="str">
        <f aca="false">IF((E6="r"),G6," ")</f>
        <v> </v>
      </c>
      <c r="O6" s="334" t="n">
        <f aca="false">IF((E6="g"),G6," ")</f>
        <v>30</v>
      </c>
      <c r="P6" s="334" t="str">
        <f aca="false">IF((E6="m"),G6," ")</f>
        <v> </v>
      </c>
      <c r="Q6" s="334" t="str">
        <f aca="false">IF((E6="t"),G6," ")</f>
        <v> </v>
      </c>
      <c r="R6" s="334" t="str">
        <f aca="false">IF((E6="a"),G6," ")</f>
        <v> </v>
      </c>
      <c r="S6" s="334" t="str">
        <f aca="false">IF((E6="l"),G6," ")</f>
        <v> </v>
      </c>
      <c r="T6" s="334" t="str">
        <f aca="false">IF((E6="b"),G6," ")</f>
        <v> </v>
      </c>
      <c r="U6" s="334" t="str">
        <f aca="false">IF((E6="i"),G6," ")</f>
        <v> </v>
      </c>
      <c r="V6" s="334" t="str">
        <f aca="false">IF((E6="o"),G6," ")</f>
        <v> </v>
      </c>
      <c r="W6" s="334" t="str">
        <f aca="false">IF((E6="f"),G6," ")</f>
        <v> </v>
      </c>
    </row>
    <row r="7" customFormat="false" ht="12.75" hidden="false" customHeight="false" outlineLevel="0" collapsed="false">
      <c r="A7" s="355" t="n">
        <v>46023</v>
      </c>
      <c r="B7" s="363" t="s">
        <v>311</v>
      </c>
      <c r="E7" s="365" t="s">
        <v>310</v>
      </c>
      <c r="G7" s="366" t="n">
        <v>15</v>
      </c>
      <c r="H7" s="338" t="n">
        <f aca="false">IF((G7&lt;&gt;0),IF((D7&gt;0)," ",G7)," ")</f>
        <v>15</v>
      </c>
      <c r="I7" s="367" t="n">
        <f aca="false">IF((G7&lt;&gt;0),IF((D7&gt;0)," ",(I$1-A7))," ")</f>
        <v>115</v>
      </c>
      <c r="J7" s="334" t="str">
        <f aca="false">IF((E7="s"),G7," ")</f>
        <v> </v>
      </c>
      <c r="K7" s="334" t="str">
        <f aca="false">IF((E7="d"),G7," ")</f>
        <v> </v>
      </c>
      <c r="L7" s="334" t="str">
        <f aca="false">IF((E7="e"),G7," ")</f>
        <v> </v>
      </c>
      <c r="M7" s="334" t="str">
        <f aca="false">IF((E7="p"),G7," ")</f>
        <v> </v>
      </c>
      <c r="N7" s="334" t="str">
        <f aca="false">IF((E7="r"),G7," ")</f>
        <v> </v>
      </c>
      <c r="O7" s="334" t="n">
        <f aca="false">IF((E7="g"),G7," ")</f>
        <v>15</v>
      </c>
      <c r="P7" s="334" t="str">
        <f aca="false">IF((E7="m"),G7," ")</f>
        <v> </v>
      </c>
      <c r="Q7" s="334" t="str">
        <f aca="false">IF((E7="t"),G7," ")</f>
        <v> </v>
      </c>
      <c r="R7" s="334" t="str">
        <f aca="false">IF((E7="a"),G7," ")</f>
        <v> </v>
      </c>
      <c r="S7" s="334" t="str">
        <f aca="false">IF((E7="l"),G7," ")</f>
        <v> </v>
      </c>
      <c r="T7" s="334" t="str">
        <f aca="false">IF((E7="b"),G7," ")</f>
        <v> </v>
      </c>
      <c r="U7" s="334" t="str">
        <f aca="false">IF((E7="i"),G7," ")</f>
        <v> </v>
      </c>
      <c r="V7" s="334" t="str">
        <f aca="false">IF((E7="o"),G7," ")</f>
        <v> </v>
      </c>
      <c r="W7" s="334" t="str">
        <f aca="false">IF((E7="f"),G7," ")</f>
        <v> </v>
      </c>
    </row>
    <row r="8" customFormat="false" ht="12.75" hidden="false" customHeight="false" outlineLevel="0" collapsed="false">
      <c r="A8" s="355" t="n">
        <v>46023</v>
      </c>
      <c r="B8" s="363" t="s">
        <v>312</v>
      </c>
      <c r="E8" s="365" t="s">
        <v>313</v>
      </c>
      <c r="G8" s="366" t="n">
        <v>45</v>
      </c>
      <c r="H8" s="338" t="n">
        <f aca="false">IF((G8&lt;&gt;0),IF((D8&gt;0)," ",G8)," ")</f>
        <v>45</v>
      </c>
      <c r="I8" s="367" t="n">
        <f aca="false">IF((G8&lt;&gt;0),IF((D8&gt;0)," ",(I$1-A8))," ")</f>
        <v>115</v>
      </c>
      <c r="J8" s="334" t="str">
        <f aca="false">IF((E8="s"),G8," ")</f>
        <v> </v>
      </c>
      <c r="K8" s="334" t="str">
        <f aca="false">IF((E8="d"),G8," ")</f>
        <v> </v>
      </c>
      <c r="L8" s="334" t="str">
        <f aca="false">IF((E8="e"),G8," ")</f>
        <v> </v>
      </c>
      <c r="M8" s="334" t="str">
        <f aca="false">IF((E8="p"),G8," ")</f>
        <v> </v>
      </c>
      <c r="N8" s="334" t="str">
        <f aca="false">IF((E8="r"),G8," ")</f>
        <v> </v>
      </c>
      <c r="O8" s="334" t="str">
        <f aca="false">IF((E8="g"),G8," ")</f>
        <v> </v>
      </c>
      <c r="P8" s="334" t="str">
        <f aca="false">IF((E8="m"),G8," ")</f>
        <v> </v>
      </c>
      <c r="Q8" s="334" t="str">
        <f aca="false">IF((E8="t"),G8," ")</f>
        <v> </v>
      </c>
      <c r="R8" s="334" t="str">
        <f aca="false">IF((E8="a"),G8," ")</f>
        <v> </v>
      </c>
      <c r="S8" s="334" t="str">
        <f aca="false">IF((E8="l"),G8," ")</f>
        <v> </v>
      </c>
      <c r="T8" s="334" t="str">
        <f aca="false">IF((E8="b"),G8," ")</f>
        <v> </v>
      </c>
      <c r="U8" s="334" t="str">
        <f aca="false">IF((E8="i"),G8," ")</f>
        <v> </v>
      </c>
      <c r="V8" s="334" t="n">
        <f aca="false">IF((E8="o"),G8," ")</f>
        <v>45</v>
      </c>
      <c r="W8" s="334" t="str">
        <f aca="false">IF((E8="f"),G8," ")</f>
        <v> </v>
      </c>
    </row>
    <row r="9" customFormat="false" ht="12.75" hidden="false" customHeight="false" outlineLevel="0" collapsed="false">
      <c r="A9" s="355" t="n">
        <v>46023</v>
      </c>
      <c r="B9" s="363" t="s">
        <v>315</v>
      </c>
      <c r="E9" s="365" t="s">
        <v>313</v>
      </c>
      <c r="G9" s="366" t="n">
        <v>24</v>
      </c>
      <c r="H9" s="338" t="n">
        <f aca="false">IF((G9&lt;&gt;0),IF((D9&gt;0)," ",G9)," ")</f>
        <v>24</v>
      </c>
      <c r="I9" s="367" t="n">
        <f aca="false">IF((G9&lt;&gt;0),IF((D9&gt;0)," ",(I$1-A9))," ")</f>
        <v>115</v>
      </c>
      <c r="J9" s="334" t="str">
        <f aca="false">IF((E9="s"),G9," ")</f>
        <v> </v>
      </c>
      <c r="K9" s="334" t="str">
        <f aca="false">IF((E9="d"),G9," ")</f>
        <v> </v>
      </c>
      <c r="L9" s="334" t="str">
        <f aca="false">IF((E9="e"),G9," ")</f>
        <v> </v>
      </c>
      <c r="M9" s="334" t="str">
        <f aca="false">IF((E9="p"),G9," ")</f>
        <v> </v>
      </c>
      <c r="N9" s="334" t="str">
        <f aca="false">IF((E9="r"),G9," ")</f>
        <v> </v>
      </c>
      <c r="O9" s="334" t="str">
        <f aca="false">IF((E9="g"),G9," ")</f>
        <v> </v>
      </c>
      <c r="P9" s="334" t="str">
        <f aca="false">IF((E9="m"),G9," ")</f>
        <v> </v>
      </c>
      <c r="Q9" s="334" t="str">
        <f aca="false">IF((E9="t"),G9," ")</f>
        <v> </v>
      </c>
      <c r="R9" s="334" t="str">
        <f aca="false">IF((E9="a"),G9," ")</f>
        <v> </v>
      </c>
      <c r="S9" s="334" t="str">
        <f aca="false">IF((E9="l"),G9," ")</f>
        <v> </v>
      </c>
      <c r="T9" s="334" t="str">
        <f aca="false">IF((E9="b"),G9," ")</f>
        <v> </v>
      </c>
      <c r="U9" s="334" t="str">
        <f aca="false">IF((E9="i"),G9," ")</f>
        <v> </v>
      </c>
      <c r="V9" s="334" t="n">
        <f aca="false">IF((E9="o"),G9," ")</f>
        <v>24</v>
      </c>
      <c r="W9" s="334" t="str">
        <f aca="false">IF((E9="f"),G9," ")</f>
        <v> </v>
      </c>
    </row>
    <row r="10" customFormat="false" ht="12.75" hidden="false" customHeight="false" outlineLevel="0" collapsed="false">
      <c r="A10" s="355" t="n">
        <v>46023</v>
      </c>
      <c r="B10" s="363" t="s">
        <v>316</v>
      </c>
      <c r="E10" s="365" t="s">
        <v>310</v>
      </c>
      <c r="G10" s="366" t="n">
        <v>18</v>
      </c>
      <c r="H10" s="338" t="n">
        <f aca="false">IF((G10&lt;&gt;0),IF((D10&gt;0)," ",G10)," ")</f>
        <v>18</v>
      </c>
      <c r="I10" s="367" t="n">
        <f aca="false">IF((G10&lt;&gt;0),IF((D10&gt;0)," ",(I$1-A10))," ")</f>
        <v>115</v>
      </c>
      <c r="J10" s="334" t="str">
        <f aca="false">IF((E10="s"),G10," ")</f>
        <v> </v>
      </c>
      <c r="K10" s="334" t="str">
        <f aca="false">IF((E10="d"),G10," ")</f>
        <v> </v>
      </c>
      <c r="L10" s="334" t="str">
        <f aca="false">IF((E10="e"),G10," ")</f>
        <v> </v>
      </c>
      <c r="M10" s="334" t="str">
        <f aca="false">IF((E10="p"),G10," ")</f>
        <v> </v>
      </c>
      <c r="N10" s="334" t="str">
        <f aca="false">IF((E10="r"),G10," ")</f>
        <v> </v>
      </c>
      <c r="O10" s="334" t="n">
        <f aca="false">IF((E10="g"),G10," ")</f>
        <v>18</v>
      </c>
      <c r="P10" s="334" t="str">
        <f aca="false">IF((E10="m"),G10," ")</f>
        <v> </v>
      </c>
      <c r="Q10" s="334" t="str">
        <f aca="false">IF((E10="t"),G10," ")</f>
        <v> </v>
      </c>
      <c r="R10" s="334" t="str">
        <f aca="false">IF((E10="a"),G10," ")</f>
        <v> </v>
      </c>
      <c r="S10" s="334" t="str">
        <f aca="false">IF((E10="l"),G10," ")</f>
        <v> </v>
      </c>
      <c r="T10" s="334" t="str">
        <f aca="false">IF((E10="b"),G10," ")</f>
        <v> </v>
      </c>
      <c r="U10" s="334" t="str">
        <f aca="false">IF((E10="i"),G10," ")</f>
        <v> </v>
      </c>
      <c r="V10" s="334" t="str">
        <f aca="false">IF((E10="o"),G10," ")</f>
        <v> </v>
      </c>
      <c r="W10" s="334" t="str">
        <f aca="false">IF((E10="f"),G10," ")</f>
        <v> </v>
      </c>
    </row>
    <row r="11" customFormat="false" ht="12.75" hidden="false" customHeight="false" outlineLevel="0" collapsed="false">
      <c r="A11" s="355" t="n">
        <v>46025</v>
      </c>
      <c r="B11" s="363" t="s">
        <v>317</v>
      </c>
      <c r="E11" s="365" t="s">
        <v>313</v>
      </c>
      <c r="G11" s="366" t="n">
        <v>180</v>
      </c>
      <c r="H11" s="338" t="n">
        <f aca="false">IF((G11&lt;&gt;0),IF((D11&gt;0)," ",G11)," ")</f>
        <v>180</v>
      </c>
      <c r="I11" s="367" t="n">
        <f aca="false">IF((G11&lt;&gt;0),IF((D11&gt;0)," ",(I$1-A11))," ")</f>
        <v>113</v>
      </c>
      <c r="J11" s="334" t="str">
        <f aca="false">IF((E11="s"),G11," ")</f>
        <v> </v>
      </c>
      <c r="K11" s="334" t="str">
        <f aca="false">IF((E11="d"),G11," ")</f>
        <v> </v>
      </c>
      <c r="L11" s="334" t="str">
        <f aca="false">IF((E11="e"),G11," ")</f>
        <v> </v>
      </c>
      <c r="M11" s="334" t="str">
        <f aca="false">IF((E11="p"),G11," ")</f>
        <v> </v>
      </c>
      <c r="N11" s="334" t="str">
        <f aca="false">IF((E11="r"),G11," ")</f>
        <v> </v>
      </c>
      <c r="O11" s="334" t="str">
        <f aca="false">IF((E11="g"),G11," ")</f>
        <v> </v>
      </c>
      <c r="P11" s="334" t="str">
        <f aca="false">IF((E11="m"),G11," ")</f>
        <v> </v>
      </c>
      <c r="Q11" s="334" t="str">
        <f aca="false">IF((E11="t"),G11," ")</f>
        <v> </v>
      </c>
      <c r="R11" s="334" t="str">
        <f aca="false">IF((E11="a"),G11," ")</f>
        <v> </v>
      </c>
      <c r="S11" s="334" t="str">
        <f aca="false">IF((E11="l"),G11," ")</f>
        <v> </v>
      </c>
      <c r="T11" s="334" t="str">
        <f aca="false">IF((E11="b"),G11," ")</f>
        <v> </v>
      </c>
      <c r="U11" s="334" t="str">
        <f aca="false">IF((E11="i"),G11," ")</f>
        <v> </v>
      </c>
      <c r="V11" s="334" t="n">
        <f aca="false">IF((E11="o"),G11," ")</f>
        <v>180</v>
      </c>
      <c r="W11" s="334" t="str">
        <f aca="false">IF((E11="f"),G11," ")</f>
        <v> </v>
      </c>
    </row>
    <row r="12" customFormat="false" ht="12.75" hidden="false" customHeight="false" outlineLevel="0" collapsed="false">
      <c r="A12" s="355" t="n">
        <v>46025</v>
      </c>
      <c r="B12" s="363" t="s">
        <v>318</v>
      </c>
      <c r="E12" s="365" t="s">
        <v>313</v>
      </c>
      <c r="G12" s="366" t="n">
        <v>22</v>
      </c>
      <c r="H12" s="338" t="n">
        <f aca="false">IF((G12&lt;&gt;0),IF((D12&gt;0)," ",G12)," ")</f>
        <v>22</v>
      </c>
      <c r="I12" s="367" t="n">
        <f aca="false">IF((G12&lt;&gt;0),IF((D12&gt;0)," ",(I$1-A12))," ")</f>
        <v>113</v>
      </c>
      <c r="J12" s="334" t="str">
        <f aca="false">IF((E12="s"),G12," ")</f>
        <v> </v>
      </c>
      <c r="K12" s="334" t="str">
        <f aca="false">IF((E12="d"),G12," ")</f>
        <v> </v>
      </c>
      <c r="L12" s="334" t="str">
        <f aca="false">IF((E12="e"),G12," ")</f>
        <v> </v>
      </c>
      <c r="M12" s="334" t="str">
        <f aca="false">IF((E12="p"),G12," ")</f>
        <v> </v>
      </c>
      <c r="N12" s="334" t="str">
        <f aca="false">IF((E12="r"),G12," ")</f>
        <v> </v>
      </c>
      <c r="O12" s="334" t="str">
        <f aca="false">IF((E12="g"),G12," ")</f>
        <v> </v>
      </c>
      <c r="P12" s="334" t="str">
        <f aca="false">IF((E12="m"),G12," ")</f>
        <v> </v>
      </c>
      <c r="Q12" s="334" t="str">
        <f aca="false">IF((E12="t"),G12," ")</f>
        <v> </v>
      </c>
      <c r="R12" s="334" t="str">
        <f aca="false">IF((E12="a"),G12," ")</f>
        <v> </v>
      </c>
      <c r="S12" s="334" t="str">
        <f aca="false">IF((E12="l"),G12," ")</f>
        <v> </v>
      </c>
      <c r="T12" s="334" t="str">
        <f aca="false">IF((E12="b"),G12," ")</f>
        <v> </v>
      </c>
      <c r="U12" s="334" t="str">
        <f aca="false">IF((E12="i"),G12," ")</f>
        <v> </v>
      </c>
      <c r="V12" s="334" t="n">
        <f aca="false">IF((E12="o"),G12," ")</f>
        <v>22</v>
      </c>
      <c r="W12" s="334" t="str">
        <f aca="false">IF((E12="f"),G12," ")</f>
        <v> </v>
      </c>
    </row>
    <row r="13" customFormat="false" ht="12.75" hidden="false" customHeight="false" outlineLevel="0" collapsed="false">
      <c r="A13" s="355" t="n">
        <v>46027</v>
      </c>
      <c r="B13" s="363" t="s">
        <v>319</v>
      </c>
      <c r="E13" s="365" t="s">
        <v>313</v>
      </c>
      <c r="G13" s="366" t="n">
        <v>24</v>
      </c>
      <c r="H13" s="338" t="n">
        <f aca="false">IF((G13&lt;&gt;0),IF((D13&gt;0)," ",G13)," ")</f>
        <v>24</v>
      </c>
      <c r="I13" s="367" t="n">
        <f aca="false">IF((G13&lt;&gt;0),IF((D13&gt;0)," ",(I$1-A13))," ")</f>
        <v>111</v>
      </c>
      <c r="J13" s="334" t="str">
        <f aca="false">IF((E13="s"),G13," ")</f>
        <v> </v>
      </c>
      <c r="K13" s="334" t="str">
        <f aca="false">IF((E13="d"),G13," ")</f>
        <v> </v>
      </c>
      <c r="L13" s="334" t="str">
        <f aca="false">IF((E13="e"),G13," ")</f>
        <v> </v>
      </c>
      <c r="M13" s="334" t="str">
        <f aca="false">IF((E13="p"),G13," ")</f>
        <v> </v>
      </c>
      <c r="N13" s="334" t="str">
        <f aca="false">IF((E13="r"),G13," ")</f>
        <v> </v>
      </c>
      <c r="O13" s="334" t="str">
        <f aca="false">IF((E13="g"),G13," ")</f>
        <v> </v>
      </c>
      <c r="P13" s="334" t="str">
        <f aca="false">IF((E13="m"),G13," ")</f>
        <v> </v>
      </c>
      <c r="Q13" s="334" t="str">
        <f aca="false">IF((E13="t"),G13," ")</f>
        <v> </v>
      </c>
      <c r="R13" s="334" t="str">
        <f aca="false">IF((E13="a"),G13," ")</f>
        <v> </v>
      </c>
      <c r="S13" s="334" t="str">
        <f aca="false">IF((E13="l"),G13," ")</f>
        <v> </v>
      </c>
      <c r="T13" s="334" t="str">
        <f aca="false">IF((E13="b"),G13," ")</f>
        <v> </v>
      </c>
      <c r="U13" s="334" t="str">
        <f aca="false">IF((E13="i"),G13," ")</f>
        <v> </v>
      </c>
      <c r="V13" s="334" t="n">
        <f aca="false">IF((E13="o"),G13," ")</f>
        <v>24</v>
      </c>
      <c r="W13" s="334" t="str">
        <f aca="false">IF((E13="f"),G13," ")</f>
        <v> </v>
      </c>
    </row>
    <row r="14" customFormat="false" ht="12.75" hidden="false" customHeight="false" outlineLevel="0" collapsed="false">
      <c r="A14" s="355" t="n">
        <v>46027</v>
      </c>
      <c r="B14" s="363" t="s">
        <v>367</v>
      </c>
      <c r="E14" s="365" t="s">
        <v>348</v>
      </c>
      <c r="G14" s="366" t="n">
        <v>480</v>
      </c>
      <c r="H14" s="338" t="n">
        <f aca="false">IF((G14&lt;&gt;0),IF((D14&gt;0)," ",G14)," ")</f>
        <v>480</v>
      </c>
      <c r="I14" s="367" t="n">
        <f aca="false">IF((G14&lt;&gt;0),IF((D14&gt;0)," ",(I$1-A14))," ")</f>
        <v>111</v>
      </c>
      <c r="J14" s="334" t="str">
        <f aca="false">IF((E14="s"),G14," ")</f>
        <v> </v>
      </c>
      <c r="K14" s="334" t="str">
        <f aca="false">IF((E14="d"),G14," ")</f>
        <v> </v>
      </c>
      <c r="L14" s="334" t="str">
        <f aca="false">IF((E14="e"),G14," ")</f>
        <v> </v>
      </c>
      <c r="M14" s="334" t="str">
        <f aca="false">IF((E14="p"),G14," ")</f>
        <v> </v>
      </c>
      <c r="N14" s="334" t="str">
        <f aca="false">IF((E14="r"),G14," ")</f>
        <v> </v>
      </c>
      <c r="O14" s="334" t="str">
        <f aca="false">IF((E14="g"),G14," ")</f>
        <v> </v>
      </c>
      <c r="P14" s="334" t="str">
        <f aca="false">IF((E14="m"),G14," ")</f>
        <v> </v>
      </c>
      <c r="Q14" s="334" t="str">
        <f aca="false">IF((E14="t"),G14," ")</f>
        <v> </v>
      </c>
      <c r="R14" s="334" t="n">
        <f aca="false">IF((E14="a"),G14," ")</f>
        <v>480</v>
      </c>
      <c r="S14" s="334" t="str">
        <f aca="false">IF((E14="l"),G14," ")</f>
        <v> </v>
      </c>
      <c r="T14" s="334" t="str">
        <f aca="false">IF((E14="b"),G14," ")</f>
        <v> </v>
      </c>
      <c r="U14" s="334" t="str">
        <f aca="false">IF((E14="i"),G14," ")</f>
        <v> </v>
      </c>
      <c r="V14" s="334" t="str">
        <f aca="false">IF((E14="o"),G14," ")</f>
        <v> </v>
      </c>
      <c r="W14" s="334" t="str">
        <f aca="false">IF((E14="f"),G14," ")</f>
        <v> </v>
      </c>
    </row>
    <row r="15" customFormat="false" ht="12.75" hidden="false" customHeight="false" outlineLevel="0" collapsed="false">
      <c r="A15" s="355" t="n">
        <v>46027</v>
      </c>
      <c r="B15" s="363" t="s">
        <v>320</v>
      </c>
      <c r="E15" s="365" t="s">
        <v>291</v>
      </c>
      <c r="G15" s="366" t="n">
        <v>180</v>
      </c>
      <c r="H15" s="338" t="n">
        <f aca="false">IF((G15&lt;&gt;0),IF((D15&gt;0)," ",G15)," ")</f>
        <v>180</v>
      </c>
      <c r="I15" s="367" t="n">
        <f aca="false">IF((G15&lt;&gt;0),IF((D15&gt;0)," ",(I$1-A15))," ")</f>
        <v>111</v>
      </c>
      <c r="J15" s="334" t="str">
        <f aca="false">IF((E15="s"),G15," ")</f>
        <v> </v>
      </c>
      <c r="K15" s="334" t="str">
        <f aca="false">IF((E15="d"),G15," ")</f>
        <v> </v>
      </c>
      <c r="L15" s="334" t="str">
        <f aca="false">IF((E15="e"),G15," ")</f>
        <v> </v>
      </c>
      <c r="M15" s="334" t="str">
        <f aca="false">IF((E15="p"),G15," ")</f>
        <v> </v>
      </c>
      <c r="N15" s="334" t="str">
        <f aca="false">IF((E15="r"),G15," ")</f>
        <v> </v>
      </c>
      <c r="O15" s="334" t="str">
        <f aca="false">IF((E15="g"),G15," ")</f>
        <v> </v>
      </c>
      <c r="P15" s="334" t="n">
        <f aca="false">IF((E15="m"),G15," ")</f>
        <v>180</v>
      </c>
      <c r="Q15" s="334" t="str">
        <f aca="false">IF((E15="t"),G15," ")</f>
        <v> </v>
      </c>
      <c r="R15" s="334" t="str">
        <f aca="false">IF((E15="a"),G15," ")</f>
        <v> </v>
      </c>
      <c r="S15" s="334" t="str">
        <f aca="false">IF((E15="l"),G15," ")</f>
        <v> </v>
      </c>
      <c r="T15" s="334" t="str">
        <f aca="false">IF((E15="b"),G15," ")</f>
        <v> </v>
      </c>
      <c r="U15" s="334" t="str">
        <f aca="false">IF((E15="i"),G15," ")</f>
        <v> </v>
      </c>
      <c r="V15" s="334" t="str">
        <f aca="false">IF((E15="o"),G15," ")</f>
        <v> </v>
      </c>
      <c r="W15" s="334" t="str">
        <f aca="false">IF((E15="f"),G15," ")</f>
        <v> </v>
      </c>
    </row>
    <row r="16" customFormat="false" ht="12.75" hidden="false" customHeight="false" outlineLevel="0" collapsed="false">
      <c r="A16" s="355" t="n">
        <v>46030</v>
      </c>
      <c r="B16" s="363" t="s">
        <v>322</v>
      </c>
      <c r="E16" s="365" t="s">
        <v>323</v>
      </c>
      <c r="G16" s="366" t="n">
        <v>48</v>
      </c>
      <c r="H16" s="338" t="n">
        <f aca="false">IF((G16&lt;&gt;0),IF((D16&gt;0)," ",G16)," ")</f>
        <v>48</v>
      </c>
      <c r="I16" s="367" t="n">
        <f aca="false">IF((G16&lt;&gt;0),IF((D16&gt;0)," ",(I$1-A16))," ")</f>
        <v>108</v>
      </c>
      <c r="J16" s="334" t="str">
        <f aca="false">IF((E16="s"),G16," ")</f>
        <v> </v>
      </c>
      <c r="K16" s="334" t="str">
        <f aca="false">IF((E16="d"),G16," ")</f>
        <v> </v>
      </c>
      <c r="L16" s="334" t="str">
        <f aca="false">IF((E16="e"),G16," ")</f>
        <v> </v>
      </c>
      <c r="M16" s="334" t="str">
        <f aca="false">IF((E16="p"),G16," ")</f>
        <v> </v>
      </c>
      <c r="N16" s="334" t="str">
        <f aca="false">IF((E16="r"),G16," ")</f>
        <v> </v>
      </c>
      <c r="O16" s="334" t="str">
        <f aca="false">IF((E16="g"),G16," ")</f>
        <v> </v>
      </c>
      <c r="P16" s="334" t="str">
        <f aca="false">IF((E16="m"),G16," ")</f>
        <v> </v>
      </c>
      <c r="Q16" s="334" t="n">
        <f aca="false">IF((E16="t"),G16," ")</f>
        <v>48</v>
      </c>
      <c r="R16" s="334" t="str">
        <f aca="false">IF((E16="a"),G16," ")</f>
        <v> </v>
      </c>
      <c r="S16" s="334" t="str">
        <f aca="false">IF((E16="l"),G16," ")</f>
        <v> </v>
      </c>
      <c r="T16" s="334" t="str">
        <f aca="false">IF((E16="b"),G16," ")</f>
        <v> </v>
      </c>
      <c r="U16" s="334" t="str">
        <f aca="false">IF((E16="i"),G16," ")</f>
        <v> </v>
      </c>
      <c r="V16" s="334" t="str">
        <f aca="false">IF((E16="o"),G16," ")</f>
        <v> </v>
      </c>
      <c r="W16" s="334" t="str">
        <f aca="false">IF((E16="f"),G16," ")</f>
        <v> </v>
      </c>
    </row>
    <row r="17" customFormat="false" ht="12.75" hidden="false" customHeight="false" outlineLevel="0" collapsed="false">
      <c r="A17" s="355" t="n">
        <v>46030</v>
      </c>
      <c r="B17" s="363" t="s">
        <v>346</v>
      </c>
      <c r="E17" s="365" t="s">
        <v>313</v>
      </c>
      <c r="G17" s="366" t="n">
        <v>180</v>
      </c>
      <c r="H17" s="338" t="n">
        <f aca="false">IF((G17&lt;&gt;0),IF((D17&gt;0)," ",G17)," ")</f>
        <v>180</v>
      </c>
      <c r="I17" s="367" t="n">
        <f aca="false">IF((G17&lt;&gt;0),IF((D17&gt;0)," ",(I$1-A17))," ")</f>
        <v>108</v>
      </c>
      <c r="J17" s="334" t="str">
        <f aca="false">IF((E17="s"),G17," ")</f>
        <v> </v>
      </c>
      <c r="K17" s="334" t="str">
        <f aca="false">IF((E17="d"),G17," ")</f>
        <v> </v>
      </c>
      <c r="L17" s="334" t="str">
        <f aca="false">IF((E17="e"),G17," ")</f>
        <v> </v>
      </c>
      <c r="M17" s="334" t="str">
        <f aca="false">IF((E17="p"),G17," ")</f>
        <v> </v>
      </c>
      <c r="N17" s="334" t="str">
        <f aca="false">IF((E17="r"),G17," ")</f>
        <v> </v>
      </c>
      <c r="O17" s="334" t="str">
        <f aca="false">IF((E17="g"),G17," ")</f>
        <v> </v>
      </c>
      <c r="P17" s="334" t="str">
        <f aca="false">IF((E17="m"),G17," ")</f>
        <v> </v>
      </c>
      <c r="Q17" s="334" t="str">
        <f aca="false">IF((E17="t"),G17," ")</f>
        <v> </v>
      </c>
      <c r="R17" s="334" t="str">
        <f aca="false">IF((E17="a"),G17," ")</f>
        <v> </v>
      </c>
      <c r="S17" s="334" t="str">
        <f aca="false">IF((E17="l"),G17," ")</f>
        <v> </v>
      </c>
      <c r="T17" s="334" t="str">
        <f aca="false">IF((E17="b"),G17," ")</f>
        <v> </v>
      </c>
      <c r="U17" s="334" t="str">
        <f aca="false">IF((E17="i"),G17," ")</f>
        <v> </v>
      </c>
      <c r="V17" s="334" t="n">
        <f aca="false">IF((E17="o"),G17," ")</f>
        <v>180</v>
      </c>
      <c r="W17" s="334" t="str">
        <f aca="false">IF((E17="f"),G17," ")</f>
        <v> </v>
      </c>
    </row>
    <row r="18" customFormat="false" ht="12.75" hidden="false" customHeight="false" outlineLevel="0" collapsed="false">
      <c r="A18" s="355" t="n">
        <v>46032</v>
      </c>
      <c r="B18" s="363" t="s">
        <v>324</v>
      </c>
      <c r="E18" s="365" t="s">
        <v>313</v>
      </c>
      <c r="G18" s="366" t="n">
        <v>36</v>
      </c>
      <c r="H18" s="338" t="n">
        <f aca="false">IF((G18&lt;&gt;0),IF((D18&gt;0)," ",G18)," ")</f>
        <v>36</v>
      </c>
      <c r="I18" s="367" t="n">
        <f aca="false">IF((G18&lt;&gt;0),IF((D18&gt;0)," ",(I$1-A18))," ")</f>
        <v>106</v>
      </c>
      <c r="J18" s="334" t="str">
        <f aca="false">IF((E18="s"),G18," ")</f>
        <v> </v>
      </c>
      <c r="K18" s="334" t="str">
        <f aca="false">IF((E18="d"),G18," ")</f>
        <v> </v>
      </c>
      <c r="L18" s="334" t="str">
        <f aca="false">IF((E18="e"),G18," ")</f>
        <v> </v>
      </c>
      <c r="M18" s="334" t="str">
        <f aca="false">IF((E18="p"),G18," ")</f>
        <v> </v>
      </c>
      <c r="N18" s="334" t="str">
        <f aca="false">IF((E18="r"),G18," ")</f>
        <v> </v>
      </c>
      <c r="O18" s="334" t="str">
        <f aca="false">IF((E18="g"),G18," ")</f>
        <v> </v>
      </c>
      <c r="P18" s="334" t="str">
        <f aca="false">IF((E18="m"),G18," ")</f>
        <v> </v>
      </c>
      <c r="Q18" s="334" t="str">
        <f aca="false">IF((E18="t"),G18," ")</f>
        <v> </v>
      </c>
      <c r="R18" s="334" t="str">
        <f aca="false">IF((E18="a"),G18," ")</f>
        <v> </v>
      </c>
      <c r="S18" s="334" t="str">
        <f aca="false">IF((E18="l"),G18," ")</f>
        <v> </v>
      </c>
      <c r="T18" s="334" t="str">
        <f aca="false">IF((E18="b"),G18," ")</f>
        <v> </v>
      </c>
      <c r="U18" s="334" t="str">
        <f aca="false">IF((E18="i"),G18," ")</f>
        <v> </v>
      </c>
      <c r="V18" s="334" t="n">
        <f aca="false">IF((E18="o"),G18," ")</f>
        <v>36</v>
      </c>
      <c r="W18" s="334" t="str">
        <f aca="false">IF((E18="f"),G18," ")</f>
        <v> </v>
      </c>
    </row>
    <row r="19" customFormat="false" ht="12.75" hidden="false" customHeight="false" outlineLevel="0" collapsed="false">
      <c r="A19" s="355" t="n">
        <v>46032</v>
      </c>
      <c r="B19" s="363" t="s">
        <v>325</v>
      </c>
      <c r="E19" s="365" t="s">
        <v>313</v>
      </c>
      <c r="G19" s="366" t="n">
        <v>180</v>
      </c>
      <c r="H19" s="338" t="n">
        <f aca="false">IF((G19&lt;&gt;0),IF((D19&gt;0)," ",G19)," ")</f>
        <v>180</v>
      </c>
      <c r="I19" s="367" t="n">
        <f aca="false">IF((G19&lt;&gt;0),IF((D19&gt;0)," ",(I$1-A19))," ")</f>
        <v>106</v>
      </c>
      <c r="J19" s="334" t="str">
        <f aca="false">IF((E19="s"),G19," ")</f>
        <v> </v>
      </c>
      <c r="K19" s="334" t="str">
        <f aca="false">IF((E19="d"),G19," ")</f>
        <v> </v>
      </c>
      <c r="L19" s="334" t="str">
        <f aca="false">IF((E19="e"),G19," ")</f>
        <v> </v>
      </c>
      <c r="M19" s="334" t="str">
        <f aca="false">IF((E19="p"),G19," ")</f>
        <v> </v>
      </c>
      <c r="N19" s="334" t="str">
        <f aca="false">IF((E19="r"),G19," ")</f>
        <v> </v>
      </c>
      <c r="O19" s="334" t="str">
        <f aca="false">IF((E19="g"),G19," ")</f>
        <v> </v>
      </c>
      <c r="P19" s="334" t="str">
        <f aca="false">IF((E19="m"),G19," ")</f>
        <v> </v>
      </c>
      <c r="Q19" s="334" t="str">
        <f aca="false">IF((E19="t"),G19," ")</f>
        <v> </v>
      </c>
      <c r="R19" s="334" t="str">
        <f aca="false">IF((E19="a"),G19," ")</f>
        <v> </v>
      </c>
      <c r="S19" s="334" t="str">
        <f aca="false">IF((E19="l"),G19," ")</f>
        <v> </v>
      </c>
      <c r="T19" s="334" t="str">
        <f aca="false">IF((E19="b"),G19," ")</f>
        <v> </v>
      </c>
      <c r="U19" s="334" t="str">
        <f aca="false">IF((E19="i"),G19," ")</f>
        <v> </v>
      </c>
      <c r="V19" s="334" t="n">
        <f aca="false">IF((E19="o"),G19," ")</f>
        <v>180</v>
      </c>
      <c r="W19" s="334" t="str">
        <f aca="false">IF((E19="f"),G19," ")</f>
        <v> </v>
      </c>
    </row>
    <row r="20" customFormat="false" ht="12.75" hidden="false" customHeight="false" outlineLevel="0" collapsed="false">
      <c r="A20" s="355" t="n">
        <v>46032</v>
      </c>
      <c r="B20" s="363" t="s">
        <v>326</v>
      </c>
      <c r="E20" s="365" t="s">
        <v>327</v>
      </c>
      <c r="G20" s="366" t="n">
        <v>600</v>
      </c>
      <c r="H20" s="338" t="n">
        <f aca="false">IF((G20&lt;&gt;0),IF((D20&gt;0)," ",G20)," ")</f>
        <v>600</v>
      </c>
      <c r="I20" s="367" t="n">
        <f aca="false">IF((G20&lt;&gt;0),IF((D20&gt;0)," ",(I$1-A20))," ")</f>
        <v>106</v>
      </c>
      <c r="J20" s="334" t="n">
        <f aca="false">IF((E20="s"),G20," ")</f>
        <v>600</v>
      </c>
      <c r="K20" s="334" t="str">
        <f aca="false">IF((E20="d"),G20," ")</f>
        <v> </v>
      </c>
      <c r="L20" s="334" t="str">
        <f aca="false">IF((E20="e"),G20," ")</f>
        <v> </v>
      </c>
      <c r="M20" s="334" t="str">
        <f aca="false">IF((E20="p"),G20," ")</f>
        <v> </v>
      </c>
      <c r="N20" s="334" t="str">
        <f aca="false">IF((E20="r"),G20," ")</f>
        <v> </v>
      </c>
      <c r="O20" s="334" t="str">
        <f aca="false">IF((E20="g"),G20," ")</f>
        <v> </v>
      </c>
      <c r="P20" s="334" t="str">
        <f aca="false">IF((E20="m"),G20," ")</f>
        <v> </v>
      </c>
      <c r="Q20" s="334" t="str">
        <f aca="false">IF((E20="t"),G20," ")</f>
        <v> </v>
      </c>
      <c r="R20" s="334" t="str">
        <f aca="false">IF((E20="a"),G20," ")</f>
        <v> </v>
      </c>
      <c r="S20" s="334" t="str">
        <f aca="false">IF((E20="l"),G20," ")</f>
        <v> </v>
      </c>
      <c r="T20" s="334" t="str">
        <f aca="false">IF((E20="b"),G20," ")</f>
        <v> </v>
      </c>
      <c r="U20" s="334" t="str">
        <f aca="false">IF((E20="i"),G20," ")</f>
        <v> </v>
      </c>
      <c r="V20" s="334" t="str">
        <f aca="false">IF((E20="o"),G20," ")</f>
        <v> </v>
      </c>
      <c r="W20" s="334" t="str">
        <f aca="false">IF((E20="f"),G20," ")</f>
        <v> </v>
      </c>
    </row>
    <row r="21" customFormat="false" ht="12.75" hidden="false" customHeight="false" outlineLevel="0" collapsed="false">
      <c r="A21" s="355" t="n">
        <v>46034</v>
      </c>
      <c r="B21" s="363" t="s">
        <v>328</v>
      </c>
      <c r="E21" s="365" t="s">
        <v>291</v>
      </c>
      <c r="G21" s="366" t="n">
        <v>18</v>
      </c>
      <c r="H21" s="338" t="n">
        <f aca="false">IF((G21&lt;&gt;0),IF((D21&gt;0)," ",G21)," ")</f>
        <v>18</v>
      </c>
      <c r="I21" s="367" t="n">
        <f aca="false">IF((G21&lt;&gt;0),IF((D21&gt;0)," ",(I$1-A21))," ")</f>
        <v>104</v>
      </c>
      <c r="J21" s="334" t="str">
        <f aca="false">IF((E21="s"),G21," ")</f>
        <v> </v>
      </c>
      <c r="K21" s="334" t="str">
        <f aca="false">IF((E21="d"),G21," ")</f>
        <v> </v>
      </c>
      <c r="L21" s="334" t="str">
        <f aca="false">IF((E21="e"),G21," ")</f>
        <v> </v>
      </c>
      <c r="M21" s="334" t="str">
        <f aca="false">IF((E21="p"),G21," ")</f>
        <v> </v>
      </c>
      <c r="N21" s="334" t="str">
        <f aca="false">IF((E21="r"),G21," ")</f>
        <v> </v>
      </c>
      <c r="O21" s="334" t="str">
        <f aca="false">IF((E21="g"),G21," ")</f>
        <v> </v>
      </c>
      <c r="P21" s="334" t="n">
        <f aca="false">IF((E21="m"),G21," ")</f>
        <v>18</v>
      </c>
      <c r="Q21" s="334" t="str">
        <f aca="false">IF((E21="t"),G21," ")</f>
        <v> </v>
      </c>
      <c r="R21" s="334" t="str">
        <f aca="false">IF((E21="a"),G21," ")</f>
        <v> </v>
      </c>
      <c r="S21" s="334" t="str">
        <f aca="false">IF((E21="l"),G21," ")</f>
        <v> </v>
      </c>
      <c r="T21" s="334" t="str">
        <f aca="false">IF((E21="b"),G21," ")</f>
        <v> </v>
      </c>
      <c r="U21" s="334" t="str">
        <f aca="false">IF((E21="i"),G21," ")</f>
        <v> </v>
      </c>
      <c r="V21" s="334" t="str">
        <f aca="false">IF((E21="o"),G21," ")</f>
        <v> </v>
      </c>
      <c r="W21" s="334" t="str">
        <f aca="false">IF((E21="f"),G21," ")</f>
        <v> </v>
      </c>
    </row>
    <row r="22" customFormat="false" ht="12.75" hidden="false" customHeight="false" outlineLevel="0" collapsed="false">
      <c r="A22" s="355" t="n">
        <v>46036</v>
      </c>
      <c r="B22" s="363" t="s">
        <v>330</v>
      </c>
      <c r="E22" s="365" t="s">
        <v>323</v>
      </c>
      <c r="G22" s="366" t="n">
        <v>24</v>
      </c>
      <c r="H22" s="338" t="n">
        <f aca="false">IF((G22&lt;&gt;0),IF((D22&gt;0)," ",G22)," ")</f>
        <v>24</v>
      </c>
      <c r="I22" s="367" t="n">
        <f aca="false">IF((G22&lt;&gt;0),IF((D22&gt;0)," ",(I$1-A22))," ")</f>
        <v>102</v>
      </c>
      <c r="J22" s="334" t="str">
        <f aca="false">IF((E22="s"),G22," ")</f>
        <v> </v>
      </c>
      <c r="K22" s="334" t="str">
        <f aca="false">IF((E22="d"),G22," ")</f>
        <v> </v>
      </c>
      <c r="L22" s="334" t="str">
        <f aca="false">IF((E22="e"),G22," ")</f>
        <v> </v>
      </c>
      <c r="M22" s="334" t="str">
        <f aca="false">IF((E22="p"),G22," ")</f>
        <v> </v>
      </c>
      <c r="N22" s="334" t="str">
        <f aca="false">IF((E22="r"),G22," ")</f>
        <v> </v>
      </c>
      <c r="O22" s="334" t="str">
        <f aca="false">IF((E22="g"),G22," ")</f>
        <v> </v>
      </c>
      <c r="P22" s="334" t="str">
        <f aca="false">IF((E22="m"),G22," ")</f>
        <v> </v>
      </c>
      <c r="Q22" s="334" t="n">
        <f aca="false">IF((E22="t"),G22," ")</f>
        <v>24</v>
      </c>
      <c r="R22" s="334" t="str">
        <f aca="false">IF((E22="a"),G22," ")</f>
        <v> </v>
      </c>
      <c r="S22" s="334" t="str">
        <f aca="false">IF((E22="l"),G22," ")</f>
        <v> </v>
      </c>
      <c r="T22" s="334" t="str">
        <f aca="false">IF((E22="b"),G22," ")</f>
        <v> </v>
      </c>
      <c r="U22" s="334" t="str">
        <f aca="false">IF((E22="i"),G22," ")</f>
        <v> </v>
      </c>
      <c r="V22" s="334" t="str">
        <f aca="false">IF((E22="o"),G22," ")</f>
        <v> </v>
      </c>
      <c r="W22" s="334" t="str">
        <f aca="false">IF((E22="f"),G22," ")</f>
        <v> </v>
      </c>
    </row>
    <row r="23" customFormat="false" ht="12.75" hidden="false" customHeight="false" outlineLevel="0" collapsed="false">
      <c r="A23" s="355" t="n">
        <v>46036</v>
      </c>
      <c r="B23" s="363" t="s">
        <v>331</v>
      </c>
      <c r="E23" s="365" t="s">
        <v>323</v>
      </c>
      <c r="G23" s="366" t="n">
        <v>12</v>
      </c>
      <c r="H23" s="338" t="n">
        <f aca="false">IF((G23&lt;&gt;0),IF((D23&gt;0)," ",G23)," ")</f>
        <v>12</v>
      </c>
      <c r="I23" s="367" t="n">
        <f aca="false">IF((G23&lt;&gt;0),IF((D23&gt;0)," ",(I$1-A23))," ")</f>
        <v>102</v>
      </c>
      <c r="J23" s="334" t="str">
        <f aca="false">IF((E23="s"),G23," ")</f>
        <v> </v>
      </c>
      <c r="K23" s="334" t="str">
        <f aca="false">IF((E23="d"),G23," ")</f>
        <v> </v>
      </c>
      <c r="L23" s="334" t="str">
        <f aca="false">IF((E23="e"),G23," ")</f>
        <v> </v>
      </c>
      <c r="M23" s="334" t="str">
        <f aca="false">IF((E23="p"),G23," ")</f>
        <v> </v>
      </c>
      <c r="N23" s="334" t="str">
        <f aca="false">IF((E23="r"),G23," ")</f>
        <v> </v>
      </c>
      <c r="O23" s="334" t="str">
        <f aca="false">IF((E23="g"),G23," ")</f>
        <v> </v>
      </c>
      <c r="P23" s="334" t="str">
        <f aca="false">IF((E23="m"),G23," ")</f>
        <v> </v>
      </c>
      <c r="Q23" s="334" t="n">
        <f aca="false">IF((E23="t"),G23," ")</f>
        <v>12</v>
      </c>
      <c r="R23" s="334" t="str">
        <f aca="false">IF((E23="a"),G23," ")</f>
        <v> </v>
      </c>
      <c r="S23" s="334" t="str">
        <f aca="false">IF((E23="l"),G23," ")</f>
        <v> </v>
      </c>
      <c r="T23" s="334" t="str">
        <f aca="false">IF((E23="b"),G23," ")</f>
        <v> </v>
      </c>
      <c r="U23" s="334" t="str">
        <f aca="false">IF((E23="i"),G23," ")</f>
        <v> </v>
      </c>
      <c r="V23" s="334" t="str">
        <f aca="false">IF((E23="o"),G23," ")</f>
        <v> </v>
      </c>
      <c r="W23" s="334" t="str">
        <f aca="false">IF((E23="f"),G23," ")</f>
        <v> </v>
      </c>
    </row>
    <row r="24" customFormat="false" ht="12.75" hidden="false" customHeight="false" outlineLevel="0" collapsed="false">
      <c r="A24" s="355" t="n">
        <v>46037</v>
      </c>
      <c r="B24" s="363" t="s">
        <v>243</v>
      </c>
      <c r="E24" s="365" t="s">
        <v>291</v>
      </c>
      <c r="G24" s="366" t="n">
        <v>150</v>
      </c>
      <c r="H24" s="338" t="n">
        <f aca="false">IF((G24&lt;&gt;0),IF((D24&gt;0)," ",G24)," ")</f>
        <v>150</v>
      </c>
      <c r="I24" s="367" t="n">
        <f aca="false">IF((G24&lt;&gt;0),IF((D24&gt;0)," ",(I$1-A24))," ")</f>
        <v>101</v>
      </c>
      <c r="J24" s="334" t="str">
        <f aca="false">IF((E24="s"),G24," ")</f>
        <v> </v>
      </c>
      <c r="K24" s="334" t="str">
        <f aca="false">IF((E24="d"),G24," ")</f>
        <v> </v>
      </c>
      <c r="L24" s="334" t="str">
        <f aca="false">IF((E24="e"),G24," ")</f>
        <v> </v>
      </c>
      <c r="M24" s="334" t="str">
        <f aca="false">IF((E24="p"),G24," ")</f>
        <v> </v>
      </c>
      <c r="N24" s="334" t="str">
        <f aca="false">IF((E24="r"),G24," ")</f>
        <v> </v>
      </c>
      <c r="O24" s="334" t="str">
        <f aca="false">IF((E24="g"),G24," ")</f>
        <v> </v>
      </c>
      <c r="P24" s="334" t="n">
        <f aca="false">IF((E24="m"),G24," ")</f>
        <v>150</v>
      </c>
      <c r="Q24" s="334" t="str">
        <f aca="false">IF((E24="t"),G24," ")</f>
        <v> </v>
      </c>
      <c r="R24" s="334" t="str">
        <f aca="false">IF((E24="a"),G24," ")</f>
        <v> </v>
      </c>
      <c r="S24" s="334" t="str">
        <f aca="false">IF((E24="l"),G24," ")</f>
        <v> </v>
      </c>
      <c r="T24" s="334" t="str">
        <f aca="false">IF((E24="b"),G24," ")</f>
        <v> </v>
      </c>
      <c r="U24" s="334" t="str">
        <f aca="false">IF((E24="i"),G24," ")</f>
        <v> </v>
      </c>
      <c r="V24" s="334" t="str">
        <f aca="false">IF((E24="o"),G24," ")</f>
        <v> </v>
      </c>
      <c r="W24" s="334" t="str">
        <f aca="false">IF((E24="f"),G24," ")</f>
        <v> </v>
      </c>
    </row>
    <row r="25" customFormat="false" ht="12.75" hidden="false" customHeight="false" outlineLevel="0" collapsed="false">
      <c r="A25" s="355" t="n">
        <v>46037</v>
      </c>
      <c r="B25" s="363" t="s">
        <v>332</v>
      </c>
      <c r="E25" s="365" t="s">
        <v>310</v>
      </c>
      <c r="G25" s="366" t="n">
        <v>12</v>
      </c>
      <c r="H25" s="338" t="n">
        <f aca="false">IF((G25&lt;&gt;0),IF((D25&gt;0)," ",G25)," ")</f>
        <v>12</v>
      </c>
      <c r="I25" s="367" t="n">
        <f aca="false">IF((G25&lt;&gt;0),IF((D25&gt;0)," ",(I$1-A25))," ")</f>
        <v>101</v>
      </c>
      <c r="J25" s="334" t="str">
        <f aca="false">IF((E25="s"),G25," ")</f>
        <v> </v>
      </c>
      <c r="K25" s="334" t="str">
        <f aca="false">IF((E25="d"),G25," ")</f>
        <v> </v>
      </c>
      <c r="L25" s="334" t="str">
        <f aca="false">IF((E25="e"),G25," ")</f>
        <v> </v>
      </c>
      <c r="M25" s="334" t="str">
        <f aca="false">IF((E25="p"),G25," ")</f>
        <v> </v>
      </c>
      <c r="N25" s="334" t="str">
        <f aca="false">IF((E25="r"),G25," ")</f>
        <v> </v>
      </c>
      <c r="O25" s="334" t="n">
        <f aca="false">IF((E25="g"),G25," ")</f>
        <v>12</v>
      </c>
      <c r="P25" s="334" t="str">
        <f aca="false">IF((E25="m"),G25," ")</f>
        <v> </v>
      </c>
      <c r="Q25" s="334" t="str">
        <f aca="false">IF((E25="t"),G25," ")</f>
        <v> </v>
      </c>
      <c r="R25" s="334" t="str">
        <f aca="false">IF((E25="a"),G25," ")</f>
        <v> </v>
      </c>
      <c r="S25" s="334" t="str">
        <f aca="false">IF((E25="l"),G25," ")</f>
        <v> </v>
      </c>
      <c r="T25" s="334" t="str">
        <f aca="false">IF((E25="b"),G25," ")</f>
        <v> </v>
      </c>
      <c r="U25" s="334" t="str">
        <f aca="false">IF((E25="i"),G25," ")</f>
        <v> </v>
      </c>
      <c r="V25" s="334" t="str">
        <f aca="false">IF((E25="o"),G25," ")</f>
        <v> </v>
      </c>
      <c r="W25" s="334" t="str">
        <f aca="false">IF((E25="f"),G25," ")</f>
        <v> </v>
      </c>
    </row>
    <row r="26" customFormat="false" ht="12.75" hidden="false" customHeight="false" outlineLevel="0" collapsed="false">
      <c r="A26" s="355" t="n">
        <v>46038</v>
      </c>
      <c r="B26" s="363" t="s">
        <v>352</v>
      </c>
      <c r="E26" s="365" t="s">
        <v>310</v>
      </c>
      <c r="G26" s="366" t="n">
        <v>18</v>
      </c>
      <c r="H26" s="338" t="n">
        <f aca="false">IF((G26&lt;&gt;0),IF((D26&gt;0)," ",G26)," ")</f>
        <v>18</v>
      </c>
      <c r="I26" s="367" t="n">
        <f aca="false">IF((G26&lt;&gt;0),IF((D26&gt;0)," ",(I$1-A26))," ")</f>
        <v>100</v>
      </c>
      <c r="J26" s="334" t="str">
        <f aca="false">IF((E26="s"),G26," ")</f>
        <v> </v>
      </c>
      <c r="K26" s="334" t="str">
        <f aca="false">IF((E26="d"),G26," ")</f>
        <v> </v>
      </c>
      <c r="L26" s="334" t="str">
        <f aca="false">IF((E26="e"),G26," ")</f>
        <v> </v>
      </c>
      <c r="M26" s="334" t="str">
        <f aca="false">IF((E26="p"),G26," ")</f>
        <v> </v>
      </c>
      <c r="N26" s="334" t="str">
        <f aca="false">IF((E26="r"),G26," ")</f>
        <v> </v>
      </c>
      <c r="O26" s="334" t="n">
        <f aca="false">IF((E26="g"),G26," ")</f>
        <v>18</v>
      </c>
      <c r="P26" s="334" t="str">
        <f aca="false">IF((E26="m"),G26," ")</f>
        <v> </v>
      </c>
      <c r="Q26" s="334" t="str">
        <f aca="false">IF((E26="t"),G26," ")</f>
        <v> </v>
      </c>
      <c r="R26" s="334" t="str">
        <f aca="false">IF((E26="a"),G26," ")</f>
        <v> </v>
      </c>
      <c r="S26" s="334" t="str">
        <f aca="false">IF((E26="l"),G26," ")</f>
        <v> </v>
      </c>
      <c r="T26" s="334" t="str">
        <f aca="false">IF((E26="b"),G26," ")</f>
        <v> </v>
      </c>
      <c r="U26" s="334" t="str">
        <f aca="false">IF((E26="i"),G26," ")</f>
        <v> </v>
      </c>
      <c r="V26" s="334" t="str">
        <f aca="false">IF((E26="o"),G26," ")</f>
        <v> </v>
      </c>
      <c r="W26" s="334" t="str">
        <f aca="false">IF((E26="f"),G26," ")</f>
        <v> </v>
      </c>
    </row>
    <row r="27" customFormat="false" ht="12.75" hidden="false" customHeight="false" outlineLevel="0" collapsed="false">
      <c r="A27" s="355" t="n">
        <v>46040</v>
      </c>
      <c r="B27" s="363" t="s">
        <v>333</v>
      </c>
      <c r="E27" s="365" t="s">
        <v>291</v>
      </c>
      <c r="G27" s="366" t="n">
        <v>96</v>
      </c>
      <c r="H27" s="338" t="n">
        <f aca="false">IF((G27&lt;&gt;0),IF((D27&gt;0)," ",G27)," ")</f>
        <v>96</v>
      </c>
      <c r="I27" s="367" t="n">
        <f aca="false">IF((G27&lt;&gt;0),IF((D27&gt;0)," ",(I$1-A27))," ")</f>
        <v>98</v>
      </c>
      <c r="J27" s="334" t="str">
        <f aca="false">IF((E27="s"),G27," ")</f>
        <v> </v>
      </c>
      <c r="K27" s="334" t="str">
        <f aca="false">IF((E27="d"),G27," ")</f>
        <v> </v>
      </c>
      <c r="L27" s="334" t="str">
        <f aca="false">IF((E27="e"),G27," ")</f>
        <v> </v>
      </c>
      <c r="M27" s="334" t="str">
        <f aca="false">IF((E27="p"),G27," ")</f>
        <v> </v>
      </c>
      <c r="N27" s="334" t="str">
        <f aca="false">IF((E27="r"),G27," ")</f>
        <v> </v>
      </c>
      <c r="O27" s="334" t="str">
        <f aca="false">IF((E27="g"),G27," ")</f>
        <v> </v>
      </c>
      <c r="P27" s="334" t="n">
        <f aca="false">IF((E27="m"),G27," ")</f>
        <v>96</v>
      </c>
      <c r="Q27" s="334" t="str">
        <f aca="false">IF((E27="t"),G27," ")</f>
        <v> </v>
      </c>
      <c r="R27" s="334" t="str">
        <f aca="false">IF((E27="a"),G27," ")</f>
        <v> </v>
      </c>
      <c r="S27" s="334" t="str">
        <f aca="false">IF((E27="l"),G27," ")</f>
        <v> </v>
      </c>
      <c r="T27" s="334" t="str">
        <f aca="false">IF((E27="b"),G27," ")</f>
        <v> </v>
      </c>
      <c r="U27" s="334" t="str">
        <f aca="false">IF((E27="i"),G27," ")</f>
        <v> </v>
      </c>
      <c r="V27" s="334" t="str">
        <f aca="false">IF((E27="o"),G27," ")</f>
        <v> </v>
      </c>
      <c r="W27" s="334" t="str">
        <f aca="false">IF((E27="f"),G27," ")</f>
        <v> </v>
      </c>
    </row>
    <row r="28" customFormat="false" ht="12.75" hidden="false" customHeight="false" outlineLevel="0" collapsed="false">
      <c r="A28" s="355" t="n">
        <v>46042</v>
      </c>
      <c r="B28" s="363" t="s">
        <v>242</v>
      </c>
      <c r="E28" s="365" t="s">
        <v>310</v>
      </c>
      <c r="G28" s="366" t="n">
        <v>60</v>
      </c>
      <c r="H28" s="338" t="n">
        <f aca="false">IF((G28&lt;&gt;0),IF((D28&gt;0)," ",G28)," ")</f>
        <v>60</v>
      </c>
      <c r="I28" s="367" t="n">
        <f aca="false">IF((G28&lt;&gt;0),IF((D28&gt;0)," ",(I$1-A28))," ")</f>
        <v>96</v>
      </c>
      <c r="J28" s="334" t="str">
        <f aca="false">IF((E28="s"),G28," ")</f>
        <v> </v>
      </c>
      <c r="K28" s="334" t="str">
        <f aca="false">IF((E28="d"),G28," ")</f>
        <v> </v>
      </c>
      <c r="L28" s="334" t="str">
        <f aca="false">IF((E28="e"),G28," ")</f>
        <v> </v>
      </c>
      <c r="M28" s="334" t="str">
        <f aca="false">IF((E28="p"),G28," ")</f>
        <v> </v>
      </c>
      <c r="N28" s="334" t="str">
        <f aca="false">IF((E28="r"),G28," ")</f>
        <v> </v>
      </c>
      <c r="O28" s="334" t="n">
        <f aca="false">IF((E28="g"),G28," ")</f>
        <v>60</v>
      </c>
      <c r="P28" s="334" t="str">
        <f aca="false">IF((E28="m"),G28," ")</f>
        <v> </v>
      </c>
      <c r="Q28" s="334" t="str">
        <f aca="false">IF((E28="t"),G28," ")</f>
        <v> </v>
      </c>
      <c r="R28" s="334" t="str">
        <f aca="false">IF((E28="a"),G28," ")</f>
        <v> </v>
      </c>
      <c r="S28" s="334" t="str">
        <f aca="false">IF((E28="l"),G28," ")</f>
        <v> </v>
      </c>
      <c r="T28" s="334" t="str">
        <f aca="false">IF((E28="b"),G28," ")</f>
        <v> </v>
      </c>
      <c r="U28" s="334" t="str">
        <f aca="false">IF((E28="i"),G28," ")</f>
        <v> </v>
      </c>
      <c r="V28" s="334" t="str">
        <f aca="false">IF((E28="o"),G28," ")</f>
        <v> </v>
      </c>
      <c r="W28" s="334" t="str">
        <f aca="false">IF((E28="f"),G28," ")</f>
        <v> </v>
      </c>
    </row>
    <row r="29" customFormat="false" ht="12.75" hidden="false" customHeight="false" outlineLevel="0" collapsed="false">
      <c r="A29" s="355" t="n">
        <v>46042</v>
      </c>
      <c r="B29" s="363" t="s">
        <v>370</v>
      </c>
      <c r="E29" s="365" t="s">
        <v>313</v>
      </c>
      <c r="G29" s="366" t="n">
        <v>180</v>
      </c>
      <c r="H29" s="338" t="n">
        <f aca="false">IF((G29&lt;&gt;0),IF((D29&gt;0)," ",G29)," ")</f>
        <v>180</v>
      </c>
      <c r="I29" s="367" t="n">
        <f aca="false">IF((G29&lt;&gt;0),IF((D29&gt;0)," ",(I$1-A29))," ")</f>
        <v>96</v>
      </c>
      <c r="J29" s="334" t="str">
        <f aca="false">IF((E29="s"),G29," ")</f>
        <v> </v>
      </c>
      <c r="K29" s="334" t="str">
        <f aca="false">IF((E29="d"),G29," ")</f>
        <v> </v>
      </c>
      <c r="L29" s="334" t="str">
        <f aca="false">IF((E29="e"),G29," ")</f>
        <v> </v>
      </c>
      <c r="M29" s="334" t="str">
        <f aca="false">IF((E29="p"),G29," ")</f>
        <v> </v>
      </c>
      <c r="N29" s="334" t="str">
        <f aca="false">IF((E29="r"),G29," ")</f>
        <v> </v>
      </c>
      <c r="O29" s="334" t="str">
        <f aca="false">IF((E29="g"),G29," ")</f>
        <v> </v>
      </c>
      <c r="P29" s="334" t="str">
        <f aca="false">IF((E29="m"),G29," ")</f>
        <v> </v>
      </c>
      <c r="Q29" s="334" t="str">
        <f aca="false">IF((E29="t"),G29," ")</f>
        <v> </v>
      </c>
      <c r="R29" s="334" t="str">
        <f aca="false">IF((E29="a"),G29," ")</f>
        <v> </v>
      </c>
      <c r="S29" s="334" t="str">
        <f aca="false">IF((E29="l"),G29," ")</f>
        <v> </v>
      </c>
      <c r="T29" s="334" t="str">
        <f aca="false">IF((E29="b"),G29," ")</f>
        <v> </v>
      </c>
      <c r="U29" s="334" t="str">
        <f aca="false">IF((E29="i"),G29," ")</f>
        <v> </v>
      </c>
      <c r="V29" s="334" t="n">
        <f aca="false">IF((E29="o"),G29," ")</f>
        <v>180</v>
      </c>
      <c r="W29" s="334" t="str">
        <f aca="false">IF((E29="f"),G29," ")</f>
        <v> </v>
      </c>
    </row>
    <row r="30" customFormat="false" ht="12.75" hidden="false" customHeight="false" outlineLevel="0" collapsed="false">
      <c r="A30" s="355" t="n">
        <v>46042</v>
      </c>
      <c r="B30" s="363" t="s">
        <v>334</v>
      </c>
      <c r="E30" s="365" t="s">
        <v>335</v>
      </c>
      <c r="G30" s="366" t="n">
        <v>144</v>
      </c>
      <c r="H30" s="338" t="n">
        <f aca="false">IF((G30&lt;&gt;0),IF((D30&gt;0)," ",G30)," ")</f>
        <v>144</v>
      </c>
      <c r="I30" s="367" t="n">
        <f aca="false">IF((G30&lt;&gt;0),IF((D30&gt;0)," ",(I$1-A30))," ")</f>
        <v>96</v>
      </c>
      <c r="J30" s="334" t="str">
        <f aca="false">IF((E30="s"),G30," ")</f>
        <v> </v>
      </c>
      <c r="K30" s="334" t="str">
        <f aca="false">IF((E30="d"),G30," ")</f>
        <v> </v>
      </c>
      <c r="L30" s="334" t="str">
        <f aca="false">IF((E30="e"),G30," ")</f>
        <v> </v>
      </c>
      <c r="M30" s="334" t="str">
        <f aca="false">IF((E30="p"),G30," ")</f>
        <v> </v>
      </c>
      <c r="N30" s="334" t="n">
        <f aca="false">IF((E30="r"),G30," ")</f>
        <v>144</v>
      </c>
      <c r="O30" s="334" t="str">
        <f aca="false">IF((E30="g"),G30," ")</f>
        <v> </v>
      </c>
      <c r="P30" s="334" t="str">
        <f aca="false">IF((E30="m"),G30," ")</f>
        <v> </v>
      </c>
      <c r="Q30" s="334" t="str">
        <f aca="false">IF((E30="t"),G30," ")</f>
        <v> </v>
      </c>
      <c r="R30" s="334" t="str">
        <f aca="false">IF((E30="a"),G30," ")</f>
        <v> </v>
      </c>
      <c r="S30" s="334" t="str">
        <f aca="false">IF((E30="l"),G30," ")</f>
        <v> </v>
      </c>
      <c r="T30" s="334" t="str">
        <f aca="false">IF((E30="b"),G30," ")</f>
        <v> </v>
      </c>
      <c r="U30" s="334" t="str">
        <f aca="false">IF((E30="i"),G30," ")</f>
        <v> </v>
      </c>
      <c r="V30" s="334" t="str">
        <f aca="false">IF((E30="o"),G30," ")</f>
        <v> </v>
      </c>
      <c r="W30" s="334" t="str">
        <f aca="false">IF((E30="f"),G30," ")</f>
        <v> </v>
      </c>
    </row>
    <row r="31" customFormat="false" ht="12.75" hidden="false" customHeight="false" outlineLevel="0" collapsed="false">
      <c r="A31" s="355" t="n">
        <v>46043</v>
      </c>
      <c r="B31" s="363" t="s">
        <v>336</v>
      </c>
      <c r="E31" s="365" t="s">
        <v>323</v>
      </c>
      <c r="G31" s="366" t="n">
        <v>8</v>
      </c>
      <c r="H31" s="338" t="n">
        <f aca="false">IF((G31&lt;&gt;0),IF((D31&gt;0)," ",G31)," ")</f>
        <v>8</v>
      </c>
      <c r="I31" s="367" t="n">
        <f aca="false">IF((G31&lt;&gt;0),IF((D31&gt;0)," ",(I$1-A31))," ")</f>
        <v>95</v>
      </c>
      <c r="J31" s="334" t="str">
        <f aca="false">IF((E31="s"),G31," ")</f>
        <v> </v>
      </c>
      <c r="K31" s="334" t="str">
        <f aca="false">IF((E31="d"),G31," ")</f>
        <v> </v>
      </c>
      <c r="L31" s="334" t="str">
        <f aca="false">IF((E31="e"),G31," ")</f>
        <v> </v>
      </c>
      <c r="M31" s="334" t="str">
        <f aca="false">IF((E31="p"),G31," ")</f>
        <v> </v>
      </c>
      <c r="N31" s="334" t="str">
        <f aca="false">IF((E31="r"),G31," ")</f>
        <v> </v>
      </c>
      <c r="O31" s="334" t="str">
        <f aca="false">IF((E31="g"),G31," ")</f>
        <v> </v>
      </c>
      <c r="P31" s="334" t="str">
        <f aca="false">IF((E31="m"),G31," ")</f>
        <v> </v>
      </c>
      <c r="Q31" s="334" t="n">
        <f aca="false">IF((E31="t"),G31," ")</f>
        <v>8</v>
      </c>
      <c r="R31" s="334" t="str">
        <f aca="false">IF((E31="a"),G31," ")</f>
        <v> </v>
      </c>
      <c r="S31" s="334" t="str">
        <f aca="false">IF((E31="l"),G31," ")</f>
        <v> </v>
      </c>
      <c r="T31" s="334" t="str">
        <f aca="false">IF((E31="b"),G31," ")</f>
        <v> </v>
      </c>
      <c r="U31" s="334" t="str">
        <f aca="false">IF((E31="i"),G31," ")</f>
        <v> </v>
      </c>
      <c r="V31" s="334" t="str">
        <f aca="false">IF((E31="o"),G31," ")</f>
        <v> </v>
      </c>
      <c r="W31" s="334" t="str">
        <f aca="false">IF((E31="f"),G31," ")</f>
        <v> </v>
      </c>
    </row>
    <row r="32" customFormat="false" ht="12.75" hidden="false" customHeight="false" outlineLevel="0" collapsed="false">
      <c r="A32" s="355" t="n">
        <v>46044</v>
      </c>
      <c r="B32" s="363" t="s">
        <v>337</v>
      </c>
      <c r="E32" s="365" t="s">
        <v>313</v>
      </c>
      <c r="G32" s="366" t="n">
        <v>18</v>
      </c>
      <c r="H32" s="338" t="n">
        <f aca="false">IF((G32&lt;&gt;0),IF((D32&gt;0)," ",G32)," ")</f>
        <v>18</v>
      </c>
      <c r="I32" s="367" t="n">
        <f aca="false">IF((G32&lt;&gt;0),IF((D32&gt;0)," ",(I$1-A32))," ")</f>
        <v>94</v>
      </c>
      <c r="J32" s="334" t="str">
        <f aca="false">IF((E32="s"),G32," ")</f>
        <v> </v>
      </c>
      <c r="K32" s="334" t="str">
        <f aca="false">IF((E32="d"),G32," ")</f>
        <v> </v>
      </c>
      <c r="L32" s="334" t="str">
        <f aca="false">IF((E32="e"),G32," ")</f>
        <v> </v>
      </c>
      <c r="M32" s="334" t="str">
        <f aca="false">IF((E32="p"),G32," ")</f>
        <v> </v>
      </c>
      <c r="N32" s="334" t="str">
        <f aca="false">IF((E32="r"),G32," ")</f>
        <v> </v>
      </c>
      <c r="O32" s="334" t="str">
        <f aca="false">IF((E32="g"),G32," ")</f>
        <v> </v>
      </c>
      <c r="P32" s="334" t="str">
        <f aca="false">IF((E32="m"),G32," ")</f>
        <v> </v>
      </c>
      <c r="Q32" s="334" t="str">
        <f aca="false">IF((E32="t"),G32," ")</f>
        <v> </v>
      </c>
      <c r="R32" s="334" t="str">
        <f aca="false">IF((E32="a"),G32," ")</f>
        <v> </v>
      </c>
      <c r="S32" s="334" t="str">
        <f aca="false">IF((E32="l"),G32," ")</f>
        <v> </v>
      </c>
      <c r="T32" s="334" t="str">
        <f aca="false">IF((E32="b"),G32," ")</f>
        <v> </v>
      </c>
      <c r="U32" s="334" t="str">
        <f aca="false">IF((E32="i"),G32," ")</f>
        <v> </v>
      </c>
      <c r="V32" s="334" t="n">
        <f aca="false">IF((E32="o"),G32," ")</f>
        <v>18</v>
      </c>
      <c r="W32" s="334" t="str">
        <f aca="false">IF((E32="f"),G32," ")</f>
        <v> </v>
      </c>
    </row>
    <row r="33" customFormat="false" ht="12.75" hidden="false" customHeight="false" outlineLevel="0" collapsed="false">
      <c r="A33" s="355" t="n">
        <v>46044</v>
      </c>
      <c r="B33" s="363" t="s">
        <v>355</v>
      </c>
      <c r="E33" s="365" t="s">
        <v>291</v>
      </c>
      <c r="G33" s="366" t="n">
        <v>36</v>
      </c>
      <c r="H33" s="338" t="n">
        <f aca="false">IF((G33&lt;&gt;0),IF((D33&gt;0)," ",G33)," ")</f>
        <v>36</v>
      </c>
      <c r="I33" s="367" t="n">
        <f aca="false">IF((G33&lt;&gt;0),IF((D33&gt;0)," ",(I$1-A33))," ")</f>
        <v>94</v>
      </c>
      <c r="J33" s="334" t="str">
        <f aca="false">IF((E33="s"),G33," ")</f>
        <v> </v>
      </c>
      <c r="K33" s="334" t="str">
        <f aca="false">IF((E33="d"),G33," ")</f>
        <v> </v>
      </c>
      <c r="L33" s="334" t="str">
        <f aca="false">IF((E33="e"),G33," ")</f>
        <v> </v>
      </c>
      <c r="M33" s="334" t="str">
        <f aca="false">IF((E33="p"),G33," ")</f>
        <v> </v>
      </c>
      <c r="N33" s="334" t="str">
        <f aca="false">IF((E33="r"),G33," ")</f>
        <v> </v>
      </c>
      <c r="O33" s="334" t="str">
        <f aca="false">IF((E33="g"),G33," ")</f>
        <v> </v>
      </c>
      <c r="P33" s="334" t="n">
        <f aca="false">IF((E33="m"),G33," ")</f>
        <v>36</v>
      </c>
      <c r="Q33" s="334" t="str">
        <f aca="false">IF((E33="t"),G33," ")</f>
        <v> </v>
      </c>
      <c r="R33" s="334" t="str">
        <f aca="false">IF((E33="a"),G33," ")</f>
        <v> </v>
      </c>
      <c r="S33" s="334" t="str">
        <f aca="false">IF((E33="l"),G33," ")</f>
        <v> </v>
      </c>
      <c r="T33" s="334" t="str">
        <f aca="false">IF((E33="b"),G33," ")</f>
        <v> </v>
      </c>
      <c r="U33" s="334" t="str">
        <f aca="false">IF((E33="i"),G33," ")</f>
        <v> </v>
      </c>
      <c r="V33" s="334" t="str">
        <f aca="false">IF((E33="o"),G33," ")</f>
        <v> </v>
      </c>
      <c r="W33" s="334" t="str">
        <f aca="false">IF((E33="f"),G33," ")</f>
        <v> </v>
      </c>
    </row>
    <row r="34" customFormat="false" ht="12.75" hidden="false" customHeight="false" outlineLevel="0" collapsed="false">
      <c r="A34" s="355" t="n">
        <v>46047</v>
      </c>
      <c r="B34" s="363" t="s">
        <v>338</v>
      </c>
      <c r="E34" s="365" t="s">
        <v>313</v>
      </c>
      <c r="G34" s="366" t="n">
        <v>15</v>
      </c>
      <c r="H34" s="338" t="n">
        <f aca="false">IF((G34&lt;&gt;0),IF((D34&gt;0)," ",G34)," ")</f>
        <v>15</v>
      </c>
      <c r="I34" s="367" t="n">
        <f aca="false">IF((G34&lt;&gt;0),IF((D34&gt;0)," ",(I$1-A34))," ")</f>
        <v>91</v>
      </c>
      <c r="J34" s="334" t="str">
        <f aca="false">IF((E34="s"),G34," ")</f>
        <v> </v>
      </c>
      <c r="K34" s="334" t="str">
        <f aca="false">IF((E34="d"),G34," ")</f>
        <v> </v>
      </c>
      <c r="L34" s="334" t="str">
        <f aca="false">IF((E34="e"),G34," ")</f>
        <v> </v>
      </c>
      <c r="M34" s="334" t="str">
        <f aca="false">IF((E34="p"),G34," ")</f>
        <v> </v>
      </c>
      <c r="N34" s="334" t="str">
        <f aca="false">IF((E34="r"),G34," ")</f>
        <v> </v>
      </c>
      <c r="O34" s="334" t="str">
        <f aca="false">IF((E34="g"),G34," ")</f>
        <v> </v>
      </c>
      <c r="P34" s="334" t="str">
        <f aca="false">IF((E34="m"),G34," ")</f>
        <v> </v>
      </c>
      <c r="Q34" s="334" t="str">
        <f aca="false">IF((E34="t"),G34," ")</f>
        <v> </v>
      </c>
      <c r="R34" s="334" t="str">
        <f aca="false">IF((E34="a"),G34," ")</f>
        <v> </v>
      </c>
      <c r="S34" s="334" t="str">
        <f aca="false">IF((E34="l"),G34," ")</f>
        <v> </v>
      </c>
      <c r="T34" s="334" t="str">
        <f aca="false">IF((E34="b"),G34," ")</f>
        <v> </v>
      </c>
      <c r="U34" s="334" t="str">
        <f aca="false">IF((E34="i"),G34," ")</f>
        <v> </v>
      </c>
      <c r="V34" s="334" t="n">
        <f aca="false">IF((E34="o"),G34," ")</f>
        <v>15</v>
      </c>
      <c r="W34" s="334" t="str">
        <f aca="false">IF((E34="f"),G34," ")</f>
        <v> </v>
      </c>
    </row>
    <row r="35" customFormat="false" ht="12.75" hidden="false" customHeight="false" outlineLevel="0" collapsed="false">
      <c r="A35" s="355" t="n">
        <v>46047</v>
      </c>
      <c r="B35" s="363" t="s">
        <v>339</v>
      </c>
      <c r="E35" s="365" t="s">
        <v>291</v>
      </c>
      <c r="G35" s="366" t="n">
        <v>38.25</v>
      </c>
      <c r="H35" s="338" t="n">
        <f aca="false">IF((G35&lt;&gt;0),IF((D35&gt;0)," ",G35)," ")</f>
        <v>38.25</v>
      </c>
      <c r="I35" s="367" t="n">
        <f aca="false">IF((G35&lt;&gt;0),IF((D35&gt;0)," ",(I$1-A35))," ")</f>
        <v>91</v>
      </c>
      <c r="J35" s="334" t="str">
        <f aca="false">IF((E35="s"),G35," ")</f>
        <v> </v>
      </c>
      <c r="K35" s="334" t="str">
        <f aca="false">IF((E35="d"),G35," ")</f>
        <v> </v>
      </c>
      <c r="L35" s="334" t="str">
        <f aca="false">IF((E35="e"),G35," ")</f>
        <v> </v>
      </c>
      <c r="M35" s="334" t="str">
        <f aca="false">IF((E35="p"),G35," ")</f>
        <v> </v>
      </c>
      <c r="N35" s="334" t="str">
        <f aca="false">IF((E35="r"),G35," ")</f>
        <v> </v>
      </c>
      <c r="O35" s="334" t="str">
        <f aca="false">IF((E35="g"),G35," ")</f>
        <v> </v>
      </c>
      <c r="P35" s="334" t="n">
        <f aca="false">IF((E35="m"),G35," ")</f>
        <v>38.25</v>
      </c>
      <c r="Q35" s="334" t="str">
        <f aca="false">IF((E35="t"),G35," ")</f>
        <v> </v>
      </c>
      <c r="R35" s="334" t="str">
        <f aca="false">IF((E35="a"),G35," ")</f>
        <v> </v>
      </c>
      <c r="S35" s="334" t="str">
        <f aca="false">IF((E35="l"),G35," ")</f>
        <v> </v>
      </c>
      <c r="T35" s="334" t="str">
        <f aca="false">IF((E35="b"),G35," ")</f>
        <v> </v>
      </c>
      <c r="U35" s="334" t="str">
        <f aca="false">IF((E35="i"),G35," ")</f>
        <v> </v>
      </c>
      <c r="V35" s="334" t="str">
        <f aca="false">IF((E35="o"),G35," ")</f>
        <v> </v>
      </c>
      <c r="W35" s="334" t="str">
        <f aca="false">IF((E35="f"),G35," ")</f>
        <v> </v>
      </c>
    </row>
    <row r="36" customFormat="false" ht="12.75" hidden="false" customHeight="false" outlineLevel="0" collapsed="false">
      <c r="A36" s="355" t="n">
        <v>46050</v>
      </c>
      <c r="B36" s="363" t="s">
        <v>243</v>
      </c>
      <c r="E36" s="365" t="s">
        <v>291</v>
      </c>
      <c r="G36" s="366" t="n">
        <v>120</v>
      </c>
      <c r="H36" s="338" t="n">
        <f aca="false">IF((G36&lt;&gt;0),IF((D36&gt;0)," ",G36)," ")</f>
        <v>120</v>
      </c>
      <c r="I36" s="367" t="n">
        <f aca="false">IF((G36&lt;&gt;0),IF((D36&gt;0)," ",(I$1-A36))," ")</f>
        <v>88</v>
      </c>
      <c r="J36" s="334" t="str">
        <f aca="false">IF((E36="s"),G36," ")</f>
        <v> </v>
      </c>
      <c r="K36" s="334" t="str">
        <f aca="false">IF((E36="d"),G36," ")</f>
        <v> </v>
      </c>
      <c r="L36" s="334" t="str">
        <f aca="false">IF((E36="e"),G36," ")</f>
        <v> </v>
      </c>
      <c r="M36" s="334" t="str">
        <f aca="false">IF((E36="p"),G36," ")</f>
        <v> </v>
      </c>
      <c r="N36" s="334" t="str">
        <f aca="false">IF((E36="r"),G36," ")</f>
        <v> </v>
      </c>
      <c r="O36" s="334" t="str">
        <f aca="false">IF((E36="g"),G36," ")</f>
        <v> </v>
      </c>
      <c r="P36" s="334" t="n">
        <f aca="false">IF((E36="m"),G36," ")</f>
        <v>120</v>
      </c>
      <c r="Q36" s="334" t="str">
        <f aca="false">IF((E36="t"),G36," ")</f>
        <v> </v>
      </c>
      <c r="R36" s="334" t="str">
        <f aca="false">IF((E36="a"),G36," ")</f>
        <v> </v>
      </c>
      <c r="S36" s="334" t="str">
        <f aca="false">IF((E36="l"),G36," ")</f>
        <v> </v>
      </c>
      <c r="T36" s="334" t="str">
        <f aca="false">IF((E36="b"),G36," ")</f>
        <v> </v>
      </c>
      <c r="U36" s="334" t="str">
        <f aca="false">IF((E36="i"),G36," ")</f>
        <v> </v>
      </c>
      <c r="V36" s="334" t="str">
        <f aca="false">IF((E36="o"),G36," ")</f>
        <v> </v>
      </c>
      <c r="W36" s="334" t="str">
        <f aca="false">IF((E36="f"),G36," ")</f>
        <v> </v>
      </c>
    </row>
    <row r="37" customFormat="false" ht="12.75" hidden="false" customHeight="false" outlineLevel="0" collapsed="false">
      <c r="A37" s="355" t="n">
        <v>46053</v>
      </c>
      <c r="B37" s="363" t="s">
        <v>240</v>
      </c>
      <c r="E37" s="365" t="s">
        <v>340</v>
      </c>
      <c r="G37" s="366" t="n">
        <v>300</v>
      </c>
      <c r="H37" s="338" t="n">
        <f aca="false">IF((G37&lt;&gt;0),IF((D37&gt;0)," ",G37)," ")</f>
        <v>300</v>
      </c>
      <c r="I37" s="367" t="n">
        <f aca="false">IF((G37&lt;&gt;0),IF((D37&gt;0)," ",(I$1-A37))," ")</f>
        <v>85</v>
      </c>
      <c r="J37" s="334" t="str">
        <f aca="false">IF((E37="s"),G37," ")</f>
        <v> </v>
      </c>
      <c r="K37" s="334" t="str">
        <f aca="false">IF((E37="d"),G37," ")</f>
        <v> </v>
      </c>
      <c r="L37" s="334" t="str">
        <f aca="false">IF((E37="e"),G37," ")</f>
        <v> </v>
      </c>
      <c r="M37" s="334" t="str">
        <f aca="false">IF((E37="p"),G37," ")</f>
        <v> </v>
      </c>
      <c r="N37" s="334" t="str">
        <f aca="false">IF((E37="r"),G37," ")</f>
        <v> </v>
      </c>
      <c r="O37" s="334" t="str">
        <f aca="false">IF((E37="g"),G37," ")</f>
        <v> </v>
      </c>
      <c r="P37" s="334" t="str">
        <f aca="false">IF((E37="m"),G37," ")</f>
        <v> </v>
      </c>
      <c r="Q37" s="334" t="str">
        <f aca="false">IF((E37="t"),G37," ")</f>
        <v> </v>
      </c>
      <c r="R37" s="334" t="str">
        <f aca="false">IF((E37="a"),G37," ")</f>
        <v> </v>
      </c>
      <c r="S37" s="334" t="n">
        <f aca="false">IF((E37="l"),G37," ")</f>
        <v>300</v>
      </c>
      <c r="T37" s="334" t="str">
        <f aca="false">IF((E37="b"),G37," ")</f>
        <v> </v>
      </c>
      <c r="U37" s="334" t="str">
        <f aca="false">IF((E37="i"),G37," ")</f>
        <v> </v>
      </c>
      <c r="V37" s="334" t="str">
        <f aca="false">IF((E37="o"),G37," ")</f>
        <v> </v>
      </c>
      <c r="W37" s="334" t="str">
        <f aca="false">IF((E37="f"),G37," ")</f>
        <v> </v>
      </c>
    </row>
    <row r="38" customFormat="false" ht="12.75" hidden="false" customHeight="false" outlineLevel="0" collapsed="false">
      <c r="A38" s="355"/>
      <c r="H38" s="338" t="str">
        <f aca="false">IF((G38&lt;&gt;0),IF((D38&gt;0)," ",G38)," ")</f>
        <v> </v>
      </c>
      <c r="I38" s="367" t="str">
        <f aca="false">IF((G38&lt;&gt;0),IF((D38&gt;0)," ",(I$1-A38))," ")</f>
        <v> </v>
      </c>
      <c r="J38" s="334" t="str">
        <f aca="false">IF((E38="s"),G38," ")</f>
        <v> </v>
      </c>
      <c r="K38" s="334" t="str">
        <f aca="false">IF((E38="d"),G38," ")</f>
        <v> </v>
      </c>
      <c r="L38" s="334" t="str">
        <f aca="false">IF((E38="e"),G38," ")</f>
        <v> </v>
      </c>
      <c r="M38" s="334" t="str">
        <f aca="false">IF((E38="p"),G38," ")</f>
        <v> </v>
      </c>
      <c r="N38" s="334" t="str">
        <f aca="false">IF((E38="r"),G38," ")</f>
        <v> </v>
      </c>
      <c r="O38" s="334" t="str">
        <f aca="false">IF((E38="g"),G38," ")</f>
        <v> </v>
      </c>
      <c r="P38" s="334" t="str">
        <f aca="false">IF((E38="m"),G38," ")</f>
        <v> </v>
      </c>
      <c r="Q38" s="334" t="str">
        <f aca="false">IF((E38="t"),G38," ")</f>
        <v> </v>
      </c>
      <c r="R38" s="334" t="str">
        <f aca="false">IF((E38="a"),G38," ")</f>
        <v> </v>
      </c>
      <c r="S38" s="334" t="str">
        <f aca="false">IF((E38="l"),G38," ")</f>
        <v> </v>
      </c>
      <c r="T38" s="334" t="str">
        <f aca="false">IF((E38="b"),G38," ")</f>
        <v> </v>
      </c>
      <c r="U38" s="334" t="str">
        <f aca="false">IF((E38="i"),G38," ")</f>
        <v> </v>
      </c>
      <c r="V38" s="334" t="str">
        <f aca="false">IF((E38="o"),G38," ")</f>
        <v> </v>
      </c>
      <c r="W38" s="334" t="str">
        <f aca="false">IF((E38="f"),G38," ")</f>
        <v> </v>
      </c>
    </row>
    <row r="39" customFormat="false" ht="12.75" hidden="false" customHeight="false" outlineLevel="0" collapsed="false">
      <c r="A39" s="355"/>
      <c r="H39" s="338" t="str">
        <f aca="false">IF((G39&lt;&gt;0),IF((D39&gt;0)," ",G39)," ")</f>
        <v> </v>
      </c>
      <c r="I39" s="367" t="str">
        <f aca="false">IF((G39&lt;&gt;0),IF((D39&gt;0)," ",(I$1-A39))," ")</f>
        <v> </v>
      </c>
      <c r="J39" s="334" t="str">
        <f aca="false">IF((E39="s"),G39," ")</f>
        <v> </v>
      </c>
      <c r="K39" s="334" t="str">
        <f aca="false">IF((E39="d"),G39," ")</f>
        <v> </v>
      </c>
      <c r="L39" s="334" t="str">
        <f aca="false">IF((E39="e"),G39," ")</f>
        <v> </v>
      </c>
      <c r="M39" s="334" t="str">
        <f aca="false">IF((E39="p"),G39," ")</f>
        <v> </v>
      </c>
      <c r="N39" s="334" t="str">
        <f aca="false">IF((E39="r"),G39," ")</f>
        <v> </v>
      </c>
      <c r="O39" s="334" t="str">
        <f aca="false">IF((E39="g"),G39," ")</f>
        <v> </v>
      </c>
      <c r="P39" s="334" t="str">
        <f aca="false">IF((E39="m"),G39," ")</f>
        <v> </v>
      </c>
      <c r="Q39" s="334" t="str">
        <f aca="false">IF((E39="t"),G39," ")</f>
        <v> </v>
      </c>
      <c r="R39" s="334" t="str">
        <f aca="false">IF((E39="a"),G39," ")</f>
        <v> </v>
      </c>
      <c r="S39" s="334" t="str">
        <f aca="false">IF((E39="l"),G39," ")</f>
        <v> </v>
      </c>
      <c r="T39" s="334" t="str">
        <f aca="false">IF((E39="b"),G39," ")</f>
        <v> </v>
      </c>
      <c r="U39" s="334" t="str">
        <f aca="false">IF((E39="i"),G39," ")</f>
        <v> </v>
      </c>
      <c r="V39" s="334" t="str">
        <f aca="false">IF((E39="o"),G39," ")</f>
        <v> </v>
      </c>
      <c r="W39" s="334" t="str">
        <f aca="false">IF((E39="f"),G39," ")</f>
        <v> </v>
      </c>
    </row>
    <row r="40" customFormat="false" ht="12.75" hidden="false" customHeight="false" outlineLevel="0" collapsed="false">
      <c r="A40" s="355"/>
      <c r="H40" s="338" t="str">
        <f aca="false">IF((G40&lt;&gt;0),IF((D40&gt;0)," ",G40)," ")</f>
        <v> </v>
      </c>
      <c r="I40" s="367" t="str">
        <f aca="false">IF((G40&lt;&gt;0),IF((D40&gt;0)," ",(I$1-A40))," ")</f>
        <v> </v>
      </c>
      <c r="J40" s="334" t="str">
        <f aca="false">IF((E40="s"),G40," ")</f>
        <v> </v>
      </c>
      <c r="K40" s="334" t="str">
        <f aca="false">IF((E40="d"),G40," ")</f>
        <v> </v>
      </c>
      <c r="L40" s="334" t="str">
        <f aca="false">IF((E40="e"),G40," ")</f>
        <v> </v>
      </c>
      <c r="M40" s="334" t="str">
        <f aca="false">IF((E40="p"),G40," ")</f>
        <v> </v>
      </c>
      <c r="N40" s="334" t="str">
        <f aca="false">IF((E40="r"),G40," ")</f>
        <v> </v>
      </c>
      <c r="O40" s="334" t="str">
        <f aca="false">IF((E40="g"),G40," ")</f>
        <v> </v>
      </c>
      <c r="P40" s="334" t="str">
        <f aca="false">IF((E40="m"),G40," ")</f>
        <v> </v>
      </c>
      <c r="Q40" s="334" t="str">
        <f aca="false">IF((E40="t"),G40," ")</f>
        <v> </v>
      </c>
      <c r="R40" s="334" t="str">
        <f aca="false">IF((E40="a"),G40," ")</f>
        <v> </v>
      </c>
      <c r="S40" s="334" t="str">
        <f aca="false">IF((E40="l"),G40," ")</f>
        <v> </v>
      </c>
      <c r="T40" s="334" t="str">
        <f aca="false">IF((E40="b"),G40," ")</f>
        <v> </v>
      </c>
      <c r="U40" s="334" t="str">
        <f aca="false">IF((E40="i"),G40," ")</f>
        <v> </v>
      </c>
      <c r="V40" s="334" t="str">
        <f aca="false">IF((E40="o"),G40," ")</f>
        <v> </v>
      </c>
      <c r="W40" s="334" t="str">
        <f aca="false">IF((E40="f"),G40," ")</f>
        <v> </v>
      </c>
    </row>
    <row r="41" customFormat="false" ht="12.75" hidden="false" customHeight="false" outlineLevel="0" collapsed="false">
      <c r="A41" s="355"/>
      <c r="H41" s="338" t="str">
        <f aca="false">IF((G41&lt;&gt;0),IF((D41&gt;0)," ",G41)," ")</f>
        <v> </v>
      </c>
      <c r="I41" s="367" t="str">
        <f aca="false">IF((G41&lt;&gt;0),IF((D41&gt;0)," ",(I$1-A41))," ")</f>
        <v> </v>
      </c>
      <c r="J41" s="334" t="str">
        <f aca="false">IF((E41="s"),G41," ")</f>
        <v> </v>
      </c>
      <c r="K41" s="334" t="str">
        <f aca="false">IF((E41="d"),G41," ")</f>
        <v> </v>
      </c>
      <c r="L41" s="334" t="str">
        <f aca="false">IF((E41="e"),G41," ")</f>
        <v> </v>
      </c>
      <c r="M41" s="334" t="str">
        <f aca="false">IF((E41="p"),G41," ")</f>
        <v> </v>
      </c>
      <c r="N41" s="334" t="str">
        <f aca="false">IF((E41="r"),G41," ")</f>
        <v> </v>
      </c>
      <c r="O41" s="334" t="str">
        <f aca="false">IF((E41="g"),G41," ")</f>
        <v> </v>
      </c>
      <c r="P41" s="334" t="str">
        <f aca="false">IF((E41="m"),G41," ")</f>
        <v> </v>
      </c>
      <c r="Q41" s="334" t="str">
        <f aca="false">IF((E41="t"),G41," ")</f>
        <v> </v>
      </c>
      <c r="R41" s="334" t="str">
        <f aca="false">IF((E41="a"),G41," ")</f>
        <v> </v>
      </c>
      <c r="S41" s="334" t="str">
        <f aca="false">IF((E41="l"),G41," ")</f>
        <v> </v>
      </c>
      <c r="T41" s="334" t="str">
        <f aca="false">IF((E41="b"),G41," ")</f>
        <v> </v>
      </c>
      <c r="U41" s="334" t="str">
        <f aca="false">IF((E41="i"),G41," ")</f>
        <v> </v>
      </c>
      <c r="V41" s="334" t="str">
        <f aca="false">IF((E41="o"),G41," ")</f>
        <v> </v>
      </c>
      <c r="W41" s="334" t="str">
        <f aca="false">IF((E41="f"),G41," ")</f>
        <v> </v>
      </c>
    </row>
    <row r="42" customFormat="false" ht="12.75" hidden="false" customHeight="false" outlineLevel="0" collapsed="false">
      <c r="A42" s="355"/>
      <c r="H42" s="338" t="str">
        <f aca="false">IF((G42&lt;&gt;0),IF((D42&gt;0)," ",G42)," ")</f>
        <v> </v>
      </c>
      <c r="I42" s="367" t="str">
        <f aca="false">IF((G42&lt;&gt;0),IF((D42&gt;0)," ",(I$1-A42))," ")</f>
        <v> </v>
      </c>
      <c r="J42" s="334" t="str">
        <f aca="false">IF((E42="s"),G42," ")</f>
        <v> </v>
      </c>
      <c r="K42" s="334" t="str">
        <f aca="false">IF((E42="d"),G42," ")</f>
        <v> </v>
      </c>
      <c r="L42" s="334" t="str">
        <f aca="false">IF((E42="e"),G42," ")</f>
        <v> </v>
      </c>
      <c r="M42" s="334" t="str">
        <f aca="false">IF((E42="p"),G42," ")</f>
        <v> </v>
      </c>
      <c r="N42" s="334" t="str">
        <f aca="false">IF((E42="r"),G42," ")</f>
        <v> </v>
      </c>
      <c r="O42" s="334" t="str">
        <f aca="false">IF((E42="g"),G42," ")</f>
        <v> </v>
      </c>
      <c r="P42" s="334" t="str">
        <f aca="false">IF((E42="m"),G42," ")</f>
        <v> </v>
      </c>
      <c r="Q42" s="334" t="str">
        <f aca="false">IF((E42="t"),G42," ")</f>
        <v> </v>
      </c>
      <c r="R42" s="334" t="str">
        <f aca="false">IF((E42="a"),G42," ")</f>
        <v> </v>
      </c>
      <c r="S42" s="334" t="str">
        <f aca="false">IF((E42="l"),G42," ")</f>
        <v> </v>
      </c>
      <c r="T42" s="334" t="str">
        <f aca="false">IF((E42="b"),G42," ")</f>
        <v> </v>
      </c>
      <c r="U42" s="334" t="str">
        <f aca="false">IF((E42="i"),G42," ")</f>
        <v> </v>
      </c>
      <c r="V42" s="334" t="str">
        <f aca="false">IF((E42="o"),G42," ")</f>
        <v> </v>
      </c>
      <c r="W42" s="334" t="str">
        <f aca="false">IF((E42="f"),G42," ")</f>
        <v> </v>
      </c>
    </row>
    <row r="43" customFormat="false" ht="12.75" hidden="false" customHeight="false" outlineLevel="0" collapsed="false">
      <c r="A43" s="355"/>
      <c r="H43" s="338" t="str">
        <f aca="false">IF((G43&lt;&gt;0),IF((D43&gt;0)," ",G43)," ")</f>
        <v> </v>
      </c>
      <c r="I43" s="367" t="str">
        <f aca="false">IF((G43&lt;&gt;0),IF((D43&gt;0)," ",(I$1-A43))," ")</f>
        <v> </v>
      </c>
      <c r="J43" s="334" t="str">
        <f aca="false">IF((E43="s"),G43," ")</f>
        <v> </v>
      </c>
      <c r="K43" s="334" t="str">
        <f aca="false">IF((E43="d"),G43," ")</f>
        <v> </v>
      </c>
      <c r="L43" s="334" t="str">
        <f aca="false">IF((E43="e"),G43," ")</f>
        <v> </v>
      </c>
      <c r="M43" s="334" t="str">
        <f aca="false">IF((E43="p"),G43," ")</f>
        <v> </v>
      </c>
      <c r="N43" s="334" t="str">
        <f aca="false">IF((E43="r"),G43," ")</f>
        <v> </v>
      </c>
      <c r="O43" s="334" t="str">
        <f aca="false">IF((E43="g"),G43," ")</f>
        <v> </v>
      </c>
      <c r="P43" s="334" t="str">
        <f aca="false">IF((E43="m"),G43," ")</f>
        <v> </v>
      </c>
      <c r="Q43" s="334" t="str">
        <f aca="false">IF((E43="t"),G43," ")</f>
        <v> </v>
      </c>
      <c r="R43" s="334" t="str">
        <f aca="false">IF((E43="a"),G43," ")</f>
        <v> </v>
      </c>
      <c r="S43" s="334" t="str">
        <f aca="false">IF((E43="l"),G43," ")</f>
        <v> </v>
      </c>
      <c r="T43" s="334" t="str">
        <f aca="false">IF((E43="b"),G43," ")</f>
        <v> </v>
      </c>
      <c r="U43" s="334" t="str">
        <f aca="false">IF((E43="i"),G43," ")</f>
        <v> </v>
      </c>
      <c r="V43" s="334" t="str">
        <f aca="false">IF((E43="o"),G43," ")</f>
        <v> </v>
      </c>
      <c r="W43" s="334" t="str">
        <f aca="false">IF((E43="f"),G43," ")</f>
        <v> </v>
      </c>
    </row>
    <row r="44" customFormat="false" ht="12.75" hidden="false" customHeight="false" outlineLevel="0" collapsed="false">
      <c r="A44" s="355"/>
      <c r="H44" s="338" t="str">
        <f aca="false">IF((G44&lt;&gt;0),IF((D44&gt;0)," ",G44)," ")</f>
        <v> </v>
      </c>
      <c r="I44" s="367" t="str">
        <f aca="false">IF((G44&lt;&gt;0),IF((D44&gt;0)," ",(I$1-A44))," ")</f>
        <v> </v>
      </c>
      <c r="J44" s="334" t="str">
        <f aca="false">IF((E44="s"),G44," ")</f>
        <v> </v>
      </c>
      <c r="K44" s="334" t="str">
        <f aca="false">IF((E44="d"),G44," ")</f>
        <v> </v>
      </c>
      <c r="L44" s="334" t="str">
        <f aca="false">IF((E44="e"),G44," ")</f>
        <v> </v>
      </c>
      <c r="M44" s="334" t="str">
        <f aca="false">IF((E44="p"),G44," ")</f>
        <v> </v>
      </c>
      <c r="N44" s="334" t="str">
        <f aca="false">IF((E44="r"),G44," ")</f>
        <v> </v>
      </c>
      <c r="O44" s="334" t="str">
        <f aca="false">IF((E44="g"),G44," ")</f>
        <v> </v>
      </c>
      <c r="P44" s="334" t="str">
        <f aca="false">IF((E44="m"),G44," ")</f>
        <v> </v>
      </c>
      <c r="Q44" s="334" t="str">
        <f aca="false">IF((E44="t"),G44," ")</f>
        <v> </v>
      </c>
      <c r="R44" s="334" t="str">
        <f aca="false">IF((E44="a"),G44," ")</f>
        <v> </v>
      </c>
      <c r="S44" s="334" t="str">
        <f aca="false">IF((E44="l"),G44," ")</f>
        <v> </v>
      </c>
      <c r="T44" s="334" t="str">
        <f aca="false">IF((E44="b"),G44," ")</f>
        <v> </v>
      </c>
      <c r="U44" s="334" t="str">
        <f aca="false">IF((E44="i"),G44," ")</f>
        <v> </v>
      </c>
      <c r="V44" s="334" t="str">
        <f aca="false">IF((E44="o"),G44," ")</f>
        <v> </v>
      </c>
      <c r="W44" s="334" t="str">
        <f aca="false">IF((E44="f"),G44," ")</f>
        <v> </v>
      </c>
    </row>
    <row r="45" customFormat="false" ht="12.75" hidden="false" customHeight="false" outlineLevel="0" collapsed="false">
      <c r="A45" s="355"/>
      <c r="H45" s="338" t="str">
        <f aca="false">IF((G45&lt;&gt;0),IF((D45&gt;0)," ",G45)," ")</f>
        <v> </v>
      </c>
      <c r="I45" s="367" t="str">
        <f aca="false">IF((G45&lt;&gt;0),IF((D45&gt;0)," ",(I$1-A45))," ")</f>
        <v> </v>
      </c>
      <c r="J45" s="334" t="str">
        <f aca="false">IF((E45="s"),G45," ")</f>
        <v> </v>
      </c>
      <c r="K45" s="334" t="str">
        <f aca="false">IF((E45="d"),G45," ")</f>
        <v> </v>
      </c>
      <c r="L45" s="334" t="str">
        <f aca="false">IF((E45="e"),G45," ")</f>
        <v> </v>
      </c>
      <c r="M45" s="334" t="str">
        <f aca="false">IF((E45="p"),G45," ")</f>
        <v> </v>
      </c>
      <c r="N45" s="334" t="str">
        <f aca="false">IF((E45="r"),G45," ")</f>
        <v> </v>
      </c>
      <c r="O45" s="334" t="str">
        <f aca="false">IF((E45="g"),G45," ")</f>
        <v> </v>
      </c>
      <c r="P45" s="334" t="str">
        <f aca="false">IF((E45="m"),G45," ")</f>
        <v> </v>
      </c>
      <c r="Q45" s="334" t="str">
        <f aca="false">IF((E45="t"),G45," ")</f>
        <v> </v>
      </c>
      <c r="R45" s="334" t="str">
        <f aca="false">IF((E45="a"),G45," ")</f>
        <v> </v>
      </c>
      <c r="S45" s="334" t="str">
        <f aca="false">IF((E45="l"),G45," ")</f>
        <v> </v>
      </c>
      <c r="T45" s="334" t="str">
        <f aca="false">IF((E45="b"),G45," ")</f>
        <v> </v>
      </c>
      <c r="U45" s="334" t="str">
        <f aca="false">IF((E45="i"),G45," ")</f>
        <v> </v>
      </c>
      <c r="V45" s="334" t="str">
        <f aca="false">IF((E45="o"),G45," ")</f>
        <v> </v>
      </c>
      <c r="W45" s="334" t="str">
        <f aca="false">IF((E45="f"),G45," ")</f>
        <v> </v>
      </c>
    </row>
    <row r="46" customFormat="false" ht="12.75" hidden="false" customHeight="false" outlineLevel="0" collapsed="false">
      <c r="A46" s="355"/>
      <c r="H46" s="338" t="str">
        <f aca="false">IF((G46&lt;&gt;0),IF((D46&gt;0)," ",G46)," ")</f>
        <v> </v>
      </c>
      <c r="I46" s="367" t="str">
        <f aca="false">IF((G46&lt;&gt;0),IF((D46&gt;0)," ",(I$1-A46))," ")</f>
        <v> </v>
      </c>
      <c r="J46" s="334" t="str">
        <f aca="false">IF((E46="s"),G46," ")</f>
        <v> </v>
      </c>
      <c r="K46" s="334" t="str">
        <f aca="false">IF((E46="d"),G46," ")</f>
        <v> </v>
      </c>
      <c r="L46" s="334" t="str">
        <f aca="false">IF((E46="e"),G46," ")</f>
        <v> </v>
      </c>
      <c r="M46" s="334" t="str">
        <f aca="false">IF((E46="p"),G46," ")</f>
        <v> </v>
      </c>
      <c r="N46" s="334" t="str">
        <f aca="false">IF((E46="r"),G46," ")</f>
        <v> </v>
      </c>
      <c r="O46" s="334" t="str">
        <f aca="false">IF((E46="g"),G46," ")</f>
        <v> </v>
      </c>
      <c r="P46" s="334" t="str">
        <f aca="false">IF((E46="m"),G46," ")</f>
        <v> </v>
      </c>
      <c r="Q46" s="334" t="str">
        <f aca="false">IF((E46="t"),G46," ")</f>
        <v> </v>
      </c>
      <c r="R46" s="334" t="str">
        <f aca="false">IF((E46="a"),G46," ")</f>
        <v> </v>
      </c>
      <c r="S46" s="334" t="str">
        <f aca="false">IF((E46="l"),G46," ")</f>
        <v> </v>
      </c>
      <c r="T46" s="334" t="str">
        <f aca="false">IF((E46="b"),G46," ")</f>
        <v> </v>
      </c>
      <c r="U46" s="334" t="str">
        <f aca="false">IF((E46="i"),G46," ")</f>
        <v> </v>
      </c>
      <c r="V46" s="334" t="str">
        <f aca="false">IF((E46="o"),G46," ")</f>
        <v> </v>
      </c>
      <c r="W46" s="334" t="str">
        <f aca="false">IF((E46="f"),G46," ")</f>
        <v> </v>
      </c>
    </row>
    <row r="47" customFormat="false" ht="12.75" hidden="false" customHeight="false" outlineLevel="0" collapsed="false">
      <c r="A47" s="355"/>
      <c r="H47" s="338" t="str">
        <f aca="false">IF((G47&lt;&gt;0),IF((D47&gt;0)," ",G47)," ")</f>
        <v> </v>
      </c>
      <c r="I47" s="367" t="str">
        <f aca="false">IF((G47&lt;&gt;0),IF((D47&gt;0)," ",(I$1-A47))," ")</f>
        <v> </v>
      </c>
      <c r="J47" s="334" t="str">
        <f aca="false">IF((E47="s"),G47," ")</f>
        <v> </v>
      </c>
      <c r="K47" s="334" t="str">
        <f aca="false">IF((E47="d"),G47," ")</f>
        <v> </v>
      </c>
      <c r="L47" s="334" t="str">
        <f aca="false">IF((E47="e"),G47," ")</f>
        <v> </v>
      </c>
      <c r="M47" s="334" t="str">
        <f aca="false">IF((E47="p"),G47," ")</f>
        <v> </v>
      </c>
      <c r="N47" s="334" t="str">
        <f aca="false">IF((E47="r"),G47," ")</f>
        <v> </v>
      </c>
      <c r="O47" s="334" t="str">
        <f aca="false">IF((E47="g"),G47," ")</f>
        <v> </v>
      </c>
      <c r="P47" s="334" t="str">
        <f aca="false">IF((E47="m"),G47," ")</f>
        <v> </v>
      </c>
      <c r="Q47" s="334" t="str">
        <f aca="false">IF((E47="t"),G47," ")</f>
        <v> </v>
      </c>
      <c r="R47" s="334" t="str">
        <f aca="false">IF((E47="a"),G47," ")</f>
        <v> </v>
      </c>
      <c r="S47" s="334" t="str">
        <f aca="false">IF((E47="l"),G47," ")</f>
        <v> </v>
      </c>
      <c r="T47" s="334" t="str">
        <f aca="false">IF((E47="b"),G47," ")</f>
        <v> </v>
      </c>
      <c r="U47" s="334" t="str">
        <f aca="false">IF((E47="i"),G47," ")</f>
        <v> </v>
      </c>
      <c r="V47" s="334" t="str">
        <f aca="false">IF((E47="o"),G47," ")</f>
        <v> </v>
      </c>
      <c r="W47" s="334" t="str">
        <f aca="false">IF((E47="f"),G47," ")</f>
        <v> </v>
      </c>
    </row>
    <row r="48" customFormat="false" ht="12.75" hidden="false" customHeight="false" outlineLevel="0" collapsed="false">
      <c r="A48" s="355"/>
      <c r="H48" s="338" t="str">
        <f aca="false">IF((G48&lt;&gt;0),IF((D48&gt;0)," ",G48)," ")</f>
        <v> </v>
      </c>
      <c r="I48" s="367" t="str">
        <f aca="false">IF((G48&lt;&gt;0),IF((D48&gt;0)," ",(I$1-A48))," ")</f>
        <v> </v>
      </c>
      <c r="J48" s="334" t="str">
        <f aca="false">IF((E48="s"),G48," ")</f>
        <v> </v>
      </c>
      <c r="K48" s="334" t="str">
        <f aca="false">IF((E48="d"),G48," ")</f>
        <v> </v>
      </c>
      <c r="L48" s="334" t="str">
        <f aca="false">IF((E48="e"),G48," ")</f>
        <v> </v>
      </c>
      <c r="M48" s="334" t="str">
        <f aca="false">IF((E48="p"),G48," ")</f>
        <v> </v>
      </c>
      <c r="N48" s="334" t="str">
        <f aca="false">IF((E48="r"),G48," ")</f>
        <v> </v>
      </c>
      <c r="O48" s="334" t="str">
        <f aca="false">IF((E48="g"),G48," ")</f>
        <v> </v>
      </c>
      <c r="P48" s="334" t="str">
        <f aca="false">IF((E48="m"),G48," ")</f>
        <v> </v>
      </c>
      <c r="Q48" s="334" t="str">
        <f aca="false">IF((E48="t"),G48," ")</f>
        <v> </v>
      </c>
      <c r="R48" s="334" t="str">
        <f aca="false">IF((E48="a"),G48," ")</f>
        <v> </v>
      </c>
      <c r="S48" s="334" t="str">
        <f aca="false">IF((E48="l"),G48," ")</f>
        <v> </v>
      </c>
      <c r="T48" s="334" t="str">
        <f aca="false">IF((E48="b"),G48," ")</f>
        <v> </v>
      </c>
      <c r="U48" s="334" t="str">
        <f aca="false">IF((E48="i"),G48," ")</f>
        <v> </v>
      </c>
      <c r="V48" s="334" t="str">
        <f aca="false">IF((E48="o"),G48," ")</f>
        <v> </v>
      </c>
      <c r="W48" s="334" t="str">
        <f aca="false">IF((E48="f"),G48," ")</f>
        <v> </v>
      </c>
    </row>
    <row r="49" customFormat="false" ht="12.75" hidden="false" customHeight="false" outlineLevel="0" collapsed="false">
      <c r="A49" s="355"/>
      <c r="H49" s="338" t="str">
        <f aca="false">IF((G49&lt;&gt;0),IF((D49&gt;0)," ",G49)," ")</f>
        <v> </v>
      </c>
      <c r="I49" s="367" t="str">
        <f aca="false">IF((G49&lt;&gt;0),IF((D49&gt;0)," ",(I$1-A49))," ")</f>
        <v> </v>
      </c>
      <c r="J49" s="334" t="str">
        <f aca="false">IF((E49="s"),G49," ")</f>
        <v> </v>
      </c>
      <c r="K49" s="334" t="str">
        <f aca="false">IF((E49="d"),G49," ")</f>
        <v> </v>
      </c>
      <c r="L49" s="334" t="str">
        <f aca="false">IF((E49="e"),G49," ")</f>
        <v> </v>
      </c>
      <c r="M49" s="334" t="str">
        <f aca="false">IF((E49="p"),G49," ")</f>
        <v> </v>
      </c>
      <c r="N49" s="334" t="str">
        <f aca="false">IF((E49="r"),G49," ")</f>
        <v> </v>
      </c>
      <c r="O49" s="334" t="str">
        <f aca="false">IF((E49="g"),G49," ")</f>
        <v> </v>
      </c>
      <c r="P49" s="334" t="str">
        <f aca="false">IF((E49="m"),G49," ")</f>
        <v> </v>
      </c>
      <c r="Q49" s="334" t="str">
        <f aca="false">IF((E49="t"),G49," ")</f>
        <v> </v>
      </c>
      <c r="R49" s="334" t="str">
        <f aca="false">IF((E49="a"),G49," ")</f>
        <v> </v>
      </c>
      <c r="S49" s="334" t="str">
        <f aca="false">IF((E49="l"),G49," ")</f>
        <v> </v>
      </c>
      <c r="T49" s="334" t="str">
        <f aca="false">IF((E49="b"),G49," ")</f>
        <v> </v>
      </c>
      <c r="U49" s="334" t="str">
        <f aca="false">IF((E49="i"),G49," ")</f>
        <v> </v>
      </c>
      <c r="V49" s="334" t="str">
        <f aca="false">IF((E49="o"),G49," ")</f>
        <v> </v>
      </c>
      <c r="W49" s="334" t="str">
        <f aca="false">IF((E49="f"),G49," ")</f>
        <v> </v>
      </c>
    </row>
    <row r="50" customFormat="false" ht="12.75" hidden="false" customHeight="false" outlineLevel="0" collapsed="false">
      <c r="A50" s="355"/>
      <c r="H50" s="338" t="str">
        <f aca="false">IF((G50&lt;&gt;0),IF((D50&gt;0)," ",G50)," ")</f>
        <v> </v>
      </c>
      <c r="I50" s="367" t="str">
        <f aca="false">IF((G50&lt;&gt;0),IF((D50&gt;0)," ",(I$1-A50))," ")</f>
        <v> </v>
      </c>
      <c r="J50" s="334" t="str">
        <f aca="false">IF((E50="s"),G50," ")</f>
        <v> </v>
      </c>
      <c r="K50" s="334" t="str">
        <f aca="false">IF((E50="d"),G50," ")</f>
        <v> </v>
      </c>
      <c r="L50" s="334" t="str">
        <f aca="false">IF((E50="e"),G50," ")</f>
        <v> </v>
      </c>
      <c r="M50" s="334" t="str">
        <f aca="false">IF((E50="p"),G50," ")</f>
        <v> </v>
      </c>
      <c r="N50" s="334" t="str">
        <f aca="false">IF((E50="r"),G50," ")</f>
        <v> </v>
      </c>
      <c r="O50" s="334" t="str">
        <f aca="false">IF((E50="g"),G50," ")</f>
        <v> </v>
      </c>
      <c r="P50" s="334" t="str">
        <f aca="false">IF((E50="m"),G50," ")</f>
        <v> </v>
      </c>
      <c r="Q50" s="334" t="str">
        <f aca="false">IF((E50="t"),G50," ")</f>
        <v> </v>
      </c>
      <c r="R50" s="334" t="str">
        <f aca="false">IF((E50="a"),G50," ")</f>
        <v> </v>
      </c>
      <c r="S50" s="334" t="str">
        <f aca="false">IF((E50="l"),G50," ")</f>
        <v> </v>
      </c>
      <c r="T50" s="334" t="str">
        <f aca="false">IF((E50="b"),G50," ")</f>
        <v> </v>
      </c>
      <c r="U50" s="334" t="str">
        <f aca="false">IF((E50="i"),G50," ")</f>
        <v> </v>
      </c>
      <c r="V50" s="334" t="str">
        <f aca="false">IF((E50="o"),G50," ")</f>
        <v> </v>
      </c>
      <c r="W50" s="334" t="str">
        <f aca="false">IF((E50="f"),G50," ")</f>
        <v> </v>
      </c>
    </row>
    <row r="51" customFormat="false" ht="12.75" hidden="false" customHeight="false" outlineLevel="0" collapsed="false">
      <c r="A51" s="355"/>
      <c r="H51" s="338" t="str">
        <f aca="false">IF((G51&lt;&gt;0),IF((D51&gt;0)," ",G51)," ")</f>
        <v> </v>
      </c>
      <c r="I51" s="367" t="str">
        <f aca="false">IF((G51&lt;&gt;0),IF((D51&gt;0)," ",(I$1-A51))," ")</f>
        <v> </v>
      </c>
      <c r="J51" s="334" t="str">
        <f aca="false">IF((E51="s"),G51," ")</f>
        <v> </v>
      </c>
      <c r="K51" s="334" t="str">
        <f aca="false">IF((E51="d"),G51," ")</f>
        <v> </v>
      </c>
      <c r="L51" s="334" t="str">
        <f aca="false">IF((E51="e"),G51," ")</f>
        <v> </v>
      </c>
      <c r="M51" s="334" t="str">
        <f aca="false">IF((E51="p"),G51," ")</f>
        <v> </v>
      </c>
      <c r="N51" s="334" t="str">
        <f aca="false">IF((E51="r"),G51," ")</f>
        <v> </v>
      </c>
      <c r="O51" s="334" t="str">
        <f aca="false">IF((E51="g"),G51," ")</f>
        <v> </v>
      </c>
      <c r="P51" s="334" t="str">
        <f aca="false">IF((E51="m"),G51," ")</f>
        <v> </v>
      </c>
      <c r="Q51" s="334" t="str">
        <f aca="false">IF((E51="t"),G51," ")</f>
        <v> </v>
      </c>
      <c r="R51" s="334" t="str">
        <f aca="false">IF((E51="a"),G51," ")</f>
        <v> </v>
      </c>
      <c r="S51" s="334" t="str">
        <f aca="false">IF((E51="l"),G51," ")</f>
        <v> </v>
      </c>
      <c r="T51" s="334" t="str">
        <f aca="false">IF((E51="b"),G51," ")</f>
        <v> </v>
      </c>
      <c r="U51" s="334" t="str">
        <f aca="false">IF((E51="i"),G51," ")</f>
        <v> </v>
      </c>
      <c r="V51" s="334" t="str">
        <f aca="false">IF((E51="o"),G51," ")</f>
        <v> </v>
      </c>
      <c r="W51" s="334" t="str">
        <f aca="false">IF((E51="f"),G51," ")</f>
        <v> </v>
      </c>
    </row>
    <row r="52" customFormat="false" ht="12.75" hidden="false" customHeight="false" outlineLevel="0" collapsed="false">
      <c r="A52" s="355"/>
      <c r="H52" s="338" t="str">
        <f aca="false">IF((G52&lt;&gt;0),IF((D52&gt;0)," ",G52)," ")</f>
        <v> </v>
      </c>
      <c r="I52" s="367" t="str">
        <f aca="false">IF((G52&lt;&gt;0),IF((D52&gt;0)," ",(I$1-A52))," ")</f>
        <v> </v>
      </c>
      <c r="J52" s="334" t="str">
        <f aca="false">IF((E52="s"),G52," ")</f>
        <v> </v>
      </c>
      <c r="K52" s="334" t="str">
        <f aca="false">IF((E52="d"),G52," ")</f>
        <v> </v>
      </c>
      <c r="L52" s="334" t="str">
        <f aca="false">IF((E52="e"),G52," ")</f>
        <v> </v>
      </c>
      <c r="M52" s="334" t="str">
        <f aca="false">IF((E52="p"),G52," ")</f>
        <v> </v>
      </c>
      <c r="N52" s="334" t="str">
        <f aca="false">IF((E52="r"),G52," ")</f>
        <v> </v>
      </c>
      <c r="O52" s="334" t="str">
        <f aca="false">IF((E52="g"),G52," ")</f>
        <v> </v>
      </c>
      <c r="P52" s="334" t="str">
        <f aca="false">IF((E52="m"),G52," ")</f>
        <v> </v>
      </c>
      <c r="Q52" s="334" t="str">
        <f aca="false">IF((E52="t"),G52," ")</f>
        <v> </v>
      </c>
      <c r="R52" s="334" t="str">
        <f aca="false">IF((E52="a"),G52," ")</f>
        <v> </v>
      </c>
      <c r="S52" s="334" t="str">
        <f aca="false">IF((E52="l"),G52," ")</f>
        <v> </v>
      </c>
      <c r="T52" s="334" t="str">
        <f aca="false">IF((E52="b"),G52," ")</f>
        <v> </v>
      </c>
      <c r="U52" s="334" t="str">
        <f aca="false">IF((E52="i"),G52," ")</f>
        <v> </v>
      </c>
      <c r="V52" s="334" t="str">
        <f aca="false">IF((E52="o"),G52," ")</f>
        <v> </v>
      </c>
      <c r="W52" s="334" t="str">
        <f aca="false">IF((E52="f"),G52," ")</f>
        <v> </v>
      </c>
    </row>
    <row r="53" customFormat="false" ht="12.75" hidden="false" customHeight="false" outlineLevel="0" collapsed="false">
      <c r="A53" s="355"/>
      <c r="H53" s="338" t="str">
        <f aca="false">IF((G53&lt;&gt;0),IF((D53&gt;0)," ",G53)," ")</f>
        <v> </v>
      </c>
      <c r="I53" s="367" t="str">
        <f aca="false">IF((G53&lt;&gt;0),IF((D53&gt;0)," ",(I$1-A53))," ")</f>
        <v> </v>
      </c>
      <c r="J53" s="334" t="str">
        <f aca="false">IF((E53="s"),G53," ")</f>
        <v> </v>
      </c>
      <c r="K53" s="334" t="str">
        <f aca="false">IF((E53="d"),G53," ")</f>
        <v> </v>
      </c>
      <c r="L53" s="334" t="str">
        <f aca="false">IF((E53="e"),G53," ")</f>
        <v> </v>
      </c>
      <c r="M53" s="334" t="str">
        <f aca="false">IF((E53="p"),G53," ")</f>
        <v> </v>
      </c>
      <c r="N53" s="334" t="str">
        <f aca="false">IF((E53="r"),G53," ")</f>
        <v> </v>
      </c>
      <c r="O53" s="334" t="str">
        <f aca="false">IF((E53="g"),G53," ")</f>
        <v> </v>
      </c>
      <c r="P53" s="334" t="str">
        <f aca="false">IF((E53="m"),G53," ")</f>
        <v> </v>
      </c>
      <c r="Q53" s="334" t="str">
        <f aca="false">IF((E53="t"),G53," ")</f>
        <v> </v>
      </c>
      <c r="R53" s="334" t="str">
        <f aca="false">IF((E53="a"),G53," ")</f>
        <v> </v>
      </c>
      <c r="S53" s="334" t="str">
        <f aca="false">IF((E53="l"),G53," ")</f>
        <v> </v>
      </c>
      <c r="T53" s="334" t="str">
        <f aca="false">IF((E53="b"),G53," ")</f>
        <v> </v>
      </c>
      <c r="U53" s="334" t="str">
        <f aca="false">IF((E53="i"),G53," ")</f>
        <v> </v>
      </c>
      <c r="V53" s="334" t="str">
        <f aca="false">IF((E53="o"),G53," ")</f>
        <v> </v>
      </c>
      <c r="W53" s="334" t="str">
        <f aca="false">IF((E53="f"),G53," ")</f>
        <v> </v>
      </c>
    </row>
    <row r="54" customFormat="false" ht="12.75" hidden="false" customHeight="false" outlineLevel="0" collapsed="false">
      <c r="A54" s="355"/>
      <c r="H54" s="338" t="str">
        <f aca="false">IF((G54&lt;&gt;0),IF((D54&gt;0)," ",G54)," ")</f>
        <v> </v>
      </c>
      <c r="I54" s="367" t="str">
        <f aca="false">IF((G54&lt;&gt;0),IF((D54&gt;0)," ",(I$1-A54))," ")</f>
        <v> </v>
      </c>
      <c r="J54" s="334" t="str">
        <f aca="false">IF((E54="s"),G54," ")</f>
        <v> </v>
      </c>
      <c r="K54" s="334" t="str">
        <f aca="false">IF((E54="d"),G54," ")</f>
        <v> </v>
      </c>
      <c r="L54" s="334" t="str">
        <f aca="false">IF((E54="e"),G54," ")</f>
        <v> </v>
      </c>
      <c r="M54" s="334" t="str">
        <f aca="false">IF((E54="p"),G54," ")</f>
        <v> </v>
      </c>
      <c r="N54" s="334" t="str">
        <f aca="false">IF((E54="r"),G54," ")</f>
        <v> </v>
      </c>
      <c r="O54" s="334" t="str">
        <f aca="false">IF((E54="g"),G54," ")</f>
        <v> </v>
      </c>
      <c r="P54" s="334" t="str">
        <f aca="false">IF((E54="m"),G54," ")</f>
        <v> </v>
      </c>
      <c r="Q54" s="334" t="str">
        <f aca="false">IF((E54="t"),G54," ")</f>
        <v> </v>
      </c>
      <c r="R54" s="334" t="str">
        <f aca="false">IF((E54="a"),G54," ")</f>
        <v> </v>
      </c>
      <c r="S54" s="334" t="str">
        <f aca="false">IF((E54="l"),G54," ")</f>
        <v> </v>
      </c>
      <c r="T54" s="334" t="str">
        <f aca="false">IF((E54="b"),G54," ")</f>
        <v> </v>
      </c>
      <c r="U54" s="334" t="str">
        <f aca="false">IF((E54="i"),G54," ")</f>
        <v> </v>
      </c>
      <c r="V54" s="334" t="str">
        <f aca="false">IF((E54="o"),G54," ")</f>
        <v> </v>
      </c>
      <c r="W54" s="334" t="str">
        <f aca="false">IF((E54="f"),G54," ")</f>
        <v> </v>
      </c>
    </row>
    <row r="55" customFormat="false" ht="12.75" hidden="false" customHeight="false" outlineLevel="0" collapsed="false">
      <c r="A55" s="355"/>
      <c r="H55" s="338" t="str">
        <f aca="false">IF((G55&lt;&gt;0),IF((D55&gt;0)," ",G55)," ")</f>
        <v> </v>
      </c>
      <c r="I55" s="367" t="str">
        <f aca="false">IF((G55&lt;&gt;0),IF((D55&gt;0)," ",(I$1-A55))," ")</f>
        <v> </v>
      </c>
      <c r="J55" s="334" t="str">
        <f aca="false">IF((E55="s"),G55," ")</f>
        <v> </v>
      </c>
      <c r="K55" s="334" t="str">
        <f aca="false">IF((E55="d"),G55," ")</f>
        <v> </v>
      </c>
      <c r="L55" s="334" t="str">
        <f aca="false">IF((E55="e"),G55," ")</f>
        <v> </v>
      </c>
      <c r="M55" s="334" t="str">
        <f aca="false">IF((E55="p"),G55," ")</f>
        <v> </v>
      </c>
      <c r="N55" s="334" t="str">
        <f aca="false">IF((E55="r"),G55," ")</f>
        <v> </v>
      </c>
      <c r="O55" s="334" t="str">
        <f aca="false">IF((E55="g"),G55," ")</f>
        <v> </v>
      </c>
      <c r="P55" s="334" t="str">
        <f aca="false">IF((E55="m"),G55," ")</f>
        <v> </v>
      </c>
      <c r="Q55" s="334" t="str">
        <f aca="false">IF((E55="t"),G55," ")</f>
        <v> </v>
      </c>
      <c r="R55" s="334" t="str">
        <f aca="false">IF((E55="a"),G55," ")</f>
        <v> </v>
      </c>
      <c r="S55" s="334" t="str">
        <f aca="false">IF((E55="l"),G55," ")</f>
        <v> </v>
      </c>
      <c r="T55" s="334" t="str">
        <f aca="false">IF((E55="b"),G55," ")</f>
        <v> </v>
      </c>
      <c r="U55" s="334" t="str">
        <f aca="false">IF((E55="i"),G55," ")</f>
        <v> </v>
      </c>
      <c r="V55" s="334" t="str">
        <f aca="false">IF((E55="o"),G55," ")</f>
        <v> </v>
      </c>
      <c r="W55" s="334" t="str">
        <f aca="false">IF((E55="f"),G55," ")</f>
        <v> </v>
      </c>
    </row>
    <row r="56" customFormat="false" ht="12.75" hidden="false" customHeight="false" outlineLevel="0" collapsed="false">
      <c r="A56" s="355"/>
      <c r="H56" s="338" t="str">
        <f aca="false">IF((G56&lt;&gt;0),IF((D56&gt;0)," ",G56)," ")</f>
        <v> </v>
      </c>
      <c r="I56" s="367" t="str">
        <f aca="false">IF((G56&lt;&gt;0),IF((D56&gt;0)," ",(I$1-A56))," ")</f>
        <v> </v>
      </c>
      <c r="J56" s="334" t="str">
        <f aca="false">IF((E56="s"),G56," ")</f>
        <v> </v>
      </c>
      <c r="K56" s="334" t="str">
        <f aca="false">IF((E56="d"),G56," ")</f>
        <v> </v>
      </c>
      <c r="L56" s="334" t="str">
        <f aca="false">IF((E56="e"),G56," ")</f>
        <v> </v>
      </c>
      <c r="M56" s="334" t="str">
        <f aca="false">IF((E56="p"),G56," ")</f>
        <v> </v>
      </c>
      <c r="N56" s="334" t="str">
        <f aca="false">IF((E56="r"),G56," ")</f>
        <v> </v>
      </c>
      <c r="O56" s="334" t="str">
        <f aca="false">IF((E56="g"),G56," ")</f>
        <v> </v>
      </c>
      <c r="P56" s="334" t="str">
        <f aca="false">IF((E56="m"),G56," ")</f>
        <v> </v>
      </c>
      <c r="Q56" s="334" t="str">
        <f aca="false">IF((E56="t"),G56," ")</f>
        <v> </v>
      </c>
      <c r="R56" s="334" t="str">
        <f aca="false">IF((E56="a"),G56," ")</f>
        <v> </v>
      </c>
      <c r="S56" s="334" t="str">
        <f aca="false">IF((E56="l"),G56," ")</f>
        <v> </v>
      </c>
      <c r="T56" s="334" t="str">
        <f aca="false">IF((E56="b"),G56," ")</f>
        <v> </v>
      </c>
      <c r="U56" s="334" t="str">
        <f aca="false">IF((E56="i"),G56," ")</f>
        <v> </v>
      </c>
      <c r="V56" s="334" t="str">
        <f aca="false">IF((E56="o"),G56," ")</f>
        <v> </v>
      </c>
      <c r="W56" s="334" t="str">
        <f aca="false">IF((E56="f"),G56," ")</f>
        <v> </v>
      </c>
    </row>
    <row r="57" customFormat="false" ht="12.75" hidden="false" customHeight="false" outlineLevel="0" collapsed="false">
      <c r="A57" s="355"/>
      <c r="H57" s="338" t="str">
        <f aca="false">IF((G57&lt;&gt;0),IF((D57&gt;0)," ",G57)," ")</f>
        <v> </v>
      </c>
      <c r="I57" s="367" t="str">
        <f aca="false">IF((G57&lt;&gt;0),IF((D57&gt;0)," ",(I$1-A57))," ")</f>
        <v> </v>
      </c>
      <c r="J57" s="334" t="str">
        <f aca="false">IF((E57="s"),G57," ")</f>
        <v> </v>
      </c>
      <c r="K57" s="334" t="str">
        <f aca="false">IF((E57="d"),G57," ")</f>
        <v> </v>
      </c>
      <c r="L57" s="334" t="str">
        <f aca="false">IF((E57="e"),G57," ")</f>
        <v> </v>
      </c>
      <c r="M57" s="334" t="str">
        <f aca="false">IF((E57="p"),G57," ")</f>
        <v> </v>
      </c>
      <c r="N57" s="334" t="str">
        <f aca="false">IF((E57="r"),G57," ")</f>
        <v> </v>
      </c>
      <c r="O57" s="334" t="str">
        <f aca="false">IF((E57="g"),G57," ")</f>
        <v> </v>
      </c>
      <c r="P57" s="334" t="str">
        <f aca="false">IF((E57="m"),G57," ")</f>
        <v> </v>
      </c>
      <c r="Q57" s="334" t="str">
        <f aca="false">IF((E57="t"),G57," ")</f>
        <v> </v>
      </c>
      <c r="R57" s="334" t="str">
        <f aca="false">IF((E57="a"),G57," ")</f>
        <v> </v>
      </c>
      <c r="S57" s="334" t="str">
        <f aca="false">IF((E57="l"),G57," ")</f>
        <v> </v>
      </c>
      <c r="T57" s="334" t="str">
        <f aca="false">IF((E57="b"),G57," ")</f>
        <v> </v>
      </c>
      <c r="U57" s="334" t="str">
        <f aca="false">IF((E57="i"),G57," ")</f>
        <v> </v>
      </c>
      <c r="V57" s="334" t="str">
        <f aca="false">IF((E57="o"),G57," ")</f>
        <v> </v>
      </c>
      <c r="W57" s="334" t="str">
        <f aca="false">IF((E57="f"),G57," ")</f>
        <v> </v>
      </c>
    </row>
    <row r="58" customFormat="false" ht="12.75" hidden="false" customHeight="false" outlineLevel="0" collapsed="false">
      <c r="A58" s="355"/>
      <c r="H58" s="338" t="str">
        <f aca="false">IF((G58&lt;&gt;0),IF((D58&gt;0)," ",G58)," ")</f>
        <v> </v>
      </c>
      <c r="I58" s="367" t="str">
        <f aca="false">IF((G58&lt;&gt;0),IF((D58&gt;0)," ",(I$1-A58))," ")</f>
        <v> </v>
      </c>
      <c r="J58" s="334" t="str">
        <f aca="false">IF((E58="s"),G58," ")</f>
        <v> </v>
      </c>
      <c r="K58" s="334" t="str">
        <f aca="false">IF((E58="d"),G58," ")</f>
        <v> </v>
      </c>
      <c r="L58" s="334" t="str">
        <f aca="false">IF((E58="e"),G58," ")</f>
        <v> </v>
      </c>
      <c r="M58" s="334" t="str">
        <f aca="false">IF((E58="p"),G58," ")</f>
        <v> </v>
      </c>
      <c r="N58" s="334" t="str">
        <f aca="false">IF((E58="r"),G58," ")</f>
        <v> </v>
      </c>
      <c r="O58" s="334" t="str">
        <f aca="false">IF((E58="g"),G58," ")</f>
        <v> </v>
      </c>
      <c r="P58" s="334" t="str">
        <f aca="false">IF((E58="m"),G58," ")</f>
        <v> </v>
      </c>
      <c r="Q58" s="334" t="str">
        <f aca="false">IF((E58="t"),G58," ")</f>
        <v> </v>
      </c>
      <c r="R58" s="334" t="str">
        <f aca="false">IF((E58="a"),G58," ")</f>
        <v> </v>
      </c>
      <c r="S58" s="334" t="str">
        <f aca="false">IF((E58="l"),G58," ")</f>
        <v> </v>
      </c>
      <c r="T58" s="334" t="str">
        <f aca="false">IF((E58="b"),G58," ")</f>
        <v> </v>
      </c>
      <c r="U58" s="334" t="str">
        <f aca="false">IF((E58="i"),G58," ")</f>
        <v> </v>
      </c>
      <c r="V58" s="334" t="str">
        <f aca="false">IF((E58="o"),G58," ")</f>
        <v> </v>
      </c>
      <c r="W58" s="334" t="str">
        <f aca="false">IF((E58="f"),G58," ")</f>
        <v> </v>
      </c>
    </row>
    <row r="59" customFormat="false" ht="12.75" hidden="false" customHeight="false" outlineLevel="0" collapsed="false">
      <c r="A59" s="355"/>
      <c r="H59" s="338" t="str">
        <f aca="false">IF((G59&lt;&gt;0),IF((D59&gt;0)," ",G59)," ")</f>
        <v> </v>
      </c>
      <c r="I59" s="367" t="str">
        <f aca="false">IF((G59&lt;&gt;0),IF((D59&gt;0)," ",(I$1-A59))," ")</f>
        <v> </v>
      </c>
      <c r="J59" s="334" t="str">
        <f aca="false">IF((E59="s"),G59," ")</f>
        <v> </v>
      </c>
      <c r="K59" s="334" t="str">
        <f aca="false">IF((E59="d"),G59," ")</f>
        <v> </v>
      </c>
      <c r="L59" s="334" t="str">
        <f aca="false">IF((E59="e"),G59," ")</f>
        <v> </v>
      </c>
      <c r="M59" s="334" t="str">
        <f aca="false">IF((E59="p"),G59," ")</f>
        <v> </v>
      </c>
      <c r="N59" s="334" t="str">
        <f aca="false">IF((E59="r"),G59," ")</f>
        <v> </v>
      </c>
      <c r="O59" s="334" t="str">
        <f aca="false">IF((E59="g"),G59," ")</f>
        <v> </v>
      </c>
      <c r="P59" s="334" t="str">
        <f aca="false">IF((E59="m"),G59," ")</f>
        <v> </v>
      </c>
      <c r="Q59" s="334" t="str">
        <f aca="false">IF((E59="t"),G59," ")</f>
        <v> </v>
      </c>
      <c r="R59" s="334" t="str">
        <f aca="false">IF((E59="a"),G59," ")</f>
        <v> </v>
      </c>
      <c r="S59" s="334" t="str">
        <f aca="false">IF((E59="l"),G59," ")</f>
        <v> </v>
      </c>
      <c r="T59" s="334" t="str">
        <f aca="false">IF((E59="b"),G59," ")</f>
        <v> </v>
      </c>
      <c r="U59" s="334" t="str">
        <f aca="false">IF((E59="i"),G59," ")</f>
        <v> </v>
      </c>
      <c r="V59" s="334" t="str">
        <f aca="false">IF((E59="o"),G59," ")</f>
        <v> </v>
      </c>
      <c r="W59" s="334" t="str">
        <f aca="false">IF((E59="f"),G59," ")</f>
        <v> </v>
      </c>
    </row>
    <row r="60" customFormat="false" ht="12.75" hidden="false" customHeight="false" outlineLevel="0" collapsed="false">
      <c r="A60" s="355"/>
      <c r="H60" s="338" t="str">
        <f aca="false">IF((G60&lt;&gt;0),IF((D60&gt;0)," ",G60)," ")</f>
        <v> </v>
      </c>
      <c r="I60" s="367" t="str">
        <f aca="false">IF((G60&lt;&gt;0),IF((D60&gt;0)," ",(I$1-A60))," ")</f>
        <v> </v>
      </c>
      <c r="J60" s="334" t="str">
        <f aca="false">IF((E60="s"),G60," ")</f>
        <v> </v>
      </c>
      <c r="K60" s="334" t="str">
        <f aca="false">IF((E60="d"),G60," ")</f>
        <v> </v>
      </c>
      <c r="L60" s="334" t="str">
        <f aca="false">IF((E60="e"),G60," ")</f>
        <v> </v>
      </c>
      <c r="M60" s="334" t="str">
        <f aca="false">IF((E60="p"),G60," ")</f>
        <v> </v>
      </c>
      <c r="N60" s="334" t="str">
        <f aca="false">IF((E60="r"),G60," ")</f>
        <v> </v>
      </c>
      <c r="O60" s="334" t="str">
        <f aca="false">IF((E60="g"),G60," ")</f>
        <v> </v>
      </c>
      <c r="P60" s="334" t="str">
        <f aca="false">IF((E60="m"),G60," ")</f>
        <v> </v>
      </c>
      <c r="Q60" s="334" t="str">
        <f aca="false">IF((E60="t"),G60," ")</f>
        <v> </v>
      </c>
      <c r="R60" s="334" t="str">
        <f aca="false">IF((E60="a"),G60," ")</f>
        <v> </v>
      </c>
      <c r="S60" s="334" t="str">
        <f aca="false">IF((E60="l"),G60," ")</f>
        <v> </v>
      </c>
      <c r="T60" s="334" t="str">
        <f aca="false">IF((E60="b"),G60," ")</f>
        <v> </v>
      </c>
      <c r="U60" s="334" t="str">
        <f aca="false">IF((E60="i"),G60," ")</f>
        <v> </v>
      </c>
      <c r="V60" s="334" t="str">
        <f aca="false">IF((E60="o"),G60," ")</f>
        <v> </v>
      </c>
      <c r="W60" s="334" t="str">
        <f aca="false">IF((E60="f"),G60," ")</f>
        <v> </v>
      </c>
    </row>
    <row r="61" customFormat="false" ht="12.75" hidden="false" customHeight="false" outlineLevel="0" collapsed="false">
      <c r="A61" s="355"/>
      <c r="H61" s="338" t="str">
        <f aca="false">IF((G61&lt;&gt;0),IF((D61&gt;0)," ",G61)," ")</f>
        <v> </v>
      </c>
      <c r="I61" s="367" t="str">
        <f aca="false">IF((G61&lt;&gt;0),IF((D61&gt;0)," ",(I$1-A61))," ")</f>
        <v> </v>
      </c>
      <c r="J61" s="334" t="str">
        <f aca="false">IF((E61="s"),G61," ")</f>
        <v> </v>
      </c>
      <c r="K61" s="334" t="str">
        <f aca="false">IF((E61="d"),G61," ")</f>
        <v> </v>
      </c>
      <c r="L61" s="334" t="str">
        <f aca="false">IF((E61="e"),G61," ")</f>
        <v> </v>
      </c>
      <c r="M61" s="334" t="str">
        <f aca="false">IF((E61="p"),G61," ")</f>
        <v> </v>
      </c>
      <c r="N61" s="334" t="str">
        <f aca="false">IF((E61="r"),G61," ")</f>
        <v> </v>
      </c>
      <c r="O61" s="334" t="str">
        <f aca="false">IF((E61="g"),G61," ")</f>
        <v> </v>
      </c>
      <c r="P61" s="334" t="str">
        <f aca="false">IF((E61="m"),G61," ")</f>
        <v> </v>
      </c>
      <c r="Q61" s="334" t="str">
        <f aca="false">IF((E61="t"),G61," ")</f>
        <v> </v>
      </c>
      <c r="R61" s="334" t="str">
        <f aca="false">IF((E61="a"),G61," ")</f>
        <v> </v>
      </c>
      <c r="S61" s="334" t="str">
        <f aca="false">IF((E61="l"),G61," ")</f>
        <v> </v>
      </c>
      <c r="T61" s="334" t="str">
        <f aca="false">IF((E61="b"),G61," ")</f>
        <v> </v>
      </c>
      <c r="U61" s="334" t="str">
        <f aca="false">IF((E61="i"),G61," ")</f>
        <v> </v>
      </c>
      <c r="V61" s="334" t="str">
        <f aca="false">IF((E61="o"),G61," ")</f>
        <v> </v>
      </c>
      <c r="W61" s="334" t="str">
        <f aca="false">IF((E61="f"),G61," ")</f>
        <v> </v>
      </c>
    </row>
    <row r="62" customFormat="false" ht="12.75" hidden="false" customHeight="false" outlineLevel="0" collapsed="false">
      <c r="A62" s="355"/>
      <c r="H62" s="338" t="str">
        <f aca="false">IF((G62&lt;&gt;0),IF((D62&gt;0)," ",G62)," ")</f>
        <v> </v>
      </c>
      <c r="I62" s="367" t="str">
        <f aca="false">IF((G62&lt;&gt;0),IF((D62&gt;0)," ",(I$1-A62))," ")</f>
        <v> </v>
      </c>
      <c r="J62" s="334" t="str">
        <f aca="false">IF((E62="s"),G62," ")</f>
        <v> </v>
      </c>
      <c r="K62" s="334" t="str">
        <f aca="false">IF((E62="d"),G62," ")</f>
        <v> </v>
      </c>
      <c r="L62" s="334" t="str">
        <f aca="false">IF((E62="e"),G62," ")</f>
        <v> </v>
      </c>
      <c r="M62" s="334" t="str">
        <f aca="false">IF((E62="p"),G62," ")</f>
        <v> </v>
      </c>
      <c r="N62" s="334" t="str">
        <f aca="false">IF((E62="r"),G62," ")</f>
        <v> </v>
      </c>
      <c r="O62" s="334" t="str">
        <f aca="false">IF((E62="g"),G62," ")</f>
        <v> </v>
      </c>
      <c r="P62" s="334" t="str">
        <f aca="false">IF((E62="m"),G62," ")</f>
        <v> </v>
      </c>
      <c r="Q62" s="334" t="str">
        <f aca="false">IF((E62="t"),G62," ")</f>
        <v> </v>
      </c>
      <c r="R62" s="334" t="str">
        <f aca="false">IF((E62="a"),G62," ")</f>
        <v> </v>
      </c>
      <c r="S62" s="334" t="str">
        <f aca="false">IF((E62="l"),G62," ")</f>
        <v> </v>
      </c>
      <c r="T62" s="334" t="str">
        <f aca="false">IF((E62="b"),G62," ")</f>
        <v> </v>
      </c>
      <c r="U62" s="334" t="str">
        <f aca="false">IF((E62="i"),G62," ")</f>
        <v> </v>
      </c>
      <c r="V62" s="334" t="str">
        <f aca="false">IF((E62="o"),G62," ")</f>
        <v> </v>
      </c>
      <c r="W62" s="334" t="str">
        <f aca="false">IF((E62="f"),G62," ")</f>
        <v> </v>
      </c>
    </row>
    <row r="63" customFormat="false" ht="12.75" hidden="false" customHeight="false" outlineLevel="0" collapsed="false">
      <c r="A63" s="355"/>
      <c r="H63" s="338" t="str">
        <f aca="false">IF((G63&lt;&gt;0),IF((D63&gt;0)," ",G63)," ")</f>
        <v> </v>
      </c>
      <c r="I63" s="367" t="str">
        <f aca="false">IF((G63&lt;&gt;0),IF((D63&gt;0)," ",(I$1-A63))," ")</f>
        <v> </v>
      </c>
      <c r="J63" s="334" t="str">
        <f aca="false">IF((E63="s"),G63," ")</f>
        <v> </v>
      </c>
      <c r="K63" s="334" t="str">
        <f aca="false">IF((E63="d"),G63," ")</f>
        <v> </v>
      </c>
      <c r="L63" s="334" t="str">
        <f aca="false">IF((E63="e"),G63," ")</f>
        <v> </v>
      </c>
      <c r="M63" s="334" t="str">
        <f aca="false">IF((E63="p"),G63," ")</f>
        <v> </v>
      </c>
      <c r="N63" s="334" t="str">
        <f aca="false">IF((E63="r"),G63," ")</f>
        <v> </v>
      </c>
      <c r="O63" s="334" t="str">
        <f aca="false">IF((E63="g"),G63," ")</f>
        <v> </v>
      </c>
      <c r="P63" s="334" t="str">
        <f aca="false">IF((E63="m"),G63," ")</f>
        <v> </v>
      </c>
      <c r="Q63" s="334" t="str">
        <f aca="false">IF((E63="t"),G63," ")</f>
        <v> </v>
      </c>
      <c r="R63" s="334" t="str">
        <f aca="false">IF((E63="a"),G63," ")</f>
        <v> </v>
      </c>
      <c r="S63" s="334" t="str">
        <f aca="false">IF((E63="l"),G63," ")</f>
        <v> </v>
      </c>
      <c r="T63" s="334" t="str">
        <f aca="false">IF((E63="b"),G63," ")</f>
        <v> </v>
      </c>
      <c r="U63" s="334" t="str">
        <f aca="false">IF((E63="i"),G63," ")</f>
        <v> </v>
      </c>
      <c r="V63" s="334" t="str">
        <f aca="false">IF((E63="o"),G63," ")</f>
        <v> </v>
      </c>
      <c r="W63" s="334" t="str">
        <f aca="false">IF((E63="f"),G63," ")</f>
        <v> </v>
      </c>
    </row>
    <row r="64" customFormat="false" ht="12.75" hidden="false" customHeight="false" outlineLevel="0" collapsed="false">
      <c r="A64" s="355"/>
      <c r="H64" s="338" t="str">
        <f aca="false">IF((G64&lt;&gt;0),IF((D64&gt;0)," ",G64)," ")</f>
        <v> </v>
      </c>
      <c r="I64" s="367" t="str">
        <f aca="false">IF((G64&lt;&gt;0),IF((D64&gt;0)," ",(I$1-A64))," ")</f>
        <v> </v>
      </c>
      <c r="J64" s="334" t="str">
        <f aca="false">IF((E64="s"),G64," ")</f>
        <v> </v>
      </c>
      <c r="K64" s="334" t="str">
        <f aca="false">IF((E64="d"),G64," ")</f>
        <v> </v>
      </c>
      <c r="L64" s="334" t="str">
        <f aca="false">IF((E64="e"),G64," ")</f>
        <v> </v>
      </c>
      <c r="M64" s="334" t="str">
        <f aca="false">IF((E64="p"),G64," ")</f>
        <v> </v>
      </c>
      <c r="N64" s="334" t="str">
        <f aca="false">IF((E64="r"),G64," ")</f>
        <v> </v>
      </c>
      <c r="O64" s="334" t="str">
        <f aca="false">IF((E64="g"),G64," ")</f>
        <v> </v>
      </c>
      <c r="P64" s="334" t="str">
        <f aca="false">IF((E64="m"),G64," ")</f>
        <v> </v>
      </c>
      <c r="Q64" s="334" t="str">
        <f aca="false">IF((E64="t"),G64," ")</f>
        <v> </v>
      </c>
      <c r="R64" s="334" t="str">
        <f aca="false">IF((E64="a"),G64," ")</f>
        <v> </v>
      </c>
      <c r="S64" s="334" t="str">
        <f aca="false">IF((E64="l"),G64," ")</f>
        <v> </v>
      </c>
      <c r="T64" s="334" t="str">
        <f aca="false">IF((E64="b"),G64," ")</f>
        <v> </v>
      </c>
      <c r="U64" s="334" t="str">
        <f aca="false">IF((E64="i"),G64," ")</f>
        <v> </v>
      </c>
      <c r="V64" s="334" t="str">
        <f aca="false">IF((E64="o"),G64," ")</f>
        <v> </v>
      </c>
      <c r="W64" s="334" t="str">
        <f aca="false">IF((E64="f"),G64," ")</f>
        <v> </v>
      </c>
    </row>
    <row r="65" customFormat="false" ht="12.75" hidden="false" customHeight="false" outlineLevel="0" collapsed="false">
      <c r="A65" s="355"/>
      <c r="H65" s="338" t="str">
        <f aca="false">IF((G65&lt;&gt;0),IF((D65&gt;0)," ",G65)," ")</f>
        <v> </v>
      </c>
      <c r="I65" s="367" t="str">
        <f aca="false">IF((G65&lt;&gt;0),IF((D65&gt;0)," ",(I$1-A65))," ")</f>
        <v> </v>
      </c>
      <c r="J65" s="334" t="str">
        <f aca="false">IF((E65="s"),G65," ")</f>
        <v> </v>
      </c>
      <c r="K65" s="334" t="str">
        <f aca="false">IF((E65="d"),G65," ")</f>
        <v> </v>
      </c>
      <c r="L65" s="334" t="str">
        <f aca="false">IF((E65="e"),G65," ")</f>
        <v> </v>
      </c>
      <c r="M65" s="334" t="str">
        <f aca="false">IF((E65="p"),G65," ")</f>
        <v> </v>
      </c>
      <c r="N65" s="334" t="str">
        <f aca="false">IF((E65="r"),G65," ")</f>
        <v> </v>
      </c>
      <c r="O65" s="334" t="str">
        <f aca="false">IF((E65="g"),G65," ")</f>
        <v> </v>
      </c>
      <c r="P65" s="334" t="str">
        <f aca="false">IF((E65="m"),G65," ")</f>
        <v> </v>
      </c>
      <c r="Q65" s="334" t="str">
        <f aca="false">IF((E65="t"),G65," ")</f>
        <v> </v>
      </c>
      <c r="R65" s="334" t="str">
        <f aca="false">IF((E65="a"),G65," ")</f>
        <v> </v>
      </c>
      <c r="S65" s="334" t="str">
        <f aca="false">IF((E65="l"),G65," ")</f>
        <v> </v>
      </c>
      <c r="T65" s="334" t="str">
        <f aca="false">IF((E65="b"),G65," ")</f>
        <v> </v>
      </c>
      <c r="U65" s="334" t="str">
        <f aca="false">IF((E65="i"),G65," ")</f>
        <v> </v>
      </c>
      <c r="V65" s="334" t="str">
        <f aca="false">IF((E65="o"),G65," ")</f>
        <v> </v>
      </c>
      <c r="W65" s="334" t="str">
        <f aca="false">IF((E65="f"),G65," ")</f>
        <v> </v>
      </c>
    </row>
    <row r="66" customFormat="false" ht="12.75" hidden="false" customHeight="false" outlineLevel="0" collapsed="false">
      <c r="A66" s="355"/>
      <c r="H66" s="338" t="str">
        <f aca="false">IF((G66&lt;&gt;0),IF((D66&gt;0)," ",G66)," ")</f>
        <v> </v>
      </c>
      <c r="I66" s="367" t="str">
        <f aca="false">IF((G66&lt;&gt;0),IF((D66&gt;0)," ",(I$1-A66))," ")</f>
        <v> </v>
      </c>
      <c r="J66" s="334" t="str">
        <f aca="false">IF((E66="s"),G66," ")</f>
        <v> </v>
      </c>
      <c r="K66" s="334" t="str">
        <f aca="false">IF((E66="d"),G66," ")</f>
        <v> </v>
      </c>
      <c r="L66" s="334" t="str">
        <f aca="false">IF((E66="e"),G66," ")</f>
        <v> </v>
      </c>
      <c r="M66" s="334" t="str">
        <f aca="false">IF((E66="p"),G66," ")</f>
        <v> </v>
      </c>
      <c r="N66" s="334" t="str">
        <f aca="false">IF((E66="r"),G66," ")</f>
        <v> </v>
      </c>
      <c r="O66" s="334" t="str">
        <f aca="false">IF((E66="g"),G66," ")</f>
        <v> </v>
      </c>
      <c r="P66" s="334" t="str">
        <f aca="false">IF((E66="m"),G66," ")</f>
        <v> </v>
      </c>
      <c r="Q66" s="334" t="str">
        <f aca="false">IF((E66="t"),G66," ")</f>
        <v> </v>
      </c>
      <c r="R66" s="334" t="str">
        <f aca="false">IF((E66="a"),G66," ")</f>
        <v> </v>
      </c>
      <c r="S66" s="334" t="str">
        <f aca="false">IF((E66="l"),G66," ")</f>
        <v> </v>
      </c>
      <c r="T66" s="334" t="str">
        <f aca="false">IF((E66="b"),G66," ")</f>
        <v> </v>
      </c>
      <c r="U66" s="334" t="str">
        <f aca="false">IF((E66="i"),G66," ")</f>
        <v> </v>
      </c>
      <c r="V66" s="334" t="str">
        <f aca="false">IF((E66="o"),G66," ")</f>
        <v> </v>
      </c>
      <c r="W66" s="334" t="str">
        <f aca="false">IF((E66="f"),G66," ")</f>
        <v> </v>
      </c>
    </row>
    <row r="67" customFormat="false" ht="12.75" hidden="false" customHeight="false" outlineLevel="0" collapsed="false">
      <c r="A67" s="355"/>
      <c r="H67" s="338" t="str">
        <f aca="false">IF((G67&lt;&gt;0),IF((D67&gt;0)," ",G67)," ")</f>
        <v> </v>
      </c>
      <c r="I67" s="367" t="str">
        <f aca="false">IF((G67&lt;&gt;0),IF((D67&gt;0)," ",(I$1-A67))," ")</f>
        <v> </v>
      </c>
      <c r="J67" s="334" t="str">
        <f aca="false">IF((E67="s"),G67," ")</f>
        <v> </v>
      </c>
      <c r="K67" s="334" t="str">
        <f aca="false">IF((E67="d"),G67," ")</f>
        <v> </v>
      </c>
      <c r="L67" s="334" t="str">
        <f aca="false">IF((E67="e"),G67," ")</f>
        <v> </v>
      </c>
      <c r="M67" s="334" t="str">
        <f aca="false">IF((E67="p"),G67," ")</f>
        <v> </v>
      </c>
      <c r="N67" s="334" t="str">
        <f aca="false">IF((E67="r"),G67," ")</f>
        <v> </v>
      </c>
      <c r="O67" s="334" t="str">
        <f aca="false">IF((E67="g"),G67," ")</f>
        <v> </v>
      </c>
      <c r="P67" s="334" t="str">
        <f aca="false">IF((E67="m"),G67," ")</f>
        <v> </v>
      </c>
      <c r="Q67" s="334" t="str">
        <f aca="false">IF((E67="t"),G67," ")</f>
        <v> </v>
      </c>
      <c r="R67" s="334" t="str">
        <f aca="false">IF((E67="a"),G67," ")</f>
        <v> </v>
      </c>
      <c r="S67" s="334" t="str">
        <f aca="false">IF((E67="l"),G67," ")</f>
        <v> </v>
      </c>
      <c r="T67" s="334" t="str">
        <f aca="false">IF((E67="b"),G67," ")</f>
        <v> </v>
      </c>
      <c r="U67" s="334" t="str">
        <f aca="false">IF((E67="i"),G67," ")</f>
        <v> </v>
      </c>
      <c r="V67" s="334" t="str">
        <f aca="false">IF((E67="o"),G67," ")</f>
        <v> </v>
      </c>
      <c r="W67" s="334" t="str">
        <f aca="false">IF((E67="f"),G67," ")</f>
        <v> </v>
      </c>
    </row>
    <row r="68" customFormat="false" ht="12.75" hidden="false" customHeight="false" outlineLevel="0" collapsed="false">
      <c r="A68" s="355"/>
      <c r="H68" s="338" t="str">
        <f aca="false">IF((G68&lt;&gt;0),IF((D68&gt;0)," ",G68)," ")</f>
        <v> </v>
      </c>
      <c r="I68" s="367" t="str">
        <f aca="false">IF((G68&lt;&gt;0),IF((D68&gt;0)," ",(I$1-A68))," ")</f>
        <v> </v>
      </c>
      <c r="J68" s="334" t="str">
        <f aca="false">IF((E68="s"),G68," ")</f>
        <v> </v>
      </c>
      <c r="K68" s="334" t="str">
        <f aca="false">IF((E68="d"),G68," ")</f>
        <v> </v>
      </c>
      <c r="L68" s="334" t="str">
        <f aca="false">IF((E68="e"),G68," ")</f>
        <v> </v>
      </c>
      <c r="M68" s="334" t="str">
        <f aca="false">IF((E68="p"),G68," ")</f>
        <v> </v>
      </c>
      <c r="N68" s="334" t="str">
        <f aca="false">IF((E68="r"),G68," ")</f>
        <v> </v>
      </c>
      <c r="O68" s="334" t="str">
        <f aca="false">IF((E68="g"),G68," ")</f>
        <v> </v>
      </c>
      <c r="P68" s="334" t="str">
        <f aca="false">IF((E68="m"),G68," ")</f>
        <v> </v>
      </c>
      <c r="Q68" s="334" t="str">
        <f aca="false">IF((E68="t"),G68," ")</f>
        <v> </v>
      </c>
      <c r="R68" s="334" t="str">
        <f aca="false">IF((E68="a"),G68," ")</f>
        <v> </v>
      </c>
      <c r="S68" s="334" t="str">
        <f aca="false">IF((E68="l"),G68," ")</f>
        <v> </v>
      </c>
      <c r="T68" s="334" t="str">
        <f aca="false">IF((E68="b"),G68," ")</f>
        <v> </v>
      </c>
      <c r="U68" s="334" t="str">
        <f aca="false">IF((E68="i"),G68," ")</f>
        <v> </v>
      </c>
      <c r="V68" s="334" t="str">
        <f aca="false">IF((E68="o"),G68," ")</f>
        <v> </v>
      </c>
      <c r="W68" s="334" t="str">
        <f aca="false">IF((E68="f"),G68," ")</f>
        <v> </v>
      </c>
    </row>
    <row r="69" customFormat="false" ht="12.75" hidden="false" customHeight="false" outlineLevel="0" collapsed="false">
      <c r="A69" s="355"/>
      <c r="E69" s="365" t="str">
        <f aca="false">IF((G69&lt;&gt;0),"Enter Letter"," ")</f>
        <v> </v>
      </c>
      <c r="H69" s="338" t="str">
        <f aca="false">IF((G69&lt;&gt;0),IF((D69&gt;0)," ",G69)," ")</f>
        <v> </v>
      </c>
      <c r="I69" s="367" t="str">
        <f aca="false">IF((G69&lt;&gt;0),IF((D69&gt;0)," ",(I$1-A69))," ")</f>
        <v> </v>
      </c>
      <c r="J69" s="334" t="str">
        <f aca="false">IF((E69="s"),G69," ")</f>
        <v> </v>
      </c>
      <c r="K69" s="334" t="str">
        <f aca="false">IF((E69="d"),G69," ")</f>
        <v> </v>
      </c>
      <c r="L69" s="334" t="str">
        <f aca="false">IF((E69="e"),G69," ")</f>
        <v> </v>
      </c>
      <c r="M69" s="334" t="str">
        <f aca="false">IF((E69="p"),G69," ")</f>
        <v> </v>
      </c>
      <c r="N69" s="334" t="str">
        <f aca="false">IF((E69="r"),G69," ")</f>
        <v> </v>
      </c>
      <c r="O69" s="334" t="str">
        <f aca="false">IF((E69="g"),G69," ")</f>
        <v> </v>
      </c>
      <c r="P69" s="334" t="str">
        <f aca="false">IF((E69="m"),G69," ")</f>
        <v> </v>
      </c>
      <c r="Q69" s="334" t="str">
        <f aca="false">IF((E69="t"),G69," ")</f>
        <v> </v>
      </c>
      <c r="R69" s="334" t="str">
        <f aca="false">IF((E69="a"),G69," ")</f>
        <v> </v>
      </c>
      <c r="S69" s="334" t="str">
        <f aca="false">IF((E69="l"),G69," ")</f>
        <v> </v>
      </c>
      <c r="T69" s="334" t="str">
        <f aca="false">IF((E69="b"),G69," ")</f>
        <v> </v>
      </c>
      <c r="U69" s="334" t="str">
        <f aca="false">IF((E69="i"),G69," ")</f>
        <v> </v>
      </c>
      <c r="V69" s="334" t="str">
        <f aca="false">IF((E69="o"),G69," ")</f>
        <v> </v>
      </c>
      <c r="W69" s="334" t="str">
        <f aca="false">IF((E69="f"),G69," ")</f>
        <v> </v>
      </c>
    </row>
    <row r="70" customFormat="false" ht="12.75" hidden="false" customHeight="false" outlineLevel="0" collapsed="false">
      <c r="A70" s="355"/>
      <c r="E70" s="365" t="str">
        <f aca="false">IF((G70&lt;&gt;0),"Enter Letter"," ")</f>
        <v> </v>
      </c>
      <c r="H70" s="338" t="str">
        <f aca="false">IF((G70&lt;&gt;0),IF((D70&gt;0)," ",G70)," ")</f>
        <v> </v>
      </c>
      <c r="I70" s="367" t="str">
        <f aca="false">IF((G70&lt;&gt;0),IF((D70&gt;0)," ",(I$1-A70))," ")</f>
        <v> </v>
      </c>
      <c r="J70" s="334" t="str">
        <f aca="false">IF((E70="s"),G70," ")</f>
        <v> </v>
      </c>
      <c r="K70" s="334" t="str">
        <f aca="false">IF((E70="d"),G70," ")</f>
        <v> </v>
      </c>
      <c r="L70" s="334" t="str">
        <f aca="false">IF((E70="e"),G70," ")</f>
        <v> </v>
      </c>
      <c r="M70" s="334" t="str">
        <f aca="false">IF((E70="p"),G70," ")</f>
        <v> </v>
      </c>
      <c r="N70" s="334" t="str">
        <f aca="false">IF((E70="r"),G70," ")</f>
        <v> </v>
      </c>
      <c r="O70" s="334" t="str">
        <f aca="false">IF((E70="g"),G70," ")</f>
        <v> </v>
      </c>
      <c r="P70" s="334" t="str">
        <f aca="false">IF((E70="m"),G70," ")</f>
        <v> </v>
      </c>
      <c r="Q70" s="334" t="str">
        <f aca="false">IF((E70="t"),G70," ")</f>
        <v> </v>
      </c>
      <c r="R70" s="334" t="str">
        <f aca="false">IF((E70="a"),G70," ")</f>
        <v> </v>
      </c>
      <c r="S70" s="334" t="str">
        <f aca="false">IF((E70="l"),G70," ")</f>
        <v> </v>
      </c>
      <c r="T70" s="334" t="str">
        <f aca="false">IF((E70="b"),G70," ")</f>
        <v> </v>
      </c>
      <c r="U70" s="334" t="str">
        <f aca="false">IF((E70="i"),G70," ")</f>
        <v> </v>
      </c>
      <c r="V70" s="334" t="str">
        <f aca="false">IF((E70="o"),G70," ")</f>
        <v> </v>
      </c>
      <c r="W70" s="334" t="str">
        <f aca="false">IF((E70="f"),G70," ")</f>
        <v> </v>
      </c>
    </row>
    <row r="71" customFormat="false" ht="12.75" hidden="false" customHeight="false" outlineLevel="0" collapsed="false">
      <c r="A71" s="355"/>
      <c r="E71" s="365" t="str">
        <f aca="false">IF((G71&lt;&gt;0),"Enter Letter"," ")</f>
        <v> </v>
      </c>
      <c r="H71" s="338" t="str">
        <f aca="false">IF((G71&lt;&gt;0),IF((D71&gt;0)," ",G71)," ")</f>
        <v> </v>
      </c>
      <c r="I71" s="367" t="str">
        <f aca="false">IF((G71&lt;&gt;0),IF((D71&gt;0)," ",(I$1-A71))," ")</f>
        <v> </v>
      </c>
      <c r="J71" s="334" t="str">
        <f aca="false">IF((E71="s"),G71," ")</f>
        <v> </v>
      </c>
      <c r="K71" s="334" t="str">
        <f aca="false">IF((E71="d"),G71," ")</f>
        <v> </v>
      </c>
      <c r="L71" s="334" t="str">
        <f aca="false">IF((E71="e"),G71," ")</f>
        <v> </v>
      </c>
      <c r="M71" s="334" t="str">
        <f aca="false">IF((E71="p"),G71," ")</f>
        <v> </v>
      </c>
      <c r="N71" s="334" t="str">
        <f aca="false">IF((E71="r"),G71," ")</f>
        <v> </v>
      </c>
      <c r="O71" s="334" t="str">
        <f aca="false">IF((E71="g"),G71," ")</f>
        <v> </v>
      </c>
      <c r="P71" s="334" t="str">
        <f aca="false">IF((E71="m"),G71," ")</f>
        <v> </v>
      </c>
      <c r="Q71" s="334" t="str">
        <f aca="false">IF((E71="t"),G71," ")</f>
        <v> </v>
      </c>
      <c r="R71" s="334" t="str">
        <f aca="false">IF((E71="a"),G71," ")</f>
        <v> </v>
      </c>
      <c r="S71" s="334" t="str">
        <f aca="false">IF((E71="l"),G71," ")</f>
        <v> </v>
      </c>
      <c r="T71" s="334" t="str">
        <f aca="false">IF((E71="b"),G71," ")</f>
        <v> </v>
      </c>
      <c r="U71" s="334" t="str">
        <f aca="false">IF((E71="i"),G71," ")</f>
        <v> </v>
      </c>
      <c r="V71" s="334" t="str">
        <f aca="false">IF((E71="o"),G71," ")</f>
        <v> </v>
      </c>
      <c r="W71" s="334" t="str">
        <f aca="false">IF((E71="f"),G71," ")</f>
        <v> </v>
      </c>
    </row>
    <row r="72" customFormat="false" ht="12.75" hidden="false" customHeight="false" outlineLevel="0" collapsed="false">
      <c r="A72" s="355"/>
      <c r="E72" s="365" t="str">
        <f aca="false">IF((G72&lt;&gt;0),"Enter Letter"," ")</f>
        <v> </v>
      </c>
      <c r="H72" s="338" t="str">
        <f aca="false">IF((G72&lt;&gt;0),IF((D72&gt;0)," ",G72)," ")</f>
        <v> </v>
      </c>
      <c r="I72" s="367" t="str">
        <f aca="false">IF((G72&lt;&gt;0),IF((D72&gt;0)," ",(I$1-A72))," ")</f>
        <v> </v>
      </c>
      <c r="J72" s="334" t="str">
        <f aca="false">IF((E72="s"),G72," ")</f>
        <v> </v>
      </c>
      <c r="K72" s="334" t="str">
        <f aca="false">IF((E72="d"),G72," ")</f>
        <v> </v>
      </c>
      <c r="L72" s="334" t="str">
        <f aca="false">IF((E72="e"),G72," ")</f>
        <v> </v>
      </c>
      <c r="M72" s="334" t="str">
        <f aca="false">IF((E72="p"),G72," ")</f>
        <v> </v>
      </c>
      <c r="N72" s="334" t="str">
        <f aca="false">IF((E72="r"),G72," ")</f>
        <v> </v>
      </c>
      <c r="O72" s="334" t="str">
        <f aca="false">IF((E72="g"),G72," ")</f>
        <v> </v>
      </c>
      <c r="P72" s="334" t="str">
        <f aca="false">IF((E72="m"),G72," ")</f>
        <v> </v>
      </c>
      <c r="Q72" s="334" t="str">
        <f aca="false">IF((E72="t"),G72," ")</f>
        <v> </v>
      </c>
      <c r="R72" s="334" t="str">
        <f aca="false">IF((E72="a"),G72," ")</f>
        <v> </v>
      </c>
      <c r="S72" s="334" t="str">
        <f aca="false">IF((E72="l"),G72," ")</f>
        <v> </v>
      </c>
      <c r="T72" s="334" t="str">
        <f aca="false">IF((E72="b"),G72," ")</f>
        <v> </v>
      </c>
      <c r="U72" s="334" t="str">
        <f aca="false">IF((E72="i"),G72," ")</f>
        <v> </v>
      </c>
      <c r="V72" s="334" t="str">
        <f aca="false">IF((E72="o"),G72," ")</f>
        <v> </v>
      </c>
      <c r="W72" s="334" t="str">
        <f aca="false">IF((E72="f"),G72," ")</f>
        <v> </v>
      </c>
    </row>
    <row r="73" customFormat="false" ht="12.75" hidden="false" customHeight="false" outlineLevel="0" collapsed="false">
      <c r="A73" s="355"/>
      <c r="E73" s="365" t="str">
        <f aca="false">IF((G73&lt;&gt;0),"Enter Letter"," ")</f>
        <v> </v>
      </c>
      <c r="H73" s="338" t="str">
        <f aca="false">IF((G73&lt;&gt;0),IF((D73&gt;0)," ",G73)," ")</f>
        <v> </v>
      </c>
      <c r="I73" s="367" t="str">
        <f aca="false">IF((G73&lt;&gt;0),IF((D73&gt;0)," ",(I$1-A73))," ")</f>
        <v> </v>
      </c>
      <c r="J73" s="334" t="str">
        <f aca="false">IF((E73="s"),G73," ")</f>
        <v> </v>
      </c>
      <c r="K73" s="334" t="str">
        <f aca="false">IF((E73="d"),G73," ")</f>
        <v> </v>
      </c>
      <c r="L73" s="334" t="str">
        <f aca="false">IF((E73="e"),G73," ")</f>
        <v> </v>
      </c>
      <c r="M73" s="334" t="str">
        <f aca="false">IF((E73="p"),G73," ")</f>
        <v> </v>
      </c>
      <c r="N73" s="334" t="str">
        <f aca="false">IF((E73="r"),G73," ")</f>
        <v> </v>
      </c>
      <c r="O73" s="334" t="str">
        <f aca="false">IF((E73="g"),G73," ")</f>
        <v> </v>
      </c>
      <c r="P73" s="334" t="str">
        <f aca="false">IF((E73="m"),G73," ")</f>
        <v> </v>
      </c>
      <c r="Q73" s="334" t="str">
        <f aca="false">IF((E73="t"),G73," ")</f>
        <v> </v>
      </c>
      <c r="R73" s="334" t="str">
        <f aca="false">IF((E73="a"),G73," ")</f>
        <v> </v>
      </c>
      <c r="S73" s="334" t="str">
        <f aca="false">IF((E73="l"),G73," ")</f>
        <v> </v>
      </c>
      <c r="T73" s="334" t="str">
        <f aca="false">IF((E73="b"),G73," ")</f>
        <v> </v>
      </c>
      <c r="U73" s="334" t="str">
        <f aca="false">IF((E73="i"),G73," ")</f>
        <v> </v>
      </c>
      <c r="V73" s="334" t="str">
        <f aca="false">IF((E73="o"),G73," ")</f>
        <v> </v>
      </c>
      <c r="W73" s="334" t="str">
        <f aca="false">IF((E73="f"),G73," ")</f>
        <v> </v>
      </c>
    </row>
    <row r="74" customFormat="false" ht="12.75" hidden="false" customHeight="false" outlineLevel="0" collapsed="false">
      <c r="A74" s="355"/>
      <c r="E74" s="365" t="str">
        <f aca="false">IF((G74&lt;&gt;0),"Enter Letter"," ")</f>
        <v> </v>
      </c>
      <c r="H74" s="338" t="str">
        <f aca="false">IF((G74&lt;&gt;0),IF((D74&gt;0)," ",G74)," ")</f>
        <v> </v>
      </c>
      <c r="I74" s="367" t="str">
        <f aca="false">IF((G74&lt;&gt;0),IF((D74&gt;0)," ",(I$1-A74))," ")</f>
        <v> </v>
      </c>
      <c r="J74" s="334" t="str">
        <f aca="false">IF((E74="s"),G74," ")</f>
        <v> </v>
      </c>
      <c r="K74" s="334" t="str">
        <f aca="false">IF((E74="d"),G74," ")</f>
        <v> </v>
      </c>
      <c r="L74" s="334" t="str">
        <f aca="false">IF((E74="e"),G74," ")</f>
        <v> </v>
      </c>
      <c r="M74" s="334" t="str">
        <f aca="false">IF((E74="p"),G74," ")</f>
        <v> </v>
      </c>
      <c r="N74" s="334" t="str">
        <f aca="false">IF((E74="r"),G74," ")</f>
        <v> </v>
      </c>
      <c r="O74" s="334" t="str">
        <f aca="false">IF((E74="g"),G74," ")</f>
        <v> </v>
      </c>
      <c r="P74" s="334" t="str">
        <f aca="false">IF((E74="m"),G74," ")</f>
        <v> </v>
      </c>
      <c r="Q74" s="334" t="str">
        <f aca="false">IF((E74="t"),G74," ")</f>
        <v> </v>
      </c>
      <c r="R74" s="334" t="str">
        <f aca="false">IF((E74="a"),G74," ")</f>
        <v> </v>
      </c>
      <c r="S74" s="334" t="str">
        <f aca="false">IF((E74="l"),G74," ")</f>
        <v> </v>
      </c>
      <c r="T74" s="334" t="str">
        <f aca="false">IF((E74="b"),G74," ")</f>
        <v> </v>
      </c>
      <c r="U74" s="334" t="str">
        <f aca="false">IF((E74="i"),G74," ")</f>
        <v> </v>
      </c>
      <c r="V74" s="334" t="str">
        <f aca="false">IF((E74="o"),G74," ")</f>
        <v> </v>
      </c>
      <c r="W74" s="334" t="str">
        <f aca="false">IF((E74="f"),G74," ")</f>
        <v> </v>
      </c>
    </row>
    <row r="75" customFormat="false" ht="12.75" hidden="false" customHeight="false" outlineLevel="0" collapsed="false">
      <c r="A75" s="355"/>
      <c r="E75" s="365" t="str">
        <f aca="false">IF((G75&lt;&gt;0),"Enter Letter"," ")</f>
        <v> </v>
      </c>
      <c r="H75" s="338" t="str">
        <f aca="false">IF((G75&lt;&gt;0),IF((D75&gt;0)," ",G75)," ")</f>
        <v> </v>
      </c>
      <c r="I75" s="367" t="str">
        <f aca="false">IF((G75&lt;&gt;0),IF((D75&gt;0)," ",(I$1-A75))," ")</f>
        <v> </v>
      </c>
      <c r="J75" s="334" t="str">
        <f aca="false">IF((E75="s"),G75," ")</f>
        <v> </v>
      </c>
      <c r="K75" s="334" t="str">
        <f aca="false">IF((E75="d"),G75," ")</f>
        <v> </v>
      </c>
      <c r="L75" s="334" t="str">
        <f aca="false">IF((E75="e"),G75," ")</f>
        <v> </v>
      </c>
      <c r="M75" s="334" t="str">
        <f aca="false">IF((E75="p"),G75," ")</f>
        <v> </v>
      </c>
      <c r="N75" s="334" t="str">
        <f aca="false">IF((E75="r"),G75," ")</f>
        <v> </v>
      </c>
      <c r="O75" s="334" t="str">
        <f aca="false">IF((E75="g"),G75," ")</f>
        <v> </v>
      </c>
      <c r="P75" s="334" t="str">
        <f aca="false">IF((E75="m"),G75," ")</f>
        <v> </v>
      </c>
      <c r="Q75" s="334" t="str">
        <f aca="false">IF((E75="t"),G75," ")</f>
        <v> </v>
      </c>
      <c r="R75" s="334" t="str">
        <f aca="false">IF((E75="a"),G75," ")</f>
        <v> </v>
      </c>
      <c r="S75" s="334" t="str">
        <f aca="false">IF((E75="l"),G75," ")</f>
        <v> </v>
      </c>
      <c r="T75" s="334" t="str">
        <f aca="false">IF((E75="b"),G75," ")</f>
        <v> </v>
      </c>
      <c r="U75" s="334" t="str">
        <f aca="false">IF((E75="i"),G75," ")</f>
        <v> </v>
      </c>
      <c r="V75" s="334" t="str">
        <f aca="false">IF((E75="o"),G75," ")</f>
        <v> </v>
      </c>
      <c r="W75" s="334" t="str">
        <f aca="false">IF((E75="f"),G75," ")</f>
        <v> </v>
      </c>
    </row>
    <row r="76" customFormat="false" ht="12.75" hidden="false" customHeight="false" outlineLevel="0" collapsed="false">
      <c r="A76" s="355"/>
      <c r="E76" s="365" t="str">
        <f aca="false">IF((G76&lt;&gt;0),"Enter Letter"," ")</f>
        <v> </v>
      </c>
      <c r="H76" s="338" t="str">
        <f aca="false">IF((G76&lt;&gt;0),IF((D76&gt;0)," ",G76)," ")</f>
        <v> </v>
      </c>
      <c r="I76" s="367" t="str">
        <f aca="false">IF((G76&lt;&gt;0),IF((D76&gt;0)," ",(I$1-A76))," ")</f>
        <v> </v>
      </c>
      <c r="J76" s="334" t="str">
        <f aca="false">IF((E76="s"),G76," ")</f>
        <v> </v>
      </c>
      <c r="K76" s="334" t="str">
        <f aca="false">IF((E76="d"),G76," ")</f>
        <v> </v>
      </c>
      <c r="L76" s="334" t="str">
        <f aca="false">IF((E76="e"),G76," ")</f>
        <v> </v>
      </c>
      <c r="M76" s="334" t="str">
        <f aca="false">IF((E76="p"),G76," ")</f>
        <v> </v>
      </c>
      <c r="N76" s="334" t="str">
        <f aca="false">IF((E76="r"),G76," ")</f>
        <v> </v>
      </c>
      <c r="O76" s="334" t="str">
        <f aca="false">IF((E76="g"),G76," ")</f>
        <v> </v>
      </c>
      <c r="P76" s="334" t="str">
        <f aca="false">IF((E76="m"),G76," ")</f>
        <v> </v>
      </c>
      <c r="Q76" s="334" t="str">
        <f aca="false">IF((E76="t"),G76," ")</f>
        <v> </v>
      </c>
      <c r="R76" s="334" t="str">
        <f aca="false">IF((E76="a"),G76," ")</f>
        <v> </v>
      </c>
      <c r="S76" s="334" t="str">
        <f aca="false">IF((E76="l"),G76," ")</f>
        <v> </v>
      </c>
      <c r="T76" s="334" t="str">
        <f aca="false">IF((E76="b"),G76," ")</f>
        <v> </v>
      </c>
      <c r="U76" s="334" t="str">
        <f aca="false">IF((E76="i"),G76," ")</f>
        <v> </v>
      </c>
      <c r="V76" s="334" t="str">
        <f aca="false">IF((E76="o"),G76," ")</f>
        <v> </v>
      </c>
      <c r="W76" s="334" t="str">
        <f aca="false">IF((E76="f"),G76," ")</f>
        <v> </v>
      </c>
    </row>
    <row r="77" customFormat="false" ht="12.75" hidden="false" customHeight="false" outlineLevel="0" collapsed="false">
      <c r="A77" s="355"/>
      <c r="E77" s="365" t="str">
        <f aca="false">IF((G77&lt;&gt;0),"Enter Letter"," ")</f>
        <v> </v>
      </c>
      <c r="H77" s="338" t="str">
        <f aca="false">IF((G77&lt;&gt;0),IF((D77&gt;0)," ",G77)," ")</f>
        <v> </v>
      </c>
      <c r="I77" s="367" t="str">
        <f aca="false">IF((G77&lt;&gt;0),IF((D77&gt;0)," ",(I$1-A77))," ")</f>
        <v> </v>
      </c>
      <c r="J77" s="334" t="str">
        <f aca="false">IF((E77="s"),G77," ")</f>
        <v> </v>
      </c>
      <c r="K77" s="334" t="str">
        <f aca="false">IF((E77="d"),G77," ")</f>
        <v> </v>
      </c>
      <c r="L77" s="334" t="str">
        <f aca="false">IF((E77="e"),G77," ")</f>
        <v> </v>
      </c>
      <c r="M77" s="334" t="str">
        <f aca="false">IF((E77="p"),G77," ")</f>
        <v> </v>
      </c>
      <c r="N77" s="334" t="str">
        <f aca="false">IF((E77="r"),G77," ")</f>
        <v> </v>
      </c>
      <c r="O77" s="334" t="str">
        <f aca="false">IF((E77="g"),G77," ")</f>
        <v> </v>
      </c>
      <c r="P77" s="334" t="str">
        <f aca="false">IF((E77="m"),G77," ")</f>
        <v> </v>
      </c>
      <c r="Q77" s="334" t="str">
        <f aca="false">IF((E77="t"),G77," ")</f>
        <v> </v>
      </c>
      <c r="R77" s="334" t="str">
        <f aca="false">IF((E77="a"),G77," ")</f>
        <v> </v>
      </c>
      <c r="S77" s="334" t="str">
        <f aca="false">IF((E77="l"),G77," ")</f>
        <v> </v>
      </c>
      <c r="T77" s="334" t="str">
        <f aca="false">IF((E77="b"),G77," ")</f>
        <v> </v>
      </c>
      <c r="U77" s="334" t="str">
        <f aca="false">IF((E77="i"),G77," ")</f>
        <v> </v>
      </c>
      <c r="V77" s="334" t="str">
        <f aca="false">IF((E77="o"),G77," ")</f>
        <v> </v>
      </c>
      <c r="W77" s="334" t="str">
        <f aca="false">IF((E77="f"),G77," ")</f>
        <v> </v>
      </c>
    </row>
    <row r="78" customFormat="false" ht="12.75" hidden="false" customHeight="false" outlineLevel="0" collapsed="false">
      <c r="A78" s="355"/>
      <c r="E78" s="365" t="str">
        <f aca="false">IF((G78&lt;&gt;0),"Enter Letter"," ")</f>
        <v> </v>
      </c>
      <c r="H78" s="338" t="str">
        <f aca="false">IF((G78&lt;&gt;0),IF((D78&gt;0)," ",G78)," ")</f>
        <v> </v>
      </c>
      <c r="I78" s="367" t="str">
        <f aca="false">IF((G78&lt;&gt;0),IF((D78&gt;0)," ",(I$1-A78))," ")</f>
        <v> </v>
      </c>
      <c r="J78" s="334" t="str">
        <f aca="false">IF((E78="s"),G78," ")</f>
        <v> </v>
      </c>
      <c r="K78" s="334" t="str">
        <f aca="false">IF((E78="d"),G78," ")</f>
        <v> </v>
      </c>
      <c r="L78" s="334" t="str">
        <f aca="false">IF((E78="e"),G78," ")</f>
        <v> </v>
      </c>
      <c r="M78" s="334" t="str">
        <f aca="false">IF((E78="p"),G78," ")</f>
        <v> </v>
      </c>
      <c r="N78" s="334" t="str">
        <f aca="false">IF((E78="r"),G78," ")</f>
        <v> </v>
      </c>
      <c r="O78" s="334" t="str">
        <f aca="false">IF((E78="g"),G78," ")</f>
        <v> </v>
      </c>
      <c r="P78" s="334" t="str">
        <f aca="false">IF((E78="m"),G78," ")</f>
        <v> </v>
      </c>
      <c r="Q78" s="334" t="str">
        <f aca="false">IF((E78="t"),G78," ")</f>
        <v> </v>
      </c>
      <c r="R78" s="334" t="str">
        <f aca="false">IF((E78="a"),G78," ")</f>
        <v> </v>
      </c>
      <c r="S78" s="334" t="str">
        <f aca="false">IF((E78="l"),G78," ")</f>
        <v> </v>
      </c>
      <c r="T78" s="334" t="str">
        <f aca="false">IF((E78="b"),G78," ")</f>
        <v> </v>
      </c>
      <c r="U78" s="334" t="str">
        <f aca="false">IF((E78="i"),G78," ")</f>
        <v> </v>
      </c>
      <c r="V78" s="334" t="str">
        <f aca="false">IF((E78="o"),G78," ")</f>
        <v> </v>
      </c>
      <c r="W78" s="334" t="str">
        <f aca="false">IF((E78="f"),G78," ")</f>
        <v> </v>
      </c>
    </row>
    <row r="79" customFormat="false" ht="12.75" hidden="false" customHeight="false" outlineLevel="0" collapsed="false">
      <c r="A79" s="355"/>
      <c r="E79" s="365" t="str">
        <f aca="false">IF((G79&lt;&gt;0),"Enter Letter"," ")</f>
        <v> </v>
      </c>
      <c r="H79" s="338" t="str">
        <f aca="false">IF((G79&lt;&gt;0),IF((D79&gt;0)," ",G79)," ")</f>
        <v> </v>
      </c>
      <c r="I79" s="367" t="str">
        <f aca="false">IF((G79&lt;&gt;0),IF((D79&gt;0)," ",(I$1-A79))," ")</f>
        <v> </v>
      </c>
      <c r="J79" s="334" t="str">
        <f aca="false">IF((E79="s"),G79," ")</f>
        <v> </v>
      </c>
      <c r="K79" s="334" t="str">
        <f aca="false">IF((E79="d"),G79," ")</f>
        <v> </v>
      </c>
      <c r="L79" s="334" t="str">
        <f aca="false">IF((E79="e"),G79," ")</f>
        <v> </v>
      </c>
      <c r="M79" s="334" t="str">
        <f aca="false">IF((E79="p"),G79," ")</f>
        <v> </v>
      </c>
      <c r="N79" s="334" t="str">
        <f aca="false">IF((E79="r"),G79," ")</f>
        <v> </v>
      </c>
      <c r="O79" s="334" t="str">
        <f aca="false">IF((E79="g"),G79," ")</f>
        <v> </v>
      </c>
      <c r="P79" s="334" t="str">
        <f aca="false">IF((E79="m"),G79," ")</f>
        <v> </v>
      </c>
      <c r="Q79" s="334" t="str">
        <f aca="false">IF((E79="t"),G79," ")</f>
        <v> </v>
      </c>
      <c r="R79" s="334" t="str">
        <f aca="false">IF((E79="a"),G79," ")</f>
        <v> </v>
      </c>
      <c r="S79" s="334" t="str">
        <f aca="false">IF((E79="l"),G79," ")</f>
        <v> </v>
      </c>
      <c r="T79" s="334" t="str">
        <f aca="false">IF((E79="b"),G79," ")</f>
        <v> </v>
      </c>
      <c r="U79" s="334" t="str">
        <f aca="false">IF((E79="i"),G79," ")</f>
        <v> </v>
      </c>
      <c r="V79" s="334" t="str">
        <f aca="false">IF((E79="o"),G79," ")</f>
        <v> </v>
      </c>
      <c r="W79" s="334" t="str">
        <f aca="false">IF((E79="f"),G79," ")</f>
        <v> </v>
      </c>
    </row>
    <row r="80" customFormat="false" ht="12.75" hidden="false" customHeight="false" outlineLevel="0" collapsed="false">
      <c r="A80" s="355"/>
      <c r="E80" s="365" t="str">
        <f aca="false">IF((G80&lt;&gt;0),"Enter Letter"," ")</f>
        <v> </v>
      </c>
      <c r="H80" s="338" t="str">
        <f aca="false">IF((G80&lt;&gt;0),IF((D80&gt;0)," ",G80)," ")</f>
        <v> </v>
      </c>
      <c r="I80" s="367" t="str">
        <f aca="false">IF((G80&lt;&gt;0),IF((D80&gt;0)," ",(I$1-A80))," ")</f>
        <v> </v>
      </c>
      <c r="J80" s="334" t="str">
        <f aca="false">IF((E80="s"),G80," ")</f>
        <v> </v>
      </c>
      <c r="K80" s="334" t="str">
        <f aca="false">IF((E80="d"),G80," ")</f>
        <v> </v>
      </c>
      <c r="L80" s="334" t="str">
        <f aca="false">IF((E80="e"),G80," ")</f>
        <v> </v>
      </c>
      <c r="M80" s="334" t="str">
        <f aca="false">IF((E80="p"),G80," ")</f>
        <v> </v>
      </c>
      <c r="N80" s="334" t="str">
        <f aca="false">IF((E80="r"),G80," ")</f>
        <v> </v>
      </c>
      <c r="O80" s="334" t="str">
        <f aca="false">IF((E80="g"),G80," ")</f>
        <v> </v>
      </c>
      <c r="P80" s="334" t="str">
        <f aca="false">IF((E80="m"),G80," ")</f>
        <v> </v>
      </c>
      <c r="Q80" s="334" t="str">
        <f aca="false">IF((E80="t"),G80," ")</f>
        <v> </v>
      </c>
      <c r="R80" s="334" t="str">
        <f aca="false">IF((E80="a"),G80," ")</f>
        <v> </v>
      </c>
      <c r="S80" s="334" t="str">
        <f aca="false">IF((E80="l"),G80," ")</f>
        <v> </v>
      </c>
      <c r="T80" s="334" t="str">
        <f aca="false">IF((E80="b"),G80," ")</f>
        <v> </v>
      </c>
      <c r="U80" s="334" t="str">
        <f aca="false">IF((E80="i"),G80," ")</f>
        <v> </v>
      </c>
      <c r="V80" s="334" t="str">
        <f aca="false">IF((E80="o"),G80," ")</f>
        <v> </v>
      </c>
      <c r="W80" s="334" t="str">
        <f aca="false">IF((E80="f"),G80," ")</f>
        <v> </v>
      </c>
    </row>
    <row r="81" customFormat="false" ht="12.75" hidden="false" customHeight="false" outlineLevel="0" collapsed="false">
      <c r="A81" s="355"/>
      <c r="E81" s="365" t="str">
        <f aca="false">IF((G81&lt;&gt;0),"Enter Letter"," ")</f>
        <v> </v>
      </c>
      <c r="H81" s="338" t="str">
        <f aca="false">IF((G81&lt;&gt;0),IF((D81&gt;0)," ",G81)," ")</f>
        <v> </v>
      </c>
      <c r="I81" s="367" t="str">
        <f aca="false">IF((G81&lt;&gt;0),IF((D81&gt;0)," ",(I$1-A81))," ")</f>
        <v> </v>
      </c>
      <c r="J81" s="334" t="str">
        <f aca="false">IF((E81="s"),G81," ")</f>
        <v> </v>
      </c>
      <c r="K81" s="334" t="str">
        <f aca="false">IF((E81="d"),G81," ")</f>
        <v> </v>
      </c>
      <c r="L81" s="334" t="str">
        <f aca="false">IF((E81="e"),G81," ")</f>
        <v> </v>
      </c>
      <c r="M81" s="334" t="str">
        <f aca="false">IF((E81="p"),G81," ")</f>
        <v> </v>
      </c>
      <c r="N81" s="334" t="str">
        <f aca="false">IF((E81="r"),G81," ")</f>
        <v> </v>
      </c>
      <c r="O81" s="334" t="str">
        <f aca="false">IF((E81="g"),G81," ")</f>
        <v> </v>
      </c>
      <c r="P81" s="334" t="str">
        <f aca="false">IF((E81="m"),G81," ")</f>
        <v> </v>
      </c>
      <c r="Q81" s="334" t="str">
        <f aca="false">IF((E81="t"),G81," ")</f>
        <v> </v>
      </c>
      <c r="R81" s="334" t="str">
        <f aca="false">IF((E81="a"),G81," ")</f>
        <v> </v>
      </c>
      <c r="S81" s="334" t="str">
        <f aca="false">IF((E81="l"),G81," ")</f>
        <v> </v>
      </c>
      <c r="T81" s="334" t="str">
        <f aca="false">IF((E81="b"),G81," ")</f>
        <v> </v>
      </c>
      <c r="U81" s="334" t="str">
        <f aca="false">IF((E81="i"),G81," ")</f>
        <v> </v>
      </c>
      <c r="V81" s="334" t="str">
        <f aca="false">IF((E81="o"),G81," ")</f>
        <v> </v>
      </c>
      <c r="W81" s="334" t="str">
        <f aca="false">IF((E81="f"),G81," ")</f>
        <v> </v>
      </c>
    </row>
    <row r="82" customFormat="false" ht="12.75" hidden="false" customHeight="false" outlineLevel="0" collapsed="false">
      <c r="A82" s="355"/>
      <c r="E82" s="365" t="str">
        <f aca="false">IF((G82&lt;&gt;0),"Enter Letter"," ")</f>
        <v> </v>
      </c>
      <c r="H82" s="338" t="str">
        <f aca="false">IF((G82&lt;&gt;0),IF((D82&gt;0)," ",G82)," ")</f>
        <v> </v>
      </c>
      <c r="I82" s="367" t="str">
        <f aca="false">IF((G82&lt;&gt;0),IF((D82&gt;0)," ",(I$1-A82))," ")</f>
        <v> </v>
      </c>
      <c r="J82" s="334" t="str">
        <f aca="false">IF((E82="s"),G82," ")</f>
        <v> </v>
      </c>
      <c r="K82" s="334" t="str">
        <f aca="false">IF((E82="d"),G82," ")</f>
        <v> </v>
      </c>
      <c r="L82" s="334" t="str">
        <f aca="false">IF((E82="e"),G82," ")</f>
        <v> </v>
      </c>
      <c r="M82" s="334" t="str">
        <f aca="false">IF((E82="p"),G82," ")</f>
        <v> </v>
      </c>
      <c r="N82" s="334" t="str">
        <f aca="false">IF((E82="r"),G82," ")</f>
        <v> </v>
      </c>
      <c r="O82" s="334" t="str">
        <f aca="false">IF((E82="g"),G82," ")</f>
        <v> </v>
      </c>
      <c r="P82" s="334" t="str">
        <f aca="false">IF((E82="m"),G82," ")</f>
        <v> </v>
      </c>
      <c r="Q82" s="334" t="str">
        <f aca="false">IF((E82="t"),G82," ")</f>
        <v> </v>
      </c>
      <c r="R82" s="334" t="str">
        <f aca="false">IF((E82="a"),G82," ")</f>
        <v> </v>
      </c>
      <c r="S82" s="334" t="str">
        <f aca="false">IF((E82="l"),G82," ")</f>
        <v> </v>
      </c>
      <c r="T82" s="334" t="str">
        <f aca="false">IF((E82="b"),G82," ")</f>
        <v> </v>
      </c>
      <c r="U82" s="334" t="str">
        <f aca="false">IF((E82="i"),G82," ")</f>
        <v> </v>
      </c>
      <c r="V82" s="334" t="str">
        <f aca="false">IF((E82="o"),G82," ")</f>
        <v> </v>
      </c>
      <c r="W82" s="334" t="str">
        <f aca="false">IF((E82="f"),G82," ")</f>
        <v> </v>
      </c>
    </row>
    <row r="83" customFormat="false" ht="12.75" hidden="false" customHeight="false" outlineLevel="0" collapsed="false">
      <c r="A83" s="355"/>
      <c r="E83" s="365" t="str">
        <f aca="false">IF((G83&lt;&gt;0),"Enter Letter"," ")</f>
        <v> </v>
      </c>
      <c r="H83" s="338" t="str">
        <f aca="false">IF((G83&lt;&gt;0),IF((D83&gt;0)," ",G83)," ")</f>
        <v> </v>
      </c>
      <c r="I83" s="367" t="str">
        <f aca="false">IF((G83&lt;&gt;0),IF((D83&gt;0)," ",(I$1-A83))," ")</f>
        <v> </v>
      </c>
      <c r="J83" s="334" t="str">
        <f aca="false">IF((E83="s"),G83," ")</f>
        <v> </v>
      </c>
      <c r="K83" s="334" t="str">
        <f aca="false">IF((E83="d"),G83," ")</f>
        <v> </v>
      </c>
      <c r="L83" s="334" t="str">
        <f aca="false">IF((E83="e"),G83," ")</f>
        <v> </v>
      </c>
      <c r="M83" s="334" t="str">
        <f aca="false">IF((E83="p"),G83," ")</f>
        <v> </v>
      </c>
      <c r="N83" s="334" t="str">
        <f aca="false">IF((E83="r"),G83," ")</f>
        <v> </v>
      </c>
      <c r="O83" s="334" t="str">
        <f aca="false">IF((E83="g"),G83," ")</f>
        <v> </v>
      </c>
      <c r="P83" s="334" t="str">
        <f aca="false">IF((E83="m"),G83," ")</f>
        <v> </v>
      </c>
      <c r="Q83" s="334" t="str">
        <f aca="false">IF((E83="t"),G83," ")</f>
        <v> </v>
      </c>
      <c r="R83" s="334" t="str">
        <f aca="false">IF((E83="a"),G83," ")</f>
        <v> </v>
      </c>
      <c r="S83" s="334" t="str">
        <f aca="false">IF((E83="l"),G83," ")</f>
        <v> </v>
      </c>
      <c r="T83" s="334" t="str">
        <f aca="false">IF((E83="b"),G83," ")</f>
        <v> </v>
      </c>
      <c r="U83" s="334" t="str">
        <f aca="false">IF((E83="i"),G83," ")</f>
        <v> </v>
      </c>
      <c r="V83" s="334" t="str">
        <f aca="false">IF((E83="o"),G83," ")</f>
        <v> </v>
      </c>
      <c r="W83" s="334" t="str">
        <f aca="false">IF((E83="f"),G83," ")</f>
        <v> </v>
      </c>
    </row>
    <row r="84" customFormat="false" ht="12.75" hidden="false" customHeight="false" outlineLevel="0" collapsed="false">
      <c r="A84" s="355"/>
      <c r="E84" s="365" t="str">
        <f aca="false">IF((G84&lt;&gt;0),"Enter Letter"," ")</f>
        <v> </v>
      </c>
      <c r="H84" s="338" t="str">
        <f aca="false">IF((G84&lt;&gt;0),IF((D84&gt;0)," ",G84)," ")</f>
        <v> </v>
      </c>
      <c r="I84" s="367" t="str">
        <f aca="false">IF((G84&lt;&gt;0),IF((D84&gt;0)," ",(I$1-A84))," ")</f>
        <v> </v>
      </c>
      <c r="J84" s="334" t="str">
        <f aca="false">IF((E84="s"),G84," ")</f>
        <v> </v>
      </c>
      <c r="K84" s="334" t="str">
        <f aca="false">IF((E84="d"),G84," ")</f>
        <v> </v>
      </c>
      <c r="L84" s="334" t="str">
        <f aca="false">IF((E84="e"),G84," ")</f>
        <v> </v>
      </c>
      <c r="M84" s="334" t="str">
        <f aca="false">IF((E84="p"),G84," ")</f>
        <v> </v>
      </c>
      <c r="N84" s="334" t="str">
        <f aca="false">IF((E84="r"),G84," ")</f>
        <v> </v>
      </c>
      <c r="O84" s="334" t="str">
        <f aca="false">IF((E84="g"),G84," ")</f>
        <v> </v>
      </c>
      <c r="P84" s="334" t="str">
        <f aca="false">IF((E84="m"),G84," ")</f>
        <v> </v>
      </c>
      <c r="Q84" s="334" t="str">
        <f aca="false">IF((E84="t"),G84," ")</f>
        <v> </v>
      </c>
      <c r="R84" s="334" t="str">
        <f aca="false">IF((E84="a"),G84," ")</f>
        <v> </v>
      </c>
      <c r="S84" s="334" t="str">
        <f aca="false">IF((E84="l"),G84," ")</f>
        <v> </v>
      </c>
      <c r="T84" s="334" t="str">
        <f aca="false">IF((E84="b"),G84," ")</f>
        <v> </v>
      </c>
      <c r="U84" s="334" t="str">
        <f aca="false">IF((E84="i"),G84," ")</f>
        <v> </v>
      </c>
      <c r="V84" s="334" t="str">
        <f aca="false">IF((E84="o"),G84," ")</f>
        <v> </v>
      </c>
      <c r="W84" s="334" t="str">
        <f aca="false">IF((E84="f"),G84," ")</f>
        <v> </v>
      </c>
    </row>
    <row r="85" customFormat="false" ht="12.75" hidden="false" customHeight="false" outlineLevel="0" collapsed="false">
      <c r="A85" s="355"/>
      <c r="E85" s="365" t="str">
        <f aca="false">IF((G85&lt;&gt;0),"Enter Letter"," ")</f>
        <v> </v>
      </c>
      <c r="H85" s="338" t="str">
        <f aca="false">IF((G85&lt;&gt;0),IF((D85&gt;0)," ",G85)," ")</f>
        <v> </v>
      </c>
      <c r="I85" s="367" t="str">
        <f aca="false">IF((G85&lt;&gt;0),IF((D85&gt;0)," ",(I$1-A85))," ")</f>
        <v> </v>
      </c>
      <c r="J85" s="334" t="str">
        <f aca="false">IF((E85="s"),G85," ")</f>
        <v> </v>
      </c>
      <c r="K85" s="334" t="str">
        <f aca="false">IF((E85="d"),G85," ")</f>
        <v> </v>
      </c>
      <c r="L85" s="334" t="str">
        <f aca="false">IF((E85="e"),G85," ")</f>
        <v> </v>
      </c>
      <c r="M85" s="334" t="str">
        <f aca="false">IF((E85="p"),G85," ")</f>
        <v> </v>
      </c>
      <c r="N85" s="334" t="str">
        <f aca="false">IF((E85="r"),G85," ")</f>
        <v> </v>
      </c>
      <c r="O85" s="334" t="str">
        <f aca="false">IF((E85="g"),G85," ")</f>
        <v> </v>
      </c>
      <c r="P85" s="334" t="str">
        <f aca="false">IF((E85="m"),G85," ")</f>
        <v> </v>
      </c>
      <c r="Q85" s="334" t="str">
        <f aca="false">IF((E85="t"),G85," ")</f>
        <v> </v>
      </c>
      <c r="R85" s="334" t="str">
        <f aca="false">IF((E85="a"),G85," ")</f>
        <v> </v>
      </c>
      <c r="S85" s="334" t="str">
        <f aca="false">IF((E85="l"),G85," ")</f>
        <v> </v>
      </c>
      <c r="T85" s="334" t="str">
        <f aca="false">IF((E85="b"),G85," ")</f>
        <v> </v>
      </c>
      <c r="U85" s="334" t="str">
        <f aca="false">IF((E85="i"),G85," ")</f>
        <v> </v>
      </c>
      <c r="V85" s="334" t="str">
        <f aca="false">IF((E85="o"),G85," ")</f>
        <v> </v>
      </c>
      <c r="W85" s="334" t="str">
        <f aca="false">IF((E85="f"),G85," ")</f>
        <v> </v>
      </c>
    </row>
    <row r="86" customFormat="false" ht="12.75" hidden="false" customHeight="false" outlineLevel="0" collapsed="false">
      <c r="A86" s="355"/>
      <c r="E86" s="365" t="str">
        <f aca="false">IF((G86&lt;&gt;0),"Enter Letter"," ")</f>
        <v> </v>
      </c>
      <c r="H86" s="338" t="str">
        <f aca="false">IF((G86&lt;&gt;0),IF((D86&gt;0)," ",G86)," ")</f>
        <v> </v>
      </c>
      <c r="I86" s="367" t="str">
        <f aca="false">IF((G86&lt;&gt;0),IF((D86&gt;0)," ",(I$1-A86))," ")</f>
        <v> </v>
      </c>
      <c r="J86" s="334" t="str">
        <f aca="false">IF((E86="s"),G86," ")</f>
        <v> </v>
      </c>
      <c r="K86" s="334" t="str">
        <f aca="false">IF((E86="d"),G86," ")</f>
        <v> </v>
      </c>
      <c r="L86" s="334" t="str">
        <f aca="false">IF((E86="e"),G86," ")</f>
        <v> </v>
      </c>
      <c r="M86" s="334" t="str">
        <f aca="false">IF((E86="p"),G86," ")</f>
        <v> </v>
      </c>
      <c r="N86" s="334" t="str">
        <f aca="false">IF((E86="r"),G86," ")</f>
        <v> </v>
      </c>
      <c r="O86" s="334" t="str">
        <f aca="false">IF((E86="g"),G86," ")</f>
        <v> </v>
      </c>
      <c r="P86" s="334" t="str">
        <f aca="false">IF((E86="m"),G86," ")</f>
        <v> </v>
      </c>
      <c r="Q86" s="334" t="str">
        <f aca="false">IF((E86="t"),G86," ")</f>
        <v> </v>
      </c>
      <c r="R86" s="334" t="str">
        <f aca="false">IF((E86="a"),G86," ")</f>
        <v> </v>
      </c>
      <c r="S86" s="334" t="str">
        <f aca="false">IF((E86="l"),G86," ")</f>
        <v> </v>
      </c>
      <c r="T86" s="334" t="str">
        <f aca="false">IF((E86="b"),G86," ")</f>
        <v> </v>
      </c>
      <c r="U86" s="334" t="str">
        <f aca="false">IF((E86="i"),G86," ")</f>
        <v> </v>
      </c>
      <c r="V86" s="334" t="str">
        <f aca="false">IF((E86="o"),G86," ")</f>
        <v> </v>
      </c>
      <c r="W86" s="334" t="str">
        <f aca="false">IF((E86="f"),G86," ")</f>
        <v> </v>
      </c>
    </row>
    <row r="87" customFormat="false" ht="12.75" hidden="false" customHeight="false" outlineLevel="0" collapsed="false">
      <c r="A87" s="355"/>
      <c r="E87" s="365" t="str">
        <f aca="false">IF((G87&lt;&gt;0),"Enter Letter"," ")</f>
        <v> </v>
      </c>
      <c r="H87" s="338" t="str">
        <f aca="false">IF((G87&lt;&gt;0),IF((D87&gt;0)," ",G87)," ")</f>
        <v> </v>
      </c>
      <c r="I87" s="367" t="str">
        <f aca="false">IF((G87&lt;&gt;0),IF((D87&gt;0)," ",(I$1-A87))," ")</f>
        <v> </v>
      </c>
      <c r="J87" s="334" t="str">
        <f aca="false">IF((E87="s"),G87," ")</f>
        <v> </v>
      </c>
      <c r="K87" s="334" t="str">
        <f aca="false">IF((E87="d"),G87," ")</f>
        <v> </v>
      </c>
      <c r="L87" s="334" t="str">
        <f aca="false">IF((E87="e"),G87," ")</f>
        <v> </v>
      </c>
      <c r="M87" s="334" t="str">
        <f aca="false">IF((E87="p"),G87," ")</f>
        <v> </v>
      </c>
      <c r="N87" s="334" t="str">
        <f aca="false">IF((E87="r"),G87," ")</f>
        <v> </v>
      </c>
      <c r="O87" s="334" t="str">
        <f aca="false">IF((E87="g"),G87," ")</f>
        <v> </v>
      </c>
      <c r="P87" s="334" t="str">
        <f aca="false">IF((E87="m"),G87," ")</f>
        <v> </v>
      </c>
      <c r="Q87" s="334" t="str">
        <f aca="false">IF((E87="t"),G87," ")</f>
        <v> </v>
      </c>
      <c r="R87" s="334" t="str">
        <f aca="false">IF((E87="a"),G87," ")</f>
        <v> </v>
      </c>
      <c r="S87" s="334" t="str">
        <f aca="false">IF((E87="l"),G87," ")</f>
        <v> </v>
      </c>
      <c r="T87" s="334" t="str">
        <f aca="false">IF((E87="b"),G87," ")</f>
        <v> </v>
      </c>
      <c r="U87" s="334" t="str">
        <f aca="false">IF((E87="i"),G87," ")</f>
        <v> </v>
      </c>
      <c r="V87" s="334" t="str">
        <f aca="false">IF((E87="o"),G87," ")</f>
        <v> </v>
      </c>
      <c r="W87" s="334" t="str">
        <f aca="false">IF((E87="f"),G87," ")</f>
        <v> </v>
      </c>
    </row>
    <row r="88" customFormat="false" ht="12.75" hidden="false" customHeight="false" outlineLevel="0" collapsed="false">
      <c r="A88" s="355"/>
      <c r="E88" s="365" t="str">
        <f aca="false">IF((G88&lt;&gt;0),"Enter Letter"," ")</f>
        <v> </v>
      </c>
      <c r="H88" s="338" t="str">
        <f aca="false">IF((G88&lt;&gt;0),IF((D88&gt;0)," ",G88)," ")</f>
        <v> </v>
      </c>
      <c r="I88" s="367" t="str">
        <f aca="false">IF((G88&lt;&gt;0),IF((D88&gt;0)," ",(I$1-A88))," ")</f>
        <v> </v>
      </c>
      <c r="J88" s="334" t="str">
        <f aca="false">IF((E88="s"),G88," ")</f>
        <v> </v>
      </c>
      <c r="K88" s="334" t="str">
        <f aca="false">IF((E88="d"),G88," ")</f>
        <v> </v>
      </c>
      <c r="L88" s="334" t="str">
        <f aca="false">IF((E88="e"),G88," ")</f>
        <v> </v>
      </c>
      <c r="M88" s="334" t="str">
        <f aca="false">IF((E88="p"),G88," ")</f>
        <v> </v>
      </c>
      <c r="N88" s="334" t="str">
        <f aca="false">IF((E88="r"),G88," ")</f>
        <v> </v>
      </c>
      <c r="O88" s="334" t="str">
        <f aca="false">IF((E88="g"),G88," ")</f>
        <v> </v>
      </c>
      <c r="P88" s="334" t="str">
        <f aca="false">IF((E88="m"),G88," ")</f>
        <v> </v>
      </c>
      <c r="Q88" s="334" t="str">
        <f aca="false">IF((E88="t"),G88," ")</f>
        <v> </v>
      </c>
      <c r="R88" s="334" t="str">
        <f aca="false">IF((E88="a"),G88," ")</f>
        <v> </v>
      </c>
      <c r="S88" s="334" t="str">
        <f aca="false">IF((E88="l"),G88," ")</f>
        <v> </v>
      </c>
      <c r="T88" s="334" t="str">
        <f aca="false">IF((E88="b"),G88," ")</f>
        <v> </v>
      </c>
      <c r="U88" s="334" t="str">
        <f aca="false">IF((E88="i"),G88," ")</f>
        <v> </v>
      </c>
      <c r="V88" s="334" t="str">
        <f aca="false">IF((E88="o"),G88," ")</f>
        <v> </v>
      </c>
      <c r="W88" s="334" t="str">
        <f aca="false">IF((E88="f"),G88," ")</f>
        <v> </v>
      </c>
    </row>
    <row r="89" customFormat="false" ht="12.75" hidden="false" customHeight="false" outlineLevel="0" collapsed="false">
      <c r="A89" s="355"/>
      <c r="E89" s="365" t="str">
        <f aca="false">IF((G89&lt;&gt;0),"Enter Letter"," ")</f>
        <v> </v>
      </c>
      <c r="H89" s="338" t="str">
        <f aca="false">IF((G89&lt;&gt;0),IF((D89&gt;0)," ",G89)," ")</f>
        <v> </v>
      </c>
      <c r="I89" s="367" t="str">
        <f aca="false">IF((G89&lt;&gt;0),IF((D89&gt;0)," ",(I$1-A89))," ")</f>
        <v> </v>
      </c>
      <c r="J89" s="334" t="str">
        <f aca="false">IF((E89="s"),G89," ")</f>
        <v> </v>
      </c>
      <c r="K89" s="334" t="str">
        <f aca="false">IF((E89="d"),G89," ")</f>
        <v> </v>
      </c>
      <c r="L89" s="334" t="str">
        <f aca="false">IF((E89="e"),G89," ")</f>
        <v> </v>
      </c>
      <c r="M89" s="334" t="str">
        <f aca="false">IF((E89="p"),G89," ")</f>
        <v> </v>
      </c>
      <c r="N89" s="334" t="str">
        <f aca="false">IF((E89="r"),G89," ")</f>
        <v> </v>
      </c>
      <c r="O89" s="334" t="str">
        <f aca="false">IF((E89="g"),G89," ")</f>
        <v> </v>
      </c>
      <c r="P89" s="334" t="str">
        <f aca="false">IF((E89="m"),G89," ")</f>
        <v> </v>
      </c>
      <c r="Q89" s="334" t="str">
        <f aca="false">IF((E89="t"),G89," ")</f>
        <v> </v>
      </c>
      <c r="R89" s="334" t="str">
        <f aca="false">IF((E89="a"),G89," ")</f>
        <v> </v>
      </c>
      <c r="S89" s="334" t="str">
        <f aca="false">IF((E89="l"),G89," ")</f>
        <v> </v>
      </c>
      <c r="T89" s="334" t="str">
        <f aca="false">IF((E89="b"),G89," ")</f>
        <v> </v>
      </c>
      <c r="U89" s="334" t="str">
        <f aca="false">IF((E89="i"),G89," ")</f>
        <v> </v>
      </c>
      <c r="V89" s="334" t="str">
        <f aca="false">IF((E89="o"),G89," ")</f>
        <v> </v>
      </c>
      <c r="W89" s="334" t="str">
        <f aca="false">IF((E89="f"),G89," ")</f>
        <v> </v>
      </c>
    </row>
    <row r="90" customFormat="false" ht="12.75" hidden="false" customHeight="false" outlineLevel="0" collapsed="false">
      <c r="A90" s="355"/>
      <c r="E90" s="365" t="str">
        <f aca="false">IF((G90&lt;&gt;0),"Enter Letter"," ")</f>
        <v> </v>
      </c>
      <c r="H90" s="338" t="str">
        <f aca="false">IF((G90&lt;&gt;0),IF((D90&gt;0)," ",G90)," ")</f>
        <v> </v>
      </c>
      <c r="I90" s="367" t="str">
        <f aca="false">IF((G90&lt;&gt;0),IF((D90&gt;0)," ",(I$1-A90))," ")</f>
        <v> </v>
      </c>
      <c r="J90" s="334" t="str">
        <f aca="false">IF((E90="s"),G90," ")</f>
        <v> </v>
      </c>
      <c r="K90" s="334" t="str">
        <f aca="false">IF((E90="d"),G90," ")</f>
        <v> </v>
      </c>
      <c r="L90" s="334" t="str">
        <f aca="false">IF((E90="e"),G90," ")</f>
        <v> </v>
      </c>
      <c r="M90" s="334" t="str">
        <f aca="false">IF((E90="p"),G90," ")</f>
        <v> </v>
      </c>
      <c r="N90" s="334" t="str">
        <f aca="false">IF((E90="r"),G90," ")</f>
        <v> </v>
      </c>
      <c r="O90" s="334" t="str">
        <f aca="false">IF((E90="g"),G90," ")</f>
        <v> </v>
      </c>
      <c r="P90" s="334" t="str">
        <f aca="false">IF((E90="m"),G90," ")</f>
        <v> </v>
      </c>
      <c r="Q90" s="334" t="str">
        <f aca="false">IF((E90="t"),G90," ")</f>
        <v> </v>
      </c>
      <c r="R90" s="334" t="str">
        <f aca="false">IF((E90="a"),G90," ")</f>
        <v> </v>
      </c>
      <c r="S90" s="334" t="str">
        <f aca="false">IF((E90="l"),G90," ")</f>
        <v> </v>
      </c>
      <c r="T90" s="334" t="str">
        <f aca="false">IF((E90="b"),G90," ")</f>
        <v> </v>
      </c>
      <c r="U90" s="334" t="str">
        <f aca="false">IF((E90="i"),G90," ")</f>
        <v> </v>
      </c>
      <c r="V90" s="334" t="str">
        <f aca="false">IF((E90="o"),G90," ")</f>
        <v> </v>
      </c>
      <c r="W90" s="334" t="str">
        <f aca="false">IF((E90="f"),G90," ")</f>
        <v> </v>
      </c>
    </row>
    <row r="91" customFormat="false" ht="12.75" hidden="false" customHeight="false" outlineLevel="0" collapsed="false">
      <c r="A91" s="355"/>
      <c r="E91" s="365" t="str">
        <f aca="false">IF((G91&lt;&gt;0),"Enter Letter"," ")</f>
        <v> </v>
      </c>
      <c r="H91" s="338" t="str">
        <f aca="false">IF((G91&lt;&gt;0),IF((D91&gt;0)," ",G91)," ")</f>
        <v> </v>
      </c>
      <c r="I91" s="367" t="str">
        <f aca="false">IF((G91&lt;&gt;0),IF((D91&gt;0)," ",(I$1-A91))," ")</f>
        <v> </v>
      </c>
      <c r="J91" s="334" t="str">
        <f aca="false">IF((E91="s"),G91," ")</f>
        <v> </v>
      </c>
      <c r="K91" s="334" t="str">
        <f aca="false">IF((E91="d"),G91," ")</f>
        <v> </v>
      </c>
      <c r="L91" s="334" t="str">
        <f aca="false">IF((E91="e"),G91," ")</f>
        <v> </v>
      </c>
      <c r="M91" s="334" t="str">
        <f aca="false">IF((E91="p"),G91," ")</f>
        <v> </v>
      </c>
      <c r="N91" s="334" t="str">
        <f aca="false">IF((E91="r"),G91," ")</f>
        <v> </v>
      </c>
      <c r="O91" s="334" t="str">
        <f aca="false">IF((E91="g"),G91," ")</f>
        <v> </v>
      </c>
      <c r="P91" s="334" t="str">
        <f aca="false">IF((E91="m"),G91," ")</f>
        <v> </v>
      </c>
      <c r="Q91" s="334" t="str">
        <f aca="false">IF((E91="t"),G91," ")</f>
        <v> </v>
      </c>
      <c r="R91" s="334" t="str">
        <f aca="false">IF((E91="a"),G91," ")</f>
        <v> </v>
      </c>
      <c r="S91" s="334" t="str">
        <f aca="false">IF((E91="l"),G91," ")</f>
        <v> </v>
      </c>
      <c r="T91" s="334" t="str">
        <f aca="false">IF((E91="b"),G91," ")</f>
        <v> </v>
      </c>
      <c r="U91" s="334" t="str">
        <f aca="false">IF((E91="i"),G91," ")</f>
        <v> </v>
      </c>
      <c r="V91" s="334" t="str">
        <f aca="false">IF((E91="o"),G91," ")</f>
        <v> </v>
      </c>
      <c r="W91" s="334" t="str">
        <f aca="false">IF((E91="f"),G91," ")</f>
        <v> </v>
      </c>
    </row>
    <row r="92" customFormat="false" ht="12.75" hidden="false" customHeight="false" outlineLevel="0" collapsed="false">
      <c r="A92" s="355"/>
      <c r="E92" s="365" t="str">
        <f aca="false">IF((G92&lt;&gt;0),"Enter Letter"," ")</f>
        <v> </v>
      </c>
      <c r="H92" s="338" t="str">
        <f aca="false">IF((G92&lt;&gt;0),IF((D92&gt;0)," ",G92)," ")</f>
        <v> </v>
      </c>
      <c r="I92" s="367" t="str">
        <f aca="false">IF((G92&lt;&gt;0),IF((D92&gt;0)," ",(I$1-A92))," ")</f>
        <v> </v>
      </c>
      <c r="J92" s="334" t="str">
        <f aca="false">IF((E92="s"),G92," ")</f>
        <v> </v>
      </c>
      <c r="K92" s="334" t="str">
        <f aca="false">IF((E92="d"),G92," ")</f>
        <v> </v>
      </c>
      <c r="L92" s="334" t="str">
        <f aca="false">IF((E92="e"),G92," ")</f>
        <v> </v>
      </c>
      <c r="M92" s="334" t="str">
        <f aca="false">IF((E92="p"),G92," ")</f>
        <v> </v>
      </c>
      <c r="N92" s="334" t="str">
        <f aca="false">IF((E92="r"),G92," ")</f>
        <v> </v>
      </c>
      <c r="O92" s="334" t="str">
        <f aca="false">IF((E92="g"),G92," ")</f>
        <v> </v>
      </c>
      <c r="P92" s="334" t="str">
        <f aca="false">IF((E92="m"),G92," ")</f>
        <v> </v>
      </c>
      <c r="Q92" s="334" t="str">
        <f aca="false">IF((E92="t"),G92," ")</f>
        <v> </v>
      </c>
      <c r="R92" s="334" t="str">
        <f aca="false">IF((E92="a"),G92," ")</f>
        <v> </v>
      </c>
      <c r="S92" s="334" t="str">
        <f aca="false">IF((E92="l"),G92," ")</f>
        <v> </v>
      </c>
      <c r="T92" s="334" t="str">
        <f aca="false">IF((E92="b"),G92," ")</f>
        <v> </v>
      </c>
      <c r="U92" s="334" t="str">
        <f aca="false">IF((E92="i"),G92," ")</f>
        <v> </v>
      </c>
      <c r="V92" s="334" t="str">
        <f aca="false">IF((E92="o"),G92," ")</f>
        <v> </v>
      </c>
      <c r="W92" s="334" t="str">
        <f aca="false">IF((E92="f"),G92," ")</f>
        <v> </v>
      </c>
    </row>
    <row r="93" customFormat="false" ht="12.75" hidden="false" customHeight="false" outlineLevel="0" collapsed="false">
      <c r="A93" s="355"/>
      <c r="E93" s="365" t="str">
        <f aca="false">IF((G93&lt;&gt;0),"Enter Letter"," ")</f>
        <v> </v>
      </c>
      <c r="H93" s="338" t="str">
        <f aca="false">IF((G93&lt;&gt;0),IF((D93&gt;0)," ",G93)," ")</f>
        <v> </v>
      </c>
      <c r="I93" s="367" t="str">
        <f aca="false">IF((G93&lt;&gt;0),IF((D93&gt;0)," ",(I$1-A93))," ")</f>
        <v> </v>
      </c>
      <c r="J93" s="334" t="str">
        <f aca="false">IF((E93="s"),G93," ")</f>
        <v> </v>
      </c>
      <c r="K93" s="334" t="str">
        <f aca="false">IF((E93="d"),G93," ")</f>
        <v> </v>
      </c>
      <c r="L93" s="334" t="str">
        <f aca="false">IF((E93="e"),G93," ")</f>
        <v> </v>
      </c>
      <c r="M93" s="334" t="str">
        <f aca="false">IF((E93="p"),G93," ")</f>
        <v> </v>
      </c>
      <c r="N93" s="334" t="str">
        <f aca="false">IF((E93="r"),G93," ")</f>
        <v> </v>
      </c>
      <c r="O93" s="334" t="str">
        <f aca="false">IF((E93="g"),G93," ")</f>
        <v> </v>
      </c>
      <c r="P93" s="334" t="str">
        <f aca="false">IF((E93="m"),G93," ")</f>
        <v> </v>
      </c>
      <c r="Q93" s="334" t="str">
        <f aca="false">IF((E93="t"),G93," ")</f>
        <v> </v>
      </c>
      <c r="R93" s="334" t="str">
        <f aca="false">IF((E93="a"),G93," ")</f>
        <v> </v>
      </c>
      <c r="S93" s="334" t="str">
        <f aca="false">IF((E93="l"),G93," ")</f>
        <v> </v>
      </c>
      <c r="T93" s="334" t="str">
        <f aca="false">IF((E93="b"),G93," ")</f>
        <v> </v>
      </c>
      <c r="U93" s="334" t="str">
        <f aca="false">IF((E93="i"),G93," ")</f>
        <v> </v>
      </c>
      <c r="V93" s="334" t="str">
        <f aca="false">IF((E93="o"),G93," ")</f>
        <v> </v>
      </c>
      <c r="W93" s="334" t="str">
        <f aca="false">IF((E93="f"),G93," ")</f>
        <v> </v>
      </c>
    </row>
    <row r="94" customFormat="false" ht="12.75" hidden="false" customHeight="false" outlineLevel="0" collapsed="false">
      <c r="A94" s="355"/>
      <c r="E94" s="365" t="str">
        <f aca="false">IF((G94&lt;&gt;0),"Enter Letter"," ")</f>
        <v> </v>
      </c>
      <c r="H94" s="338" t="str">
        <f aca="false">IF((G94&lt;&gt;0),IF((D94&gt;0)," ",G94)," ")</f>
        <v> </v>
      </c>
      <c r="I94" s="367" t="str">
        <f aca="false">IF((G94&lt;&gt;0),IF((D94&gt;0)," ",(I$1-A94))," ")</f>
        <v> </v>
      </c>
      <c r="J94" s="334" t="str">
        <f aca="false">IF((E94="s"),G94," ")</f>
        <v> </v>
      </c>
      <c r="K94" s="334" t="str">
        <f aca="false">IF((E94="d"),G94," ")</f>
        <v> </v>
      </c>
      <c r="L94" s="334" t="str">
        <f aca="false">IF((E94="e"),G94," ")</f>
        <v> </v>
      </c>
      <c r="M94" s="334" t="str">
        <f aca="false">IF((E94="p"),G94," ")</f>
        <v> </v>
      </c>
      <c r="N94" s="334" t="str">
        <f aca="false">IF((E94="r"),G94," ")</f>
        <v> </v>
      </c>
      <c r="O94" s="334" t="str">
        <f aca="false">IF((E94="g"),G94," ")</f>
        <v> </v>
      </c>
      <c r="P94" s="334" t="str">
        <f aca="false">IF((E94="m"),G94," ")</f>
        <v> </v>
      </c>
      <c r="Q94" s="334" t="str">
        <f aca="false">IF((E94="t"),G94," ")</f>
        <v> </v>
      </c>
      <c r="R94" s="334" t="str">
        <f aca="false">IF((E94="a"),G94," ")</f>
        <v> </v>
      </c>
      <c r="S94" s="334" t="str">
        <f aca="false">IF((E94="l"),G94," ")</f>
        <v> </v>
      </c>
      <c r="T94" s="334" t="str">
        <f aca="false">IF((E94="b"),G94," ")</f>
        <v> </v>
      </c>
      <c r="U94" s="334" t="str">
        <f aca="false">IF((E94="i"),G94," ")</f>
        <v> </v>
      </c>
      <c r="V94" s="334" t="str">
        <f aca="false">IF((E94="o"),G94," ")</f>
        <v> </v>
      </c>
      <c r="W94" s="334" t="str">
        <f aca="false">IF((E94="f"),G94," ")</f>
        <v> </v>
      </c>
    </row>
    <row r="95" customFormat="false" ht="12.75" hidden="false" customHeight="false" outlineLevel="0" collapsed="false">
      <c r="A95" s="355"/>
      <c r="E95" s="365" t="str">
        <f aca="false">IF((G95&lt;&gt;0),"Enter Letter"," ")</f>
        <v> </v>
      </c>
      <c r="H95" s="338" t="str">
        <f aca="false">IF((G95&lt;&gt;0),IF((D95&gt;0)," ",G95)," ")</f>
        <v> </v>
      </c>
      <c r="I95" s="367" t="str">
        <f aca="false">IF((G95&lt;&gt;0),IF((D95&gt;0)," ",(I$1-A95))," ")</f>
        <v> </v>
      </c>
      <c r="J95" s="334" t="str">
        <f aca="false">IF((E95="s"),G95," ")</f>
        <v> </v>
      </c>
      <c r="K95" s="334" t="str">
        <f aca="false">IF((E95="d"),G95," ")</f>
        <v> </v>
      </c>
      <c r="L95" s="334" t="str">
        <f aca="false">IF((E95="e"),G95," ")</f>
        <v> </v>
      </c>
      <c r="M95" s="334" t="str">
        <f aca="false">IF((E95="p"),G95," ")</f>
        <v> </v>
      </c>
      <c r="N95" s="334" t="str">
        <f aca="false">IF((E95="r"),G95," ")</f>
        <v> </v>
      </c>
      <c r="O95" s="334" t="str">
        <f aca="false">IF((E95="g"),G95," ")</f>
        <v> </v>
      </c>
      <c r="P95" s="334" t="str">
        <f aca="false">IF((E95="m"),G95," ")</f>
        <v> </v>
      </c>
      <c r="Q95" s="334" t="str">
        <f aca="false">IF((E95="t"),G95," ")</f>
        <v> </v>
      </c>
      <c r="R95" s="334" t="str">
        <f aca="false">IF((E95="a"),G95," ")</f>
        <v> </v>
      </c>
      <c r="S95" s="334" t="str">
        <f aca="false">IF((E95="l"),G95," ")</f>
        <v> </v>
      </c>
      <c r="T95" s="334" t="str">
        <f aca="false">IF((E95="b"),G95," ")</f>
        <v> </v>
      </c>
      <c r="U95" s="334" t="str">
        <f aca="false">IF((E95="i"),G95," ")</f>
        <v> </v>
      </c>
      <c r="V95" s="334" t="str">
        <f aca="false">IF((E95="o"),G95," ")</f>
        <v> </v>
      </c>
      <c r="W95" s="334" t="str">
        <f aca="false">IF((E95="f"),G95," ")</f>
        <v> </v>
      </c>
    </row>
    <row r="96" customFormat="false" ht="12.75" hidden="false" customHeight="false" outlineLevel="0" collapsed="false">
      <c r="A96" s="355"/>
      <c r="E96" s="365" t="str">
        <f aca="false">IF((G96&lt;&gt;0),"Enter Letter"," ")</f>
        <v> </v>
      </c>
      <c r="H96" s="338" t="str">
        <f aca="false">IF((G96&lt;&gt;0),IF((D96&gt;0)," ",G96)," ")</f>
        <v> </v>
      </c>
      <c r="I96" s="367" t="str">
        <f aca="false">IF((G96&lt;&gt;0),IF((D96&gt;0)," ",(I$1-A96))," ")</f>
        <v> </v>
      </c>
      <c r="J96" s="334" t="str">
        <f aca="false">IF((E96="s"),G96," ")</f>
        <v> </v>
      </c>
      <c r="K96" s="334" t="str">
        <f aca="false">IF((E96="d"),G96," ")</f>
        <v> </v>
      </c>
      <c r="L96" s="334" t="str">
        <f aca="false">IF((E96="e"),G96," ")</f>
        <v> </v>
      </c>
      <c r="M96" s="334" t="str">
        <f aca="false">IF((E96="p"),G96," ")</f>
        <v> </v>
      </c>
      <c r="N96" s="334" t="str">
        <f aca="false">IF((E96="r"),G96," ")</f>
        <v> </v>
      </c>
      <c r="O96" s="334" t="str">
        <f aca="false">IF((E96="g"),G96," ")</f>
        <v> </v>
      </c>
      <c r="P96" s="334" t="str">
        <f aca="false">IF((E96="m"),G96," ")</f>
        <v> </v>
      </c>
      <c r="Q96" s="334" t="str">
        <f aca="false">IF((E96="t"),G96," ")</f>
        <v> </v>
      </c>
      <c r="R96" s="334" t="str">
        <f aca="false">IF((E96="a"),G96," ")</f>
        <v> </v>
      </c>
      <c r="S96" s="334" t="str">
        <f aca="false">IF((E96="l"),G96," ")</f>
        <v> </v>
      </c>
      <c r="T96" s="334" t="str">
        <f aca="false">IF((E96="b"),G96," ")</f>
        <v> </v>
      </c>
      <c r="U96" s="334" t="str">
        <f aca="false">IF((E96="i"),G96," ")</f>
        <v> </v>
      </c>
      <c r="V96" s="334" t="str">
        <f aca="false">IF((E96="o"),G96," ")</f>
        <v> </v>
      </c>
      <c r="W96" s="334" t="str">
        <f aca="false">IF((E96="f"),G96," ")</f>
        <v> </v>
      </c>
    </row>
    <row r="97" customFormat="false" ht="12.75" hidden="false" customHeight="false" outlineLevel="0" collapsed="false">
      <c r="A97" s="355"/>
      <c r="E97" s="365" t="str">
        <f aca="false">IF((G97&lt;&gt;0),"Enter Letter"," ")</f>
        <v> </v>
      </c>
      <c r="H97" s="338" t="str">
        <f aca="false">IF((G97&lt;&gt;0),IF((D97&gt;0)," ",G97)," ")</f>
        <v> </v>
      </c>
      <c r="I97" s="367" t="str">
        <f aca="false">IF((G97&lt;&gt;0),IF((D97&gt;0)," ",(I$1-A97))," ")</f>
        <v> </v>
      </c>
      <c r="J97" s="334" t="str">
        <f aca="false">IF((E97="s"),G97," ")</f>
        <v> </v>
      </c>
      <c r="K97" s="334" t="str">
        <f aca="false">IF((E97="d"),G97," ")</f>
        <v> </v>
      </c>
      <c r="L97" s="334" t="str">
        <f aca="false">IF((E97="e"),G97," ")</f>
        <v> </v>
      </c>
      <c r="M97" s="334" t="str">
        <f aca="false">IF((E97="p"),G97," ")</f>
        <v> </v>
      </c>
      <c r="N97" s="334" t="str">
        <f aca="false">IF((E97="r"),G97," ")</f>
        <v> </v>
      </c>
      <c r="O97" s="334" t="str">
        <f aca="false">IF((E97="g"),G97," ")</f>
        <v> </v>
      </c>
      <c r="P97" s="334" t="str">
        <f aca="false">IF((E97="m"),G97," ")</f>
        <v> </v>
      </c>
      <c r="Q97" s="334" t="str">
        <f aca="false">IF((E97="t"),G97," ")</f>
        <v> </v>
      </c>
      <c r="R97" s="334" t="str">
        <f aca="false">IF((E97="a"),G97," ")</f>
        <v> </v>
      </c>
      <c r="S97" s="334" t="str">
        <f aca="false">IF((E97="l"),G97," ")</f>
        <v> </v>
      </c>
      <c r="T97" s="334" t="str">
        <f aca="false">IF((E97="b"),G97," ")</f>
        <v> </v>
      </c>
      <c r="U97" s="334" t="str">
        <f aca="false">IF((E97="i"),G97," ")</f>
        <v> </v>
      </c>
      <c r="V97" s="334" t="str">
        <f aca="false">IF((E97="o"),G97," ")</f>
        <v> </v>
      </c>
      <c r="W97" s="334" t="str">
        <f aca="false">IF((E97="f"),G97," ")</f>
        <v> </v>
      </c>
    </row>
    <row r="98" customFormat="false" ht="12.75" hidden="false" customHeight="false" outlineLevel="0" collapsed="false">
      <c r="A98" s="355"/>
      <c r="E98" s="365" t="str">
        <f aca="false">IF((G98&lt;&gt;0),"Enter Letter"," ")</f>
        <v> </v>
      </c>
      <c r="H98" s="338" t="str">
        <f aca="false">IF((G98&lt;&gt;0),IF((D98&gt;0)," ",G98)," ")</f>
        <v> </v>
      </c>
      <c r="I98" s="367" t="str">
        <f aca="false">IF((G98&lt;&gt;0),IF((D98&gt;0)," ",(I$1-A98))," ")</f>
        <v> </v>
      </c>
      <c r="J98" s="334" t="str">
        <f aca="false">IF((E98="s"),G98," ")</f>
        <v> </v>
      </c>
      <c r="K98" s="334" t="str">
        <f aca="false">IF((E98="d"),G98," ")</f>
        <v> </v>
      </c>
      <c r="L98" s="334" t="str">
        <f aca="false">IF((E98="e"),G98," ")</f>
        <v> </v>
      </c>
      <c r="M98" s="334" t="str">
        <f aca="false">IF((E98="p"),G98," ")</f>
        <v> </v>
      </c>
      <c r="N98" s="334" t="str">
        <f aca="false">IF((E98="r"),G98," ")</f>
        <v> </v>
      </c>
      <c r="O98" s="334" t="str">
        <f aca="false">IF((E98="g"),G98," ")</f>
        <v> </v>
      </c>
      <c r="P98" s="334" t="str">
        <f aca="false">IF((E98="m"),G98," ")</f>
        <v> </v>
      </c>
      <c r="Q98" s="334" t="str">
        <f aca="false">IF((E98="t"),G98," ")</f>
        <v> </v>
      </c>
      <c r="R98" s="334" t="str">
        <f aca="false">IF((E98="a"),G98," ")</f>
        <v> </v>
      </c>
      <c r="S98" s="334" t="str">
        <f aca="false">IF((E98="l"),G98," ")</f>
        <v> </v>
      </c>
      <c r="T98" s="334" t="str">
        <f aca="false">IF((E98="b"),G98," ")</f>
        <v> </v>
      </c>
      <c r="U98" s="334" t="str">
        <f aca="false">IF((E98="i"),G98," ")</f>
        <v> </v>
      </c>
      <c r="V98" s="334" t="str">
        <f aca="false">IF((E98="o"),G98," ")</f>
        <v> </v>
      </c>
      <c r="W98" s="334" t="str">
        <f aca="false">IF((E98="f"),G98," ")</f>
        <v> </v>
      </c>
    </row>
    <row r="99" customFormat="false" ht="12.75" hidden="false" customHeight="false" outlineLevel="0" collapsed="false">
      <c r="A99" s="355"/>
      <c r="E99" s="365" t="str">
        <f aca="false">IF((G99&lt;&gt;0),"Enter Letter"," ")</f>
        <v> </v>
      </c>
      <c r="H99" s="338" t="str">
        <f aca="false">IF((G99&lt;&gt;0),IF((D99&gt;0)," ",G99)," ")</f>
        <v> </v>
      </c>
      <c r="I99" s="367" t="str">
        <f aca="false">IF((G99&lt;&gt;0),IF((D99&gt;0)," ",(I$1-A99))," ")</f>
        <v> </v>
      </c>
      <c r="J99" s="334" t="str">
        <f aca="false">IF((E99="s"),G99," ")</f>
        <v> </v>
      </c>
      <c r="K99" s="334" t="str">
        <f aca="false">IF((E99="d"),G99," ")</f>
        <v> </v>
      </c>
      <c r="L99" s="334" t="str">
        <f aca="false">IF((E99="e"),G99," ")</f>
        <v> </v>
      </c>
      <c r="M99" s="334" t="str">
        <f aca="false">IF((E99="p"),G99," ")</f>
        <v> </v>
      </c>
      <c r="N99" s="334" t="str">
        <f aca="false">IF((E99="r"),G99," ")</f>
        <v> </v>
      </c>
      <c r="O99" s="334" t="str">
        <f aca="false">IF((E99="g"),G99," ")</f>
        <v> </v>
      </c>
      <c r="P99" s="334" t="str">
        <f aca="false">IF((E99="m"),G99," ")</f>
        <v> </v>
      </c>
      <c r="Q99" s="334" t="str">
        <f aca="false">IF((E99="t"),G99," ")</f>
        <v> </v>
      </c>
      <c r="R99" s="334" t="str">
        <f aca="false">IF((E99="a"),G99," ")</f>
        <v> </v>
      </c>
      <c r="S99" s="334" t="str">
        <f aca="false">IF((E99="l"),G99," ")</f>
        <v> </v>
      </c>
      <c r="T99" s="334" t="str">
        <f aca="false">IF((E99="b"),G99," ")</f>
        <v> </v>
      </c>
      <c r="U99" s="334" t="str">
        <f aca="false">IF((E99="i"),G99," ")</f>
        <v> </v>
      </c>
      <c r="V99" s="334" t="str">
        <f aca="false">IF((E99="o"),G99," ")</f>
        <v> </v>
      </c>
      <c r="W99" s="334" t="str">
        <f aca="false">IF((E99="f"),G99," ")</f>
        <v> </v>
      </c>
    </row>
    <row r="100" customFormat="false" ht="12.75" hidden="false" customHeight="false" outlineLevel="0" collapsed="false">
      <c r="A100" s="355"/>
      <c r="E100" s="365" t="str">
        <f aca="false">IF((G100&lt;&gt;0),"Enter Letter"," ")</f>
        <v> </v>
      </c>
      <c r="H100" s="338" t="str">
        <f aca="false">IF((G100&lt;&gt;0),IF((D100&gt;0)," ",G100)," ")</f>
        <v> </v>
      </c>
      <c r="I100" s="367" t="str">
        <f aca="false">IF((G100&lt;&gt;0),IF((D100&gt;0)," ",(I$1-A100))," ")</f>
        <v> </v>
      </c>
      <c r="J100" s="334" t="str">
        <f aca="false">IF((E100="s"),G100," ")</f>
        <v> </v>
      </c>
      <c r="K100" s="334" t="str">
        <f aca="false">IF((E100="d"),G100," ")</f>
        <v> </v>
      </c>
      <c r="L100" s="334" t="str">
        <f aca="false">IF((E100="e"),G100," ")</f>
        <v> </v>
      </c>
      <c r="M100" s="334" t="str">
        <f aca="false">IF((E100="p"),G100," ")</f>
        <v> </v>
      </c>
      <c r="N100" s="334" t="str">
        <f aca="false">IF((E100="r"),G100," ")</f>
        <v> </v>
      </c>
      <c r="O100" s="334" t="str">
        <f aca="false">IF((E100="g"),G100," ")</f>
        <v> </v>
      </c>
      <c r="P100" s="334" t="str">
        <f aca="false">IF((E100="m"),G100," ")</f>
        <v> </v>
      </c>
      <c r="Q100" s="334" t="str">
        <f aca="false">IF((E100="t"),G100," ")</f>
        <v> </v>
      </c>
      <c r="R100" s="334" t="str">
        <f aca="false">IF((E100="a"),G100," ")</f>
        <v> </v>
      </c>
      <c r="S100" s="334" t="str">
        <f aca="false">IF((E100="l"),G100," ")</f>
        <v> </v>
      </c>
      <c r="T100" s="334" t="str">
        <f aca="false">IF((E100="b"),G100," ")</f>
        <v> </v>
      </c>
      <c r="U100" s="334" t="str">
        <f aca="false">IF((E100="i"),G100," ")</f>
        <v> </v>
      </c>
      <c r="V100" s="334" t="str">
        <f aca="false">IF((E100="o"),G100," ")</f>
        <v> </v>
      </c>
      <c r="W100" s="334" t="str">
        <f aca="false">IF((E100="f"),G100," ")</f>
        <v> </v>
      </c>
    </row>
    <row r="101" customFormat="false" ht="12.75" hidden="false" customHeight="false" outlineLevel="0" collapsed="false">
      <c r="A101" s="355"/>
      <c r="E101" s="365" t="str">
        <f aca="false">IF((G101&lt;&gt;0),"Enter Letter"," ")</f>
        <v> </v>
      </c>
      <c r="H101" s="338" t="str">
        <f aca="false">IF((G101&lt;&gt;0),IF((D101&gt;0)," ",G101)," ")</f>
        <v> </v>
      </c>
      <c r="I101" s="367" t="str">
        <f aca="false">IF((G101&lt;&gt;0),IF((D101&gt;0)," ",(I$1-A101))," ")</f>
        <v> </v>
      </c>
      <c r="J101" s="334" t="str">
        <f aca="false">IF((E101="s"),G101," ")</f>
        <v> </v>
      </c>
      <c r="K101" s="334" t="str">
        <f aca="false">IF((E101="d"),G101," ")</f>
        <v> </v>
      </c>
      <c r="L101" s="334" t="str">
        <f aca="false">IF((E101="e"),G101," ")</f>
        <v> </v>
      </c>
      <c r="M101" s="334" t="str">
        <f aca="false">IF((E101="p"),G101," ")</f>
        <v> </v>
      </c>
      <c r="N101" s="334" t="str">
        <f aca="false">IF((E101="r"),G101," ")</f>
        <v> </v>
      </c>
      <c r="O101" s="334" t="str">
        <f aca="false">IF((E101="g"),G101," ")</f>
        <v> </v>
      </c>
      <c r="P101" s="334" t="str">
        <f aca="false">IF((E101="m"),G101," ")</f>
        <v> </v>
      </c>
      <c r="Q101" s="334" t="str">
        <f aca="false">IF((E101="t"),G101," ")</f>
        <v> </v>
      </c>
      <c r="R101" s="334" t="str">
        <f aca="false">IF((E101="a"),G101," ")</f>
        <v> </v>
      </c>
      <c r="S101" s="334" t="str">
        <f aca="false">IF((E101="l"),G101," ")</f>
        <v> </v>
      </c>
      <c r="T101" s="334" t="str">
        <f aca="false">IF((E101="b"),G101," ")</f>
        <v> </v>
      </c>
      <c r="U101" s="334" t="str">
        <f aca="false">IF((E101="i"),G101," ")</f>
        <v> </v>
      </c>
      <c r="V101" s="334" t="str">
        <f aca="false">IF((E101="o"),G101," ")</f>
        <v> </v>
      </c>
      <c r="W101" s="334" t="str">
        <f aca="false">IF((E101="f"),G101," ")</f>
        <v> </v>
      </c>
    </row>
    <row r="102" customFormat="false" ht="12.75" hidden="false" customHeight="false" outlineLevel="0" collapsed="false">
      <c r="A102" s="355"/>
      <c r="E102" s="365" t="str">
        <f aca="false">IF((G102&lt;&gt;0),"Enter Letter"," ")</f>
        <v> </v>
      </c>
      <c r="H102" s="338" t="str">
        <f aca="false">IF((G102&lt;&gt;0),IF((D102&gt;0)," ",G102)," ")</f>
        <v> </v>
      </c>
      <c r="I102" s="367" t="str">
        <f aca="false">IF((G102&lt;&gt;0),IF((D102&gt;0)," ",(I$1-A102))," ")</f>
        <v> </v>
      </c>
      <c r="J102" s="334" t="str">
        <f aca="false">IF((E102="s"),G102," ")</f>
        <v> </v>
      </c>
      <c r="K102" s="334" t="str">
        <f aca="false">IF((E102="d"),G102," ")</f>
        <v> </v>
      </c>
      <c r="L102" s="334" t="str">
        <f aca="false">IF((E102="e"),G102," ")</f>
        <v> </v>
      </c>
      <c r="M102" s="334" t="str">
        <f aca="false">IF((E102="p"),G102," ")</f>
        <v> </v>
      </c>
      <c r="N102" s="334" t="str">
        <f aca="false">IF((E102="r"),G102," ")</f>
        <v> </v>
      </c>
      <c r="O102" s="334" t="str">
        <f aca="false">IF((E102="g"),G102," ")</f>
        <v> </v>
      </c>
      <c r="P102" s="334" t="str">
        <f aca="false">IF((E102="m"),G102," ")</f>
        <v> </v>
      </c>
      <c r="Q102" s="334" t="str">
        <f aca="false">IF((E102="t"),G102," ")</f>
        <v> </v>
      </c>
      <c r="R102" s="334" t="str">
        <f aca="false">IF((E102="a"),G102," ")</f>
        <v> </v>
      </c>
      <c r="S102" s="334" t="str">
        <f aca="false">IF((E102="l"),G102," ")</f>
        <v> </v>
      </c>
      <c r="T102" s="334" t="str">
        <f aca="false">IF((E102="b"),G102," ")</f>
        <v> </v>
      </c>
      <c r="U102" s="334" t="str">
        <f aca="false">IF((E102="i"),G102," ")</f>
        <v> </v>
      </c>
      <c r="V102" s="334" t="str">
        <f aca="false">IF((E102="o"),G102," ")</f>
        <v> </v>
      </c>
      <c r="W102" s="334" t="str">
        <f aca="false">IF((E102="f"),G102," ")</f>
        <v> </v>
      </c>
    </row>
    <row r="103" customFormat="false" ht="12.75" hidden="false" customHeight="false" outlineLevel="0" collapsed="false">
      <c r="A103" s="355"/>
      <c r="E103" s="365" t="str">
        <f aca="false">IF((G103&lt;&gt;0),"Enter Letter"," ")</f>
        <v> </v>
      </c>
      <c r="H103" s="338" t="str">
        <f aca="false">IF((G103&lt;&gt;0),IF((D103&gt;0)," ",G103)," ")</f>
        <v> </v>
      </c>
      <c r="I103" s="367" t="str">
        <f aca="false">IF((G103&lt;&gt;0),IF((D103&gt;0)," ",(I$1-A103))," ")</f>
        <v> </v>
      </c>
      <c r="J103" s="334" t="str">
        <f aca="false">IF((E103="s"),G103," ")</f>
        <v> </v>
      </c>
      <c r="K103" s="334" t="str">
        <f aca="false">IF((E103="d"),G103," ")</f>
        <v> </v>
      </c>
      <c r="L103" s="334" t="str">
        <f aca="false">IF((E103="e"),G103," ")</f>
        <v> </v>
      </c>
      <c r="M103" s="334" t="str">
        <f aca="false">IF((E103="p"),G103," ")</f>
        <v> </v>
      </c>
      <c r="N103" s="334" t="str">
        <f aca="false">IF((E103="r"),G103," ")</f>
        <v> </v>
      </c>
      <c r="O103" s="334" t="str">
        <f aca="false">IF((E103="g"),G103," ")</f>
        <v> </v>
      </c>
      <c r="P103" s="334" t="str">
        <f aca="false">IF((E103="m"),G103," ")</f>
        <v> </v>
      </c>
      <c r="Q103" s="334" t="str">
        <f aca="false">IF((E103="t"),G103," ")</f>
        <v> </v>
      </c>
      <c r="R103" s="334" t="str">
        <f aca="false">IF((E103="a"),G103," ")</f>
        <v> </v>
      </c>
      <c r="S103" s="334" t="str">
        <f aca="false">IF((E103="l"),G103," ")</f>
        <v> </v>
      </c>
      <c r="T103" s="334" t="str">
        <f aca="false">IF((E103="b"),G103," ")</f>
        <v> </v>
      </c>
      <c r="U103" s="334" t="str">
        <f aca="false">IF((E103="i"),G103," ")</f>
        <v> </v>
      </c>
      <c r="V103" s="334" t="str">
        <f aca="false">IF((E103="o"),G103," ")</f>
        <v> </v>
      </c>
      <c r="W103" s="334" t="str">
        <f aca="false">IF((E103="f"),G103," ")</f>
        <v> </v>
      </c>
    </row>
    <row r="104" customFormat="false" ht="12.75" hidden="false" customHeight="false" outlineLevel="0" collapsed="false">
      <c r="A104" s="355"/>
      <c r="E104" s="365" t="str">
        <f aca="false">IF((G104&lt;&gt;0),"Enter Letter"," ")</f>
        <v> </v>
      </c>
      <c r="H104" s="338" t="str">
        <f aca="false">IF((G104&lt;&gt;0),IF((D104&gt;0)," ",G104)," ")</f>
        <v> </v>
      </c>
      <c r="I104" s="367" t="str">
        <f aca="false">IF((G104&lt;&gt;0),IF((D104&gt;0)," ",(I$1-A104))," ")</f>
        <v> </v>
      </c>
      <c r="J104" s="334" t="str">
        <f aca="false">IF((E104="s"),G104," ")</f>
        <v> </v>
      </c>
      <c r="K104" s="334" t="str">
        <f aca="false">IF((E104="d"),G104," ")</f>
        <v> </v>
      </c>
      <c r="L104" s="334" t="str">
        <f aca="false">IF((E104="e"),G104," ")</f>
        <v> </v>
      </c>
      <c r="M104" s="334" t="str">
        <f aca="false">IF((E104="p"),G104," ")</f>
        <v> </v>
      </c>
      <c r="N104" s="334" t="str">
        <f aca="false">IF((E104="r"),G104," ")</f>
        <v> </v>
      </c>
      <c r="O104" s="334" t="str">
        <f aca="false">IF((E104="g"),G104," ")</f>
        <v> </v>
      </c>
      <c r="P104" s="334" t="str">
        <f aca="false">IF((E104="m"),G104," ")</f>
        <v> </v>
      </c>
      <c r="Q104" s="334" t="str">
        <f aca="false">IF((E104="t"),G104," ")</f>
        <v> </v>
      </c>
      <c r="R104" s="334" t="str">
        <f aca="false">IF((E104="a"),G104," ")</f>
        <v> </v>
      </c>
      <c r="S104" s="334" t="str">
        <f aca="false">IF((E104="l"),G104," ")</f>
        <v> </v>
      </c>
      <c r="T104" s="334" t="str">
        <f aca="false">IF((E104="b"),G104," ")</f>
        <v> </v>
      </c>
      <c r="U104" s="334" t="str">
        <f aca="false">IF((E104="i"),G104," ")</f>
        <v> </v>
      </c>
      <c r="V104" s="334" t="str">
        <f aca="false">IF((E104="o"),G104," ")</f>
        <v> </v>
      </c>
      <c r="W104" s="334" t="str">
        <f aca="false">IF((E104="f"),G104," ")</f>
        <v> </v>
      </c>
    </row>
    <row r="105" customFormat="false" ht="12.75" hidden="false" customHeight="false" outlineLevel="0" collapsed="false">
      <c r="A105" s="355"/>
      <c r="E105" s="365" t="str">
        <f aca="false">IF((G105&lt;&gt;0),"Enter Letter"," ")</f>
        <v> </v>
      </c>
      <c r="H105" s="338" t="str">
        <f aca="false">IF((G105&lt;&gt;0),IF((D105&gt;0)," ",G105)," ")</f>
        <v> </v>
      </c>
      <c r="I105" s="367" t="str">
        <f aca="false">IF((G105&lt;&gt;0),IF((D105&gt;0)," ",(I$1-A105))," ")</f>
        <v> </v>
      </c>
      <c r="J105" s="334" t="str">
        <f aca="false">IF((E105="s"),G105," ")</f>
        <v> </v>
      </c>
      <c r="K105" s="334" t="str">
        <f aca="false">IF((E105="d"),G105," ")</f>
        <v> </v>
      </c>
      <c r="L105" s="334" t="str">
        <f aca="false">IF((E105="e"),G105," ")</f>
        <v> </v>
      </c>
      <c r="M105" s="334" t="str">
        <f aca="false">IF((E105="p"),G105," ")</f>
        <v> </v>
      </c>
      <c r="N105" s="334" t="str">
        <f aca="false">IF((E105="r"),G105," ")</f>
        <v> </v>
      </c>
      <c r="O105" s="334" t="str">
        <f aca="false">IF((E105="g"),G105," ")</f>
        <v> </v>
      </c>
      <c r="P105" s="334" t="str">
        <f aca="false">IF((E105="m"),G105," ")</f>
        <v> </v>
      </c>
      <c r="Q105" s="334" t="str">
        <f aca="false">IF((E105="t"),G105," ")</f>
        <v> </v>
      </c>
      <c r="R105" s="334" t="str">
        <f aca="false">IF((E105="a"),G105," ")</f>
        <v> </v>
      </c>
      <c r="S105" s="334" t="str">
        <f aca="false">IF((E105="l"),G105," ")</f>
        <v> </v>
      </c>
      <c r="T105" s="334" t="str">
        <f aca="false">IF((E105="b"),G105," ")</f>
        <v> </v>
      </c>
      <c r="U105" s="334" t="str">
        <f aca="false">IF((E105="i"),G105," ")</f>
        <v> </v>
      </c>
      <c r="V105" s="334" t="str">
        <f aca="false">IF((E105="o"),G105," ")</f>
        <v> </v>
      </c>
      <c r="W105" s="334" t="str">
        <f aca="false">IF((E105="f"),G105," ")</f>
        <v> </v>
      </c>
    </row>
    <row r="106" customFormat="false" ht="12.75" hidden="false" customHeight="false" outlineLevel="0" collapsed="false">
      <c r="A106" s="355"/>
      <c r="E106" s="365" t="str">
        <f aca="false">IF((G106&lt;&gt;0),"Enter Letter"," ")</f>
        <v> </v>
      </c>
      <c r="H106" s="338" t="str">
        <f aca="false">IF((G106&lt;&gt;0),IF((D106&gt;0)," ",G106)," ")</f>
        <v> </v>
      </c>
      <c r="I106" s="367" t="str">
        <f aca="false">IF((G106&lt;&gt;0),IF((D106&gt;0)," ",(I$1-A106))," ")</f>
        <v> </v>
      </c>
      <c r="J106" s="334" t="str">
        <f aca="false">IF((E106="s"),G106," ")</f>
        <v> </v>
      </c>
      <c r="K106" s="334" t="str">
        <f aca="false">IF((E106="d"),G106," ")</f>
        <v> </v>
      </c>
      <c r="L106" s="334" t="str">
        <f aca="false">IF((E106="e"),G106," ")</f>
        <v> </v>
      </c>
      <c r="M106" s="334" t="str">
        <f aca="false">IF((E106="p"),G106," ")</f>
        <v> </v>
      </c>
      <c r="N106" s="334" t="str">
        <f aca="false">IF((E106="r"),G106," ")</f>
        <v> </v>
      </c>
      <c r="O106" s="334" t="str">
        <f aca="false">IF((E106="g"),G106," ")</f>
        <v> </v>
      </c>
      <c r="P106" s="334" t="str">
        <f aca="false">IF((E106="m"),G106," ")</f>
        <v> </v>
      </c>
      <c r="Q106" s="334" t="str">
        <f aca="false">IF((E106="t"),G106," ")</f>
        <v> </v>
      </c>
      <c r="R106" s="334" t="str">
        <f aca="false">IF((E106="a"),G106," ")</f>
        <v> </v>
      </c>
      <c r="S106" s="334" t="str">
        <f aca="false">IF((E106="l"),G106," ")</f>
        <v> </v>
      </c>
      <c r="T106" s="334" t="str">
        <f aca="false">IF((E106="b"),G106," ")</f>
        <v> </v>
      </c>
      <c r="U106" s="334" t="str">
        <f aca="false">IF((E106="i"),G106," ")</f>
        <v> </v>
      </c>
      <c r="V106" s="334" t="str">
        <f aca="false">IF((E106="o"),G106," ")</f>
        <v> </v>
      </c>
      <c r="W106" s="334" t="str">
        <f aca="false">IF((E106="f"),G106," ")</f>
        <v> </v>
      </c>
    </row>
    <row r="107" customFormat="false" ht="12.75" hidden="false" customHeight="false" outlineLevel="0" collapsed="false">
      <c r="A107" s="355"/>
      <c r="E107" s="365" t="str">
        <f aca="false">IF((G107&lt;&gt;0),"Enter Letter"," ")</f>
        <v> </v>
      </c>
      <c r="H107" s="338" t="str">
        <f aca="false">IF((G107&lt;&gt;0),IF((D107&gt;0)," ",G107)," ")</f>
        <v> </v>
      </c>
      <c r="I107" s="367" t="str">
        <f aca="false">IF((G107&lt;&gt;0),IF((D107&gt;0)," ",(I$1-A107))," ")</f>
        <v> </v>
      </c>
      <c r="J107" s="334" t="str">
        <f aca="false">IF((E107="s"),G107," ")</f>
        <v> </v>
      </c>
      <c r="K107" s="334" t="str">
        <f aca="false">IF((E107="d"),G107," ")</f>
        <v> </v>
      </c>
      <c r="L107" s="334" t="str">
        <f aca="false">IF((E107="e"),G107," ")</f>
        <v> </v>
      </c>
      <c r="M107" s="334" t="str">
        <f aca="false">IF((E107="p"),G107," ")</f>
        <v> </v>
      </c>
      <c r="N107" s="334" t="str">
        <f aca="false">IF((E107="r"),G107," ")</f>
        <v> </v>
      </c>
      <c r="O107" s="334" t="str">
        <f aca="false">IF((E107="g"),G107," ")</f>
        <v> </v>
      </c>
      <c r="P107" s="334" t="str">
        <f aca="false">IF((E107="m"),G107," ")</f>
        <v> </v>
      </c>
      <c r="Q107" s="334" t="str">
        <f aca="false">IF((E107="t"),G107," ")</f>
        <v> </v>
      </c>
      <c r="R107" s="334" t="str">
        <f aca="false">IF((E107="a"),G107," ")</f>
        <v> </v>
      </c>
      <c r="S107" s="334" t="str">
        <f aca="false">IF((E107="l"),G107," ")</f>
        <v> </v>
      </c>
      <c r="T107" s="334" t="str">
        <f aca="false">IF((E107="b"),G107," ")</f>
        <v> </v>
      </c>
      <c r="U107" s="334" t="str">
        <f aca="false">IF((E107="i"),G107," ")</f>
        <v> </v>
      </c>
      <c r="V107" s="334" t="str">
        <f aca="false">IF((E107="o"),G107," ")</f>
        <v> </v>
      </c>
      <c r="W107" s="334" t="str">
        <f aca="false">IF((E107="f"),G107," ")</f>
        <v> </v>
      </c>
    </row>
    <row r="108" customFormat="false" ht="12.75" hidden="false" customHeight="false" outlineLevel="0" collapsed="false">
      <c r="A108" s="355"/>
      <c r="E108" s="365" t="str">
        <f aca="false">IF((G108&lt;&gt;0),"Enter Letter"," ")</f>
        <v> </v>
      </c>
      <c r="H108" s="338" t="str">
        <f aca="false">IF((G108&lt;&gt;0),IF((D108&gt;0)," ",G108)," ")</f>
        <v> </v>
      </c>
      <c r="I108" s="367" t="str">
        <f aca="false">IF((G108&lt;&gt;0),IF((D108&gt;0)," ",(I$1-A108))," ")</f>
        <v> </v>
      </c>
      <c r="J108" s="334" t="str">
        <f aca="false">IF((E108="s"),G108," ")</f>
        <v> </v>
      </c>
      <c r="K108" s="334" t="str">
        <f aca="false">IF((E108="d"),G108," ")</f>
        <v> </v>
      </c>
      <c r="L108" s="334" t="str">
        <f aca="false">IF((E108="e"),G108," ")</f>
        <v> </v>
      </c>
      <c r="M108" s="334" t="str">
        <f aca="false">IF((E108="p"),G108," ")</f>
        <v> </v>
      </c>
      <c r="N108" s="334" t="str">
        <f aca="false">IF((E108="r"),G108," ")</f>
        <v> </v>
      </c>
      <c r="O108" s="334" t="str">
        <f aca="false">IF((E108="g"),G108," ")</f>
        <v> </v>
      </c>
      <c r="P108" s="334" t="str">
        <f aca="false">IF((E108="m"),G108," ")</f>
        <v> </v>
      </c>
      <c r="Q108" s="334" t="str">
        <f aca="false">IF((E108="t"),G108," ")</f>
        <v> </v>
      </c>
      <c r="R108" s="334" t="str">
        <f aca="false">IF((E108="a"),G108," ")</f>
        <v> </v>
      </c>
      <c r="S108" s="334" t="str">
        <f aca="false">IF((E108="l"),G108," ")</f>
        <v> </v>
      </c>
      <c r="T108" s="334" t="str">
        <f aca="false">IF((E108="b"),G108," ")</f>
        <v> </v>
      </c>
      <c r="U108" s="334" t="str">
        <f aca="false">IF((E108="i"),G108," ")</f>
        <v> </v>
      </c>
      <c r="V108" s="334" t="str">
        <f aca="false">IF((E108="o"),G108," ")</f>
        <v> </v>
      </c>
      <c r="W108" s="334" t="str">
        <f aca="false">IF((E108="f"),G108," ")</f>
        <v> </v>
      </c>
    </row>
    <row r="109" customFormat="false" ht="12.75" hidden="false" customHeight="false" outlineLevel="0" collapsed="false">
      <c r="A109" s="355"/>
      <c r="E109" s="365" t="str">
        <f aca="false">IF((G109&lt;&gt;0),"Enter Letter"," ")</f>
        <v> </v>
      </c>
      <c r="H109" s="338" t="str">
        <f aca="false">IF((G109&lt;&gt;0),IF((D109&gt;0)," ",G109)," ")</f>
        <v> </v>
      </c>
      <c r="I109" s="367" t="str">
        <f aca="false">IF((G109&lt;&gt;0),IF((D109&gt;0)," ",(I$1-A109))," ")</f>
        <v> </v>
      </c>
      <c r="J109" s="334" t="str">
        <f aca="false">IF((E109="s"),G109," ")</f>
        <v> </v>
      </c>
      <c r="K109" s="334" t="str">
        <f aca="false">IF((E109="d"),G109," ")</f>
        <v> </v>
      </c>
      <c r="L109" s="334" t="str">
        <f aca="false">IF((E109="e"),G109," ")</f>
        <v> </v>
      </c>
      <c r="M109" s="334" t="str">
        <f aca="false">IF((E109="p"),G109," ")</f>
        <v> </v>
      </c>
      <c r="N109" s="334" t="str">
        <f aca="false">IF((E109="r"),G109," ")</f>
        <v> </v>
      </c>
      <c r="O109" s="334" t="str">
        <f aca="false">IF((E109="g"),G109," ")</f>
        <v> </v>
      </c>
      <c r="P109" s="334" t="str">
        <f aca="false">IF((E109="m"),G109," ")</f>
        <v> </v>
      </c>
      <c r="Q109" s="334" t="str">
        <f aca="false">IF((E109="t"),G109," ")</f>
        <v> </v>
      </c>
      <c r="R109" s="334" t="str">
        <f aca="false">IF((E109="a"),G109," ")</f>
        <v> </v>
      </c>
      <c r="S109" s="334" t="str">
        <f aca="false">IF((E109="l"),G109," ")</f>
        <v> </v>
      </c>
      <c r="T109" s="334" t="str">
        <f aca="false">IF((E109="b"),G109," ")</f>
        <v> </v>
      </c>
      <c r="U109" s="334" t="str">
        <f aca="false">IF((E109="i"),G109," ")</f>
        <v> </v>
      </c>
      <c r="V109" s="334" t="str">
        <f aca="false">IF((E109="o"),G109," ")</f>
        <v> </v>
      </c>
      <c r="W109" s="334" t="str">
        <f aca="false">IF((E109="f"),G109," ")</f>
        <v> </v>
      </c>
    </row>
    <row r="110" customFormat="false" ht="12.75" hidden="false" customHeight="false" outlineLevel="0" collapsed="false">
      <c r="A110" s="355"/>
      <c r="E110" s="365" t="str">
        <f aca="false">IF((G110&lt;&gt;0),"Enter Letter"," ")</f>
        <v> </v>
      </c>
      <c r="H110" s="338" t="str">
        <f aca="false">IF((G110&lt;&gt;0),IF((D110&gt;0)," ",G110)," ")</f>
        <v> </v>
      </c>
      <c r="I110" s="367" t="str">
        <f aca="false">IF((G110&lt;&gt;0),IF((D110&gt;0)," ",(I$1-A110))," ")</f>
        <v> </v>
      </c>
      <c r="J110" s="334" t="str">
        <f aca="false">IF((E110="s"),G110," ")</f>
        <v> </v>
      </c>
      <c r="K110" s="334" t="str">
        <f aca="false">IF((E110="d"),G110," ")</f>
        <v> </v>
      </c>
      <c r="L110" s="334" t="str">
        <f aca="false">IF((E110="e"),G110," ")</f>
        <v> </v>
      </c>
      <c r="M110" s="334" t="str">
        <f aca="false">IF((E110="p"),G110," ")</f>
        <v> </v>
      </c>
      <c r="N110" s="334" t="str">
        <f aca="false">IF((E110="r"),G110," ")</f>
        <v> </v>
      </c>
      <c r="O110" s="334" t="str">
        <f aca="false">IF((E110="g"),G110," ")</f>
        <v> </v>
      </c>
      <c r="P110" s="334" t="str">
        <f aca="false">IF((E110="m"),G110," ")</f>
        <v> </v>
      </c>
      <c r="Q110" s="334" t="str">
        <f aca="false">IF((E110="t"),G110," ")</f>
        <v> </v>
      </c>
      <c r="R110" s="334" t="str">
        <f aca="false">IF((E110="a"),G110," ")</f>
        <v> </v>
      </c>
      <c r="S110" s="334" t="str">
        <f aca="false">IF((E110="l"),G110," ")</f>
        <v> </v>
      </c>
      <c r="T110" s="334" t="str">
        <f aca="false">IF((E110="b"),G110," ")</f>
        <v> </v>
      </c>
      <c r="U110" s="334" t="str">
        <f aca="false">IF((E110="i"),G110," ")</f>
        <v> </v>
      </c>
      <c r="V110" s="334" t="str">
        <f aca="false">IF((E110="o"),G110," ")</f>
        <v> </v>
      </c>
      <c r="W110" s="334" t="str">
        <f aca="false">IF((E110="f"),G110," ")</f>
        <v> </v>
      </c>
    </row>
    <row r="111" customFormat="false" ht="12.75" hidden="false" customHeight="false" outlineLevel="0" collapsed="false">
      <c r="A111" s="355"/>
      <c r="E111" s="365" t="str">
        <f aca="false">IF((G111&lt;&gt;0),"Enter Letter"," ")</f>
        <v> </v>
      </c>
      <c r="H111" s="338" t="str">
        <f aca="false">IF((G111&lt;&gt;0),IF((D111&gt;0)," ",G111)," ")</f>
        <v> </v>
      </c>
      <c r="I111" s="367" t="str">
        <f aca="false">IF((G111&lt;&gt;0),IF((D111&gt;0)," ",(I$1-A111))," ")</f>
        <v> </v>
      </c>
      <c r="J111" s="334" t="str">
        <f aca="false">IF((E111="s"),G111," ")</f>
        <v> </v>
      </c>
      <c r="K111" s="334" t="str">
        <f aca="false">IF((E111="d"),G111," ")</f>
        <v> </v>
      </c>
      <c r="L111" s="334" t="str">
        <f aca="false">IF((E111="e"),G111," ")</f>
        <v> </v>
      </c>
      <c r="M111" s="334" t="str">
        <f aca="false">IF((E111="p"),G111," ")</f>
        <v> </v>
      </c>
      <c r="N111" s="334" t="str">
        <f aca="false">IF((E111="r"),G111," ")</f>
        <v> </v>
      </c>
      <c r="O111" s="334" t="str">
        <f aca="false">IF((E111="g"),G111," ")</f>
        <v> </v>
      </c>
      <c r="P111" s="334" t="str">
        <f aca="false">IF((E111="m"),G111," ")</f>
        <v> </v>
      </c>
      <c r="Q111" s="334" t="str">
        <f aca="false">IF((E111="t"),G111," ")</f>
        <v> </v>
      </c>
      <c r="R111" s="334" t="str">
        <f aca="false">IF((E111="a"),G111," ")</f>
        <v> </v>
      </c>
      <c r="S111" s="334" t="str">
        <f aca="false">IF((E111="l"),G111," ")</f>
        <v> </v>
      </c>
      <c r="T111" s="334" t="str">
        <f aca="false">IF((E111="b"),G111," ")</f>
        <v> </v>
      </c>
      <c r="U111" s="334" t="str">
        <f aca="false">IF((E111="i"),G111," ")</f>
        <v> </v>
      </c>
      <c r="V111" s="334" t="str">
        <f aca="false">IF((E111="o"),G111," ")</f>
        <v> </v>
      </c>
      <c r="W111" s="334" t="str">
        <f aca="false">IF((E111="f"),G111," ")</f>
        <v> </v>
      </c>
    </row>
    <row r="112" customFormat="false" ht="12.75" hidden="false" customHeight="false" outlineLevel="0" collapsed="false">
      <c r="A112" s="355"/>
      <c r="E112" s="365" t="str">
        <f aca="false">IF((G112&lt;&gt;0),"Enter Letter"," ")</f>
        <v> </v>
      </c>
      <c r="H112" s="338" t="str">
        <f aca="false">IF((G112&lt;&gt;0),IF((D112&gt;0)," ",G112)," ")</f>
        <v> </v>
      </c>
      <c r="I112" s="367" t="str">
        <f aca="false">IF((G112&lt;&gt;0),IF((D112&gt;0)," ",(I$1-A112))," ")</f>
        <v> </v>
      </c>
      <c r="J112" s="334" t="str">
        <f aca="false">IF((E112="s"),G112," ")</f>
        <v> </v>
      </c>
      <c r="K112" s="334" t="str">
        <f aca="false">IF((E112="d"),G112," ")</f>
        <v> </v>
      </c>
      <c r="L112" s="334" t="str">
        <f aca="false">IF((E112="e"),G112," ")</f>
        <v> </v>
      </c>
      <c r="M112" s="334" t="str">
        <f aca="false">IF((E112="p"),G112," ")</f>
        <v> </v>
      </c>
      <c r="N112" s="334" t="str">
        <f aca="false">IF((E112="r"),G112," ")</f>
        <v> </v>
      </c>
      <c r="O112" s="334" t="str">
        <f aca="false">IF((E112="g"),G112," ")</f>
        <v> </v>
      </c>
      <c r="P112" s="334" t="str">
        <f aca="false">IF((E112="m"),G112," ")</f>
        <v> </v>
      </c>
      <c r="Q112" s="334" t="str">
        <f aca="false">IF((E112="t"),G112," ")</f>
        <v> </v>
      </c>
      <c r="R112" s="334" t="str">
        <f aca="false">IF((E112="a"),G112," ")</f>
        <v> </v>
      </c>
      <c r="S112" s="334" t="str">
        <f aca="false">IF((E112="l"),G112," ")</f>
        <v> </v>
      </c>
      <c r="T112" s="334" t="str">
        <f aca="false">IF((E112="b"),G112," ")</f>
        <v> </v>
      </c>
      <c r="U112" s="334" t="str">
        <f aca="false">IF((E112="i"),G112," ")</f>
        <v> </v>
      </c>
      <c r="V112" s="334" t="str">
        <f aca="false">IF((E112="o"),G112," ")</f>
        <v> </v>
      </c>
      <c r="W112" s="334" t="str">
        <f aca="false">IF((E112="f"),G112," ")</f>
        <v> </v>
      </c>
    </row>
    <row r="113" customFormat="false" ht="12.75" hidden="false" customHeight="false" outlineLevel="0" collapsed="false">
      <c r="A113" s="355"/>
      <c r="E113" s="365" t="str">
        <f aca="false">IF((G113&lt;&gt;0),"Enter Letter"," ")</f>
        <v> </v>
      </c>
      <c r="H113" s="338" t="str">
        <f aca="false">IF((G113&lt;&gt;0),IF((D113&gt;0)," ",G113)," ")</f>
        <v> </v>
      </c>
      <c r="I113" s="367" t="str">
        <f aca="false">IF((G113&lt;&gt;0),IF((D113&gt;0)," ",(I$1-A113))," ")</f>
        <v> </v>
      </c>
      <c r="J113" s="334" t="str">
        <f aca="false">IF((E113="s"),G113," ")</f>
        <v> </v>
      </c>
      <c r="K113" s="334" t="str">
        <f aca="false">IF((E113="d"),G113," ")</f>
        <v> </v>
      </c>
      <c r="L113" s="334" t="str">
        <f aca="false">IF((E113="e"),G113," ")</f>
        <v> </v>
      </c>
      <c r="M113" s="334" t="str">
        <f aca="false">IF((E113="p"),G113," ")</f>
        <v> </v>
      </c>
      <c r="N113" s="334" t="str">
        <f aca="false">IF((E113="r"),G113," ")</f>
        <v> </v>
      </c>
      <c r="O113" s="334" t="str">
        <f aca="false">IF((E113="g"),G113," ")</f>
        <v> </v>
      </c>
      <c r="P113" s="334" t="str">
        <f aca="false">IF((E113="m"),G113," ")</f>
        <v> </v>
      </c>
      <c r="Q113" s="334" t="str">
        <f aca="false">IF((E113="t"),G113," ")</f>
        <v> </v>
      </c>
      <c r="R113" s="334" t="str">
        <f aca="false">IF((E113="a"),G113," ")</f>
        <v> </v>
      </c>
      <c r="S113" s="334" t="str">
        <f aca="false">IF((E113="l"),G113," ")</f>
        <v> </v>
      </c>
      <c r="T113" s="334" t="str">
        <f aca="false">IF((E113="b"),G113," ")</f>
        <v> </v>
      </c>
      <c r="U113" s="334" t="str">
        <f aca="false">IF((E113="i"),G113," ")</f>
        <v> </v>
      </c>
      <c r="V113" s="334" t="str">
        <f aca="false">IF((E113="o"),G113," ")</f>
        <v> </v>
      </c>
      <c r="W113" s="334" t="str">
        <f aca="false">IF((E113="f"),G113," ")</f>
        <v> </v>
      </c>
    </row>
    <row r="114" customFormat="false" ht="12.75" hidden="false" customHeight="false" outlineLevel="0" collapsed="false">
      <c r="A114" s="355"/>
      <c r="E114" s="365" t="str">
        <f aca="false">IF((G114&lt;&gt;0),"Enter Letter"," ")</f>
        <v> </v>
      </c>
      <c r="H114" s="338" t="str">
        <f aca="false">IF((G114&lt;&gt;0),IF((D114&gt;0)," ",G114)," ")</f>
        <v> </v>
      </c>
      <c r="I114" s="367" t="str">
        <f aca="false">IF((G114&lt;&gt;0),IF((D114&gt;0)," ",(I$1-A114))," ")</f>
        <v> </v>
      </c>
      <c r="J114" s="334" t="str">
        <f aca="false">IF((E114="s"),G114," ")</f>
        <v> </v>
      </c>
      <c r="K114" s="334" t="str">
        <f aca="false">IF((E114="d"),G114," ")</f>
        <v> </v>
      </c>
      <c r="L114" s="334" t="str">
        <f aca="false">IF((E114="e"),G114," ")</f>
        <v> </v>
      </c>
      <c r="M114" s="334" t="str">
        <f aca="false">IF((E114="p"),G114," ")</f>
        <v> </v>
      </c>
      <c r="N114" s="334" t="str">
        <f aca="false">IF((E114="r"),G114," ")</f>
        <v> </v>
      </c>
      <c r="O114" s="334" t="str">
        <f aca="false">IF((E114="g"),G114," ")</f>
        <v> </v>
      </c>
      <c r="P114" s="334" t="str">
        <f aca="false">IF((E114="m"),G114," ")</f>
        <v> </v>
      </c>
      <c r="Q114" s="334" t="str">
        <f aca="false">IF((E114="t"),G114," ")</f>
        <v> </v>
      </c>
      <c r="R114" s="334" t="str">
        <f aca="false">IF((E114="a"),G114," ")</f>
        <v> </v>
      </c>
      <c r="S114" s="334" t="str">
        <f aca="false">IF((E114="l"),G114," ")</f>
        <v> </v>
      </c>
      <c r="T114" s="334" t="str">
        <f aca="false">IF((E114="b"),G114," ")</f>
        <v> </v>
      </c>
      <c r="U114" s="334" t="str">
        <f aca="false">IF((E114="i"),G114," ")</f>
        <v> </v>
      </c>
      <c r="V114" s="334" t="str">
        <f aca="false">IF((E114="o"),G114," ")</f>
        <v> </v>
      </c>
      <c r="W114" s="334" t="str">
        <f aca="false">IF((E114="f"),G114," ")</f>
        <v> </v>
      </c>
    </row>
    <row r="115" customFormat="false" ht="12.75" hidden="false" customHeight="false" outlineLevel="0" collapsed="false">
      <c r="A115" s="355"/>
      <c r="E115" s="365" t="str">
        <f aca="false">IF((G115&lt;&gt;0),"Enter Letter"," ")</f>
        <v> </v>
      </c>
      <c r="H115" s="338" t="str">
        <f aca="false">IF((G115&lt;&gt;0),IF((D115&gt;0)," ",G115)," ")</f>
        <v> </v>
      </c>
      <c r="I115" s="367" t="str">
        <f aca="false">IF((G115&lt;&gt;0),IF((D115&gt;0)," ",(I$1-A115))," ")</f>
        <v> </v>
      </c>
      <c r="J115" s="334" t="str">
        <f aca="false">IF((E115="s"),G115," ")</f>
        <v> </v>
      </c>
      <c r="K115" s="334" t="str">
        <f aca="false">IF((E115="d"),G115," ")</f>
        <v> </v>
      </c>
      <c r="L115" s="334" t="str">
        <f aca="false">IF((E115="e"),G115," ")</f>
        <v> </v>
      </c>
      <c r="M115" s="334" t="str">
        <f aca="false">IF((E115="p"),G115," ")</f>
        <v> </v>
      </c>
      <c r="N115" s="334" t="str">
        <f aca="false">IF((E115="r"),G115," ")</f>
        <v> </v>
      </c>
      <c r="O115" s="334" t="str">
        <f aca="false">IF((E115="g"),G115," ")</f>
        <v> </v>
      </c>
      <c r="P115" s="334" t="str">
        <f aca="false">IF((E115="m"),G115," ")</f>
        <v> </v>
      </c>
      <c r="Q115" s="334" t="str">
        <f aca="false">IF((E115="t"),G115," ")</f>
        <v> </v>
      </c>
      <c r="R115" s="334" t="str">
        <f aca="false">IF((E115="a"),G115," ")</f>
        <v> </v>
      </c>
      <c r="S115" s="334" t="str">
        <f aca="false">IF((E115="l"),G115," ")</f>
        <v> </v>
      </c>
      <c r="T115" s="334" t="str">
        <f aca="false">IF((E115="b"),G115," ")</f>
        <v> </v>
      </c>
      <c r="U115" s="334" t="str">
        <f aca="false">IF((E115="i"),G115," ")</f>
        <v> </v>
      </c>
      <c r="V115" s="334" t="str">
        <f aca="false">IF((E115="o"),G115," ")</f>
        <v> </v>
      </c>
      <c r="W115" s="334" t="str">
        <f aca="false">IF((E115="f"),G115," ")</f>
        <v> </v>
      </c>
    </row>
    <row r="116" customFormat="false" ht="12.75" hidden="false" customHeight="false" outlineLevel="0" collapsed="false">
      <c r="A116" s="355"/>
      <c r="E116" s="365" t="str">
        <f aca="false">IF((G116&lt;&gt;0),"Enter Letter"," ")</f>
        <v> </v>
      </c>
      <c r="H116" s="338" t="str">
        <f aca="false">IF((G116&lt;&gt;0),IF((D116&gt;0)," ",G116)," ")</f>
        <v> </v>
      </c>
      <c r="I116" s="367" t="str">
        <f aca="false">IF((G116&lt;&gt;0),IF((D116&gt;0)," ",(I$1-A116))," ")</f>
        <v> </v>
      </c>
      <c r="J116" s="334" t="str">
        <f aca="false">IF((E116="s"),G116," ")</f>
        <v> </v>
      </c>
      <c r="K116" s="334" t="str">
        <f aca="false">IF((E116="d"),G116," ")</f>
        <v> </v>
      </c>
      <c r="L116" s="334" t="str">
        <f aca="false">IF((E116="e"),G116," ")</f>
        <v> </v>
      </c>
      <c r="M116" s="334" t="str">
        <f aca="false">IF((E116="p"),G116," ")</f>
        <v> </v>
      </c>
      <c r="N116" s="334" t="str">
        <f aca="false">IF((E116="r"),G116," ")</f>
        <v> </v>
      </c>
      <c r="O116" s="334" t="str">
        <f aca="false">IF((E116="g"),G116," ")</f>
        <v> </v>
      </c>
      <c r="P116" s="334" t="str">
        <f aca="false">IF((E116="m"),G116," ")</f>
        <v> </v>
      </c>
      <c r="Q116" s="334" t="str">
        <f aca="false">IF((E116="t"),G116," ")</f>
        <v> </v>
      </c>
      <c r="R116" s="334" t="str">
        <f aca="false">IF((E116="a"),G116," ")</f>
        <v> </v>
      </c>
      <c r="S116" s="334" t="str">
        <f aca="false">IF((E116="l"),G116," ")</f>
        <v> </v>
      </c>
      <c r="T116" s="334" t="str">
        <f aca="false">IF((E116="b"),G116," ")</f>
        <v> </v>
      </c>
      <c r="U116" s="334" t="str">
        <f aca="false">IF((E116="i"),G116," ")</f>
        <v> </v>
      </c>
      <c r="V116" s="334" t="str">
        <f aca="false">IF((E116="o"),G116," ")</f>
        <v> </v>
      </c>
      <c r="W116" s="334" t="str">
        <f aca="false">IF((E116="f"),G116," ")</f>
        <v> </v>
      </c>
    </row>
    <row r="117" customFormat="false" ht="12.75" hidden="false" customHeight="false" outlineLevel="0" collapsed="false">
      <c r="A117" s="355"/>
      <c r="E117" s="365" t="str">
        <f aca="false">IF((G117&lt;&gt;0),"Enter Letter"," ")</f>
        <v> </v>
      </c>
      <c r="H117" s="338" t="str">
        <f aca="false">IF((G117&lt;&gt;0),IF((D117&gt;0)," ",G117)," ")</f>
        <v> </v>
      </c>
      <c r="I117" s="367" t="str">
        <f aca="false">IF((G117&lt;&gt;0),IF((D117&gt;0)," ",(I$1-A117))," ")</f>
        <v> </v>
      </c>
      <c r="J117" s="334" t="str">
        <f aca="false">IF((E117="s"),G117," ")</f>
        <v> </v>
      </c>
      <c r="K117" s="334" t="str">
        <f aca="false">IF((E117="d"),G117," ")</f>
        <v> </v>
      </c>
      <c r="L117" s="334" t="str">
        <f aca="false">IF((E117="e"),G117," ")</f>
        <v> </v>
      </c>
      <c r="M117" s="334" t="str">
        <f aca="false">IF((E117="p"),G117," ")</f>
        <v> </v>
      </c>
      <c r="N117" s="334" t="str">
        <f aca="false">IF((E117="r"),G117," ")</f>
        <v> </v>
      </c>
      <c r="O117" s="334" t="str">
        <f aca="false">IF((E117="g"),G117," ")</f>
        <v> </v>
      </c>
      <c r="P117" s="334" t="str">
        <f aca="false">IF((E117="m"),G117," ")</f>
        <v> </v>
      </c>
      <c r="Q117" s="334" t="str">
        <f aca="false">IF((E117="t"),G117," ")</f>
        <v> </v>
      </c>
      <c r="R117" s="334" t="str">
        <f aca="false">IF((E117="a"),G117," ")</f>
        <v> </v>
      </c>
      <c r="S117" s="334" t="str">
        <f aca="false">IF((E117="l"),G117," ")</f>
        <v> </v>
      </c>
      <c r="T117" s="334" t="str">
        <f aca="false">IF((E117="b"),G117," ")</f>
        <v> </v>
      </c>
      <c r="U117" s="334" t="str">
        <f aca="false">IF((E117="i"),G117," ")</f>
        <v> </v>
      </c>
      <c r="V117" s="334" t="str">
        <f aca="false">IF((E117="o"),G117," ")</f>
        <v> </v>
      </c>
      <c r="W117" s="334" t="str">
        <f aca="false">IF((E117="f"),G117," ")</f>
        <v> </v>
      </c>
    </row>
    <row r="118" customFormat="false" ht="12.75" hidden="false" customHeight="false" outlineLevel="0" collapsed="false">
      <c r="A118" s="355"/>
      <c r="E118" s="365" t="str">
        <f aca="false">IF((G118&lt;&gt;0),"Enter Letter"," ")</f>
        <v> </v>
      </c>
      <c r="H118" s="338" t="str">
        <f aca="false">IF((G118&lt;&gt;0),IF((D118&gt;0)," ",G118)," ")</f>
        <v> </v>
      </c>
      <c r="I118" s="367" t="str">
        <f aca="false">IF((G118&lt;&gt;0),IF((D118&gt;0)," ",(I$1-A118))," ")</f>
        <v> </v>
      </c>
      <c r="J118" s="334" t="str">
        <f aca="false">IF((E118="s"),G118," ")</f>
        <v> </v>
      </c>
      <c r="K118" s="334" t="str">
        <f aca="false">IF((E118="d"),G118," ")</f>
        <v> </v>
      </c>
      <c r="L118" s="334" t="str">
        <f aca="false">IF((E118="e"),G118," ")</f>
        <v> </v>
      </c>
      <c r="M118" s="334" t="str">
        <f aca="false">IF((E118="p"),G118," ")</f>
        <v> </v>
      </c>
      <c r="N118" s="334" t="str">
        <f aca="false">IF((E118="r"),G118," ")</f>
        <v> </v>
      </c>
      <c r="O118" s="334" t="str">
        <f aca="false">IF((E118="g"),G118," ")</f>
        <v> </v>
      </c>
      <c r="P118" s="334" t="str">
        <f aca="false">IF((E118="m"),G118," ")</f>
        <v> </v>
      </c>
      <c r="Q118" s="334" t="str">
        <f aca="false">IF((E118="t"),G118," ")</f>
        <v> </v>
      </c>
      <c r="R118" s="334" t="str">
        <f aca="false">IF((E118="a"),G118," ")</f>
        <v> </v>
      </c>
      <c r="S118" s="334" t="str">
        <f aca="false">IF((E118="l"),G118," ")</f>
        <v> </v>
      </c>
      <c r="T118" s="334" t="str">
        <f aca="false">IF((E118="b"),G118," ")</f>
        <v> </v>
      </c>
      <c r="U118" s="334" t="str">
        <f aca="false">IF((E118="i"),G118," ")</f>
        <v> </v>
      </c>
      <c r="V118" s="334" t="str">
        <f aca="false">IF((E118="o"),G118," ")</f>
        <v> </v>
      </c>
      <c r="W118" s="334" t="str">
        <f aca="false">IF((E118="f"),G118," ")</f>
        <v> </v>
      </c>
    </row>
    <row r="119" customFormat="false" ht="12.75" hidden="false" customHeight="false" outlineLevel="0" collapsed="false">
      <c r="A119" s="355"/>
      <c r="E119" s="365" t="str">
        <f aca="false">IF((G119&lt;&gt;0),"Enter Letter"," ")</f>
        <v> </v>
      </c>
      <c r="H119" s="338" t="str">
        <f aca="false">IF((G119&lt;&gt;0),IF((D119&gt;0)," ",G119)," ")</f>
        <v> </v>
      </c>
      <c r="I119" s="367" t="str">
        <f aca="false">IF((G119&lt;&gt;0),IF((D119&gt;0)," ",(I$1-A119))," ")</f>
        <v> </v>
      </c>
      <c r="J119" s="334" t="str">
        <f aca="false">IF((E119="s"),G119," ")</f>
        <v> </v>
      </c>
      <c r="K119" s="334" t="str">
        <f aca="false">IF((E119="d"),G119," ")</f>
        <v> </v>
      </c>
      <c r="L119" s="334" t="str">
        <f aca="false">IF((E119="e"),G119," ")</f>
        <v> </v>
      </c>
      <c r="M119" s="334" t="str">
        <f aca="false">IF((E119="p"),G119," ")</f>
        <v> </v>
      </c>
      <c r="N119" s="334" t="str">
        <f aca="false">IF((E119="r"),G119," ")</f>
        <v> </v>
      </c>
      <c r="O119" s="334" t="str">
        <f aca="false">IF((E119="g"),G119," ")</f>
        <v> </v>
      </c>
      <c r="P119" s="334" t="str">
        <f aca="false">IF((E119="m"),G119," ")</f>
        <v> </v>
      </c>
      <c r="Q119" s="334" t="str">
        <f aca="false">IF((E119="t"),G119," ")</f>
        <v> </v>
      </c>
      <c r="R119" s="334" t="str">
        <f aca="false">IF((E119="a"),G119," ")</f>
        <v> </v>
      </c>
      <c r="S119" s="334" t="str">
        <f aca="false">IF((E119="l"),G119," ")</f>
        <v> </v>
      </c>
      <c r="T119" s="334" t="str">
        <f aca="false">IF((E119="b"),G119," ")</f>
        <v> </v>
      </c>
      <c r="U119" s="334" t="str">
        <f aca="false">IF((E119="i"),G119," ")</f>
        <v> </v>
      </c>
      <c r="V119" s="334" t="str">
        <f aca="false">IF((E119="o"),G119," ")</f>
        <v> </v>
      </c>
      <c r="W119" s="334" t="str">
        <f aca="false">IF((E119="f"),G119," ")</f>
        <v> </v>
      </c>
    </row>
    <row r="120" customFormat="false" ht="12.75" hidden="false" customHeight="false" outlineLevel="0" collapsed="false">
      <c r="A120" s="355"/>
      <c r="E120" s="365" t="str">
        <f aca="false">IF((G120&lt;&gt;0),"Enter Letter"," ")</f>
        <v> </v>
      </c>
      <c r="H120" s="338" t="str">
        <f aca="false">IF((G120&lt;&gt;0),IF((D120&gt;0)," ",G120)," ")</f>
        <v> </v>
      </c>
      <c r="I120" s="367" t="str">
        <f aca="false">IF((G120&lt;&gt;0),IF((D120&gt;0)," ",(I$1-A120))," ")</f>
        <v> </v>
      </c>
      <c r="J120" s="334" t="str">
        <f aca="false">IF((E120="s"),G120," ")</f>
        <v> </v>
      </c>
      <c r="K120" s="334" t="str">
        <f aca="false">IF((E120="d"),G120," ")</f>
        <v> </v>
      </c>
      <c r="L120" s="334" t="str">
        <f aca="false">IF((E120="e"),G120," ")</f>
        <v> </v>
      </c>
      <c r="M120" s="334" t="str">
        <f aca="false">IF((E120="p"),G120," ")</f>
        <v> </v>
      </c>
      <c r="N120" s="334" t="str">
        <f aca="false">IF((E120="r"),G120," ")</f>
        <v> </v>
      </c>
      <c r="O120" s="334" t="str">
        <f aca="false">IF((E120="g"),G120," ")</f>
        <v> </v>
      </c>
      <c r="P120" s="334" t="str">
        <f aca="false">IF((E120="m"),G120," ")</f>
        <v> </v>
      </c>
      <c r="Q120" s="334" t="str">
        <f aca="false">IF((E120="t"),G120," ")</f>
        <v> </v>
      </c>
      <c r="R120" s="334" t="str">
        <f aca="false">IF((E120="a"),G120," ")</f>
        <v> </v>
      </c>
      <c r="S120" s="334" t="str">
        <f aca="false">IF((E120="l"),G120," ")</f>
        <v> </v>
      </c>
      <c r="T120" s="334" t="str">
        <f aca="false">IF((E120="b"),G120," ")</f>
        <v> </v>
      </c>
      <c r="U120" s="334" t="str">
        <f aca="false">IF((E120="i"),G120," ")</f>
        <v> </v>
      </c>
      <c r="V120" s="334" t="str">
        <f aca="false">IF((E120="o"),G120," ")</f>
        <v> </v>
      </c>
      <c r="W120" s="334" t="str">
        <f aca="false">IF((E120="f"),G120," ")</f>
        <v> </v>
      </c>
    </row>
    <row r="121" customFormat="false" ht="12.75" hidden="false" customHeight="false" outlineLevel="0" collapsed="false">
      <c r="A121" s="355"/>
      <c r="E121" s="365" t="str">
        <f aca="false">IF((G121&lt;&gt;0),"Enter Letter"," ")</f>
        <v> </v>
      </c>
      <c r="H121" s="338" t="str">
        <f aca="false">IF((G121&lt;&gt;0),IF((D121&gt;0)," ",G121)," ")</f>
        <v> </v>
      </c>
      <c r="I121" s="367" t="str">
        <f aca="false">IF((G121&lt;&gt;0),IF((D121&gt;0)," ",(I$1-A121))," ")</f>
        <v> </v>
      </c>
      <c r="J121" s="334" t="str">
        <f aca="false">IF((E121="s"),G121," ")</f>
        <v> </v>
      </c>
      <c r="K121" s="334" t="str">
        <f aca="false">IF((E121="d"),G121," ")</f>
        <v> </v>
      </c>
      <c r="L121" s="334" t="str">
        <f aca="false">IF((E121="e"),G121," ")</f>
        <v> </v>
      </c>
      <c r="M121" s="334" t="str">
        <f aca="false">IF((E121="p"),G121," ")</f>
        <v> </v>
      </c>
      <c r="N121" s="334" t="str">
        <f aca="false">IF((E121="r"),G121," ")</f>
        <v> </v>
      </c>
      <c r="O121" s="334" t="str">
        <f aca="false">IF((E121="g"),G121," ")</f>
        <v> </v>
      </c>
      <c r="P121" s="334" t="str">
        <f aca="false">IF((E121="m"),G121," ")</f>
        <v> </v>
      </c>
      <c r="Q121" s="334" t="str">
        <f aca="false">IF((E121="t"),G121," ")</f>
        <v> </v>
      </c>
      <c r="R121" s="334" t="str">
        <f aca="false">IF((E121="a"),G121," ")</f>
        <v> </v>
      </c>
      <c r="S121" s="334" t="str">
        <f aca="false">IF((E121="l"),G121," ")</f>
        <v> </v>
      </c>
      <c r="T121" s="334" t="str">
        <f aca="false">IF((E121="b"),G121," ")</f>
        <v> </v>
      </c>
      <c r="U121" s="334" t="str">
        <f aca="false">IF((E121="i"),G121," ")</f>
        <v> </v>
      </c>
      <c r="V121" s="334" t="str">
        <f aca="false">IF((E121="o"),G121," ")</f>
        <v> </v>
      </c>
      <c r="W121" s="334" t="str">
        <f aca="false">IF((E121="f"),G121," ")</f>
        <v> </v>
      </c>
    </row>
    <row r="122" customFormat="false" ht="12.75" hidden="false" customHeight="false" outlineLevel="0" collapsed="false">
      <c r="A122" s="355"/>
      <c r="E122" s="365" t="str">
        <f aca="false">IF((G122&lt;&gt;0),"Enter Letter"," ")</f>
        <v> </v>
      </c>
      <c r="H122" s="338" t="str">
        <f aca="false">IF((G122&lt;&gt;0),IF((D122&gt;0)," ",G122)," ")</f>
        <v> </v>
      </c>
      <c r="I122" s="367" t="str">
        <f aca="false">IF((G122&lt;&gt;0),IF((D122&gt;0)," ",(I$1-A122))," ")</f>
        <v> </v>
      </c>
      <c r="J122" s="334" t="str">
        <f aca="false">IF((E122="s"),G122," ")</f>
        <v> </v>
      </c>
      <c r="K122" s="334" t="str">
        <f aca="false">IF((E122="d"),G122," ")</f>
        <v> </v>
      </c>
      <c r="L122" s="334" t="str">
        <f aca="false">IF((E122="e"),G122," ")</f>
        <v> </v>
      </c>
      <c r="M122" s="334" t="str">
        <f aca="false">IF((E122="p"),G122," ")</f>
        <v> </v>
      </c>
      <c r="N122" s="334" t="str">
        <f aca="false">IF((E122="r"),G122," ")</f>
        <v> </v>
      </c>
      <c r="O122" s="334" t="str">
        <f aca="false">IF((E122="g"),G122," ")</f>
        <v> </v>
      </c>
      <c r="P122" s="334" t="str">
        <f aca="false">IF((E122="m"),G122," ")</f>
        <v> </v>
      </c>
      <c r="Q122" s="334" t="str">
        <f aca="false">IF((E122="t"),G122," ")</f>
        <v> </v>
      </c>
      <c r="R122" s="334" t="str">
        <f aca="false">IF((E122="a"),G122," ")</f>
        <v> </v>
      </c>
      <c r="S122" s="334" t="str">
        <f aca="false">IF((E122="l"),G122," ")</f>
        <v> </v>
      </c>
      <c r="T122" s="334" t="str">
        <f aca="false">IF((E122="b"),G122," ")</f>
        <v> </v>
      </c>
      <c r="U122" s="334" t="str">
        <f aca="false">IF((E122="i"),G122," ")</f>
        <v> </v>
      </c>
      <c r="V122" s="334" t="str">
        <f aca="false">IF((E122="o"),G122," ")</f>
        <v> </v>
      </c>
      <c r="W122" s="334" t="str">
        <f aca="false">IF((E122="f"),G122," ")</f>
        <v> </v>
      </c>
    </row>
    <row r="123" customFormat="false" ht="12.75" hidden="false" customHeight="false" outlineLevel="0" collapsed="false">
      <c r="A123" s="355"/>
      <c r="E123" s="365" t="str">
        <f aca="false">IF((G123&lt;&gt;0),"Enter Letter"," ")</f>
        <v> </v>
      </c>
      <c r="H123" s="338" t="str">
        <f aca="false">IF((G123&lt;&gt;0),IF((D123&gt;0)," ",G123)," ")</f>
        <v> </v>
      </c>
      <c r="I123" s="367" t="str">
        <f aca="false">IF((G123&lt;&gt;0),IF((D123&gt;0)," ",(I$1-A123))," ")</f>
        <v> </v>
      </c>
      <c r="J123" s="334" t="str">
        <f aca="false">IF((E123="s"),G123," ")</f>
        <v> </v>
      </c>
      <c r="K123" s="334" t="str">
        <f aca="false">IF((E123="d"),G123," ")</f>
        <v> </v>
      </c>
      <c r="L123" s="334" t="str">
        <f aca="false">IF((E123="e"),G123," ")</f>
        <v> </v>
      </c>
      <c r="M123" s="334" t="str">
        <f aca="false">IF((E123="p"),G123," ")</f>
        <v> </v>
      </c>
      <c r="N123" s="334" t="str">
        <f aca="false">IF((E123="r"),G123," ")</f>
        <v> </v>
      </c>
      <c r="O123" s="334" t="str">
        <f aca="false">IF((E123="g"),G123," ")</f>
        <v> </v>
      </c>
      <c r="P123" s="334" t="str">
        <f aca="false">IF((E123="m"),G123," ")</f>
        <v> </v>
      </c>
      <c r="Q123" s="334" t="str">
        <f aca="false">IF((E123="t"),G123," ")</f>
        <v> </v>
      </c>
      <c r="R123" s="334" t="str">
        <f aca="false">IF((E123="a"),G123," ")</f>
        <v> </v>
      </c>
      <c r="S123" s="334" t="str">
        <f aca="false">IF((E123="l"),G123," ")</f>
        <v> </v>
      </c>
      <c r="T123" s="334" t="str">
        <f aca="false">IF((E123="b"),G123," ")</f>
        <v> </v>
      </c>
      <c r="U123" s="334" t="str">
        <f aca="false">IF((E123="i"),G123," ")</f>
        <v> </v>
      </c>
      <c r="V123" s="334" t="str">
        <f aca="false">IF((E123="o"),G123," ")</f>
        <v> </v>
      </c>
      <c r="W123" s="334" t="str">
        <f aca="false">IF((E123="f"),G123," ")</f>
        <v> </v>
      </c>
    </row>
    <row r="124" customFormat="false" ht="12.75" hidden="false" customHeight="false" outlineLevel="0" collapsed="false">
      <c r="A124" s="355"/>
      <c r="E124" s="365" t="str">
        <f aca="false">IF((G124&lt;&gt;0),"Enter Letter"," ")</f>
        <v> </v>
      </c>
      <c r="H124" s="338" t="str">
        <f aca="false">IF((G124&lt;&gt;0),IF((D124&gt;0)," ",G124)," ")</f>
        <v> </v>
      </c>
      <c r="I124" s="367" t="str">
        <f aca="false">IF((G124&lt;&gt;0),IF((D124&gt;0)," ",(I$1-A124))," ")</f>
        <v> </v>
      </c>
      <c r="J124" s="334" t="str">
        <f aca="false">IF((E124="s"),G124," ")</f>
        <v> </v>
      </c>
      <c r="K124" s="334" t="str">
        <f aca="false">IF((E124="d"),G124," ")</f>
        <v> </v>
      </c>
      <c r="L124" s="334" t="str">
        <f aca="false">IF((E124="e"),G124," ")</f>
        <v> </v>
      </c>
      <c r="M124" s="334" t="str">
        <f aca="false">IF((E124="p"),G124," ")</f>
        <v> </v>
      </c>
      <c r="N124" s="334" t="str">
        <f aca="false">IF((E124="r"),G124," ")</f>
        <v> </v>
      </c>
      <c r="O124" s="334" t="str">
        <f aca="false">IF((E124="g"),G124," ")</f>
        <v> </v>
      </c>
      <c r="P124" s="334" t="str">
        <f aca="false">IF((E124="m"),G124," ")</f>
        <v> </v>
      </c>
      <c r="Q124" s="334" t="str">
        <f aca="false">IF((E124="t"),G124," ")</f>
        <v> </v>
      </c>
      <c r="R124" s="334" t="str">
        <f aca="false">IF((E124="a"),G124," ")</f>
        <v> </v>
      </c>
      <c r="S124" s="334" t="str">
        <f aca="false">IF((E124="l"),G124," ")</f>
        <v> </v>
      </c>
      <c r="T124" s="334" t="str">
        <f aca="false">IF((E124="b"),G124," ")</f>
        <v> </v>
      </c>
      <c r="U124" s="334" t="str">
        <f aca="false">IF((E124="i"),G124," ")</f>
        <v> </v>
      </c>
      <c r="V124" s="334" t="str">
        <f aca="false">IF((E124="o"),G124," ")</f>
        <v> </v>
      </c>
      <c r="W124" s="334" t="str">
        <f aca="false">IF((E124="f"),G124," ")</f>
        <v> </v>
      </c>
    </row>
    <row r="125" customFormat="false" ht="12.75" hidden="false" customHeight="false" outlineLevel="0" collapsed="false">
      <c r="A125" s="355"/>
      <c r="E125" s="365" t="str">
        <f aca="false">IF((G125&lt;&gt;0),"Enter Letter"," ")</f>
        <v> </v>
      </c>
      <c r="H125" s="338" t="str">
        <f aca="false">IF((G125&lt;&gt;0),IF((D125&gt;0)," ",G125)," ")</f>
        <v> </v>
      </c>
      <c r="I125" s="367" t="str">
        <f aca="false">IF((G125&lt;&gt;0),IF((D125&gt;0)," ",(I$1-A125))," ")</f>
        <v> </v>
      </c>
      <c r="J125" s="334" t="str">
        <f aca="false">IF((E125="s"),G125," ")</f>
        <v> </v>
      </c>
      <c r="K125" s="334" t="str">
        <f aca="false">IF((E125="d"),G125," ")</f>
        <v> </v>
      </c>
      <c r="L125" s="334" t="str">
        <f aca="false">IF((E125="e"),G125," ")</f>
        <v> </v>
      </c>
      <c r="M125" s="334" t="str">
        <f aca="false">IF((E125="p"),G125," ")</f>
        <v> </v>
      </c>
      <c r="N125" s="334" t="str">
        <f aca="false">IF((E125="r"),G125," ")</f>
        <v> </v>
      </c>
      <c r="O125" s="334" t="str">
        <f aca="false">IF((E125="g"),G125," ")</f>
        <v> </v>
      </c>
      <c r="P125" s="334" t="str">
        <f aca="false">IF((E125="m"),G125," ")</f>
        <v> </v>
      </c>
      <c r="Q125" s="334" t="str">
        <f aca="false">IF((E125="t"),G125," ")</f>
        <v> </v>
      </c>
      <c r="R125" s="334" t="str">
        <f aca="false">IF((E125="a"),G125," ")</f>
        <v> </v>
      </c>
      <c r="S125" s="334" t="str">
        <f aca="false">IF((E125="l"),G125," ")</f>
        <v> </v>
      </c>
      <c r="T125" s="334" t="str">
        <f aca="false">IF((E125="b"),G125," ")</f>
        <v> </v>
      </c>
      <c r="U125" s="334" t="str">
        <f aca="false">IF((E125="i"),G125," ")</f>
        <v> </v>
      </c>
      <c r="V125" s="334" t="str">
        <f aca="false">IF((E125="o"),G125," ")</f>
        <v> </v>
      </c>
      <c r="W125" s="334" t="str">
        <f aca="false">IF((E125="f"),G125," ")</f>
        <v> </v>
      </c>
    </row>
    <row r="126" customFormat="false" ht="12.75" hidden="false" customHeight="false" outlineLevel="0" collapsed="false">
      <c r="A126" s="355"/>
      <c r="E126" s="365" t="str">
        <f aca="false">IF((G126&lt;&gt;0),"Enter Letter"," ")</f>
        <v> </v>
      </c>
      <c r="H126" s="338" t="str">
        <f aca="false">IF((G126&lt;&gt;0),IF((D126&gt;0)," ",G126)," ")</f>
        <v> </v>
      </c>
      <c r="I126" s="367" t="str">
        <f aca="false">IF((G126&lt;&gt;0),IF((D126&gt;0)," ",(I$1-A126))," ")</f>
        <v> </v>
      </c>
      <c r="J126" s="334" t="str">
        <f aca="false">IF((E126="s"),G126," ")</f>
        <v> </v>
      </c>
      <c r="K126" s="334" t="str">
        <f aca="false">IF((E126="d"),G126," ")</f>
        <v> </v>
      </c>
      <c r="L126" s="334" t="str">
        <f aca="false">IF((E126="e"),G126," ")</f>
        <v> </v>
      </c>
      <c r="M126" s="334" t="str">
        <f aca="false">IF((E126="p"),G126," ")</f>
        <v> </v>
      </c>
      <c r="N126" s="334" t="str">
        <f aca="false">IF((E126="r"),G126," ")</f>
        <v> </v>
      </c>
      <c r="O126" s="334" t="str">
        <f aca="false">IF((E126="g"),G126," ")</f>
        <v> </v>
      </c>
      <c r="P126" s="334" t="str">
        <f aca="false">IF((E126="m"),G126," ")</f>
        <v> </v>
      </c>
      <c r="Q126" s="334" t="str">
        <f aca="false">IF((E126="t"),G126," ")</f>
        <v> </v>
      </c>
      <c r="R126" s="334" t="str">
        <f aca="false">IF((E126="a"),G126," ")</f>
        <v> </v>
      </c>
      <c r="S126" s="334" t="str">
        <f aca="false">IF((E126="l"),G126," ")</f>
        <v> </v>
      </c>
      <c r="T126" s="334" t="str">
        <f aca="false">IF((E126="b"),G126," ")</f>
        <v> </v>
      </c>
      <c r="U126" s="334" t="str">
        <f aca="false">IF((E126="i"),G126," ")</f>
        <v> </v>
      </c>
      <c r="V126" s="334" t="str">
        <f aca="false">IF((E126="o"),G126," ")</f>
        <v> </v>
      </c>
      <c r="W126" s="334" t="str">
        <f aca="false">IF((E126="f"),G126," ")</f>
        <v> </v>
      </c>
    </row>
    <row r="127" customFormat="false" ht="12.75" hidden="false" customHeight="false" outlineLevel="0" collapsed="false">
      <c r="A127" s="355"/>
      <c r="E127" s="365" t="str">
        <f aca="false">IF((G127&lt;&gt;0),"Enter Letter"," ")</f>
        <v> </v>
      </c>
      <c r="H127" s="338" t="str">
        <f aca="false">IF((G127&lt;&gt;0),IF((D127&gt;0)," ",G127)," ")</f>
        <v> </v>
      </c>
      <c r="I127" s="367" t="str">
        <f aca="false">IF((G127&lt;&gt;0),IF((D127&gt;0)," ",(I$1-A127))," ")</f>
        <v> </v>
      </c>
      <c r="J127" s="334" t="str">
        <f aca="false">IF((E127="s"),G127," ")</f>
        <v> </v>
      </c>
      <c r="K127" s="334" t="str">
        <f aca="false">IF((E127="d"),G127," ")</f>
        <v> </v>
      </c>
      <c r="L127" s="334" t="str">
        <f aca="false">IF((E127="e"),G127," ")</f>
        <v> </v>
      </c>
      <c r="M127" s="334" t="str">
        <f aca="false">IF((E127="p"),G127," ")</f>
        <v> </v>
      </c>
      <c r="N127" s="334" t="str">
        <f aca="false">IF((E127="r"),G127," ")</f>
        <v> </v>
      </c>
      <c r="O127" s="334" t="str">
        <f aca="false">IF((E127="g"),G127," ")</f>
        <v> </v>
      </c>
      <c r="P127" s="334" t="str">
        <f aca="false">IF((E127="m"),G127," ")</f>
        <v> </v>
      </c>
      <c r="Q127" s="334" t="str">
        <f aca="false">IF((E127="t"),G127," ")</f>
        <v> </v>
      </c>
      <c r="R127" s="334" t="str">
        <f aca="false">IF((E127="a"),G127," ")</f>
        <v> </v>
      </c>
      <c r="S127" s="334" t="str">
        <f aca="false">IF((E127="l"),G127," ")</f>
        <v> </v>
      </c>
      <c r="T127" s="334" t="str">
        <f aca="false">IF((E127="b"),G127," ")</f>
        <v> </v>
      </c>
      <c r="U127" s="334" t="str">
        <f aca="false">IF((E127="i"),G127," ")</f>
        <v> </v>
      </c>
      <c r="V127" s="334" t="str">
        <f aca="false">IF((E127="o"),G127," ")</f>
        <v> </v>
      </c>
      <c r="W127" s="334" t="str">
        <f aca="false">IF((E127="f"),G127," ")</f>
        <v> </v>
      </c>
    </row>
    <row r="128" customFormat="false" ht="12.75" hidden="false" customHeight="false" outlineLevel="0" collapsed="false">
      <c r="A128" s="355"/>
      <c r="E128" s="365" t="str">
        <f aca="false">IF((G128&lt;&gt;0),"Enter Letter"," ")</f>
        <v> </v>
      </c>
      <c r="H128" s="338" t="str">
        <f aca="false">IF((G128&lt;&gt;0),IF((D128&gt;0)," ",G128)," ")</f>
        <v> </v>
      </c>
      <c r="I128" s="367" t="str">
        <f aca="false">IF((G128&lt;&gt;0),IF((D128&gt;0)," ",(I$1-A128))," ")</f>
        <v> </v>
      </c>
      <c r="J128" s="334" t="str">
        <f aca="false">IF((E128="s"),G128," ")</f>
        <v> </v>
      </c>
      <c r="K128" s="334" t="str">
        <f aca="false">IF((E128="d"),G128," ")</f>
        <v> </v>
      </c>
      <c r="L128" s="334" t="str">
        <f aca="false">IF((E128="e"),G128," ")</f>
        <v> </v>
      </c>
      <c r="M128" s="334" t="str">
        <f aca="false">IF((E128="p"),G128," ")</f>
        <v> </v>
      </c>
      <c r="N128" s="334" t="str">
        <f aca="false">IF((E128="r"),G128," ")</f>
        <v> </v>
      </c>
      <c r="O128" s="334" t="str">
        <f aca="false">IF((E128="g"),G128," ")</f>
        <v> </v>
      </c>
      <c r="P128" s="334" t="str">
        <f aca="false">IF((E128="m"),G128," ")</f>
        <v> </v>
      </c>
      <c r="Q128" s="334" t="str">
        <f aca="false">IF((E128="t"),G128," ")</f>
        <v> </v>
      </c>
      <c r="R128" s="334" t="str">
        <f aca="false">IF((E128="a"),G128," ")</f>
        <v> </v>
      </c>
      <c r="S128" s="334" t="str">
        <f aca="false">IF((E128="l"),G128," ")</f>
        <v> </v>
      </c>
      <c r="T128" s="334" t="str">
        <f aca="false">IF((E128="b"),G128," ")</f>
        <v> </v>
      </c>
      <c r="U128" s="334" t="str">
        <f aca="false">IF((E128="i"),G128," ")</f>
        <v> </v>
      </c>
      <c r="V128" s="334" t="str">
        <f aca="false">IF((E128="o"),G128," ")</f>
        <v> </v>
      </c>
      <c r="W128" s="334" t="str">
        <f aca="false">IF((E128="f"),G128," ")</f>
        <v> </v>
      </c>
    </row>
    <row r="129" customFormat="false" ht="12.75" hidden="false" customHeight="false" outlineLevel="0" collapsed="false">
      <c r="A129" s="355"/>
      <c r="E129" s="365" t="str">
        <f aca="false">IF((G129&lt;&gt;0),"Enter Letter"," ")</f>
        <v> </v>
      </c>
      <c r="H129" s="338" t="str">
        <f aca="false">IF((G129&lt;&gt;0),IF((D129&gt;0)," ",G129)," ")</f>
        <v> </v>
      </c>
      <c r="I129" s="367" t="str">
        <f aca="false">IF((G129&lt;&gt;0),IF((D129&gt;0)," ",(I$1-A129))," ")</f>
        <v> </v>
      </c>
      <c r="J129" s="334" t="str">
        <f aca="false">IF((E129="s"),G129," ")</f>
        <v> </v>
      </c>
      <c r="K129" s="334" t="str">
        <f aca="false">IF((E129="d"),G129," ")</f>
        <v> </v>
      </c>
      <c r="L129" s="334" t="str">
        <f aca="false">IF((E129="e"),G129," ")</f>
        <v> </v>
      </c>
      <c r="M129" s="334" t="str">
        <f aca="false">IF((E129="p"),G129," ")</f>
        <v> </v>
      </c>
      <c r="N129" s="334" t="str">
        <f aca="false">IF((E129="r"),G129," ")</f>
        <v> </v>
      </c>
      <c r="O129" s="334" t="str">
        <f aca="false">IF((E129="g"),G129," ")</f>
        <v> </v>
      </c>
      <c r="P129" s="334" t="str">
        <f aca="false">IF((E129="m"),G129," ")</f>
        <v> </v>
      </c>
      <c r="Q129" s="334" t="str">
        <f aca="false">IF((E129="t"),G129," ")</f>
        <v> </v>
      </c>
      <c r="R129" s="334" t="str">
        <f aca="false">IF((E129="a"),G129," ")</f>
        <v> </v>
      </c>
      <c r="S129" s="334" t="str">
        <f aca="false">IF((E129="l"),G129," ")</f>
        <v> </v>
      </c>
      <c r="T129" s="334" t="str">
        <f aca="false">IF((E129="b"),G129," ")</f>
        <v> </v>
      </c>
      <c r="U129" s="334" t="str">
        <f aca="false">IF((E129="i"),G129," ")</f>
        <v> </v>
      </c>
      <c r="V129" s="334" t="str">
        <f aca="false">IF((E129="o"),G129," ")</f>
        <v> </v>
      </c>
      <c r="W129" s="334" t="str">
        <f aca="false">IF((E129="f"),G129," ")</f>
        <v> </v>
      </c>
    </row>
    <row r="130" customFormat="false" ht="12.75" hidden="false" customHeight="false" outlineLevel="0" collapsed="false">
      <c r="A130" s="355"/>
      <c r="E130" s="365" t="str">
        <f aca="false">IF((G130&lt;&gt;0),"Enter Letter"," ")</f>
        <v> </v>
      </c>
      <c r="H130" s="338" t="str">
        <f aca="false">IF((G130&lt;&gt;0),IF((D130&gt;0)," ",G130)," ")</f>
        <v> </v>
      </c>
      <c r="I130" s="367" t="str">
        <f aca="false">IF((G130&lt;&gt;0),IF((D130&gt;0)," ",(I$1-A130))," ")</f>
        <v> </v>
      </c>
      <c r="J130" s="334" t="str">
        <f aca="false">IF((E130="s"),G130," ")</f>
        <v> </v>
      </c>
      <c r="K130" s="334" t="str">
        <f aca="false">IF((E130="d"),G130," ")</f>
        <v> </v>
      </c>
      <c r="L130" s="334" t="str">
        <f aca="false">IF((E130="e"),G130," ")</f>
        <v> </v>
      </c>
      <c r="M130" s="334" t="str">
        <f aca="false">IF((E130="p"),G130," ")</f>
        <v> </v>
      </c>
      <c r="N130" s="334" t="str">
        <f aca="false">IF((E130="r"),G130," ")</f>
        <v> </v>
      </c>
      <c r="O130" s="334" t="str">
        <f aca="false">IF((E130="g"),G130," ")</f>
        <v> </v>
      </c>
      <c r="P130" s="334" t="str">
        <f aca="false">IF((E130="m"),G130," ")</f>
        <v> </v>
      </c>
      <c r="Q130" s="334" t="str">
        <f aca="false">IF((E130="t"),G130," ")</f>
        <v> </v>
      </c>
      <c r="R130" s="334" t="str">
        <f aca="false">IF((E130="a"),G130," ")</f>
        <v> </v>
      </c>
      <c r="S130" s="334" t="str">
        <f aca="false">IF((E130="l"),G130," ")</f>
        <v> </v>
      </c>
      <c r="T130" s="334" t="str">
        <f aca="false">IF((E130="b"),G130," ")</f>
        <v> </v>
      </c>
      <c r="U130" s="334" t="str">
        <f aca="false">IF((E130="i"),G130," ")</f>
        <v> </v>
      </c>
      <c r="V130" s="334" t="str">
        <f aca="false">IF((E130="o"),G130," ")</f>
        <v> </v>
      </c>
      <c r="W130" s="334" t="str">
        <f aca="false">IF((E130="f"),G130," ")</f>
        <v> </v>
      </c>
    </row>
    <row r="131" customFormat="false" ht="12.75" hidden="false" customHeight="false" outlineLevel="0" collapsed="false">
      <c r="A131" s="355"/>
      <c r="E131" s="365" t="str">
        <f aca="false">IF((G131&lt;&gt;0),"Enter Letter"," ")</f>
        <v> </v>
      </c>
      <c r="H131" s="338" t="str">
        <f aca="false">IF((G131&lt;&gt;0),IF((D131&gt;0)," ",G131)," ")</f>
        <v> </v>
      </c>
      <c r="I131" s="367" t="str">
        <f aca="false">IF((G131&lt;&gt;0),IF((D131&gt;0)," ",(I$1-A131))," ")</f>
        <v> </v>
      </c>
      <c r="J131" s="334" t="str">
        <f aca="false">IF((E131="s"),G131," ")</f>
        <v> </v>
      </c>
      <c r="K131" s="334" t="str">
        <f aca="false">IF((E131="d"),G131," ")</f>
        <v> </v>
      </c>
      <c r="L131" s="334" t="str">
        <f aca="false">IF((E131="e"),G131," ")</f>
        <v> </v>
      </c>
      <c r="M131" s="334" t="str">
        <f aca="false">IF((E131="p"),G131," ")</f>
        <v> </v>
      </c>
      <c r="N131" s="334" t="str">
        <f aca="false">IF((E131="r"),G131," ")</f>
        <v> </v>
      </c>
      <c r="O131" s="334" t="str">
        <f aca="false">IF((E131="g"),G131," ")</f>
        <v> </v>
      </c>
      <c r="P131" s="334" t="str">
        <f aca="false">IF((E131="m"),G131," ")</f>
        <v> </v>
      </c>
      <c r="Q131" s="334" t="str">
        <f aca="false">IF((E131="t"),G131," ")</f>
        <v> </v>
      </c>
      <c r="R131" s="334" t="str">
        <f aca="false">IF((E131="a"),G131," ")</f>
        <v> </v>
      </c>
      <c r="S131" s="334" t="str">
        <f aca="false">IF((E131="l"),G131," ")</f>
        <v> </v>
      </c>
      <c r="T131" s="334" t="str">
        <f aca="false">IF((E131="b"),G131," ")</f>
        <v> </v>
      </c>
      <c r="U131" s="334" t="str">
        <f aca="false">IF((E131="i"),G131," ")</f>
        <v> </v>
      </c>
      <c r="V131" s="334" t="str">
        <f aca="false">IF((E131="o"),G131," ")</f>
        <v> </v>
      </c>
      <c r="W131" s="334" t="str">
        <f aca="false">IF((E131="f"),G131," ")</f>
        <v> </v>
      </c>
    </row>
    <row r="132" customFormat="false" ht="12.75" hidden="false" customHeight="false" outlineLevel="0" collapsed="false">
      <c r="A132" s="355"/>
      <c r="E132" s="365" t="str">
        <f aca="false">IF((G132&lt;&gt;0),"Enter Letter"," ")</f>
        <v> </v>
      </c>
      <c r="H132" s="338" t="str">
        <f aca="false">IF((G132&lt;&gt;0),IF((D132&gt;0)," ",G132)," ")</f>
        <v> </v>
      </c>
      <c r="I132" s="367" t="str">
        <f aca="false">IF((G132&lt;&gt;0),IF((D132&gt;0)," ",(I$1-A132))," ")</f>
        <v> </v>
      </c>
      <c r="J132" s="334" t="str">
        <f aca="false">IF((E132="s"),G132," ")</f>
        <v> </v>
      </c>
      <c r="K132" s="334" t="str">
        <f aca="false">IF((E132="d"),G132," ")</f>
        <v> </v>
      </c>
      <c r="L132" s="334" t="str">
        <f aca="false">IF((E132="e"),G132," ")</f>
        <v> </v>
      </c>
      <c r="M132" s="334" t="str">
        <f aca="false">IF((E132="p"),G132," ")</f>
        <v> </v>
      </c>
      <c r="N132" s="334" t="str">
        <f aca="false">IF((E132="r"),G132," ")</f>
        <v> </v>
      </c>
      <c r="O132" s="334" t="str">
        <f aca="false">IF((E132="g"),G132," ")</f>
        <v> </v>
      </c>
      <c r="P132" s="334" t="str">
        <f aca="false">IF((E132="m"),G132," ")</f>
        <v> </v>
      </c>
      <c r="Q132" s="334" t="str">
        <f aca="false">IF((E132="t"),G132," ")</f>
        <v> </v>
      </c>
      <c r="R132" s="334" t="str">
        <f aca="false">IF((E132="a"),G132," ")</f>
        <v> </v>
      </c>
      <c r="S132" s="334" t="str">
        <f aca="false">IF((E132="l"),G132," ")</f>
        <v> </v>
      </c>
      <c r="T132" s="334" t="str">
        <f aca="false">IF((E132="b"),G132," ")</f>
        <v> </v>
      </c>
      <c r="U132" s="334" t="str">
        <f aca="false">IF((E132="i"),G132," ")</f>
        <v> </v>
      </c>
      <c r="V132" s="334" t="str">
        <f aca="false">IF((E132="o"),G132," ")</f>
        <v> </v>
      </c>
      <c r="W132" s="334" t="str">
        <f aca="false">IF((E132="f"),G132," ")</f>
        <v> </v>
      </c>
    </row>
    <row r="133" customFormat="false" ht="12.75" hidden="false" customHeight="false" outlineLevel="0" collapsed="false">
      <c r="A133" s="355"/>
      <c r="E133" s="365" t="str">
        <f aca="false">IF((G133&lt;&gt;0),"Enter Letter"," ")</f>
        <v> </v>
      </c>
      <c r="H133" s="338" t="str">
        <f aca="false">IF((G133&lt;&gt;0),IF((D133&gt;0)," ",G133)," ")</f>
        <v> </v>
      </c>
      <c r="I133" s="367" t="str">
        <f aca="false">IF((G133&lt;&gt;0),IF((D133&gt;0)," ",(I$1-A133))," ")</f>
        <v> </v>
      </c>
      <c r="J133" s="334" t="str">
        <f aca="false">IF((E133="s"),G133," ")</f>
        <v> </v>
      </c>
      <c r="K133" s="334" t="str">
        <f aca="false">IF((E133="d"),G133," ")</f>
        <v> </v>
      </c>
      <c r="L133" s="334" t="str">
        <f aca="false">IF((E133="e"),G133," ")</f>
        <v> </v>
      </c>
      <c r="M133" s="334" t="str">
        <f aca="false">IF((E133="p"),G133," ")</f>
        <v> </v>
      </c>
      <c r="N133" s="334" t="str">
        <f aca="false">IF((E133="r"),G133," ")</f>
        <v> </v>
      </c>
      <c r="O133" s="334" t="str">
        <f aca="false">IF((E133="g"),G133," ")</f>
        <v> </v>
      </c>
      <c r="P133" s="334" t="str">
        <f aca="false">IF((E133="m"),G133," ")</f>
        <v> </v>
      </c>
      <c r="Q133" s="334" t="str">
        <f aca="false">IF((E133="t"),G133," ")</f>
        <v> </v>
      </c>
      <c r="R133" s="334" t="str">
        <f aca="false">IF((E133="a"),G133," ")</f>
        <v> </v>
      </c>
      <c r="S133" s="334" t="str">
        <f aca="false">IF((E133="l"),G133," ")</f>
        <v> </v>
      </c>
      <c r="T133" s="334" t="str">
        <f aca="false">IF((E133="b"),G133," ")</f>
        <v> </v>
      </c>
      <c r="U133" s="334" t="str">
        <f aca="false">IF((E133="i"),G133," ")</f>
        <v> </v>
      </c>
      <c r="V133" s="334" t="str">
        <f aca="false">IF((E133="o"),G133," ")</f>
        <v> </v>
      </c>
      <c r="W133" s="334" t="str">
        <f aca="false">IF((E133="f"),G133," ")</f>
        <v> </v>
      </c>
    </row>
    <row r="134" customFormat="false" ht="12.75" hidden="false" customHeight="false" outlineLevel="0" collapsed="false">
      <c r="A134" s="355"/>
      <c r="E134" s="365" t="str">
        <f aca="false">IF((G134&lt;&gt;0),"Enter Letter"," ")</f>
        <v> </v>
      </c>
      <c r="H134" s="338" t="str">
        <f aca="false">IF((G134&lt;&gt;0),IF((D134&gt;0)," ",G134)," ")</f>
        <v> </v>
      </c>
      <c r="I134" s="367" t="str">
        <f aca="false">IF((G134&lt;&gt;0),IF((D134&gt;0)," ",(I$1-A134))," ")</f>
        <v> </v>
      </c>
      <c r="J134" s="334" t="str">
        <f aca="false">IF((E134="s"),G134," ")</f>
        <v> </v>
      </c>
      <c r="K134" s="334" t="str">
        <f aca="false">IF((E134="d"),G134," ")</f>
        <v> </v>
      </c>
      <c r="L134" s="334" t="str">
        <f aca="false">IF((E134="e"),G134," ")</f>
        <v> </v>
      </c>
      <c r="M134" s="334" t="str">
        <f aca="false">IF((E134="p"),G134," ")</f>
        <v> </v>
      </c>
      <c r="N134" s="334" t="str">
        <f aca="false">IF((E134="r"),G134," ")</f>
        <v> </v>
      </c>
      <c r="O134" s="334" t="str">
        <f aca="false">IF((E134="g"),G134," ")</f>
        <v> </v>
      </c>
      <c r="P134" s="334" t="str">
        <f aca="false">IF((E134="m"),G134," ")</f>
        <v> </v>
      </c>
      <c r="Q134" s="334" t="str">
        <f aca="false">IF((E134="t"),G134," ")</f>
        <v> </v>
      </c>
      <c r="R134" s="334" t="str">
        <f aca="false">IF((E134="a"),G134," ")</f>
        <v> </v>
      </c>
      <c r="S134" s="334" t="str">
        <f aca="false">IF((E134="l"),G134," ")</f>
        <v> </v>
      </c>
      <c r="T134" s="334" t="str">
        <f aca="false">IF((E134="b"),G134," ")</f>
        <v> </v>
      </c>
      <c r="U134" s="334" t="str">
        <f aca="false">IF((E134="i"),G134," ")</f>
        <v> </v>
      </c>
      <c r="V134" s="334" t="str">
        <f aca="false">IF((E134="o"),G134," ")</f>
        <v> </v>
      </c>
      <c r="W134" s="334" t="str">
        <f aca="false">IF((E134="f"),G134," ")</f>
        <v> </v>
      </c>
    </row>
    <row r="135" customFormat="false" ht="12.75" hidden="false" customHeight="false" outlineLevel="0" collapsed="false">
      <c r="A135" s="355"/>
      <c r="E135" s="365" t="str">
        <f aca="false">IF((G135&lt;&gt;0),"Enter Letter"," ")</f>
        <v> </v>
      </c>
      <c r="H135" s="338" t="str">
        <f aca="false">IF((G135&lt;&gt;0),IF((D135&gt;0)," ",G135)," ")</f>
        <v> </v>
      </c>
      <c r="I135" s="367" t="str">
        <f aca="false">IF((G135&lt;&gt;0),IF((D135&gt;0)," ",(I$1-A135))," ")</f>
        <v> </v>
      </c>
      <c r="J135" s="334" t="str">
        <f aca="false">IF((E135="s"),G135," ")</f>
        <v> </v>
      </c>
      <c r="K135" s="334" t="str">
        <f aca="false">IF((E135="d"),G135," ")</f>
        <v> </v>
      </c>
      <c r="L135" s="334" t="str">
        <f aca="false">IF((E135="e"),G135," ")</f>
        <v> </v>
      </c>
      <c r="M135" s="334" t="str">
        <f aca="false">IF((E135="p"),G135," ")</f>
        <v> </v>
      </c>
      <c r="N135" s="334" t="str">
        <f aca="false">IF((E135="r"),G135," ")</f>
        <v> </v>
      </c>
      <c r="O135" s="334" t="str">
        <f aca="false">IF((E135="g"),G135," ")</f>
        <v> </v>
      </c>
      <c r="P135" s="334" t="str">
        <f aca="false">IF((E135="m"),G135," ")</f>
        <v> </v>
      </c>
      <c r="Q135" s="334" t="str">
        <f aca="false">IF((E135="t"),G135," ")</f>
        <v> </v>
      </c>
      <c r="R135" s="334" t="str">
        <f aca="false">IF((E135="a"),G135," ")</f>
        <v> </v>
      </c>
      <c r="S135" s="334" t="str">
        <f aca="false">IF((E135="l"),G135," ")</f>
        <v> </v>
      </c>
      <c r="T135" s="334" t="str">
        <f aca="false">IF((E135="b"),G135," ")</f>
        <v> </v>
      </c>
      <c r="U135" s="334" t="str">
        <f aca="false">IF((E135="i"),G135," ")</f>
        <v> </v>
      </c>
      <c r="V135" s="334" t="str">
        <f aca="false">IF((E135="o"),G135," ")</f>
        <v> </v>
      </c>
      <c r="W135" s="334" t="str">
        <f aca="false">IF((E135="f"),G135," ")</f>
        <v> </v>
      </c>
    </row>
    <row r="136" customFormat="false" ht="12.75" hidden="false" customHeight="false" outlineLevel="0" collapsed="false">
      <c r="A136" s="355"/>
      <c r="E136" s="365" t="str">
        <f aca="false">IF((G136&lt;&gt;0),"Enter Letter"," ")</f>
        <v> </v>
      </c>
      <c r="H136" s="338" t="str">
        <f aca="false">IF((G136&lt;&gt;0),IF((D136&gt;0)," ",G136)," ")</f>
        <v> </v>
      </c>
      <c r="I136" s="367" t="str">
        <f aca="false">IF((G136&lt;&gt;0),IF((D136&gt;0)," ",(I$1-A136))," ")</f>
        <v> </v>
      </c>
      <c r="J136" s="334" t="str">
        <f aca="false">IF((E136="s"),G136," ")</f>
        <v> </v>
      </c>
      <c r="K136" s="334" t="str">
        <f aca="false">IF((E136="d"),G136," ")</f>
        <v> </v>
      </c>
      <c r="L136" s="334" t="str">
        <f aca="false">IF((E136="e"),G136," ")</f>
        <v> </v>
      </c>
      <c r="M136" s="334" t="str">
        <f aca="false">IF((E136="p"),G136," ")</f>
        <v> </v>
      </c>
      <c r="N136" s="334" t="str">
        <f aca="false">IF((E136="r"),G136," ")</f>
        <v> </v>
      </c>
      <c r="O136" s="334" t="str">
        <f aca="false">IF((E136="g"),G136," ")</f>
        <v> </v>
      </c>
      <c r="P136" s="334" t="str">
        <f aca="false">IF((E136="m"),G136," ")</f>
        <v> </v>
      </c>
      <c r="Q136" s="334" t="str">
        <f aca="false">IF((E136="t"),G136," ")</f>
        <v> </v>
      </c>
      <c r="R136" s="334" t="str">
        <f aca="false">IF((E136="a"),G136," ")</f>
        <v> </v>
      </c>
      <c r="S136" s="334" t="str">
        <f aca="false">IF((E136="l"),G136," ")</f>
        <v> </v>
      </c>
      <c r="T136" s="334" t="str">
        <f aca="false">IF((E136="b"),G136," ")</f>
        <v> </v>
      </c>
      <c r="U136" s="334" t="str">
        <f aca="false">IF((E136="i"),G136," ")</f>
        <v> </v>
      </c>
      <c r="V136" s="334" t="str">
        <f aca="false">IF((E136="o"),G136," ")</f>
        <v> </v>
      </c>
      <c r="W136" s="334" t="str">
        <f aca="false">IF((E136="f"),G136," ")</f>
        <v> </v>
      </c>
    </row>
    <row r="137" customFormat="false" ht="12.75" hidden="false" customHeight="false" outlineLevel="0" collapsed="false">
      <c r="A137" s="355"/>
      <c r="E137" s="365" t="str">
        <f aca="false">IF((G137&lt;&gt;0),"Enter Letter"," ")</f>
        <v> </v>
      </c>
      <c r="H137" s="338" t="str">
        <f aca="false">IF((G137&lt;&gt;0),IF((D137&gt;0)," ",G137)," ")</f>
        <v> </v>
      </c>
      <c r="I137" s="367" t="str">
        <f aca="false">IF((G137&lt;&gt;0),IF((D137&gt;0)," ",(I$1-A137))," ")</f>
        <v> </v>
      </c>
      <c r="J137" s="334" t="str">
        <f aca="false">IF((E137="s"),G137," ")</f>
        <v> </v>
      </c>
      <c r="K137" s="334" t="str">
        <f aca="false">IF((E137="d"),G137," ")</f>
        <v> </v>
      </c>
      <c r="L137" s="334" t="str">
        <f aca="false">IF((E137="e"),G137," ")</f>
        <v> </v>
      </c>
      <c r="M137" s="334" t="str">
        <f aca="false">IF((E137="p"),G137," ")</f>
        <v> </v>
      </c>
      <c r="N137" s="334" t="str">
        <f aca="false">IF((E137="r"),G137," ")</f>
        <v> </v>
      </c>
      <c r="O137" s="334" t="str">
        <f aca="false">IF((E137="g"),G137," ")</f>
        <v> </v>
      </c>
      <c r="P137" s="334" t="str">
        <f aca="false">IF((E137="m"),G137," ")</f>
        <v> </v>
      </c>
      <c r="Q137" s="334" t="str">
        <f aca="false">IF((E137="t"),G137," ")</f>
        <v> </v>
      </c>
      <c r="R137" s="334" t="str">
        <f aca="false">IF((E137="a"),G137," ")</f>
        <v> </v>
      </c>
      <c r="S137" s="334" t="str">
        <f aca="false">IF((E137="l"),G137," ")</f>
        <v> </v>
      </c>
      <c r="T137" s="334" t="str">
        <f aca="false">IF((E137="b"),G137," ")</f>
        <v> </v>
      </c>
      <c r="U137" s="334" t="str">
        <f aca="false">IF((E137="i"),G137," ")</f>
        <v> </v>
      </c>
      <c r="V137" s="334" t="str">
        <f aca="false">IF((E137="o"),G137," ")</f>
        <v> </v>
      </c>
      <c r="W137" s="334" t="str">
        <f aca="false">IF((E137="f"),G137," ")</f>
        <v> </v>
      </c>
    </row>
    <row r="138" customFormat="false" ht="12.75" hidden="false" customHeight="false" outlineLevel="0" collapsed="false">
      <c r="A138" s="355"/>
      <c r="E138" s="365" t="str">
        <f aca="false">IF((G138&lt;&gt;0),"Enter Letter"," ")</f>
        <v> </v>
      </c>
      <c r="H138" s="338" t="str">
        <f aca="false">IF((G138&lt;&gt;0),IF((D138&gt;0)," ",G138)," ")</f>
        <v> </v>
      </c>
      <c r="I138" s="367" t="str">
        <f aca="false">IF((G138&lt;&gt;0),IF((D138&gt;0)," ",(I$1-A138))," ")</f>
        <v> </v>
      </c>
      <c r="J138" s="334" t="str">
        <f aca="false">IF((E138="s"),G138," ")</f>
        <v> </v>
      </c>
      <c r="K138" s="334" t="str">
        <f aca="false">IF((E138="d"),G138," ")</f>
        <v> </v>
      </c>
      <c r="L138" s="334" t="str">
        <f aca="false">IF((E138="e"),G138," ")</f>
        <v> </v>
      </c>
      <c r="M138" s="334" t="str">
        <f aca="false">IF((E138="p"),G138," ")</f>
        <v> </v>
      </c>
      <c r="N138" s="334" t="str">
        <f aca="false">IF((E138="r"),G138," ")</f>
        <v> </v>
      </c>
      <c r="O138" s="334" t="str">
        <f aca="false">IF((E138="g"),G138," ")</f>
        <v> </v>
      </c>
      <c r="P138" s="334" t="str">
        <f aca="false">IF((E138="m"),G138," ")</f>
        <v> </v>
      </c>
      <c r="Q138" s="334" t="str">
        <f aca="false">IF((E138="t"),G138," ")</f>
        <v> </v>
      </c>
      <c r="R138" s="334" t="str">
        <f aca="false">IF((E138="a"),G138," ")</f>
        <v> </v>
      </c>
      <c r="S138" s="334" t="str">
        <f aca="false">IF((E138="l"),G138," ")</f>
        <v> </v>
      </c>
      <c r="T138" s="334" t="str">
        <f aca="false">IF((E138="b"),G138," ")</f>
        <v> </v>
      </c>
      <c r="U138" s="334" t="str">
        <f aca="false">IF((E138="i"),G138," ")</f>
        <v> </v>
      </c>
      <c r="V138" s="334" t="str">
        <f aca="false">IF((E138="o"),G138," ")</f>
        <v> </v>
      </c>
      <c r="W138" s="334" t="str">
        <f aca="false">IF((E138="f"),G138," ")</f>
        <v> </v>
      </c>
    </row>
    <row r="139" customFormat="false" ht="12.75" hidden="false" customHeight="false" outlineLevel="0" collapsed="false">
      <c r="A139" s="355"/>
      <c r="E139" s="365" t="str">
        <f aca="false">IF((G139&lt;&gt;0),"Enter Letter"," ")</f>
        <v> </v>
      </c>
      <c r="H139" s="338" t="str">
        <f aca="false">IF((G139&lt;&gt;0),IF((D139&gt;0)," ",G139)," ")</f>
        <v> </v>
      </c>
      <c r="I139" s="367" t="str">
        <f aca="false">IF((G139&lt;&gt;0),IF((D139&gt;0)," ",(I$1-A139))," ")</f>
        <v> </v>
      </c>
      <c r="J139" s="334" t="str">
        <f aca="false">IF((E139="s"),G139," ")</f>
        <v> </v>
      </c>
      <c r="K139" s="334" t="str">
        <f aca="false">IF((E139="d"),G139," ")</f>
        <v> </v>
      </c>
      <c r="L139" s="334" t="str">
        <f aca="false">IF((E139="e"),G139," ")</f>
        <v> </v>
      </c>
      <c r="M139" s="334" t="str">
        <f aca="false">IF((E139="p"),G139," ")</f>
        <v> </v>
      </c>
      <c r="N139" s="334" t="str">
        <f aca="false">IF((E139="r"),G139," ")</f>
        <v> </v>
      </c>
      <c r="O139" s="334" t="str">
        <f aca="false">IF((E139="g"),G139," ")</f>
        <v> </v>
      </c>
      <c r="P139" s="334" t="str">
        <f aca="false">IF((E139="m"),G139," ")</f>
        <v> </v>
      </c>
      <c r="Q139" s="334" t="str">
        <f aca="false">IF((E139="t"),G139," ")</f>
        <v> </v>
      </c>
      <c r="R139" s="334" t="str">
        <f aca="false">IF((E139="a"),G139," ")</f>
        <v> </v>
      </c>
      <c r="S139" s="334" t="str">
        <f aca="false">IF((E139="l"),G139," ")</f>
        <v> </v>
      </c>
      <c r="T139" s="334" t="str">
        <f aca="false">IF((E139="b"),G139," ")</f>
        <v> </v>
      </c>
      <c r="U139" s="334" t="str">
        <f aca="false">IF((E139="i"),G139," ")</f>
        <v> </v>
      </c>
      <c r="V139" s="334" t="str">
        <f aca="false">IF((E139="o"),G139," ")</f>
        <v> </v>
      </c>
      <c r="W139" s="334" t="str">
        <f aca="false">IF((E139="f"),G139," ")</f>
        <v> </v>
      </c>
    </row>
    <row r="140" customFormat="false" ht="12.75" hidden="false" customHeight="false" outlineLevel="0" collapsed="false">
      <c r="A140" s="355"/>
      <c r="E140" s="365" t="str">
        <f aca="false">IF((G140&lt;&gt;0),"Enter Letter"," ")</f>
        <v> </v>
      </c>
      <c r="H140" s="338" t="str">
        <f aca="false">IF((G140&lt;&gt;0),IF((D140&gt;0)," ",G140)," ")</f>
        <v> </v>
      </c>
      <c r="I140" s="367" t="str">
        <f aca="false">IF((G140&lt;&gt;0),IF((D140&gt;0)," ",(I$1-A140))," ")</f>
        <v> </v>
      </c>
      <c r="J140" s="334" t="str">
        <f aca="false">IF((E140="s"),G140," ")</f>
        <v> </v>
      </c>
      <c r="K140" s="334" t="str">
        <f aca="false">IF((E140="d"),G140," ")</f>
        <v> </v>
      </c>
      <c r="L140" s="334" t="str">
        <f aca="false">IF((E140="e"),G140," ")</f>
        <v> </v>
      </c>
      <c r="M140" s="334" t="str">
        <f aca="false">IF((E140="p"),G140," ")</f>
        <v> </v>
      </c>
      <c r="N140" s="334" t="str">
        <f aca="false">IF((E140="r"),G140," ")</f>
        <v> </v>
      </c>
      <c r="O140" s="334" t="str">
        <f aca="false">IF((E140="g"),G140," ")</f>
        <v> </v>
      </c>
      <c r="P140" s="334" t="str">
        <f aca="false">IF((E140="m"),G140," ")</f>
        <v> </v>
      </c>
      <c r="Q140" s="334" t="str">
        <f aca="false">IF((E140="t"),G140," ")</f>
        <v> </v>
      </c>
      <c r="R140" s="334" t="str">
        <f aca="false">IF((E140="a"),G140," ")</f>
        <v> </v>
      </c>
      <c r="S140" s="334" t="str">
        <f aca="false">IF((E140="l"),G140," ")</f>
        <v> </v>
      </c>
      <c r="T140" s="334" t="str">
        <f aca="false">IF((E140="b"),G140," ")</f>
        <v> </v>
      </c>
      <c r="U140" s="334" t="str">
        <f aca="false">IF((E140="i"),G140," ")</f>
        <v> </v>
      </c>
      <c r="V140" s="334" t="str">
        <f aca="false">IF((E140="o"),G140," ")</f>
        <v> </v>
      </c>
      <c r="W140" s="334" t="str">
        <f aca="false">IF((E140="f"),G140," ")</f>
        <v> </v>
      </c>
    </row>
    <row r="141" customFormat="false" ht="12.75" hidden="false" customHeight="false" outlineLevel="0" collapsed="false">
      <c r="A141" s="355"/>
      <c r="E141" s="365" t="str">
        <f aca="false">IF((G141&lt;&gt;0),"Enter Letter"," ")</f>
        <v> </v>
      </c>
      <c r="H141" s="338" t="str">
        <f aca="false">IF((G141&lt;&gt;0),IF((D141&gt;0)," ",G141)," ")</f>
        <v> </v>
      </c>
      <c r="I141" s="367" t="str">
        <f aca="false">IF((G141&lt;&gt;0),IF((D141&gt;0)," ",(I$1-A141))," ")</f>
        <v> </v>
      </c>
      <c r="J141" s="334" t="str">
        <f aca="false">IF((E141="s"),G141," ")</f>
        <v> </v>
      </c>
      <c r="K141" s="334" t="str">
        <f aca="false">IF((E141="d"),G141," ")</f>
        <v> </v>
      </c>
      <c r="L141" s="334" t="str">
        <f aca="false">IF((E141="e"),G141," ")</f>
        <v> </v>
      </c>
      <c r="M141" s="334" t="str">
        <f aca="false">IF((E141="p"),G141," ")</f>
        <v> </v>
      </c>
      <c r="N141" s="334" t="str">
        <f aca="false">IF((E141="r"),G141," ")</f>
        <v> </v>
      </c>
      <c r="O141" s="334" t="str">
        <f aca="false">IF((E141="g"),G141," ")</f>
        <v> </v>
      </c>
      <c r="P141" s="334" t="str">
        <f aca="false">IF((E141="m"),G141," ")</f>
        <v> </v>
      </c>
      <c r="Q141" s="334" t="str">
        <f aca="false">IF((E141="t"),G141," ")</f>
        <v> </v>
      </c>
      <c r="R141" s="334" t="str">
        <f aca="false">IF((E141="a"),G141," ")</f>
        <v> </v>
      </c>
      <c r="S141" s="334" t="str">
        <f aca="false">IF((E141="l"),G141," ")</f>
        <v> </v>
      </c>
      <c r="T141" s="334" t="str">
        <f aca="false">IF((E141="b"),G141," ")</f>
        <v> </v>
      </c>
      <c r="U141" s="334" t="str">
        <f aca="false">IF((E141="i"),G141," ")</f>
        <v> </v>
      </c>
      <c r="V141" s="334" t="str">
        <f aca="false">IF((E141="o"),G141," ")</f>
        <v> </v>
      </c>
      <c r="W141" s="334" t="str">
        <f aca="false">IF((E141="f"),G141," ")</f>
        <v> </v>
      </c>
    </row>
    <row r="142" customFormat="false" ht="12.75" hidden="false" customHeight="false" outlineLevel="0" collapsed="false">
      <c r="A142" s="355"/>
      <c r="E142" s="365" t="str">
        <f aca="false">IF((G142&lt;&gt;0),"Enter Letter"," ")</f>
        <v> </v>
      </c>
      <c r="H142" s="338" t="str">
        <f aca="false">IF((G142&lt;&gt;0),IF((D142&gt;0)," ",G142)," ")</f>
        <v> </v>
      </c>
      <c r="I142" s="367" t="str">
        <f aca="false">IF((G142&lt;&gt;0),IF((D142&gt;0)," ",(I$1-A142))," ")</f>
        <v> </v>
      </c>
      <c r="J142" s="334" t="str">
        <f aca="false">IF((E142="s"),G142," ")</f>
        <v> </v>
      </c>
      <c r="K142" s="334" t="str">
        <f aca="false">IF((E142="d"),G142," ")</f>
        <v> </v>
      </c>
      <c r="L142" s="334" t="str">
        <f aca="false">IF((E142="e"),G142," ")</f>
        <v> </v>
      </c>
      <c r="M142" s="334" t="str">
        <f aca="false">IF((E142="p"),G142," ")</f>
        <v> </v>
      </c>
      <c r="N142" s="334" t="str">
        <f aca="false">IF((E142="r"),G142," ")</f>
        <v> </v>
      </c>
      <c r="O142" s="334" t="str">
        <f aca="false">IF((E142="g"),G142," ")</f>
        <v> </v>
      </c>
      <c r="P142" s="334" t="str">
        <f aca="false">IF((E142="m"),G142," ")</f>
        <v> </v>
      </c>
      <c r="Q142" s="334" t="str">
        <f aca="false">IF((E142="t"),G142," ")</f>
        <v> </v>
      </c>
      <c r="R142" s="334" t="str">
        <f aca="false">IF((E142="a"),G142," ")</f>
        <v> </v>
      </c>
      <c r="S142" s="334" t="str">
        <f aca="false">IF((E142="l"),G142," ")</f>
        <v> </v>
      </c>
      <c r="T142" s="334" t="str">
        <f aca="false">IF((E142="b"),G142," ")</f>
        <v> </v>
      </c>
      <c r="U142" s="334" t="str">
        <f aca="false">IF((E142="i"),G142," ")</f>
        <v> </v>
      </c>
      <c r="V142" s="334" t="str">
        <f aca="false">IF((E142="o"),G142," ")</f>
        <v> </v>
      </c>
      <c r="W142" s="334" t="str">
        <f aca="false">IF((E142="f"),G142," ")</f>
        <v> </v>
      </c>
    </row>
    <row r="143" customFormat="false" ht="12.75" hidden="false" customHeight="false" outlineLevel="0" collapsed="false">
      <c r="A143" s="355"/>
      <c r="E143" s="365" t="str">
        <f aca="false">IF((G143&lt;&gt;0),"Enter Letter"," ")</f>
        <v> </v>
      </c>
      <c r="H143" s="338" t="str">
        <f aca="false">IF((G143&lt;&gt;0),IF((D143&gt;0)," ",G143)," ")</f>
        <v> </v>
      </c>
      <c r="I143" s="367" t="str">
        <f aca="false">IF((G143&lt;&gt;0),IF((D143&gt;0)," ",(I$1-A143))," ")</f>
        <v> </v>
      </c>
      <c r="J143" s="334" t="str">
        <f aca="false">IF((E143="s"),G143," ")</f>
        <v> </v>
      </c>
      <c r="K143" s="334" t="str">
        <f aca="false">IF((E143="d"),G143," ")</f>
        <v> </v>
      </c>
      <c r="L143" s="334" t="str">
        <f aca="false">IF((E143="e"),G143," ")</f>
        <v> </v>
      </c>
      <c r="M143" s="334" t="str">
        <f aca="false">IF((E143="p"),G143," ")</f>
        <v> </v>
      </c>
      <c r="N143" s="334" t="str">
        <f aca="false">IF((E143="r"),G143," ")</f>
        <v> </v>
      </c>
      <c r="O143" s="334" t="str">
        <f aca="false">IF((E143="g"),G143," ")</f>
        <v> </v>
      </c>
      <c r="P143" s="334" t="str">
        <f aca="false">IF((E143="m"),G143," ")</f>
        <v> </v>
      </c>
      <c r="Q143" s="334" t="str">
        <f aca="false">IF((E143="t"),G143," ")</f>
        <v> </v>
      </c>
      <c r="R143" s="334" t="str">
        <f aca="false">IF((E143="a"),G143," ")</f>
        <v> </v>
      </c>
      <c r="S143" s="334" t="str">
        <f aca="false">IF((E143="l"),G143," ")</f>
        <v> </v>
      </c>
      <c r="T143" s="334" t="str">
        <f aca="false">IF((E143="b"),G143," ")</f>
        <v> </v>
      </c>
      <c r="U143" s="334" t="str">
        <f aca="false">IF((E143="i"),G143," ")</f>
        <v> </v>
      </c>
      <c r="V143" s="334" t="str">
        <f aca="false">IF((E143="o"),G143," ")</f>
        <v> </v>
      </c>
      <c r="W143" s="334" t="str">
        <f aca="false">IF((E143="f"),G143," ")</f>
        <v> </v>
      </c>
    </row>
    <row r="144" customFormat="false" ht="12.75" hidden="false" customHeight="false" outlineLevel="0" collapsed="false">
      <c r="A144" s="355"/>
      <c r="E144" s="365" t="str">
        <f aca="false">IF((G144&lt;&gt;0),"Enter Letter"," ")</f>
        <v> </v>
      </c>
      <c r="H144" s="338" t="str">
        <f aca="false">IF((G144&lt;&gt;0),IF((D144&gt;0)," ",G144)," ")</f>
        <v> </v>
      </c>
      <c r="I144" s="367" t="str">
        <f aca="false">IF((G144&lt;&gt;0),IF((D144&gt;0)," ",(I$1-A144))," ")</f>
        <v> </v>
      </c>
      <c r="J144" s="334" t="str">
        <f aca="false">IF((E144="s"),G144," ")</f>
        <v> </v>
      </c>
      <c r="K144" s="334" t="str">
        <f aca="false">IF((E144="d"),G144," ")</f>
        <v> </v>
      </c>
      <c r="L144" s="334" t="str">
        <f aca="false">IF((E144="e"),G144," ")</f>
        <v> </v>
      </c>
      <c r="M144" s="334" t="str">
        <f aca="false">IF((E144="p"),G144," ")</f>
        <v> </v>
      </c>
      <c r="N144" s="334" t="str">
        <f aca="false">IF((E144="r"),G144," ")</f>
        <v> </v>
      </c>
      <c r="O144" s="334" t="str">
        <f aca="false">IF((E144="g"),G144," ")</f>
        <v> </v>
      </c>
      <c r="P144" s="334" t="str">
        <f aca="false">IF((E144="m"),G144," ")</f>
        <v> </v>
      </c>
      <c r="Q144" s="334" t="str">
        <f aca="false">IF((E144="t"),G144," ")</f>
        <v> </v>
      </c>
      <c r="R144" s="334" t="str">
        <f aca="false">IF((E144="a"),G144," ")</f>
        <v> </v>
      </c>
      <c r="S144" s="334" t="str">
        <f aca="false">IF((E144="l"),G144," ")</f>
        <v> </v>
      </c>
      <c r="T144" s="334" t="str">
        <f aca="false">IF((E144="b"),G144," ")</f>
        <v> </v>
      </c>
      <c r="U144" s="334" t="str">
        <f aca="false">IF((E144="i"),G144," ")</f>
        <v> </v>
      </c>
      <c r="V144" s="334" t="str">
        <f aca="false">IF((E144="o"),G144," ")</f>
        <v> </v>
      </c>
      <c r="W144" s="334" t="str">
        <f aca="false">IF((E144="f"),G144," ")</f>
        <v> </v>
      </c>
    </row>
    <row r="145" customFormat="false" ht="12.75" hidden="false" customHeight="false" outlineLevel="0" collapsed="false">
      <c r="A145" s="355"/>
      <c r="E145" s="365" t="str">
        <f aca="false">IF((G145&lt;&gt;0),"Enter Letter"," ")</f>
        <v> </v>
      </c>
      <c r="H145" s="338" t="str">
        <f aca="false">IF((G145&lt;&gt;0),IF((D145&gt;0)," ",G145)," ")</f>
        <v> </v>
      </c>
      <c r="I145" s="367" t="str">
        <f aca="false">IF((G145&lt;&gt;0),IF((D145&gt;0)," ",(I$1-A145))," ")</f>
        <v> </v>
      </c>
      <c r="J145" s="334" t="str">
        <f aca="false">IF((E145="s"),G145," ")</f>
        <v> </v>
      </c>
      <c r="K145" s="334" t="str">
        <f aca="false">IF((E145="d"),G145," ")</f>
        <v> </v>
      </c>
      <c r="L145" s="334" t="str">
        <f aca="false">IF((E145="e"),G145," ")</f>
        <v> </v>
      </c>
      <c r="M145" s="334" t="str">
        <f aca="false">IF((E145="p"),G145," ")</f>
        <v> </v>
      </c>
      <c r="N145" s="334" t="str">
        <f aca="false">IF((E145="r"),G145," ")</f>
        <v> </v>
      </c>
      <c r="O145" s="334" t="str">
        <f aca="false">IF((E145="g"),G145," ")</f>
        <v> </v>
      </c>
      <c r="P145" s="334" t="str">
        <f aca="false">IF((E145="m"),G145," ")</f>
        <v> </v>
      </c>
      <c r="Q145" s="334" t="str">
        <f aca="false">IF((E145="t"),G145," ")</f>
        <v> </v>
      </c>
      <c r="R145" s="334" t="str">
        <f aca="false">IF((E145="a"),G145," ")</f>
        <v> </v>
      </c>
      <c r="S145" s="334" t="str">
        <f aca="false">IF((E145="l"),G145," ")</f>
        <v> </v>
      </c>
      <c r="T145" s="334" t="str">
        <f aca="false">IF((E145="b"),G145," ")</f>
        <v> </v>
      </c>
      <c r="U145" s="334" t="str">
        <f aca="false">IF((E145="i"),G145," ")</f>
        <v> </v>
      </c>
      <c r="V145" s="334" t="str">
        <f aca="false">IF((E145="o"),G145," ")</f>
        <v> </v>
      </c>
      <c r="W145" s="334" t="str">
        <f aca="false">IF((E145="f"),G145," ")</f>
        <v> </v>
      </c>
    </row>
    <row r="146" customFormat="false" ht="12.75" hidden="false" customHeight="false" outlineLevel="0" collapsed="false">
      <c r="A146" s="355"/>
      <c r="E146" s="365" t="str">
        <f aca="false">IF((G146&lt;&gt;0),"Enter Letter"," ")</f>
        <v> </v>
      </c>
      <c r="H146" s="338" t="str">
        <f aca="false">IF((G146&lt;&gt;0),IF((D146&gt;0)," ",G146)," ")</f>
        <v> </v>
      </c>
      <c r="I146" s="367" t="str">
        <f aca="false">IF((G146&lt;&gt;0),IF((D146&gt;0)," ",(I$1-A146))," ")</f>
        <v> </v>
      </c>
      <c r="J146" s="334" t="str">
        <f aca="false">IF((E146="s"),G146," ")</f>
        <v> </v>
      </c>
      <c r="K146" s="334" t="str">
        <f aca="false">IF((E146="d"),G146," ")</f>
        <v> </v>
      </c>
      <c r="L146" s="334" t="str">
        <f aca="false">IF((E146="e"),G146," ")</f>
        <v> </v>
      </c>
      <c r="M146" s="334" t="str">
        <f aca="false">IF((E146="p"),G146," ")</f>
        <v> </v>
      </c>
      <c r="N146" s="334" t="str">
        <f aca="false">IF((E146="r"),G146," ")</f>
        <v> </v>
      </c>
      <c r="O146" s="334" t="str">
        <f aca="false">IF((E146="g"),G146," ")</f>
        <v> </v>
      </c>
      <c r="P146" s="334" t="str">
        <f aca="false">IF((E146="m"),G146," ")</f>
        <v> </v>
      </c>
      <c r="Q146" s="334" t="str">
        <f aca="false">IF((E146="t"),G146," ")</f>
        <v> </v>
      </c>
      <c r="R146" s="334" t="str">
        <f aca="false">IF((E146="a"),G146," ")</f>
        <v> </v>
      </c>
      <c r="S146" s="334" t="str">
        <f aca="false">IF((E146="l"),G146," ")</f>
        <v> </v>
      </c>
      <c r="T146" s="334" t="str">
        <f aca="false">IF((E146="b"),G146," ")</f>
        <v> </v>
      </c>
      <c r="U146" s="334" t="str">
        <f aca="false">IF((E146="i"),G146," ")</f>
        <v> </v>
      </c>
      <c r="V146" s="334" t="str">
        <f aca="false">IF((E146="o"),G146," ")</f>
        <v> </v>
      </c>
      <c r="W146" s="334" t="str">
        <f aca="false">IF((E146="f"),G146," ")</f>
        <v> </v>
      </c>
    </row>
    <row r="147" customFormat="false" ht="12.75" hidden="false" customHeight="false" outlineLevel="0" collapsed="false">
      <c r="A147" s="355"/>
      <c r="E147" s="365" t="str">
        <f aca="false">IF((G147&lt;&gt;0),"Enter Letter"," ")</f>
        <v> </v>
      </c>
      <c r="H147" s="338" t="str">
        <f aca="false">IF((G147&lt;&gt;0),IF((D147&gt;0)," ",G147)," ")</f>
        <v> </v>
      </c>
      <c r="I147" s="367" t="str">
        <f aca="false">IF((G147&lt;&gt;0),IF((D147&gt;0)," ",(I$1-A147))," ")</f>
        <v> </v>
      </c>
      <c r="J147" s="334" t="str">
        <f aca="false">IF((E147="s"),G147," ")</f>
        <v> </v>
      </c>
      <c r="K147" s="334" t="str">
        <f aca="false">IF((E147="d"),G147," ")</f>
        <v> </v>
      </c>
      <c r="L147" s="334" t="str">
        <f aca="false">IF((E147="e"),G147," ")</f>
        <v> </v>
      </c>
      <c r="M147" s="334" t="str">
        <f aca="false">IF((E147="p"),G147," ")</f>
        <v> </v>
      </c>
      <c r="N147" s="334" t="str">
        <f aca="false">IF((E147="r"),G147," ")</f>
        <v> </v>
      </c>
      <c r="O147" s="334" t="str">
        <f aca="false">IF((E147="g"),G147," ")</f>
        <v> </v>
      </c>
      <c r="P147" s="334" t="str">
        <f aca="false">IF((E147="m"),G147," ")</f>
        <v> </v>
      </c>
      <c r="Q147" s="334" t="str">
        <f aca="false">IF((E147="t"),G147," ")</f>
        <v> </v>
      </c>
      <c r="R147" s="334" t="str">
        <f aca="false">IF((E147="a"),G147," ")</f>
        <v> </v>
      </c>
      <c r="S147" s="334" t="str">
        <f aca="false">IF((E147="l"),G147," ")</f>
        <v> </v>
      </c>
      <c r="T147" s="334" t="str">
        <f aca="false">IF((E147="b"),G147," ")</f>
        <v> </v>
      </c>
      <c r="U147" s="334" t="str">
        <f aca="false">IF((E147="i"),G147," ")</f>
        <v> </v>
      </c>
      <c r="V147" s="334" t="str">
        <f aca="false">IF((E147="o"),G147," ")</f>
        <v> </v>
      </c>
      <c r="W147" s="334" t="str">
        <f aca="false">IF((E147="f"),G147," ")</f>
        <v> </v>
      </c>
    </row>
    <row r="148" customFormat="false" ht="12.75" hidden="false" customHeight="false" outlineLevel="0" collapsed="false">
      <c r="A148" s="355"/>
      <c r="E148" s="365" t="str">
        <f aca="false">IF((G148&lt;&gt;0),"Enter Letter"," ")</f>
        <v> </v>
      </c>
      <c r="H148" s="338" t="str">
        <f aca="false">IF((G148&lt;&gt;0),IF((D148&gt;0)," ",G148)," ")</f>
        <v> </v>
      </c>
      <c r="I148" s="367" t="str">
        <f aca="false">IF((G148&lt;&gt;0),IF((D148&gt;0)," ",(I$1-A148))," ")</f>
        <v> </v>
      </c>
      <c r="J148" s="334" t="str">
        <f aca="false">IF((E148="s"),G148," ")</f>
        <v> </v>
      </c>
      <c r="K148" s="334" t="str">
        <f aca="false">IF((E148="d"),G148," ")</f>
        <v> </v>
      </c>
      <c r="L148" s="334" t="str">
        <f aca="false">IF((E148="e"),G148," ")</f>
        <v> </v>
      </c>
      <c r="M148" s="334" t="str">
        <f aca="false">IF((E148="p"),G148," ")</f>
        <v> </v>
      </c>
      <c r="N148" s="334" t="str">
        <f aca="false">IF((E148="r"),G148," ")</f>
        <v> </v>
      </c>
      <c r="O148" s="334" t="str">
        <f aca="false">IF((E148="g"),G148," ")</f>
        <v> </v>
      </c>
      <c r="P148" s="334" t="str">
        <f aca="false">IF((E148="m"),G148," ")</f>
        <v> </v>
      </c>
      <c r="Q148" s="334" t="str">
        <f aca="false">IF((E148="t"),G148," ")</f>
        <v> </v>
      </c>
      <c r="R148" s="334" t="str">
        <f aca="false">IF((E148="a"),G148," ")</f>
        <v> </v>
      </c>
      <c r="S148" s="334" t="str">
        <f aca="false">IF((E148="l"),G148," ")</f>
        <v> </v>
      </c>
      <c r="T148" s="334" t="str">
        <f aca="false">IF((E148="b"),G148," ")</f>
        <v> </v>
      </c>
      <c r="U148" s="334" t="str">
        <f aca="false">IF((E148="i"),G148," ")</f>
        <v> </v>
      </c>
      <c r="V148" s="334" t="str">
        <f aca="false">IF((E148="o"),G148," ")</f>
        <v> </v>
      </c>
      <c r="W148" s="334" t="str">
        <f aca="false">IF((E148="f"),G148," ")</f>
        <v> </v>
      </c>
    </row>
    <row r="149" customFormat="false" ht="12.75" hidden="false" customHeight="false" outlineLevel="0" collapsed="false">
      <c r="A149" s="355"/>
      <c r="E149" s="365" t="str">
        <f aca="false">IF((G149&lt;&gt;0),"Enter Letter"," ")</f>
        <v> </v>
      </c>
      <c r="H149" s="338" t="str">
        <f aca="false">IF((G149&lt;&gt;0),IF((D149&gt;0)," ",G149)," ")</f>
        <v> </v>
      </c>
      <c r="I149" s="367" t="str">
        <f aca="false">IF((G149&lt;&gt;0),IF((D149&gt;0)," ",(I$1-A149))," ")</f>
        <v> </v>
      </c>
      <c r="J149" s="334" t="str">
        <f aca="false">IF((E149="s"),G149," ")</f>
        <v> </v>
      </c>
      <c r="K149" s="334" t="str">
        <f aca="false">IF((E149="d"),G149," ")</f>
        <v> </v>
      </c>
      <c r="L149" s="334" t="str">
        <f aca="false">IF((E149="e"),G149," ")</f>
        <v> </v>
      </c>
      <c r="M149" s="334" t="str">
        <f aca="false">IF((E149="p"),G149," ")</f>
        <v> </v>
      </c>
      <c r="N149" s="334" t="str">
        <f aca="false">IF((E149="r"),G149," ")</f>
        <v> </v>
      </c>
      <c r="O149" s="334" t="str">
        <f aca="false">IF((E149="g"),G149," ")</f>
        <v> </v>
      </c>
      <c r="P149" s="334" t="str">
        <f aca="false">IF((E149="m"),G149," ")</f>
        <v> </v>
      </c>
      <c r="Q149" s="334" t="str">
        <f aca="false">IF((E149="t"),G149," ")</f>
        <v> </v>
      </c>
      <c r="R149" s="334" t="str">
        <f aca="false">IF((E149="a"),G149," ")</f>
        <v> </v>
      </c>
      <c r="S149" s="334" t="str">
        <f aca="false">IF((E149="l"),G149," ")</f>
        <v> </v>
      </c>
      <c r="T149" s="334" t="str">
        <f aca="false">IF((E149="b"),G149," ")</f>
        <v> </v>
      </c>
      <c r="U149" s="334" t="str">
        <f aca="false">IF((E149="i"),G149," ")</f>
        <v> </v>
      </c>
      <c r="V149" s="334" t="str">
        <f aca="false">IF((E149="o"),G149," ")</f>
        <v> </v>
      </c>
      <c r="W149" s="334" t="str">
        <f aca="false">IF((E149="f"),G149," ")</f>
        <v> </v>
      </c>
    </row>
    <row r="150" customFormat="false" ht="12.75" hidden="false" customHeight="false" outlineLevel="0" collapsed="false">
      <c r="A150" s="355"/>
      <c r="E150" s="365" t="str">
        <f aca="false">IF((G150&lt;&gt;0),"Enter Letter"," ")</f>
        <v> </v>
      </c>
      <c r="H150" s="338" t="str">
        <f aca="false">IF((G150&lt;&gt;0),IF((D150&gt;0)," ",G150)," ")</f>
        <v> </v>
      </c>
      <c r="I150" s="367" t="str">
        <f aca="false">IF((G150&lt;&gt;0),IF((D150&gt;0)," ",(I$1-A150))," ")</f>
        <v> </v>
      </c>
      <c r="J150" s="334" t="str">
        <f aca="false">IF((E150="s"),G150," ")</f>
        <v> </v>
      </c>
      <c r="K150" s="334" t="str">
        <f aca="false">IF((E150="d"),G150," ")</f>
        <v> </v>
      </c>
      <c r="L150" s="334" t="str">
        <f aca="false">IF((E150="e"),G150," ")</f>
        <v> </v>
      </c>
      <c r="M150" s="334" t="str">
        <f aca="false">IF((E150="p"),G150," ")</f>
        <v> </v>
      </c>
      <c r="N150" s="334" t="str">
        <f aca="false">IF((E150="r"),G150," ")</f>
        <v> </v>
      </c>
      <c r="O150" s="334" t="str">
        <f aca="false">IF((E150="g"),G150," ")</f>
        <v> </v>
      </c>
      <c r="P150" s="334" t="str">
        <f aca="false">IF((E150="m"),G150," ")</f>
        <v> </v>
      </c>
      <c r="Q150" s="334" t="str">
        <f aca="false">IF((E150="t"),G150," ")</f>
        <v> </v>
      </c>
      <c r="R150" s="334" t="str">
        <f aca="false">IF((E150="a"),G150," ")</f>
        <v> </v>
      </c>
      <c r="S150" s="334" t="str">
        <f aca="false">IF((E150="l"),G150," ")</f>
        <v> </v>
      </c>
      <c r="T150" s="334" t="str">
        <f aca="false">IF((E150="b"),G150," ")</f>
        <v> </v>
      </c>
      <c r="U150" s="334" t="str">
        <f aca="false">IF((E150="i"),G150," ")</f>
        <v> </v>
      </c>
      <c r="V150" s="334" t="str">
        <f aca="false">IF((E150="o"),G150," ")</f>
        <v> </v>
      </c>
      <c r="W150" s="334" t="str">
        <f aca="false">IF((E150="f"),G150," ")</f>
        <v> </v>
      </c>
    </row>
    <row r="151" customFormat="false" ht="12.75" hidden="false" customHeight="false" outlineLevel="0" collapsed="false">
      <c r="A151" s="355"/>
      <c r="E151" s="365" t="str">
        <f aca="false">IF((G151&lt;&gt;0),"Enter Letter"," ")</f>
        <v> </v>
      </c>
      <c r="H151" s="338" t="str">
        <f aca="false">IF((G151&lt;&gt;0),IF((D151&gt;0)," ",G151)," ")</f>
        <v> </v>
      </c>
      <c r="I151" s="367" t="str">
        <f aca="false">IF((G151&lt;&gt;0),IF((D151&gt;0)," ",(I$1-A151))," ")</f>
        <v> </v>
      </c>
      <c r="J151" s="334" t="str">
        <f aca="false">IF((E151="s"),G151," ")</f>
        <v> </v>
      </c>
      <c r="K151" s="334" t="str">
        <f aca="false">IF((E151="d"),G151," ")</f>
        <v> </v>
      </c>
      <c r="L151" s="334" t="str">
        <f aca="false">IF((E151="e"),G151," ")</f>
        <v> </v>
      </c>
      <c r="M151" s="334" t="str">
        <f aca="false">IF((E151="p"),G151," ")</f>
        <v> </v>
      </c>
      <c r="N151" s="334" t="str">
        <f aca="false">IF((E151="r"),G151," ")</f>
        <v> </v>
      </c>
      <c r="O151" s="334" t="str">
        <f aca="false">IF((E151="g"),G151," ")</f>
        <v> </v>
      </c>
      <c r="P151" s="334" t="str">
        <f aca="false">IF((E151="m"),G151," ")</f>
        <v> </v>
      </c>
      <c r="Q151" s="334" t="str">
        <f aca="false">IF((E151="t"),G151," ")</f>
        <v> </v>
      </c>
      <c r="R151" s="334" t="str">
        <f aca="false">IF((E151="a"),G151," ")</f>
        <v> </v>
      </c>
      <c r="S151" s="334" t="str">
        <f aca="false">IF((E151="l"),G151," ")</f>
        <v> </v>
      </c>
      <c r="T151" s="334" t="str">
        <f aca="false">IF((E151="b"),G151," ")</f>
        <v> </v>
      </c>
      <c r="U151" s="334" t="str">
        <f aca="false">IF((E151="i"),G151," ")</f>
        <v> </v>
      </c>
      <c r="V151" s="334" t="str">
        <f aca="false">IF((E151="o"),G151," ")</f>
        <v> </v>
      </c>
      <c r="W151" s="334" t="str">
        <f aca="false">IF((E151="f"),G151," ")</f>
        <v> </v>
      </c>
    </row>
    <row r="152" customFormat="false" ht="12.75" hidden="false" customHeight="false" outlineLevel="0" collapsed="false">
      <c r="A152" s="355"/>
      <c r="E152" s="365" t="str">
        <f aca="false">IF((G152&lt;&gt;0),"Enter Letter"," ")</f>
        <v> </v>
      </c>
      <c r="H152" s="338" t="str">
        <f aca="false">IF((G152&lt;&gt;0),IF((D152&gt;0)," ",G152)," ")</f>
        <v> </v>
      </c>
      <c r="I152" s="367" t="str">
        <f aca="false">IF((G152&lt;&gt;0),IF((D152&gt;0)," ",(I$1-A152))," ")</f>
        <v> </v>
      </c>
      <c r="J152" s="334" t="str">
        <f aca="false">IF((E152="s"),G152," ")</f>
        <v> </v>
      </c>
      <c r="K152" s="334" t="str">
        <f aca="false">IF((E152="d"),G152," ")</f>
        <v> </v>
      </c>
      <c r="L152" s="334" t="str">
        <f aca="false">IF((E152="e"),G152," ")</f>
        <v> </v>
      </c>
      <c r="M152" s="334" t="str">
        <f aca="false">IF((E152="p"),G152," ")</f>
        <v> </v>
      </c>
      <c r="N152" s="334" t="str">
        <f aca="false">IF((E152="r"),G152," ")</f>
        <v> </v>
      </c>
      <c r="O152" s="334" t="str">
        <f aca="false">IF((E152="g"),G152," ")</f>
        <v> </v>
      </c>
      <c r="P152" s="334" t="str">
        <f aca="false">IF((E152="m"),G152," ")</f>
        <v> </v>
      </c>
      <c r="Q152" s="334" t="str">
        <f aca="false">IF((E152="t"),G152," ")</f>
        <v> </v>
      </c>
      <c r="R152" s="334" t="str">
        <f aca="false">IF((E152="a"),G152," ")</f>
        <v> </v>
      </c>
      <c r="S152" s="334" t="str">
        <f aca="false">IF((E152="l"),G152," ")</f>
        <v> </v>
      </c>
      <c r="T152" s="334" t="str">
        <f aca="false">IF((E152="b"),G152," ")</f>
        <v> </v>
      </c>
      <c r="U152" s="334" t="str">
        <f aca="false">IF((E152="i"),G152," ")</f>
        <v> </v>
      </c>
      <c r="V152" s="334" t="str">
        <f aca="false">IF((E152="o"),G152," ")</f>
        <v> </v>
      </c>
      <c r="W152" s="334" t="str">
        <f aca="false">IF((E152="f"),G152," ")</f>
        <v> </v>
      </c>
    </row>
    <row r="153" customFormat="false" ht="12.75" hidden="false" customHeight="false" outlineLevel="0" collapsed="false">
      <c r="A153" s="355"/>
      <c r="E153" s="365" t="str">
        <f aca="false">IF((G153&lt;&gt;0),"Enter Letter"," ")</f>
        <v> </v>
      </c>
      <c r="H153" s="338" t="str">
        <f aca="false">IF((G153&lt;&gt;0),IF((D153&gt;0)," ",G153)," ")</f>
        <v> </v>
      </c>
      <c r="I153" s="367" t="str">
        <f aca="false">IF((G153&lt;&gt;0),IF((D153&gt;0)," ",(I$1-A153))," ")</f>
        <v> </v>
      </c>
      <c r="J153" s="334" t="str">
        <f aca="false">IF((E153="s"),G153," ")</f>
        <v> </v>
      </c>
      <c r="K153" s="334" t="str">
        <f aca="false">IF((E153="d"),G153," ")</f>
        <v> </v>
      </c>
      <c r="L153" s="334" t="str">
        <f aca="false">IF((E153="e"),G153," ")</f>
        <v> </v>
      </c>
      <c r="M153" s="334" t="str">
        <f aca="false">IF((E153="p"),G153," ")</f>
        <v> </v>
      </c>
      <c r="N153" s="334" t="str">
        <f aca="false">IF((E153="r"),G153," ")</f>
        <v> </v>
      </c>
      <c r="O153" s="334" t="str">
        <f aca="false">IF((E153="g"),G153," ")</f>
        <v> </v>
      </c>
      <c r="P153" s="334" t="str">
        <f aca="false">IF((E153="m"),G153," ")</f>
        <v> </v>
      </c>
      <c r="Q153" s="334" t="str">
        <f aca="false">IF((E153="t"),G153," ")</f>
        <v> </v>
      </c>
      <c r="R153" s="334" t="str">
        <f aca="false">IF((E153="a"),G153," ")</f>
        <v> </v>
      </c>
      <c r="S153" s="334" t="str">
        <f aca="false">IF((E153="l"),G153," ")</f>
        <v> </v>
      </c>
      <c r="T153" s="334" t="str">
        <f aca="false">IF((E153="b"),G153," ")</f>
        <v> </v>
      </c>
      <c r="U153" s="334" t="str">
        <f aca="false">IF((E153="i"),G153," ")</f>
        <v> </v>
      </c>
      <c r="V153" s="334" t="str">
        <f aca="false">IF((E153="o"),G153," ")</f>
        <v> </v>
      </c>
      <c r="W153" s="334" t="str">
        <f aca="false">IF((E153="f"),G153," ")</f>
        <v> </v>
      </c>
    </row>
    <row r="154" customFormat="false" ht="12.75" hidden="false" customHeight="false" outlineLevel="0" collapsed="false">
      <c r="A154" s="355"/>
      <c r="E154" s="365" t="str">
        <f aca="false">IF((G154&lt;&gt;0),"Enter Letter"," ")</f>
        <v> </v>
      </c>
      <c r="H154" s="338" t="str">
        <f aca="false">IF((G154&lt;&gt;0),IF((D154&gt;0)," ",G154)," ")</f>
        <v> </v>
      </c>
      <c r="I154" s="367" t="str">
        <f aca="false">IF((G154&lt;&gt;0),IF((D154&gt;0)," ",(I$1-A154))," ")</f>
        <v> </v>
      </c>
      <c r="J154" s="334" t="str">
        <f aca="false">IF((E154="s"),G154," ")</f>
        <v> </v>
      </c>
      <c r="K154" s="334" t="str">
        <f aca="false">IF((E154="d"),G154," ")</f>
        <v> </v>
      </c>
      <c r="L154" s="334" t="str">
        <f aca="false">IF((E154="e"),G154," ")</f>
        <v> </v>
      </c>
      <c r="M154" s="334" t="str">
        <f aca="false">IF((E154="p"),G154," ")</f>
        <v> </v>
      </c>
      <c r="N154" s="334" t="str">
        <f aca="false">IF((E154="r"),G154," ")</f>
        <v> </v>
      </c>
      <c r="O154" s="334" t="str">
        <f aca="false">IF((E154="g"),G154," ")</f>
        <v> </v>
      </c>
      <c r="P154" s="334" t="str">
        <f aca="false">IF((E154="m"),G154," ")</f>
        <v> </v>
      </c>
      <c r="Q154" s="334" t="str">
        <f aca="false">IF((E154="t"),G154," ")</f>
        <v> </v>
      </c>
      <c r="R154" s="334" t="str">
        <f aca="false">IF((E154="a"),G154," ")</f>
        <v> </v>
      </c>
      <c r="S154" s="334" t="str">
        <f aca="false">IF((E154="l"),G154," ")</f>
        <v> </v>
      </c>
      <c r="T154" s="334" t="str">
        <f aca="false">IF((E154="b"),G154," ")</f>
        <v> </v>
      </c>
      <c r="U154" s="334" t="str">
        <f aca="false">IF((E154="i"),G154," ")</f>
        <v> </v>
      </c>
      <c r="V154" s="334" t="str">
        <f aca="false">IF((E154="o"),G154," ")</f>
        <v> </v>
      </c>
      <c r="W154" s="334" t="str">
        <f aca="false">IF((E154="f"),G154," ")</f>
        <v> </v>
      </c>
    </row>
    <row r="155" customFormat="false" ht="12.75" hidden="false" customHeight="false" outlineLevel="0" collapsed="false">
      <c r="A155" s="355"/>
      <c r="E155" s="365" t="str">
        <f aca="false">IF((G155&lt;&gt;0),"Enter Letter"," ")</f>
        <v> </v>
      </c>
      <c r="H155" s="338" t="str">
        <f aca="false">IF((G155&lt;&gt;0),IF((D155&gt;0)," ",G155)," ")</f>
        <v> </v>
      </c>
      <c r="I155" s="367" t="str">
        <f aca="false">IF((G155&lt;&gt;0),IF((D155&gt;0)," ",(I$1-A155))," ")</f>
        <v> </v>
      </c>
      <c r="J155" s="334" t="str">
        <f aca="false">IF((E155="s"),G155," ")</f>
        <v> </v>
      </c>
      <c r="K155" s="334" t="str">
        <f aca="false">IF((E155="d"),G155," ")</f>
        <v> </v>
      </c>
      <c r="L155" s="334" t="str">
        <f aca="false">IF((E155="e"),G155," ")</f>
        <v> </v>
      </c>
      <c r="M155" s="334" t="str">
        <f aca="false">IF((E155="p"),G155," ")</f>
        <v> </v>
      </c>
      <c r="N155" s="334" t="str">
        <f aca="false">IF((E155="r"),G155," ")</f>
        <v> </v>
      </c>
      <c r="O155" s="334" t="str">
        <f aca="false">IF((E155="g"),G155," ")</f>
        <v> </v>
      </c>
      <c r="P155" s="334" t="str">
        <f aca="false">IF((E155="m"),G155," ")</f>
        <v> </v>
      </c>
      <c r="Q155" s="334" t="str">
        <f aca="false">IF((E155="t"),G155," ")</f>
        <v> </v>
      </c>
      <c r="R155" s="334" t="str">
        <f aca="false">IF((E155="a"),G155," ")</f>
        <v> </v>
      </c>
      <c r="S155" s="334" t="str">
        <f aca="false">IF((E155="l"),G155," ")</f>
        <v> </v>
      </c>
      <c r="T155" s="334" t="str">
        <f aca="false">IF((E155="b"),G155," ")</f>
        <v> </v>
      </c>
      <c r="U155" s="334" t="str">
        <f aca="false">IF((E155="i"),G155," ")</f>
        <v> </v>
      </c>
      <c r="V155" s="334" t="str">
        <f aca="false">IF((E155="o"),G155," ")</f>
        <v> </v>
      </c>
      <c r="W155" s="334" t="str">
        <f aca="false">IF((E155="f"),G155," ")</f>
        <v> </v>
      </c>
    </row>
    <row r="156" customFormat="false" ht="12.75" hidden="false" customHeight="false" outlineLevel="0" collapsed="false">
      <c r="A156" s="355"/>
      <c r="E156" s="365" t="str">
        <f aca="false">IF((G156&lt;&gt;0),"Enter Letter"," ")</f>
        <v> </v>
      </c>
      <c r="H156" s="338" t="str">
        <f aca="false">IF((G156&lt;&gt;0),IF((D156&gt;0)," ",G156)," ")</f>
        <v> </v>
      </c>
      <c r="I156" s="367" t="str">
        <f aca="false">IF((G156&lt;&gt;0),IF((D156&gt;0)," ",(I$1-A156))," ")</f>
        <v> </v>
      </c>
      <c r="J156" s="334" t="str">
        <f aca="false">IF((E156="s"),G156," ")</f>
        <v> </v>
      </c>
      <c r="K156" s="334" t="str">
        <f aca="false">IF((E156="d"),G156," ")</f>
        <v> </v>
      </c>
      <c r="L156" s="334" t="str">
        <f aca="false">IF((E156="e"),G156," ")</f>
        <v> </v>
      </c>
      <c r="M156" s="334" t="str">
        <f aca="false">IF((E156="p"),G156," ")</f>
        <v> </v>
      </c>
      <c r="N156" s="334" t="str">
        <f aca="false">IF((E156="r"),G156," ")</f>
        <v> </v>
      </c>
      <c r="O156" s="334" t="str">
        <f aca="false">IF((E156="g"),G156," ")</f>
        <v> </v>
      </c>
      <c r="P156" s="334" t="str">
        <f aca="false">IF((E156="m"),G156," ")</f>
        <v> </v>
      </c>
      <c r="Q156" s="334" t="str">
        <f aca="false">IF((E156="t"),G156," ")</f>
        <v> </v>
      </c>
      <c r="R156" s="334" t="str">
        <f aca="false">IF((E156="a"),G156," ")</f>
        <v> </v>
      </c>
      <c r="S156" s="334" t="str">
        <f aca="false">IF((E156="l"),G156," ")</f>
        <v> </v>
      </c>
      <c r="T156" s="334" t="str">
        <f aca="false">IF((E156="b"),G156," ")</f>
        <v> </v>
      </c>
      <c r="U156" s="334" t="str">
        <f aca="false">IF((E156="i"),G156," ")</f>
        <v> </v>
      </c>
      <c r="V156" s="334" t="str">
        <f aca="false">IF((E156="o"),G156," ")</f>
        <v> </v>
      </c>
      <c r="W156" s="334" t="str">
        <f aca="false">IF((E156="f"),G156," ")</f>
        <v> </v>
      </c>
    </row>
    <row r="157" customFormat="false" ht="12.75" hidden="false" customHeight="false" outlineLevel="0" collapsed="false">
      <c r="A157" s="355"/>
      <c r="E157" s="365" t="str">
        <f aca="false">IF((G157&lt;&gt;0),"Enter Letter"," ")</f>
        <v> </v>
      </c>
      <c r="H157" s="338" t="str">
        <f aca="false">IF((G157&lt;&gt;0),IF((D157&gt;0)," ",G157)," ")</f>
        <v> </v>
      </c>
      <c r="I157" s="367" t="str">
        <f aca="false">IF((G157&lt;&gt;0),IF((D157&gt;0)," ",(I$1-A157))," ")</f>
        <v> </v>
      </c>
      <c r="J157" s="334" t="str">
        <f aca="false">IF((E157="s"),G157," ")</f>
        <v> </v>
      </c>
      <c r="K157" s="334" t="str">
        <f aca="false">IF((E157="d"),G157," ")</f>
        <v> </v>
      </c>
      <c r="L157" s="334" t="str">
        <f aca="false">IF((E157="e"),G157," ")</f>
        <v> </v>
      </c>
      <c r="M157" s="334" t="str">
        <f aca="false">IF((E157="p"),G157," ")</f>
        <v> </v>
      </c>
      <c r="N157" s="334" t="str">
        <f aca="false">IF((E157="r"),G157," ")</f>
        <v> </v>
      </c>
      <c r="O157" s="334" t="str">
        <f aca="false">IF((E157="g"),G157," ")</f>
        <v> </v>
      </c>
      <c r="P157" s="334" t="str">
        <f aca="false">IF((E157="m"),G157," ")</f>
        <v> </v>
      </c>
      <c r="Q157" s="334" t="str">
        <f aca="false">IF((E157="t"),G157," ")</f>
        <v> </v>
      </c>
      <c r="R157" s="334" t="str">
        <f aca="false">IF((E157="a"),G157," ")</f>
        <v> </v>
      </c>
      <c r="S157" s="334" t="str">
        <f aca="false">IF((E157="l"),G157," ")</f>
        <v> </v>
      </c>
      <c r="T157" s="334" t="str">
        <f aca="false">IF((E157="b"),G157," ")</f>
        <v> </v>
      </c>
      <c r="U157" s="334" t="str">
        <f aca="false">IF((E157="i"),G157," ")</f>
        <v> </v>
      </c>
      <c r="V157" s="334" t="str">
        <f aca="false">IF((E157="o"),G157," ")</f>
        <v> </v>
      </c>
      <c r="W157" s="334" t="str">
        <f aca="false">IF((E157="f"),G157," ")</f>
        <v> </v>
      </c>
    </row>
    <row r="158" customFormat="false" ht="12.75" hidden="false" customHeight="false" outlineLevel="0" collapsed="false">
      <c r="A158" s="355"/>
      <c r="E158" s="365" t="str">
        <f aca="false">IF((G158&lt;&gt;0),"Enter Letter"," ")</f>
        <v> </v>
      </c>
      <c r="H158" s="338" t="str">
        <f aca="false">IF((G158&lt;&gt;0),IF((D158&gt;0)," ",G158)," ")</f>
        <v> </v>
      </c>
      <c r="I158" s="367" t="str">
        <f aca="false">IF((G158&lt;&gt;0),IF((D158&gt;0)," ",(I$1-A158))," ")</f>
        <v> </v>
      </c>
      <c r="J158" s="334" t="str">
        <f aca="false">IF((E158="s"),G158," ")</f>
        <v> </v>
      </c>
      <c r="K158" s="334" t="str">
        <f aca="false">IF((E158="d"),G158," ")</f>
        <v> </v>
      </c>
      <c r="L158" s="334" t="str">
        <f aca="false">IF((E158="e"),G158," ")</f>
        <v> </v>
      </c>
      <c r="M158" s="334" t="str">
        <f aca="false">IF((E158="p"),G158," ")</f>
        <v> </v>
      </c>
      <c r="N158" s="334" t="str">
        <f aca="false">IF((E158="r"),G158," ")</f>
        <v> </v>
      </c>
      <c r="O158" s="334" t="str">
        <f aca="false">IF((E158="g"),G158," ")</f>
        <v> </v>
      </c>
      <c r="P158" s="334" t="str">
        <f aca="false">IF((E158="m"),G158," ")</f>
        <v> </v>
      </c>
      <c r="Q158" s="334" t="str">
        <f aca="false">IF((E158="t"),G158," ")</f>
        <v> </v>
      </c>
      <c r="R158" s="334" t="str">
        <f aca="false">IF((E158="a"),G158," ")</f>
        <v> </v>
      </c>
      <c r="S158" s="334" t="str">
        <f aca="false">IF((E158="l"),G158," ")</f>
        <v> </v>
      </c>
      <c r="T158" s="334" t="str">
        <f aca="false">IF((E158="b"),G158," ")</f>
        <v> </v>
      </c>
      <c r="U158" s="334" t="str">
        <f aca="false">IF((E158="i"),G158," ")</f>
        <v> </v>
      </c>
      <c r="V158" s="334" t="str">
        <f aca="false">IF((E158="o"),G158," ")</f>
        <v> </v>
      </c>
      <c r="W158" s="334" t="str">
        <f aca="false">IF((E158="f"),G158," ")</f>
        <v> </v>
      </c>
    </row>
    <row r="159" customFormat="false" ht="12.75" hidden="false" customHeight="false" outlineLevel="0" collapsed="false">
      <c r="A159" s="355"/>
      <c r="E159" s="365" t="str">
        <f aca="false">IF((G159&lt;&gt;0),"Enter Letter"," ")</f>
        <v> </v>
      </c>
      <c r="H159" s="338" t="str">
        <f aca="false">IF((G159&lt;&gt;0),IF((D159&gt;0)," ",G159)," ")</f>
        <v> </v>
      </c>
      <c r="I159" s="367" t="str">
        <f aca="false">IF((G159&lt;&gt;0),IF((D159&gt;0)," ",(I$1-A159))," ")</f>
        <v> </v>
      </c>
      <c r="J159" s="334" t="str">
        <f aca="false">IF((E159="s"),G159," ")</f>
        <v> </v>
      </c>
      <c r="K159" s="334" t="str">
        <f aca="false">IF((E159="d"),G159," ")</f>
        <v> </v>
      </c>
      <c r="L159" s="334" t="str">
        <f aca="false">IF((E159="e"),G159," ")</f>
        <v> </v>
      </c>
      <c r="M159" s="334" t="str">
        <f aca="false">IF((E159="p"),G159," ")</f>
        <v> </v>
      </c>
      <c r="N159" s="334" t="str">
        <f aca="false">IF((E159="r"),G159," ")</f>
        <v> </v>
      </c>
      <c r="O159" s="334" t="str">
        <f aca="false">IF((E159="g"),G159," ")</f>
        <v> </v>
      </c>
      <c r="P159" s="334" t="str">
        <f aca="false">IF((E159="m"),G159," ")</f>
        <v> </v>
      </c>
      <c r="Q159" s="334" t="str">
        <f aca="false">IF((E159="t"),G159," ")</f>
        <v> </v>
      </c>
      <c r="R159" s="334" t="str">
        <f aca="false">IF((E159="a"),G159," ")</f>
        <v> </v>
      </c>
      <c r="S159" s="334" t="str">
        <f aca="false">IF((E159="l"),G159," ")</f>
        <v> </v>
      </c>
      <c r="T159" s="334" t="str">
        <f aca="false">IF((E159="b"),G159," ")</f>
        <v> </v>
      </c>
      <c r="U159" s="334" t="str">
        <f aca="false">IF((E159="i"),G159," ")</f>
        <v> </v>
      </c>
      <c r="V159" s="334" t="str">
        <f aca="false">IF((E159="o"),G159," ")</f>
        <v> </v>
      </c>
      <c r="W159" s="334" t="str">
        <f aca="false">IF((E159="f"),G159," ")</f>
        <v> </v>
      </c>
    </row>
    <row r="160" customFormat="false" ht="12.75" hidden="false" customHeight="false" outlineLevel="0" collapsed="false">
      <c r="A160" s="355"/>
      <c r="E160" s="365" t="str">
        <f aca="false">IF((G160&lt;&gt;0),"Enter Letter"," ")</f>
        <v> </v>
      </c>
      <c r="H160" s="338" t="str">
        <f aca="false">IF((G160&lt;&gt;0),IF((D160&gt;0)," ",G160)," ")</f>
        <v> </v>
      </c>
      <c r="I160" s="367" t="str">
        <f aca="false">IF((G160&lt;&gt;0),IF((D160&gt;0)," ",(I$1-A160))," ")</f>
        <v> </v>
      </c>
      <c r="J160" s="334" t="str">
        <f aca="false">IF((E160="s"),G160," ")</f>
        <v> </v>
      </c>
      <c r="K160" s="334" t="str">
        <f aca="false">IF((E160="d"),G160," ")</f>
        <v> </v>
      </c>
      <c r="L160" s="334" t="str">
        <f aca="false">IF((E160="e"),G160," ")</f>
        <v> </v>
      </c>
      <c r="M160" s="334" t="str">
        <f aca="false">IF((E160="p"),G160," ")</f>
        <v> </v>
      </c>
      <c r="N160" s="334" t="str">
        <f aca="false">IF((E160="r"),G160," ")</f>
        <v> </v>
      </c>
      <c r="O160" s="334" t="str">
        <f aca="false">IF((E160="g"),G160," ")</f>
        <v> </v>
      </c>
      <c r="P160" s="334" t="str">
        <f aca="false">IF((E160="m"),G160," ")</f>
        <v> </v>
      </c>
      <c r="Q160" s="334" t="str">
        <f aca="false">IF((E160="t"),G160," ")</f>
        <v> </v>
      </c>
      <c r="R160" s="334" t="str">
        <f aca="false">IF((E160="a"),G160," ")</f>
        <v> </v>
      </c>
      <c r="S160" s="334" t="str">
        <f aca="false">IF((E160="l"),G160," ")</f>
        <v> </v>
      </c>
      <c r="T160" s="334" t="str">
        <f aca="false">IF((E160="b"),G160," ")</f>
        <v> </v>
      </c>
      <c r="U160" s="334" t="str">
        <f aca="false">IF((E160="i"),G160," ")</f>
        <v> </v>
      </c>
      <c r="V160" s="334" t="str">
        <f aca="false">IF((E160="o"),G160," ")</f>
        <v> </v>
      </c>
      <c r="W160" s="334" t="str">
        <f aca="false">IF((E160="f"),G160," ")</f>
        <v> </v>
      </c>
    </row>
    <row r="161" customFormat="false" ht="12.75" hidden="false" customHeight="false" outlineLevel="0" collapsed="false">
      <c r="A161" s="355"/>
      <c r="E161" s="365" t="str">
        <f aca="false">IF((G161&lt;&gt;0),"Enter Letter"," ")</f>
        <v> </v>
      </c>
      <c r="H161" s="338" t="str">
        <f aca="false">IF((G161&lt;&gt;0),IF((D161&gt;0)," ",G161)," ")</f>
        <v> </v>
      </c>
      <c r="I161" s="367" t="str">
        <f aca="false">IF((G161&lt;&gt;0),IF((D161&gt;0)," ",(I$1-A161))," ")</f>
        <v> </v>
      </c>
      <c r="J161" s="334" t="str">
        <f aca="false">IF((E161="s"),G161," ")</f>
        <v> </v>
      </c>
      <c r="K161" s="334" t="str">
        <f aca="false">IF((E161="d"),G161," ")</f>
        <v> </v>
      </c>
      <c r="L161" s="334" t="str">
        <f aca="false">IF((E161="e"),G161," ")</f>
        <v> </v>
      </c>
      <c r="M161" s="334" t="str">
        <f aca="false">IF((E161="p"),G161," ")</f>
        <v> </v>
      </c>
      <c r="N161" s="334" t="str">
        <f aca="false">IF((E161="r"),G161," ")</f>
        <v> </v>
      </c>
      <c r="O161" s="334" t="str">
        <f aca="false">IF((E161="g"),G161," ")</f>
        <v> </v>
      </c>
      <c r="P161" s="334" t="str">
        <f aca="false">IF((E161="m"),G161," ")</f>
        <v> </v>
      </c>
      <c r="Q161" s="334" t="str">
        <f aca="false">IF((E161="t"),G161," ")</f>
        <v> </v>
      </c>
      <c r="R161" s="334" t="str">
        <f aca="false">IF((E161="a"),G161," ")</f>
        <v> </v>
      </c>
      <c r="S161" s="334" t="str">
        <f aca="false">IF((E161="l"),G161," ")</f>
        <v> </v>
      </c>
      <c r="T161" s="334" t="str">
        <f aca="false">IF((E161="b"),G161," ")</f>
        <v> </v>
      </c>
      <c r="U161" s="334" t="str">
        <f aca="false">IF((E161="i"),G161," ")</f>
        <v> </v>
      </c>
      <c r="V161" s="334" t="str">
        <f aca="false">IF((E161="o"),G161," ")</f>
        <v> </v>
      </c>
      <c r="W161" s="334" t="str">
        <f aca="false">IF((E161="f"),G161," ")</f>
        <v> </v>
      </c>
    </row>
    <row r="162" customFormat="false" ht="12.75" hidden="false" customHeight="false" outlineLevel="0" collapsed="false">
      <c r="A162" s="355"/>
      <c r="E162" s="365" t="str">
        <f aca="false">IF((G162&lt;&gt;0),"Enter Letter"," ")</f>
        <v> </v>
      </c>
      <c r="H162" s="338" t="str">
        <f aca="false">IF((G162&lt;&gt;0),IF((D162&gt;0)," ",G162)," ")</f>
        <v> </v>
      </c>
      <c r="I162" s="367" t="str">
        <f aca="false">IF((G162&lt;&gt;0),IF((D162&gt;0)," ",(I$1-A162))," ")</f>
        <v> </v>
      </c>
      <c r="J162" s="334" t="str">
        <f aca="false">IF((E162="s"),G162," ")</f>
        <v> </v>
      </c>
      <c r="K162" s="334" t="str">
        <f aca="false">IF((E162="d"),G162," ")</f>
        <v> </v>
      </c>
      <c r="L162" s="334" t="str">
        <f aca="false">IF((E162="e"),G162," ")</f>
        <v> </v>
      </c>
      <c r="M162" s="334" t="str">
        <f aca="false">IF((E162="p"),G162," ")</f>
        <v> </v>
      </c>
      <c r="N162" s="334" t="str">
        <f aca="false">IF((E162="r"),G162," ")</f>
        <v> </v>
      </c>
      <c r="O162" s="334" t="str">
        <f aca="false">IF((E162="g"),G162," ")</f>
        <v> </v>
      </c>
      <c r="P162" s="334" t="str">
        <f aca="false">IF((E162="m"),G162," ")</f>
        <v> </v>
      </c>
      <c r="Q162" s="334" t="str">
        <f aca="false">IF((E162="t"),G162," ")</f>
        <v> </v>
      </c>
      <c r="R162" s="334" t="str">
        <f aca="false">IF((E162="a"),G162," ")</f>
        <v> </v>
      </c>
      <c r="S162" s="334" t="str">
        <f aca="false">IF((E162="l"),G162," ")</f>
        <v> </v>
      </c>
      <c r="T162" s="334" t="str">
        <f aca="false">IF((E162="b"),G162," ")</f>
        <v> </v>
      </c>
      <c r="U162" s="334" t="str">
        <f aca="false">IF((E162="i"),G162," ")</f>
        <v> </v>
      </c>
      <c r="V162" s="334" t="str">
        <f aca="false">IF((E162="o"),G162," ")</f>
        <v> </v>
      </c>
      <c r="W162" s="334" t="str">
        <f aca="false">IF((E162="f"),G162," ")</f>
        <v> </v>
      </c>
    </row>
    <row r="163" customFormat="false" ht="12.75" hidden="false" customHeight="false" outlineLevel="0" collapsed="false">
      <c r="A163" s="355"/>
      <c r="E163" s="365" t="str">
        <f aca="false">IF((G163&lt;&gt;0),"Enter Letter"," ")</f>
        <v> </v>
      </c>
      <c r="H163" s="338" t="str">
        <f aca="false">IF((G163&lt;&gt;0),IF((D163&gt;0)," ",G163)," ")</f>
        <v> </v>
      </c>
      <c r="I163" s="367" t="str">
        <f aca="false">IF((G163&lt;&gt;0),IF((D163&gt;0)," ",(I$1-A163))," ")</f>
        <v> </v>
      </c>
      <c r="J163" s="334" t="str">
        <f aca="false">IF((E163="s"),G163," ")</f>
        <v> </v>
      </c>
      <c r="K163" s="334" t="str">
        <f aca="false">IF((E163="d"),G163," ")</f>
        <v> </v>
      </c>
      <c r="L163" s="334" t="str">
        <f aca="false">IF((E163="e"),G163," ")</f>
        <v> </v>
      </c>
      <c r="M163" s="334" t="str">
        <f aca="false">IF((E163="p"),G163," ")</f>
        <v> </v>
      </c>
      <c r="N163" s="334" t="str">
        <f aca="false">IF((E163="r"),G163," ")</f>
        <v> </v>
      </c>
      <c r="O163" s="334" t="str">
        <f aca="false">IF((E163="g"),G163," ")</f>
        <v> </v>
      </c>
      <c r="P163" s="334" t="str">
        <f aca="false">IF((E163="m"),G163," ")</f>
        <v> </v>
      </c>
      <c r="Q163" s="334" t="str">
        <f aca="false">IF((E163="t"),G163," ")</f>
        <v> </v>
      </c>
      <c r="R163" s="334" t="str">
        <f aca="false">IF((E163="a"),G163," ")</f>
        <v> </v>
      </c>
      <c r="S163" s="334" t="str">
        <f aca="false">IF((E163="l"),G163," ")</f>
        <v> </v>
      </c>
      <c r="T163" s="334" t="str">
        <f aca="false">IF((E163="b"),G163," ")</f>
        <v> </v>
      </c>
      <c r="U163" s="334" t="str">
        <f aca="false">IF((E163="i"),G163," ")</f>
        <v> </v>
      </c>
      <c r="V163" s="334" t="str">
        <f aca="false">IF((E163="o"),G163," ")</f>
        <v> </v>
      </c>
      <c r="W163" s="334" t="str">
        <f aca="false">IF((E163="f"),G163," ")</f>
        <v> </v>
      </c>
    </row>
    <row r="164" customFormat="false" ht="12.75" hidden="false" customHeight="false" outlineLevel="0" collapsed="false">
      <c r="A164" s="355"/>
      <c r="E164" s="365" t="str">
        <f aca="false">IF((G164&lt;&gt;0),"Enter Letter"," ")</f>
        <v> </v>
      </c>
      <c r="H164" s="338" t="str">
        <f aca="false">IF((G164&lt;&gt;0),IF((D164&gt;0)," ",G164)," ")</f>
        <v> </v>
      </c>
      <c r="I164" s="367" t="str">
        <f aca="false">IF((G164&lt;&gt;0),IF((D164&gt;0)," ",(I$1-A164))," ")</f>
        <v> </v>
      </c>
      <c r="J164" s="334" t="str">
        <f aca="false">IF((E164="s"),G164," ")</f>
        <v> </v>
      </c>
      <c r="K164" s="334" t="str">
        <f aca="false">IF((E164="d"),G164," ")</f>
        <v> </v>
      </c>
      <c r="L164" s="334" t="str">
        <f aca="false">IF((E164="e"),G164," ")</f>
        <v> </v>
      </c>
      <c r="M164" s="334" t="str">
        <f aca="false">IF((E164="p"),G164," ")</f>
        <v> </v>
      </c>
      <c r="N164" s="334" t="str">
        <f aca="false">IF((E164="r"),G164," ")</f>
        <v> </v>
      </c>
      <c r="O164" s="334" t="str">
        <f aca="false">IF((E164="g"),G164," ")</f>
        <v> </v>
      </c>
      <c r="P164" s="334" t="str">
        <f aca="false">IF((E164="m"),G164," ")</f>
        <v> </v>
      </c>
      <c r="Q164" s="334" t="str">
        <f aca="false">IF((E164="t"),G164," ")</f>
        <v> </v>
      </c>
      <c r="R164" s="334" t="str">
        <f aca="false">IF((E164="a"),G164," ")</f>
        <v> </v>
      </c>
      <c r="S164" s="334" t="str">
        <f aca="false">IF((E164="l"),G164," ")</f>
        <v> </v>
      </c>
      <c r="T164" s="334" t="str">
        <f aca="false">IF((E164="b"),G164," ")</f>
        <v> </v>
      </c>
      <c r="U164" s="334" t="str">
        <f aca="false">IF((E164="i"),G164," ")</f>
        <v> </v>
      </c>
      <c r="V164" s="334" t="str">
        <f aca="false">IF((E164="o"),G164," ")</f>
        <v> </v>
      </c>
      <c r="W164" s="334" t="str">
        <f aca="false">IF((E164="f"),G164," ")</f>
        <v> </v>
      </c>
    </row>
    <row r="165" customFormat="false" ht="12.75" hidden="false" customHeight="false" outlineLevel="0" collapsed="false">
      <c r="A165" s="355"/>
      <c r="E165" s="365" t="str">
        <f aca="false">IF((G165&lt;&gt;0),"Enter Letter"," ")</f>
        <v> </v>
      </c>
      <c r="H165" s="338" t="str">
        <f aca="false">IF((G165&lt;&gt;0),IF((D165&gt;0)," ",G165)," ")</f>
        <v> </v>
      </c>
      <c r="I165" s="367" t="str">
        <f aca="false">IF((G165&lt;&gt;0),IF((D165&gt;0)," ",(I$1-A165))," ")</f>
        <v> </v>
      </c>
      <c r="J165" s="334" t="str">
        <f aca="false">IF((E165="s"),G165," ")</f>
        <v> </v>
      </c>
      <c r="K165" s="334" t="str">
        <f aca="false">IF((E165="d"),G165," ")</f>
        <v> </v>
      </c>
      <c r="L165" s="334" t="str">
        <f aca="false">IF((E165="e"),G165," ")</f>
        <v> </v>
      </c>
      <c r="M165" s="334" t="str">
        <f aca="false">IF((E165="p"),G165," ")</f>
        <v> </v>
      </c>
      <c r="N165" s="334" t="str">
        <f aca="false">IF((E165="r"),G165," ")</f>
        <v> </v>
      </c>
      <c r="O165" s="334" t="str">
        <f aca="false">IF((E165="g"),G165," ")</f>
        <v> </v>
      </c>
      <c r="P165" s="334" t="str">
        <f aca="false">IF((E165="m"),G165," ")</f>
        <v> </v>
      </c>
      <c r="Q165" s="334" t="str">
        <f aca="false">IF((E165="t"),G165," ")</f>
        <v> </v>
      </c>
      <c r="R165" s="334" t="str">
        <f aca="false">IF((E165="a"),G165," ")</f>
        <v> </v>
      </c>
      <c r="S165" s="334" t="str">
        <f aca="false">IF((E165="l"),G165," ")</f>
        <v> </v>
      </c>
      <c r="T165" s="334" t="str">
        <f aca="false">IF((E165="b"),G165," ")</f>
        <v> </v>
      </c>
      <c r="U165" s="334" t="str">
        <f aca="false">IF((E165="i"),G165," ")</f>
        <v> </v>
      </c>
      <c r="V165" s="334" t="str">
        <f aca="false">IF((E165="o"),G165," ")</f>
        <v> </v>
      </c>
      <c r="W165" s="334" t="str">
        <f aca="false">IF((E165="f"),G165," ")</f>
        <v> </v>
      </c>
    </row>
    <row r="166" customFormat="false" ht="12.75" hidden="false" customHeight="false" outlineLevel="0" collapsed="false">
      <c r="A166" s="355"/>
      <c r="E166" s="365" t="str">
        <f aca="false">IF((G166&lt;&gt;0),"Enter Letter"," ")</f>
        <v> </v>
      </c>
      <c r="H166" s="338" t="str">
        <f aca="false">IF((G166&lt;&gt;0),IF((D166&gt;0)," ",G166)," ")</f>
        <v> </v>
      </c>
      <c r="I166" s="367" t="str">
        <f aca="false">IF((G166&lt;&gt;0),IF((D166&gt;0)," ",(I$1-A166))," ")</f>
        <v> </v>
      </c>
      <c r="J166" s="334" t="str">
        <f aca="false">IF((E166="s"),G166," ")</f>
        <v> </v>
      </c>
      <c r="K166" s="334" t="str">
        <f aca="false">IF((E166="d"),G166," ")</f>
        <v> </v>
      </c>
      <c r="L166" s="334" t="str">
        <f aca="false">IF((E166="e"),G166," ")</f>
        <v> </v>
      </c>
      <c r="M166" s="334" t="str">
        <f aca="false">IF((E166="p"),G166," ")</f>
        <v> </v>
      </c>
      <c r="N166" s="334" t="str">
        <f aca="false">IF((E166="r"),G166," ")</f>
        <v> </v>
      </c>
      <c r="O166" s="334" t="str">
        <f aca="false">IF((E166="g"),G166," ")</f>
        <v> </v>
      </c>
      <c r="P166" s="334" t="str">
        <f aca="false">IF((E166="m"),G166," ")</f>
        <v> </v>
      </c>
      <c r="Q166" s="334" t="str">
        <f aca="false">IF((E166="t"),G166," ")</f>
        <v> </v>
      </c>
      <c r="R166" s="334" t="str">
        <f aca="false">IF((E166="a"),G166," ")</f>
        <v> </v>
      </c>
      <c r="S166" s="334" t="str">
        <f aca="false">IF((E166="l"),G166," ")</f>
        <v> </v>
      </c>
      <c r="T166" s="334" t="str">
        <f aca="false">IF((E166="b"),G166," ")</f>
        <v> </v>
      </c>
      <c r="U166" s="334" t="str">
        <f aca="false">IF((E166="i"),G166," ")</f>
        <v> </v>
      </c>
      <c r="V166" s="334" t="str">
        <f aca="false">IF((E166="o"),G166," ")</f>
        <v> </v>
      </c>
      <c r="W166" s="334" t="str">
        <f aca="false">IF((E166="f"),G166," ")</f>
        <v> </v>
      </c>
    </row>
    <row r="167" customFormat="false" ht="12.75" hidden="false" customHeight="false" outlineLevel="0" collapsed="false">
      <c r="A167" s="355"/>
      <c r="E167" s="365" t="str">
        <f aca="false">IF((G167&lt;&gt;0),"Enter Letter"," ")</f>
        <v> </v>
      </c>
      <c r="H167" s="338" t="str">
        <f aca="false">IF((G167&lt;&gt;0),IF((D167&gt;0)," ",G167)," ")</f>
        <v> </v>
      </c>
      <c r="I167" s="367" t="str">
        <f aca="false">IF((G167&lt;&gt;0),IF((D167&gt;0)," ",(I$1-A167))," ")</f>
        <v> </v>
      </c>
      <c r="J167" s="334" t="str">
        <f aca="false">IF((E167="s"),G167," ")</f>
        <v> </v>
      </c>
      <c r="K167" s="334" t="str">
        <f aca="false">IF((E167="d"),G167," ")</f>
        <v> </v>
      </c>
      <c r="L167" s="334" t="str">
        <f aca="false">IF((E167="e"),G167," ")</f>
        <v> </v>
      </c>
      <c r="M167" s="334" t="str">
        <f aca="false">IF((E167="p"),G167," ")</f>
        <v> </v>
      </c>
      <c r="N167" s="334" t="str">
        <f aca="false">IF((E167="r"),G167," ")</f>
        <v> </v>
      </c>
      <c r="O167" s="334" t="str">
        <f aca="false">IF((E167="g"),G167," ")</f>
        <v> </v>
      </c>
      <c r="P167" s="334" t="str">
        <f aca="false">IF((E167="m"),G167," ")</f>
        <v> </v>
      </c>
      <c r="Q167" s="334" t="str">
        <f aca="false">IF((E167="t"),G167," ")</f>
        <v> </v>
      </c>
      <c r="R167" s="334" t="str">
        <f aca="false">IF((E167="a"),G167," ")</f>
        <v> </v>
      </c>
      <c r="S167" s="334" t="str">
        <f aca="false">IF((E167="l"),G167," ")</f>
        <v> </v>
      </c>
      <c r="T167" s="334" t="str">
        <f aca="false">IF((E167="b"),G167," ")</f>
        <v> </v>
      </c>
      <c r="U167" s="334" t="str">
        <f aca="false">IF((E167="i"),G167," ")</f>
        <v> </v>
      </c>
      <c r="V167" s="334" t="str">
        <f aca="false">IF((E167="o"),G167," ")</f>
        <v> </v>
      </c>
      <c r="W167" s="334" t="str">
        <f aca="false">IF((E167="f"),G167," ")</f>
        <v> </v>
      </c>
    </row>
    <row r="168" customFormat="false" ht="12.75" hidden="false" customHeight="false" outlineLevel="0" collapsed="false">
      <c r="A168" s="355"/>
      <c r="E168" s="365" t="str">
        <f aca="false">IF((G168&lt;&gt;0),"Enter Letter"," ")</f>
        <v> </v>
      </c>
      <c r="H168" s="338" t="str">
        <f aca="false">IF((G168&lt;&gt;0),IF((D168&gt;0)," ",G168)," ")</f>
        <v> </v>
      </c>
      <c r="I168" s="367" t="str">
        <f aca="false">IF((G168&lt;&gt;0),IF((D168&gt;0)," ",(I$1-A168))," ")</f>
        <v> </v>
      </c>
      <c r="J168" s="334" t="str">
        <f aca="false">IF((E168="s"),G168," ")</f>
        <v> </v>
      </c>
      <c r="K168" s="334" t="str">
        <f aca="false">IF((E168="d"),G168," ")</f>
        <v> </v>
      </c>
      <c r="L168" s="334" t="str">
        <f aca="false">IF((E168="e"),G168," ")</f>
        <v> </v>
      </c>
      <c r="M168" s="334" t="str">
        <f aca="false">IF((E168="p"),G168," ")</f>
        <v> </v>
      </c>
      <c r="N168" s="334" t="str">
        <f aca="false">IF((E168="r"),G168," ")</f>
        <v> </v>
      </c>
      <c r="O168" s="334" t="str">
        <f aca="false">IF((E168="g"),G168," ")</f>
        <v> </v>
      </c>
      <c r="P168" s="334" t="str">
        <f aca="false">IF((E168="m"),G168," ")</f>
        <v> </v>
      </c>
      <c r="Q168" s="334" t="str">
        <f aca="false">IF((E168="t"),G168," ")</f>
        <v> </v>
      </c>
      <c r="R168" s="334" t="str">
        <f aca="false">IF((E168="a"),G168," ")</f>
        <v> </v>
      </c>
      <c r="S168" s="334" t="str">
        <f aca="false">IF((E168="l"),G168," ")</f>
        <v> </v>
      </c>
      <c r="T168" s="334" t="str">
        <f aca="false">IF((E168="b"),G168," ")</f>
        <v> </v>
      </c>
      <c r="U168" s="334" t="str">
        <f aca="false">IF((E168="i"),G168," ")</f>
        <v> </v>
      </c>
      <c r="V168" s="334" t="str">
        <f aca="false">IF((E168="o"),G168," ")</f>
        <v> </v>
      </c>
      <c r="W168" s="334" t="str">
        <f aca="false">IF((E168="f"),G168," ")</f>
        <v> </v>
      </c>
    </row>
    <row r="169" customFormat="false" ht="12.75" hidden="false" customHeight="false" outlineLevel="0" collapsed="false">
      <c r="A169" s="355"/>
      <c r="E169" s="365" t="str">
        <f aca="false">IF((G169&lt;&gt;0),"Enter Letter"," ")</f>
        <v> </v>
      </c>
      <c r="H169" s="338" t="str">
        <f aca="false">IF((G169&lt;&gt;0),IF((D169&gt;0)," ",G169)," ")</f>
        <v> </v>
      </c>
      <c r="I169" s="367" t="str">
        <f aca="false">IF((G169&lt;&gt;0),IF((D169&gt;0)," ",(I$1-A169))," ")</f>
        <v> </v>
      </c>
      <c r="J169" s="334" t="str">
        <f aca="false">IF((E169="s"),G169," ")</f>
        <v> </v>
      </c>
      <c r="K169" s="334" t="str">
        <f aca="false">IF((E169="d"),G169," ")</f>
        <v> </v>
      </c>
      <c r="L169" s="334" t="str">
        <f aca="false">IF((E169="e"),G169," ")</f>
        <v> </v>
      </c>
      <c r="M169" s="334" t="str">
        <f aca="false">IF((E169="p"),G169," ")</f>
        <v> </v>
      </c>
      <c r="N169" s="334" t="str">
        <f aca="false">IF((E169="r"),G169," ")</f>
        <v> </v>
      </c>
      <c r="O169" s="334" t="str">
        <f aca="false">IF((E169="g"),G169," ")</f>
        <v> </v>
      </c>
      <c r="P169" s="334" t="str">
        <f aca="false">IF((E169="m"),G169," ")</f>
        <v> </v>
      </c>
      <c r="Q169" s="334" t="str">
        <f aca="false">IF((E169="t"),G169," ")</f>
        <v> </v>
      </c>
      <c r="R169" s="334" t="str">
        <f aca="false">IF((E169="a"),G169," ")</f>
        <v> </v>
      </c>
      <c r="S169" s="334" t="str">
        <f aca="false">IF((E169="l"),G169," ")</f>
        <v> </v>
      </c>
      <c r="T169" s="334" t="str">
        <f aca="false">IF((E169="b"),G169," ")</f>
        <v> </v>
      </c>
      <c r="U169" s="334" t="str">
        <f aca="false">IF((E169="i"),G169," ")</f>
        <v> </v>
      </c>
      <c r="V169" s="334" t="str">
        <f aca="false">IF((E169="o"),G169," ")</f>
        <v> </v>
      </c>
      <c r="W169" s="334" t="str">
        <f aca="false">IF((E169="f"),G169," ")</f>
        <v> </v>
      </c>
    </row>
    <row r="170" customFormat="false" ht="12.75" hidden="false" customHeight="false" outlineLevel="0" collapsed="false">
      <c r="A170" s="355"/>
      <c r="E170" s="365" t="str">
        <f aca="false">IF((G170&lt;&gt;0),"Enter Letter"," ")</f>
        <v> </v>
      </c>
      <c r="H170" s="338" t="str">
        <f aca="false">IF((G170&lt;&gt;0),IF((D170&gt;0)," ",G170)," ")</f>
        <v> </v>
      </c>
      <c r="I170" s="367" t="str">
        <f aca="false">IF((G170&lt;&gt;0),IF((D170&gt;0)," ",(I$1-A170))," ")</f>
        <v> </v>
      </c>
      <c r="J170" s="334" t="str">
        <f aca="false">IF((E170="s"),G170," ")</f>
        <v> </v>
      </c>
      <c r="K170" s="334" t="str">
        <f aca="false">IF((E170="d"),G170," ")</f>
        <v> </v>
      </c>
      <c r="L170" s="334" t="str">
        <f aca="false">IF((E170="e"),G170," ")</f>
        <v> </v>
      </c>
      <c r="M170" s="334" t="str">
        <f aca="false">IF((E170="p"),G170," ")</f>
        <v> </v>
      </c>
      <c r="N170" s="334" t="str">
        <f aca="false">IF((E170="r"),G170," ")</f>
        <v> </v>
      </c>
      <c r="O170" s="334" t="str">
        <f aca="false">IF((E170="g"),G170," ")</f>
        <v> </v>
      </c>
      <c r="P170" s="334" t="str">
        <f aca="false">IF((E170="m"),G170," ")</f>
        <v> </v>
      </c>
      <c r="Q170" s="334" t="str">
        <f aca="false">IF((E170="t"),G170," ")</f>
        <v> </v>
      </c>
      <c r="R170" s="334" t="str">
        <f aca="false">IF((E170="a"),G170," ")</f>
        <v> </v>
      </c>
      <c r="S170" s="334" t="str">
        <f aca="false">IF((E170="l"),G170," ")</f>
        <v> </v>
      </c>
      <c r="T170" s="334" t="str">
        <f aca="false">IF((E170="b"),G170," ")</f>
        <v> </v>
      </c>
      <c r="U170" s="334" t="str">
        <f aca="false">IF((E170="i"),G170," ")</f>
        <v> </v>
      </c>
      <c r="V170" s="334" t="str">
        <f aca="false">IF((E170="o"),G170," ")</f>
        <v> </v>
      </c>
      <c r="W170" s="334" t="str">
        <f aca="false">IF((E170="f"),G170," ")</f>
        <v> </v>
      </c>
    </row>
    <row r="171" customFormat="false" ht="12.75" hidden="false" customHeight="false" outlineLevel="0" collapsed="false">
      <c r="A171" s="355"/>
      <c r="E171" s="365" t="str">
        <f aca="false">IF((G171&lt;&gt;0),"Enter Letter"," ")</f>
        <v> </v>
      </c>
      <c r="H171" s="338" t="str">
        <f aca="false">IF((G171&lt;&gt;0),IF((D171&gt;0)," ",G171)," ")</f>
        <v> </v>
      </c>
      <c r="I171" s="367" t="str">
        <f aca="false">IF((G171&lt;&gt;0),IF((D171&gt;0)," ",(I$1-A171))," ")</f>
        <v> </v>
      </c>
      <c r="J171" s="334" t="str">
        <f aca="false">IF((E171="s"),G171," ")</f>
        <v> </v>
      </c>
      <c r="K171" s="334" t="str">
        <f aca="false">IF((E171="d"),G171," ")</f>
        <v> </v>
      </c>
      <c r="L171" s="334" t="str">
        <f aca="false">IF((E171="e"),G171," ")</f>
        <v> </v>
      </c>
      <c r="M171" s="334" t="str">
        <f aca="false">IF((E171="p"),G171," ")</f>
        <v> </v>
      </c>
      <c r="N171" s="334" t="str">
        <f aca="false">IF((E171="r"),G171," ")</f>
        <v> </v>
      </c>
      <c r="O171" s="334" t="str">
        <f aca="false">IF((E171="g"),G171," ")</f>
        <v> </v>
      </c>
      <c r="P171" s="334" t="str">
        <f aca="false">IF((E171="m"),G171," ")</f>
        <v> </v>
      </c>
      <c r="Q171" s="334" t="str">
        <f aca="false">IF((E171="t"),G171," ")</f>
        <v> </v>
      </c>
      <c r="R171" s="334" t="str">
        <f aca="false">IF((E171="a"),G171," ")</f>
        <v> </v>
      </c>
      <c r="S171" s="334" t="str">
        <f aca="false">IF((E171="l"),G171," ")</f>
        <v> </v>
      </c>
      <c r="T171" s="334" t="str">
        <f aca="false">IF((E171="b"),G171," ")</f>
        <v> </v>
      </c>
      <c r="U171" s="334" t="str">
        <f aca="false">IF((E171="i"),G171," ")</f>
        <v> </v>
      </c>
      <c r="V171" s="334" t="str">
        <f aca="false">IF((E171="o"),G171," ")</f>
        <v> </v>
      </c>
      <c r="W171" s="334" t="str">
        <f aca="false">IF((E171="f"),G171," ")</f>
        <v> </v>
      </c>
    </row>
    <row r="172" customFormat="false" ht="12.75" hidden="false" customHeight="false" outlineLevel="0" collapsed="false">
      <c r="A172" s="355"/>
      <c r="E172" s="365" t="str">
        <f aca="false">IF((G172&lt;&gt;0),"Enter Letter"," ")</f>
        <v> </v>
      </c>
      <c r="H172" s="338" t="str">
        <f aca="false">IF((G172&lt;&gt;0),IF((D172&gt;0)," ",G172)," ")</f>
        <v> </v>
      </c>
      <c r="I172" s="367" t="str">
        <f aca="false">IF((G172&lt;&gt;0),IF((D172&gt;0)," ",(I$1-A172))," ")</f>
        <v> </v>
      </c>
      <c r="J172" s="334" t="str">
        <f aca="false">IF((E172="s"),G172," ")</f>
        <v> </v>
      </c>
      <c r="K172" s="334" t="str">
        <f aca="false">IF((E172="d"),G172," ")</f>
        <v> </v>
      </c>
      <c r="L172" s="334" t="str">
        <f aca="false">IF((E172="e"),G172," ")</f>
        <v> </v>
      </c>
      <c r="M172" s="334" t="str">
        <f aca="false">IF((E172="p"),G172," ")</f>
        <v> </v>
      </c>
      <c r="N172" s="334" t="str">
        <f aca="false">IF((E172="r"),G172," ")</f>
        <v> </v>
      </c>
      <c r="O172" s="334" t="str">
        <f aca="false">IF((E172="g"),G172," ")</f>
        <v> </v>
      </c>
      <c r="P172" s="334" t="str">
        <f aca="false">IF((E172="m"),G172," ")</f>
        <v> </v>
      </c>
      <c r="Q172" s="334" t="str">
        <f aca="false">IF((E172="t"),G172," ")</f>
        <v> </v>
      </c>
      <c r="R172" s="334" t="str">
        <f aca="false">IF((E172="a"),G172," ")</f>
        <v> </v>
      </c>
      <c r="S172" s="334" t="str">
        <f aca="false">IF((E172="l"),G172," ")</f>
        <v> </v>
      </c>
      <c r="T172" s="334" t="str">
        <f aca="false">IF((E172="b"),G172," ")</f>
        <v> </v>
      </c>
      <c r="U172" s="334" t="str">
        <f aca="false">IF((E172="i"),G172," ")</f>
        <v> </v>
      </c>
      <c r="V172" s="334" t="str">
        <f aca="false">IF((E172="o"),G172," ")</f>
        <v> </v>
      </c>
      <c r="W172" s="334" t="str">
        <f aca="false">IF((E172="f"),G172," ")</f>
        <v> </v>
      </c>
    </row>
    <row r="173" customFormat="false" ht="12.75" hidden="false" customHeight="false" outlineLevel="0" collapsed="false">
      <c r="A173" s="355"/>
      <c r="E173" s="365" t="str">
        <f aca="false">IF((G173&lt;&gt;0),"Enter Letter"," ")</f>
        <v> </v>
      </c>
      <c r="H173" s="338" t="str">
        <f aca="false">IF((G173&lt;&gt;0),IF((D173&gt;0)," ",G173)," ")</f>
        <v> </v>
      </c>
      <c r="I173" s="367" t="str">
        <f aca="false">IF((G173&lt;&gt;0),IF((D173&gt;0)," ",(I$1-A173))," ")</f>
        <v> </v>
      </c>
      <c r="J173" s="334" t="str">
        <f aca="false">IF((E173="s"),G173," ")</f>
        <v> </v>
      </c>
      <c r="K173" s="334" t="str">
        <f aca="false">IF((E173="d"),G173," ")</f>
        <v> </v>
      </c>
      <c r="L173" s="334" t="str">
        <f aca="false">IF((E173="e"),G173," ")</f>
        <v> </v>
      </c>
      <c r="M173" s="334" t="str">
        <f aca="false">IF((E173="p"),G173," ")</f>
        <v> </v>
      </c>
      <c r="N173" s="334" t="str">
        <f aca="false">IF((E173="r"),G173," ")</f>
        <v> </v>
      </c>
      <c r="O173" s="334" t="str">
        <f aca="false">IF((E173="g"),G173," ")</f>
        <v> </v>
      </c>
      <c r="P173" s="334" t="str">
        <f aca="false">IF((E173="m"),G173," ")</f>
        <v> </v>
      </c>
      <c r="Q173" s="334" t="str">
        <f aca="false">IF((E173="t"),G173," ")</f>
        <v> </v>
      </c>
      <c r="R173" s="334" t="str">
        <f aca="false">IF((E173="a"),G173," ")</f>
        <v> </v>
      </c>
      <c r="S173" s="334" t="str">
        <f aca="false">IF((E173="l"),G173," ")</f>
        <v> </v>
      </c>
      <c r="T173" s="334" t="str">
        <f aca="false">IF((E173="b"),G173," ")</f>
        <v> </v>
      </c>
      <c r="U173" s="334" t="str">
        <f aca="false">IF((E173="i"),G173," ")</f>
        <v> </v>
      </c>
      <c r="V173" s="334" t="str">
        <f aca="false">IF((E173="o"),G173," ")</f>
        <v> </v>
      </c>
      <c r="W173" s="334" t="str">
        <f aca="false">IF((E173="f"),G173," ")</f>
        <v> </v>
      </c>
    </row>
    <row r="174" customFormat="false" ht="12.75" hidden="false" customHeight="false" outlineLevel="0" collapsed="false">
      <c r="A174" s="355"/>
      <c r="E174" s="365" t="str">
        <f aca="false">IF((G174&lt;&gt;0),"Enter Letter"," ")</f>
        <v> </v>
      </c>
      <c r="H174" s="338" t="str">
        <f aca="false">IF((G174&lt;&gt;0),IF((D174&gt;0)," ",G174)," ")</f>
        <v> </v>
      </c>
      <c r="I174" s="367" t="str">
        <f aca="false">IF((G174&lt;&gt;0),IF((D174&gt;0)," ",(I$1-A174))," ")</f>
        <v> </v>
      </c>
      <c r="J174" s="334" t="str">
        <f aca="false">IF((E174="s"),G174," ")</f>
        <v> </v>
      </c>
      <c r="K174" s="334" t="str">
        <f aca="false">IF((E174="d"),G174," ")</f>
        <v> </v>
      </c>
      <c r="L174" s="334" t="str">
        <f aca="false">IF((E174="e"),G174," ")</f>
        <v> </v>
      </c>
      <c r="M174" s="334" t="str">
        <f aca="false">IF((E174="p"),G174," ")</f>
        <v> </v>
      </c>
      <c r="N174" s="334" t="str">
        <f aca="false">IF((E174="r"),G174," ")</f>
        <v> </v>
      </c>
      <c r="O174" s="334" t="str">
        <f aca="false">IF((E174="g"),G174," ")</f>
        <v> </v>
      </c>
      <c r="P174" s="334" t="str">
        <f aca="false">IF((E174="m"),G174," ")</f>
        <v> </v>
      </c>
      <c r="Q174" s="334" t="str">
        <f aca="false">IF((E174="t"),G174," ")</f>
        <v> </v>
      </c>
      <c r="R174" s="334" t="str">
        <f aca="false">IF((E174="a"),G174," ")</f>
        <v> </v>
      </c>
      <c r="S174" s="334" t="str">
        <f aca="false">IF((E174="l"),G174," ")</f>
        <v> </v>
      </c>
      <c r="T174" s="334" t="str">
        <f aca="false">IF((E174="b"),G174," ")</f>
        <v> </v>
      </c>
      <c r="U174" s="334" t="str">
        <f aca="false">IF((E174="i"),G174," ")</f>
        <v> </v>
      </c>
      <c r="V174" s="334" t="str">
        <f aca="false">IF((E174="o"),G174," ")</f>
        <v> </v>
      </c>
      <c r="W174" s="334" t="str">
        <f aca="false">IF((E174="f"),G174," ")</f>
        <v> </v>
      </c>
    </row>
    <row r="175" customFormat="false" ht="12.75" hidden="false" customHeight="false" outlineLevel="0" collapsed="false">
      <c r="A175" s="355"/>
      <c r="E175" s="365" t="str">
        <f aca="false">IF((G175&lt;&gt;0),"Enter Letter"," ")</f>
        <v> </v>
      </c>
      <c r="H175" s="338" t="str">
        <f aca="false">IF((G175&lt;&gt;0),IF((D175&gt;0)," ",G175)," ")</f>
        <v> </v>
      </c>
      <c r="I175" s="367" t="str">
        <f aca="false">IF((G175&lt;&gt;0),IF((D175&gt;0)," ",(I$1-A175))," ")</f>
        <v> </v>
      </c>
      <c r="J175" s="334" t="str">
        <f aca="false">IF((E175="s"),G175," ")</f>
        <v> </v>
      </c>
      <c r="K175" s="334" t="str">
        <f aca="false">IF((E175="d"),G175," ")</f>
        <v> </v>
      </c>
      <c r="L175" s="334" t="str">
        <f aca="false">IF((E175="e"),G175," ")</f>
        <v> </v>
      </c>
      <c r="M175" s="334" t="str">
        <f aca="false">IF((E175="p"),G175," ")</f>
        <v> </v>
      </c>
      <c r="N175" s="334" t="str">
        <f aca="false">IF((E175="r"),G175," ")</f>
        <v> </v>
      </c>
      <c r="O175" s="334" t="str">
        <f aca="false">IF((E175="g"),G175," ")</f>
        <v> </v>
      </c>
      <c r="P175" s="334" t="str">
        <f aca="false">IF((E175="m"),G175," ")</f>
        <v> </v>
      </c>
      <c r="Q175" s="334" t="str">
        <f aca="false">IF((E175="t"),G175," ")</f>
        <v> </v>
      </c>
      <c r="R175" s="334" t="str">
        <f aca="false">IF((E175="a"),G175," ")</f>
        <v> </v>
      </c>
      <c r="S175" s="334" t="str">
        <f aca="false">IF((E175="l"),G175," ")</f>
        <v> </v>
      </c>
      <c r="T175" s="334" t="str">
        <f aca="false">IF((E175="b"),G175," ")</f>
        <v> </v>
      </c>
      <c r="U175" s="334" t="str">
        <f aca="false">IF((E175="i"),G175," ")</f>
        <v> </v>
      </c>
      <c r="V175" s="334" t="str">
        <f aca="false">IF((E175="o"),G175," ")</f>
        <v> </v>
      </c>
      <c r="W175" s="334" t="str">
        <f aca="false">IF((E175="f"),G175," ")</f>
        <v> </v>
      </c>
    </row>
    <row r="176" customFormat="false" ht="12.75" hidden="false" customHeight="false" outlineLevel="0" collapsed="false">
      <c r="A176" s="355"/>
      <c r="E176" s="365" t="str">
        <f aca="false">IF((G176&lt;&gt;0),"Enter Letter"," ")</f>
        <v> </v>
      </c>
      <c r="H176" s="338" t="str">
        <f aca="false">IF((G176&lt;&gt;0),IF((D176&gt;0)," ",G176)," ")</f>
        <v> </v>
      </c>
      <c r="I176" s="367" t="str">
        <f aca="false">IF((G176&lt;&gt;0),IF((D176&gt;0)," ",(I$1-A176))," ")</f>
        <v> </v>
      </c>
      <c r="J176" s="334" t="str">
        <f aca="false">IF((E176="s"),G176," ")</f>
        <v> </v>
      </c>
      <c r="K176" s="334" t="str">
        <f aca="false">IF((E176="d"),G176," ")</f>
        <v> </v>
      </c>
      <c r="L176" s="334" t="str">
        <f aca="false">IF((E176="e"),G176," ")</f>
        <v> </v>
      </c>
      <c r="M176" s="334" t="str">
        <f aca="false">IF((E176="p"),G176," ")</f>
        <v> </v>
      </c>
      <c r="N176" s="334" t="str">
        <f aca="false">IF((E176="r"),G176," ")</f>
        <v> </v>
      </c>
      <c r="O176" s="334" t="str">
        <f aca="false">IF((E176="g"),G176," ")</f>
        <v> </v>
      </c>
      <c r="P176" s="334" t="str">
        <f aca="false">IF((E176="m"),G176," ")</f>
        <v> </v>
      </c>
      <c r="Q176" s="334" t="str">
        <f aca="false">IF((E176="t"),G176," ")</f>
        <v> </v>
      </c>
      <c r="R176" s="334" t="str">
        <f aca="false">IF((E176="a"),G176," ")</f>
        <v> </v>
      </c>
      <c r="S176" s="334" t="str">
        <f aca="false">IF((E176="l"),G176," ")</f>
        <v> </v>
      </c>
      <c r="T176" s="334" t="str">
        <f aca="false">IF((E176="b"),G176," ")</f>
        <v> </v>
      </c>
      <c r="U176" s="334" t="str">
        <f aca="false">IF((E176="i"),G176," ")</f>
        <v> </v>
      </c>
      <c r="V176" s="334" t="str">
        <f aca="false">IF((E176="o"),G176," ")</f>
        <v> </v>
      </c>
      <c r="W176" s="334" t="str">
        <f aca="false">IF((E176="f"),G176," ")</f>
        <v> </v>
      </c>
    </row>
    <row r="177" customFormat="false" ht="12.75" hidden="false" customHeight="false" outlineLevel="0" collapsed="false">
      <c r="A177" s="355"/>
      <c r="E177" s="365" t="str">
        <f aca="false">IF((G177&lt;&gt;0),"Enter Letter"," ")</f>
        <v> </v>
      </c>
      <c r="H177" s="338" t="str">
        <f aca="false">IF((G177&lt;&gt;0),IF((D177&gt;0)," ",G177)," ")</f>
        <v> </v>
      </c>
      <c r="I177" s="367" t="str">
        <f aca="false">IF((G177&lt;&gt;0),IF((D177&gt;0)," ",(I$1-A177))," ")</f>
        <v> </v>
      </c>
      <c r="J177" s="334" t="str">
        <f aca="false">IF((E177="s"),G177," ")</f>
        <v> </v>
      </c>
      <c r="K177" s="334" t="str">
        <f aca="false">IF((E177="d"),G177," ")</f>
        <v> </v>
      </c>
      <c r="L177" s="334" t="str">
        <f aca="false">IF((E177="e"),G177," ")</f>
        <v> </v>
      </c>
      <c r="M177" s="334" t="str">
        <f aca="false">IF((E177="p"),G177," ")</f>
        <v> </v>
      </c>
      <c r="N177" s="334" t="str">
        <f aca="false">IF((E177="r"),G177," ")</f>
        <v> </v>
      </c>
      <c r="O177" s="334" t="str">
        <f aca="false">IF((E177="g"),G177," ")</f>
        <v> </v>
      </c>
      <c r="P177" s="334" t="str">
        <f aca="false">IF((E177="m"),G177," ")</f>
        <v> </v>
      </c>
      <c r="Q177" s="334" t="str">
        <f aca="false">IF((E177="t"),G177," ")</f>
        <v> </v>
      </c>
      <c r="R177" s="334" t="str">
        <f aca="false">IF((E177="a"),G177," ")</f>
        <v> </v>
      </c>
      <c r="S177" s="334" t="str">
        <f aca="false">IF((E177="l"),G177," ")</f>
        <v> </v>
      </c>
      <c r="T177" s="334" t="str">
        <f aca="false">IF((E177="b"),G177," ")</f>
        <v> </v>
      </c>
      <c r="U177" s="334" t="str">
        <f aca="false">IF((E177="i"),G177," ")</f>
        <v> </v>
      </c>
      <c r="V177" s="334" t="str">
        <f aca="false">IF((E177="o"),G177," ")</f>
        <v> </v>
      </c>
      <c r="W177" s="334" t="str">
        <f aca="false">IF((E177="f"),G177," ")</f>
        <v> </v>
      </c>
    </row>
    <row r="178" customFormat="false" ht="12.75" hidden="false" customHeight="false" outlineLevel="0" collapsed="false">
      <c r="A178" s="355"/>
      <c r="E178" s="365" t="str">
        <f aca="false">IF((G178&lt;&gt;0),"Enter Letter"," ")</f>
        <v> </v>
      </c>
      <c r="H178" s="338" t="str">
        <f aca="false">IF((G178&lt;&gt;0),IF((D178&gt;0)," ",G178)," ")</f>
        <v> </v>
      </c>
      <c r="I178" s="367" t="str">
        <f aca="false">IF((G178&lt;&gt;0),IF((D178&gt;0)," ",(I$1-A178))," ")</f>
        <v> </v>
      </c>
      <c r="J178" s="334" t="str">
        <f aca="false">IF((E178="s"),G178," ")</f>
        <v> </v>
      </c>
      <c r="K178" s="334" t="str">
        <f aca="false">IF((E178="d"),G178," ")</f>
        <v> </v>
      </c>
      <c r="L178" s="334" t="str">
        <f aca="false">IF((E178="e"),G178," ")</f>
        <v> </v>
      </c>
      <c r="M178" s="334" t="str">
        <f aca="false">IF((E178="p"),G178," ")</f>
        <v> </v>
      </c>
      <c r="N178" s="334" t="str">
        <f aca="false">IF((E178="r"),G178," ")</f>
        <v> </v>
      </c>
      <c r="O178" s="334" t="str">
        <f aca="false">IF((E178="g"),G178," ")</f>
        <v> </v>
      </c>
      <c r="P178" s="334" t="str">
        <f aca="false">IF((E178="m"),G178," ")</f>
        <v> </v>
      </c>
      <c r="Q178" s="334" t="str">
        <f aca="false">IF((E178="t"),G178," ")</f>
        <v> </v>
      </c>
      <c r="R178" s="334" t="str">
        <f aca="false">IF((E178="a"),G178," ")</f>
        <v> </v>
      </c>
      <c r="S178" s="334" t="str">
        <f aca="false">IF((E178="l"),G178," ")</f>
        <v> </v>
      </c>
      <c r="T178" s="334" t="str">
        <f aca="false">IF((E178="b"),G178," ")</f>
        <v> </v>
      </c>
      <c r="U178" s="334" t="str">
        <f aca="false">IF((E178="i"),G178," ")</f>
        <v> </v>
      </c>
      <c r="V178" s="334" t="str">
        <f aca="false">IF((E178="o"),G178," ")</f>
        <v> </v>
      </c>
      <c r="W178" s="334" t="str">
        <f aca="false">IF((E178="f"),G178," ")</f>
        <v> </v>
      </c>
    </row>
    <row r="179" customFormat="false" ht="12.75" hidden="false" customHeight="false" outlineLevel="0" collapsed="false">
      <c r="A179" s="355"/>
      <c r="E179" s="365" t="str">
        <f aca="false">IF((G179&lt;&gt;0),"Enter Letter"," ")</f>
        <v> </v>
      </c>
      <c r="H179" s="338" t="str">
        <f aca="false">IF((G179&lt;&gt;0),IF((D179&gt;0)," ",G179)," ")</f>
        <v> </v>
      </c>
      <c r="I179" s="367" t="str">
        <f aca="false">IF((G179&lt;&gt;0),IF((D179&gt;0)," ",(I$1-A179))," ")</f>
        <v> </v>
      </c>
      <c r="J179" s="334" t="str">
        <f aca="false">IF((E179="s"),G179," ")</f>
        <v> </v>
      </c>
      <c r="K179" s="334" t="str">
        <f aca="false">IF((E179="d"),G179," ")</f>
        <v> </v>
      </c>
      <c r="L179" s="334" t="str">
        <f aca="false">IF((E179="e"),G179," ")</f>
        <v> </v>
      </c>
      <c r="M179" s="334" t="str">
        <f aca="false">IF((E179="p"),G179," ")</f>
        <v> </v>
      </c>
      <c r="N179" s="334" t="str">
        <f aca="false">IF((E179="r"),G179," ")</f>
        <v> </v>
      </c>
      <c r="O179" s="334" t="str">
        <f aca="false">IF((E179="g"),G179," ")</f>
        <v> </v>
      </c>
      <c r="P179" s="334" t="str">
        <f aca="false">IF((E179="m"),G179," ")</f>
        <v> </v>
      </c>
      <c r="Q179" s="334" t="str">
        <f aca="false">IF((E179="t"),G179," ")</f>
        <v> </v>
      </c>
      <c r="R179" s="334" t="str">
        <f aca="false">IF((E179="a"),G179," ")</f>
        <v> </v>
      </c>
      <c r="S179" s="334" t="str">
        <f aca="false">IF((E179="l"),G179," ")</f>
        <v> </v>
      </c>
      <c r="T179" s="334" t="str">
        <f aca="false">IF((E179="b"),G179," ")</f>
        <v> </v>
      </c>
      <c r="U179" s="334" t="str">
        <f aca="false">IF((E179="i"),G179," ")</f>
        <v> </v>
      </c>
      <c r="V179" s="334" t="str">
        <f aca="false">IF((E179="o"),G179," ")</f>
        <v> </v>
      </c>
      <c r="W179" s="334" t="str">
        <f aca="false">IF((E179="f"),G179," ")</f>
        <v> </v>
      </c>
    </row>
    <row r="180" customFormat="false" ht="12.75" hidden="false" customHeight="false" outlineLevel="0" collapsed="false">
      <c r="A180" s="355"/>
      <c r="E180" s="365" t="str">
        <f aca="false">IF((G180&lt;&gt;0),"Enter Letter"," ")</f>
        <v> </v>
      </c>
      <c r="H180" s="338" t="str">
        <f aca="false">IF((G180&lt;&gt;0),IF((D180&gt;0)," ",G180)," ")</f>
        <v> </v>
      </c>
      <c r="I180" s="367" t="str">
        <f aca="false">IF((G180&lt;&gt;0),IF((D180&gt;0)," ",(I$1-A180))," ")</f>
        <v> </v>
      </c>
      <c r="J180" s="334" t="str">
        <f aca="false">IF((E180="s"),G180," ")</f>
        <v> </v>
      </c>
      <c r="K180" s="334" t="str">
        <f aca="false">IF((E180="d"),G180," ")</f>
        <v> </v>
      </c>
      <c r="L180" s="334" t="str">
        <f aca="false">IF((E180="e"),G180," ")</f>
        <v> </v>
      </c>
      <c r="M180" s="334" t="str">
        <f aca="false">IF((E180="p"),G180," ")</f>
        <v> </v>
      </c>
      <c r="N180" s="334" t="str">
        <f aca="false">IF((E180="r"),G180," ")</f>
        <v> </v>
      </c>
      <c r="O180" s="334" t="str">
        <f aca="false">IF((E180="g"),G180," ")</f>
        <v> </v>
      </c>
      <c r="P180" s="334" t="str">
        <f aca="false">IF((E180="m"),G180," ")</f>
        <v> </v>
      </c>
      <c r="Q180" s="334" t="str">
        <f aca="false">IF((E180="t"),G180," ")</f>
        <v> </v>
      </c>
      <c r="R180" s="334" t="str">
        <f aca="false">IF((E180="a"),G180," ")</f>
        <v> </v>
      </c>
      <c r="S180" s="334" t="str">
        <f aca="false">IF((E180="l"),G180," ")</f>
        <v> </v>
      </c>
      <c r="T180" s="334" t="str">
        <f aca="false">IF((E180="b"),G180," ")</f>
        <v> </v>
      </c>
      <c r="U180" s="334" t="str">
        <f aca="false">IF((E180="i"),G180," ")</f>
        <v> </v>
      </c>
      <c r="V180" s="334" t="str">
        <f aca="false">IF((E180="o"),G180," ")</f>
        <v> </v>
      </c>
      <c r="W180" s="334" t="str">
        <f aca="false">IF((E180="f"),G180," ")</f>
        <v> </v>
      </c>
    </row>
    <row r="181" customFormat="false" ht="12.75" hidden="false" customHeight="false" outlineLevel="0" collapsed="false">
      <c r="A181" s="355"/>
      <c r="E181" s="365" t="str">
        <f aca="false">IF((G181&lt;&gt;0),"Enter Letter"," ")</f>
        <v> </v>
      </c>
      <c r="H181" s="338" t="str">
        <f aca="false">IF((G181&lt;&gt;0),IF((D181&gt;0)," ",G181)," ")</f>
        <v> </v>
      </c>
      <c r="I181" s="367" t="str">
        <f aca="false">IF((G181&lt;&gt;0),IF((D181&gt;0)," ",(I$1-A181))," ")</f>
        <v> </v>
      </c>
      <c r="J181" s="334" t="str">
        <f aca="false">IF((E181="s"),G181," ")</f>
        <v> </v>
      </c>
      <c r="K181" s="334" t="str">
        <f aca="false">IF((E181="d"),G181," ")</f>
        <v> </v>
      </c>
      <c r="L181" s="334" t="str">
        <f aca="false">IF((E181="e"),G181," ")</f>
        <v> </v>
      </c>
      <c r="M181" s="334" t="str">
        <f aca="false">IF((E181="p"),G181," ")</f>
        <v> </v>
      </c>
      <c r="N181" s="334" t="str">
        <f aca="false">IF((E181="r"),G181," ")</f>
        <v> </v>
      </c>
      <c r="O181" s="334" t="str">
        <f aca="false">IF((E181="g"),G181," ")</f>
        <v> </v>
      </c>
      <c r="P181" s="334" t="str">
        <f aca="false">IF((E181="m"),G181," ")</f>
        <v> </v>
      </c>
      <c r="Q181" s="334" t="str">
        <f aca="false">IF((E181="t"),G181," ")</f>
        <v> </v>
      </c>
      <c r="R181" s="334" t="str">
        <f aca="false">IF((E181="a"),G181," ")</f>
        <v> </v>
      </c>
      <c r="S181" s="334" t="str">
        <f aca="false">IF((E181="l"),G181," ")</f>
        <v> </v>
      </c>
      <c r="T181" s="334" t="str">
        <f aca="false">IF((E181="b"),G181," ")</f>
        <v> </v>
      </c>
      <c r="U181" s="334" t="str">
        <f aca="false">IF((E181="i"),G181," ")</f>
        <v> </v>
      </c>
      <c r="V181" s="334" t="str">
        <f aca="false">IF((E181="o"),G181," ")</f>
        <v> </v>
      </c>
      <c r="W181" s="334" t="str">
        <f aca="false">IF((E181="f"),G181," ")</f>
        <v> </v>
      </c>
    </row>
    <row r="182" customFormat="false" ht="12.75" hidden="false" customHeight="false" outlineLevel="0" collapsed="false">
      <c r="A182" s="355"/>
      <c r="E182" s="365" t="str">
        <f aca="false">IF((G182&lt;&gt;0),"Enter Letter"," ")</f>
        <v> </v>
      </c>
      <c r="H182" s="338" t="str">
        <f aca="false">IF((G182&lt;&gt;0),IF((D182&gt;0)," ",G182)," ")</f>
        <v> </v>
      </c>
      <c r="I182" s="367" t="str">
        <f aca="false">IF((G182&lt;&gt;0),IF((D182&gt;0)," ",(I$1-A182))," ")</f>
        <v> </v>
      </c>
      <c r="J182" s="334" t="str">
        <f aca="false">IF((E182="s"),G182," ")</f>
        <v> </v>
      </c>
      <c r="K182" s="334" t="str">
        <f aca="false">IF((E182="d"),G182," ")</f>
        <v> </v>
      </c>
      <c r="L182" s="334" t="str">
        <f aca="false">IF((E182="e"),G182," ")</f>
        <v> </v>
      </c>
      <c r="M182" s="334" t="str">
        <f aca="false">IF((E182="p"),G182," ")</f>
        <v> </v>
      </c>
      <c r="N182" s="334" t="str">
        <f aca="false">IF((E182="r"),G182," ")</f>
        <v> </v>
      </c>
      <c r="O182" s="334" t="str">
        <f aca="false">IF((E182="g"),G182," ")</f>
        <v> </v>
      </c>
      <c r="P182" s="334" t="str">
        <f aca="false">IF((E182="m"),G182," ")</f>
        <v> </v>
      </c>
      <c r="Q182" s="334" t="str">
        <f aca="false">IF((E182="t"),G182," ")</f>
        <v> </v>
      </c>
      <c r="R182" s="334" t="str">
        <f aca="false">IF((E182="a"),G182," ")</f>
        <v> </v>
      </c>
      <c r="S182" s="334" t="str">
        <f aca="false">IF((E182="l"),G182," ")</f>
        <v> </v>
      </c>
      <c r="T182" s="334" t="str">
        <f aca="false">IF((E182="b"),G182," ")</f>
        <v> </v>
      </c>
      <c r="U182" s="334" t="str">
        <f aca="false">IF((E182="i"),G182," ")</f>
        <v> </v>
      </c>
      <c r="V182" s="334" t="str">
        <f aca="false">IF((E182="o"),G182," ")</f>
        <v> </v>
      </c>
      <c r="W182" s="334" t="str">
        <f aca="false">IF((E182="f"),G182," ")</f>
        <v> </v>
      </c>
    </row>
    <row r="183" customFormat="false" ht="12.75" hidden="false" customHeight="false" outlineLevel="0" collapsed="false">
      <c r="A183" s="355"/>
      <c r="E183" s="365" t="str">
        <f aca="false">IF((G183&lt;&gt;0),"Enter Letter"," ")</f>
        <v> </v>
      </c>
      <c r="H183" s="338" t="str">
        <f aca="false">IF((G183&lt;&gt;0),IF((D183&gt;0)," ",G183)," ")</f>
        <v> </v>
      </c>
      <c r="I183" s="367" t="str">
        <f aca="false">IF((G183&lt;&gt;0),IF((D183&gt;0)," ",(I$1-A183))," ")</f>
        <v> </v>
      </c>
      <c r="J183" s="334" t="str">
        <f aca="false">IF((E183="s"),G183," ")</f>
        <v> </v>
      </c>
      <c r="K183" s="334" t="str">
        <f aca="false">IF((E183="d"),G183," ")</f>
        <v> </v>
      </c>
      <c r="L183" s="334" t="str">
        <f aca="false">IF((E183="e"),G183," ")</f>
        <v> </v>
      </c>
      <c r="M183" s="334" t="str">
        <f aca="false">IF((E183="p"),G183," ")</f>
        <v> </v>
      </c>
      <c r="N183" s="334" t="str">
        <f aca="false">IF((E183="r"),G183," ")</f>
        <v> </v>
      </c>
      <c r="O183" s="334" t="str">
        <f aca="false">IF((E183="g"),G183," ")</f>
        <v> </v>
      </c>
      <c r="P183" s="334" t="str">
        <f aca="false">IF((E183="m"),G183," ")</f>
        <v> </v>
      </c>
      <c r="Q183" s="334" t="str">
        <f aca="false">IF((E183="t"),G183," ")</f>
        <v> </v>
      </c>
      <c r="R183" s="334" t="str">
        <f aca="false">IF((E183="a"),G183," ")</f>
        <v> </v>
      </c>
      <c r="S183" s="334" t="str">
        <f aca="false">IF((E183="l"),G183," ")</f>
        <v> </v>
      </c>
      <c r="T183" s="334" t="str">
        <f aca="false">IF((E183="b"),G183," ")</f>
        <v> </v>
      </c>
      <c r="U183" s="334" t="str">
        <f aca="false">IF((E183="i"),G183," ")</f>
        <v> </v>
      </c>
      <c r="V183" s="334" t="str">
        <f aca="false">IF((E183="o"),G183," ")</f>
        <v> </v>
      </c>
      <c r="W183" s="334" t="str">
        <f aca="false">IF((E183="f"),G183," ")</f>
        <v> </v>
      </c>
    </row>
    <row r="184" customFormat="false" ht="12.75" hidden="false" customHeight="false" outlineLevel="0" collapsed="false">
      <c r="A184" s="355"/>
      <c r="E184" s="365" t="str">
        <f aca="false">IF((G184&lt;&gt;0),"Enter Letter"," ")</f>
        <v> </v>
      </c>
      <c r="H184" s="338" t="str">
        <f aca="false">IF((G184&lt;&gt;0),IF((D184&gt;0)," ",G184)," ")</f>
        <v> </v>
      </c>
      <c r="I184" s="367" t="str">
        <f aca="false">IF((G184&lt;&gt;0),IF((D184&gt;0)," ",(I$1-A184))," ")</f>
        <v> </v>
      </c>
      <c r="J184" s="334" t="str">
        <f aca="false">IF((E184="s"),G184," ")</f>
        <v> </v>
      </c>
      <c r="K184" s="334" t="str">
        <f aca="false">IF((E184="d"),G184," ")</f>
        <v> </v>
      </c>
      <c r="L184" s="334" t="str">
        <f aca="false">IF((E184="e"),G184," ")</f>
        <v> </v>
      </c>
      <c r="M184" s="334" t="str">
        <f aca="false">IF((E184="p"),G184," ")</f>
        <v> </v>
      </c>
      <c r="N184" s="334" t="str">
        <f aca="false">IF((E184="r"),G184," ")</f>
        <v> </v>
      </c>
      <c r="O184" s="334" t="str">
        <f aca="false">IF((E184="g"),G184," ")</f>
        <v> </v>
      </c>
      <c r="P184" s="334" t="str">
        <f aca="false">IF((E184="m"),G184," ")</f>
        <v> </v>
      </c>
      <c r="Q184" s="334" t="str">
        <f aca="false">IF((E184="t"),G184," ")</f>
        <v> </v>
      </c>
      <c r="R184" s="334" t="str">
        <f aca="false">IF((E184="a"),G184," ")</f>
        <v> </v>
      </c>
      <c r="S184" s="334" t="str">
        <f aca="false">IF((E184="l"),G184," ")</f>
        <v> </v>
      </c>
      <c r="T184" s="334" t="str">
        <f aca="false">IF((E184="b"),G184," ")</f>
        <v> </v>
      </c>
      <c r="U184" s="334" t="str">
        <f aca="false">IF((E184="i"),G184," ")</f>
        <v> </v>
      </c>
      <c r="V184" s="334" t="str">
        <f aca="false">IF((E184="o"),G184," ")</f>
        <v> </v>
      </c>
      <c r="W184" s="334" t="str">
        <f aca="false">IF((E184="f"),G184," ")</f>
        <v> </v>
      </c>
    </row>
    <row r="185" customFormat="false" ht="12.75" hidden="false" customHeight="false" outlineLevel="0" collapsed="false">
      <c r="A185" s="355"/>
      <c r="E185" s="365" t="str">
        <f aca="false">IF((G185&lt;&gt;0),"Enter Letter"," ")</f>
        <v> </v>
      </c>
      <c r="H185" s="338" t="str">
        <f aca="false">IF((G185&lt;&gt;0),IF((D185&gt;0)," ",G185)," ")</f>
        <v> </v>
      </c>
      <c r="I185" s="367" t="str">
        <f aca="false">IF((G185&lt;&gt;0),IF((D185&gt;0)," ",(I$1-A185))," ")</f>
        <v> </v>
      </c>
      <c r="J185" s="334" t="str">
        <f aca="false">IF((E185="s"),G185," ")</f>
        <v> </v>
      </c>
      <c r="K185" s="334" t="str">
        <f aca="false">IF((E185="d"),G185," ")</f>
        <v> </v>
      </c>
      <c r="L185" s="334" t="str">
        <f aca="false">IF((E185="e"),G185," ")</f>
        <v> </v>
      </c>
      <c r="M185" s="334" t="str">
        <f aca="false">IF((E185="p"),G185," ")</f>
        <v> </v>
      </c>
      <c r="N185" s="334" t="str">
        <f aca="false">IF((E185="r"),G185," ")</f>
        <v> </v>
      </c>
      <c r="O185" s="334" t="str">
        <f aca="false">IF((E185="g"),G185," ")</f>
        <v> </v>
      </c>
      <c r="P185" s="334" t="str">
        <f aca="false">IF((E185="m"),G185," ")</f>
        <v> </v>
      </c>
      <c r="Q185" s="334" t="str">
        <f aca="false">IF((E185="t"),G185," ")</f>
        <v> </v>
      </c>
      <c r="R185" s="334" t="str">
        <f aca="false">IF((E185="a"),G185," ")</f>
        <v> </v>
      </c>
      <c r="S185" s="334" t="str">
        <f aca="false">IF((E185="l"),G185," ")</f>
        <v> </v>
      </c>
      <c r="T185" s="334" t="str">
        <f aca="false">IF((E185="b"),G185," ")</f>
        <v> </v>
      </c>
      <c r="U185" s="334" t="str">
        <f aca="false">IF((E185="i"),G185," ")</f>
        <v> </v>
      </c>
      <c r="V185" s="334" t="str">
        <f aca="false">IF((E185="o"),G185," ")</f>
        <v> </v>
      </c>
      <c r="W185" s="334" t="str">
        <f aca="false">IF((E185="f"),G185," ")</f>
        <v> </v>
      </c>
    </row>
    <row r="186" customFormat="false" ht="12.75" hidden="false" customHeight="false" outlineLevel="0" collapsed="false">
      <c r="A186" s="355"/>
      <c r="E186" s="365" t="str">
        <f aca="false">IF((G186&lt;&gt;0),"Enter Letter"," ")</f>
        <v> </v>
      </c>
      <c r="H186" s="338" t="str">
        <f aca="false">IF((G186&lt;&gt;0),IF((D186&gt;0)," ",G186)," ")</f>
        <v> </v>
      </c>
      <c r="I186" s="367" t="str">
        <f aca="false">IF((G186&lt;&gt;0),IF((D186&gt;0)," ",(I$1-A186))," ")</f>
        <v> </v>
      </c>
      <c r="J186" s="334" t="str">
        <f aca="false">IF((E186="s"),G186," ")</f>
        <v> </v>
      </c>
      <c r="K186" s="334" t="str">
        <f aca="false">IF((E186="d"),G186," ")</f>
        <v> </v>
      </c>
      <c r="L186" s="334" t="str">
        <f aca="false">IF((E186="e"),G186," ")</f>
        <v> </v>
      </c>
      <c r="M186" s="334" t="str">
        <f aca="false">IF((E186="p"),G186," ")</f>
        <v> </v>
      </c>
      <c r="N186" s="334" t="str">
        <f aca="false">IF((E186="r"),G186," ")</f>
        <v> </v>
      </c>
      <c r="O186" s="334" t="str">
        <f aca="false">IF((E186="g"),G186," ")</f>
        <v> </v>
      </c>
      <c r="P186" s="334" t="str">
        <f aca="false">IF((E186="m"),G186," ")</f>
        <v> </v>
      </c>
      <c r="Q186" s="334" t="str">
        <f aca="false">IF((E186="t"),G186," ")</f>
        <v> </v>
      </c>
      <c r="R186" s="334" t="str">
        <f aca="false">IF((E186="a"),G186," ")</f>
        <v> </v>
      </c>
      <c r="S186" s="334" t="str">
        <f aca="false">IF((E186="l"),G186," ")</f>
        <v> </v>
      </c>
      <c r="T186" s="334" t="str">
        <f aca="false">IF((E186="b"),G186," ")</f>
        <v> </v>
      </c>
      <c r="U186" s="334" t="str">
        <f aca="false">IF((E186="i"),G186," ")</f>
        <v> </v>
      </c>
      <c r="V186" s="334" t="str">
        <f aca="false">IF((E186="o"),G186," ")</f>
        <v> </v>
      </c>
      <c r="W186" s="334" t="str">
        <f aca="false">IF((E186="f"),G186," ")</f>
        <v> </v>
      </c>
    </row>
    <row r="187" customFormat="false" ht="12.75" hidden="false" customHeight="false" outlineLevel="0" collapsed="false">
      <c r="A187" s="355"/>
      <c r="E187" s="365" t="str">
        <f aca="false">IF((G187&lt;&gt;0),"Enter Letter"," ")</f>
        <v> </v>
      </c>
      <c r="H187" s="338" t="str">
        <f aca="false">IF((G187&lt;&gt;0),IF((D187&gt;0)," ",G187)," ")</f>
        <v> </v>
      </c>
      <c r="I187" s="367" t="str">
        <f aca="false">IF((G187&lt;&gt;0),IF((D187&gt;0)," ",(I$1-A187))," ")</f>
        <v> </v>
      </c>
      <c r="J187" s="334" t="str">
        <f aca="false">IF((E187="s"),G187," ")</f>
        <v> </v>
      </c>
      <c r="K187" s="334" t="str">
        <f aca="false">IF((E187="d"),G187," ")</f>
        <v> </v>
      </c>
      <c r="L187" s="334" t="str">
        <f aca="false">IF((E187="e"),G187," ")</f>
        <v> </v>
      </c>
      <c r="M187" s="334" t="str">
        <f aca="false">IF((E187="p"),G187," ")</f>
        <v> </v>
      </c>
      <c r="N187" s="334" t="str">
        <f aca="false">IF((E187="r"),G187," ")</f>
        <v> </v>
      </c>
      <c r="O187" s="334" t="str">
        <f aca="false">IF((E187="g"),G187," ")</f>
        <v> </v>
      </c>
      <c r="P187" s="334" t="str">
        <f aca="false">IF((E187="m"),G187," ")</f>
        <v> </v>
      </c>
      <c r="Q187" s="334" t="str">
        <f aca="false">IF((E187="t"),G187," ")</f>
        <v> </v>
      </c>
      <c r="R187" s="334" t="str">
        <f aca="false">IF((E187="a"),G187," ")</f>
        <v> </v>
      </c>
      <c r="S187" s="334" t="str">
        <f aca="false">IF((E187="l"),G187," ")</f>
        <v> </v>
      </c>
      <c r="T187" s="334" t="str">
        <f aca="false">IF((E187="b"),G187," ")</f>
        <v> </v>
      </c>
      <c r="U187" s="334" t="str">
        <f aca="false">IF((E187="i"),G187," ")</f>
        <v> </v>
      </c>
      <c r="V187" s="334" t="str">
        <f aca="false">IF((E187="o"),G187," ")</f>
        <v> </v>
      </c>
      <c r="W187" s="334" t="str">
        <f aca="false">IF((E187="f"),G187," ")</f>
        <v> </v>
      </c>
    </row>
    <row r="188" customFormat="false" ht="12.75" hidden="false" customHeight="false" outlineLevel="0" collapsed="false">
      <c r="A188" s="355"/>
      <c r="E188" s="365" t="str">
        <f aca="false">IF((G188&lt;&gt;0),"Enter Letter"," ")</f>
        <v> </v>
      </c>
      <c r="H188" s="338" t="str">
        <f aca="false">IF((G188&lt;&gt;0),IF((D188&gt;0)," ",G188)," ")</f>
        <v> </v>
      </c>
      <c r="I188" s="367" t="str">
        <f aca="false">IF((G188&lt;&gt;0),IF((D188&gt;0)," ",(I$1-A188))," ")</f>
        <v> </v>
      </c>
      <c r="J188" s="334" t="str">
        <f aca="false">IF((E188="s"),G188," ")</f>
        <v> </v>
      </c>
      <c r="K188" s="334" t="str">
        <f aca="false">IF((E188="d"),G188," ")</f>
        <v> </v>
      </c>
      <c r="L188" s="334" t="str">
        <f aca="false">IF((E188="e"),G188," ")</f>
        <v> </v>
      </c>
      <c r="M188" s="334" t="str">
        <f aca="false">IF((E188="p"),G188," ")</f>
        <v> </v>
      </c>
      <c r="N188" s="334" t="str">
        <f aca="false">IF((E188="r"),G188," ")</f>
        <v> </v>
      </c>
      <c r="O188" s="334" t="str">
        <f aca="false">IF((E188="g"),G188," ")</f>
        <v> </v>
      </c>
      <c r="P188" s="334" t="str">
        <f aca="false">IF((E188="m"),G188," ")</f>
        <v> </v>
      </c>
      <c r="Q188" s="334" t="str">
        <f aca="false">IF((E188="t"),G188," ")</f>
        <v> </v>
      </c>
      <c r="R188" s="334" t="str">
        <f aca="false">IF((E188="a"),G188," ")</f>
        <v> </v>
      </c>
      <c r="S188" s="334" t="str">
        <f aca="false">IF((E188="l"),G188," ")</f>
        <v> </v>
      </c>
      <c r="T188" s="334" t="str">
        <f aca="false">IF((E188="b"),G188," ")</f>
        <v> </v>
      </c>
      <c r="U188" s="334" t="str">
        <f aca="false">IF((E188="i"),G188," ")</f>
        <v> </v>
      </c>
      <c r="V188" s="334" t="str">
        <f aca="false">IF((E188="o"),G188," ")</f>
        <v> </v>
      </c>
      <c r="W188" s="334" t="str">
        <f aca="false">IF((E188="f"),G188," ")</f>
        <v> </v>
      </c>
    </row>
    <row r="189" customFormat="false" ht="12.75" hidden="false" customHeight="false" outlineLevel="0" collapsed="false">
      <c r="A189" s="355"/>
      <c r="E189" s="365" t="str">
        <f aca="false">IF((G189&lt;&gt;0),"Enter Letter"," ")</f>
        <v> </v>
      </c>
      <c r="H189" s="338" t="str">
        <f aca="false">IF((G189&lt;&gt;0),IF((D189&gt;0)," ",G189)," ")</f>
        <v> </v>
      </c>
      <c r="I189" s="367" t="str">
        <f aca="false">IF((G189&lt;&gt;0),IF((D189&gt;0)," ",(I$1-A189))," ")</f>
        <v> </v>
      </c>
      <c r="J189" s="334" t="str">
        <f aca="false">IF((E189="s"),G189," ")</f>
        <v> </v>
      </c>
      <c r="K189" s="334" t="str">
        <f aca="false">IF((E189="d"),G189," ")</f>
        <v> </v>
      </c>
      <c r="L189" s="334" t="str">
        <f aca="false">IF((E189="e"),G189," ")</f>
        <v> </v>
      </c>
      <c r="M189" s="334" t="str">
        <f aca="false">IF((E189="p"),G189," ")</f>
        <v> </v>
      </c>
      <c r="N189" s="334" t="str">
        <f aca="false">IF((E189="r"),G189," ")</f>
        <v> </v>
      </c>
      <c r="O189" s="334" t="str">
        <f aca="false">IF((E189="g"),G189," ")</f>
        <v> </v>
      </c>
      <c r="P189" s="334" t="str">
        <f aca="false">IF((E189="m"),G189," ")</f>
        <v> </v>
      </c>
      <c r="Q189" s="334" t="str">
        <f aca="false">IF((E189="t"),G189," ")</f>
        <v> </v>
      </c>
      <c r="R189" s="334" t="str">
        <f aca="false">IF((E189="a"),G189," ")</f>
        <v> </v>
      </c>
      <c r="S189" s="334" t="str">
        <f aca="false">IF((E189="l"),G189," ")</f>
        <v> </v>
      </c>
      <c r="T189" s="334" t="str">
        <f aca="false">IF((E189="b"),G189," ")</f>
        <v> </v>
      </c>
      <c r="U189" s="334" t="str">
        <f aca="false">IF((E189="i"),G189," ")</f>
        <v> </v>
      </c>
      <c r="V189" s="334" t="str">
        <f aca="false">IF((E189="o"),G189," ")</f>
        <v> </v>
      </c>
      <c r="W189" s="334" t="str">
        <f aca="false">IF((E189="f"),G189," ")</f>
        <v> </v>
      </c>
    </row>
    <row r="190" customFormat="false" ht="12.75" hidden="false" customHeight="false" outlineLevel="0" collapsed="false">
      <c r="A190" s="355"/>
      <c r="E190" s="365" t="str">
        <f aca="false">IF((G190&lt;&gt;0),"Enter Letter"," ")</f>
        <v> </v>
      </c>
      <c r="H190" s="338" t="str">
        <f aca="false">IF((G190&lt;&gt;0),IF((D190&gt;0)," ",G190)," ")</f>
        <v> </v>
      </c>
      <c r="I190" s="367" t="str">
        <f aca="false">IF((G190&lt;&gt;0),IF((D190&gt;0)," ",(I$1-A190))," ")</f>
        <v> </v>
      </c>
      <c r="J190" s="334" t="str">
        <f aca="false">IF((E190="s"),G190," ")</f>
        <v> </v>
      </c>
      <c r="K190" s="334" t="str">
        <f aca="false">IF((E190="d"),G190," ")</f>
        <v> </v>
      </c>
      <c r="L190" s="334" t="str">
        <f aca="false">IF((E190="e"),G190," ")</f>
        <v> </v>
      </c>
      <c r="M190" s="334" t="str">
        <f aca="false">IF((E190="p"),G190," ")</f>
        <v> </v>
      </c>
      <c r="N190" s="334" t="str">
        <f aca="false">IF((E190="r"),G190," ")</f>
        <v> </v>
      </c>
      <c r="O190" s="334" t="str">
        <f aca="false">IF((E190="g"),G190," ")</f>
        <v> </v>
      </c>
      <c r="P190" s="334" t="str">
        <f aca="false">IF((E190="m"),G190," ")</f>
        <v> </v>
      </c>
      <c r="Q190" s="334" t="str">
        <f aca="false">IF((E190="t"),G190," ")</f>
        <v> </v>
      </c>
      <c r="R190" s="334" t="str">
        <f aca="false">IF((E190="a"),G190," ")</f>
        <v> </v>
      </c>
      <c r="S190" s="334" t="str">
        <f aca="false">IF((E190="l"),G190," ")</f>
        <v> </v>
      </c>
      <c r="T190" s="334" t="str">
        <f aca="false">IF((E190="b"),G190," ")</f>
        <v> </v>
      </c>
      <c r="U190" s="334" t="str">
        <f aca="false">IF((E190="i"),G190," ")</f>
        <v> </v>
      </c>
      <c r="V190" s="334" t="str">
        <f aca="false">IF((E190="o"),G190," ")</f>
        <v> </v>
      </c>
      <c r="W190" s="334" t="str">
        <f aca="false">IF((E190="f"),G190," ")</f>
        <v> </v>
      </c>
    </row>
    <row r="191" customFormat="false" ht="12.75" hidden="false" customHeight="false" outlineLevel="0" collapsed="false">
      <c r="A191" s="355"/>
      <c r="E191" s="365" t="str">
        <f aca="false">IF((G191&lt;&gt;0),"Enter Letter"," ")</f>
        <v> </v>
      </c>
      <c r="H191" s="338" t="str">
        <f aca="false">IF((G191&lt;&gt;0),IF((D191&gt;0)," ",G191)," ")</f>
        <v> </v>
      </c>
      <c r="I191" s="367" t="str">
        <f aca="false">IF((G191&lt;&gt;0),IF((D191&gt;0)," ",(I$1-A191))," ")</f>
        <v> </v>
      </c>
      <c r="J191" s="334" t="str">
        <f aca="false">IF((E191="s"),G191," ")</f>
        <v> </v>
      </c>
      <c r="K191" s="334" t="str">
        <f aca="false">IF((E191="d"),G191," ")</f>
        <v> </v>
      </c>
      <c r="L191" s="334" t="str">
        <f aca="false">IF((E191="e"),G191," ")</f>
        <v> </v>
      </c>
      <c r="M191" s="334" t="str">
        <f aca="false">IF((E191="p"),G191," ")</f>
        <v> </v>
      </c>
      <c r="N191" s="334" t="str">
        <f aca="false">IF((E191="r"),G191," ")</f>
        <v> </v>
      </c>
      <c r="O191" s="334" t="str">
        <f aca="false">IF((E191="g"),G191," ")</f>
        <v> </v>
      </c>
      <c r="P191" s="334" t="str">
        <f aca="false">IF((E191="m"),G191," ")</f>
        <v> </v>
      </c>
      <c r="Q191" s="334" t="str">
        <f aca="false">IF((E191="t"),G191," ")</f>
        <v> </v>
      </c>
      <c r="R191" s="334" t="str">
        <f aca="false">IF((E191="a"),G191," ")</f>
        <v> </v>
      </c>
      <c r="S191" s="334" t="str">
        <f aca="false">IF((E191="l"),G191," ")</f>
        <v> </v>
      </c>
      <c r="T191" s="334" t="str">
        <f aca="false">IF((E191="b"),G191," ")</f>
        <v> </v>
      </c>
      <c r="U191" s="334" t="str">
        <f aca="false">IF((E191="i"),G191," ")</f>
        <v> </v>
      </c>
      <c r="V191" s="334" t="str">
        <f aca="false">IF((E191="o"),G191," ")</f>
        <v> </v>
      </c>
      <c r="W191" s="334" t="str">
        <f aca="false">IF((E191="f"),G191," ")</f>
        <v> </v>
      </c>
    </row>
    <row r="192" customFormat="false" ht="12.75" hidden="false" customHeight="false" outlineLevel="0" collapsed="false">
      <c r="A192" s="355"/>
      <c r="E192" s="365" t="str">
        <f aca="false">IF((G192&lt;&gt;0),"Enter Letter"," ")</f>
        <v> </v>
      </c>
      <c r="H192" s="338" t="str">
        <f aca="false">IF((G192&lt;&gt;0),IF((D192&gt;0)," ",G192)," ")</f>
        <v> </v>
      </c>
      <c r="I192" s="367" t="str">
        <f aca="false">IF((G192&lt;&gt;0),IF((D192&gt;0)," ",(I$1-A192))," ")</f>
        <v> </v>
      </c>
      <c r="J192" s="334" t="str">
        <f aca="false">IF((E192="s"),G192," ")</f>
        <v> </v>
      </c>
      <c r="K192" s="334" t="str">
        <f aca="false">IF((E192="d"),G192," ")</f>
        <v> </v>
      </c>
      <c r="L192" s="334" t="str">
        <f aca="false">IF((E192="e"),G192," ")</f>
        <v> </v>
      </c>
      <c r="M192" s="334" t="str">
        <f aca="false">IF((E192="p"),G192," ")</f>
        <v> </v>
      </c>
      <c r="N192" s="334" t="str">
        <f aca="false">IF((E192="r"),G192," ")</f>
        <v> </v>
      </c>
      <c r="O192" s="334" t="str">
        <f aca="false">IF((E192="g"),G192," ")</f>
        <v> </v>
      </c>
      <c r="P192" s="334" t="str">
        <f aca="false">IF((E192="m"),G192," ")</f>
        <v> </v>
      </c>
      <c r="Q192" s="334" t="str">
        <f aca="false">IF((E192="t"),G192," ")</f>
        <v> </v>
      </c>
      <c r="R192" s="334" t="str">
        <f aca="false">IF((E192="a"),G192," ")</f>
        <v> </v>
      </c>
      <c r="S192" s="334" t="str">
        <f aca="false">IF((E192="l"),G192," ")</f>
        <v> </v>
      </c>
      <c r="T192" s="334" t="str">
        <f aca="false">IF((E192="b"),G192," ")</f>
        <v> </v>
      </c>
      <c r="U192" s="334" t="str">
        <f aca="false">IF((E192="i"),G192," ")</f>
        <v> </v>
      </c>
      <c r="V192" s="334" t="str">
        <f aca="false">IF((E192="o"),G192," ")</f>
        <v> </v>
      </c>
      <c r="W192" s="334" t="str">
        <f aca="false">IF((E192="f"),G192," ")</f>
        <v> </v>
      </c>
    </row>
    <row r="193" customFormat="false" ht="12.75" hidden="false" customHeight="false" outlineLevel="0" collapsed="false">
      <c r="A193" s="355"/>
      <c r="E193" s="365" t="str">
        <f aca="false">IF((G193&lt;&gt;0),"Enter Letter"," ")</f>
        <v> </v>
      </c>
      <c r="H193" s="338" t="str">
        <f aca="false">IF((G193&lt;&gt;0),IF((D193&gt;0)," ",G193)," ")</f>
        <v> </v>
      </c>
      <c r="I193" s="367" t="str">
        <f aca="false">IF((G193&lt;&gt;0),IF((D193&gt;0)," ",(I$1-A193))," ")</f>
        <v> </v>
      </c>
      <c r="J193" s="334" t="str">
        <f aca="false">IF((E193="s"),G193," ")</f>
        <v> </v>
      </c>
      <c r="K193" s="334" t="str">
        <f aca="false">IF((E193="d"),G193," ")</f>
        <v> </v>
      </c>
      <c r="L193" s="334" t="str">
        <f aca="false">IF((E193="e"),G193," ")</f>
        <v> </v>
      </c>
      <c r="M193" s="334" t="str">
        <f aca="false">IF((E193="p"),G193," ")</f>
        <v> </v>
      </c>
      <c r="N193" s="334" t="str">
        <f aca="false">IF((E193="r"),G193," ")</f>
        <v> </v>
      </c>
      <c r="O193" s="334" t="str">
        <f aca="false">IF((E193="g"),G193," ")</f>
        <v> </v>
      </c>
      <c r="P193" s="334" t="str">
        <f aca="false">IF((E193="m"),G193," ")</f>
        <v> </v>
      </c>
      <c r="Q193" s="334" t="str">
        <f aca="false">IF((E193="t"),G193," ")</f>
        <v> </v>
      </c>
      <c r="R193" s="334" t="str">
        <f aca="false">IF((E193="a"),G193," ")</f>
        <v> </v>
      </c>
      <c r="S193" s="334" t="str">
        <f aca="false">IF((E193="l"),G193," ")</f>
        <v> </v>
      </c>
      <c r="T193" s="334" t="str">
        <f aca="false">IF((E193="b"),G193," ")</f>
        <v> </v>
      </c>
      <c r="U193" s="334" t="str">
        <f aca="false">IF((E193="i"),G193," ")</f>
        <v> </v>
      </c>
      <c r="V193" s="334" t="str">
        <f aca="false">IF((E193="o"),G193," ")</f>
        <v> </v>
      </c>
      <c r="W193" s="334" t="str">
        <f aca="false">IF((E193="f"),G193," ")</f>
        <v> </v>
      </c>
    </row>
    <row r="194" customFormat="false" ht="12.75" hidden="false" customHeight="false" outlineLevel="0" collapsed="false">
      <c r="A194" s="355"/>
      <c r="E194" s="365" t="str">
        <f aca="false">IF((G194&lt;&gt;0),"Enter Letter"," ")</f>
        <v> </v>
      </c>
      <c r="H194" s="338" t="str">
        <f aca="false">IF((G194&lt;&gt;0),IF((D194&gt;0)," ",G194)," ")</f>
        <v> </v>
      </c>
      <c r="I194" s="367" t="str">
        <f aca="false">IF((G194&lt;&gt;0),IF((D194&gt;0)," ",(I$1-A194))," ")</f>
        <v> </v>
      </c>
      <c r="J194" s="334" t="str">
        <f aca="false">IF((E194="s"),G194," ")</f>
        <v> </v>
      </c>
      <c r="K194" s="334" t="str">
        <f aca="false">IF((E194="d"),G194," ")</f>
        <v> </v>
      </c>
      <c r="L194" s="334" t="str">
        <f aca="false">IF((E194="e"),G194," ")</f>
        <v> </v>
      </c>
      <c r="M194" s="334" t="str">
        <f aca="false">IF((E194="p"),G194," ")</f>
        <v> </v>
      </c>
      <c r="N194" s="334" t="str">
        <f aca="false">IF((E194="r"),G194," ")</f>
        <v> </v>
      </c>
      <c r="O194" s="334" t="str">
        <f aca="false">IF((E194="g"),G194," ")</f>
        <v> </v>
      </c>
      <c r="P194" s="334" t="str">
        <f aca="false">IF((E194="m"),G194," ")</f>
        <v> </v>
      </c>
      <c r="Q194" s="334" t="str">
        <f aca="false">IF((E194="t"),G194," ")</f>
        <v> </v>
      </c>
      <c r="R194" s="334" t="str">
        <f aca="false">IF((E194="a"),G194," ")</f>
        <v> </v>
      </c>
      <c r="S194" s="334" t="str">
        <f aca="false">IF((E194="l"),G194," ")</f>
        <v> </v>
      </c>
      <c r="T194" s="334" t="str">
        <f aca="false">IF((E194="b"),G194," ")</f>
        <v> </v>
      </c>
      <c r="U194" s="334" t="str">
        <f aca="false">IF((E194="i"),G194," ")</f>
        <v> </v>
      </c>
      <c r="V194" s="334" t="str">
        <f aca="false">IF((E194="o"),G194," ")</f>
        <v> </v>
      </c>
      <c r="W194" s="334" t="str">
        <f aca="false">IF((E194="f"),G194," ")</f>
        <v> </v>
      </c>
    </row>
    <row r="195" customFormat="false" ht="12.75" hidden="false" customHeight="false" outlineLevel="0" collapsed="false">
      <c r="A195" s="355"/>
      <c r="E195" s="365" t="str">
        <f aca="false">IF((G195&lt;&gt;0),"Enter Letter"," ")</f>
        <v> </v>
      </c>
      <c r="H195" s="338" t="str">
        <f aca="false">IF((G195&lt;&gt;0),IF((D195&gt;0)," ",G195)," ")</f>
        <v> </v>
      </c>
      <c r="I195" s="367" t="str">
        <f aca="false">IF((G195&lt;&gt;0),IF((D195&gt;0)," ",(I$1-A195))," ")</f>
        <v> </v>
      </c>
      <c r="J195" s="334" t="str">
        <f aca="false">IF((E195="s"),G195," ")</f>
        <v> </v>
      </c>
      <c r="K195" s="334" t="str">
        <f aca="false">IF((E195="d"),G195," ")</f>
        <v> </v>
      </c>
      <c r="L195" s="334" t="str">
        <f aca="false">IF((E195="e"),G195," ")</f>
        <v> </v>
      </c>
      <c r="M195" s="334" t="str">
        <f aca="false">IF((E195="p"),G195," ")</f>
        <v> </v>
      </c>
      <c r="N195" s="334" t="str">
        <f aca="false">IF((E195="r"),G195," ")</f>
        <v> </v>
      </c>
      <c r="O195" s="334" t="str">
        <f aca="false">IF((E195="g"),G195," ")</f>
        <v> </v>
      </c>
      <c r="P195" s="334" t="str">
        <f aca="false">IF((E195="m"),G195," ")</f>
        <v> </v>
      </c>
      <c r="Q195" s="334" t="str">
        <f aca="false">IF((E195="t"),G195," ")</f>
        <v> </v>
      </c>
      <c r="R195" s="334" t="str">
        <f aca="false">IF((E195="a"),G195," ")</f>
        <v> </v>
      </c>
      <c r="S195" s="334" t="str">
        <f aca="false">IF((E195="l"),G195," ")</f>
        <v> </v>
      </c>
      <c r="T195" s="334" t="str">
        <f aca="false">IF((E195="b"),G195," ")</f>
        <v> </v>
      </c>
      <c r="U195" s="334" t="str">
        <f aca="false">IF((E195="i"),G195," ")</f>
        <v> </v>
      </c>
      <c r="V195" s="334" t="str">
        <f aca="false">IF((E195="o"),G195," ")</f>
        <v> </v>
      </c>
      <c r="W195" s="334" t="str">
        <f aca="false">IF((E195="f"),G195," ")</f>
        <v> </v>
      </c>
    </row>
    <row r="196" customFormat="false" ht="12.75" hidden="false" customHeight="false" outlineLevel="0" collapsed="false">
      <c r="A196" s="355"/>
      <c r="E196" s="365" t="str">
        <f aca="false">IF((G196&lt;&gt;0),"Enter Letter"," ")</f>
        <v> </v>
      </c>
      <c r="H196" s="338" t="str">
        <f aca="false">IF((G196&lt;&gt;0),IF((D196&gt;0)," ",G196)," ")</f>
        <v> </v>
      </c>
      <c r="I196" s="367" t="str">
        <f aca="false">IF((G196&lt;&gt;0),IF((D196&gt;0)," ",(I$1-A196))," ")</f>
        <v> </v>
      </c>
      <c r="J196" s="334" t="str">
        <f aca="false">IF((E196="s"),G196," ")</f>
        <v> </v>
      </c>
      <c r="K196" s="334" t="str">
        <f aca="false">IF((E196="d"),G196," ")</f>
        <v> </v>
      </c>
      <c r="L196" s="334" t="str">
        <f aca="false">IF((E196="e"),G196," ")</f>
        <v> </v>
      </c>
      <c r="M196" s="334" t="str">
        <f aca="false">IF((E196="p"),G196," ")</f>
        <v> </v>
      </c>
      <c r="N196" s="334" t="str">
        <f aca="false">IF((E196="r"),G196," ")</f>
        <v> </v>
      </c>
      <c r="O196" s="334" t="str">
        <f aca="false">IF((E196="g"),G196," ")</f>
        <v> </v>
      </c>
      <c r="P196" s="334" t="str">
        <f aca="false">IF((E196="m"),G196," ")</f>
        <v> </v>
      </c>
      <c r="Q196" s="334" t="str">
        <f aca="false">IF((E196="t"),G196," ")</f>
        <v> </v>
      </c>
      <c r="R196" s="334" t="str">
        <f aca="false">IF((E196="a"),G196," ")</f>
        <v> </v>
      </c>
      <c r="S196" s="334" t="str">
        <f aca="false">IF((E196="l"),G196," ")</f>
        <v> </v>
      </c>
      <c r="T196" s="334" t="str">
        <f aca="false">IF((E196="b"),G196," ")</f>
        <v> </v>
      </c>
      <c r="U196" s="334" t="str">
        <f aca="false">IF((E196="i"),G196," ")</f>
        <v> </v>
      </c>
      <c r="V196" s="334" t="str">
        <f aca="false">IF((E196="o"),G196," ")</f>
        <v> </v>
      </c>
      <c r="W196" s="334" t="str">
        <f aca="false">IF((E196="f"),G196," ")</f>
        <v> </v>
      </c>
    </row>
    <row r="197" customFormat="false" ht="12.75" hidden="false" customHeight="false" outlineLevel="0" collapsed="false">
      <c r="A197" s="355"/>
      <c r="E197" s="365" t="str">
        <f aca="false">IF((G197&lt;&gt;0),"Enter Letter"," ")</f>
        <v> </v>
      </c>
      <c r="H197" s="338" t="str">
        <f aca="false">IF((G197&lt;&gt;0),IF((D197&gt;0)," ",G197)," ")</f>
        <v> </v>
      </c>
      <c r="I197" s="367" t="str">
        <f aca="false">IF((G197&lt;&gt;0),IF((D197&gt;0)," ",(I$1-A197))," ")</f>
        <v> </v>
      </c>
      <c r="J197" s="334" t="str">
        <f aca="false">IF((E197="s"),G197," ")</f>
        <v> </v>
      </c>
      <c r="K197" s="334" t="str">
        <f aca="false">IF((E197="d"),G197," ")</f>
        <v> </v>
      </c>
      <c r="L197" s="334" t="str">
        <f aca="false">IF((E197="e"),G197," ")</f>
        <v> </v>
      </c>
      <c r="M197" s="334" t="str">
        <f aca="false">IF((E197="p"),G197," ")</f>
        <v> </v>
      </c>
      <c r="N197" s="334" t="str">
        <f aca="false">IF((E197="r"),G197," ")</f>
        <v> </v>
      </c>
      <c r="O197" s="334" t="str">
        <f aca="false">IF((E197="g"),G197," ")</f>
        <v> </v>
      </c>
      <c r="P197" s="334" t="str">
        <f aca="false">IF((E197="m"),G197," ")</f>
        <v> </v>
      </c>
      <c r="Q197" s="334" t="str">
        <f aca="false">IF((E197="t"),G197," ")</f>
        <v> </v>
      </c>
      <c r="R197" s="334" t="str">
        <f aca="false">IF((E197="a"),G197," ")</f>
        <v> </v>
      </c>
      <c r="S197" s="334" t="str">
        <f aca="false">IF((E197="l"),G197," ")</f>
        <v> </v>
      </c>
      <c r="T197" s="334" t="str">
        <f aca="false">IF((E197="b"),G197," ")</f>
        <v> </v>
      </c>
      <c r="U197" s="334" t="str">
        <f aca="false">IF((E197="i"),G197," ")</f>
        <v> </v>
      </c>
      <c r="V197" s="334" t="str">
        <f aca="false">IF((E197="o"),G197," ")</f>
        <v> </v>
      </c>
      <c r="W197" s="334" t="str">
        <f aca="false">IF((E197="f"),G197," ")</f>
        <v> </v>
      </c>
    </row>
    <row r="198" customFormat="false" ht="12.75" hidden="false" customHeight="false" outlineLevel="0" collapsed="false">
      <c r="A198" s="355"/>
      <c r="E198" s="365" t="str">
        <f aca="false">IF((G198&lt;&gt;0),"Enter Letter"," ")</f>
        <v> </v>
      </c>
      <c r="H198" s="338" t="str">
        <f aca="false">IF((G198&lt;&gt;0),IF((D198&gt;0)," ",G198)," ")</f>
        <v> </v>
      </c>
      <c r="I198" s="367" t="str">
        <f aca="false">IF((G198&lt;&gt;0),IF((D198&gt;0)," ",(I$1-A198))," ")</f>
        <v> </v>
      </c>
      <c r="J198" s="334" t="str">
        <f aca="false">IF((E198="s"),G198," ")</f>
        <v> </v>
      </c>
      <c r="K198" s="334" t="str">
        <f aca="false">IF((E198="d"),G198," ")</f>
        <v> </v>
      </c>
      <c r="L198" s="334" t="str">
        <f aca="false">IF((E198="e"),G198," ")</f>
        <v> </v>
      </c>
      <c r="M198" s="334" t="str">
        <f aca="false">IF((E198="p"),G198," ")</f>
        <v> </v>
      </c>
      <c r="N198" s="334" t="str">
        <f aca="false">IF((E198="r"),G198," ")</f>
        <v> </v>
      </c>
      <c r="O198" s="334" t="str">
        <f aca="false">IF((E198="g"),G198," ")</f>
        <v> </v>
      </c>
      <c r="P198" s="334" t="str">
        <f aca="false">IF((E198="m"),G198," ")</f>
        <v> </v>
      </c>
      <c r="Q198" s="334" t="str">
        <f aca="false">IF((E198="t"),G198," ")</f>
        <v> </v>
      </c>
      <c r="R198" s="334" t="str">
        <f aca="false">IF((E198="a"),G198," ")</f>
        <v> </v>
      </c>
      <c r="S198" s="334" t="str">
        <f aca="false">IF((E198="l"),G198," ")</f>
        <v> </v>
      </c>
      <c r="T198" s="334" t="str">
        <f aca="false">IF((E198="b"),G198," ")</f>
        <v> </v>
      </c>
      <c r="U198" s="334" t="str">
        <f aca="false">IF((E198="i"),G198," ")</f>
        <v> </v>
      </c>
      <c r="V198" s="334" t="str">
        <f aca="false">IF((E198="o"),G198," ")</f>
        <v> </v>
      </c>
      <c r="W198" s="334" t="str">
        <f aca="false">IF((E198="f"),G198," ")</f>
        <v> </v>
      </c>
    </row>
    <row r="199" customFormat="false" ht="12.75" hidden="false" customHeight="false" outlineLevel="0" collapsed="false">
      <c r="A199" s="355"/>
      <c r="E199" s="365" t="str">
        <f aca="false">IF((G199&lt;&gt;0),"Enter Letter"," ")</f>
        <v> </v>
      </c>
      <c r="H199" s="338" t="str">
        <f aca="false">IF((G199&lt;&gt;0),IF((D199&gt;0)," ",G199)," ")</f>
        <v> </v>
      </c>
      <c r="I199" s="367" t="str">
        <f aca="false">IF((G199&lt;&gt;0),IF((D199&gt;0)," ",(I$1-A199))," ")</f>
        <v> </v>
      </c>
      <c r="J199" s="334" t="str">
        <f aca="false">IF((E199="s"),G199," ")</f>
        <v> </v>
      </c>
      <c r="K199" s="334" t="str">
        <f aca="false">IF((E199="d"),G199," ")</f>
        <v> </v>
      </c>
      <c r="L199" s="334" t="str">
        <f aca="false">IF((E199="e"),G199," ")</f>
        <v> </v>
      </c>
      <c r="M199" s="334" t="str">
        <f aca="false">IF((E199="p"),G199," ")</f>
        <v> </v>
      </c>
      <c r="N199" s="334" t="str">
        <f aca="false">IF((E199="r"),G199," ")</f>
        <v> </v>
      </c>
      <c r="O199" s="334" t="str">
        <f aca="false">IF((E199="g"),G199," ")</f>
        <v> </v>
      </c>
      <c r="P199" s="334" t="str">
        <f aca="false">IF((E199="m"),G199," ")</f>
        <v> </v>
      </c>
      <c r="Q199" s="334" t="str">
        <f aca="false">IF((E199="t"),G199," ")</f>
        <v> </v>
      </c>
      <c r="R199" s="334" t="str">
        <f aca="false">IF((E199="a"),G199," ")</f>
        <v> </v>
      </c>
      <c r="S199" s="334" t="str">
        <f aca="false">IF((E199="l"),G199," ")</f>
        <v> </v>
      </c>
      <c r="T199" s="334" t="str">
        <f aca="false">IF((E199="b"),G199," ")</f>
        <v> </v>
      </c>
      <c r="U199" s="334" t="str">
        <f aca="false">IF((E199="i"),G199," ")</f>
        <v> </v>
      </c>
      <c r="V199" s="334" t="str">
        <f aca="false">IF((E199="o"),G199," ")</f>
        <v> </v>
      </c>
      <c r="W199" s="334" t="str">
        <f aca="false">IF((E199="f"),G199," ")</f>
        <v> </v>
      </c>
    </row>
    <row r="200" customFormat="false" ht="12.75" hidden="false" customHeight="false" outlineLevel="0" collapsed="false">
      <c r="A200" s="355"/>
      <c r="E200" s="365" t="str">
        <f aca="false">IF((G200&lt;&gt;0),"Enter Letter"," ")</f>
        <v> </v>
      </c>
      <c r="H200" s="338" t="str">
        <f aca="false">IF((G200&lt;&gt;0),IF((D200&gt;0)," ",G200)," ")</f>
        <v> </v>
      </c>
      <c r="I200" s="367" t="str">
        <f aca="false">IF((G200&lt;&gt;0),IF((D200&gt;0)," ",(I$1-A200))," ")</f>
        <v> </v>
      </c>
      <c r="J200" s="334" t="str">
        <f aca="false">IF((E200="s"),G200," ")</f>
        <v> </v>
      </c>
      <c r="K200" s="334" t="str">
        <f aca="false">IF((E200="d"),G200," ")</f>
        <v> </v>
      </c>
      <c r="L200" s="334" t="str">
        <f aca="false">IF((E200="e"),G200," ")</f>
        <v> </v>
      </c>
      <c r="M200" s="334" t="str">
        <f aca="false">IF((E200="p"),G200," ")</f>
        <v> </v>
      </c>
      <c r="N200" s="334" t="str">
        <f aca="false">IF((E200="r"),G200," ")</f>
        <v> </v>
      </c>
      <c r="O200" s="334" t="str">
        <f aca="false">IF((E200="g"),G200," ")</f>
        <v> </v>
      </c>
      <c r="P200" s="334" t="str">
        <f aca="false">IF((E200="m"),G200," ")</f>
        <v> </v>
      </c>
      <c r="Q200" s="334" t="str">
        <f aca="false">IF((E200="t"),G200," ")</f>
        <v> </v>
      </c>
      <c r="R200" s="334" t="str">
        <f aca="false">IF((E200="a"),G200," ")</f>
        <v> </v>
      </c>
      <c r="S200" s="334" t="str">
        <f aca="false">IF((E200="l"),G200," ")</f>
        <v> </v>
      </c>
      <c r="T200" s="334" t="str">
        <f aca="false">IF((E200="b"),G200," ")</f>
        <v> </v>
      </c>
      <c r="U200" s="334" t="str">
        <f aca="false">IF((E200="i"),G200," ")</f>
        <v> </v>
      </c>
      <c r="V200" s="334" t="str">
        <f aca="false">IF((E200="o"),G200," ")</f>
        <v> </v>
      </c>
      <c r="W200" s="334" t="str">
        <f aca="false">IF((E200="f"),G200," ")</f>
        <v> </v>
      </c>
      <c r="Y200" s="399"/>
      <c r="Z200" s="399"/>
    </row>
    <row r="201" customFormat="false" ht="12.75" hidden="false" customHeight="false" outlineLevel="0" collapsed="false">
      <c r="A201" s="355"/>
      <c r="E201" s="365" t="str">
        <f aca="false">IF((G201&lt;&gt;0),"Enter Letter"," ")</f>
        <v> </v>
      </c>
      <c r="H201" s="338" t="str">
        <f aca="false">IF((G201&lt;&gt;0),IF((D201&gt;0)," ",G201)," ")</f>
        <v> </v>
      </c>
      <c r="I201" s="367" t="str">
        <f aca="false">IF((G201&lt;&gt;0),IF((D201&gt;0)," ",(I$1-A201))," ")</f>
        <v> </v>
      </c>
      <c r="J201" s="334" t="str">
        <f aca="false">IF((E201="s"),G201," ")</f>
        <v> </v>
      </c>
      <c r="K201" s="334" t="str">
        <f aca="false">IF((E201="d"),G201," ")</f>
        <v> </v>
      </c>
      <c r="L201" s="334" t="str">
        <f aca="false">IF((E201="e"),G201," ")</f>
        <v> </v>
      </c>
      <c r="M201" s="334" t="str">
        <f aca="false">IF((E201="p"),G201," ")</f>
        <v> </v>
      </c>
      <c r="N201" s="334" t="str">
        <f aca="false">IF((E201="r"),G201," ")</f>
        <v> </v>
      </c>
      <c r="O201" s="334" t="str">
        <f aca="false">IF((E201="g"),G201," ")</f>
        <v> </v>
      </c>
      <c r="P201" s="334" t="str">
        <f aca="false">IF((E201="m"),G201," ")</f>
        <v> </v>
      </c>
      <c r="Q201" s="334" t="str">
        <f aca="false">IF((E201="t"),G201," ")</f>
        <v> </v>
      </c>
      <c r="R201" s="334" t="str">
        <f aca="false">IF((E201="a"),G201," ")</f>
        <v> </v>
      </c>
      <c r="S201" s="334" t="str">
        <f aca="false">IF((E201="l"),G201," ")</f>
        <v> </v>
      </c>
      <c r="T201" s="334" t="str">
        <f aca="false">IF((E201="b"),G201," ")</f>
        <v> </v>
      </c>
      <c r="U201" s="334" t="str">
        <f aca="false">IF((E201="i"),G201," ")</f>
        <v> </v>
      </c>
      <c r="V201" s="334" t="str">
        <f aca="false">IF((E201="o"),G201," ")</f>
        <v> </v>
      </c>
      <c r="W201" s="334" t="str">
        <f aca="false">IF((E201="f"),G201," ")</f>
        <v> </v>
      </c>
    </row>
    <row r="202" customFormat="false" ht="12.75" hidden="false" customHeight="false" outlineLevel="0" collapsed="false">
      <c r="A202" s="355"/>
      <c r="E202" s="365" t="str">
        <f aca="false">IF((G202&lt;&gt;0),"Enter Letter"," ")</f>
        <v> </v>
      </c>
      <c r="H202" s="338" t="str">
        <f aca="false">IF((G202&lt;&gt;0),IF((D202&gt;0)," ",G202)," ")</f>
        <v> </v>
      </c>
      <c r="I202" s="367" t="str">
        <f aca="false">IF((G202&lt;&gt;0),IF((D202&gt;0)," ",(I$1-A202))," ")</f>
        <v> </v>
      </c>
      <c r="J202" s="334" t="str">
        <f aca="false">IF((E202="s"),G202," ")</f>
        <v> </v>
      </c>
      <c r="K202" s="334" t="str">
        <f aca="false">IF((E202="d"),G202," ")</f>
        <v> </v>
      </c>
      <c r="L202" s="334" t="str">
        <f aca="false">IF((E202="e"),G202," ")</f>
        <v> </v>
      </c>
      <c r="M202" s="334" t="str">
        <f aca="false">IF((E202="p"),G202," ")</f>
        <v> </v>
      </c>
      <c r="N202" s="334" t="str">
        <f aca="false">IF((E202="r"),G202," ")</f>
        <v> </v>
      </c>
      <c r="O202" s="334" t="str">
        <f aca="false">IF((E202="g"),G202," ")</f>
        <v> </v>
      </c>
      <c r="P202" s="334" t="str">
        <f aca="false">IF((E202="m"),G202," ")</f>
        <v> </v>
      </c>
      <c r="Q202" s="334" t="str">
        <f aca="false">IF((E202="t"),G202," ")</f>
        <v> </v>
      </c>
      <c r="R202" s="334" t="str">
        <f aca="false">IF((E202="a"),G202," ")</f>
        <v> </v>
      </c>
      <c r="S202" s="334" t="str">
        <f aca="false">IF((E202="l"),G202," ")</f>
        <v> </v>
      </c>
      <c r="T202" s="334" t="str">
        <f aca="false">IF((E202="b"),G202," ")</f>
        <v> </v>
      </c>
      <c r="U202" s="334" t="str">
        <f aca="false">IF((E202="i"),G202," ")</f>
        <v> </v>
      </c>
      <c r="V202" s="334" t="str">
        <f aca="false">IF((E202="o"),G202," ")</f>
        <v> </v>
      </c>
      <c r="W202" s="334" t="str">
        <f aca="false">IF((E202="f"),G202," ")</f>
        <v> </v>
      </c>
    </row>
    <row r="203" customFormat="false" ht="12.75" hidden="false" customHeight="false" outlineLevel="0" collapsed="false">
      <c r="A203" s="355"/>
      <c r="E203" s="365" t="str">
        <f aca="false">IF((G203&lt;&gt;0),"Enter Letter"," ")</f>
        <v> </v>
      </c>
      <c r="H203" s="338" t="str">
        <f aca="false">IF((G203&lt;&gt;0),IF((D203&gt;0)," ",G203)," ")</f>
        <v> </v>
      </c>
      <c r="I203" s="367" t="str">
        <f aca="false">IF((G203&lt;&gt;0),IF((D203&gt;0)," ",(I$1-A203))," ")</f>
        <v> </v>
      </c>
      <c r="J203" s="334" t="str">
        <f aca="false">IF((E203="s"),G203," ")</f>
        <v> </v>
      </c>
      <c r="K203" s="334" t="str">
        <f aca="false">IF((E203="d"),G203," ")</f>
        <v> </v>
      </c>
      <c r="L203" s="334" t="str">
        <f aca="false">IF((E203="e"),G203," ")</f>
        <v> </v>
      </c>
      <c r="M203" s="334" t="str">
        <f aca="false">IF((E203="p"),G203," ")</f>
        <v> </v>
      </c>
      <c r="N203" s="334" t="str">
        <f aca="false">IF((E203="r"),G203," ")</f>
        <v> </v>
      </c>
      <c r="O203" s="334" t="str">
        <f aca="false">IF((E203="g"),G203," ")</f>
        <v> </v>
      </c>
      <c r="P203" s="334" t="str">
        <f aca="false">IF((E203="m"),G203," ")</f>
        <v> </v>
      </c>
      <c r="Q203" s="334" t="str">
        <f aca="false">IF((E203="t"),G203," ")</f>
        <v> </v>
      </c>
      <c r="R203" s="334" t="str">
        <f aca="false">IF((E203="a"),G203," ")</f>
        <v> </v>
      </c>
      <c r="S203" s="334" t="str">
        <f aca="false">IF((E203="l"),G203," ")</f>
        <v> </v>
      </c>
      <c r="T203" s="334" t="str">
        <f aca="false">IF((E203="b"),G203," ")</f>
        <v> </v>
      </c>
      <c r="U203" s="334" t="str">
        <f aca="false">IF((E203="i"),G203," ")</f>
        <v> </v>
      </c>
      <c r="V203" s="334" t="str">
        <f aca="false">IF((E203="o"),G203," ")</f>
        <v> </v>
      </c>
      <c r="W203" s="334" t="str">
        <f aca="false">IF((E203="f"),G203," ")</f>
        <v> </v>
      </c>
    </row>
    <row r="204" customFormat="false" ht="12.75" hidden="false" customHeight="false" outlineLevel="0" collapsed="false">
      <c r="A204" s="355"/>
      <c r="E204" s="365" t="str">
        <f aca="false">IF((G204&lt;&gt;0),"Enter Letter"," ")</f>
        <v> </v>
      </c>
      <c r="H204" s="338" t="str">
        <f aca="false">IF((G204&lt;&gt;0),IF((D204&gt;0)," ",G204)," ")</f>
        <v> </v>
      </c>
      <c r="I204" s="367" t="str">
        <f aca="false">IF((G204&lt;&gt;0),IF((D204&gt;0)," ",(I$1-A204))," ")</f>
        <v> </v>
      </c>
      <c r="J204" s="334" t="str">
        <f aca="false">IF((E204="s"),G204," ")</f>
        <v> </v>
      </c>
      <c r="K204" s="334" t="str">
        <f aca="false">IF((E204="d"),G204," ")</f>
        <v> </v>
      </c>
      <c r="L204" s="334" t="str">
        <f aca="false">IF((E204="e"),G204," ")</f>
        <v> </v>
      </c>
      <c r="M204" s="334" t="str">
        <f aca="false">IF((E204="p"),G204," ")</f>
        <v> </v>
      </c>
      <c r="N204" s="334" t="str">
        <f aca="false">IF((E204="r"),G204," ")</f>
        <v> </v>
      </c>
      <c r="O204" s="334" t="str">
        <f aca="false">IF((E204="g"),G204," ")</f>
        <v> </v>
      </c>
      <c r="P204" s="334" t="str">
        <f aca="false">IF((E204="m"),G204," ")</f>
        <v> </v>
      </c>
      <c r="Q204" s="334" t="str">
        <f aca="false">IF((E204="t"),G204," ")</f>
        <v> </v>
      </c>
      <c r="R204" s="334" t="str">
        <f aca="false">IF((E204="a"),G204," ")</f>
        <v> </v>
      </c>
      <c r="S204" s="334" t="str">
        <f aca="false">IF((E204="l"),G204," ")</f>
        <v> </v>
      </c>
      <c r="T204" s="334" t="str">
        <f aca="false">IF((E204="b"),G204," ")</f>
        <v> </v>
      </c>
      <c r="U204" s="334" t="str">
        <f aca="false">IF((E204="i"),G204," ")</f>
        <v> </v>
      </c>
      <c r="V204" s="334" t="str">
        <f aca="false">IF((E204="o"),G204," ")</f>
        <v> </v>
      </c>
      <c r="W204" s="334" t="str">
        <f aca="false">IF((E204="f"),G204," ")</f>
        <v> </v>
      </c>
    </row>
    <row r="205" customFormat="false" ht="12.75" hidden="false" customHeight="false" outlineLevel="0" collapsed="false">
      <c r="A205" s="355"/>
      <c r="E205" s="365" t="str">
        <f aca="false">IF((G205&lt;&gt;0),"Enter Letter"," ")</f>
        <v> </v>
      </c>
      <c r="J205" s="334" t="str">
        <f aca="false">IF((E205="s"),G205," ")</f>
        <v> </v>
      </c>
      <c r="K205" s="334" t="str">
        <f aca="false">IF((E205="d"),G205," ")</f>
        <v> </v>
      </c>
      <c r="L205" s="334" t="str">
        <f aca="false">IF((E205="e"),G205," ")</f>
        <v> </v>
      </c>
      <c r="M205" s="334" t="str">
        <f aca="false">IF((E205="p"),G205," ")</f>
        <v> </v>
      </c>
      <c r="N205" s="334" t="str">
        <f aca="false">IF((E205="r"),G205," ")</f>
        <v> </v>
      </c>
      <c r="O205" s="334" t="str">
        <f aca="false">IF((E205="g"),G205," ")</f>
        <v> </v>
      </c>
      <c r="P205" s="334" t="str">
        <f aca="false">IF((E205="m"),G205," ")</f>
        <v> </v>
      </c>
      <c r="Q205" s="334" t="str">
        <f aca="false">IF((E205="t"),G205," ")</f>
        <v> </v>
      </c>
      <c r="R205" s="334" t="str">
        <f aca="false">IF((E205="a"),G205," ")</f>
        <v> </v>
      </c>
      <c r="S205" s="334" t="str">
        <f aca="false">IF((E205="l"),G205," ")</f>
        <v> </v>
      </c>
      <c r="T205" s="334" t="str">
        <f aca="false">IF((E205="b"),G205," ")</f>
        <v> </v>
      </c>
      <c r="U205" s="334" t="str">
        <f aca="false">IF((E205="i"),G205," ")</f>
        <v> </v>
      </c>
      <c r="V205" s="334" t="str">
        <f aca="false">IF((E205="o"),G205," ")</f>
        <v> </v>
      </c>
      <c r="W205" s="334" t="str">
        <f aca="false">IF((E205="f"),G205," ")</f>
        <v> </v>
      </c>
    </row>
    <row r="206" customFormat="false" ht="12.75" hidden="false" customHeight="false" outlineLevel="0" collapsed="false">
      <c r="A206" s="355"/>
      <c r="E206" s="365" t="str">
        <f aca="false">IF((G206&lt;&gt;0),"Enter Letter"," ")</f>
        <v> </v>
      </c>
      <c r="J206" s="334" t="str">
        <f aca="false">IF((E206="s"),G206," ")</f>
        <v> </v>
      </c>
      <c r="K206" s="334" t="str">
        <f aca="false">IF((E206="d"),G206," ")</f>
        <v> </v>
      </c>
      <c r="L206" s="334" t="str">
        <f aca="false">IF((E206="e"),G206," ")</f>
        <v> </v>
      </c>
      <c r="M206" s="334" t="str">
        <f aca="false">IF((E206="p"),G206," ")</f>
        <v> </v>
      </c>
      <c r="N206" s="334" t="str">
        <f aca="false">IF((E206="r"),G206," ")</f>
        <v> </v>
      </c>
      <c r="O206" s="334" t="str">
        <f aca="false">IF((E206="g"),G206," ")</f>
        <v> </v>
      </c>
      <c r="P206" s="334" t="str">
        <f aca="false">IF((E206="m"),G206," ")</f>
        <v> </v>
      </c>
      <c r="Q206" s="334" t="str">
        <f aca="false">IF((E206="t"),G206," ")</f>
        <v> </v>
      </c>
      <c r="R206" s="334" t="str">
        <f aca="false">IF((E206="a"),G206," ")</f>
        <v> </v>
      </c>
      <c r="S206" s="334" t="str">
        <f aca="false">IF((E206="l"),G206," ")</f>
        <v> </v>
      </c>
      <c r="T206" s="334" t="str">
        <f aca="false">IF((E206="b"),G206," ")</f>
        <v> </v>
      </c>
      <c r="U206" s="334" t="str">
        <f aca="false">IF((E206="i"),G206," ")</f>
        <v> </v>
      </c>
      <c r="V206" s="334" t="str">
        <f aca="false">IF((E206="o"),G206," ")</f>
        <v> </v>
      </c>
      <c r="W206" s="334" t="str">
        <f aca="false">IF((E206="f"),G206," ")</f>
        <v> </v>
      </c>
    </row>
    <row r="207" customFormat="false" ht="12.75" hidden="false" customHeight="false" outlineLevel="0" collapsed="false">
      <c r="A207" s="355"/>
      <c r="E207" s="365" t="str">
        <f aca="false">IF((G207&lt;&gt;0),"Enter Letter"," ")</f>
        <v> </v>
      </c>
      <c r="J207" s="334" t="str">
        <f aca="false">IF((E207="s"),G207," ")</f>
        <v> </v>
      </c>
      <c r="K207" s="334" t="str">
        <f aca="false">IF((E207="d"),G207," ")</f>
        <v> </v>
      </c>
      <c r="L207" s="334" t="str">
        <f aca="false">IF((E207="e"),G207," ")</f>
        <v> </v>
      </c>
      <c r="M207" s="334" t="str">
        <f aca="false">IF((E207="p"),G207," ")</f>
        <v> </v>
      </c>
      <c r="N207" s="334" t="str">
        <f aca="false">IF((E207="r"),G207," ")</f>
        <v> </v>
      </c>
      <c r="O207" s="334" t="str">
        <f aca="false">IF((E207="g"),G207," ")</f>
        <v> </v>
      </c>
      <c r="P207" s="334" t="str">
        <f aca="false">IF((E207="m"),G207," ")</f>
        <v> </v>
      </c>
      <c r="Q207" s="334" t="str">
        <f aca="false">IF((E207="t"),G207," ")</f>
        <v> </v>
      </c>
      <c r="R207" s="334" t="str">
        <f aca="false">IF((E207="a"),G207," ")</f>
        <v> </v>
      </c>
      <c r="S207" s="334" t="str">
        <f aca="false">IF((E207="l"),G207," ")</f>
        <v> </v>
      </c>
      <c r="T207" s="334" t="str">
        <f aca="false">IF((E207="b"),G207," ")</f>
        <v> </v>
      </c>
      <c r="U207" s="334" t="str">
        <f aca="false">IF((E207="i"),G207," ")</f>
        <v> </v>
      </c>
      <c r="V207" s="334" t="str">
        <f aca="false">IF((E207="o"),G207," ")</f>
        <v> </v>
      </c>
      <c r="W207" s="334" t="str">
        <f aca="false">IF((E207="f"),G207," ")</f>
        <v> </v>
      </c>
    </row>
    <row r="208" customFormat="false" ht="12.75" hidden="false" customHeight="false" outlineLevel="0" collapsed="false">
      <c r="A208" s="355"/>
      <c r="E208" s="365" t="str">
        <f aca="false">IF((G208&lt;&gt;0),"Enter Letter"," ")</f>
        <v> </v>
      </c>
      <c r="J208" s="334" t="str">
        <f aca="false">IF((E208="s"),G208," ")</f>
        <v> </v>
      </c>
      <c r="K208" s="334" t="str">
        <f aca="false">IF((E208="d"),G208," ")</f>
        <v> </v>
      </c>
      <c r="L208" s="334" t="str">
        <f aca="false">IF((E208="e"),G208," ")</f>
        <v> </v>
      </c>
      <c r="M208" s="334" t="str">
        <f aca="false">IF((E208="p"),G208," ")</f>
        <v> </v>
      </c>
      <c r="N208" s="334" t="str">
        <f aca="false">IF((E208="r"),G208," ")</f>
        <v> </v>
      </c>
      <c r="O208" s="334" t="str">
        <f aca="false">IF((E208="g"),G208," ")</f>
        <v> </v>
      </c>
      <c r="P208" s="334" t="str">
        <f aca="false">IF((E208="m"),G208," ")</f>
        <v> </v>
      </c>
      <c r="Q208" s="334" t="str">
        <f aca="false">IF((E208="t"),G208," ")</f>
        <v> </v>
      </c>
      <c r="R208" s="334" t="str">
        <f aca="false">IF((E208="a"),G208," ")</f>
        <v> </v>
      </c>
      <c r="S208" s="334" t="str">
        <f aca="false">IF((E208="l"),G208," ")</f>
        <v> </v>
      </c>
      <c r="T208" s="334" t="str">
        <f aca="false">IF((E208="b"),G208," ")</f>
        <v> </v>
      </c>
      <c r="U208" s="334" t="str">
        <f aca="false">IF((E208="i"),G208," ")</f>
        <v> </v>
      </c>
      <c r="V208" s="334" t="str">
        <f aca="false">IF((E208="o"),G208," ")</f>
        <v> </v>
      </c>
      <c r="W208" s="334" t="str">
        <f aca="false">IF((E208="f"),G208," ")</f>
        <v> </v>
      </c>
    </row>
    <row r="209" customFormat="false" ht="12.75" hidden="false" customHeight="false" outlineLevel="0" collapsed="false">
      <c r="A209" s="355"/>
      <c r="E209" s="365" t="str">
        <f aca="false">IF((G209&lt;&gt;0),"Enter Letter"," ")</f>
        <v> </v>
      </c>
      <c r="J209" s="334" t="str">
        <f aca="false">IF((E209="s"),G209," ")</f>
        <v> </v>
      </c>
      <c r="K209" s="334" t="str">
        <f aca="false">IF((E209="d"),G209," ")</f>
        <v> </v>
      </c>
      <c r="L209" s="334" t="str">
        <f aca="false">IF((E209="e"),G209," ")</f>
        <v> </v>
      </c>
      <c r="M209" s="334" t="str">
        <f aca="false">IF((E209="p"),G209," ")</f>
        <v> </v>
      </c>
      <c r="N209" s="334" t="str">
        <f aca="false">IF((E209="r"),G209," ")</f>
        <v> </v>
      </c>
      <c r="O209" s="334" t="str">
        <f aca="false">IF((E209="g"),G209," ")</f>
        <v> </v>
      </c>
      <c r="P209" s="334" t="str">
        <f aca="false">IF((E209="m"),G209," ")</f>
        <v> </v>
      </c>
      <c r="Q209" s="334" t="str">
        <f aca="false">IF((E209="t"),G209," ")</f>
        <v> </v>
      </c>
      <c r="R209" s="334" t="str">
        <f aca="false">IF((E209="a"),G209," ")</f>
        <v> </v>
      </c>
      <c r="S209" s="334" t="str">
        <f aca="false">IF((E209="l"),G209," ")</f>
        <v> </v>
      </c>
      <c r="T209" s="334" t="str">
        <f aca="false">IF((E209="b"),G209," ")</f>
        <v> </v>
      </c>
      <c r="U209" s="334" t="str">
        <f aca="false">IF((E209="i"),G209," ")</f>
        <v> </v>
      </c>
      <c r="V209" s="334" t="str">
        <f aca="false">IF((E209="o"),G209," ")</f>
        <v> </v>
      </c>
      <c r="W209" s="334" t="str">
        <f aca="false">IF((E209="f"),G209," ")</f>
        <v> </v>
      </c>
    </row>
    <row r="210" customFormat="false" ht="12.75" hidden="false" customHeight="false" outlineLevel="0" collapsed="false">
      <c r="A210" s="355"/>
      <c r="E210" s="365" t="str">
        <f aca="false">IF((G210&lt;&gt;0),"Enter Letter"," ")</f>
        <v> </v>
      </c>
      <c r="J210" s="334" t="str">
        <f aca="false">IF((E210="s"),G210," ")</f>
        <v> </v>
      </c>
      <c r="K210" s="334" t="str">
        <f aca="false">IF((E210="d"),G210," ")</f>
        <v> </v>
      </c>
      <c r="L210" s="334" t="str">
        <f aca="false">IF((E210="e"),G210," ")</f>
        <v> </v>
      </c>
      <c r="M210" s="334" t="str">
        <f aca="false">IF((E210="p"),G210," ")</f>
        <v> </v>
      </c>
      <c r="N210" s="334" t="str">
        <f aca="false">IF((E210="r"),G210," ")</f>
        <v> </v>
      </c>
      <c r="O210" s="334" t="str">
        <f aca="false">IF((E210="g"),G210," ")</f>
        <v> </v>
      </c>
      <c r="P210" s="334" t="str">
        <f aca="false">IF((E210="m"),G210," ")</f>
        <v> </v>
      </c>
      <c r="Q210" s="334" t="str">
        <f aca="false">IF((E210="t"),G210," ")</f>
        <v> </v>
      </c>
      <c r="R210" s="334" t="str">
        <f aca="false">IF((E210="a"),G210," ")</f>
        <v> </v>
      </c>
      <c r="S210" s="334" t="str">
        <f aca="false">IF((E210="l"),G210," ")</f>
        <v> </v>
      </c>
      <c r="T210" s="334" t="str">
        <f aca="false">IF((E210="b"),G210," ")</f>
        <v> </v>
      </c>
      <c r="U210" s="334" t="str">
        <f aca="false">IF((E210="i"),G210," ")</f>
        <v> </v>
      </c>
      <c r="V210" s="334" t="str">
        <f aca="false">IF((E210="o"),G210," ")</f>
        <v> </v>
      </c>
      <c r="W210" s="334" t="str">
        <f aca="false">IF((E210="f"),G210," ")</f>
        <v> </v>
      </c>
    </row>
    <row r="211" customFormat="false" ht="12.75" hidden="false" customHeight="false" outlineLevel="0" collapsed="false">
      <c r="A211" s="355"/>
      <c r="E211" s="365" t="str">
        <f aca="false">IF((G211&lt;&gt;0),"Enter Letter"," ")</f>
        <v> </v>
      </c>
      <c r="J211" s="334" t="str">
        <f aca="false">IF((E211="s"),G211," ")</f>
        <v> </v>
      </c>
      <c r="K211" s="334" t="str">
        <f aca="false">IF((E211="d"),G211," ")</f>
        <v> </v>
      </c>
      <c r="L211" s="334" t="str">
        <f aca="false">IF((E211="e"),G211," ")</f>
        <v> </v>
      </c>
      <c r="M211" s="334" t="str">
        <f aca="false">IF((E211="p"),G211," ")</f>
        <v> </v>
      </c>
      <c r="N211" s="334" t="str">
        <f aca="false">IF((E211="r"),G211," ")</f>
        <v> </v>
      </c>
      <c r="O211" s="334" t="str">
        <f aca="false">IF((E211="g"),G211," ")</f>
        <v> </v>
      </c>
      <c r="P211" s="334" t="str">
        <f aca="false">IF((E211="m"),G211," ")</f>
        <v> </v>
      </c>
      <c r="Q211" s="334" t="str">
        <f aca="false">IF((E211="t"),G211," ")</f>
        <v> </v>
      </c>
      <c r="R211" s="334" t="str">
        <f aca="false">IF((E211="a"),G211," ")</f>
        <v> </v>
      </c>
      <c r="S211" s="334" t="str">
        <f aca="false">IF((E211="l"),G211," ")</f>
        <v> </v>
      </c>
      <c r="T211" s="334" t="str">
        <f aca="false">IF((E211="b"),G211," ")</f>
        <v> </v>
      </c>
      <c r="U211" s="334" t="str">
        <f aca="false">IF((E211="i"),G211," ")</f>
        <v> </v>
      </c>
      <c r="V211" s="334" t="str">
        <f aca="false">IF((E211="o"),G211," ")</f>
        <v> </v>
      </c>
      <c r="W211" s="334" t="str">
        <f aca="false">IF((E211="f"),G211," ")</f>
        <v> </v>
      </c>
    </row>
    <row r="212" customFormat="false" ht="12.75" hidden="false" customHeight="false" outlineLevel="0" collapsed="false">
      <c r="A212" s="355"/>
      <c r="E212" s="365" t="str">
        <f aca="false">IF((G212&lt;&gt;0),"Enter Letter"," ")</f>
        <v> </v>
      </c>
      <c r="J212" s="334" t="str">
        <f aca="false">IF((E212="s"),G212," ")</f>
        <v> </v>
      </c>
      <c r="K212" s="334" t="str">
        <f aca="false">IF((E212="d"),G212," ")</f>
        <v> </v>
      </c>
      <c r="L212" s="334" t="str">
        <f aca="false">IF((E212="e"),G212," ")</f>
        <v> </v>
      </c>
      <c r="M212" s="334" t="str">
        <f aca="false">IF((E212="p"),G212," ")</f>
        <v> </v>
      </c>
      <c r="N212" s="334" t="str">
        <f aca="false">IF((E212="r"),G212," ")</f>
        <v> </v>
      </c>
      <c r="O212" s="334" t="str">
        <f aca="false">IF((E212="g"),G212," ")</f>
        <v> </v>
      </c>
      <c r="P212" s="334" t="str">
        <f aca="false">IF((E212="m"),G212," ")</f>
        <v> </v>
      </c>
      <c r="Q212" s="334" t="str">
        <f aca="false">IF((E212="t"),G212," ")</f>
        <v> </v>
      </c>
      <c r="R212" s="334" t="str">
        <f aca="false">IF((E212="a"),G212," ")</f>
        <v> </v>
      </c>
      <c r="S212" s="334" t="str">
        <f aca="false">IF((E212="l"),G212," ")</f>
        <v> </v>
      </c>
      <c r="T212" s="334" t="str">
        <f aca="false">IF((E212="b"),G212," ")</f>
        <v> </v>
      </c>
      <c r="U212" s="334" t="str">
        <f aca="false">IF((E212="i"),G212," ")</f>
        <v> </v>
      </c>
      <c r="V212" s="334" t="str">
        <f aca="false">IF((E212="o"),G212," ")</f>
        <v> </v>
      </c>
      <c r="W212" s="334" t="str">
        <f aca="false">IF((E212="f"),G212," ")</f>
        <v> </v>
      </c>
    </row>
    <row r="213" customFormat="false" ht="12.75" hidden="false" customHeight="false" outlineLevel="0" collapsed="false">
      <c r="A213" s="355"/>
      <c r="E213" s="365" t="str">
        <f aca="false">IF((G213&lt;&gt;0),"Enter Letter"," ")</f>
        <v> </v>
      </c>
      <c r="J213" s="334" t="str">
        <f aca="false">IF((E213="s"),G213," ")</f>
        <v> </v>
      </c>
      <c r="K213" s="334" t="str">
        <f aca="false">IF((E213="d"),G213," ")</f>
        <v> </v>
      </c>
      <c r="L213" s="334" t="str">
        <f aca="false">IF((E213="e"),G213," ")</f>
        <v> </v>
      </c>
      <c r="M213" s="334" t="str">
        <f aca="false">IF((E213="p"),G213," ")</f>
        <v> </v>
      </c>
      <c r="N213" s="334" t="str">
        <f aca="false">IF((E213="r"),G213," ")</f>
        <v> </v>
      </c>
      <c r="O213" s="334" t="str">
        <f aca="false">IF((E213="g"),G213," ")</f>
        <v> </v>
      </c>
      <c r="P213" s="334" t="str">
        <f aca="false">IF((E213="m"),G213," ")</f>
        <v> </v>
      </c>
      <c r="Q213" s="334" t="str">
        <f aca="false">IF((E213="t"),G213," ")</f>
        <v> </v>
      </c>
      <c r="R213" s="334" t="str">
        <f aca="false">IF((E213="a"),G213," ")</f>
        <v> </v>
      </c>
      <c r="S213" s="334" t="str">
        <f aca="false">IF((E213="l"),G213," ")</f>
        <v> </v>
      </c>
      <c r="T213" s="334" t="str">
        <f aca="false">IF((E213="b"),G213," ")</f>
        <v> </v>
      </c>
      <c r="U213" s="334" t="str">
        <f aca="false">IF((E213="i"),G213," ")</f>
        <v> </v>
      </c>
      <c r="V213" s="334" t="str">
        <f aca="false">IF((E213="o"),G213," ")</f>
        <v> </v>
      </c>
      <c r="W213" s="334" t="str">
        <f aca="false">IF((E213="f"),G213," ")</f>
        <v> </v>
      </c>
    </row>
    <row r="214" customFormat="false" ht="12.75" hidden="false" customHeight="false" outlineLevel="0" collapsed="false">
      <c r="A214" s="355"/>
      <c r="E214" s="365" t="str">
        <f aca="false">IF((G214&lt;&gt;0),"Enter Letter"," ")</f>
        <v> </v>
      </c>
      <c r="J214" s="334" t="str">
        <f aca="false">IF((E214="s"),G214," ")</f>
        <v> </v>
      </c>
      <c r="K214" s="334" t="str">
        <f aca="false">IF((E214="d"),G214," ")</f>
        <v> </v>
      </c>
      <c r="L214" s="334" t="str">
        <f aca="false">IF((E214="e"),G214," ")</f>
        <v> </v>
      </c>
      <c r="M214" s="334" t="str">
        <f aca="false">IF((E214="p"),G214," ")</f>
        <v> </v>
      </c>
      <c r="N214" s="334" t="str">
        <f aca="false">IF((E214="r"),G214," ")</f>
        <v> </v>
      </c>
      <c r="O214" s="334" t="str">
        <f aca="false">IF((E214="g"),G214," ")</f>
        <v> </v>
      </c>
      <c r="P214" s="334" t="str">
        <f aca="false">IF((E214="m"),G214," ")</f>
        <v> </v>
      </c>
      <c r="Q214" s="334" t="str">
        <f aca="false">IF((E214="t"),G214," ")</f>
        <v> </v>
      </c>
      <c r="R214" s="334" t="str">
        <f aca="false">IF((E214="a"),G214," ")</f>
        <v> </v>
      </c>
      <c r="S214" s="334" t="str">
        <f aca="false">IF((E214="l"),G214," ")</f>
        <v> </v>
      </c>
      <c r="T214" s="334" t="str">
        <f aca="false">IF((E214="b"),G214," ")</f>
        <v> </v>
      </c>
      <c r="U214" s="334" t="str">
        <f aca="false">IF((E214="i"),G214," ")</f>
        <v> </v>
      </c>
      <c r="V214" s="334" t="str">
        <f aca="false">IF((E214="o"),G214," ")</f>
        <v> </v>
      </c>
      <c r="W214" s="334" t="str">
        <f aca="false">IF((E214="f"),G214," ")</f>
        <v> </v>
      </c>
    </row>
    <row r="215" customFormat="false" ht="12.75" hidden="false" customHeight="false" outlineLevel="0" collapsed="false">
      <c r="A215" s="355"/>
      <c r="E215" s="365" t="str">
        <f aca="false">IF((G215&lt;&gt;0),"Enter Letter"," ")</f>
        <v> </v>
      </c>
      <c r="J215" s="334" t="str">
        <f aca="false">IF((E215="s"),G215," ")</f>
        <v> </v>
      </c>
      <c r="K215" s="334" t="str">
        <f aca="false">IF((E215="d"),G215," ")</f>
        <v> </v>
      </c>
      <c r="L215" s="334" t="str">
        <f aca="false">IF((E215="e"),G215," ")</f>
        <v> </v>
      </c>
      <c r="M215" s="334" t="str">
        <f aca="false">IF((E215="p"),G215," ")</f>
        <v> </v>
      </c>
      <c r="N215" s="334" t="str">
        <f aca="false">IF((E215="r"),G215," ")</f>
        <v> </v>
      </c>
      <c r="O215" s="334" t="str">
        <f aca="false">IF((E215="g"),G215," ")</f>
        <v> </v>
      </c>
      <c r="P215" s="334" t="str">
        <f aca="false">IF((E215="m"),G215," ")</f>
        <v> </v>
      </c>
      <c r="Q215" s="334" t="str">
        <f aca="false">IF((E215="t"),G215," ")</f>
        <v> </v>
      </c>
      <c r="R215" s="334" t="str">
        <f aca="false">IF((E215="a"),G215," ")</f>
        <v> </v>
      </c>
      <c r="S215" s="334" t="str">
        <f aca="false">IF((E215="l"),G215," ")</f>
        <v> </v>
      </c>
      <c r="T215" s="334" t="str">
        <f aca="false">IF((E215="b"),G215," ")</f>
        <v> </v>
      </c>
      <c r="U215" s="334" t="str">
        <f aca="false">IF((E215="i"),G215," ")</f>
        <v> </v>
      </c>
      <c r="V215" s="334" t="str">
        <f aca="false">IF((E215="o"),G215," ")</f>
        <v> </v>
      </c>
      <c r="W215" s="334" t="str">
        <f aca="false">IF((E215="f"),G215," ")</f>
        <v> </v>
      </c>
    </row>
    <row r="216" customFormat="false" ht="12.75" hidden="false" customHeight="false" outlineLevel="0" collapsed="false">
      <c r="A216" s="355"/>
      <c r="E216" s="365" t="str">
        <f aca="false">IF((G216&lt;&gt;0),"Enter Letter"," ")</f>
        <v> </v>
      </c>
      <c r="J216" s="334" t="str">
        <f aca="false">IF((E216="s"),G216," ")</f>
        <v> </v>
      </c>
      <c r="K216" s="334" t="str">
        <f aca="false">IF((E216="d"),G216," ")</f>
        <v> </v>
      </c>
      <c r="L216" s="334" t="str">
        <f aca="false">IF((E216="e"),G216," ")</f>
        <v> </v>
      </c>
      <c r="M216" s="334" t="str">
        <f aca="false">IF((E216="p"),G216," ")</f>
        <v> </v>
      </c>
      <c r="N216" s="334" t="str">
        <f aca="false">IF((E216="r"),G216," ")</f>
        <v> </v>
      </c>
      <c r="O216" s="334" t="str">
        <f aca="false">IF((E216="g"),G216," ")</f>
        <v> </v>
      </c>
      <c r="P216" s="334" t="str">
        <f aca="false">IF((E216="m"),G216," ")</f>
        <v> </v>
      </c>
      <c r="Q216" s="334" t="str">
        <f aca="false">IF((E216="t"),G216," ")</f>
        <v> </v>
      </c>
      <c r="R216" s="334" t="str">
        <f aca="false">IF((E216="a"),G216," ")</f>
        <v> </v>
      </c>
      <c r="S216" s="334" t="str">
        <f aca="false">IF((E216="l"),G216," ")</f>
        <v> </v>
      </c>
      <c r="T216" s="334" t="str">
        <f aca="false">IF((E216="b"),G216," ")</f>
        <v> </v>
      </c>
      <c r="U216" s="334" t="str">
        <f aca="false">IF((E216="i"),G216," ")</f>
        <v> </v>
      </c>
      <c r="V216" s="334" t="str">
        <f aca="false">IF((E216="o"),G216," ")</f>
        <v> </v>
      </c>
      <c r="W216" s="334" t="str">
        <f aca="false">IF((E216="f"),G216," ")</f>
        <v> </v>
      </c>
    </row>
    <row r="217" customFormat="false" ht="12.75" hidden="false" customHeight="false" outlineLevel="0" collapsed="false">
      <c r="A217" s="355"/>
      <c r="E217" s="365" t="str">
        <f aca="false">IF((G217&lt;&gt;0),"Enter Letter"," ")</f>
        <v> </v>
      </c>
      <c r="J217" s="334" t="str">
        <f aca="false">IF((E217="s"),G217," ")</f>
        <v> </v>
      </c>
      <c r="K217" s="334" t="str">
        <f aca="false">IF((E217="d"),G217," ")</f>
        <v> </v>
      </c>
      <c r="L217" s="334" t="str">
        <f aca="false">IF((E217="e"),G217," ")</f>
        <v> </v>
      </c>
      <c r="M217" s="334" t="str">
        <f aca="false">IF((E217="p"),G217," ")</f>
        <v> </v>
      </c>
      <c r="N217" s="334" t="str">
        <f aca="false">IF((E217="r"),G217," ")</f>
        <v> </v>
      </c>
      <c r="O217" s="334" t="str">
        <f aca="false">IF((E217="g"),G217," ")</f>
        <v> </v>
      </c>
      <c r="P217" s="334" t="str">
        <f aca="false">IF((E217="m"),G217," ")</f>
        <v> </v>
      </c>
      <c r="Q217" s="334" t="str">
        <f aca="false">IF((E217="t"),G217," ")</f>
        <v> </v>
      </c>
      <c r="R217" s="334" t="str">
        <f aca="false">IF((E217="a"),G217," ")</f>
        <v> </v>
      </c>
      <c r="S217" s="334" t="str">
        <f aca="false">IF((E217="l"),G217," ")</f>
        <v> </v>
      </c>
      <c r="T217" s="334" t="str">
        <f aca="false">IF((E217="b"),G217," ")</f>
        <v> </v>
      </c>
      <c r="U217" s="334" t="str">
        <f aca="false">IF((E217="i"),G217," ")</f>
        <v> </v>
      </c>
      <c r="V217" s="334" t="str">
        <f aca="false">IF((E217="o"),G217," ")</f>
        <v> </v>
      </c>
      <c r="W217" s="334" t="str">
        <f aca="false">IF((E217="f"),G217," ")</f>
        <v> </v>
      </c>
    </row>
    <row r="218" customFormat="false" ht="12.75" hidden="false" customHeight="false" outlineLevel="0" collapsed="false">
      <c r="A218" s="355"/>
      <c r="E218" s="365" t="str">
        <f aca="false">IF((G218&lt;&gt;0),"Enter Letter"," ")</f>
        <v> </v>
      </c>
      <c r="J218" s="334" t="str">
        <f aca="false">IF((E218="s"),G218," ")</f>
        <v> </v>
      </c>
      <c r="K218" s="334" t="str">
        <f aca="false">IF((E218="d"),G218," ")</f>
        <v> </v>
      </c>
      <c r="L218" s="334" t="str">
        <f aca="false">IF((E218="e"),G218," ")</f>
        <v> </v>
      </c>
      <c r="M218" s="334" t="str">
        <f aca="false">IF((E218="p"),G218," ")</f>
        <v> </v>
      </c>
      <c r="N218" s="334" t="str">
        <f aca="false">IF((E218="r"),G218," ")</f>
        <v> </v>
      </c>
      <c r="O218" s="334" t="str">
        <f aca="false">IF((E218="g"),G218," ")</f>
        <v> </v>
      </c>
      <c r="P218" s="334" t="str">
        <f aca="false">IF((E218="m"),G218," ")</f>
        <v> </v>
      </c>
      <c r="Q218" s="334" t="str">
        <f aca="false">IF((E218="t"),G218," ")</f>
        <v> </v>
      </c>
      <c r="R218" s="334" t="str">
        <f aca="false">IF((E218="a"),G218," ")</f>
        <v> </v>
      </c>
      <c r="S218" s="334" t="str">
        <f aca="false">IF((E218="l"),G218," ")</f>
        <v> </v>
      </c>
      <c r="T218" s="334" t="str">
        <f aca="false">IF((E218="b"),G218," ")</f>
        <v> </v>
      </c>
      <c r="U218" s="334" t="str">
        <f aca="false">IF((E218="i"),G218," ")</f>
        <v> </v>
      </c>
      <c r="V218" s="334" t="str">
        <f aca="false">IF((E218="o"),G218," ")</f>
        <v> </v>
      </c>
      <c r="W218" s="334" t="str">
        <f aca="false">IF((E218="f"),G218," ")</f>
        <v> </v>
      </c>
    </row>
    <row r="219" customFormat="false" ht="12.75" hidden="false" customHeight="false" outlineLevel="0" collapsed="false">
      <c r="A219" s="355"/>
      <c r="E219" s="365" t="str">
        <f aca="false">IF((G219&lt;&gt;0),"Enter Letter"," ")</f>
        <v> </v>
      </c>
      <c r="J219" s="334" t="str">
        <f aca="false">IF((E219="s"),G219," ")</f>
        <v> </v>
      </c>
      <c r="K219" s="334" t="str">
        <f aca="false">IF((E219="d"),G219," ")</f>
        <v> </v>
      </c>
      <c r="L219" s="334" t="str">
        <f aca="false">IF((E219="e"),G219," ")</f>
        <v> </v>
      </c>
      <c r="M219" s="334" t="str">
        <f aca="false">IF((E219="p"),G219," ")</f>
        <v> </v>
      </c>
      <c r="N219" s="334" t="str">
        <f aca="false">IF((E219="r"),G219," ")</f>
        <v> </v>
      </c>
      <c r="O219" s="334" t="str">
        <f aca="false">IF((E219="g"),G219," ")</f>
        <v> </v>
      </c>
      <c r="P219" s="334" t="str">
        <f aca="false">IF((E219="m"),G219," ")</f>
        <v> </v>
      </c>
      <c r="Q219" s="334" t="str">
        <f aca="false">IF((E219="t"),G219," ")</f>
        <v> </v>
      </c>
      <c r="R219" s="334" t="str">
        <f aca="false">IF((E219="a"),G219," ")</f>
        <v> </v>
      </c>
      <c r="S219" s="334" t="str">
        <f aca="false">IF((E219="l"),G219," ")</f>
        <v> </v>
      </c>
      <c r="T219" s="334" t="str">
        <f aca="false">IF((E219="b"),G219," ")</f>
        <v> </v>
      </c>
      <c r="U219" s="334" t="str">
        <f aca="false">IF((E219="i"),G219," ")</f>
        <v> </v>
      </c>
      <c r="V219" s="334" t="str">
        <f aca="false">IF((E219="o"),G219," ")</f>
        <v> </v>
      </c>
      <c r="W219" s="334" t="str">
        <f aca="false">IF((E219="f"),G219," ")</f>
        <v> </v>
      </c>
    </row>
    <row r="220" customFormat="false" ht="12.75" hidden="false" customHeight="false" outlineLevel="0" collapsed="false">
      <c r="A220" s="355"/>
      <c r="E220" s="365" t="str">
        <f aca="false">IF((G220&lt;&gt;0),"Enter Letter"," ")</f>
        <v> </v>
      </c>
      <c r="J220" s="334" t="str">
        <f aca="false">IF((E220="s"),G220," ")</f>
        <v> </v>
      </c>
      <c r="K220" s="334" t="str">
        <f aca="false">IF((E220="d"),G220," ")</f>
        <v> </v>
      </c>
      <c r="L220" s="334" t="str">
        <f aca="false">IF((E220="e"),G220," ")</f>
        <v> </v>
      </c>
      <c r="M220" s="334" t="str">
        <f aca="false">IF((E220="p"),G220," ")</f>
        <v> </v>
      </c>
      <c r="N220" s="334" t="str">
        <f aca="false">IF((E220="r"),G220," ")</f>
        <v> </v>
      </c>
      <c r="O220" s="334" t="str">
        <f aca="false">IF((E220="g"),G220," ")</f>
        <v> </v>
      </c>
      <c r="P220" s="334" t="str">
        <f aca="false">IF((E220="m"),G220," ")</f>
        <v> </v>
      </c>
      <c r="Q220" s="334" t="str">
        <f aca="false">IF((E220="t"),G220," ")</f>
        <v> </v>
      </c>
      <c r="R220" s="334" t="str">
        <f aca="false">IF((E220="a"),G220," ")</f>
        <v> </v>
      </c>
      <c r="S220" s="334" t="str">
        <f aca="false">IF((E220="l"),G220," ")</f>
        <v> </v>
      </c>
      <c r="T220" s="334" t="str">
        <f aca="false">IF((E220="b"),G220," ")</f>
        <v> </v>
      </c>
      <c r="U220" s="334" t="str">
        <f aca="false">IF((E220="i"),G220," ")</f>
        <v> </v>
      </c>
      <c r="V220" s="334" t="str">
        <f aca="false">IF((E220="o"),G220," ")</f>
        <v> </v>
      </c>
      <c r="W220" s="334" t="str">
        <f aca="false">IF((E220="f"),G220," ")</f>
        <v> </v>
      </c>
    </row>
    <row r="221" customFormat="false" ht="12.75" hidden="false" customHeight="false" outlineLevel="0" collapsed="false">
      <c r="A221" s="355"/>
      <c r="E221" s="365" t="str">
        <f aca="false">IF((G221&lt;&gt;0),"Enter Letter"," ")</f>
        <v> </v>
      </c>
      <c r="J221" s="334" t="str">
        <f aca="false">IF((E221="s"),G221," ")</f>
        <v> </v>
      </c>
      <c r="K221" s="334" t="str">
        <f aca="false">IF((E221="d"),G221," ")</f>
        <v> </v>
      </c>
      <c r="L221" s="334" t="str">
        <f aca="false">IF((E221="e"),G221," ")</f>
        <v> </v>
      </c>
      <c r="M221" s="334" t="str">
        <f aca="false">IF((E221="p"),G221," ")</f>
        <v> </v>
      </c>
      <c r="N221" s="334" t="str">
        <f aca="false">IF((E221="r"),G221," ")</f>
        <v> </v>
      </c>
      <c r="O221" s="334" t="str">
        <f aca="false">IF((E221="g"),G221," ")</f>
        <v> </v>
      </c>
      <c r="P221" s="334" t="str">
        <f aca="false">IF((E221="m"),G221," ")</f>
        <v> </v>
      </c>
      <c r="Q221" s="334" t="str">
        <f aca="false">IF((E221="t"),G221," ")</f>
        <v> </v>
      </c>
      <c r="R221" s="334" t="str">
        <f aca="false">IF((E221="a"),G221," ")</f>
        <v> </v>
      </c>
      <c r="S221" s="334" t="str">
        <f aca="false">IF((E221="l"),G221," ")</f>
        <v> </v>
      </c>
      <c r="T221" s="334" t="str">
        <f aca="false">IF((E221="b"),G221," ")</f>
        <v> </v>
      </c>
      <c r="U221" s="334" t="str">
        <f aca="false">IF((E221="i"),G221," ")</f>
        <v> </v>
      </c>
      <c r="V221" s="334" t="str">
        <f aca="false">IF((E221="o"),G221," ")</f>
        <v> </v>
      </c>
      <c r="W221" s="334" t="str">
        <f aca="false">IF((E221="f"),G221," ")</f>
        <v> </v>
      </c>
    </row>
    <row r="222" customFormat="false" ht="12.75" hidden="false" customHeight="false" outlineLevel="0" collapsed="false">
      <c r="A222" s="355"/>
      <c r="E222" s="365" t="str">
        <f aca="false">IF((G222&lt;&gt;0),"Enter Letter"," ")</f>
        <v> </v>
      </c>
      <c r="J222" s="334" t="str">
        <f aca="false">IF((E222="s"),G222," ")</f>
        <v> </v>
      </c>
      <c r="K222" s="334" t="str">
        <f aca="false">IF((E222="d"),G222," ")</f>
        <v> </v>
      </c>
      <c r="L222" s="334" t="str">
        <f aca="false">IF((E222="e"),G222," ")</f>
        <v> </v>
      </c>
      <c r="M222" s="334" t="str">
        <f aca="false">IF((E222="p"),G222," ")</f>
        <v> </v>
      </c>
      <c r="N222" s="334" t="str">
        <f aca="false">IF((E222="r"),G222," ")</f>
        <v> </v>
      </c>
      <c r="O222" s="334" t="str">
        <f aca="false">IF((E222="g"),G222," ")</f>
        <v> </v>
      </c>
      <c r="P222" s="334" t="str">
        <f aca="false">IF((E222="m"),G222," ")</f>
        <v> </v>
      </c>
      <c r="Q222" s="334" t="str">
        <f aca="false">IF((E222="t"),G222," ")</f>
        <v> </v>
      </c>
      <c r="R222" s="334" t="str">
        <f aca="false">IF((E222="a"),G222," ")</f>
        <v> </v>
      </c>
      <c r="S222" s="334" t="str">
        <f aca="false">IF((E222="l"),G222," ")</f>
        <v> </v>
      </c>
      <c r="T222" s="334" t="str">
        <f aca="false">IF((E222="b"),G222," ")</f>
        <v> </v>
      </c>
      <c r="U222" s="334" t="str">
        <f aca="false">IF((E222="i"),G222," ")</f>
        <v> </v>
      </c>
      <c r="V222" s="334" t="str">
        <f aca="false">IF((E222="o"),G222," ")</f>
        <v> </v>
      </c>
      <c r="W222" s="334" t="str">
        <f aca="false">IF((E222="f"),G222," ")</f>
        <v> </v>
      </c>
    </row>
    <row r="223" customFormat="false" ht="12.75" hidden="false" customHeight="false" outlineLevel="0" collapsed="false">
      <c r="A223" s="355"/>
      <c r="E223" s="365" t="str">
        <f aca="false">IF((G223&lt;&gt;0),"Enter Letter"," ")</f>
        <v> </v>
      </c>
      <c r="J223" s="334" t="str">
        <f aca="false">IF((E223="s"),G223," ")</f>
        <v> </v>
      </c>
      <c r="K223" s="334" t="str">
        <f aca="false">IF((E223="d"),G223," ")</f>
        <v> </v>
      </c>
      <c r="L223" s="334" t="str">
        <f aca="false">IF((E223="e"),G223," ")</f>
        <v> </v>
      </c>
      <c r="M223" s="334" t="str">
        <f aca="false">IF((E223="p"),G223," ")</f>
        <v> </v>
      </c>
      <c r="N223" s="334" t="str">
        <f aca="false">IF((E223="r"),G223," ")</f>
        <v> </v>
      </c>
      <c r="O223" s="334" t="str">
        <f aca="false">IF((E223="g"),G223," ")</f>
        <v> </v>
      </c>
      <c r="P223" s="334" t="str">
        <f aca="false">IF((E223="m"),G223," ")</f>
        <v> </v>
      </c>
      <c r="Q223" s="334" t="str">
        <f aca="false">IF((E223="t"),G223," ")</f>
        <v> </v>
      </c>
      <c r="R223" s="334" t="str">
        <f aca="false">IF((E223="a"),G223," ")</f>
        <v> </v>
      </c>
      <c r="S223" s="334" t="str">
        <f aca="false">IF((E223="l"),G223," ")</f>
        <v> </v>
      </c>
      <c r="T223" s="334" t="str">
        <f aca="false">IF((E223="b"),G223," ")</f>
        <v> </v>
      </c>
      <c r="U223" s="334" t="str">
        <f aca="false">IF((E223="i"),G223," ")</f>
        <v> </v>
      </c>
      <c r="V223" s="334" t="str">
        <f aca="false">IF((E223="o"),G223," ")</f>
        <v> </v>
      </c>
      <c r="W223" s="334" t="str">
        <f aca="false">IF((E223="f"),G223," ")</f>
        <v> </v>
      </c>
    </row>
    <row r="224" customFormat="false" ht="12.75" hidden="false" customHeight="false" outlineLevel="0" collapsed="false">
      <c r="A224" s="355"/>
      <c r="E224" s="365" t="str">
        <f aca="false">IF((G224&lt;&gt;0),"Enter Letter"," ")</f>
        <v> </v>
      </c>
      <c r="J224" s="334" t="str">
        <f aca="false">IF((E224="s"),G224," ")</f>
        <v> </v>
      </c>
      <c r="K224" s="334" t="str">
        <f aca="false">IF((E224="d"),G224," ")</f>
        <v> </v>
      </c>
      <c r="L224" s="334" t="str">
        <f aca="false">IF((E224="e"),G224," ")</f>
        <v> </v>
      </c>
      <c r="M224" s="334" t="str">
        <f aca="false">IF((E224="p"),G224," ")</f>
        <v> </v>
      </c>
      <c r="N224" s="334" t="str">
        <f aca="false">IF((E224="r"),G224," ")</f>
        <v> </v>
      </c>
      <c r="O224" s="334" t="str">
        <f aca="false">IF((E224="g"),G224," ")</f>
        <v> </v>
      </c>
      <c r="P224" s="334" t="str">
        <f aca="false">IF((E224="m"),G224," ")</f>
        <v> </v>
      </c>
      <c r="Q224" s="334" t="str">
        <f aca="false">IF((E224="t"),G224," ")</f>
        <v> </v>
      </c>
      <c r="R224" s="334" t="str">
        <f aca="false">IF((E224="a"),G224," ")</f>
        <v> </v>
      </c>
      <c r="S224" s="334" t="str">
        <f aca="false">IF((E224="l"),G224," ")</f>
        <v> </v>
      </c>
      <c r="T224" s="334" t="str">
        <f aca="false">IF((E224="b"),G224," ")</f>
        <v> </v>
      </c>
      <c r="U224" s="334" t="str">
        <f aca="false">IF((E224="i"),G224," ")</f>
        <v> </v>
      </c>
      <c r="V224" s="334" t="str">
        <f aca="false">IF((E224="o"),G224," ")</f>
        <v> </v>
      </c>
      <c r="W224" s="334" t="str">
        <f aca="false">IF((E224="f"),G224," ")</f>
        <v> </v>
      </c>
    </row>
    <row r="225" customFormat="false" ht="12.75" hidden="false" customHeight="false" outlineLevel="0" collapsed="false">
      <c r="A225" s="355"/>
      <c r="E225" s="365" t="str">
        <f aca="false">IF((G225&lt;&gt;0),"Enter Letter"," ")</f>
        <v> </v>
      </c>
      <c r="J225" s="334" t="str">
        <f aca="false">IF((E225="s"),G225," ")</f>
        <v> </v>
      </c>
      <c r="K225" s="334" t="str">
        <f aca="false">IF((E225="d"),G225," ")</f>
        <v> </v>
      </c>
      <c r="L225" s="334" t="str">
        <f aca="false">IF((E225="e"),G225," ")</f>
        <v> </v>
      </c>
      <c r="M225" s="334" t="str">
        <f aca="false">IF((E225="p"),G225," ")</f>
        <v> </v>
      </c>
      <c r="N225" s="334" t="str">
        <f aca="false">IF((E225="r"),G225," ")</f>
        <v> </v>
      </c>
      <c r="O225" s="334" t="str">
        <f aca="false">IF((E225="g"),G225," ")</f>
        <v> </v>
      </c>
      <c r="P225" s="334" t="str">
        <f aca="false">IF((E225="m"),G225," ")</f>
        <v> </v>
      </c>
      <c r="Q225" s="334" t="str">
        <f aca="false">IF((E225="t"),G225," ")</f>
        <v> </v>
      </c>
      <c r="R225" s="334" t="str">
        <f aca="false">IF((E225="a"),G225," ")</f>
        <v> </v>
      </c>
      <c r="S225" s="334" t="str">
        <f aca="false">IF((E225="l"),G225," ")</f>
        <v> </v>
      </c>
      <c r="T225" s="334" t="str">
        <f aca="false">IF((E225="b"),G225," ")</f>
        <v> </v>
      </c>
      <c r="U225" s="334" t="str">
        <f aca="false">IF((E225="i"),G225," ")</f>
        <v> </v>
      </c>
      <c r="V225" s="334" t="str">
        <f aca="false">IF((E225="o"),G225," ")</f>
        <v> </v>
      </c>
      <c r="W225" s="334" t="str">
        <f aca="false">IF((E225="f"),G225," ")</f>
        <v> </v>
      </c>
    </row>
    <row r="226" customFormat="false" ht="12.75" hidden="false" customHeight="false" outlineLevel="0" collapsed="false">
      <c r="A226" s="355"/>
      <c r="E226" s="365" t="str">
        <f aca="false">IF((G226&lt;&gt;0),"Enter Letter"," ")</f>
        <v> </v>
      </c>
      <c r="J226" s="334" t="str">
        <f aca="false">IF((E226="s"),G226," ")</f>
        <v> </v>
      </c>
      <c r="K226" s="334" t="str">
        <f aca="false">IF((E226="d"),G226," ")</f>
        <v> </v>
      </c>
      <c r="L226" s="334" t="str">
        <f aca="false">IF((E226="e"),G226," ")</f>
        <v> </v>
      </c>
      <c r="M226" s="334" t="str">
        <f aca="false">IF((E226="p"),G226," ")</f>
        <v> </v>
      </c>
      <c r="N226" s="334" t="str">
        <f aca="false">IF((E226="r"),G226," ")</f>
        <v> </v>
      </c>
      <c r="O226" s="334" t="str">
        <f aca="false">IF((E226="g"),G226," ")</f>
        <v> </v>
      </c>
      <c r="P226" s="334" t="str">
        <f aca="false">IF((E226="m"),G226," ")</f>
        <v> </v>
      </c>
      <c r="Q226" s="334" t="str">
        <f aca="false">IF((E226="t"),G226," ")</f>
        <v> </v>
      </c>
      <c r="R226" s="334" t="str">
        <f aca="false">IF((E226="a"),G226," ")</f>
        <v> </v>
      </c>
      <c r="S226" s="334" t="str">
        <f aca="false">IF((E226="l"),G226," ")</f>
        <v> </v>
      </c>
      <c r="T226" s="334" t="str">
        <f aca="false">IF((E226="b"),G226," ")</f>
        <v> </v>
      </c>
      <c r="U226" s="334" t="str">
        <f aca="false">IF((E226="i"),G226," ")</f>
        <v> </v>
      </c>
      <c r="V226" s="334" t="str">
        <f aca="false">IF((E226="o"),G226," ")</f>
        <v> </v>
      </c>
      <c r="W226" s="334" t="str">
        <f aca="false">IF((E226="f"),G226," ")</f>
        <v> </v>
      </c>
    </row>
    <row r="227" customFormat="false" ht="12.75" hidden="false" customHeight="false" outlineLevel="0" collapsed="false">
      <c r="A227" s="355"/>
      <c r="E227" s="365" t="str">
        <f aca="false">IF((G227&lt;&gt;0),"Enter Letter"," ")</f>
        <v> </v>
      </c>
      <c r="J227" s="334" t="str">
        <f aca="false">IF((E227="s"),G227," ")</f>
        <v> </v>
      </c>
      <c r="K227" s="334" t="str">
        <f aca="false">IF((E227="d"),G227," ")</f>
        <v> </v>
      </c>
      <c r="L227" s="334" t="str">
        <f aca="false">IF((E227="e"),G227," ")</f>
        <v> </v>
      </c>
      <c r="M227" s="334" t="str">
        <f aca="false">IF((E227="p"),G227," ")</f>
        <v> </v>
      </c>
      <c r="N227" s="334" t="str">
        <f aca="false">IF((E227="r"),G227," ")</f>
        <v> </v>
      </c>
      <c r="O227" s="334" t="str">
        <f aca="false">IF((E227="g"),G227," ")</f>
        <v> </v>
      </c>
      <c r="P227" s="334" t="str">
        <f aca="false">IF((E227="m"),G227," ")</f>
        <v> </v>
      </c>
      <c r="Q227" s="334" t="str">
        <f aca="false">IF((E227="t"),G227," ")</f>
        <v> </v>
      </c>
      <c r="R227" s="334" t="str">
        <f aca="false">IF((E227="a"),G227," ")</f>
        <v> </v>
      </c>
      <c r="S227" s="334" t="str">
        <f aca="false">IF((E227="l"),G227," ")</f>
        <v> </v>
      </c>
      <c r="T227" s="334" t="str">
        <f aca="false">IF((E227="b"),G227," ")</f>
        <v> </v>
      </c>
      <c r="U227" s="334" t="str">
        <f aca="false">IF((E227="i"),G227," ")</f>
        <v> </v>
      </c>
      <c r="V227" s="334" t="str">
        <f aca="false">IF((E227="o"),G227," ")</f>
        <v> </v>
      </c>
      <c r="W227" s="334" t="str">
        <f aca="false">IF((E227="f"),G227," ")</f>
        <v> </v>
      </c>
    </row>
    <row r="228" customFormat="false" ht="12.75" hidden="false" customHeight="false" outlineLevel="0" collapsed="false">
      <c r="A228" s="355"/>
      <c r="E228" s="365" t="str">
        <f aca="false">IF((G228&lt;&gt;0),"Enter Letter"," ")</f>
        <v> </v>
      </c>
      <c r="J228" s="334" t="str">
        <f aca="false">IF((E228="s"),G228," ")</f>
        <v> </v>
      </c>
      <c r="K228" s="334" t="str">
        <f aca="false">IF((E228="d"),G228," ")</f>
        <v> </v>
      </c>
      <c r="L228" s="334" t="str">
        <f aca="false">IF((E228="e"),G228," ")</f>
        <v> </v>
      </c>
      <c r="M228" s="334" t="str">
        <f aca="false">IF((E228="p"),G228," ")</f>
        <v> </v>
      </c>
      <c r="N228" s="334" t="str">
        <f aca="false">IF((E228="r"),G228," ")</f>
        <v> </v>
      </c>
      <c r="O228" s="334" t="str">
        <f aca="false">IF((E228="g"),G228," ")</f>
        <v> </v>
      </c>
      <c r="P228" s="334" t="str">
        <f aca="false">IF((E228="m"),G228," ")</f>
        <v> </v>
      </c>
      <c r="Q228" s="334" t="str">
        <f aca="false">IF((E228="t"),G228," ")</f>
        <v> </v>
      </c>
      <c r="R228" s="334" t="str">
        <f aca="false">IF((E228="a"),G228," ")</f>
        <v> </v>
      </c>
      <c r="S228" s="334" t="str">
        <f aca="false">IF((E228="l"),G228," ")</f>
        <v> </v>
      </c>
      <c r="T228" s="334" t="str">
        <f aca="false">IF((E228="b"),G228," ")</f>
        <v> </v>
      </c>
      <c r="U228" s="334" t="str">
        <f aca="false">IF((E228="i"),G228," ")</f>
        <v> </v>
      </c>
      <c r="V228" s="334" t="str">
        <f aca="false">IF((E228="o"),G228," ")</f>
        <v> </v>
      </c>
      <c r="W228" s="334" t="str">
        <f aca="false">IF((E228="f"),G228," ")</f>
        <v> </v>
      </c>
    </row>
    <row r="229" customFormat="false" ht="12.75" hidden="false" customHeight="false" outlineLevel="0" collapsed="false">
      <c r="A229" s="355"/>
      <c r="E229" s="365" t="str">
        <f aca="false">IF((G229&lt;&gt;0),"Enter Letter"," ")</f>
        <v> </v>
      </c>
      <c r="J229" s="334" t="str">
        <f aca="false">IF((E229="s"),G229," ")</f>
        <v> </v>
      </c>
      <c r="K229" s="334" t="str">
        <f aca="false">IF((E229="d"),G229," ")</f>
        <v> </v>
      </c>
      <c r="L229" s="334" t="str">
        <f aca="false">IF((E229="e"),G229," ")</f>
        <v> </v>
      </c>
      <c r="M229" s="334" t="str">
        <f aca="false">IF((E229="p"),G229," ")</f>
        <v> </v>
      </c>
      <c r="N229" s="334" t="str">
        <f aca="false">IF((E229="r"),G229," ")</f>
        <v> </v>
      </c>
      <c r="O229" s="334" t="str">
        <f aca="false">IF((E229="g"),G229," ")</f>
        <v> </v>
      </c>
      <c r="P229" s="334" t="str">
        <f aca="false">IF((E229="m"),G229," ")</f>
        <v> </v>
      </c>
      <c r="Q229" s="334" t="str">
        <f aca="false">IF((E229="t"),G229," ")</f>
        <v> </v>
      </c>
      <c r="R229" s="334" t="str">
        <f aca="false">IF((E229="a"),G229," ")</f>
        <v> </v>
      </c>
      <c r="S229" s="334" t="str">
        <f aca="false">IF((E229="l"),G229," ")</f>
        <v> </v>
      </c>
      <c r="T229" s="334" t="str">
        <f aca="false">IF((E229="b"),G229," ")</f>
        <v> </v>
      </c>
      <c r="U229" s="334" t="str">
        <f aca="false">IF((E229="i"),G229," ")</f>
        <v> </v>
      </c>
      <c r="V229" s="334" t="str">
        <f aca="false">IF((E229="o"),G229," ")</f>
        <v> </v>
      </c>
      <c r="W229" s="334" t="str">
        <f aca="false">IF((E229="f"),G229," ")</f>
        <v> </v>
      </c>
    </row>
    <row r="230" customFormat="false" ht="12.75" hidden="false" customHeight="false" outlineLevel="0" collapsed="false">
      <c r="A230" s="355"/>
      <c r="E230" s="365" t="str">
        <f aca="false">IF((G230&lt;&gt;0),"Enter Letter"," ")</f>
        <v> </v>
      </c>
      <c r="J230" s="334" t="str">
        <f aca="false">IF((E230="s"),G230," ")</f>
        <v> </v>
      </c>
      <c r="K230" s="334" t="str">
        <f aca="false">IF((E230="d"),G230," ")</f>
        <v> </v>
      </c>
      <c r="L230" s="334" t="str">
        <f aca="false">IF((E230="e"),G230," ")</f>
        <v> </v>
      </c>
      <c r="M230" s="334" t="str">
        <f aca="false">IF((E230="p"),G230," ")</f>
        <v> </v>
      </c>
      <c r="N230" s="334" t="str">
        <f aca="false">IF((E230="r"),G230," ")</f>
        <v> </v>
      </c>
      <c r="O230" s="334" t="str">
        <f aca="false">IF((E230="g"),G230," ")</f>
        <v> </v>
      </c>
      <c r="P230" s="334" t="str">
        <f aca="false">IF((E230="m"),G230," ")</f>
        <v> </v>
      </c>
      <c r="Q230" s="334" t="str">
        <f aca="false">IF((E230="t"),G230," ")</f>
        <v> </v>
      </c>
      <c r="R230" s="334" t="str">
        <f aca="false">IF((E230="a"),G230," ")</f>
        <v> </v>
      </c>
      <c r="S230" s="334" t="str">
        <f aca="false">IF((E230="l"),G230," ")</f>
        <v> </v>
      </c>
      <c r="T230" s="334" t="str">
        <f aca="false">IF((E230="b"),G230," ")</f>
        <v> </v>
      </c>
      <c r="U230" s="334" t="str">
        <f aca="false">IF((E230="i"),G230," ")</f>
        <v> </v>
      </c>
      <c r="V230" s="334" t="str">
        <f aca="false">IF((E230="o"),G230," ")</f>
        <v> </v>
      </c>
      <c r="W230" s="334" t="str">
        <f aca="false">IF((E230="f"),G230," ")</f>
        <v> </v>
      </c>
    </row>
    <row r="231" customFormat="false" ht="12.75" hidden="false" customHeight="false" outlineLevel="0" collapsed="false">
      <c r="A231" s="355"/>
      <c r="E231" s="365" t="str">
        <f aca="false">IF((G231&lt;&gt;0),"Enter Letter"," ")</f>
        <v> </v>
      </c>
      <c r="J231" s="334" t="str">
        <f aca="false">IF((E231="s"),G231," ")</f>
        <v> </v>
      </c>
      <c r="K231" s="334" t="str">
        <f aca="false">IF((E231="d"),G231," ")</f>
        <v> </v>
      </c>
      <c r="L231" s="334" t="str">
        <f aca="false">IF((E231="e"),G231," ")</f>
        <v> </v>
      </c>
      <c r="M231" s="334" t="str">
        <f aca="false">IF((E231="p"),G231," ")</f>
        <v> </v>
      </c>
      <c r="N231" s="334" t="str">
        <f aca="false">IF((E231="r"),G231," ")</f>
        <v> </v>
      </c>
      <c r="O231" s="334" t="str">
        <f aca="false">IF((E231="g"),G231," ")</f>
        <v> </v>
      </c>
      <c r="P231" s="334" t="str">
        <f aca="false">IF((E231="m"),G231," ")</f>
        <v> </v>
      </c>
      <c r="Q231" s="334" t="str">
        <f aca="false">IF((E231="t"),G231," ")</f>
        <v> </v>
      </c>
      <c r="R231" s="334" t="str">
        <f aca="false">IF((E231="a"),G231," ")</f>
        <v> </v>
      </c>
      <c r="S231" s="334" t="str">
        <f aca="false">IF((E231="l"),G231," ")</f>
        <v> </v>
      </c>
      <c r="T231" s="334" t="str">
        <f aca="false">IF((E231="b"),G231," ")</f>
        <v> </v>
      </c>
      <c r="U231" s="334" t="str">
        <f aca="false">IF((E231="i"),G231," ")</f>
        <v> </v>
      </c>
      <c r="V231" s="334" t="str">
        <f aca="false">IF((E231="o"),G231," ")</f>
        <v> </v>
      </c>
      <c r="W231" s="334" t="str">
        <f aca="false">IF((E231="f"),G231," ")</f>
        <v> </v>
      </c>
    </row>
    <row r="232" customFormat="false" ht="12.75" hidden="false" customHeight="false" outlineLevel="0" collapsed="false">
      <c r="A232" s="355"/>
      <c r="E232" s="365" t="str">
        <f aca="false">IF((G232&lt;&gt;0),"Enter Letter"," ")</f>
        <v> </v>
      </c>
      <c r="J232" s="334" t="str">
        <f aca="false">IF((E232="s"),G232," ")</f>
        <v> </v>
      </c>
      <c r="K232" s="334" t="str">
        <f aca="false">IF((E232="d"),G232," ")</f>
        <v> </v>
      </c>
      <c r="L232" s="334" t="str">
        <f aca="false">IF((E232="e"),G232," ")</f>
        <v> </v>
      </c>
      <c r="M232" s="334" t="str">
        <f aca="false">IF((E232="p"),G232," ")</f>
        <v> </v>
      </c>
      <c r="N232" s="334" t="str">
        <f aca="false">IF((E232="r"),G232," ")</f>
        <v> </v>
      </c>
      <c r="O232" s="334" t="str">
        <f aca="false">IF((E232="g"),G232," ")</f>
        <v> </v>
      </c>
      <c r="P232" s="334" t="str">
        <f aca="false">IF((E232="m"),G232," ")</f>
        <v> </v>
      </c>
      <c r="Q232" s="334" t="str">
        <f aca="false">IF((E232="t"),G232," ")</f>
        <v> </v>
      </c>
      <c r="R232" s="334" t="str">
        <f aca="false">IF((E232="a"),G232," ")</f>
        <v> </v>
      </c>
      <c r="S232" s="334" t="str">
        <f aca="false">IF((E232="l"),G232," ")</f>
        <v> </v>
      </c>
      <c r="T232" s="334" t="str">
        <f aca="false">IF((E232="b"),G232," ")</f>
        <v> </v>
      </c>
      <c r="U232" s="334" t="str">
        <f aca="false">IF((E232="i"),G232," ")</f>
        <v> </v>
      </c>
      <c r="V232" s="334" t="str">
        <f aca="false">IF((E232="o"),G232," ")</f>
        <v> </v>
      </c>
      <c r="W232" s="334" t="str">
        <f aca="false">IF((E232="f"),G232," ")</f>
        <v> </v>
      </c>
    </row>
    <row r="233" customFormat="false" ht="12.75" hidden="false" customHeight="false" outlineLevel="0" collapsed="false">
      <c r="A233" s="355"/>
      <c r="E233" s="365" t="str">
        <f aca="false">IF((G233&lt;&gt;0),"Enter Letter"," ")</f>
        <v> </v>
      </c>
      <c r="J233" s="334" t="str">
        <f aca="false">IF((E233="s"),G233," ")</f>
        <v> </v>
      </c>
      <c r="K233" s="334" t="str">
        <f aca="false">IF((E233="d"),G233," ")</f>
        <v> </v>
      </c>
      <c r="L233" s="334" t="str">
        <f aca="false">IF((E233="e"),G233," ")</f>
        <v> </v>
      </c>
      <c r="M233" s="334" t="str">
        <f aca="false">IF((E233="p"),G233," ")</f>
        <v> </v>
      </c>
      <c r="N233" s="334" t="str">
        <f aca="false">IF((E233="r"),G233," ")</f>
        <v> </v>
      </c>
      <c r="O233" s="334" t="str">
        <f aca="false">IF((E233="g"),G233," ")</f>
        <v> </v>
      </c>
      <c r="P233" s="334" t="str">
        <f aca="false">IF((E233="m"),G233," ")</f>
        <v> </v>
      </c>
      <c r="Q233" s="334" t="str">
        <f aca="false">IF((E233="t"),G233," ")</f>
        <v> </v>
      </c>
      <c r="R233" s="334" t="str">
        <f aca="false">IF((E233="a"),G233," ")</f>
        <v> </v>
      </c>
      <c r="S233" s="334" t="str">
        <f aca="false">IF((E233="l"),G233," ")</f>
        <v> </v>
      </c>
      <c r="T233" s="334" t="str">
        <f aca="false">IF((E233="b"),G233," ")</f>
        <v> </v>
      </c>
      <c r="U233" s="334" t="str">
        <f aca="false">IF((E233="i"),G233," ")</f>
        <v> </v>
      </c>
      <c r="V233" s="334" t="str">
        <f aca="false">IF((E233="o"),G233," ")</f>
        <v> </v>
      </c>
      <c r="W233" s="334" t="str">
        <f aca="false">IF((E233="f"),G233," ")</f>
        <v> </v>
      </c>
    </row>
    <row r="234" customFormat="false" ht="12.75" hidden="false" customHeight="false" outlineLevel="0" collapsed="false">
      <c r="A234" s="355"/>
      <c r="E234" s="365" t="str">
        <f aca="false">IF((G234&lt;&gt;0),"Enter Letter"," ")</f>
        <v> </v>
      </c>
      <c r="J234" s="334" t="str">
        <f aca="false">IF((E234="s"),G234," ")</f>
        <v> </v>
      </c>
      <c r="K234" s="334" t="str">
        <f aca="false">IF((E234="d"),G234," ")</f>
        <v> </v>
      </c>
      <c r="L234" s="334" t="str">
        <f aca="false">IF((E234="e"),G234," ")</f>
        <v> </v>
      </c>
      <c r="M234" s="334" t="str">
        <f aca="false">IF((E234="p"),G234," ")</f>
        <v> </v>
      </c>
      <c r="N234" s="334" t="str">
        <f aca="false">IF((E234="r"),G234," ")</f>
        <v> </v>
      </c>
      <c r="O234" s="334" t="str">
        <f aca="false">IF((E234="g"),G234," ")</f>
        <v> </v>
      </c>
      <c r="P234" s="334" t="str">
        <f aca="false">IF((E234="m"),G234," ")</f>
        <v> </v>
      </c>
      <c r="Q234" s="334" t="str">
        <f aca="false">IF((E234="t"),G234," ")</f>
        <v> </v>
      </c>
      <c r="R234" s="334" t="str">
        <f aca="false">IF((E234="a"),G234," ")</f>
        <v> </v>
      </c>
      <c r="S234" s="334" t="str">
        <f aca="false">IF((E234="l"),G234," ")</f>
        <v> </v>
      </c>
      <c r="T234" s="334" t="str">
        <f aca="false">IF((E234="b"),G234," ")</f>
        <v> </v>
      </c>
      <c r="U234" s="334" t="str">
        <f aca="false">IF((E234="i"),G234," ")</f>
        <v> </v>
      </c>
      <c r="V234" s="334" t="str">
        <f aca="false">IF((E234="o"),G234," ")</f>
        <v> </v>
      </c>
      <c r="W234" s="334" t="str">
        <f aca="false">IF((E234="f"),G234," ")</f>
        <v> </v>
      </c>
    </row>
    <row r="235" customFormat="false" ht="12.75" hidden="false" customHeight="false" outlineLevel="0" collapsed="false">
      <c r="A235" s="355"/>
      <c r="E235" s="365" t="str">
        <f aca="false">IF((G235&lt;&gt;0),"Enter Letter"," ")</f>
        <v> </v>
      </c>
      <c r="J235" s="334" t="str">
        <f aca="false">IF((E235="s"),G235," ")</f>
        <v> </v>
      </c>
      <c r="K235" s="334" t="str">
        <f aca="false">IF((E235="d"),G235," ")</f>
        <v> </v>
      </c>
      <c r="L235" s="334" t="str">
        <f aca="false">IF((E235="e"),G235," ")</f>
        <v> </v>
      </c>
      <c r="M235" s="334" t="str">
        <f aca="false">IF((E235="p"),G235," ")</f>
        <v> </v>
      </c>
      <c r="N235" s="334" t="str">
        <f aca="false">IF((E235="r"),G235," ")</f>
        <v> </v>
      </c>
      <c r="O235" s="334" t="str">
        <f aca="false">IF((E235="g"),G235," ")</f>
        <v> </v>
      </c>
      <c r="P235" s="334" t="str">
        <f aca="false">IF((E235="m"),G235," ")</f>
        <v> </v>
      </c>
      <c r="Q235" s="334" t="str">
        <f aca="false">IF((E235="t"),G235," ")</f>
        <v> </v>
      </c>
      <c r="R235" s="334" t="str">
        <f aca="false">IF((E235="a"),G235," ")</f>
        <v> </v>
      </c>
      <c r="S235" s="334" t="str">
        <f aca="false">IF((E235="l"),G235," ")</f>
        <v> </v>
      </c>
      <c r="T235" s="334" t="str">
        <f aca="false">IF((E235="b"),G235," ")</f>
        <v> </v>
      </c>
      <c r="U235" s="334" t="str">
        <f aca="false">IF((E235="i"),G235," ")</f>
        <v> </v>
      </c>
      <c r="V235" s="334" t="str">
        <f aca="false">IF((E235="o"),G235," ")</f>
        <v> </v>
      </c>
      <c r="W235" s="334" t="str">
        <f aca="false">IF((E235="f"),G235," ")</f>
        <v> </v>
      </c>
    </row>
    <row r="236" customFormat="false" ht="12.75" hidden="false" customHeight="false" outlineLevel="0" collapsed="false">
      <c r="A236" s="355"/>
      <c r="E236" s="365" t="str">
        <f aca="false">IF((G236&lt;&gt;0),"Enter Letter"," ")</f>
        <v> </v>
      </c>
      <c r="J236" s="334" t="str">
        <f aca="false">IF((E236="s"),G236," ")</f>
        <v> </v>
      </c>
      <c r="K236" s="334" t="str">
        <f aca="false">IF((E236="d"),G236," ")</f>
        <v> </v>
      </c>
      <c r="L236" s="334" t="str">
        <f aca="false">IF((E236="e"),G236," ")</f>
        <v> </v>
      </c>
      <c r="M236" s="334" t="str">
        <f aca="false">IF((E236="p"),G236," ")</f>
        <v> </v>
      </c>
      <c r="N236" s="334" t="str">
        <f aca="false">IF((E236="r"),G236," ")</f>
        <v> </v>
      </c>
      <c r="O236" s="334" t="str">
        <f aca="false">IF((E236="g"),G236," ")</f>
        <v> </v>
      </c>
      <c r="P236" s="334" t="str">
        <f aca="false">IF((E236="m"),G236," ")</f>
        <v> </v>
      </c>
      <c r="Q236" s="334" t="str">
        <f aca="false">IF((E236="t"),G236," ")</f>
        <v> </v>
      </c>
      <c r="R236" s="334" t="str">
        <f aca="false">IF((E236="a"),G236," ")</f>
        <v> </v>
      </c>
      <c r="S236" s="334" t="str">
        <f aca="false">IF((E236="l"),G236," ")</f>
        <v> </v>
      </c>
      <c r="T236" s="334" t="str">
        <f aca="false">IF((E236="b"),G236," ")</f>
        <v> </v>
      </c>
      <c r="U236" s="334" t="str">
        <f aca="false">IF((E236="i"),G236," ")</f>
        <v> </v>
      </c>
      <c r="V236" s="334" t="str">
        <f aca="false">IF((E236="o"),G236," ")</f>
        <v> </v>
      </c>
      <c r="W236" s="334" t="str">
        <f aca="false">IF((E236="f"),G236," ")</f>
        <v> </v>
      </c>
    </row>
    <row r="237" customFormat="false" ht="12.75" hidden="false" customHeight="false" outlineLevel="0" collapsed="false">
      <c r="A237" s="355"/>
      <c r="E237" s="365" t="str">
        <f aca="false">IF((G237&lt;&gt;0),"Enter Letter"," ")</f>
        <v> </v>
      </c>
      <c r="J237" s="334" t="str">
        <f aca="false">IF((E237="s"),G237," ")</f>
        <v> </v>
      </c>
      <c r="K237" s="334" t="str">
        <f aca="false">IF((E237="d"),G237," ")</f>
        <v> </v>
      </c>
      <c r="L237" s="334" t="str">
        <f aca="false">IF((E237="e"),G237," ")</f>
        <v> </v>
      </c>
      <c r="M237" s="334" t="str">
        <f aca="false">IF((E237="p"),G237," ")</f>
        <v> </v>
      </c>
      <c r="N237" s="334" t="str">
        <f aca="false">IF((E237="r"),G237," ")</f>
        <v> </v>
      </c>
      <c r="O237" s="334" t="str">
        <f aca="false">IF((E237="g"),G237," ")</f>
        <v> </v>
      </c>
      <c r="P237" s="334" t="str">
        <f aca="false">IF((E237="m"),G237," ")</f>
        <v> </v>
      </c>
      <c r="Q237" s="334" t="str">
        <f aca="false">IF((E237="t"),G237," ")</f>
        <v> </v>
      </c>
      <c r="R237" s="334" t="str">
        <f aca="false">IF((E237="a"),G237," ")</f>
        <v> </v>
      </c>
      <c r="S237" s="334" t="str">
        <f aca="false">IF((E237="l"),G237," ")</f>
        <v> </v>
      </c>
      <c r="T237" s="334" t="str">
        <f aca="false">IF((E237="b"),G237," ")</f>
        <v> </v>
      </c>
      <c r="U237" s="334" t="str">
        <f aca="false">IF((E237="i"),G237," ")</f>
        <v> </v>
      </c>
      <c r="V237" s="334" t="str">
        <f aca="false">IF((E237="o"),G237," ")</f>
        <v> </v>
      </c>
      <c r="W237" s="334" t="str">
        <f aca="false">IF((E237="f"),G237," ")</f>
        <v> </v>
      </c>
    </row>
    <row r="238" customFormat="false" ht="12.75" hidden="false" customHeight="false" outlineLevel="0" collapsed="false">
      <c r="A238" s="355"/>
      <c r="E238" s="365" t="str">
        <f aca="false">IF((G238&lt;&gt;0),"Enter Letter"," ")</f>
        <v> </v>
      </c>
      <c r="J238" s="334" t="str">
        <f aca="false">IF((E238="s"),G238," ")</f>
        <v> </v>
      </c>
      <c r="K238" s="334" t="str">
        <f aca="false">IF((E238="d"),G238," ")</f>
        <v> </v>
      </c>
      <c r="L238" s="334" t="str">
        <f aca="false">IF((E238="e"),G238," ")</f>
        <v> </v>
      </c>
      <c r="M238" s="334" t="str">
        <f aca="false">IF((E238="p"),G238," ")</f>
        <v> </v>
      </c>
      <c r="N238" s="334" t="str">
        <f aca="false">IF((E238="r"),G238," ")</f>
        <v> </v>
      </c>
      <c r="O238" s="334" t="str">
        <f aca="false">IF((E238="g"),G238," ")</f>
        <v> </v>
      </c>
      <c r="P238" s="334" t="str">
        <f aca="false">IF((E238="m"),G238," ")</f>
        <v> </v>
      </c>
      <c r="Q238" s="334" t="str">
        <f aca="false">IF((E238="t"),G238," ")</f>
        <v> </v>
      </c>
      <c r="R238" s="334" t="str">
        <f aca="false">IF((E238="a"),G238," ")</f>
        <v> </v>
      </c>
      <c r="S238" s="334" t="str">
        <f aca="false">IF((E238="l"),G238," ")</f>
        <v> </v>
      </c>
      <c r="T238" s="334" t="str">
        <f aca="false">IF((E238="b"),G238," ")</f>
        <v> </v>
      </c>
      <c r="U238" s="334" t="str">
        <f aca="false">IF((E238="i"),G238," ")</f>
        <v> </v>
      </c>
      <c r="V238" s="334" t="str">
        <f aca="false">IF((E238="o"),G238," ")</f>
        <v> </v>
      </c>
      <c r="W238" s="334" t="str">
        <f aca="false">IF((E238="f"),G238," ")</f>
        <v> </v>
      </c>
    </row>
    <row r="239" customFormat="false" ht="12.75" hidden="false" customHeight="false" outlineLevel="0" collapsed="false">
      <c r="A239" s="355"/>
      <c r="E239" s="365" t="str">
        <f aca="false">IF((G239&lt;&gt;0),"Enter Letter"," ")</f>
        <v> </v>
      </c>
      <c r="J239" s="334" t="str">
        <f aca="false">IF((E239="s"),G239," ")</f>
        <v> </v>
      </c>
      <c r="K239" s="334" t="str">
        <f aca="false">IF((E239="d"),G239," ")</f>
        <v> </v>
      </c>
      <c r="L239" s="334" t="str">
        <f aca="false">IF((E239="e"),G239," ")</f>
        <v> </v>
      </c>
      <c r="M239" s="334" t="str">
        <f aca="false">IF((E239="p"),G239," ")</f>
        <v> </v>
      </c>
      <c r="N239" s="334" t="str">
        <f aca="false">IF((E239="r"),G239," ")</f>
        <v> </v>
      </c>
      <c r="O239" s="334" t="str">
        <f aca="false">IF((E239="g"),G239," ")</f>
        <v> </v>
      </c>
      <c r="P239" s="334" t="str">
        <f aca="false">IF((E239="m"),G239," ")</f>
        <v> </v>
      </c>
      <c r="Q239" s="334" t="str">
        <f aca="false">IF((E239="t"),G239," ")</f>
        <v> </v>
      </c>
      <c r="R239" s="334" t="str">
        <f aca="false">IF((E239="a"),G239," ")</f>
        <v> </v>
      </c>
      <c r="S239" s="334" t="str">
        <f aca="false">IF((E239="l"),G239," ")</f>
        <v> </v>
      </c>
      <c r="T239" s="334" t="str">
        <f aca="false">IF((E239="b"),G239," ")</f>
        <v> </v>
      </c>
      <c r="U239" s="334" t="str">
        <f aca="false">IF((E239="i"),G239," ")</f>
        <v> </v>
      </c>
      <c r="V239" s="334" t="str">
        <f aca="false">IF((E239="o"),G239," ")</f>
        <v> </v>
      </c>
      <c r="W239" s="334" t="str">
        <f aca="false">IF((E239="f"),G239," ")</f>
        <v> </v>
      </c>
    </row>
    <row r="240" customFormat="false" ht="12.75" hidden="false" customHeight="false" outlineLevel="0" collapsed="false">
      <c r="A240" s="355"/>
      <c r="E240" s="365" t="str">
        <f aca="false">IF((G240&lt;&gt;0),"Enter Letter"," ")</f>
        <v> </v>
      </c>
      <c r="J240" s="334" t="str">
        <f aca="false">IF((E240="s"),G240," ")</f>
        <v> </v>
      </c>
      <c r="K240" s="334" t="str">
        <f aca="false">IF((E240="d"),G240," ")</f>
        <v> </v>
      </c>
      <c r="L240" s="334" t="str">
        <f aca="false">IF((E240="e"),G240," ")</f>
        <v> </v>
      </c>
      <c r="M240" s="334" t="str">
        <f aca="false">IF((E240="p"),G240," ")</f>
        <v> </v>
      </c>
      <c r="N240" s="334" t="str">
        <f aca="false">IF((E240="r"),G240," ")</f>
        <v> </v>
      </c>
      <c r="O240" s="334" t="str">
        <f aca="false">IF((E240="g"),G240," ")</f>
        <v> </v>
      </c>
      <c r="P240" s="334" t="str">
        <f aca="false">IF((E240="m"),G240," ")</f>
        <v> </v>
      </c>
      <c r="Q240" s="334" t="str">
        <f aca="false">IF((E240="t"),G240," ")</f>
        <v> </v>
      </c>
      <c r="R240" s="334" t="str">
        <f aca="false">IF((E240="a"),G240," ")</f>
        <v> </v>
      </c>
      <c r="S240" s="334" t="str">
        <f aca="false">IF((E240="l"),G240," ")</f>
        <v> </v>
      </c>
      <c r="T240" s="334" t="str">
        <f aca="false">IF((E240="b"),G240," ")</f>
        <v> </v>
      </c>
      <c r="U240" s="334" t="str">
        <f aca="false">IF((E240="i"),G240," ")</f>
        <v> </v>
      </c>
      <c r="V240" s="334" t="str">
        <f aca="false">IF((E240="o"),G240," ")</f>
        <v> </v>
      </c>
      <c r="W240" s="334" t="str">
        <f aca="false">IF((E240="f"),G240," ")</f>
        <v> </v>
      </c>
    </row>
    <row r="241" customFormat="false" ht="12.75" hidden="false" customHeight="false" outlineLevel="0" collapsed="false">
      <c r="A241" s="355"/>
      <c r="E241" s="365" t="str">
        <f aca="false">IF((G241&lt;&gt;0),"Enter Letter"," ")</f>
        <v> </v>
      </c>
      <c r="J241" s="334" t="str">
        <f aca="false">IF((E241="s"),G241," ")</f>
        <v> </v>
      </c>
      <c r="K241" s="334" t="str">
        <f aca="false">IF((E241="d"),G241," ")</f>
        <v> </v>
      </c>
      <c r="L241" s="334" t="str">
        <f aca="false">IF((E241="e"),G241," ")</f>
        <v> </v>
      </c>
      <c r="M241" s="334" t="str">
        <f aca="false">IF((E241="p"),G241," ")</f>
        <v> </v>
      </c>
      <c r="N241" s="334" t="str">
        <f aca="false">IF((E241="r"),G241," ")</f>
        <v> </v>
      </c>
      <c r="O241" s="334" t="str">
        <f aca="false">IF((E241="g"),G241," ")</f>
        <v> </v>
      </c>
      <c r="P241" s="334" t="str">
        <f aca="false">IF((E241="m"),G241," ")</f>
        <v> </v>
      </c>
      <c r="Q241" s="334" t="str">
        <f aca="false">IF((E241="t"),G241," ")</f>
        <v> </v>
      </c>
      <c r="R241" s="334" t="str">
        <f aca="false">IF((E241="a"),G241," ")</f>
        <v> </v>
      </c>
      <c r="S241" s="334" t="str">
        <f aca="false">IF((E241="l"),G241," ")</f>
        <v> </v>
      </c>
      <c r="T241" s="334" t="str">
        <f aca="false">IF((E241="b"),G241," ")</f>
        <v> </v>
      </c>
      <c r="U241" s="334" t="str">
        <f aca="false">IF((E241="i"),G241," ")</f>
        <v> </v>
      </c>
      <c r="V241" s="334" t="str">
        <f aca="false">IF((E241="o"),G241," ")</f>
        <v> </v>
      </c>
      <c r="W241" s="334" t="str">
        <f aca="false">IF((E241="f"),G241," ")</f>
        <v> </v>
      </c>
    </row>
    <row r="242" customFormat="false" ht="12.75" hidden="false" customHeight="false" outlineLevel="0" collapsed="false">
      <c r="A242" s="355"/>
      <c r="E242" s="365" t="str">
        <f aca="false">IF((G242&lt;&gt;0),"Enter Letter"," ")</f>
        <v> </v>
      </c>
      <c r="J242" s="334" t="str">
        <f aca="false">IF((E242="s"),G242," ")</f>
        <v> </v>
      </c>
      <c r="K242" s="334" t="str">
        <f aca="false">IF((E242="d"),G242," ")</f>
        <v> </v>
      </c>
      <c r="L242" s="334" t="str">
        <f aca="false">IF((E242="e"),G242," ")</f>
        <v> </v>
      </c>
      <c r="M242" s="334" t="str">
        <f aca="false">IF((E242="p"),G242," ")</f>
        <v> </v>
      </c>
      <c r="N242" s="334" t="str">
        <f aca="false">IF((E242="r"),G242," ")</f>
        <v> </v>
      </c>
      <c r="O242" s="334" t="str">
        <f aca="false">IF((E242="g"),G242," ")</f>
        <v> </v>
      </c>
      <c r="P242" s="334" t="str">
        <f aca="false">IF((E242="m"),G242," ")</f>
        <v> </v>
      </c>
      <c r="Q242" s="334" t="str">
        <f aca="false">IF((E242="t"),G242," ")</f>
        <v> </v>
      </c>
      <c r="R242" s="334" t="str">
        <f aca="false">IF((E242="a"),G242," ")</f>
        <v> </v>
      </c>
      <c r="S242" s="334" t="str">
        <f aca="false">IF((E242="l"),G242," ")</f>
        <v> </v>
      </c>
      <c r="T242" s="334" t="str">
        <f aca="false">IF((E242="b"),G242," ")</f>
        <v> </v>
      </c>
      <c r="U242" s="334" t="str">
        <f aca="false">IF((E242="i"),G242," ")</f>
        <v> </v>
      </c>
      <c r="V242" s="334" t="str">
        <f aca="false">IF((E242="o"),G242," ")</f>
        <v> </v>
      </c>
      <c r="W242" s="334" t="str">
        <f aca="false">IF((E242="f"),G242," ")</f>
        <v> </v>
      </c>
    </row>
    <row r="243" customFormat="false" ht="12.75" hidden="false" customHeight="false" outlineLevel="0" collapsed="false">
      <c r="A243" s="355"/>
      <c r="E243" s="365" t="str">
        <f aca="false">IF((G243&lt;&gt;0),"Enter Letter"," ")</f>
        <v> </v>
      </c>
      <c r="J243" s="334" t="str">
        <f aca="false">IF((E243="s"),G243," ")</f>
        <v> </v>
      </c>
      <c r="K243" s="334" t="str">
        <f aca="false">IF((E243="d"),G243," ")</f>
        <v> </v>
      </c>
      <c r="L243" s="334" t="str">
        <f aca="false">IF((E243="e"),G243," ")</f>
        <v> </v>
      </c>
      <c r="M243" s="334" t="str">
        <f aca="false">IF((E243="p"),G243," ")</f>
        <v> </v>
      </c>
      <c r="N243" s="334" t="str">
        <f aca="false">IF((E243="r"),G243," ")</f>
        <v> </v>
      </c>
      <c r="O243" s="334" t="str">
        <f aca="false">IF((E243="g"),G243," ")</f>
        <v> </v>
      </c>
      <c r="P243" s="334" t="str">
        <f aca="false">IF((E243="m"),G243," ")</f>
        <v> </v>
      </c>
      <c r="Q243" s="334" t="str">
        <f aca="false">IF((E243="t"),G243," ")</f>
        <v> </v>
      </c>
      <c r="R243" s="334" t="str">
        <f aca="false">IF((E243="a"),G243," ")</f>
        <v> </v>
      </c>
      <c r="S243" s="334" t="str">
        <f aca="false">IF((E243="l"),G243," ")</f>
        <v> </v>
      </c>
      <c r="T243" s="334" t="str">
        <f aca="false">IF((E243="b"),G243," ")</f>
        <v> </v>
      </c>
      <c r="U243" s="334" t="str">
        <f aca="false">IF((E243="i"),G243," ")</f>
        <v> </v>
      </c>
      <c r="V243" s="334" t="str">
        <f aca="false">IF((E243="o"),G243," ")</f>
        <v> </v>
      </c>
      <c r="W243" s="334" t="str">
        <f aca="false">IF((E243="f"),G243," ")</f>
        <v> </v>
      </c>
    </row>
    <row r="244" customFormat="false" ht="12.75" hidden="false" customHeight="false" outlineLevel="0" collapsed="false">
      <c r="A244" s="355"/>
      <c r="E244" s="365" t="str">
        <f aca="false">IF((G244&lt;&gt;0),"Enter Letter"," ")</f>
        <v> </v>
      </c>
      <c r="J244" s="334" t="str">
        <f aca="false">IF((E244="s"),G244," ")</f>
        <v> </v>
      </c>
      <c r="K244" s="334" t="str">
        <f aca="false">IF((E244="d"),G244," ")</f>
        <v> </v>
      </c>
      <c r="L244" s="334" t="str">
        <f aca="false">IF((E244="e"),G244," ")</f>
        <v> </v>
      </c>
      <c r="M244" s="334" t="str">
        <f aca="false">IF((E244="p"),G244," ")</f>
        <v> </v>
      </c>
      <c r="N244" s="334" t="str">
        <f aca="false">IF((E244="r"),G244," ")</f>
        <v> </v>
      </c>
      <c r="O244" s="334" t="str">
        <f aca="false">IF((E244="g"),G244," ")</f>
        <v> </v>
      </c>
      <c r="P244" s="334" t="str">
        <f aca="false">IF((E244="m"),G244," ")</f>
        <v> </v>
      </c>
      <c r="Q244" s="334" t="str">
        <f aca="false">IF((E244="t"),G244," ")</f>
        <v> </v>
      </c>
      <c r="R244" s="334" t="str">
        <f aca="false">IF((E244="a"),G244," ")</f>
        <v> </v>
      </c>
      <c r="S244" s="334" t="str">
        <f aca="false">IF((E244="l"),G244," ")</f>
        <v> </v>
      </c>
      <c r="T244" s="334" t="str">
        <f aca="false">IF((E244="b"),G244," ")</f>
        <v> </v>
      </c>
      <c r="U244" s="334" t="str">
        <f aca="false">IF((E244="i"),G244," ")</f>
        <v> </v>
      </c>
      <c r="V244" s="334" t="str">
        <f aca="false">IF((E244="o"),G244," ")</f>
        <v> </v>
      </c>
      <c r="W244" s="334" t="str">
        <f aca="false">IF((E244="f"),G244," ")</f>
        <v> </v>
      </c>
    </row>
    <row r="245" customFormat="false" ht="12.75" hidden="false" customHeight="false" outlineLevel="0" collapsed="false">
      <c r="A245" s="355"/>
      <c r="E245" s="365" t="str">
        <f aca="false">IF((G245&lt;&gt;0),"Enter Letter"," ")</f>
        <v> </v>
      </c>
      <c r="J245" s="334" t="str">
        <f aca="false">IF((E245="s"),G245," ")</f>
        <v> </v>
      </c>
      <c r="K245" s="334" t="str">
        <f aca="false">IF((E245="d"),G245," ")</f>
        <v> </v>
      </c>
      <c r="L245" s="334" t="str">
        <f aca="false">IF((E245="e"),G245," ")</f>
        <v> </v>
      </c>
      <c r="M245" s="334" t="str">
        <f aca="false">IF((E245="p"),G245," ")</f>
        <v> </v>
      </c>
      <c r="N245" s="334" t="str">
        <f aca="false">IF((E245="r"),G245," ")</f>
        <v> </v>
      </c>
      <c r="O245" s="334" t="str">
        <f aca="false">IF((E245="g"),G245," ")</f>
        <v> </v>
      </c>
      <c r="P245" s="334" t="str">
        <f aca="false">IF((E245="m"),G245," ")</f>
        <v> </v>
      </c>
      <c r="Q245" s="334" t="str">
        <f aca="false">IF((E245="t"),G245," ")</f>
        <v> </v>
      </c>
      <c r="R245" s="334" t="str">
        <f aca="false">IF((E245="a"),G245," ")</f>
        <v> </v>
      </c>
      <c r="S245" s="334" t="str">
        <f aca="false">IF((E245="l"),G245," ")</f>
        <v> </v>
      </c>
      <c r="T245" s="334" t="str">
        <f aca="false">IF((E245="b"),G245," ")</f>
        <v> </v>
      </c>
      <c r="U245" s="334" t="str">
        <f aca="false">IF((E245="i"),G245," ")</f>
        <v> </v>
      </c>
      <c r="V245" s="334" t="str">
        <f aca="false">IF((E245="o"),G245," ")</f>
        <v> </v>
      </c>
      <c r="W245" s="334" t="str">
        <f aca="false">IF((E245="f"),G245," ")</f>
        <v> </v>
      </c>
    </row>
    <row r="246" customFormat="false" ht="12.75" hidden="false" customHeight="false" outlineLevel="0" collapsed="false">
      <c r="A246" s="355"/>
      <c r="E246" s="365" t="str">
        <f aca="false">IF((G246&lt;&gt;0),"Enter Letter"," ")</f>
        <v> </v>
      </c>
      <c r="J246" s="334" t="str">
        <f aca="false">IF((E246="s"),G246," ")</f>
        <v> </v>
      </c>
      <c r="K246" s="334" t="str">
        <f aca="false">IF((E246="d"),G246," ")</f>
        <v> </v>
      </c>
      <c r="L246" s="334" t="str">
        <f aca="false">IF((E246="e"),G246," ")</f>
        <v> </v>
      </c>
      <c r="M246" s="334" t="str">
        <f aca="false">IF((E246="p"),G246," ")</f>
        <v> </v>
      </c>
      <c r="N246" s="334" t="str">
        <f aca="false">IF((E246="r"),G246," ")</f>
        <v> </v>
      </c>
      <c r="O246" s="334" t="str">
        <f aca="false">IF((E246="g"),G246," ")</f>
        <v> </v>
      </c>
      <c r="P246" s="334" t="str">
        <f aca="false">IF((E246="m"),G246," ")</f>
        <v> </v>
      </c>
      <c r="Q246" s="334" t="str">
        <f aca="false">IF((E246="t"),G246," ")</f>
        <v> </v>
      </c>
      <c r="R246" s="334" t="str">
        <f aca="false">IF((E246="a"),G246," ")</f>
        <v> </v>
      </c>
      <c r="S246" s="334" t="str">
        <f aca="false">IF((E246="l"),G246," ")</f>
        <v> </v>
      </c>
      <c r="T246" s="334" t="str">
        <f aca="false">IF((E246="b"),G246," ")</f>
        <v> </v>
      </c>
      <c r="U246" s="334" t="str">
        <f aca="false">IF((E246="i"),G246," ")</f>
        <v> </v>
      </c>
      <c r="V246" s="334" t="str">
        <f aca="false">IF((E246="o"),G246," ")</f>
        <v> </v>
      </c>
      <c r="W246" s="334" t="str">
        <f aca="false">IF((E246="f"),G246," ")</f>
        <v> </v>
      </c>
    </row>
    <row r="247" customFormat="false" ht="12.75" hidden="false" customHeight="false" outlineLevel="0" collapsed="false">
      <c r="A247" s="355"/>
      <c r="E247" s="365" t="str">
        <f aca="false">IF((G247&lt;&gt;0),"Enter Letter"," ")</f>
        <v> </v>
      </c>
      <c r="J247" s="334" t="str">
        <f aca="false">IF((E247="s"),G247," ")</f>
        <v> </v>
      </c>
      <c r="K247" s="334" t="str">
        <f aca="false">IF((E247="d"),G247," ")</f>
        <v> </v>
      </c>
      <c r="L247" s="334" t="str">
        <f aca="false">IF((E247="e"),G247," ")</f>
        <v> </v>
      </c>
      <c r="M247" s="334" t="str">
        <f aca="false">IF((E247="p"),G247," ")</f>
        <v> </v>
      </c>
      <c r="N247" s="334" t="str">
        <f aca="false">IF((E247="r"),G247," ")</f>
        <v> </v>
      </c>
      <c r="O247" s="334" t="str">
        <f aca="false">IF((E247="g"),G247," ")</f>
        <v> </v>
      </c>
      <c r="P247" s="334" t="str">
        <f aca="false">IF((E247="m"),G247," ")</f>
        <v> </v>
      </c>
      <c r="Q247" s="334" t="str">
        <f aca="false">IF((E247="t"),G247," ")</f>
        <v> </v>
      </c>
      <c r="R247" s="334" t="str">
        <f aca="false">IF((E247="a"),G247," ")</f>
        <v> </v>
      </c>
      <c r="S247" s="334" t="str">
        <f aca="false">IF((E247="l"),G247," ")</f>
        <v> </v>
      </c>
      <c r="T247" s="334" t="str">
        <f aca="false">IF((E247="b"),G247," ")</f>
        <v> </v>
      </c>
      <c r="U247" s="334" t="str">
        <f aca="false">IF((E247="i"),G247," ")</f>
        <v> </v>
      </c>
      <c r="V247" s="334" t="str">
        <f aca="false">IF((E247="o"),G247," ")</f>
        <v> </v>
      </c>
      <c r="W247" s="334" t="str">
        <f aca="false">IF((E247="f"),G247," ")</f>
        <v> </v>
      </c>
    </row>
    <row r="248" customFormat="false" ht="12.75" hidden="false" customHeight="false" outlineLevel="0" collapsed="false">
      <c r="A248" s="355"/>
      <c r="E248" s="365" t="str">
        <f aca="false">IF((G248&lt;&gt;0),"Enter Letter"," ")</f>
        <v> </v>
      </c>
      <c r="J248" s="334" t="str">
        <f aca="false">IF((E248="s"),G248," ")</f>
        <v> </v>
      </c>
      <c r="K248" s="334" t="str">
        <f aca="false">IF((E248="d"),G248," ")</f>
        <v> </v>
      </c>
      <c r="L248" s="334" t="str">
        <f aca="false">IF((E248="e"),G248," ")</f>
        <v> </v>
      </c>
      <c r="M248" s="334" t="str">
        <f aca="false">IF((E248="p"),G248," ")</f>
        <v> </v>
      </c>
      <c r="N248" s="334" t="str">
        <f aca="false">IF((E248="r"),G248," ")</f>
        <v> </v>
      </c>
      <c r="O248" s="334" t="str">
        <f aca="false">IF((E248="g"),G248," ")</f>
        <v> </v>
      </c>
      <c r="P248" s="334" t="str">
        <f aca="false">IF((E248="m"),G248," ")</f>
        <v> </v>
      </c>
      <c r="Q248" s="334" t="str">
        <f aca="false">IF((E248="t"),G248," ")</f>
        <v> </v>
      </c>
      <c r="R248" s="334" t="str">
        <f aca="false">IF((E248="a"),G248," ")</f>
        <v> </v>
      </c>
      <c r="S248" s="334" t="str">
        <f aca="false">IF((E248="l"),G248," ")</f>
        <v> </v>
      </c>
      <c r="T248" s="334" t="str">
        <f aca="false">IF((E248="b"),G248," ")</f>
        <v> </v>
      </c>
      <c r="U248" s="334" t="str">
        <f aca="false">IF((E248="i"),G248," ")</f>
        <v> </v>
      </c>
      <c r="V248" s="334" t="str">
        <f aca="false">IF((E248="o"),G248," ")</f>
        <v> </v>
      </c>
      <c r="W248" s="334" t="str">
        <f aca="false">IF((E248="f"),G248," ")</f>
        <v> </v>
      </c>
    </row>
    <row r="249" customFormat="false" ht="12.75" hidden="false" customHeight="false" outlineLevel="0" collapsed="false">
      <c r="A249" s="355"/>
      <c r="E249" s="365" t="str">
        <f aca="false">IF((G249&lt;&gt;0),"Enter Letter"," ")</f>
        <v> </v>
      </c>
      <c r="J249" s="334" t="str">
        <f aca="false">IF((E249="s"),G249," ")</f>
        <v> </v>
      </c>
      <c r="K249" s="334" t="str">
        <f aca="false">IF((E249="d"),G249," ")</f>
        <v> </v>
      </c>
      <c r="L249" s="334" t="str">
        <f aca="false">IF((E249="e"),G249," ")</f>
        <v> </v>
      </c>
      <c r="M249" s="334" t="str">
        <f aca="false">IF((E249="p"),G249," ")</f>
        <v> </v>
      </c>
      <c r="N249" s="334" t="str">
        <f aca="false">IF((E249="r"),G249," ")</f>
        <v> </v>
      </c>
      <c r="O249" s="334" t="str">
        <f aca="false">IF((E249="g"),G249," ")</f>
        <v> </v>
      </c>
      <c r="P249" s="334" t="str">
        <f aca="false">IF((E249="m"),G249," ")</f>
        <v> </v>
      </c>
      <c r="Q249" s="334" t="str">
        <f aca="false">IF((E249="t"),G249," ")</f>
        <v> </v>
      </c>
      <c r="R249" s="334" t="str">
        <f aca="false">IF((E249="a"),G249," ")</f>
        <v> </v>
      </c>
      <c r="S249" s="334" t="str">
        <f aca="false">IF((E249="l"),G249," ")</f>
        <v> </v>
      </c>
      <c r="T249" s="334" t="str">
        <f aca="false">IF((E249="b"),G249," ")</f>
        <v> </v>
      </c>
      <c r="U249" s="334" t="str">
        <f aca="false">IF((E249="i"),G249," ")</f>
        <v> </v>
      </c>
      <c r="V249" s="334" t="str">
        <f aca="false">IF((E249="o"),G249," ")</f>
        <v> </v>
      </c>
      <c r="W249" s="334" t="str">
        <f aca="false">IF((E249="f"),G249," ")</f>
        <v> </v>
      </c>
    </row>
    <row r="250" customFormat="false" ht="12.75" hidden="false" customHeight="false" outlineLevel="0" collapsed="false">
      <c r="A250" s="355"/>
      <c r="E250" s="365" t="str">
        <f aca="false">IF((G250&lt;&gt;0),"Enter Letter"," ")</f>
        <v> </v>
      </c>
      <c r="J250" s="334" t="str">
        <f aca="false">IF((E250="s"),G250," ")</f>
        <v> </v>
      </c>
      <c r="K250" s="334" t="str">
        <f aca="false">IF((E250="d"),G250," ")</f>
        <v> </v>
      </c>
      <c r="L250" s="334" t="str">
        <f aca="false">IF((E250="e"),G250," ")</f>
        <v> </v>
      </c>
      <c r="M250" s="334" t="str">
        <f aca="false">IF((E250="p"),G250," ")</f>
        <v> </v>
      </c>
      <c r="N250" s="334" t="str">
        <f aca="false">IF((E250="r"),G250," ")</f>
        <v> </v>
      </c>
      <c r="O250" s="334" t="str">
        <f aca="false">IF((E250="g"),G250," ")</f>
        <v> </v>
      </c>
      <c r="P250" s="334" t="str">
        <f aca="false">IF((E250="m"),G250," ")</f>
        <v> </v>
      </c>
      <c r="Q250" s="334" t="str">
        <f aca="false">IF((E250="t"),G250," ")</f>
        <v> </v>
      </c>
      <c r="R250" s="334" t="str">
        <f aca="false">IF((E250="a"),G250," ")</f>
        <v> </v>
      </c>
      <c r="S250" s="334" t="str">
        <f aca="false">IF((E250="l"),G250," ")</f>
        <v> </v>
      </c>
      <c r="T250" s="334" t="str">
        <f aca="false">IF((E250="b"),G250," ")</f>
        <v> </v>
      </c>
      <c r="U250" s="334" t="str">
        <f aca="false">IF((E250="i"),G250," ")</f>
        <v> </v>
      </c>
      <c r="V250" s="334" t="str">
        <f aca="false">IF((E250="o"),G250," ")</f>
        <v> </v>
      </c>
      <c r="W250" s="334" t="str">
        <f aca="false">IF((E250="f"),G250," ")</f>
        <v> </v>
      </c>
    </row>
    <row r="251" customFormat="false" ht="12.75" hidden="false" customHeight="false" outlineLevel="0" collapsed="false">
      <c r="A251" s="355"/>
      <c r="E251" s="365" t="str">
        <f aca="false">IF((G251&lt;&gt;0),"Enter Letter"," ")</f>
        <v> </v>
      </c>
      <c r="J251" s="334" t="str">
        <f aca="false">IF((E251="s"),G251," ")</f>
        <v> </v>
      </c>
      <c r="K251" s="334" t="str">
        <f aca="false">IF((E251="d"),G251," ")</f>
        <v> </v>
      </c>
      <c r="L251" s="334" t="str">
        <f aca="false">IF((E251="e"),G251," ")</f>
        <v> </v>
      </c>
      <c r="M251" s="334" t="str">
        <f aca="false">IF((E251="p"),G251," ")</f>
        <v> </v>
      </c>
      <c r="N251" s="334" t="str">
        <f aca="false">IF((E251="r"),G251," ")</f>
        <v> </v>
      </c>
      <c r="O251" s="334" t="str">
        <f aca="false">IF((E251="g"),G251," ")</f>
        <v> </v>
      </c>
      <c r="P251" s="334" t="str">
        <f aca="false">IF((E251="m"),G251," ")</f>
        <v> </v>
      </c>
      <c r="Q251" s="334" t="str">
        <f aca="false">IF((E251="t"),G251," ")</f>
        <v> </v>
      </c>
      <c r="R251" s="334" t="str">
        <f aca="false">IF((E251="a"),G251," ")</f>
        <v> </v>
      </c>
      <c r="S251" s="334" t="str">
        <f aca="false">IF((E251="l"),G251," ")</f>
        <v> </v>
      </c>
      <c r="T251" s="334" t="str">
        <f aca="false">IF((E251="b"),G251," ")</f>
        <v> </v>
      </c>
      <c r="U251" s="334" t="str">
        <f aca="false">IF((E251="i"),G251," ")</f>
        <v> </v>
      </c>
      <c r="V251" s="334" t="str">
        <f aca="false">IF((E251="o"),G251," ")</f>
        <v> </v>
      </c>
      <c r="W251" s="334" t="str">
        <f aca="false">IF((E251="f"),G251," ")</f>
        <v> </v>
      </c>
    </row>
    <row r="252" customFormat="false" ht="12.75" hidden="false" customHeight="false" outlineLevel="0" collapsed="false">
      <c r="A252" s="355"/>
      <c r="E252" s="365" t="str">
        <f aca="false">IF((G252&lt;&gt;0),"Enter Letter"," ")</f>
        <v> </v>
      </c>
      <c r="J252" s="334" t="str">
        <f aca="false">IF((E252="s"),G252," ")</f>
        <v> </v>
      </c>
      <c r="K252" s="334" t="str">
        <f aca="false">IF((E252="d"),G252," ")</f>
        <v> </v>
      </c>
      <c r="L252" s="334" t="str">
        <f aca="false">IF((E252="e"),G252," ")</f>
        <v> </v>
      </c>
      <c r="M252" s="334" t="str">
        <f aca="false">IF((E252="p"),G252," ")</f>
        <v> </v>
      </c>
      <c r="N252" s="334" t="str">
        <f aca="false">IF((E252="r"),G252," ")</f>
        <v> </v>
      </c>
      <c r="O252" s="334" t="str">
        <f aca="false">IF((E252="g"),G252," ")</f>
        <v> </v>
      </c>
      <c r="P252" s="334" t="str">
        <f aca="false">IF((E252="m"),G252," ")</f>
        <v> </v>
      </c>
      <c r="Q252" s="334" t="str">
        <f aca="false">IF((E252="t"),G252," ")</f>
        <v> </v>
      </c>
      <c r="R252" s="334" t="str">
        <f aca="false">IF((E252="a"),G252," ")</f>
        <v> </v>
      </c>
      <c r="S252" s="334" t="str">
        <f aca="false">IF((E252="l"),G252," ")</f>
        <v> </v>
      </c>
      <c r="T252" s="334" t="str">
        <f aca="false">IF((E252="b"),G252," ")</f>
        <v> </v>
      </c>
      <c r="U252" s="334" t="str">
        <f aca="false">IF((E252="i"),G252," ")</f>
        <v> </v>
      </c>
      <c r="V252" s="334" t="str">
        <f aca="false">IF((E252="o"),G252," ")</f>
        <v> </v>
      </c>
      <c r="W252" s="334" t="str">
        <f aca="false">IF((E252="f"),G252," ")</f>
        <v> </v>
      </c>
    </row>
    <row r="253" customFormat="false" ht="12.75" hidden="false" customHeight="false" outlineLevel="0" collapsed="false">
      <c r="A253" s="355"/>
      <c r="E253" s="365" t="str">
        <f aca="false">IF((G253&lt;&gt;0),"Enter Letter"," ")</f>
        <v> </v>
      </c>
      <c r="J253" s="334" t="str">
        <f aca="false">IF((E253="s"),G253," ")</f>
        <v> </v>
      </c>
      <c r="K253" s="334" t="str">
        <f aca="false">IF((E253="d"),G253," ")</f>
        <v> </v>
      </c>
      <c r="L253" s="334" t="str">
        <f aca="false">IF((E253="e"),G253," ")</f>
        <v> </v>
      </c>
      <c r="M253" s="334" t="str">
        <f aca="false">IF((E253="p"),G253," ")</f>
        <v> </v>
      </c>
      <c r="N253" s="334" t="str">
        <f aca="false">IF((E253="r"),G253," ")</f>
        <v> </v>
      </c>
      <c r="O253" s="334" t="str">
        <f aca="false">IF((E253="g"),G253," ")</f>
        <v> </v>
      </c>
      <c r="P253" s="334" t="str">
        <f aca="false">IF((E253="m"),G253," ")</f>
        <v> </v>
      </c>
      <c r="Q253" s="334" t="str">
        <f aca="false">IF((E253="t"),G253," ")</f>
        <v> </v>
      </c>
      <c r="R253" s="334" t="str">
        <f aca="false">IF((E253="a"),G253," ")</f>
        <v> </v>
      </c>
      <c r="S253" s="334" t="str">
        <f aca="false">IF((E253="l"),G253," ")</f>
        <v> </v>
      </c>
      <c r="T253" s="334" t="str">
        <f aca="false">IF((E253="b"),G253," ")</f>
        <v> </v>
      </c>
      <c r="U253" s="334" t="str">
        <f aca="false">IF((E253="i"),G253," ")</f>
        <v> </v>
      </c>
      <c r="V253" s="334" t="str">
        <f aca="false">IF((E253="o"),G253," ")</f>
        <v> </v>
      </c>
      <c r="W253" s="334" t="str">
        <f aca="false">IF((E253="f"),G253," ")</f>
        <v> </v>
      </c>
    </row>
    <row r="254" customFormat="false" ht="12.75" hidden="false" customHeight="false" outlineLevel="0" collapsed="false">
      <c r="A254" s="355"/>
      <c r="E254" s="365" t="str">
        <f aca="false">IF((G254&lt;&gt;0),"Enter Letter"," ")</f>
        <v> </v>
      </c>
      <c r="J254" s="334" t="str">
        <f aca="false">IF((E254="s"),G254," ")</f>
        <v> </v>
      </c>
      <c r="K254" s="334" t="str">
        <f aca="false">IF((E254="d"),G254," ")</f>
        <v> </v>
      </c>
      <c r="L254" s="334" t="str">
        <f aca="false">IF((E254="e"),G254," ")</f>
        <v> </v>
      </c>
      <c r="M254" s="334" t="str">
        <f aca="false">IF((E254="p"),G254," ")</f>
        <v> </v>
      </c>
      <c r="N254" s="334" t="str">
        <f aca="false">IF((E254="r"),G254," ")</f>
        <v> </v>
      </c>
      <c r="O254" s="334" t="str">
        <f aca="false">IF((E254="g"),G254," ")</f>
        <v> </v>
      </c>
      <c r="P254" s="334" t="str">
        <f aca="false">IF((E254="m"),G254," ")</f>
        <v> </v>
      </c>
      <c r="Q254" s="334" t="str">
        <f aca="false">IF((E254="t"),G254," ")</f>
        <v> </v>
      </c>
      <c r="R254" s="334" t="str">
        <f aca="false">IF((E254="a"),G254," ")</f>
        <v> </v>
      </c>
      <c r="S254" s="334" t="str">
        <f aca="false">IF((E254="l"),G254," ")</f>
        <v> </v>
      </c>
      <c r="T254" s="334" t="str">
        <f aca="false">IF((E254="b"),G254," ")</f>
        <v> </v>
      </c>
      <c r="U254" s="334" t="str">
        <f aca="false">IF((E254="i"),G254," ")</f>
        <v> </v>
      </c>
      <c r="V254" s="334" t="str">
        <f aca="false">IF((E254="o"),G254," ")</f>
        <v> </v>
      </c>
      <c r="W254" s="334" t="str">
        <f aca="false">IF((E254="f"),G254," ")</f>
        <v> </v>
      </c>
    </row>
    <row r="255" customFormat="false" ht="12.75" hidden="false" customHeight="false" outlineLevel="0" collapsed="false">
      <c r="A255" s="355"/>
      <c r="E255" s="365" t="str">
        <f aca="false">IF((G255&lt;&gt;0),"Enter Letter"," ")</f>
        <v> </v>
      </c>
      <c r="J255" s="334" t="str">
        <f aca="false">IF((E255="s"),G255," ")</f>
        <v> </v>
      </c>
      <c r="K255" s="334" t="str">
        <f aca="false">IF((E255="d"),G255," ")</f>
        <v> </v>
      </c>
      <c r="L255" s="334" t="str">
        <f aca="false">IF((E255="e"),G255," ")</f>
        <v> </v>
      </c>
      <c r="M255" s="334" t="str">
        <f aca="false">IF((E255="p"),G255," ")</f>
        <v> </v>
      </c>
      <c r="N255" s="334" t="str">
        <f aca="false">IF((E255="r"),G255," ")</f>
        <v> </v>
      </c>
      <c r="O255" s="334" t="str">
        <f aca="false">IF((E255="g"),G255," ")</f>
        <v> </v>
      </c>
      <c r="P255" s="334" t="str">
        <f aca="false">IF((E255="m"),G255," ")</f>
        <v> </v>
      </c>
      <c r="Q255" s="334" t="str">
        <f aca="false">IF((E255="t"),G255," ")</f>
        <v> </v>
      </c>
      <c r="R255" s="334" t="str">
        <f aca="false">IF((E255="a"),G255," ")</f>
        <v> </v>
      </c>
      <c r="S255" s="334" t="str">
        <f aca="false">IF((E255="l"),G255," ")</f>
        <v> </v>
      </c>
      <c r="T255" s="334" t="str">
        <f aca="false">IF((E255="b"),G255," ")</f>
        <v> </v>
      </c>
      <c r="U255" s="334" t="str">
        <f aca="false">IF((E255="i"),G255," ")</f>
        <v> </v>
      </c>
      <c r="V255" s="334" t="str">
        <f aca="false">IF((E255="o"),G255," ")</f>
        <v> </v>
      </c>
      <c r="W255" s="334" t="str">
        <f aca="false">IF((E255="f"),G255," ")</f>
        <v> </v>
      </c>
    </row>
    <row r="256" customFormat="false" ht="12.75" hidden="false" customHeight="false" outlineLevel="0" collapsed="false">
      <c r="A256" s="355"/>
      <c r="E256" s="365" t="str">
        <f aca="false">IF((G256&lt;&gt;0),"Enter Letter"," ")</f>
        <v> </v>
      </c>
      <c r="J256" s="334" t="str">
        <f aca="false">IF((E256="s"),G256," ")</f>
        <v> </v>
      </c>
      <c r="K256" s="334" t="str">
        <f aca="false">IF((E256="d"),G256," ")</f>
        <v> </v>
      </c>
      <c r="L256" s="334" t="str">
        <f aca="false">IF((E256="e"),G256," ")</f>
        <v> </v>
      </c>
      <c r="M256" s="334" t="str">
        <f aca="false">IF((E256="p"),G256," ")</f>
        <v> </v>
      </c>
      <c r="N256" s="334" t="str">
        <f aca="false">IF((E256="r"),G256," ")</f>
        <v> </v>
      </c>
      <c r="O256" s="334" t="str">
        <f aca="false">IF((E256="g"),G256," ")</f>
        <v> </v>
      </c>
      <c r="P256" s="334" t="str">
        <f aca="false">IF((E256="m"),G256," ")</f>
        <v> </v>
      </c>
      <c r="Q256" s="334" t="str">
        <f aca="false">IF((E256="t"),G256," ")</f>
        <v> </v>
      </c>
      <c r="R256" s="334" t="str">
        <f aca="false">IF((E256="a"),G256," ")</f>
        <v> </v>
      </c>
      <c r="S256" s="334" t="str">
        <f aca="false">IF((E256="l"),G256," ")</f>
        <v> </v>
      </c>
      <c r="T256" s="334" t="str">
        <f aca="false">IF((E256="b"),G256," ")</f>
        <v> </v>
      </c>
      <c r="U256" s="334" t="str">
        <f aca="false">IF((E256="i"),G256," ")</f>
        <v> </v>
      </c>
      <c r="V256" s="334" t="str">
        <f aca="false">IF((E256="o"),G256," ")</f>
        <v> </v>
      </c>
      <c r="W256" s="334" t="str">
        <f aca="false">IF((E256="f"),G256," ")</f>
        <v> </v>
      </c>
    </row>
    <row r="257" customFormat="false" ht="12.75" hidden="false" customHeight="false" outlineLevel="0" collapsed="false">
      <c r="A257" s="355"/>
      <c r="E257" s="365" t="str">
        <f aca="false">IF((G257&lt;&gt;0),"Enter Letter"," ")</f>
        <v> </v>
      </c>
      <c r="J257" s="334" t="str">
        <f aca="false">IF((E257="s"),G257," ")</f>
        <v> </v>
      </c>
      <c r="K257" s="334" t="str">
        <f aca="false">IF((E257="d"),G257," ")</f>
        <v> </v>
      </c>
      <c r="L257" s="334" t="str">
        <f aca="false">IF((E257="e"),G257," ")</f>
        <v> </v>
      </c>
      <c r="M257" s="334" t="str">
        <f aca="false">IF((E257="p"),G257," ")</f>
        <v> </v>
      </c>
      <c r="N257" s="334" t="str">
        <f aca="false">IF((E257="r"),G257," ")</f>
        <v> </v>
      </c>
      <c r="O257" s="334" t="str">
        <f aca="false">IF((E257="g"),G257," ")</f>
        <v> </v>
      </c>
      <c r="P257" s="334" t="str">
        <f aca="false">IF((E257="m"),G257," ")</f>
        <v> </v>
      </c>
      <c r="Q257" s="334" t="str">
        <f aca="false">IF((E257="t"),G257," ")</f>
        <v> </v>
      </c>
      <c r="R257" s="334" t="str">
        <f aca="false">IF((E257="a"),G257," ")</f>
        <v> </v>
      </c>
      <c r="S257" s="334" t="str">
        <f aca="false">IF((E257="l"),G257," ")</f>
        <v> </v>
      </c>
      <c r="T257" s="334" t="str">
        <f aca="false">IF((E257="b"),G257," ")</f>
        <v> </v>
      </c>
      <c r="U257" s="334" t="str">
        <f aca="false">IF((E257="i"),G257," ")</f>
        <v> </v>
      </c>
      <c r="V257" s="334" t="str">
        <f aca="false">IF((E257="o"),G257," ")</f>
        <v> </v>
      </c>
      <c r="W257" s="334" t="str">
        <f aca="false">IF((E257="f"),G257," ")</f>
        <v> </v>
      </c>
    </row>
    <row r="258" customFormat="false" ht="12.75" hidden="false" customHeight="false" outlineLevel="0" collapsed="false">
      <c r="A258" s="355"/>
      <c r="E258" s="365" t="str">
        <f aca="false">IF((G258&lt;&gt;0),"Enter Letter"," ")</f>
        <v> </v>
      </c>
      <c r="J258" s="334" t="str">
        <f aca="false">IF((E258="s"),G258," ")</f>
        <v> </v>
      </c>
      <c r="K258" s="334" t="str">
        <f aca="false">IF((E258="d"),G258," ")</f>
        <v> </v>
      </c>
      <c r="L258" s="334" t="str">
        <f aca="false">IF((E258="e"),G258," ")</f>
        <v> </v>
      </c>
      <c r="M258" s="334" t="str">
        <f aca="false">IF((E258="p"),G258," ")</f>
        <v> </v>
      </c>
      <c r="N258" s="334" t="str">
        <f aca="false">IF((E258="r"),G258," ")</f>
        <v> </v>
      </c>
      <c r="O258" s="334" t="str">
        <f aca="false">IF((E258="g"),G258," ")</f>
        <v> </v>
      </c>
      <c r="P258" s="334" t="str">
        <f aca="false">IF((E258="m"),G258," ")</f>
        <v> </v>
      </c>
      <c r="Q258" s="334" t="str">
        <f aca="false">IF((E258="t"),G258," ")</f>
        <v> </v>
      </c>
      <c r="R258" s="334" t="str">
        <f aca="false">IF((E258="a"),G258," ")</f>
        <v> </v>
      </c>
      <c r="S258" s="334" t="str">
        <f aca="false">IF((E258="l"),G258," ")</f>
        <v> </v>
      </c>
      <c r="T258" s="334" t="str">
        <f aca="false">IF((E258="b"),G258," ")</f>
        <v> </v>
      </c>
      <c r="U258" s="334" t="str">
        <f aca="false">IF((E258="i"),G258," ")</f>
        <v> </v>
      </c>
      <c r="V258" s="334" t="str">
        <f aca="false">IF((E258="o"),G258," ")</f>
        <v> </v>
      </c>
      <c r="W258" s="334" t="str">
        <f aca="false">IF((E258="f"),G258," ")</f>
        <v> </v>
      </c>
    </row>
    <row r="259" customFormat="false" ht="12.75" hidden="false" customHeight="false" outlineLevel="0" collapsed="false">
      <c r="A259" s="355"/>
      <c r="E259" s="365" t="str">
        <f aca="false">IF((G259&lt;&gt;0),"Enter Letter"," ")</f>
        <v> </v>
      </c>
      <c r="J259" s="334" t="str">
        <f aca="false">IF((E259="s"),G259," ")</f>
        <v> </v>
      </c>
      <c r="K259" s="334" t="str">
        <f aca="false">IF((E259="d"),G259," ")</f>
        <v> </v>
      </c>
      <c r="L259" s="334" t="str">
        <f aca="false">IF((E259="e"),G259," ")</f>
        <v> </v>
      </c>
      <c r="M259" s="334" t="str">
        <f aca="false">IF((E259="p"),G259," ")</f>
        <v> </v>
      </c>
      <c r="N259" s="334" t="str">
        <f aca="false">IF((E259="r"),G259," ")</f>
        <v> </v>
      </c>
      <c r="O259" s="334" t="str">
        <f aca="false">IF((E259="g"),G259," ")</f>
        <v> </v>
      </c>
      <c r="P259" s="334" t="str">
        <f aca="false">IF((E259="m"),G259," ")</f>
        <v> </v>
      </c>
      <c r="Q259" s="334" t="str">
        <f aca="false">IF((E259="t"),G259," ")</f>
        <v> </v>
      </c>
      <c r="R259" s="334" t="str">
        <f aca="false">IF((E259="a"),G259," ")</f>
        <v> </v>
      </c>
      <c r="S259" s="334" t="str">
        <f aca="false">IF((E259="l"),G259," ")</f>
        <v> </v>
      </c>
      <c r="T259" s="334" t="str">
        <f aca="false">IF((E259="b"),G259," ")</f>
        <v> </v>
      </c>
      <c r="U259" s="334" t="str">
        <f aca="false">IF((E259="i"),G259," ")</f>
        <v> </v>
      </c>
      <c r="V259" s="334" t="str">
        <f aca="false">IF((E259="o"),G259," ")</f>
        <v> </v>
      </c>
      <c r="W259" s="334" t="str">
        <f aca="false">IF((E259="f"),G259," ")</f>
        <v> </v>
      </c>
    </row>
    <row r="260" customFormat="false" ht="12.75" hidden="false" customHeight="false" outlineLevel="0" collapsed="false">
      <c r="A260" s="355"/>
      <c r="E260" s="365" t="str">
        <f aca="false">IF((G260&lt;&gt;0),"Enter Letter"," ")</f>
        <v> </v>
      </c>
      <c r="J260" s="334" t="str">
        <f aca="false">IF((E260="s"),G260," ")</f>
        <v> </v>
      </c>
      <c r="K260" s="334" t="str">
        <f aca="false">IF((E260="d"),G260," ")</f>
        <v> </v>
      </c>
      <c r="L260" s="334" t="str">
        <f aca="false">IF((E260="e"),G260," ")</f>
        <v> </v>
      </c>
      <c r="M260" s="334" t="str">
        <f aca="false">IF((E260="p"),G260," ")</f>
        <v> </v>
      </c>
      <c r="N260" s="334" t="str">
        <f aca="false">IF((E260="r"),G260," ")</f>
        <v> </v>
      </c>
      <c r="O260" s="334" t="str">
        <f aca="false">IF((E260="g"),G260," ")</f>
        <v> </v>
      </c>
      <c r="P260" s="334" t="str">
        <f aca="false">IF((E260="m"),G260," ")</f>
        <v> </v>
      </c>
      <c r="Q260" s="334" t="str">
        <f aca="false">IF((E260="t"),G260," ")</f>
        <v> </v>
      </c>
      <c r="R260" s="334" t="str">
        <f aca="false">IF((E260="a"),G260," ")</f>
        <v> </v>
      </c>
      <c r="S260" s="334" t="str">
        <f aca="false">IF((E260="l"),G260," ")</f>
        <v> </v>
      </c>
      <c r="T260" s="334" t="str">
        <f aca="false">IF((E260="b"),G260," ")</f>
        <v> </v>
      </c>
      <c r="U260" s="334" t="str">
        <f aca="false">IF((E260="i"),G260," ")</f>
        <v> </v>
      </c>
      <c r="V260" s="334" t="str">
        <f aca="false">IF((E260="o"),G260," ")</f>
        <v> </v>
      </c>
      <c r="W260" s="334" t="str">
        <f aca="false">IF((E260="f"),G260," ")</f>
        <v> </v>
      </c>
    </row>
    <row r="261" customFormat="false" ht="12.75" hidden="false" customHeight="false" outlineLevel="0" collapsed="false">
      <c r="A261" s="355"/>
      <c r="E261" s="365" t="str">
        <f aca="false">IF((G261&lt;&gt;0),"Enter Letter"," ")</f>
        <v> </v>
      </c>
      <c r="J261" s="334" t="str">
        <f aca="false">IF((E261="s"),G261," ")</f>
        <v> </v>
      </c>
      <c r="K261" s="334" t="str">
        <f aca="false">IF((E261="d"),G261," ")</f>
        <v> </v>
      </c>
      <c r="L261" s="334" t="str">
        <f aca="false">IF((E261="e"),G261," ")</f>
        <v> </v>
      </c>
      <c r="M261" s="334" t="str">
        <f aca="false">IF((E261="p"),G261," ")</f>
        <v> </v>
      </c>
      <c r="N261" s="334" t="str">
        <f aca="false">IF((E261="r"),G261," ")</f>
        <v> </v>
      </c>
      <c r="O261" s="334" t="str">
        <f aca="false">IF((E261="g"),G261," ")</f>
        <v> </v>
      </c>
      <c r="P261" s="334" t="str">
        <f aca="false">IF((E261="m"),G261," ")</f>
        <v> </v>
      </c>
      <c r="Q261" s="334" t="str">
        <f aca="false">IF((E261="t"),G261," ")</f>
        <v> </v>
      </c>
      <c r="R261" s="334" t="str">
        <f aca="false">IF((E261="a"),G261," ")</f>
        <v> </v>
      </c>
      <c r="S261" s="334" t="str">
        <f aca="false">IF((E261="l"),G261," ")</f>
        <v> </v>
      </c>
      <c r="T261" s="334" t="str">
        <f aca="false">IF((E261="b"),G261," ")</f>
        <v> </v>
      </c>
      <c r="U261" s="334" t="str">
        <f aca="false">IF((E261="i"),G261," ")</f>
        <v> </v>
      </c>
      <c r="V261" s="334" t="str">
        <f aca="false">IF((E261="o"),G261," ")</f>
        <v> </v>
      </c>
      <c r="W261" s="334" t="str">
        <f aca="false">IF((E261="f"),G261," ")</f>
        <v> </v>
      </c>
    </row>
    <row r="262" customFormat="false" ht="12.75" hidden="false" customHeight="false" outlineLevel="0" collapsed="false">
      <c r="A262" s="355"/>
      <c r="E262" s="365" t="str">
        <f aca="false">IF((G262&lt;&gt;0),"Enter Letter"," ")</f>
        <v> </v>
      </c>
      <c r="J262" s="334" t="str">
        <f aca="false">IF((E262="s"),G262," ")</f>
        <v> </v>
      </c>
      <c r="K262" s="334" t="str">
        <f aca="false">IF((E262="d"),G262," ")</f>
        <v> </v>
      </c>
      <c r="L262" s="334" t="str">
        <f aca="false">IF((E262="e"),G262," ")</f>
        <v> </v>
      </c>
      <c r="M262" s="334" t="str">
        <f aca="false">IF((E262="p"),G262," ")</f>
        <v> </v>
      </c>
      <c r="N262" s="334" t="str">
        <f aca="false">IF((E262="r"),G262," ")</f>
        <v> </v>
      </c>
      <c r="O262" s="334" t="str">
        <f aca="false">IF((E262="g"),G262," ")</f>
        <v> </v>
      </c>
      <c r="P262" s="334" t="str">
        <f aca="false">IF((E262="m"),G262," ")</f>
        <v> </v>
      </c>
      <c r="Q262" s="334" t="str">
        <f aca="false">IF((E262="t"),G262," ")</f>
        <v> </v>
      </c>
      <c r="R262" s="334" t="str">
        <f aca="false">IF((E262="a"),G262," ")</f>
        <v> </v>
      </c>
      <c r="S262" s="334" t="str">
        <f aca="false">IF((E262="l"),G262," ")</f>
        <v> </v>
      </c>
      <c r="T262" s="334" t="str">
        <f aca="false">IF((E262="b"),G262," ")</f>
        <v> </v>
      </c>
      <c r="U262" s="334" t="str">
        <f aca="false">IF((E262="i"),G262," ")</f>
        <v> </v>
      </c>
      <c r="V262" s="334" t="str">
        <f aca="false">IF((E262="o"),G262," ")</f>
        <v> </v>
      </c>
      <c r="W262" s="334" t="str">
        <f aca="false">IF((E262="f"),G262," ")</f>
        <v> </v>
      </c>
    </row>
    <row r="263" customFormat="false" ht="12.75" hidden="false" customHeight="false" outlineLevel="0" collapsed="false">
      <c r="A263" s="355"/>
      <c r="E263" s="365" t="str">
        <f aca="false">IF((G263&lt;&gt;0),"Enter Letter"," ")</f>
        <v> </v>
      </c>
      <c r="J263" s="334" t="str">
        <f aca="false">IF((E263="s"),G263," ")</f>
        <v> </v>
      </c>
      <c r="K263" s="334" t="str">
        <f aca="false">IF((E263="d"),G263," ")</f>
        <v> </v>
      </c>
      <c r="L263" s="334" t="str">
        <f aca="false">IF((E263="e"),G263," ")</f>
        <v> </v>
      </c>
      <c r="M263" s="334" t="str">
        <f aca="false">IF((E263="p"),G263," ")</f>
        <v> </v>
      </c>
      <c r="N263" s="334" t="str">
        <f aca="false">IF((E263="r"),G263," ")</f>
        <v> </v>
      </c>
      <c r="O263" s="334" t="str">
        <f aca="false">IF((E263="g"),G263," ")</f>
        <v> </v>
      </c>
      <c r="P263" s="334" t="str">
        <f aca="false">IF((E263="m"),G263," ")</f>
        <v> </v>
      </c>
      <c r="Q263" s="334" t="str">
        <f aca="false">IF((E263="t"),G263," ")</f>
        <v> </v>
      </c>
      <c r="R263" s="334" t="str">
        <f aca="false">IF((E263="a"),G263," ")</f>
        <v> </v>
      </c>
      <c r="S263" s="334" t="str">
        <f aca="false">IF((E263="l"),G263," ")</f>
        <v> </v>
      </c>
      <c r="T263" s="334" t="str">
        <f aca="false">IF((E263="b"),G263," ")</f>
        <v> </v>
      </c>
      <c r="U263" s="334" t="str">
        <f aca="false">IF((E263="i"),G263," ")</f>
        <v> </v>
      </c>
      <c r="V263" s="334" t="str">
        <f aca="false">IF((E263="o"),G263," ")</f>
        <v> </v>
      </c>
      <c r="W263" s="334" t="str">
        <f aca="false">IF((E263="f"),G263," ")</f>
        <v> </v>
      </c>
    </row>
    <row r="264" customFormat="false" ht="12.75" hidden="false" customHeight="false" outlineLevel="0" collapsed="false">
      <c r="A264" s="355"/>
      <c r="E264" s="365" t="str">
        <f aca="false">IF((G264&lt;&gt;0),"Enter Letter"," ")</f>
        <v> </v>
      </c>
      <c r="J264" s="334" t="str">
        <f aca="false">IF((E264="s"),G264," ")</f>
        <v> </v>
      </c>
      <c r="K264" s="334" t="str">
        <f aca="false">IF((E264="d"),G264," ")</f>
        <v> </v>
      </c>
      <c r="L264" s="334" t="str">
        <f aca="false">IF((E264="e"),G264," ")</f>
        <v> </v>
      </c>
      <c r="M264" s="334" t="str">
        <f aca="false">IF((E264="p"),G264," ")</f>
        <v> </v>
      </c>
      <c r="N264" s="334" t="str">
        <f aca="false">IF((E264="r"),G264," ")</f>
        <v> </v>
      </c>
      <c r="O264" s="334" t="str">
        <f aca="false">IF((E264="g"),G264," ")</f>
        <v> </v>
      </c>
      <c r="P264" s="334" t="str">
        <f aca="false">IF((E264="m"),G264," ")</f>
        <v> </v>
      </c>
      <c r="Q264" s="334" t="str">
        <f aca="false">IF((E264="t"),G264," ")</f>
        <v> </v>
      </c>
      <c r="R264" s="334" t="str">
        <f aca="false">IF((E264="a"),G264," ")</f>
        <v> </v>
      </c>
      <c r="S264" s="334" t="str">
        <f aca="false">IF((E264="l"),G264," ")</f>
        <v> </v>
      </c>
      <c r="T264" s="334" t="str">
        <f aca="false">IF((E264="b"),G264," ")</f>
        <v> </v>
      </c>
      <c r="U264" s="334" t="str">
        <f aca="false">IF((E264="i"),G264," ")</f>
        <v> </v>
      </c>
      <c r="V264" s="334" t="str">
        <f aca="false">IF((E264="o"),G264," ")</f>
        <v> </v>
      </c>
      <c r="W264" s="334" t="str">
        <f aca="false">IF((E264="f"),G264," ")</f>
        <v> </v>
      </c>
    </row>
    <row r="265" customFormat="false" ht="12.75" hidden="false" customHeight="false" outlineLevel="0" collapsed="false">
      <c r="A265" s="355"/>
      <c r="E265" s="365" t="str">
        <f aca="false">IF((G265&lt;&gt;0),"Enter Letter"," ")</f>
        <v> </v>
      </c>
      <c r="J265" s="334" t="str">
        <f aca="false">IF((E265="s"),G265," ")</f>
        <v> </v>
      </c>
      <c r="K265" s="334" t="str">
        <f aca="false">IF((E265="d"),G265," ")</f>
        <v> </v>
      </c>
      <c r="L265" s="334" t="str">
        <f aca="false">IF((E265="e"),G265," ")</f>
        <v> </v>
      </c>
      <c r="M265" s="334" t="str">
        <f aca="false">IF((E265="p"),G265," ")</f>
        <v> </v>
      </c>
      <c r="N265" s="334" t="str">
        <f aca="false">IF((E265="r"),G265," ")</f>
        <v> </v>
      </c>
      <c r="O265" s="334" t="str">
        <f aca="false">IF((E265="g"),G265," ")</f>
        <v> </v>
      </c>
      <c r="P265" s="334" t="str">
        <f aca="false">IF((E265="m"),G265," ")</f>
        <v> </v>
      </c>
      <c r="Q265" s="334" t="str">
        <f aca="false">IF((E265="t"),G265," ")</f>
        <v> </v>
      </c>
      <c r="R265" s="334" t="str">
        <f aca="false">IF((E265="a"),G265," ")</f>
        <v> </v>
      </c>
      <c r="S265" s="334" t="str">
        <f aca="false">IF((E265="l"),G265," ")</f>
        <v> </v>
      </c>
      <c r="T265" s="334" t="str">
        <f aca="false">IF((E265="b"),G265," ")</f>
        <v> </v>
      </c>
      <c r="U265" s="334" t="str">
        <f aca="false">IF((E265="i"),G265," ")</f>
        <v> </v>
      </c>
      <c r="V265" s="334" t="str">
        <f aca="false">IF((E265="o"),G265," ")</f>
        <v> </v>
      </c>
      <c r="W265" s="334" t="str">
        <f aca="false">IF((E265="f"),G265," ")</f>
        <v> </v>
      </c>
    </row>
    <row r="266" customFormat="false" ht="12.75" hidden="false" customHeight="false" outlineLevel="0" collapsed="false">
      <c r="A266" s="355"/>
      <c r="E266" s="365" t="str">
        <f aca="false">IF((G266&lt;&gt;0),"Enter Letter"," ")</f>
        <v> </v>
      </c>
      <c r="J266" s="334" t="str">
        <f aca="false">IF((E266="s"),G266," ")</f>
        <v> </v>
      </c>
      <c r="K266" s="334" t="str">
        <f aca="false">IF((E266="d"),G266," ")</f>
        <v> </v>
      </c>
      <c r="L266" s="334" t="str">
        <f aca="false">IF((E266="e"),G266," ")</f>
        <v> </v>
      </c>
      <c r="M266" s="334" t="str">
        <f aca="false">IF((E266="p"),G266," ")</f>
        <v> </v>
      </c>
      <c r="N266" s="334" t="str">
        <f aca="false">IF((E266="r"),G266," ")</f>
        <v> </v>
      </c>
      <c r="O266" s="334" t="str">
        <f aca="false">IF((E266="g"),G266," ")</f>
        <v> </v>
      </c>
      <c r="P266" s="334" t="str">
        <f aca="false">IF((E266="m"),G266," ")</f>
        <v> </v>
      </c>
      <c r="Q266" s="334" t="str">
        <f aca="false">IF((E266="t"),G266," ")</f>
        <v> </v>
      </c>
      <c r="R266" s="334" t="str">
        <f aca="false">IF((E266="a"),G266," ")</f>
        <v> </v>
      </c>
      <c r="S266" s="334" t="str">
        <f aca="false">IF((E266="l"),G266," ")</f>
        <v> </v>
      </c>
      <c r="T266" s="334" t="str">
        <f aca="false">IF((E266="b"),G266," ")</f>
        <v> </v>
      </c>
      <c r="U266" s="334" t="str">
        <f aca="false">IF((E266="i"),G266," ")</f>
        <v> </v>
      </c>
      <c r="V266" s="334" t="str">
        <f aca="false">IF((E266="o"),G266," ")</f>
        <v> </v>
      </c>
      <c r="W266" s="334" t="str">
        <f aca="false">IF((E266="f"),G266," ")</f>
        <v> </v>
      </c>
    </row>
    <row r="267" customFormat="false" ht="12.75" hidden="false" customHeight="false" outlineLevel="0" collapsed="false">
      <c r="A267" s="355"/>
      <c r="E267" s="365" t="str">
        <f aca="false">IF((G267&lt;&gt;0),"Enter Letter"," ")</f>
        <v> </v>
      </c>
      <c r="J267" s="334" t="str">
        <f aca="false">IF((E267="s"),G267," ")</f>
        <v> </v>
      </c>
      <c r="K267" s="334" t="str">
        <f aca="false">IF((E267="d"),G267," ")</f>
        <v> </v>
      </c>
      <c r="L267" s="334" t="str">
        <f aca="false">IF((E267="e"),G267," ")</f>
        <v> </v>
      </c>
      <c r="M267" s="334" t="str">
        <f aca="false">IF((E267="p"),G267," ")</f>
        <v> </v>
      </c>
      <c r="N267" s="334" t="str">
        <f aca="false">IF((E267="r"),G267," ")</f>
        <v> </v>
      </c>
      <c r="O267" s="334" t="str">
        <f aca="false">IF((E267="g"),G267," ")</f>
        <v> </v>
      </c>
      <c r="P267" s="334" t="str">
        <f aca="false">IF((E267="m"),G267," ")</f>
        <v> </v>
      </c>
      <c r="Q267" s="334" t="str">
        <f aca="false">IF((E267="t"),G267," ")</f>
        <v> </v>
      </c>
      <c r="R267" s="334" t="str">
        <f aca="false">IF((E267="a"),G267," ")</f>
        <v> </v>
      </c>
      <c r="S267" s="334" t="str">
        <f aca="false">IF((E267="l"),G267," ")</f>
        <v> </v>
      </c>
      <c r="T267" s="334" t="str">
        <f aca="false">IF((E267="b"),G267," ")</f>
        <v> </v>
      </c>
      <c r="U267" s="334" t="str">
        <f aca="false">IF((E267="i"),G267," ")</f>
        <v> </v>
      </c>
      <c r="V267" s="334" t="str">
        <f aca="false">IF((E267="o"),G267," ")</f>
        <v> </v>
      </c>
      <c r="W267" s="334" t="str">
        <f aca="false">IF((E267="f"),G267," ")</f>
        <v> </v>
      </c>
    </row>
    <row r="268" customFormat="false" ht="12.75" hidden="false" customHeight="false" outlineLevel="0" collapsed="false">
      <c r="A268" s="355"/>
      <c r="E268" s="365" t="str">
        <f aca="false">IF((G268&lt;&gt;0),"Enter Letter"," ")</f>
        <v> </v>
      </c>
      <c r="J268" s="334" t="str">
        <f aca="false">IF((E268="s"),G268," ")</f>
        <v> </v>
      </c>
      <c r="K268" s="334" t="str">
        <f aca="false">IF((E268="d"),G268," ")</f>
        <v> </v>
      </c>
      <c r="L268" s="334" t="str">
        <f aca="false">IF((E268="e"),G268," ")</f>
        <v> </v>
      </c>
      <c r="M268" s="334" t="str">
        <f aca="false">IF((E268="p"),G268," ")</f>
        <v> </v>
      </c>
      <c r="N268" s="334" t="str">
        <f aca="false">IF((E268="r"),G268," ")</f>
        <v> </v>
      </c>
      <c r="O268" s="334" t="str">
        <f aca="false">IF((E268="g"),G268," ")</f>
        <v> </v>
      </c>
      <c r="P268" s="334" t="str">
        <f aca="false">IF((E268="m"),G268," ")</f>
        <v> </v>
      </c>
      <c r="Q268" s="334" t="str">
        <f aca="false">IF((E268="t"),G268," ")</f>
        <v> </v>
      </c>
      <c r="R268" s="334" t="str">
        <f aca="false">IF((E268="a"),G268," ")</f>
        <v> </v>
      </c>
      <c r="S268" s="334" t="str">
        <f aca="false">IF((E268="l"),G268," ")</f>
        <v> </v>
      </c>
      <c r="T268" s="334" t="str">
        <f aca="false">IF((E268="b"),G268," ")</f>
        <v> </v>
      </c>
      <c r="U268" s="334" t="str">
        <f aca="false">IF((E268="i"),G268," ")</f>
        <v> </v>
      </c>
      <c r="V268" s="334" t="str">
        <f aca="false">IF((E268="o"),G268," ")</f>
        <v> </v>
      </c>
      <c r="W268" s="334" t="str">
        <f aca="false">IF((E268="f"),G268," ")</f>
        <v> </v>
      </c>
    </row>
    <row r="269" customFormat="false" ht="12.75" hidden="false" customHeight="false" outlineLevel="0" collapsed="false">
      <c r="A269" s="355"/>
      <c r="E269" s="365" t="str">
        <f aca="false">IF((G269&lt;&gt;0),"Enter Letter"," ")</f>
        <v> </v>
      </c>
      <c r="J269" s="334" t="str">
        <f aca="false">IF((E269="s"),G269," ")</f>
        <v> </v>
      </c>
      <c r="K269" s="334" t="str">
        <f aca="false">IF((E269="d"),G269," ")</f>
        <v> </v>
      </c>
      <c r="L269" s="334" t="str">
        <f aca="false">IF((E269="e"),G269," ")</f>
        <v> </v>
      </c>
      <c r="M269" s="334" t="str">
        <f aca="false">IF((E269="p"),G269," ")</f>
        <v> </v>
      </c>
      <c r="N269" s="334" t="str">
        <f aca="false">IF((E269="r"),G269," ")</f>
        <v> </v>
      </c>
      <c r="O269" s="334" t="str">
        <f aca="false">IF((E269="g"),G269," ")</f>
        <v> </v>
      </c>
      <c r="P269" s="334" t="str">
        <f aca="false">IF((E269="m"),G269," ")</f>
        <v> </v>
      </c>
      <c r="Q269" s="334" t="str">
        <f aca="false">IF((E269="t"),G269," ")</f>
        <v> </v>
      </c>
      <c r="R269" s="334" t="str">
        <f aca="false">IF((E269="a"),G269," ")</f>
        <v> </v>
      </c>
      <c r="S269" s="334" t="str">
        <f aca="false">IF((E269="l"),G269," ")</f>
        <v> </v>
      </c>
      <c r="T269" s="334" t="str">
        <f aca="false">IF((E269="b"),G269," ")</f>
        <v> </v>
      </c>
      <c r="U269" s="334" t="str">
        <f aca="false">IF((E269="i"),G269," ")</f>
        <v> </v>
      </c>
      <c r="V269" s="334" t="str">
        <f aca="false">IF((E269="o"),G269," ")</f>
        <v> </v>
      </c>
      <c r="W269" s="334" t="str">
        <f aca="false">IF((E269="f"),G269," ")</f>
        <v> </v>
      </c>
    </row>
    <row r="270" customFormat="false" ht="12.75" hidden="false" customHeight="false" outlineLevel="0" collapsed="false">
      <c r="A270" s="355"/>
      <c r="E270" s="365" t="str">
        <f aca="false">IF((G270&lt;&gt;0),"Enter Letter"," ")</f>
        <v> </v>
      </c>
      <c r="J270" s="334" t="str">
        <f aca="false">IF((E270="s"),G270," ")</f>
        <v> </v>
      </c>
      <c r="K270" s="334" t="str">
        <f aca="false">IF((E270="d"),G270," ")</f>
        <v> </v>
      </c>
      <c r="L270" s="334" t="str">
        <f aca="false">IF((E270="e"),G270," ")</f>
        <v> </v>
      </c>
      <c r="M270" s="334" t="str">
        <f aca="false">IF((E270="p"),G270," ")</f>
        <v> </v>
      </c>
      <c r="N270" s="334" t="str">
        <f aca="false">IF((E270="r"),G270," ")</f>
        <v> </v>
      </c>
      <c r="O270" s="334" t="str">
        <f aca="false">IF((E270="g"),G270," ")</f>
        <v> </v>
      </c>
      <c r="P270" s="334" t="str">
        <f aca="false">IF((E270="m"),G270," ")</f>
        <v> </v>
      </c>
      <c r="Q270" s="334" t="str">
        <f aca="false">IF((E270="t"),G270," ")</f>
        <v> </v>
      </c>
      <c r="R270" s="334" t="str">
        <f aca="false">IF((E270="a"),G270," ")</f>
        <v> </v>
      </c>
      <c r="S270" s="334" t="str">
        <f aca="false">IF((E270="l"),G270," ")</f>
        <v> </v>
      </c>
      <c r="T270" s="334" t="str">
        <f aca="false">IF((E270="b"),G270," ")</f>
        <v> </v>
      </c>
      <c r="U270" s="334" t="str">
        <f aca="false">IF((E270="i"),G270," ")</f>
        <v> </v>
      </c>
      <c r="V270" s="334" t="str">
        <f aca="false">IF((E270="o"),G270," ")</f>
        <v> </v>
      </c>
      <c r="W270" s="334" t="str">
        <f aca="false">IF((E270="f"),G270," ")</f>
        <v> </v>
      </c>
    </row>
    <row r="271" customFormat="false" ht="12.75" hidden="false" customHeight="false" outlineLevel="0" collapsed="false">
      <c r="A271" s="355"/>
      <c r="E271" s="365" t="str">
        <f aca="false">IF((G271&lt;&gt;0),"Enter Letter"," ")</f>
        <v> </v>
      </c>
      <c r="J271" s="334" t="str">
        <f aca="false">IF((E271="s"),G271," ")</f>
        <v> </v>
      </c>
      <c r="K271" s="334" t="str">
        <f aca="false">IF((E271="d"),G271," ")</f>
        <v> </v>
      </c>
      <c r="L271" s="334" t="str">
        <f aca="false">IF((E271="e"),G271," ")</f>
        <v> </v>
      </c>
      <c r="M271" s="334" t="str">
        <f aca="false">IF((E271="p"),G271," ")</f>
        <v> </v>
      </c>
      <c r="N271" s="334" t="str">
        <f aca="false">IF((E271="r"),G271," ")</f>
        <v> </v>
      </c>
      <c r="O271" s="334" t="str">
        <f aca="false">IF((E271="g"),G271," ")</f>
        <v> </v>
      </c>
      <c r="P271" s="334" t="str">
        <f aca="false">IF((E271="m"),G271," ")</f>
        <v> </v>
      </c>
      <c r="Q271" s="334" t="str">
        <f aca="false">IF((E271="t"),G271," ")</f>
        <v> </v>
      </c>
      <c r="R271" s="334" t="str">
        <f aca="false">IF((E271="a"),G271," ")</f>
        <v> </v>
      </c>
      <c r="S271" s="334" t="str">
        <f aca="false">IF((E271="l"),G271," ")</f>
        <v> </v>
      </c>
      <c r="T271" s="334" t="str">
        <f aca="false">IF((E271="b"),G271," ")</f>
        <v> </v>
      </c>
      <c r="U271" s="334" t="str">
        <f aca="false">IF((E271="i"),G271," ")</f>
        <v> </v>
      </c>
      <c r="V271" s="334" t="str">
        <f aca="false">IF((E271="o"),G271," ")</f>
        <v> </v>
      </c>
      <c r="W271" s="334" t="str">
        <f aca="false">IF((E271="f"),G271," ")</f>
        <v> </v>
      </c>
    </row>
    <row r="272" customFormat="false" ht="12.75" hidden="false" customHeight="false" outlineLevel="0" collapsed="false">
      <c r="A272" s="355"/>
      <c r="E272" s="365" t="str">
        <f aca="false">IF((G272&lt;&gt;0),"Enter Letter"," ")</f>
        <v> </v>
      </c>
      <c r="J272" s="334" t="str">
        <f aca="false">IF((E272="s"),G272," ")</f>
        <v> </v>
      </c>
      <c r="K272" s="334" t="str">
        <f aca="false">IF((E272="d"),G272," ")</f>
        <v> </v>
      </c>
      <c r="L272" s="334" t="str">
        <f aca="false">IF((E272="e"),G272," ")</f>
        <v> </v>
      </c>
      <c r="M272" s="334" t="str">
        <f aca="false">IF((E272="p"),G272," ")</f>
        <v> </v>
      </c>
      <c r="N272" s="334" t="str">
        <f aca="false">IF((E272="r"),G272," ")</f>
        <v> </v>
      </c>
      <c r="O272" s="334" t="str">
        <f aca="false">IF((E272="g"),G272," ")</f>
        <v> </v>
      </c>
      <c r="P272" s="334" t="str">
        <f aca="false">IF((E272="m"),G272," ")</f>
        <v> </v>
      </c>
      <c r="Q272" s="334" t="str">
        <f aca="false">IF((E272="t"),G272," ")</f>
        <v> </v>
      </c>
      <c r="R272" s="334" t="str">
        <f aca="false">IF((E272="a"),G272," ")</f>
        <v> </v>
      </c>
      <c r="S272" s="334" t="str">
        <f aca="false">IF((E272="l"),G272," ")</f>
        <v> </v>
      </c>
      <c r="T272" s="334" t="str">
        <f aca="false">IF((E272="b"),G272," ")</f>
        <v> </v>
      </c>
      <c r="U272" s="334" t="str">
        <f aca="false">IF((E272="i"),G272," ")</f>
        <v> </v>
      </c>
      <c r="V272" s="334" t="str">
        <f aca="false">IF((E272="o"),G272," ")</f>
        <v> </v>
      </c>
      <c r="W272" s="334" t="str">
        <f aca="false">IF((E272="f"),G272," ")</f>
        <v> </v>
      </c>
    </row>
    <row r="273" customFormat="false" ht="12.75" hidden="false" customHeight="false" outlineLevel="0" collapsed="false">
      <c r="A273" s="355"/>
      <c r="E273" s="365" t="str">
        <f aca="false">IF((G273&lt;&gt;0),"Enter Letter"," ")</f>
        <v> </v>
      </c>
      <c r="J273" s="334" t="str">
        <f aca="false">IF((E273="s"),G273," ")</f>
        <v> </v>
      </c>
      <c r="K273" s="334" t="str">
        <f aca="false">IF((E273="d"),G273," ")</f>
        <v> </v>
      </c>
      <c r="L273" s="334" t="str">
        <f aca="false">IF((E273="e"),G273," ")</f>
        <v> </v>
      </c>
      <c r="M273" s="334" t="str">
        <f aca="false">IF((E273="p"),G273," ")</f>
        <v> </v>
      </c>
      <c r="N273" s="334" t="str">
        <f aca="false">IF((E273="r"),G273," ")</f>
        <v> </v>
      </c>
      <c r="O273" s="334" t="str">
        <f aca="false">IF((E273="g"),G273," ")</f>
        <v> </v>
      </c>
      <c r="P273" s="334" t="str">
        <f aca="false">IF((E273="m"),G273," ")</f>
        <v> </v>
      </c>
      <c r="Q273" s="334" t="str">
        <f aca="false">IF((E273="t"),G273," ")</f>
        <v> </v>
      </c>
      <c r="R273" s="334" t="str">
        <f aca="false">IF((E273="a"),G273," ")</f>
        <v> </v>
      </c>
      <c r="S273" s="334" t="str">
        <f aca="false">IF((E273="l"),G273," ")</f>
        <v> </v>
      </c>
      <c r="T273" s="334" t="str">
        <f aca="false">IF((E273="b"),G273," ")</f>
        <v> </v>
      </c>
      <c r="U273" s="334" t="str">
        <f aca="false">IF((E273="i"),G273," ")</f>
        <v> </v>
      </c>
      <c r="V273" s="334" t="str">
        <f aca="false">IF((E273="o"),G273," ")</f>
        <v> </v>
      </c>
      <c r="W273" s="334" t="str">
        <f aca="false">IF((E273="f"),G273," ")</f>
        <v> </v>
      </c>
    </row>
    <row r="274" customFormat="false" ht="12.75" hidden="false" customHeight="false" outlineLevel="0" collapsed="false">
      <c r="A274" s="355"/>
      <c r="E274" s="365" t="str">
        <f aca="false">IF((G274&lt;&gt;0),"Enter Letter"," ")</f>
        <v> </v>
      </c>
      <c r="J274" s="334" t="str">
        <f aca="false">IF((E274="s"),G274," ")</f>
        <v> </v>
      </c>
      <c r="K274" s="334" t="str">
        <f aca="false">IF((E274="d"),G274," ")</f>
        <v> </v>
      </c>
      <c r="L274" s="334" t="str">
        <f aca="false">IF((E274="e"),G274," ")</f>
        <v> </v>
      </c>
      <c r="M274" s="334" t="str">
        <f aca="false">IF((E274="p"),G274," ")</f>
        <v> </v>
      </c>
      <c r="N274" s="334" t="str">
        <f aca="false">IF((E274="r"),G274," ")</f>
        <v> </v>
      </c>
      <c r="O274" s="334" t="str">
        <f aca="false">IF((E274="g"),G274," ")</f>
        <v> </v>
      </c>
      <c r="P274" s="334" t="str">
        <f aca="false">IF((E274="m"),G274," ")</f>
        <v> </v>
      </c>
      <c r="Q274" s="334" t="str">
        <f aca="false">IF((E274="t"),G274," ")</f>
        <v> </v>
      </c>
      <c r="R274" s="334" t="str">
        <f aca="false">IF((E274="a"),G274," ")</f>
        <v> </v>
      </c>
      <c r="S274" s="334" t="str">
        <f aca="false">IF((E274="l"),G274," ")</f>
        <v> </v>
      </c>
      <c r="T274" s="334" t="str">
        <f aca="false">IF((E274="b"),G274," ")</f>
        <v> </v>
      </c>
      <c r="U274" s="334" t="str">
        <f aca="false">IF((E274="i"),G274," ")</f>
        <v> </v>
      </c>
      <c r="V274" s="334" t="str">
        <f aca="false">IF((E274="o"),G274," ")</f>
        <v> </v>
      </c>
      <c r="W274" s="334" t="str">
        <f aca="false">IF((E274="f"),G274," ")</f>
        <v> </v>
      </c>
    </row>
    <row r="275" customFormat="false" ht="12.75" hidden="false" customHeight="false" outlineLevel="0" collapsed="false">
      <c r="A275" s="355"/>
      <c r="E275" s="365" t="str">
        <f aca="false">IF((G275&lt;&gt;0),"Enter Letter"," ")</f>
        <v> </v>
      </c>
      <c r="J275" s="334" t="str">
        <f aca="false">IF((E275="s"),G275," ")</f>
        <v> </v>
      </c>
      <c r="K275" s="334" t="str">
        <f aca="false">IF((E275="d"),G275," ")</f>
        <v> </v>
      </c>
      <c r="L275" s="334" t="str">
        <f aca="false">IF((E275="e"),G275," ")</f>
        <v> </v>
      </c>
      <c r="M275" s="334" t="str">
        <f aca="false">IF((E275="p"),G275," ")</f>
        <v> </v>
      </c>
      <c r="N275" s="334" t="str">
        <f aca="false">IF((E275="r"),G275," ")</f>
        <v> </v>
      </c>
      <c r="O275" s="334" t="str">
        <f aca="false">IF((E275="g"),G275," ")</f>
        <v> </v>
      </c>
      <c r="P275" s="334" t="str">
        <f aca="false">IF((E275="m"),G275," ")</f>
        <v> </v>
      </c>
      <c r="Q275" s="334" t="str">
        <f aca="false">IF((E275="t"),G275," ")</f>
        <v> </v>
      </c>
      <c r="R275" s="334" t="str">
        <f aca="false">IF((E275="a"),G275," ")</f>
        <v> </v>
      </c>
      <c r="S275" s="334" t="str">
        <f aca="false">IF((E275="l"),G275," ")</f>
        <v> </v>
      </c>
      <c r="T275" s="334" t="str">
        <f aca="false">IF((E275="b"),G275," ")</f>
        <v> </v>
      </c>
      <c r="U275" s="334" t="str">
        <f aca="false">IF((E275="i"),G275," ")</f>
        <v> </v>
      </c>
      <c r="V275" s="334" t="str">
        <f aca="false">IF((E275="o"),G275," ")</f>
        <v> </v>
      </c>
      <c r="W275" s="334" t="str">
        <f aca="false">IF((E275="f"),G275," ")</f>
        <v> </v>
      </c>
    </row>
    <row r="276" customFormat="false" ht="12.75" hidden="false" customHeight="false" outlineLevel="0" collapsed="false">
      <c r="A276" s="355"/>
      <c r="E276" s="365" t="str">
        <f aca="false">IF((G276&lt;&gt;0),"Enter Letter"," ")</f>
        <v> </v>
      </c>
      <c r="J276" s="334" t="str">
        <f aca="false">IF((E276="s"),G276," ")</f>
        <v> </v>
      </c>
      <c r="K276" s="334" t="str">
        <f aca="false">IF((E276="d"),G276," ")</f>
        <v> </v>
      </c>
      <c r="L276" s="334" t="str">
        <f aca="false">IF((E276="e"),G276," ")</f>
        <v> </v>
      </c>
      <c r="M276" s="334" t="str">
        <f aca="false">IF((E276="p"),G276," ")</f>
        <v> </v>
      </c>
      <c r="N276" s="334" t="str">
        <f aca="false">IF((E276="r"),G276," ")</f>
        <v> </v>
      </c>
      <c r="O276" s="334" t="str">
        <f aca="false">IF((E276="g"),G276," ")</f>
        <v> </v>
      </c>
      <c r="P276" s="334" t="str">
        <f aca="false">IF((E276="m"),G276," ")</f>
        <v> </v>
      </c>
      <c r="Q276" s="334" t="str">
        <f aca="false">IF((E276="t"),G276," ")</f>
        <v> </v>
      </c>
      <c r="R276" s="334" t="str">
        <f aca="false">IF((E276="a"),G276," ")</f>
        <v> </v>
      </c>
      <c r="S276" s="334" t="str">
        <f aca="false">IF((E276="l"),G276," ")</f>
        <v> </v>
      </c>
      <c r="T276" s="334" t="str">
        <f aca="false">IF((E276="b"),G276," ")</f>
        <v> </v>
      </c>
      <c r="U276" s="334" t="str">
        <f aca="false">IF((E276="i"),G276," ")</f>
        <v> </v>
      </c>
      <c r="V276" s="334" t="str">
        <f aca="false">IF((E276="o"),G276," ")</f>
        <v> </v>
      </c>
      <c r="W276" s="334" t="str">
        <f aca="false">IF((E276="f"),G276," ")</f>
        <v> </v>
      </c>
    </row>
    <row r="277" customFormat="false" ht="12.75" hidden="false" customHeight="false" outlineLevel="0" collapsed="false">
      <c r="A277" s="355"/>
      <c r="E277" s="365" t="str">
        <f aca="false">IF((G277&lt;&gt;0),"Enter Letter"," ")</f>
        <v> </v>
      </c>
      <c r="J277" s="334" t="str">
        <f aca="false">IF((E277="s"),G277," ")</f>
        <v> </v>
      </c>
      <c r="K277" s="334" t="str">
        <f aca="false">IF((E277="d"),G277," ")</f>
        <v> </v>
      </c>
      <c r="L277" s="334" t="str">
        <f aca="false">IF((E277="e"),G277," ")</f>
        <v> </v>
      </c>
      <c r="M277" s="334" t="str">
        <f aca="false">IF((E277="p"),G277," ")</f>
        <v> </v>
      </c>
      <c r="N277" s="334" t="str">
        <f aca="false">IF((E277="r"),G277," ")</f>
        <v> </v>
      </c>
      <c r="O277" s="334" t="str">
        <f aca="false">IF((E277="g"),G277," ")</f>
        <v> </v>
      </c>
      <c r="P277" s="334" t="str">
        <f aca="false">IF((E277="m"),G277," ")</f>
        <v> </v>
      </c>
      <c r="Q277" s="334" t="str">
        <f aca="false">IF((E277="t"),G277," ")</f>
        <v> </v>
      </c>
      <c r="R277" s="334" t="str">
        <f aca="false">IF((E277="a"),G277," ")</f>
        <v> </v>
      </c>
      <c r="S277" s="334" t="str">
        <f aca="false">IF((E277="l"),G277," ")</f>
        <v> </v>
      </c>
      <c r="T277" s="334" t="str">
        <f aca="false">IF((E277="b"),G277," ")</f>
        <v> </v>
      </c>
      <c r="U277" s="334" t="str">
        <f aca="false">IF((E277="i"),G277," ")</f>
        <v> </v>
      </c>
      <c r="V277" s="334" t="str">
        <f aca="false">IF((E277="o"),G277," ")</f>
        <v> </v>
      </c>
      <c r="W277" s="334" t="str">
        <f aca="false">IF((E277="f"),G277," ")</f>
        <v> </v>
      </c>
    </row>
    <row r="278" customFormat="false" ht="12.75" hidden="false" customHeight="false" outlineLevel="0" collapsed="false">
      <c r="A278" s="355"/>
      <c r="E278" s="365" t="str">
        <f aca="false">IF((G278&lt;&gt;0),"Enter Letter"," ")</f>
        <v> </v>
      </c>
      <c r="J278" s="334" t="str">
        <f aca="false">IF((E278="s"),G278," ")</f>
        <v> </v>
      </c>
      <c r="K278" s="334" t="str">
        <f aca="false">IF((E278="d"),G278," ")</f>
        <v> </v>
      </c>
      <c r="L278" s="334" t="str">
        <f aca="false">IF((E278="e"),G278," ")</f>
        <v> </v>
      </c>
      <c r="M278" s="334" t="str">
        <f aca="false">IF((E278="p"),G278," ")</f>
        <v> </v>
      </c>
      <c r="N278" s="334" t="str">
        <f aca="false">IF((E278="r"),G278," ")</f>
        <v> </v>
      </c>
      <c r="O278" s="334" t="str">
        <f aca="false">IF((E278="g"),G278," ")</f>
        <v> </v>
      </c>
      <c r="P278" s="334" t="str">
        <f aca="false">IF((E278="m"),G278," ")</f>
        <v> </v>
      </c>
      <c r="Q278" s="334" t="str">
        <f aca="false">IF((E278="t"),G278," ")</f>
        <v> </v>
      </c>
      <c r="R278" s="334" t="str">
        <f aca="false">IF((E278="a"),G278," ")</f>
        <v> </v>
      </c>
      <c r="S278" s="334" t="str">
        <f aca="false">IF((E278="l"),G278," ")</f>
        <v> </v>
      </c>
      <c r="T278" s="334" t="str">
        <f aca="false">IF((E278="b"),G278," ")</f>
        <v> </v>
      </c>
      <c r="U278" s="334" t="str">
        <f aca="false">IF((E278="i"),G278," ")</f>
        <v> </v>
      </c>
      <c r="V278" s="334" t="str">
        <f aca="false">IF((E278="o"),G278," ")</f>
        <v> </v>
      </c>
      <c r="W278" s="334" t="str">
        <f aca="false">IF((E278="f"),G278," ")</f>
        <v> </v>
      </c>
    </row>
    <row r="279" customFormat="false" ht="12.75" hidden="false" customHeight="false" outlineLevel="0" collapsed="false">
      <c r="A279" s="355"/>
      <c r="E279" s="365" t="str">
        <f aca="false">IF((G279&lt;&gt;0),"Enter Letter"," ")</f>
        <v> </v>
      </c>
      <c r="J279" s="334" t="str">
        <f aca="false">IF((E279="s"),G279," ")</f>
        <v> </v>
      </c>
      <c r="K279" s="334" t="str">
        <f aca="false">IF((E279="d"),G279," ")</f>
        <v> </v>
      </c>
      <c r="L279" s="334" t="str">
        <f aca="false">IF((E279="e"),G279," ")</f>
        <v> </v>
      </c>
      <c r="M279" s="334" t="str">
        <f aca="false">IF((E279="p"),G279," ")</f>
        <v> </v>
      </c>
      <c r="N279" s="334" t="str">
        <f aca="false">IF((E279="r"),G279," ")</f>
        <v> </v>
      </c>
      <c r="O279" s="334" t="str">
        <f aca="false">IF((E279="g"),G279," ")</f>
        <v> </v>
      </c>
      <c r="P279" s="334" t="str">
        <f aca="false">IF((E279="m"),G279," ")</f>
        <v> </v>
      </c>
      <c r="Q279" s="334" t="str">
        <f aca="false">IF((E279="t"),G279," ")</f>
        <v> </v>
      </c>
      <c r="R279" s="334" t="str">
        <f aca="false">IF((E279="a"),G279," ")</f>
        <v> </v>
      </c>
      <c r="S279" s="334" t="str">
        <f aca="false">IF((E279="l"),G279," ")</f>
        <v> </v>
      </c>
      <c r="T279" s="334" t="str">
        <f aca="false">IF((E279="b"),G279," ")</f>
        <v> </v>
      </c>
      <c r="U279" s="334" t="str">
        <f aca="false">IF((E279="i"),G279," ")</f>
        <v> </v>
      </c>
      <c r="V279" s="334" t="str">
        <f aca="false">IF((E279="o"),G279," ")</f>
        <v> </v>
      </c>
      <c r="W279" s="334" t="str">
        <f aca="false">IF((E279="f"),G279," ")</f>
        <v> </v>
      </c>
    </row>
    <row r="280" customFormat="false" ht="12.75" hidden="false" customHeight="false" outlineLevel="0" collapsed="false">
      <c r="A280" s="355"/>
      <c r="E280" s="365" t="str">
        <f aca="false">IF((G280&lt;&gt;0),"Enter Letter"," ")</f>
        <v> </v>
      </c>
      <c r="J280" s="334" t="str">
        <f aca="false">IF((E280="s"),G280," ")</f>
        <v> </v>
      </c>
      <c r="K280" s="334" t="str">
        <f aca="false">IF((E280="d"),G280," ")</f>
        <v> </v>
      </c>
      <c r="L280" s="334" t="str">
        <f aca="false">IF((E280="e"),G280," ")</f>
        <v> </v>
      </c>
      <c r="M280" s="334" t="str">
        <f aca="false">IF((E280="p"),G280," ")</f>
        <v> </v>
      </c>
      <c r="N280" s="334" t="str">
        <f aca="false">IF((E280="r"),G280," ")</f>
        <v> </v>
      </c>
      <c r="O280" s="334" t="str">
        <f aca="false">IF((E280="g"),G280," ")</f>
        <v> </v>
      </c>
      <c r="P280" s="334" t="str">
        <f aca="false">IF((E280="m"),G280," ")</f>
        <v> </v>
      </c>
      <c r="Q280" s="334" t="str">
        <f aca="false">IF((E280="t"),G280," ")</f>
        <v> </v>
      </c>
      <c r="R280" s="334" t="str">
        <f aca="false">IF((E280="a"),G280," ")</f>
        <v> </v>
      </c>
      <c r="S280" s="334" t="str">
        <f aca="false">IF((E280="l"),G280," ")</f>
        <v> </v>
      </c>
      <c r="T280" s="334" t="str">
        <f aca="false">IF((E280="b"),G280," ")</f>
        <v> </v>
      </c>
      <c r="U280" s="334" t="str">
        <f aca="false">IF((E280="i"),G280," ")</f>
        <v> </v>
      </c>
      <c r="V280" s="334" t="str">
        <f aca="false">IF((E280="o"),G280," ")</f>
        <v> </v>
      </c>
      <c r="W280" s="334" t="str">
        <f aca="false">IF((E280="f"),G280," ")</f>
        <v> </v>
      </c>
    </row>
    <row r="281" customFormat="false" ht="12.75" hidden="false" customHeight="false" outlineLevel="0" collapsed="false">
      <c r="A281" s="355"/>
      <c r="E281" s="365" t="str">
        <f aca="false">IF((G281&lt;&gt;0),"Enter Letter"," ")</f>
        <v> </v>
      </c>
      <c r="J281" s="334" t="str">
        <f aca="false">IF((E281="s"),G281," ")</f>
        <v> </v>
      </c>
      <c r="K281" s="334" t="str">
        <f aca="false">IF((E281="d"),G281," ")</f>
        <v> </v>
      </c>
      <c r="L281" s="334" t="str">
        <f aca="false">IF((E281="e"),G281," ")</f>
        <v> </v>
      </c>
      <c r="M281" s="334" t="str">
        <f aca="false">IF((E281="p"),G281," ")</f>
        <v> </v>
      </c>
      <c r="N281" s="334" t="str">
        <f aca="false">IF((E281="r"),G281," ")</f>
        <v> </v>
      </c>
      <c r="O281" s="334" t="str">
        <f aca="false">IF((E281="g"),G281," ")</f>
        <v> </v>
      </c>
      <c r="P281" s="334" t="str">
        <f aca="false">IF((E281="m"),G281," ")</f>
        <v> </v>
      </c>
      <c r="Q281" s="334" t="str">
        <f aca="false">IF((E281="t"),G281," ")</f>
        <v> </v>
      </c>
      <c r="R281" s="334" t="str">
        <f aca="false">IF((E281="a"),G281," ")</f>
        <v> </v>
      </c>
      <c r="S281" s="334" t="str">
        <f aca="false">IF((E281="l"),G281," ")</f>
        <v> </v>
      </c>
      <c r="T281" s="334" t="str">
        <f aca="false">IF((E281="b"),G281," ")</f>
        <v> </v>
      </c>
      <c r="U281" s="334" t="str">
        <f aca="false">IF((E281="i"),G281," ")</f>
        <v> </v>
      </c>
      <c r="V281" s="334" t="str">
        <f aca="false">IF((E281="o"),G281," ")</f>
        <v> </v>
      </c>
      <c r="W281" s="334" t="str">
        <f aca="false">IF((E281="f"),G281," ")</f>
        <v> </v>
      </c>
    </row>
    <row r="282" customFormat="false" ht="12.75" hidden="false" customHeight="false" outlineLevel="0" collapsed="false">
      <c r="A282" s="355"/>
      <c r="E282" s="365" t="str">
        <f aca="false">IF((G282&lt;&gt;0),"Enter Letter"," ")</f>
        <v> </v>
      </c>
      <c r="J282" s="334" t="str">
        <f aca="false">IF((E282="s"),G282," ")</f>
        <v> </v>
      </c>
      <c r="K282" s="334" t="str">
        <f aca="false">IF((E282="d"),G282," ")</f>
        <v> </v>
      </c>
      <c r="L282" s="334" t="str">
        <f aca="false">IF((E282="e"),G282," ")</f>
        <v> </v>
      </c>
      <c r="M282" s="334" t="str">
        <f aca="false">IF((E282="p"),G282," ")</f>
        <v> </v>
      </c>
      <c r="N282" s="334" t="str">
        <f aca="false">IF((E282="r"),G282," ")</f>
        <v> </v>
      </c>
      <c r="O282" s="334" t="str">
        <f aca="false">IF((E282="g"),G282," ")</f>
        <v> </v>
      </c>
      <c r="P282" s="334" t="str">
        <f aca="false">IF((E282="m"),G282," ")</f>
        <v> </v>
      </c>
      <c r="Q282" s="334" t="str">
        <f aca="false">IF((E282="t"),G282," ")</f>
        <v> </v>
      </c>
      <c r="R282" s="334" t="str">
        <f aca="false">IF((E282="a"),G282," ")</f>
        <v> </v>
      </c>
      <c r="S282" s="334" t="str">
        <f aca="false">IF((E282="l"),G282," ")</f>
        <v> </v>
      </c>
      <c r="T282" s="334" t="str">
        <f aca="false">IF((E282="b"),G282," ")</f>
        <v> </v>
      </c>
      <c r="U282" s="334" t="str">
        <f aca="false">IF((E282="i"),G282," ")</f>
        <v> </v>
      </c>
      <c r="V282" s="334" t="str">
        <f aca="false">IF((E282="o"),G282," ")</f>
        <v> </v>
      </c>
      <c r="W282" s="334" t="str">
        <f aca="false">IF((E282="f"),G282," ")</f>
        <v> </v>
      </c>
    </row>
    <row r="283" customFormat="false" ht="12.75" hidden="false" customHeight="false" outlineLevel="0" collapsed="false">
      <c r="A283" s="355"/>
      <c r="E283" s="365" t="str">
        <f aca="false">IF((G283&lt;&gt;0),"Enter Letter"," ")</f>
        <v> </v>
      </c>
      <c r="J283" s="334" t="str">
        <f aca="false">IF((E283="s"),G283," ")</f>
        <v> </v>
      </c>
      <c r="K283" s="334" t="str">
        <f aca="false">IF((E283="d"),G283," ")</f>
        <v> </v>
      </c>
      <c r="L283" s="334" t="str">
        <f aca="false">IF((E283="e"),G283," ")</f>
        <v> </v>
      </c>
      <c r="M283" s="334" t="str">
        <f aca="false">IF((E283="p"),G283," ")</f>
        <v> </v>
      </c>
      <c r="N283" s="334" t="str">
        <f aca="false">IF((E283="r"),G283," ")</f>
        <v> </v>
      </c>
      <c r="O283" s="334" t="str">
        <f aca="false">IF((E283="g"),G283," ")</f>
        <v> </v>
      </c>
      <c r="P283" s="334" t="str">
        <f aca="false">IF((E283="m"),G283," ")</f>
        <v> </v>
      </c>
      <c r="Q283" s="334" t="str">
        <f aca="false">IF((E283="t"),G283," ")</f>
        <v> </v>
      </c>
      <c r="R283" s="334" t="str">
        <f aca="false">IF((E283="a"),G283," ")</f>
        <v> </v>
      </c>
      <c r="S283" s="334" t="str">
        <f aca="false">IF((E283="l"),G283," ")</f>
        <v> </v>
      </c>
      <c r="T283" s="334" t="str">
        <f aca="false">IF((E283="b"),G283," ")</f>
        <v> </v>
      </c>
      <c r="U283" s="334" t="str">
        <f aca="false">IF((E283="i"),G283," ")</f>
        <v> </v>
      </c>
      <c r="V283" s="334" t="str">
        <f aca="false">IF((E283="o"),G283," ")</f>
        <v> </v>
      </c>
      <c r="W283" s="334" t="str">
        <f aca="false">IF((E283="f"),G283," ")</f>
        <v> </v>
      </c>
    </row>
    <row r="284" customFormat="false" ht="12.75" hidden="false" customHeight="false" outlineLevel="0" collapsed="false">
      <c r="A284" s="355"/>
      <c r="E284" s="365" t="str">
        <f aca="false">IF((G284&lt;&gt;0),"Enter Letter"," ")</f>
        <v> </v>
      </c>
      <c r="J284" s="334" t="str">
        <f aca="false">IF((E284="s"),G284," ")</f>
        <v> </v>
      </c>
      <c r="K284" s="334" t="str">
        <f aca="false">IF((E284="d"),G284," ")</f>
        <v> </v>
      </c>
      <c r="L284" s="334" t="str">
        <f aca="false">IF((E284="e"),G284," ")</f>
        <v> </v>
      </c>
      <c r="M284" s="334" t="str">
        <f aca="false">IF((E284="p"),G284," ")</f>
        <v> </v>
      </c>
      <c r="N284" s="334" t="str">
        <f aca="false">IF((E284="r"),G284," ")</f>
        <v> </v>
      </c>
      <c r="O284" s="334" t="str">
        <f aca="false">IF((E284="g"),G284," ")</f>
        <v> </v>
      </c>
      <c r="P284" s="334" t="str">
        <f aca="false">IF((E284="m"),G284," ")</f>
        <v> </v>
      </c>
      <c r="Q284" s="334" t="str">
        <f aca="false">IF((E284="t"),G284," ")</f>
        <v> </v>
      </c>
      <c r="R284" s="334" t="str">
        <f aca="false">IF((E284="a"),G284," ")</f>
        <v> </v>
      </c>
      <c r="S284" s="334" t="str">
        <f aca="false">IF((E284="l"),G284," ")</f>
        <v> </v>
      </c>
      <c r="T284" s="334" t="str">
        <f aca="false">IF((E284="b"),G284," ")</f>
        <v> </v>
      </c>
      <c r="U284" s="334" t="str">
        <f aca="false">IF((E284="i"),G284," ")</f>
        <v> </v>
      </c>
      <c r="V284" s="334" t="str">
        <f aca="false">IF((E284="o"),G284," ")</f>
        <v> </v>
      </c>
      <c r="W284" s="334" t="str">
        <f aca="false">IF((E284="f"),G284," ")</f>
        <v> </v>
      </c>
    </row>
    <row r="285" customFormat="false" ht="12.75" hidden="false" customHeight="false" outlineLevel="0" collapsed="false">
      <c r="A285" s="355"/>
      <c r="E285" s="365" t="str">
        <f aca="false">IF((G285&lt;&gt;0),"Enter Letter"," ")</f>
        <v> </v>
      </c>
      <c r="J285" s="334" t="str">
        <f aca="false">IF((E285="s"),G285," ")</f>
        <v> </v>
      </c>
      <c r="K285" s="334" t="str">
        <f aca="false">IF((E285="d"),G285," ")</f>
        <v> </v>
      </c>
      <c r="L285" s="334" t="str">
        <f aca="false">IF((E285="e"),G285," ")</f>
        <v> </v>
      </c>
      <c r="M285" s="334" t="str">
        <f aca="false">IF((E285="p"),G285," ")</f>
        <v> </v>
      </c>
      <c r="N285" s="334" t="str">
        <f aca="false">IF((E285="r"),G285," ")</f>
        <v> </v>
      </c>
      <c r="O285" s="334" t="str">
        <f aca="false">IF((E285="g"),G285," ")</f>
        <v> </v>
      </c>
      <c r="P285" s="334" t="str">
        <f aca="false">IF((E285="m"),G285," ")</f>
        <v> </v>
      </c>
      <c r="Q285" s="334" t="str">
        <f aca="false">IF((E285="t"),G285," ")</f>
        <v> </v>
      </c>
      <c r="R285" s="334" t="str">
        <f aca="false">IF((E285="a"),G285," ")</f>
        <v> </v>
      </c>
      <c r="S285" s="334" t="str">
        <f aca="false">IF((E285="l"),G285," ")</f>
        <v> </v>
      </c>
      <c r="T285" s="334" t="str">
        <f aca="false">IF((E285="b"),G285," ")</f>
        <v> </v>
      </c>
      <c r="U285" s="334" t="str">
        <f aca="false">IF((E285="i"),G285," ")</f>
        <v> </v>
      </c>
      <c r="V285" s="334" t="str">
        <f aca="false">IF((E285="o"),G285," ")</f>
        <v> </v>
      </c>
      <c r="W285" s="334" t="str">
        <f aca="false">IF((E285="f"),G285," ")</f>
        <v> </v>
      </c>
    </row>
    <row r="286" customFormat="false" ht="12.75" hidden="false" customHeight="false" outlineLevel="0" collapsed="false">
      <c r="A286" s="355"/>
      <c r="E286" s="365" t="str">
        <f aca="false">IF((G286&lt;&gt;0),"Enter Letter"," ")</f>
        <v> </v>
      </c>
      <c r="J286" s="334" t="str">
        <f aca="false">IF((E286="s"),G286," ")</f>
        <v> </v>
      </c>
      <c r="K286" s="334" t="str">
        <f aca="false">IF((E286="d"),G286," ")</f>
        <v> </v>
      </c>
      <c r="L286" s="334" t="str">
        <f aca="false">IF((E286="e"),G286," ")</f>
        <v> </v>
      </c>
      <c r="M286" s="334" t="str">
        <f aca="false">IF((E286="p"),G286," ")</f>
        <v> </v>
      </c>
      <c r="N286" s="334" t="str">
        <f aca="false">IF((E286="r"),G286," ")</f>
        <v> </v>
      </c>
      <c r="O286" s="334" t="str">
        <f aca="false">IF((E286="g"),G286," ")</f>
        <v> </v>
      </c>
      <c r="P286" s="334" t="str">
        <f aca="false">IF((E286="m"),G286," ")</f>
        <v> </v>
      </c>
      <c r="Q286" s="334" t="str">
        <f aca="false">IF((E286="t"),G286," ")</f>
        <v> </v>
      </c>
      <c r="R286" s="334" t="str">
        <f aca="false">IF((E286="a"),G286," ")</f>
        <v> </v>
      </c>
      <c r="S286" s="334" t="str">
        <f aca="false">IF((E286="l"),G286," ")</f>
        <v> </v>
      </c>
      <c r="T286" s="334" t="str">
        <f aca="false">IF((E286="b"),G286," ")</f>
        <v> </v>
      </c>
      <c r="U286" s="334" t="str">
        <f aca="false">IF((E286="i"),G286," ")</f>
        <v> </v>
      </c>
      <c r="V286" s="334" t="str">
        <f aca="false">IF((E286="o"),G286," ")</f>
        <v> </v>
      </c>
      <c r="W286" s="334" t="str">
        <f aca="false">IF((E286="f"),G286," ")</f>
        <v> </v>
      </c>
    </row>
    <row r="287" customFormat="false" ht="12.75" hidden="false" customHeight="false" outlineLevel="0" collapsed="false">
      <c r="A287" s="355"/>
      <c r="E287" s="365" t="str">
        <f aca="false">IF((G287&lt;&gt;0),"Enter Letter"," ")</f>
        <v> </v>
      </c>
      <c r="J287" s="334" t="str">
        <f aca="false">IF((E287="s"),G287," ")</f>
        <v> </v>
      </c>
      <c r="K287" s="334" t="str">
        <f aca="false">IF((E287="d"),G287," ")</f>
        <v> </v>
      </c>
      <c r="L287" s="334" t="str">
        <f aca="false">IF((E287="e"),G287," ")</f>
        <v> </v>
      </c>
      <c r="M287" s="334" t="str">
        <f aca="false">IF((E287="p"),G287," ")</f>
        <v> </v>
      </c>
      <c r="N287" s="334" t="str">
        <f aca="false">IF((E287="r"),G287," ")</f>
        <v> </v>
      </c>
      <c r="O287" s="334" t="str">
        <f aca="false">IF((E287="g"),G287," ")</f>
        <v> </v>
      </c>
      <c r="P287" s="334" t="str">
        <f aca="false">IF((E287="m"),G287," ")</f>
        <v> </v>
      </c>
      <c r="Q287" s="334" t="str">
        <f aca="false">IF((E287="t"),G287," ")</f>
        <v> </v>
      </c>
      <c r="R287" s="334" t="str">
        <f aca="false">IF((E287="a"),G287," ")</f>
        <v> </v>
      </c>
      <c r="S287" s="334" t="str">
        <f aca="false">IF((E287="l"),G287," ")</f>
        <v> </v>
      </c>
      <c r="T287" s="334" t="str">
        <f aca="false">IF((E287="b"),G287," ")</f>
        <v> </v>
      </c>
      <c r="U287" s="334" t="str">
        <f aca="false">IF((E287="i"),G287," ")</f>
        <v> </v>
      </c>
      <c r="V287" s="334" t="str">
        <f aca="false">IF((E287="o"),G287," ")</f>
        <v> </v>
      </c>
      <c r="W287" s="334" t="str">
        <f aca="false">IF((E287="f"),G287," ")</f>
        <v> </v>
      </c>
    </row>
    <row r="288" customFormat="false" ht="12.75" hidden="false" customHeight="false" outlineLevel="0" collapsed="false">
      <c r="A288" s="355"/>
      <c r="E288" s="365" t="str">
        <f aca="false">IF((G288&lt;&gt;0),"Enter Letter"," ")</f>
        <v> </v>
      </c>
      <c r="J288" s="334" t="str">
        <f aca="false">IF((E288="s"),G288," ")</f>
        <v> </v>
      </c>
      <c r="K288" s="334" t="str">
        <f aca="false">IF((E288="d"),G288," ")</f>
        <v> </v>
      </c>
      <c r="L288" s="334" t="str">
        <f aca="false">IF((E288="e"),G288," ")</f>
        <v> </v>
      </c>
      <c r="M288" s="334" t="str">
        <f aca="false">IF((E288="p"),G288," ")</f>
        <v> </v>
      </c>
      <c r="N288" s="334" t="str">
        <f aca="false">IF((E288="r"),G288," ")</f>
        <v> </v>
      </c>
      <c r="O288" s="334" t="str">
        <f aca="false">IF((E288="g"),G288," ")</f>
        <v> </v>
      </c>
      <c r="P288" s="334" t="str">
        <f aca="false">IF((E288="m"),G288," ")</f>
        <v> </v>
      </c>
      <c r="Q288" s="334" t="str">
        <f aca="false">IF((E288="t"),G288," ")</f>
        <v> </v>
      </c>
      <c r="R288" s="334" t="str">
        <f aca="false">IF((E288="a"),G288," ")</f>
        <v> </v>
      </c>
      <c r="S288" s="334" t="str">
        <f aca="false">IF((E288="l"),G288," ")</f>
        <v> </v>
      </c>
      <c r="T288" s="334" t="str">
        <f aca="false">IF((E288="b"),G288," ")</f>
        <v> </v>
      </c>
      <c r="U288" s="334" t="str">
        <f aca="false">IF((E288="i"),G288," ")</f>
        <v> </v>
      </c>
      <c r="V288" s="334" t="str">
        <f aca="false">IF((E288="o"),G288," ")</f>
        <v> </v>
      </c>
      <c r="W288" s="334" t="str">
        <f aca="false">IF((E288="f"),G288," ")</f>
        <v> </v>
      </c>
    </row>
    <row r="289" customFormat="false" ht="12.75" hidden="false" customHeight="false" outlineLevel="0" collapsed="false">
      <c r="A289" s="355"/>
      <c r="E289" s="365" t="str">
        <f aca="false">IF((G289&lt;&gt;0),"Enter Letter"," ")</f>
        <v> </v>
      </c>
      <c r="J289" s="334" t="str">
        <f aca="false">IF((E289="s"),G289," ")</f>
        <v> </v>
      </c>
      <c r="K289" s="334" t="str">
        <f aca="false">IF((E289="d"),G289," ")</f>
        <v> </v>
      </c>
      <c r="L289" s="334" t="str">
        <f aca="false">IF((E289="e"),G289," ")</f>
        <v> </v>
      </c>
      <c r="M289" s="334" t="str">
        <f aca="false">IF((E289="p"),G289," ")</f>
        <v> </v>
      </c>
      <c r="N289" s="334" t="str">
        <f aca="false">IF((E289="r"),G289," ")</f>
        <v> </v>
      </c>
      <c r="O289" s="334" t="str">
        <f aca="false">IF((E289="g"),G289," ")</f>
        <v> </v>
      </c>
      <c r="P289" s="334" t="str">
        <f aca="false">IF((E289="m"),G289," ")</f>
        <v> </v>
      </c>
      <c r="Q289" s="334" t="str">
        <f aca="false">IF((E289="t"),G289," ")</f>
        <v> </v>
      </c>
      <c r="R289" s="334" t="str">
        <f aca="false">IF((E289="a"),G289," ")</f>
        <v> </v>
      </c>
      <c r="S289" s="334" t="str">
        <f aca="false">IF((E289="l"),G289," ")</f>
        <v> </v>
      </c>
      <c r="T289" s="334" t="str">
        <f aca="false">IF((E289="b"),G289," ")</f>
        <v> </v>
      </c>
      <c r="U289" s="334" t="str">
        <f aca="false">IF((E289="i"),G289," ")</f>
        <v> </v>
      </c>
      <c r="V289" s="334" t="str">
        <f aca="false">IF((E289="o"),G289," ")</f>
        <v> </v>
      </c>
      <c r="W289" s="334" t="str">
        <f aca="false">IF((E289="f"),G289," ")</f>
        <v> </v>
      </c>
    </row>
    <row r="290" customFormat="false" ht="12.75" hidden="false" customHeight="false" outlineLevel="0" collapsed="false">
      <c r="A290" s="355"/>
      <c r="E290" s="365" t="str">
        <f aca="false">IF((G290&lt;&gt;0),"Enter Letter"," ")</f>
        <v> </v>
      </c>
      <c r="J290" s="334" t="str">
        <f aca="false">IF((E290="s"),G290," ")</f>
        <v> </v>
      </c>
      <c r="K290" s="334" t="str">
        <f aca="false">IF((E290="d"),G290," ")</f>
        <v> </v>
      </c>
      <c r="L290" s="334" t="str">
        <f aca="false">IF((E290="e"),G290," ")</f>
        <v> </v>
      </c>
      <c r="M290" s="334" t="str">
        <f aca="false">IF((E290="p"),G290," ")</f>
        <v> </v>
      </c>
      <c r="N290" s="334" t="str">
        <f aca="false">IF((E290="r"),G290," ")</f>
        <v> </v>
      </c>
      <c r="O290" s="334" t="str">
        <f aca="false">IF((E290="g"),G290," ")</f>
        <v> </v>
      </c>
      <c r="P290" s="334" t="str">
        <f aca="false">IF((E290="m"),G290," ")</f>
        <v> </v>
      </c>
      <c r="Q290" s="334" t="str">
        <f aca="false">IF((E290="t"),G290," ")</f>
        <v> </v>
      </c>
      <c r="R290" s="334" t="str">
        <f aca="false">IF((E290="a"),G290," ")</f>
        <v> </v>
      </c>
      <c r="S290" s="334" t="str">
        <f aca="false">IF((E290="l"),G290," ")</f>
        <v> </v>
      </c>
      <c r="T290" s="334" t="str">
        <f aca="false">IF((E290="b"),G290," ")</f>
        <v> </v>
      </c>
      <c r="U290" s="334" t="str">
        <f aca="false">IF((E290="i"),G290," ")</f>
        <v> </v>
      </c>
      <c r="V290" s="334" t="str">
        <f aca="false">IF((E290="o"),G290," ")</f>
        <v> </v>
      </c>
      <c r="W290" s="334" t="str">
        <f aca="false">IF((E290="f"),G290," ")</f>
        <v> </v>
      </c>
    </row>
    <row r="291" customFormat="false" ht="12.75" hidden="false" customHeight="false" outlineLevel="0" collapsed="false">
      <c r="A291" s="355"/>
      <c r="E291" s="365" t="str">
        <f aca="false">IF((G291&lt;&gt;0),"Enter Letter"," ")</f>
        <v> </v>
      </c>
      <c r="J291" s="334" t="str">
        <f aca="false">IF((E291="s"),G291," ")</f>
        <v> </v>
      </c>
      <c r="K291" s="334" t="str">
        <f aca="false">IF((E291="d"),G291," ")</f>
        <v> </v>
      </c>
      <c r="L291" s="334" t="str">
        <f aca="false">IF((E291="e"),G291," ")</f>
        <v> </v>
      </c>
      <c r="M291" s="334" t="str">
        <f aca="false">IF((E291="p"),G291," ")</f>
        <v> </v>
      </c>
      <c r="N291" s="334" t="str">
        <f aca="false">IF((E291="r"),G291," ")</f>
        <v> </v>
      </c>
      <c r="O291" s="334" t="str">
        <f aca="false">IF((E291="g"),G291," ")</f>
        <v> </v>
      </c>
      <c r="P291" s="334" t="str">
        <f aca="false">IF((E291="m"),G291," ")</f>
        <v> </v>
      </c>
      <c r="Q291" s="334" t="str">
        <f aca="false">IF((E291="t"),G291," ")</f>
        <v> </v>
      </c>
      <c r="R291" s="334" t="str">
        <f aca="false">IF((E291="a"),G291," ")</f>
        <v> </v>
      </c>
      <c r="S291" s="334" t="str">
        <f aca="false">IF((E291="l"),G291," ")</f>
        <v> </v>
      </c>
      <c r="T291" s="334" t="str">
        <f aca="false">IF((E291="b"),G291," ")</f>
        <v> </v>
      </c>
      <c r="U291" s="334" t="str">
        <f aca="false">IF((E291="i"),G291," ")</f>
        <v> </v>
      </c>
      <c r="V291" s="334" t="str">
        <f aca="false">IF((E291="o"),G291," ")</f>
        <v> </v>
      </c>
      <c r="W291" s="334" t="str">
        <f aca="false">IF((E291="f"),G291," ")</f>
        <v> </v>
      </c>
    </row>
    <row r="292" customFormat="false" ht="12.75" hidden="false" customHeight="false" outlineLevel="0" collapsed="false">
      <c r="A292" s="355"/>
      <c r="E292" s="365" t="str">
        <f aca="false">IF((G292&lt;&gt;0),"Enter Letter"," ")</f>
        <v> </v>
      </c>
      <c r="J292" s="334" t="str">
        <f aca="false">IF((E292="s"),G292," ")</f>
        <v> </v>
      </c>
      <c r="K292" s="334" t="str">
        <f aca="false">IF((E292="d"),G292," ")</f>
        <v> </v>
      </c>
      <c r="L292" s="334" t="str">
        <f aca="false">IF((E292="e"),G292," ")</f>
        <v> </v>
      </c>
      <c r="M292" s="334" t="str">
        <f aca="false">IF((E292="p"),G292," ")</f>
        <v> </v>
      </c>
      <c r="N292" s="334" t="str">
        <f aca="false">IF((E292="r"),G292," ")</f>
        <v> </v>
      </c>
      <c r="O292" s="334" t="str">
        <f aca="false">IF((E292="g"),G292," ")</f>
        <v> </v>
      </c>
      <c r="P292" s="334" t="str">
        <f aca="false">IF((E292="m"),G292," ")</f>
        <v> </v>
      </c>
      <c r="Q292" s="334" t="str">
        <f aca="false">IF((E292="t"),G292," ")</f>
        <v> </v>
      </c>
      <c r="R292" s="334" t="str">
        <f aca="false">IF((E292="a"),G292," ")</f>
        <v> </v>
      </c>
      <c r="S292" s="334" t="str">
        <f aca="false">IF((E292="l"),G292," ")</f>
        <v> </v>
      </c>
      <c r="T292" s="334" t="str">
        <f aca="false">IF((E292="b"),G292," ")</f>
        <v> </v>
      </c>
      <c r="U292" s="334" t="str">
        <f aca="false">IF((E292="i"),G292," ")</f>
        <v> </v>
      </c>
      <c r="V292" s="334" t="str">
        <f aca="false">IF((E292="o"),G292," ")</f>
        <v> </v>
      </c>
      <c r="W292" s="334" t="str">
        <f aca="false">IF((E292="f"),G292," ")</f>
        <v> </v>
      </c>
    </row>
    <row r="293" customFormat="false" ht="12.75" hidden="false" customHeight="false" outlineLevel="0" collapsed="false">
      <c r="A293" s="355"/>
      <c r="E293" s="365" t="str">
        <f aca="false">IF((G293&lt;&gt;0),"Enter Letter"," ")</f>
        <v> </v>
      </c>
      <c r="J293" s="334" t="str">
        <f aca="false">IF((E293="s"),G293," ")</f>
        <v> </v>
      </c>
      <c r="K293" s="334" t="str">
        <f aca="false">IF((E293="d"),G293," ")</f>
        <v> </v>
      </c>
      <c r="L293" s="334" t="str">
        <f aca="false">IF((E293="e"),G293," ")</f>
        <v> </v>
      </c>
      <c r="M293" s="334" t="str">
        <f aca="false">IF((E293="p"),G293," ")</f>
        <v> </v>
      </c>
      <c r="N293" s="334" t="str">
        <f aca="false">IF((E293="r"),G293," ")</f>
        <v> </v>
      </c>
      <c r="O293" s="334" t="str">
        <f aca="false">IF((E293="g"),G293," ")</f>
        <v> </v>
      </c>
      <c r="P293" s="334" t="str">
        <f aca="false">IF((E293="m"),G293," ")</f>
        <v> </v>
      </c>
      <c r="Q293" s="334" t="str">
        <f aca="false">IF((E293="t"),G293," ")</f>
        <v> </v>
      </c>
      <c r="R293" s="334" t="str">
        <f aca="false">IF((E293="a"),G293," ")</f>
        <v> </v>
      </c>
      <c r="S293" s="334" t="str">
        <f aca="false">IF((E293="l"),G293," ")</f>
        <v> </v>
      </c>
      <c r="T293" s="334" t="str">
        <f aca="false">IF((E293="b"),G293," ")</f>
        <v> </v>
      </c>
      <c r="U293" s="334" t="str">
        <f aca="false">IF((E293="i"),G293," ")</f>
        <v> </v>
      </c>
      <c r="V293" s="334" t="str">
        <f aca="false">IF((E293="o"),G293," ")</f>
        <v> </v>
      </c>
      <c r="W293" s="334" t="str">
        <f aca="false">IF((E293="f"),G293," ")</f>
        <v> </v>
      </c>
    </row>
    <row r="294" customFormat="false" ht="12.75" hidden="false" customHeight="false" outlineLevel="0" collapsed="false">
      <c r="A294" s="355"/>
      <c r="E294" s="365" t="str">
        <f aca="false">IF((G294&lt;&gt;0),"Enter Letter"," ")</f>
        <v> </v>
      </c>
      <c r="J294" s="334" t="str">
        <f aca="false">IF((E294="s"),G294," ")</f>
        <v> </v>
      </c>
      <c r="K294" s="334" t="str">
        <f aca="false">IF((E294="d"),G294," ")</f>
        <v> </v>
      </c>
      <c r="L294" s="334" t="str">
        <f aca="false">IF((E294="e"),G294," ")</f>
        <v> </v>
      </c>
      <c r="M294" s="334" t="str">
        <f aca="false">IF((E294="p"),G294," ")</f>
        <v> </v>
      </c>
      <c r="N294" s="334" t="str">
        <f aca="false">IF((E294="r"),G294," ")</f>
        <v> </v>
      </c>
      <c r="O294" s="334" t="str">
        <f aca="false">IF((E294="g"),G294," ")</f>
        <v> </v>
      </c>
      <c r="P294" s="334" t="str">
        <f aca="false">IF((E294="m"),G294," ")</f>
        <v> </v>
      </c>
      <c r="Q294" s="334" t="str">
        <f aca="false">IF((E294="t"),G294," ")</f>
        <v> </v>
      </c>
      <c r="R294" s="334" t="str">
        <f aca="false">IF((E294="a"),G294," ")</f>
        <v> </v>
      </c>
      <c r="S294" s="334" t="str">
        <f aca="false">IF((E294="l"),G294," ")</f>
        <v> </v>
      </c>
      <c r="T294" s="334" t="str">
        <f aca="false">IF((E294="b"),G294," ")</f>
        <v> </v>
      </c>
      <c r="U294" s="334" t="str">
        <f aca="false">IF((E294="i"),G294," ")</f>
        <v> </v>
      </c>
      <c r="V294" s="334" t="str">
        <f aca="false">IF((E294="o"),G294," ")</f>
        <v> </v>
      </c>
      <c r="W294" s="334" t="str">
        <f aca="false">IF((E294="f"),G294," ")</f>
        <v> </v>
      </c>
    </row>
    <row r="295" customFormat="false" ht="12.75" hidden="false" customHeight="false" outlineLevel="0" collapsed="false">
      <c r="A295" s="355"/>
      <c r="E295" s="365" t="str">
        <f aca="false">IF((G295&lt;&gt;0),"Enter Letter"," ")</f>
        <v> </v>
      </c>
      <c r="J295" s="334" t="str">
        <f aca="false">IF((E295="s"),G295," ")</f>
        <v> </v>
      </c>
      <c r="K295" s="334" t="str">
        <f aca="false">IF((E295="d"),G295," ")</f>
        <v> </v>
      </c>
      <c r="L295" s="334" t="str">
        <f aca="false">IF((E295="e"),G295," ")</f>
        <v> </v>
      </c>
      <c r="M295" s="334" t="str">
        <f aca="false">IF((E295="p"),G295," ")</f>
        <v> </v>
      </c>
      <c r="N295" s="334" t="str">
        <f aca="false">IF((E295="r"),G295," ")</f>
        <v> </v>
      </c>
      <c r="O295" s="334" t="str">
        <f aca="false">IF((E295="g"),G295," ")</f>
        <v> </v>
      </c>
      <c r="P295" s="334" t="str">
        <f aca="false">IF((E295="m"),G295," ")</f>
        <v> </v>
      </c>
      <c r="Q295" s="334" t="str">
        <f aca="false">IF((E295="t"),G295," ")</f>
        <v> </v>
      </c>
      <c r="R295" s="334" t="str">
        <f aca="false">IF((E295="a"),G295," ")</f>
        <v> </v>
      </c>
      <c r="S295" s="334" t="str">
        <f aca="false">IF((E295="l"),G295," ")</f>
        <v> </v>
      </c>
      <c r="T295" s="334" t="str">
        <f aca="false">IF((E295="b"),G295," ")</f>
        <v> </v>
      </c>
      <c r="U295" s="334" t="str">
        <f aca="false">IF((E295="i"),G295," ")</f>
        <v> </v>
      </c>
      <c r="V295" s="334" t="str">
        <f aca="false">IF((E295="o"),G295," ")</f>
        <v> </v>
      </c>
      <c r="W295" s="334" t="str">
        <f aca="false">IF((E295="f"),G295," ")</f>
        <v> </v>
      </c>
    </row>
    <row r="296" customFormat="false" ht="12.75" hidden="false" customHeight="false" outlineLevel="0" collapsed="false">
      <c r="A296" s="355"/>
      <c r="E296" s="365" t="str">
        <f aca="false">IF((G296&lt;&gt;0),"Enter Letter"," ")</f>
        <v> </v>
      </c>
      <c r="J296" s="334" t="str">
        <f aca="false">IF((E296="s"),G296," ")</f>
        <v> </v>
      </c>
      <c r="K296" s="334" t="str">
        <f aca="false">IF((E296="d"),G296," ")</f>
        <v> </v>
      </c>
      <c r="L296" s="334" t="str">
        <f aca="false">IF((E296="e"),G296," ")</f>
        <v> </v>
      </c>
      <c r="M296" s="334" t="str">
        <f aca="false">IF((E296="p"),G296," ")</f>
        <v> </v>
      </c>
      <c r="N296" s="334" t="str">
        <f aca="false">IF((E296="r"),G296," ")</f>
        <v> </v>
      </c>
      <c r="O296" s="334" t="str">
        <f aca="false">IF((E296="g"),G296," ")</f>
        <v> </v>
      </c>
      <c r="P296" s="334" t="str">
        <f aca="false">IF((E296="m"),G296," ")</f>
        <v> </v>
      </c>
      <c r="Q296" s="334" t="str">
        <f aca="false">IF((E296="t"),G296," ")</f>
        <v> </v>
      </c>
      <c r="R296" s="334" t="str">
        <f aca="false">IF((E296="a"),G296," ")</f>
        <v> </v>
      </c>
      <c r="S296" s="334" t="str">
        <f aca="false">IF((E296="l"),G296," ")</f>
        <v> </v>
      </c>
      <c r="T296" s="334" t="str">
        <f aca="false">IF((E296="b"),G296," ")</f>
        <v> </v>
      </c>
      <c r="U296" s="334" t="str">
        <f aca="false">IF((E296="i"),G296," ")</f>
        <v> </v>
      </c>
      <c r="V296" s="334" t="str">
        <f aca="false">IF((E296="o"),G296," ")</f>
        <v> </v>
      </c>
      <c r="W296" s="334" t="str">
        <f aca="false">IF((E296="f"),G296," ")</f>
        <v> </v>
      </c>
    </row>
    <row r="297" customFormat="false" ht="12.75" hidden="false" customHeight="false" outlineLevel="0" collapsed="false">
      <c r="A297" s="355"/>
      <c r="E297" s="365" t="str">
        <f aca="false">IF((G297&lt;&gt;0),"Enter Letter"," ")</f>
        <v> </v>
      </c>
      <c r="J297" s="334" t="str">
        <f aca="false">IF((E297="s"),G297," ")</f>
        <v> </v>
      </c>
      <c r="K297" s="334" t="str">
        <f aca="false">IF((E297="d"),G297," ")</f>
        <v> </v>
      </c>
      <c r="L297" s="334" t="str">
        <f aca="false">IF((E297="e"),G297," ")</f>
        <v> </v>
      </c>
      <c r="M297" s="334" t="str">
        <f aca="false">IF((E297="p"),G297," ")</f>
        <v> </v>
      </c>
      <c r="N297" s="334" t="str">
        <f aca="false">IF((E297="r"),G297," ")</f>
        <v> </v>
      </c>
      <c r="O297" s="334" t="str">
        <f aca="false">IF((E297="g"),G297," ")</f>
        <v> </v>
      </c>
      <c r="P297" s="334" t="str">
        <f aca="false">IF((E297="m"),G297," ")</f>
        <v> </v>
      </c>
      <c r="Q297" s="334" t="str">
        <f aca="false">IF((E297="t"),G297," ")</f>
        <v> </v>
      </c>
      <c r="R297" s="334" t="str">
        <f aca="false">IF((E297="a"),G297," ")</f>
        <v> </v>
      </c>
      <c r="S297" s="334" t="str">
        <f aca="false">IF((E297="l"),G297," ")</f>
        <v> </v>
      </c>
      <c r="T297" s="334" t="str">
        <f aca="false">IF((E297="b"),G297," ")</f>
        <v> </v>
      </c>
      <c r="U297" s="334" t="str">
        <f aca="false">IF((E297="i"),G297," ")</f>
        <v> </v>
      </c>
      <c r="V297" s="334" t="str">
        <f aca="false">IF((E297="o"),G297," ")</f>
        <v> </v>
      </c>
      <c r="W297" s="334" t="str">
        <f aca="false">IF((E297="f"),G297," ")</f>
        <v> </v>
      </c>
    </row>
    <row r="298" customFormat="false" ht="12.75" hidden="false" customHeight="false" outlineLevel="0" collapsed="false">
      <c r="A298" s="355"/>
      <c r="E298" s="365" t="str">
        <f aca="false">IF((G298&lt;&gt;0),"Enter Letter"," ")</f>
        <v> </v>
      </c>
      <c r="J298" s="334" t="str">
        <f aca="false">IF((E298="s"),G298," ")</f>
        <v> </v>
      </c>
      <c r="K298" s="334" t="str">
        <f aca="false">IF((E298="d"),G298," ")</f>
        <v> </v>
      </c>
      <c r="L298" s="334" t="str">
        <f aca="false">IF((E298="e"),G298," ")</f>
        <v> </v>
      </c>
      <c r="M298" s="334" t="str">
        <f aca="false">IF((E298="p"),G298," ")</f>
        <v> </v>
      </c>
      <c r="N298" s="334" t="str">
        <f aca="false">IF((E298="r"),G298," ")</f>
        <v> </v>
      </c>
      <c r="O298" s="334" t="str">
        <f aca="false">IF((E298="g"),G298," ")</f>
        <v> </v>
      </c>
      <c r="P298" s="334" t="str">
        <f aca="false">IF((E298="m"),G298," ")</f>
        <v> </v>
      </c>
      <c r="Q298" s="334" t="str">
        <f aca="false">IF((E298="t"),G298," ")</f>
        <v> </v>
      </c>
      <c r="R298" s="334" t="str">
        <f aca="false">IF((E298="a"),G298," ")</f>
        <v> </v>
      </c>
      <c r="S298" s="334" t="str">
        <f aca="false">IF((E298="l"),G298," ")</f>
        <v> </v>
      </c>
      <c r="T298" s="334" t="str">
        <f aca="false">IF((E298="b"),G298," ")</f>
        <v> </v>
      </c>
      <c r="U298" s="334" t="str">
        <f aca="false">IF((E298="i"),G298," ")</f>
        <v> </v>
      </c>
      <c r="V298" s="334" t="str">
        <f aca="false">IF((E298="o"),G298," ")</f>
        <v> </v>
      </c>
      <c r="W298" s="334" t="str">
        <f aca="false">IF((E298="f"),G298," ")</f>
        <v> </v>
      </c>
    </row>
    <row r="299" customFormat="false" ht="12.75" hidden="false" customHeight="false" outlineLevel="0" collapsed="false">
      <c r="A299" s="355"/>
      <c r="E299" s="365" t="str">
        <f aca="false">IF((G299&lt;&gt;0),"Enter Letter"," ")</f>
        <v> </v>
      </c>
      <c r="J299" s="334" t="str">
        <f aca="false">IF((E299="s"),G299," ")</f>
        <v> </v>
      </c>
      <c r="K299" s="334" t="str">
        <f aca="false">IF((E299="d"),G299," ")</f>
        <v> </v>
      </c>
      <c r="L299" s="334" t="str">
        <f aca="false">IF((E299="e"),G299," ")</f>
        <v> </v>
      </c>
      <c r="M299" s="334" t="str">
        <f aca="false">IF((E299="p"),G299," ")</f>
        <v> </v>
      </c>
      <c r="N299" s="334" t="str">
        <f aca="false">IF((E299="r"),G299," ")</f>
        <v> </v>
      </c>
      <c r="O299" s="334" t="str">
        <f aca="false">IF((E299="g"),G299," ")</f>
        <v> </v>
      </c>
      <c r="P299" s="334" t="str">
        <f aca="false">IF((E299="m"),G299," ")</f>
        <v> </v>
      </c>
      <c r="Q299" s="334" t="str">
        <f aca="false">IF((E299="t"),G299," ")</f>
        <v> </v>
      </c>
      <c r="R299" s="334" t="str">
        <f aca="false">IF((E299="a"),G299," ")</f>
        <v> </v>
      </c>
      <c r="S299" s="334" t="str">
        <f aca="false">IF((E299="l"),G299," ")</f>
        <v> </v>
      </c>
      <c r="T299" s="334" t="str">
        <f aca="false">IF((E299="b"),G299," ")</f>
        <v> </v>
      </c>
      <c r="U299" s="334" t="str">
        <f aca="false">IF((E299="i"),G299," ")</f>
        <v> </v>
      </c>
      <c r="V299" s="334" t="str">
        <f aca="false">IF((E299="o"),G299," ")</f>
        <v> </v>
      </c>
      <c r="W299" s="334" t="str">
        <f aca="false">IF((E299="f"),G299," ")</f>
        <v> </v>
      </c>
    </row>
    <row r="300" customFormat="false" ht="12.75" hidden="false" customHeight="false" outlineLevel="0" collapsed="false">
      <c r="A300" s="355"/>
      <c r="B300" s="393"/>
      <c r="C300" s="393"/>
      <c r="D300" s="394"/>
      <c r="E300" s="395" t="str">
        <f aca="false">IF((G300&lt;&gt;0),"Enter Letter"," ")</f>
        <v> </v>
      </c>
      <c r="F300" s="396"/>
      <c r="G300" s="397"/>
      <c r="H300" s="360"/>
      <c r="I300" s="398"/>
      <c r="J300" s="356" t="str">
        <f aca="false">IF((E300="s"),G300," ")</f>
        <v> </v>
      </c>
      <c r="K300" s="356" t="str">
        <f aca="false">IF((E300="d"),G300," ")</f>
        <v> </v>
      </c>
      <c r="L300" s="356" t="str">
        <f aca="false">IF((E300="e"),G300," ")</f>
        <v> </v>
      </c>
      <c r="M300" s="356" t="str">
        <f aca="false">IF((E300="p"),G300," ")</f>
        <v> </v>
      </c>
      <c r="N300" s="356" t="str">
        <f aca="false">IF((E300="r"),G300," ")</f>
        <v> </v>
      </c>
      <c r="O300" s="356" t="str">
        <f aca="false">IF((E300="g"),G300," ")</f>
        <v> </v>
      </c>
      <c r="P300" s="356" t="str">
        <f aca="false">IF((E300="m"),G300," ")</f>
        <v> </v>
      </c>
      <c r="Q300" s="356" t="str">
        <f aca="false">IF((E300="t"),G300," ")</f>
        <v> </v>
      </c>
      <c r="R300" s="356" t="str">
        <f aca="false">IF((E300="a"),G300," ")</f>
        <v> </v>
      </c>
      <c r="S300" s="356" t="str">
        <f aca="false">IF((E300="l"),G300," ")</f>
        <v> </v>
      </c>
      <c r="T300" s="356" t="str">
        <f aca="false">IF((E300="b"),G300," ")</f>
        <v> </v>
      </c>
      <c r="U300" s="356" t="str">
        <f aca="false">IF((E300="i"),G300," ")</f>
        <v> </v>
      </c>
      <c r="V300" s="356" t="str">
        <f aca="false">IF((E300="o"),G300," ")</f>
        <v> </v>
      </c>
      <c r="W300" s="356" t="str">
        <f aca="false">IF((E300="f"),G300," ")</f>
        <v> </v>
      </c>
    </row>
  </sheetData>
  <mergeCells count="25">
    <mergeCell ref="A2:A4"/>
    <mergeCell ref="B2:B4"/>
    <mergeCell ref="C2:C4"/>
    <mergeCell ref="D2:D4"/>
    <mergeCell ref="E2:E3"/>
    <mergeCell ref="F2:F4"/>
    <mergeCell ref="G2:G3"/>
    <mergeCell ref="H2:H4"/>
    <mergeCell ref="I2:I4"/>
    <mergeCell ref="J2:J3"/>
    <mergeCell ref="K2:K3"/>
    <mergeCell ref="L2:L3"/>
    <mergeCell ref="M2:M3"/>
    <mergeCell ref="N2:N3"/>
    <mergeCell ref="O2:O3"/>
    <mergeCell ref="Q2:Q3"/>
    <mergeCell ref="R2:R3"/>
    <mergeCell ref="S2:S3"/>
    <mergeCell ref="T2:T3"/>
    <mergeCell ref="U2:U3"/>
    <mergeCell ref="V2:V3"/>
    <mergeCell ref="W2:W3"/>
    <mergeCell ref="X2:X4"/>
    <mergeCell ref="Y2:Z2"/>
    <mergeCell ref="Y3:Z3"/>
  </mergeCells>
  <dataValidations count="3">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5:A300" type="date">
      <formula1>38353</formula1>
      <formula2>53327</formula2>
    </dataValidation>
    <dataValidation allowBlank="true" errorStyle="stop" operator="between" prompt="An amount in this cell shows the total purchases in cell G1 does not agree with the totals in the analysis columns cells J1 to W&#10;&#10;CHECK all expense code letters have been entered correctly or any manual entries in the analysis correct&#10;" promptTitle="ERROR ALERT" showDropDown="false" showErrorMessage="true" showInputMessage="true" sqref="E1" type="none">
      <formula1>0</formula1>
      <formula2>0</formula2>
    </dataValidation>
    <dataValidation allowBlank="true" errorStyle="stop" operator="between" showDropDown="false" showErrorMessage="true" showInputMessage="false" sqref="E5:E300" type="list">
      <formula1>$J$4:$W$4</formula1>
      <formula2>0</formula2>
    </dataValidation>
  </dataValidations>
  <printOptions headings="false" gridLines="true" gridLinesSet="true" horizontalCentered="false" verticalCentered="false"/>
  <pageMargins left="0.315277777777778" right="0.472222222222222"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2" manualBreakCount="2">
    <brk id="9" man="true" max="65535" min="0"/>
    <brk id="22" man="true" max="65535" min="0"/>
  </colBreaks>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false" hidden="false" outlineLevel="0" max="1" min="1" style="333" width="9.15"/>
    <col collapsed="false" customWidth="true" hidden="false" outlineLevel="0" max="2" min="2" style="334" width="17.66"/>
    <col collapsed="false" customWidth="true" hidden="false" outlineLevel="0" max="3" min="3" style="335" width="11.32"/>
    <col collapsed="false" customWidth="true" hidden="false" outlineLevel="0" max="4" min="4" style="336" width="14.49"/>
    <col collapsed="false" customWidth="true" hidden="false" outlineLevel="0" max="5" min="5" style="337" width="7.66"/>
    <col collapsed="false" customWidth="true" hidden="false" outlineLevel="0" max="7" min="6" style="334" width="9.66"/>
    <col collapsed="false" customWidth="true" hidden="false" outlineLevel="0" max="8" min="8" style="338" width="9.66"/>
    <col collapsed="false" customWidth="true" hidden="false" outlineLevel="0" max="9" min="9" style="339" width="10.5"/>
    <col collapsed="false" customWidth="false" hidden="false" outlineLevel="0" max="10" min="10" style="334" width="9.15"/>
    <col collapsed="false" customWidth="true" hidden="false" outlineLevel="0" max="11" min="11" style="334" width="9.49"/>
    <col collapsed="false" customWidth="false" hidden="false" outlineLevel="0" max="257" min="12" style="334" width="9.15"/>
  </cols>
  <sheetData>
    <row r="1" s="348" customFormat="true" ht="12.75" hidden="false" customHeight="true" outlineLevel="0" collapsed="false">
      <c r="A1" s="340" t="s">
        <v>246</v>
      </c>
      <c r="B1" s="341" t="s">
        <v>247</v>
      </c>
      <c r="C1" s="342"/>
      <c r="D1" s="343" t="s">
        <v>248</v>
      </c>
      <c r="E1" s="344" t="n">
        <f aca="false">SUM(E4:E300)</f>
        <v>0</v>
      </c>
      <c r="F1" s="343" t="n">
        <f aca="false">SUM(F4:F300)</f>
        <v>34360</v>
      </c>
      <c r="G1" s="343" t="n">
        <f aca="false">SUM(G4:G300)</f>
        <v>0</v>
      </c>
      <c r="H1" s="345" t="n">
        <f aca="false">SUM(H4:H300)</f>
        <v>0</v>
      </c>
      <c r="I1" s="346" t="n">
        <f aca="true">TODAY()</f>
        <v>46138</v>
      </c>
      <c r="J1" s="343" t="n">
        <f aca="false">SUM(J4:J300)</f>
        <v>0</v>
      </c>
      <c r="K1" s="347" t="n">
        <f aca="false">J1+SalesJan!K1</f>
        <v>0</v>
      </c>
    </row>
    <row r="2" s="348" customFormat="true" ht="12.75" hidden="false" customHeight="true" outlineLevel="0" collapsed="false">
      <c r="A2" s="340"/>
      <c r="B2" s="341"/>
      <c r="C2" s="349" t="s">
        <v>249</v>
      </c>
      <c r="D2" s="350" t="s">
        <v>250</v>
      </c>
      <c r="E2" s="351" t="s">
        <v>251</v>
      </c>
      <c r="F2" s="341" t="s">
        <v>252</v>
      </c>
      <c r="G2" s="341" t="s">
        <v>253</v>
      </c>
      <c r="H2" s="352" t="s">
        <v>254</v>
      </c>
      <c r="I2" s="353" t="s">
        <v>255</v>
      </c>
      <c r="J2" s="341" t="s">
        <v>256</v>
      </c>
      <c r="K2" s="341"/>
    </row>
    <row r="3" s="354" customFormat="true" ht="38.25" hidden="false" customHeight="true" outlineLevel="0" collapsed="false">
      <c r="A3" s="340"/>
      <c r="B3" s="341"/>
      <c r="C3" s="349"/>
      <c r="D3" s="350"/>
      <c r="E3" s="351"/>
      <c r="F3" s="351"/>
      <c r="G3" s="351"/>
      <c r="H3" s="352"/>
      <c r="I3" s="353"/>
      <c r="J3" s="341" t="s">
        <v>257</v>
      </c>
      <c r="K3" s="341" t="s">
        <v>258</v>
      </c>
    </row>
    <row r="4" customFormat="false" ht="12.75" hidden="false" customHeight="false" outlineLevel="0" collapsed="false">
      <c r="A4" s="355" t="n">
        <v>46056</v>
      </c>
      <c r="B4" s="334" t="s">
        <v>259</v>
      </c>
      <c r="F4" s="334" t="n">
        <v>360</v>
      </c>
      <c r="I4" s="339" t="n">
        <f aca="false">IF((F4&lt;&gt;0),IF((D4&gt;0)," ",(I$1-A4))," ")</f>
        <v>82</v>
      </c>
    </row>
    <row r="5" customFormat="false" ht="12.75" hidden="false" customHeight="false" outlineLevel="0" collapsed="false">
      <c r="A5" s="355" t="n">
        <v>46058</v>
      </c>
      <c r="B5" s="334" t="s">
        <v>260</v>
      </c>
      <c r="F5" s="334" t="n">
        <v>600</v>
      </c>
      <c r="I5" s="339" t="n">
        <f aca="false">IF((F5&lt;&gt;0),IF((D5&gt;0)," ",(I$1-A5))," ")</f>
        <v>80</v>
      </c>
    </row>
    <row r="6" customFormat="false" ht="12.75" hidden="false" customHeight="false" outlineLevel="0" collapsed="false">
      <c r="A6" s="355" t="n">
        <v>46061</v>
      </c>
      <c r="B6" s="334" t="s">
        <v>261</v>
      </c>
      <c r="F6" s="334" t="n">
        <v>480</v>
      </c>
      <c r="I6" s="339" t="n">
        <f aca="false">IF((F6&lt;&gt;0),IF((D6&gt;0)," ",(I$1-A6))," ")</f>
        <v>77</v>
      </c>
    </row>
    <row r="7" customFormat="false" ht="12.75" hidden="false" customHeight="false" outlineLevel="0" collapsed="false">
      <c r="A7" s="355" t="n">
        <v>46063</v>
      </c>
      <c r="B7" s="334" t="s">
        <v>262</v>
      </c>
      <c r="F7" s="334" t="n">
        <v>720</v>
      </c>
      <c r="I7" s="339" t="n">
        <f aca="false">IF((F7&lt;&gt;0),IF((D7&gt;0)," ",(I$1-A7))," ")</f>
        <v>75</v>
      </c>
    </row>
    <row r="8" customFormat="false" ht="12.75" hidden="false" customHeight="false" outlineLevel="0" collapsed="false">
      <c r="A8" s="355" t="n">
        <v>46068</v>
      </c>
      <c r="B8" s="334" t="s">
        <v>235</v>
      </c>
      <c r="F8" s="334" t="n">
        <v>25000</v>
      </c>
      <c r="I8" s="339" t="n">
        <f aca="false">IF((F8&lt;&gt;0),IF((D8&gt;0)," ",(I$1-A8))," ")</f>
        <v>70</v>
      </c>
    </row>
    <row r="9" customFormat="false" ht="12.75" hidden="false" customHeight="false" outlineLevel="0" collapsed="false">
      <c r="A9" s="355" t="n">
        <v>46071</v>
      </c>
      <c r="B9" s="334" t="s">
        <v>237</v>
      </c>
      <c r="F9" s="334" t="n">
        <v>2400</v>
      </c>
      <c r="I9" s="339" t="n">
        <f aca="false">IF((F9&lt;&gt;0),IF((D9&gt;0)," ",(I$1-A9))," ")</f>
        <v>67</v>
      </c>
    </row>
    <row r="10" customFormat="false" ht="12.75" hidden="false" customHeight="false" outlineLevel="0" collapsed="false">
      <c r="A10" s="355" t="n">
        <v>46073</v>
      </c>
      <c r="B10" s="334" t="s">
        <v>263</v>
      </c>
      <c r="F10" s="334" t="n">
        <v>1800</v>
      </c>
      <c r="I10" s="339" t="n">
        <f aca="false">IF((F10&lt;&gt;0),IF((D10&gt;0)," ",(I$1-A10))," ")</f>
        <v>65</v>
      </c>
    </row>
    <row r="11" customFormat="false" ht="12.75" hidden="false" customHeight="false" outlineLevel="0" collapsed="false">
      <c r="A11" s="355" t="n">
        <v>46073</v>
      </c>
      <c r="B11" s="334" t="s">
        <v>386</v>
      </c>
      <c r="F11" s="334" t="n">
        <v>1800</v>
      </c>
      <c r="I11" s="339" t="n">
        <f aca="false">IF((F11&lt;&gt;0),IF((D11&gt;0)," ",(I$1-A11))," ")</f>
        <v>65</v>
      </c>
    </row>
    <row r="12" customFormat="false" ht="12.75" hidden="false" customHeight="false" outlineLevel="0" collapsed="false">
      <c r="A12" s="355" t="n">
        <v>46078</v>
      </c>
      <c r="B12" s="334" t="s">
        <v>343</v>
      </c>
      <c r="F12" s="334" t="n">
        <v>1200</v>
      </c>
      <c r="I12" s="339" t="n">
        <f aca="false">IF((F12&lt;&gt;0),IF((D12&gt;0)," ",(I$1-A12))," ")</f>
        <v>60</v>
      </c>
    </row>
    <row r="13" customFormat="false" ht="12.75" hidden="false" customHeight="false" outlineLevel="0" collapsed="false">
      <c r="A13" s="355"/>
      <c r="I13" s="339" t="str">
        <f aca="false">IF((F13&lt;&gt;0),IF((D13&gt;0)," ",(I$1-A13))," ")</f>
        <v> </v>
      </c>
    </row>
    <row r="14" customFormat="false" ht="12.75" hidden="false" customHeight="false" outlineLevel="0" collapsed="false">
      <c r="A14" s="355"/>
      <c r="I14" s="339" t="str">
        <f aca="false">IF((F14&lt;&gt;0),IF((D14&gt;0)," ",(I$1-A14))," ")</f>
        <v> </v>
      </c>
    </row>
    <row r="15" customFormat="false" ht="12.75" hidden="false" customHeight="false" outlineLevel="0" collapsed="false">
      <c r="A15" s="355"/>
      <c r="I15" s="339" t="str">
        <f aca="false">IF((F15&lt;&gt;0),IF((D15&gt;0)," ",(I$1-A15))," ")</f>
        <v> </v>
      </c>
    </row>
    <row r="16" customFormat="false" ht="12.75" hidden="false" customHeight="false" outlineLevel="0" collapsed="false">
      <c r="A16" s="355"/>
      <c r="I16" s="339" t="str">
        <f aca="false">IF((F16&lt;&gt;0),IF((D16&gt;0)," ",(I$1-A16))," ")</f>
        <v> </v>
      </c>
    </row>
    <row r="17" customFormat="false" ht="12.75" hidden="false" customHeight="false" outlineLevel="0" collapsed="false">
      <c r="A17" s="355"/>
      <c r="I17" s="339" t="str">
        <f aca="false">IF((F17&lt;&gt;0),IF((D17&gt;0)," ",(I$1-A17))," ")</f>
        <v> </v>
      </c>
    </row>
    <row r="18" customFormat="false" ht="12.75" hidden="false" customHeight="false" outlineLevel="0" collapsed="false">
      <c r="A18" s="355"/>
      <c r="I18" s="339" t="str">
        <f aca="false">IF((F18&lt;&gt;0),IF((D18&gt;0)," ",(I$1-A18))," ")</f>
        <v> </v>
      </c>
    </row>
    <row r="19" customFormat="false" ht="12.75" hidden="false" customHeight="false" outlineLevel="0" collapsed="false">
      <c r="A19" s="355"/>
      <c r="I19" s="339" t="str">
        <f aca="false">IF((F19&lt;&gt;0),IF((D19&gt;0)," ",(I$1-A19))," ")</f>
        <v> </v>
      </c>
    </row>
    <row r="20" customFormat="false" ht="12.75" hidden="false" customHeight="false" outlineLevel="0" collapsed="false">
      <c r="A20" s="355"/>
      <c r="I20" s="339" t="str">
        <f aca="false">IF((F20&lt;&gt;0),IF((D20&gt;0)," ",(I$1-A20))," ")</f>
        <v> </v>
      </c>
    </row>
    <row r="21" customFormat="false" ht="12.75" hidden="false" customHeight="false" outlineLevel="0" collapsed="false">
      <c r="A21" s="355"/>
      <c r="I21" s="339" t="str">
        <f aca="false">IF((F21&lt;&gt;0),IF((D21&gt;0)," ",(I$1-A21))," ")</f>
        <v> </v>
      </c>
    </row>
    <row r="22" customFormat="false" ht="12.75" hidden="false" customHeight="false" outlineLevel="0" collapsed="false">
      <c r="A22" s="355"/>
      <c r="I22" s="339" t="str">
        <f aca="false">IF((F22&lt;&gt;0),IF((D22&gt;0)," ",(I$1-A22))," ")</f>
        <v> </v>
      </c>
    </row>
    <row r="23" customFormat="false" ht="12.75" hidden="false" customHeight="false" outlineLevel="0" collapsed="false">
      <c r="A23" s="355"/>
      <c r="I23" s="339" t="str">
        <f aca="false">IF((F23&lt;&gt;0),IF((D23&gt;0)," ",(I$1-A23))," ")</f>
        <v> </v>
      </c>
    </row>
    <row r="24" customFormat="false" ht="12.75" hidden="false" customHeight="false" outlineLevel="0" collapsed="false">
      <c r="A24" s="355"/>
      <c r="I24" s="339" t="str">
        <f aca="false">IF((F24&lt;&gt;0),IF((D24&gt;0)," ",(I$1-A24))," ")</f>
        <v> </v>
      </c>
    </row>
    <row r="25" customFormat="false" ht="12.75" hidden="false" customHeight="false" outlineLevel="0" collapsed="false">
      <c r="A25" s="355"/>
      <c r="I25" s="339" t="str">
        <f aca="false">IF((F25&lt;&gt;0),IF((D25&gt;0)," ",(I$1-A25))," ")</f>
        <v> </v>
      </c>
    </row>
    <row r="26" customFormat="false" ht="12.75" hidden="false" customHeight="false" outlineLevel="0" collapsed="false">
      <c r="A26" s="355"/>
      <c r="I26" s="339" t="str">
        <f aca="false">IF((F26&lt;&gt;0),IF((D26&gt;0)," ",(I$1-A26))," ")</f>
        <v> </v>
      </c>
    </row>
    <row r="27" customFormat="false" ht="12.75" hidden="false" customHeight="false" outlineLevel="0" collapsed="false">
      <c r="A27" s="355"/>
      <c r="I27" s="339" t="str">
        <f aca="false">IF((F27&lt;&gt;0),IF((D27&gt;0)," ",(I$1-A27))," ")</f>
        <v> </v>
      </c>
    </row>
    <row r="28" customFormat="false" ht="12.75" hidden="false" customHeight="false" outlineLevel="0" collapsed="false">
      <c r="A28" s="355"/>
      <c r="I28" s="339" t="str">
        <f aca="false">IF((F28&lt;&gt;0),IF((D28&gt;0)," ",(I$1-A28))," ")</f>
        <v> </v>
      </c>
    </row>
    <row r="29" customFormat="false" ht="12.75" hidden="false" customHeight="false" outlineLevel="0" collapsed="false">
      <c r="A29" s="355"/>
      <c r="I29" s="339" t="str">
        <f aca="false">IF((F29&lt;&gt;0),IF((D29&gt;0)," ",(I$1-A29))," ")</f>
        <v> </v>
      </c>
    </row>
    <row r="30" customFormat="false" ht="12.75" hidden="false" customHeight="false" outlineLevel="0" collapsed="false">
      <c r="A30" s="355"/>
      <c r="I30" s="339" t="str">
        <f aca="false">IF((F30&lt;&gt;0),IF((D30&gt;0)," ",(I$1-A30))," ")</f>
        <v> </v>
      </c>
    </row>
    <row r="31" customFormat="false" ht="12.75" hidden="false" customHeight="false" outlineLevel="0" collapsed="false">
      <c r="A31" s="355"/>
      <c r="I31" s="339" t="str">
        <f aca="false">IF((F31&lt;&gt;0),IF((D31&gt;0)," ",(I$1-A31))," ")</f>
        <v> </v>
      </c>
    </row>
    <row r="32" customFormat="false" ht="12.75" hidden="false" customHeight="false" outlineLevel="0" collapsed="false">
      <c r="A32" s="355"/>
      <c r="I32" s="339" t="str">
        <f aca="false">IF((F32&lt;&gt;0),IF((D32&gt;0)," ",(I$1-A32))," ")</f>
        <v> </v>
      </c>
    </row>
    <row r="33" customFormat="false" ht="12.75" hidden="false" customHeight="false" outlineLevel="0" collapsed="false">
      <c r="A33" s="355"/>
      <c r="I33" s="339" t="str">
        <f aca="false">IF((F33&lt;&gt;0),IF((D33&gt;0)," ",(I$1-A33))," ")</f>
        <v> </v>
      </c>
    </row>
    <row r="34" customFormat="false" ht="12.75" hidden="false" customHeight="false" outlineLevel="0" collapsed="false">
      <c r="A34" s="355"/>
      <c r="I34" s="339" t="str">
        <f aca="false">IF((F34&lt;&gt;0),IF((D34&gt;0)," ",(I$1-A34))," ")</f>
        <v> </v>
      </c>
    </row>
    <row r="35" customFormat="false" ht="12.75" hidden="false" customHeight="false" outlineLevel="0" collapsed="false">
      <c r="A35" s="355"/>
      <c r="I35" s="339" t="str">
        <f aca="false">IF((F35&lt;&gt;0),IF((D35&gt;0)," ",(I$1-A35))," ")</f>
        <v> </v>
      </c>
    </row>
    <row r="36" customFormat="false" ht="12.75" hidden="false" customHeight="false" outlineLevel="0" collapsed="false">
      <c r="A36" s="355"/>
      <c r="I36" s="339" t="str">
        <f aca="false">IF((F36&lt;&gt;0),IF((D36&gt;0)," ",(I$1-A36))," ")</f>
        <v> </v>
      </c>
    </row>
    <row r="37" customFormat="false" ht="12.75" hidden="false" customHeight="false" outlineLevel="0" collapsed="false">
      <c r="A37" s="355"/>
      <c r="I37" s="339" t="str">
        <f aca="false">IF((F37&lt;&gt;0),IF((D37&gt;0)," ",(I$1-A37))," ")</f>
        <v> </v>
      </c>
    </row>
    <row r="38" customFormat="false" ht="12.75" hidden="false" customHeight="false" outlineLevel="0" collapsed="false">
      <c r="A38" s="355"/>
      <c r="I38" s="339" t="str">
        <f aca="false">IF((F38&lt;&gt;0),IF((D38&gt;0)," ",(I$1-A38))," ")</f>
        <v> </v>
      </c>
    </row>
    <row r="39" customFormat="false" ht="12.75" hidden="false" customHeight="false" outlineLevel="0" collapsed="false">
      <c r="A39" s="355"/>
      <c r="I39" s="339" t="str">
        <f aca="false">IF((F39&lt;&gt;0),IF((D39&gt;0)," ",(I$1-A39))," ")</f>
        <v> </v>
      </c>
    </row>
    <row r="40" customFormat="false" ht="12.75" hidden="false" customHeight="false" outlineLevel="0" collapsed="false">
      <c r="A40" s="355"/>
      <c r="I40" s="339" t="str">
        <f aca="false">IF((F40&lt;&gt;0),IF((D40&gt;0)," ",(I$1-A40))," ")</f>
        <v> </v>
      </c>
    </row>
    <row r="41" customFormat="false" ht="12.75" hidden="false" customHeight="false" outlineLevel="0" collapsed="false">
      <c r="A41" s="355"/>
      <c r="I41" s="339" t="str">
        <f aca="false">IF((F41&lt;&gt;0),IF((D41&gt;0)," ",(I$1-A41))," ")</f>
        <v> </v>
      </c>
    </row>
    <row r="42" customFormat="false" ht="12.75" hidden="false" customHeight="false" outlineLevel="0" collapsed="false">
      <c r="A42" s="355"/>
      <c r="I42" s="339" t="str">
        <f aca="false">IF((F42&lt;&gt;0),IF((D42&gt;0)," ",(I$1-A42))," ")</f>
        <v> </v>
      </c>
    </row>
    <row r="43" customFormat="false" ht="12.75" hidden="false" customHeight="false" outlineLevel="0" collapsed="false">
      <c r="A43" s="355"/>
      <c r="I43" s="339" t="str">
        <f aca="false">IF((F43&lt;&gt;0),IF((D43&gt;0)," ",(I$1-A43))," ")</f>
        <v> </v>
      </c>
    </row>
    <row r="44" customFormat="false" ht="12.75" hidden="false" customHeight="false" outlineLevel="0" collapsed="false">
      <c r="A44" s="355"/>
      <c r="I44" s="339" t="str">
        <f aca="false">IF((F44&lt;&gt;0),IF((D44&gt;0)," ",(I$1-A44))," ")</f>
        <v> </v>
      </c>
    </row>
    <row r="45" customFormat="false" ht="12.75" hidden="false" customHeight="false" outlineLevel="0" collapsed="false">
      <c r="A45" s="355"/>
      <c r="I45" s="339" t="str">
        <f aca="false">IF((F45&lt;&gt;0),IF((D45&gt;0)," ",(I$1-A45))," ")</f>
        <v> </v>
      </c>
    </row>
    <row r="46" customFormat="false" ht="12.75" hidden="false" customHeight="false" outlineLevel="0" collapsed="false">
      <c r="A46" s="355"/>
      <c r="I46" s="339" t="str">
        <f aca="false">IF((F46&lt;&gt;0),IF((D46&gt;0)," ",(I$1-A46))," ")</f>
        <v> </v>
      </c>
    </row>
    <row r="47" customFormat="false" ht="12.75" hidden="false" customHeight="false" outlineLevel="0" collapsed="false">
      <c r="A47" s="355"/>
      <c r="I47" s="339" t="str">
        <f aca="false">IF((F47&lt;&gt;0),IF((D47&gt;0)," ",(I$1-A47))," ")</f>
        <v> </v>
      </c>
    </row>
    <row r="48" customFormat="false" ht="12.75" hidden="false" customHeight="false" outlineLevel="0" collapsed="false">
      <c r="A48" s="355"/>
      <c r="I48" s="339" t="str">
        <f aca="false">IF((F48&lt;&gt;0),IF((D48&gt;0)," ",(I$1-A48))," ")</f>
        <v> </v>
      </c>
    </row>
    <row r="49" customFormat="false" ht="12.75" hidden="false" customHeight="false" outlineLevel="0" collapsed="false">
      <c r="A49" s="355"/>
      <c r="I49" s="339" t="str">
        <f aca="false">IF((F49&lt;&gt;0),IF((D49&gt;0)," ",(I$1-A49))," ")</f>
        <v> </v>
      </c>
    </row>
    <row r="50" customFormat="false" ht="12.75" hidden="false" customHeight="false" outlineLevel="0" collapsed="false">
      <c r="A50" s="355"/>
      <c r="I50" s="339" t="str">
        <f aca="false">IF((F50&lt;&gt;0),IF((D50&gt;0)," ",(I$1-A50))," ")</f>
        <v> </v>
      </c>
    </row>
    <row r="51" customFormat="false" ht="12.75" hidden="false" customHeight="false" outlineLevel="0" collapsed="false">
      <c r="A51" s="355"/>
      <c r="I51" s="339" t="str">
        <f aca="false">IF((F51&lt;&gt;0),IF((D51&gt;0)," ",(I$1-A51))," ")</f>
        <v> </v>
      </c>
    </row>
    <row r="52" customFormat="false" ht="12.75" hidden="false" customHeight="false" outlineLevel="0" collapsed="false">
      <c r="A52" s="355"/>
      <c r="I52" s="339" t="str">
        <f aca="false">IF((F52&lt;&gt;0),IF((D52&gt;0)," ",(I$1-A52))," ")</f>
        <v> </v>
      </c>
    </row>
    <row r="53" customFormat="false" ht="12.75" hidden="false" customHeight="false" outlineLevel="0" collapsed="false">
      <c r="A53" s="355"/>
      <c r="I53" s="339" t="str">
        <f aca="false">IF((F53&lt;&gt;0),IF((D53&gt;0)," ",(I$1-A53))," ")</f>
        <v> </v>
      </c>
    </row>
    <row r="54" customFormat="false" ht="12.75" hidden="false" customHeight="false" outlineLevel="0" collapsed="false">
      <c r="A54" s="355"/>
      <c r="I54" s="339" t="str">
        <f aca="false">IF((F54&lt;&gt;0),IF((D54&gt;0)," ",(I$1-A54))," ")</f>
        <v> </v>
      </c>
    </row>
    <row r="55" customFormat="false" ht="12.75" hidden="false" customHeight="false" outlineLevel="0" collapsed="false">
      <c r="A55" s="355"/>
      <c r="I55" s="339" t="str">
        <f aca="false">IF((F55&lt;&gt;0),IF((D55&gt;0)," ",(I$1-A55))," ")</f>
        <v> </v>
      </c>
    </row>
    <row r="56" customFormat="false" ht="12.75" hidden="false" customHeight="false" outlineLevel="0" collapsed="false">
      <c r="A56" s="355"/>
      <c r="I56" s="339" t="str">
        <f aca="false">IF((F56&lt;&gt;0),IF((D56&gt;0)," ",(I$1-A56))," ")</f>
        <v> </v>
      </c>
    </row>
    <row r="57" customFormat="false" ht="12.75" hidden="false" customHeight="false" outlineLevel="0" collapsed="false">
      <c r="A57" s="355"/>
      <c r="I57" s="339" t="str">
        <f aca="false">IF((F57&lt;&gt;0),IF((D57&gt;0)," ",(I$1-A57))," ")</f>
        <v> </v>
      </c>
    </row>
    <row r="58" customFormat="false" ht="12.75" hidden="false" customHeight="false" outlineLevel="0" collapsed="false">
      <c r="A58" s="355"/>
      <c r="I58" s="339" t="str">
        <f aca="false">IF((F58&lt;&gt;0),IF((D58&gt;0)," ",(I$1-A58))," ")</f>
        <v> </v>
      </c>
    </row>
    <row r="59" customFormat="false" ht="12.75" hidden="false" customHeight="false" outlineLevel="0" collapsed="false">
      <c r="A59" s="355"/>
      <c r="I59" s="339" t="str">
        <f aca="false">IF((F59&lt;&gt;0),IF((D59&gt;0)," ",(I$1-A59))," ")</f>
        <v> </v>
      </c>
    </row>
    <row r="60" customFormat="false" ht="12.75" hidden="false" customHeight="false" outlineLevel="0" collapsed="false">
      <c r="A60" s="355"/>
      <c r="I60" s="339" t="str">
        <f aca="false">IF((F60&lt;&gt;0),IF((D60&gt;0)," ",(I$1-A60))," ")</f>
        <v> </v>
      </c>
    </row>
    <row r="61" customFormat="false" ht="12.75" hidden="false" customHeight="false" outlineLevel="0" collapsed="false">
      <c r="A61" s="355"/>
      <c r="I61" s="339" t="str">
        <f aca="false">IF((F61&lt;&gt;0),IF((D61&gt;0)," ",(I$1-A61))," ")</f>
        <v> </v>
      </c>
    </row>
    <row r="62" customFormat="false" ht="12.75" hidden="false" customHeight="false" outlineLevel="0" collapsed="false">
      <c r="A62" s="355"/>
      <c r="I62" s="339" t="str">
        <f aca="false">IF((F62&lt;&gt;0),IF((D62&gt;0)," ",(I$1-A62))," ")</f>
        <v> </v>
      </c>
    </row>
    <row r="63" customFormat="false" ht="12.75" hidden="false" customHeight="false" outlineLevel="0" collapsed="false">
      <c r="A63" s="355"/>
      <c r="I63" s="339" t="str">
        <f aca="false">IF((F63&lt;&gt;0),IF((D63&gt;0)," ",(I$1-A63))," ")</f>
        <v> </v>
      </c>
    </row>
    <row r="64" customFormat="false" ht="12.75" hidden="false" customHeight="false" outlineLevel="0" collapsed="false">
      <c r="A64" s="355"/>
      <c r="I64" s="339" t="str">
        <f aca="false">IF((F64&lt;&gt;0),IF((D64&gt;0)," ",(I$1-A64))," ")</f>
        <v> </v>
      </c>
    </row>
    <row r="65" customFormat="false" ht="12.75" hidden="false" customHeight="false" outlineLevel="0" collapsed="false">
      <c r="A65" s="355"/>
      <c r="I65" s="339" t="str">
        <f aca="false">IF((F65&lt;&gt;0),IF((D65&gt;0)," ",(I$1-A65))," ")</f>
        <v> </v>
      </c>
    </row>
    <row r="66" customFormat="false" ht="12.75" hidden="false" customHeight="false" outlineLevel="0" collapsed="false">
      <c r="A66" s="355"/>
      <c r="I66" s="339" t="str">
        <f aca="false">IF((F66&lt;&gt;0),IF((D66&gt;0)," ",(I$1-A66))," ")</f>
        <v> </v>
      </c>
    </row>
    <row r="67" customFormat="false" ht="12.75" hidden="false" customHeight="false" outlineLevel="0" collapsed="false">
      <c r="A67" s="355"/>
      <c r="I67" s="339" t="str">
        <f aca="false">IF((F67&lt;&gt;0),IF((D67&gt;0)," ",(I$1-A67))," ")</f>
        <v> </v>
      </c>
    </row>
    <row r="68" customFormat="false" ht="12.75" hidden="false" customHeight="false" outlineLevel="0" collapsed="false">
      <c r="A68" s="355"/>
      <c r="H68" s="338" t="str">
        <f aca="false">IF((F68&lt;&gt;0),IF((D68&gt;0)," ",F68)," ")</f>
        <v> </v>
      </c>
      <c r="I68" s="339" t="str">
        <f aca="false">IF((F68&lt;&gt;0),IF((D68&gt;0)," ",(I$1-A68))," ")</f>
        <v> </v>
      </c>
    </row>
    <row r="69" customFormat="false" ht="12.75" hidden="false" customHeight="false" outlineLevel="0" collapsed="false">
      <c r="A69" s="355"/>
      <c r="H69" s="338" t="str">
        <f aca="false">IF((F69&lt;&gt;0),IF((D69&gt;0)," ",F69)," ")</f>
        <v> </v>
      </c>
      <c r="I69" s="339" t="str">
        <f aca="false">IF((F69&lt;&gt;0),IF((D69&gt;0)," ",(I$1-A69))," ")</f>
        <v> </v>
      </c>
    </row>
    <row r="70" customFormat="false" ht="12.75" hidden="false" customHeight="false" outlineLevel="0" collapsed="false">
      <c r="A70" s="355"/>
      <c r="H70" s="338" t="str">
        <f aca="false">IF((F70&lt;&gt;0),IF((D70&gt;0)," ",F70)," ")</f>
        <v> </v>
      </c>
      <c r="I70" s="339" t="str">
        <f aca="false">IF((F70&lt;&gt;0),IF((D70&gt;0)," ",(I$1-A70))," ")</f>
        <v> </v>
      </c>
    </row>
    <row r="71" customFormat="false" ht="12.75" hidden="false" customHeight="false" outlineLevel="0" collapsed="false">
      <c r="A71" s="355"/>
      <c r="H71" s="338" t="str">
        <f aca="false">IF((F71&lt;&gt;0),IF((D71&gt;0)," ",F71)," ")</f>
        <v> </v>
      </c>
      <c r="I71" s="339" t="str">
        <f aca="false">IF((F71&lt;&gt;0),IF((D71&gt;0)," ",(I$1-A71))," ")</f>
        <v> </v>
      </c>
    </row>
    <row r="72" customFormat="false" ht="12.75" hidden="false" customHeight="false" outlineLevel="0" collapsed="false">
      <c r="A72" s="355"/>
      <c r="H72" s="338" t="str">
        <f aca="false">IF((F72&lt;&gt;0),IF((D72&gt;0)," ",F72)," ")</f>
        <v> </v>
      </c>
      <c r="I72" s="339" t="str">
        <f aca="false">IF((F72&lt;&gt;0),IF((D72&gt;0)," ",(I$1-A72))," ")</f>
        <v> </v>
      </c>
    </row>
    <row r="73" customFormat="false" ht="12.75" hidden="false" customHeight="false" outlineLevel="0" collapsed="false">
      <c r="A73" s="355"/>
      <c r="H73" s="338" t="str">
        <f aca="false">IF((F73&lt;&gt;0),IF((D73&gt;0)," ",F73)," ")</f>
        <v> </v>
      </c>
      <c r="I73" s="339" t="str">
        <f aca="false">IF((F73&lt;&gt;0),IF((D73&gt;0)," ",(I$1-A73))," ")</f>
        <v> </v>
      </c>
    </row>
    <row r="74" customFormat="false" ht="12.75" hidden="false" customHeight="false" outlineLevel="0" collapsed="false">
      <c r="A74" s="355"/>
      <c r="H74" s="338" t="str">
        <f aca="false">IF((F74&lt;&gt;0),IF((D74&gt;0)," ",F74)," ")</f>
        <v> </v>
      </c>
      <c r="I74" s="339" t="str">
        <f aca="false">IF((F74&lt;&gt;0),IF((D74&gt;0)," ",(I$1-A74))," ")</f>
        <v> </v>
      </c>
    </row>
    <row r="75" customFormat="false" ht="12.75" hidden="false" customHeight="false" outlineLevel="0" collapsed="false">
      <c r="A75" s="355"/>
      <c r="H75" s="338" t="str">
        <f aca="false">IF((F75&lt;&gt;0),IF((D75&gt;0)," ",F75)," ")</f>
        <v> </v>
      </c>
      <c r="I75" s="339" t="str">
        <f aca="false">IF((F75&lt;&gt;0),IF((D75&gt;0)," ",(I$1-A75))," ")</f>
        <v> </v>
      </c>
    </row>
    <row r="76" customFormat="false" ht="12.75" hidden="false" customHeight="false" outlineLevel="0" collapsed="false">
      <c r="A76" s="355"/>
      <c r="H76" s="338" t="str">
        <f aca="false">IF((F76&lt;&gt;0),IF((D76&gt;0)," ",F76)," ")</f>
        <v> </v>
      </c>
      <c r="I76" s="339" t="str">
        <f aca="false">IF((F76&lt;&gt;0),IF((D76&gt;0)," ",(I$1-A76))," ")</f>
        <v> </v>
      </c>
    </row>
    <row r="77" customFormat="false" ht="12.75" hidden="false" customHeight="false" outlineLevel="0" collapsed="false">
      <c r="A77" s="355"/>
      <c r="H77" s="338" t="str">
        <f aca="false">IF((F77&lt;&gt;0),IF((D77&gt;0)," ",F77)," ")</f>
        <v> </v>
      </c>
      <c r="I77" s="339" t="str">
        <f aca="false">IF((F77&lt;&gt;0),IF((D77&gt;0)," ",(I$1-A77))," ")</f>
        <v> </v>
      </c>
    </row>
    <row r="78" customFormat="false" ht="12.75" hidden="false" customHeight="false" outlineLevel="0" collapsed="false">
      <c r="A78" s="355"/>
      <c r="H78" s="338" t="str">
        <f aca="false">IF((F78&lt;&gt;0),IF((D78&gt;0)," ",F78)," ")</f>
        <v> </v>
      </c>
      <c r="I78" s="339" t="str">
        <f aca="false">IF((F78&lt;&gt;0),IF((D78&gt;0)," ",(I$1-A78))," ")</f>
        <v> </v>
      </c>
    </row>
    <row r="79" customFormat="false" ht="12.75" hidden="false" customHeight="false" outlineLevel="0" collapsed="false">
      <c r="A79" s="355"/>
      <c r="H79" s="338" t="str">
        <f aca="false">IF((F79&lt;&gt;0),IF((D79&gt;0)," ",F79)," ")</f>
        <v> </v>
      </c>
      <c r="I79" s="339" t="str">
        <f aca="false">IF((F79&lt;&gt;0),IF((D79&gt;0)," ",(I$1-A79))," ")</f>
        <v> </v>
      </c>
    </row>
    <row r="80" customFormat="false" ht="12.75" hidden="false" customHeight="false" outlineLevel="0" collapsed="false">
      <c r="A80" s="355"/>
      <c r="H80" s="338" t="str">
        <f aca="false">IF((F80&lt;&gt;0),IF((D80&gt;0)," ",F80)," ")</f>
        <v> </v>
      </c>
      <c r="I80" s="339" t="str">
        <f aca="false">IF((F80&lt;&gt;0),IF((D80&gt;0)," ",(I$1-A80))," ")</f>
        <v> </v>
      </c>
    </row>
    <row r="81" customFormat="false" ht="12.75" hidden="false" customHeight="false" outlineLevel="0" collapsed="false">
      <c r="A81" s="355"/>
      <c r="H81" s="338" t="str">
        <f aca="false">IF((F81&lt;&gt;0),IF((D81&gt;0)," ",F81)," ")</f>
        <v> </v>
      </c>
      <c r="I81" s="339" t="str">
        <f aca="false">IF((F81&lt;&gt;0),IF((D81&gt;0)," ",(I$1-A81))," ")</f>
        <v> </v>
      </c>
    </row>
    <row r="82" customFormat="false" ht="12.75" hidden="false" customHeight="false" outlineLevel="0" collapsed="false">
      <c r="A82" s="355"/>
      <c r="H82" s="338" t="str">
        <f aca="false">IF((F82&lt;&gt;0),IF((D82&gt;0)," ",F82)," ")</f>
        <v> </v>
      </c>
      <c r="I82" s="339" t="str">
        <f aca="false">IF((F82&lt;&gt;0),IF((D82&gt;0)," ",(I$1-A82))," ")</f>
        <v> </v>
      </c>
    </row>
    <row r="83" customFormat="false" ht="12.75" hidden="false" customHeight="false" outlineLevel="0" collapsed="false">
      <c r="A83" s="355"/>
      <c r="H83" s="338" t="str">
        <f aca="false">IF((F83&lt;&gt;0),IF((D83&gt;0)," ",F83)," ")</f>
        <v> </v>
      </c>
      <c r="I83" s="339" t="str">
        <f aca="false">IF((F83&lt;&gt;0),IF((D83&gt;0)," ",(I$1-A83))," ")</f>
        <v> </v>
      </c>
    </row>
    <row r="84" customFormat="false" ht="12.75" hidden="false" customHeight="false" outlineLevel="0" collapsed="false">
      <c r="A84" s="355"/>
      <c r="H84" s="338" t="str">
        <f aca="false">IF((F84&lt;&gt;0),IF((D84&gt;0)," ",F84)," ")</f>
        <v> </v>
      </c>
      <c r="I84" s="339" t="str">
        <f aca="false">IF((F84&lt;&gt;0),IF((D84&gt;0)," ",(I$1-A84))," ")</f>
        <v> </v>
      </c>
    </row>
    <row r="85" customFormat="false" ht="12.75" hidden="false" customHeight="false" outlineLevel="0" collapsed="false">
      <c r="A85" s="355"/>
      <c r="H85" s="338" t="str">
        <f aca="false">IF((F85&lt;&gt;0),IF((D85&gt;0)," ",F85)," ")</f>
        <v> </v>
      </c>
      <c r="I85" s="339" t="str">
        <f aca="false">IF((F85&lt;&gt;0),IF((D85&gt;0)," ",(I$1-A85))," ")</f>
        <v> </v>
      </c>
    </row>
    <row r="86" customFormat="false" ht="12.75" hidden="false" customHeight="false" outlineLevel="0" collapsed="false">
      <c r="A86" s="355"/>
      <c r="H86" s="338" t="str">
        <f aca="false">IF((F86&lt;&gt;0),IF((D86&gt;0)," ",F86)," ")</f>
        <v> </v>
      </c>
      <c r="I86" s="339" t="str">
        <f aca="false">IF((F86&lt;&gt;0),IF((D86&gt;0)," ",(I$1-A86))," ")</f>
        <v> </v>
      </c>
    </row>
    <row r="87" customFormat="false" ht="12.75" hidden="false" customHeight="false" outlineLevel="0" collapsed="false">
      <c r="A87" s="355"/>
      <c r="H87" s="338" t="str">
        <f aca="false">IF((F87&lt;&gt;0),IF((D87&gt;0)," ",F87)," ")</f>
        <v> </v>
      </c>
      <c r="I87" s="339" t="str">
        <f aca="false">IF((F87&lt;&gt;0),IF((D87&gt;0)," ",(I$1-A87))," ")</f>
        <v> </v>
      </c>
    </row>
    <row r="88" customFormat="false" ht="12.75" hidden="false" customHeight="false" outlineLevel="0" collapsed="false">
      <c r="A88" s="355"/>
      <c r="H88" s="338" t="str">
        <f aca="false">IF((F88&lt;&gt;0),IF((D88&gt;0)," ",F88)," ")</f>
        <v> </v>
      </c>
      <c r="I88" s="339" t="str">
        <f aca="false">IF((F88&lt;&gt;0),IF((D88&gt;0)," ",(I$1-A88))," ")</f>
        <v> </v>
      </c>
    </row>
    <row r="89" customFormat="false" ht="12.75" hidden="false" customHeight="false" outlineLevel="0" collapsed="false">
      <c r="A89" s="355"/>
      <c r="H89" s="338" t="str">
        <f aca="false">IF((F89&lt;&gt;0),IF((D89&gt;0)," ",F89)," ")</f>
        <v> </v>
      </c>
      <c r="I89" s="339" t="str">
        <f aca="false">IF((F89&lt;&gt;0),IF((D89&gt;0)," ",(I$1-A89))," ")</f>
        <v> </v>
      </c>
    </row>
    <row r="90" customFormat="false" ht="12.75" hidden="false" customHeight="false" outlineLevel="0" collapsed="false">
      <c r="A90" s="355"/>
      <c r="H90" s="338" t="str">
        <f aca="false">IF((F90&lt;&gt;0),IF((D90&gt;0)," ",F90)," ")</f>
        <v> </v>
      </c>
      <c r="I90" s="339" t="str">
        <f aca="false">IF((F90&lt;&gt;0),IF((D90&gt;0)," ",(I$1-A90))," ")</f>
        <v> </v>
      </c>
    </row>
    <row r="91" customFormat="false" ht="12.75" hidden="false" customHeight="false" outlineLevel="0" collapsed="false">
      <c r="A91" s="355"/>
      <c r="H91" s="338" t="str">
        <f aca="false">IF((F91&lt;&gt;0),IF((D91&gt;0)," ",F91)," ")</f>
        <v> </v>
      </c>
      <c r="I91" s="339" t="str">
        <f aca="false">IF((F91&lt;&gt;0),IF((D91&gt;0)," ",(I$1-A91))," ")</f>
        <v> </v>
      </c>
    </row>
    <row r="92" customFormat="false" ht="12.75" hidden="false" customHeight="false" outlineLevel="0" collapsed="false">
      <c r="A92" s="355"/>
      <c r="H92" s="338" t="str">
        <f aca="false">IF((F92&lt;&gt;0),IF((D92&gt;0)," ",F92)," ")</f>
        <v> </v>
      </c>
      <c r="I92" s="339" t="str">
        <f aca="false">IF((F92&lt;&gt;0),IF((D92&gt;0)," ",(I$1-A92))," ")</f>
        <v> </v>
      </c>
    </row>
    <row r="93" customFormat="false" ht="12.75" hidden="false" customHeight="false" outlineLevel="0" collapsed="false">
      <c r="A93" s="355"/>
      <c r="H93" s="338" t="str">
        <f aca="false">IF((F93&lt;&gt;0),IF((D93&gt;0)," ",F93)," ")</f>
        <v> </v>
      </c>
      <c r="I93" s="339" t="str">
        <f aca="false">IF((F93&lt;&gt;0),IF((D93&gt;0)," ",(I$1-A93))," ")</f>
        <v> </v>
      </c>
    </row>
    <row r="94" customFormat="false" ht="12.75" hidden="false" customHeight="false" outlineLevel="0" collapsed="false">
      <c r="A94" s="355"/>
      <c r="H94" s="338" t="str">
        <f aca="false">IF((F94&lt;&gt;0),IF((D94&gt;0)," ",F94)," ")</f>
        <v> </v>
      </c>
      <c r="I94" s="339" t="str">
        <f aca="false">IF((F94&lt;&gt;0),IF((D94&gt;0)," ",(I$1-A94))," ")</f>
        <v> </v>
      </c>
    </row>
    <row r="95" customFormat="false" ht="12.75" hidden="false" customHeight="false" outlineLevel="0" collapsed="false">
      <c r="A95" s="355"/>
      <c r="H95" s="338" t="str">
        <f aca="false">IF((F95&lt;&gt;0),IF((D95&gt;0)," ",F95)," ")</f>
        <v> </v>
      </c>
      <c r="I95" s="339" t="str">
        <f aca="false">IF((F95&lt;&gt;0),IF((D95&gt;0)," ",(I$1-A95))," ")</f>
        <v> </v>
      </c>
    </row>
    <row r="96" customFormat="false" ht="12.75" hidden="false" customHeight="false" outlineLevel="0" collapsed="false">
      <c r="A96" s="355"/>
      <c r="H96" s="338" t="str">
        <f aca="false">IF((F96&lt;&gt;0),IF((D96&gt;0)," ",F96)," ")</f>
        <v> </v>
      </c>
      <c r="I96" s="339" t="str">
        <f aca="false">IF((F96&lt;&gt;0),IF((D96&gt;0)," ",(I$1-A96))," ")</f>
        <v> </v>
      </c>
    </row>
    <row r="97" customFormat="false" ht="12.75" hidden="false" customHeight="false" outlineLevel="0" collapsed="false">
      <c r="A97" s="355"/>
      <c r="H97" s="338" t="str">
        <f aca="false">IF((F97&lt;&gt;0),IF((D97&gt;0)," ",F97)," ")</f>
        <v> </v>
      </c>
      <c r="I97" s="339" t="str">
        <f aca="false">IF((F97&lt;&gt;0),IF((D97&gt;0)," ",(I$1-A97))," ")</f>
        <v> </v>
      </c>
    </row>
    <row r="98" customFormat="false" ht="12.75" hidden="false" customHeight="false" outlineLevel="0" collapsed="false">
      <c r="A98" s="355"/>
      <c r="H98" s="338" t="str">
        <f aca="false">IF((F98&lt;&gt;0),IF((D98&gt;0)," ",F98)," ")</f>
        <v> </v>
      </c>
      <c r="I98" s="339" t="str">
        <f aca="false">IF((F98&lt;&gt;0),IF((D98&gt;0)," ",(I$1-A98))," ")</f>
        <v> </v>
      </c>
    </row>
    <row r="99" customFormat="false" ht="12.75" hidden="false" customHeight="false" outlineLevel="0" collapsed="false">
      <c r="A99" s="355"/>
      <c r="H99" s="338" t="str">
        <f aca="false">IF((F99&lt;&gt;0),IF((D99&gt;0)," ",F99)," ")</f>
        <v> </v>
      </c>
      <c r="I99" s="339" t="str">
        <f aca="false">IF((F99&lt;&gt;0),IF((D99&gt;0)," ",(I$1-A99))," ")</f>
        <v> </v>
      </c>
    </row>
    <row r="100" customFormat="false" ht="12.75" hidden="false" customHeight="false" outlineLevel="0" collapsed="false">
      <c r="A100" s="355"/>
      <c r="H100" s="338" t="str">
        <f aca="false">IF((F100&lt;&gt;0),IF((D100&gt;0)," ",F100)," ")</f>
        <v> </v>
      </c>
      <c r="I100" s="339" t="str">
        <f aca="false">IF((F100&lt;&gt;0),IF((D100&gt;0)," ",(I$1-A100))," ")</f>
        <v> </v>
      </c>
    </row>
    <row r="101" customFormat="false" ht="12.75" hidden="false" customHeight="false" outlineLevel="0" collapsed="false">
      <c r="A101" s="355"/>
      <c r="H101" s="338" t="str">
        <f aca="false">IF((F101&lt;&gt;0),IF((D101&gt;0)," ",F101)," ")</f>
        <v> </v>
      </c>
      <c r="I101" s="339" t="str">
        <f aca="false">IF((F101&lt;&gt;0),IF((D101&gt;0)," ",(I$1-A101))," ")</f>
        <v> </v>
      </c>
    </row>
    <row r="102" customFormat="false" ht="12.75" hidden="false" customHeight="false" outlineLevel="0" collapsed="false">
      <c r="A102" s="355"/>
      <c r="H102" s="338" t="str">
        <f aca="false">IF((F102&lt;&gt;0),IF((D102&gt;0)," ",F102)," ")</f>
        <v> </v>
      </c>
      <c r="I102" s="339" t="str">
        <f aca="false">IF((F102&lt;&gt;0),IF((D102&gt;0)," ",(I$1-A102))," ")</f>
        <v> </v>
      </c>
    </row>
    <row r="103" customFormat="false" ht="12.75" hidden="false" customHeight="false" outlineLevel="0" collapsed="false">
      <c r="A103" s="355"/>
      <c r="H103" s="338" t="str">
        <f aca="false">IF((F103&lt;&gt;0),IF((D103&gt;0)," ",F103)," ")</f>
        <v> </v>
      </c>
      <c r="I103" s="339" t="str">
        <f aca="false">IF((F103&lt;&gt;0),IF((D103&gt;0)," ",(I$1-A103))," ")</f>
        <v> </v>
      </c>
    </row>
    <row r="104" customFormat="false" ht="12.75" hidden="false" customHeight="false" outlineLevel="0" collapsed="false">
      <c r="A104" s="355"/>
      <c r="H104" s="338" t="str">
        <f aca="false">IF((F104&lt;&gt;0),IF((D104&gt;0)," ",F104)," ")</f>
        <v> </v>
      </c>
      <c r="I104" s="339" t="str">
        <f aca="false">IF((F104&lt;&gt;0),IF((D104&gt;0)," ",(I$1-A104))," ")</f>
        <v> </v>
      </c>
    </row>
    <row r="105" customFormat="false" ht="12.75" hidden="false" customHeight="false" outlineLevel="0" collapsed="false">
      <c r="A105" s="355"/>
      <c r="H105" s="338" t="str">
        <f aca="false">IF((F105&lt;&gt;0),IF((D105&gt;0)," ",F105)," ")</f>
        <v> </v>
      </c>
      <c r="I105" s="339" t="str">
        <f aca="false">IF((F105&lt;&gt;0),IF((D105&gt;0)," ",(I$1-A105))," ")</f>
        <v> </v>
      </c>
    </row>
    <row r="106" customFormat="false" ht="12.75" hidden="false" customHeight="false" outlineLevel="0" collapsed="false">
      <c r="A106" s="355"/>
      <c r="H106" s="338" t="str">
        <f aca="false">IF((F106&lt;&gt;0),IF((D106&gt;0)," ",F106)," ")</f>
        <v> </v>
      </c>
      <c r="I106" s="339" t="str">
        <f aca="false">IF((F106&lt;&gt;0),IF((D106&gt;0)," ",(I$1-A106))," ")</f>
        <v> </v>
      </c>
    </row>
    <row r="107" customFormat="false" ht="12.75" hidden="false" customHeight="false" outlineLevel="0" collapsed="false">
      <c r="A107" s="355"/>
      <c r="H107" s="338" t="str">
        <f aca="false">IF((F107&lt;&gt;0),IF((D107&gt;0)," ",F107)," ")</f>
        <v> </v>
      </c>
      <c r="I107" s="339" t="str">
        <f aca="false">IF((F107&lt;&gt;0),IF((D107&gt;0)," ",(I$1-A107))," ")</f>
        <v> </v>
      </c>
    </row>
    <row r="108" customFormat="false" ht="12.75" hidden="false" customHeight="false" outlineLevel="0" collapsed="false">
      <c r="A108" s="355"/>
      <c r="H108" s="338" t="str">
        <f aca="false">IF((F108&lt;&gt;0),IF((D108&gt;0)," ",F108)," ")</f>
        <v> </v>
      </c>
      <c r="I108" s="339" t="str">
        <f aca="false">IF((F108&lt;&gt;0),IF((D108&gt;0)," ",(I$1-A108))," ")</f>
        <v> </v>
      </c>
    </row>
    <row r="109" customFormat="false" ht="12.75" hidden="false" customHeight="false" outlineLevel="0" collapsed="false">
      <c r="A109" s="355"/>
      <c r="H109" s="338" t="str">
        <f aca="false">IF((F109&lt;&gt;0),IF((D109&gt;0)," ",F109)," ")</f>
        <v> </v>
      </c>
      <c r="I109" s="339" t="str">
        <f aca="false">IF((F109&lt;&gt;0),IF((D109&gt;0)," ",(I$1-A109))," ")</f>
        <v> </v>
      </c>
    </row>
    <row r="110" customFormat="false" ht="12.75" hidden="false" customHeight="false" outlineLevel="0" collapsed="false">
      <c r="A110" s="355"/>
      <c r="H110" s="338" t="str">
        <f aca="false">IF((F110&lt;&gt;0),IF((D110&gt;0)," ",F110)," ")</f>
        <v> </v>
      </c>
      <c r="I110" s="339" t="str">
        <f aca="false">IF((F110&lt;&gt;0),IF((D110&gt;0)," ",(I$1-A110))," ")</f>
        <v> </v>
      </c>
    </row>
    <row r="111" customFormat="false" ht="12.75" hidden="false" customHeight="false" outlineLevel="0" collapsed="false">
      <c r="A111" s="355"/>
      <c r="H111" s="338" t="str">
        <f aca="false">IF((F111&lt;&gt;0),IF((D111&gt;0)," ",F111)," ")</f>
        <v> </v>
      </c>
      <c r="I111" s="339" t="str">
        <f aca="false">IF((F111&lt;&gt;0),IF((D111&gt;0)," ",(I$1-A111))," ")</f>
        <v> </v>
      </c>
    </row>
    <row r="112" customFormat="false" ht="12.75" hidden="false" customHeight="false" outlineLevel="0" collapsed="false">
      <c r="A112" s="355"/>
      <c r="H112" s="338" t="str">
        <f aca="false">IF((F112&lt;&gt;0),IF((D112&gt;0)," ",F112)," ")</f>
        <v> </v>
      </c>
      <c r="I112" s="339" t="str">
        <f aca="false">IF((F112&lt;&gt;0),IF((D112&gt;0)," ",(I$1-A112))," ")</f>
        <v> </v>
      </c>
    </row>
    <row r="113" customFormat="false" ht="12.75" hidden="false" customHeight="false" outlineLevel="0" collapsed="false">
      <c r="A113" s="355"/>
      <c r="H113" s="338" t="str">
        <f aca="false">IF((F113&lt;&gt;0),IF((D113&gt;0)," ",F113)," ")</f>
        <v> </v>
      </c>
      <c r="I113" s="339" t="str">
        <f aca="false">IF((F113&lt;&gt;0),IF((D113&gt;0)," ",(I$1-A113))," ")</f>
        <v> </v>
      </c>
    </row>
    <row r="114" customFormat="false" ht="12.75" hidden="false" customHeight="false" outlineLevel="0" collapsed="false">
      <c r="A114" s="355"/>
      <c r="H114" s="338" t="str">
        <f aca="false">IF((F114&lt;&gt;0),IF((D114&gt;0)," ",F114)," ")</f>
        <v> </v>
      </c>
      <c r="I114" s="339" t="str">
        <f aca="false">IF((F114&lt;&gt;0),IF((D114&gt;0)," ",(I$1-A114))," ")</f>
        <v> </v>
      </c>
    </row>
    <row r="115" customFormat="false" ht="12.75" hidden="false" customHeight="false" outlineLevel="0" collapsed="false">
      <c r="A115" s="355"/>
      <c r="H115" s="338" t="str">
        <f aca="false">IF((F115&lt;&gt;0),IF((D115&gt;0)," ",F115)," ")</f>
        <v> </v>
      </c>
      <c r="I115" s="339" t="str">
        <f aca="false">IF((F115&lt;&gt;0),IF((D115&gt;0)," ",(I$1-A115))," ")</f>
        <v> </v>
      </c>
    </row>
    <row r="116" customFormat="false" ht="12.75" hidden="false" customHeight="false" outlineLevel="0" collapsed="false">
      <c r="A116" s="355"/>
      <c r="H116" s="338" t="str">
        <f aca="false">IF((F116&lt;&gt;0),IF((D116&gt;0)," ",F116)," ")</f>
        <v> </v>
      </c>
      <c r="I116" s="339" t="str">
        <f aca="false">IF((F116&lt;&gt;0),IF((D116&gt;0)," ",(I$1-A116))," ")</f>
        <v> </v>
      </c>
    </row>
    <row r="117" customFormat="false" ht="12.75" hidden="false" customHeight="false" outlineLevel="0" collapsed="false">
      <c r="A117" s="355"/>
      <c r="H117" s="338" t="str">
        <f aca="false">IF((F117&lt;&gt;0),IF((D117&gt;0)," ",F117)," ")</f>
        <v> </v>
      </c>
      <c r="I117" s="339" t="str">
        <f aca="false">IF((F117&lt;&gt;0),IF((D117&gt;0)," ",(I$1-A117))," ")</f>
        <v> </v>
      </c>
    </row>
    <row r="118" customFormat="false" ht="12.75" hidden="false" customHeight="false" outlineLevel="0" collapsed="false">
      <c r="A118" s="355"/>
      <c r="H118" s="338" t="str">
        <f aca="false">IF((F118&lt;&gt;0),IF((D118&gt;0)," ",F118)," ")</f>
        <v> </v>
      </c>
      <c r="I118" s="339" t="str">
        <f aca="false">IF((F118&lt;&gt;0),IF((D118&gt;0)," ",(I$1-A118))," ")</f>
        <v> </v>
      </c>
    </row>
    <row r="119" customFormat="false" ht="12.75" hidden="false" customHeight="false" outlineLevel="0" collapsed="false">
      <c r="A119" s="355"/>
      <c r="H119" s="338" t="str">
        <f aca="false">IF((F119&lt;&gt;0),IF((D119&gt;0)," ",F119)," ")</f>
        <v> </v>
      </c>
      <c r="I119" s="339" t="str">
        <f aca="false">IF((F119&lt;&gt;0),IF((D119&gt;0)," ",(I$1-A119))," ")</f>
        <v> </v>
      </c>
    </row>
    <row r="120" customFormat="false" ht="12.75" hidden="false" customHeight="false" outlineLevel="0" collapsed="false">
      <c r="A120" s="355"/>
      <c r="H120" s="338" t="str">
        <f aca="false">IF((F120&lt;&gt;0),IF((D120&gt;0)," ",F120)," ")</f>
        <v> </v>
      </c>
      <c r="I120" s="339" t="str">
        <f aca="false">IF((F120&lt;&gt;0),IF((D120&gt;0)," ",(I$1-A120))," ")</f>
        <v> </v>
      </c>
    </row>
    <row r="121" customFormat="false" ht="12.75" hidden="false" customHeight="false" outlineLevel="0" collapsed="false">
      <c r="A121" s="355"/>
      <c r="H121" s="338" t="str">
        <f aca="false">IF((F121&lt;&gt;0),IF((D121&gt;0)," ",F121)," ")</f>
        <v> </v>
      </c>
      <c r="I121" s="339" t="str">
        <f aca="false">IF((F121&lt;&gt;0),IF((D121&gt;0)," ",(I$1-A121))," ")</f>
        <v> </v>
      </c>
    </row>
    <row r="122" customFormat="false" ht="12.75" hidden="false" customHeight="false" outlineLevel="0" collapsed="false">
      <c r="A122" s="355"/>
      <c r="H122" s="338" t="str">
        <f aca="false">IF((F122&lt;&gt;0),IF((D122&gt;0)," ",F122)," ")</f>
        <v> </v>
      </c>
      <c r="I122" s="339" t="str">
        <f aca="false">IF((F122&lt;&gt;0),IF((D122&gt;0)," ",(I$1-A122))," ")</f>
        <v> </v>
      </c>
    </row>
    <row r="123" customFormat="false" ht="12.75" hidden="false" customHeight="false" outlineLevel="0" collapsed="false">
      <c r="A123" s="355"/>
      <c r="H123" s="338" t="str">
        <f aca="false">IF((F123&lt;&gt;0),IF((D123&gt;0)," ",F123)," ")</f>
        <v> </v>
      </c>
      <c r="I123" s="339" t="str">
        <f aca="false">IF((F123&lt;&gt;0),IF((D123&gt;0)," ",(I$1-A123))," ")</f>
        <v> </v>
      </c>
    </row>
    <row r="124" customFormat="false" ht="12.75" hidden="false" customHeight="false" outlineLevel="0" collapsed="false">
      <c r="A124" s="355"/>
      <c r="H124" s="338" t="str">
        <f aca="false">IF((F124&lt;&gt;0),IF((D124&gt;0)," ",F124)," ")</f>
        <v> </v>
      </c>
      <c r="I124" s="339" t="str">
        <f aca="false">IF((F124&lt;&gt;0),IF((D124&gt;0)," ",(I$1-A124))," ")</f>
        <v> </v>
      </c>
    </row>
    <row r="125" customFormat="false" ht="12.75" hidden="false" customHeight="false" outlineLevel="0" collapsed="false">
      <c r="A125" s="355"/>
      <c r="H125" s="338" t="str">
        <f aca="false">IF((F125&lt;&gt;0),IF((D125&gt;0)," ",F125)," ")</f>
        <v> </v>
      </c>
      <c r="I125" s="339" t="str">
        <f aca="false">IF((F125&lt;&gt;0),IF((D125&gt;0)," ",(I$1-A125))," ")</f>
        <v> </v>
      </c>
    </row>
    <row r="126" customFormat="false" ht="12.75" hidden="false" customHeight="false" outlineLevel="0" collapsed="false">
      <c r="A126" s="355"/>
      <c r="H126" s="338" t="str">
        <f aca="false">IF((F126&lt;&gt;0),IF((D126&gt;0)," ",F126)," ")</f>
        <v> </v>
      </c>
      <c r="I126" s="339" t="str">
        <f aca="false">IF((F126&lt;&gt;0),IF((D126&gt;0)," ",(I$1-A126))," ")</f>
        <v> </v>
      </c>
    </row>
    <row r="127" customFormat="false" ht="12.75" hidden="false" customHeight="false" outlineLevel="0" collapsed="false">
      <c r="A127" s="355"/>
      <c r="H127" s="338" t="str">
        <f aca="false">IF((F127&lt;&gt;0),IF((D127&gt;0)," ",F127)," ")</f>
        <v> </v>
      </c>
      <c r="I127" s="339" t="str">
        <f aca="false">IF((F127&lt;&gt;0),IF((D127&gt;0)," ",(I$1-A127))," ")</f>
        <v> </v>
      </c>
    </row>
    <row r="128" customFormat="false" ht="12.75" hidden="false" customHeight="false" outlineLevel="0" collapsed="false">
      <c r="A128" s="355"/>
      <c r="H128" s="338" t="str">
        <f aca="false">IF((F128&lt;&gt;0),IF((D128&gt;0)," ",F128)," ")</f>
        <v> </v>
      </c>
      <c r="I128" s="339" t="str">
        <f aca="false">IF((F128&lt;&gt;0),IF((D128&gt;0)," ",(I$1-A128))," ")</f>
        <v> </v>
      </c>
    </row>
    <row r="129" customFormat="false" ht="12.75" hidden="false" customHeight="false" outlineLevel="0" collapsed="false">
      <c r="A129" s="355"/>
      <c r="H129" s="338" t="str">
        <f aca="false">IF((F129&lt;&gt;0),IF((D129&gt;0)," ",F129)," ")</f>
        <v> </v>
      </c>
      <c r="I129" s="339" t="str">
        <f aca="false">IF((F129&lt;&gt;0),IF((D129&gt;0)," ",(I$1-A129))," ")</f>
        <v> </v>
      </c>
    </row>
    <row r="130" customFormat="false" ht="12.75" hidden="false" customHeight="false" outlineLevel="0" collapsed="false">
      <c r="A130" s="355"/>
      <c r="H130" s="338" t="str">
        <f aca="false">IF((F130&lt;&gt;0),IF((D130&gt;0)," ",F130)," ")</f>
        <v> </v>
      </c>
      <c r="I130" s="339" t="str">
        <f aca="false">IF((F130&lt;&gt;0),IF((D130&gt;0)," ",(I$1-A130))," ")</f>
        <v> </v>
      </c>
    </row>
    <row r="131" customFormat="false" ht="12.75" hidden="false" customHeight="false" outlineLevel="0" collapsed="false">
      <c r="A131" s="355"/>
      <c r="H131" s="338" t="str">
        <f aca="false">IF((F131&lt;&gt;0),IF((D131&gt;0)," ",F131)," ")</f>
        <v> </v>
      </c>
      <c r="I131" s="339" t="str">
        <f aca="false">IF((F131&lt;&gt;0),IF((D131&gt;0)," ",(I$1-A131))," ")</f>
        <v> </v>
      </c>
    </row>
    <row r="132" customFormat="false" ht="12.75" hidden="false" customHeight="false" outlineLevel="0" collapsed="false">
      <c r="A132" s="355"/>
      <c r="H132" s="338" t="str">
        <f aca="false">IF((F132&lt;&gt;0),IF((D132&gt;0)," ",F132)," ")</f>
        <v> </v>
      </c>
      <c r="I132" s="339" t="str">
        <f aca="false">IF((F132&lt;&gt;0),IF((D132&gt;0)," ",(I$1-A132))," ")</f>
        <v> </v>
      </c>
    </row>
    <row r="133" customFormat="false" ht="12.75" hidden="false" customHeight="false" outlineLevel="0" collapsed="false">
      <c r="A133" s="355"/>
      <c r="H133" s="338" t="str">
        <f aca="false">IF((F133&lt;&gt;0),IF((D133&gt;0)," ",F133)," ")</f>
        <v> </v>
      </c>
      <c r="I133" s="339" t="str">
        <f aca="false">IF((F133&lt;&gt;0),IF((D133&gt;0)," ",(I$1-A133))," ")</f>
        <v> </v>
      </c>
    </row>
    <row r="134" customFormat="false" ht="12.75" hidden="false" customHeight="false" outlineLevel="0" collapsed="false">
      <c r="A134" s="355"/>
      <c r="H134" s="338" t="str">
        <f aca="false">IF((F134&lt;&gt;0),IF((D134&gt;0)," ",F134)," ")</f>
        <v> </v>
      </c>
      <c r="I134" s="339" t="str">
        <f aca="false">IF((F134&lt;&gt;0),IF((D134&gt;0)," ",(I$1-A134))," ")</f>
        <v> </v>
      </c>
    </row>
    <row r="135" customFormat="false" ht="12.75" hidden="false" customHeight="false" outlineLevel="0" collapsed="false">
      <c r="A135" s="355"/>
      <c r="H135" s="338" t="str">
        <f aca="false">IF((F135&lt;&gt;0),IF((D135&gt;0)," ",F135)," ")</f>
        <v> </v>
      </c>
      <c r="I135" s="339" t="str">
        <f aca="false">IF((F135&lt;&gt;0),IF((D135&gt;0)," ",(I$1-A135))," ")</f>
        <v> </v>
      </c>
    </row>
    <row r="136" customFormat="false" ht="12.75" hidden="false" customHeight="false" outlineLevel="0" collapsed="false">
      <c r="A136" s="355"/>
      <c r="H136" s="338" t="str">
        <f aca="false">IF((F136&lt;&gt;0),IF((D136&gt;0)," ",F136)," ")</f>
        <v> </v>
      </c>
      <c r="I136" s="339" t="str">
        <f aca="false">IF((F136&lt;&gt;0),IF((D136&gt;0)," ",(I$1-A136))," ")</f>
        <v> </v>
      </c>
    </row>
    <row r="137" customFormat="false" ht="12.75" hidden="false" customHeight="false" outlineLevel="0" collapsed="false">
      <c r="A137" s="355"/>
      <c r="H137" s="338" t="str">
        <f aca="false">IF((F137&lt;&gt;0),IF((D137&gt;0)," ",F137)," ")</f>
        <v> </v>
      </c>
      <c r="I137" s="339" t="str">
        <f aca="false">IF((F137&lt;&gt;0),IF((D137&gt;0)," ",(I$1-A137))," ")</f>
        <v> </v>
      </c>
    </row>
    <row r="138" customFormat="false" ht="12.75" hidden="false" customHeight="false" outlineLevel="0" collapsed="false">
      <c r="A138" s="355"/>
      <c r="H138" s="338" t="str">
        <f aca="false">IF((F138&lt;&gt;0),IF((D138&gt;0)," ",F138)," ")</f>
        <v> </v>
      </c>
      <c r="I138" s="339" t="str">
        <f aca="false">IF((F138&lt;&gt;0),IF((D138&gt;0)," ",(I$1-A138))," ")</f>
        <v> </v>
      </c>
    </row>
    <row r="139" customFormat="false" ht="12.75" hidden="false" customHeight="false" outlineLevel="0" collapsed="false">
      <c r="A139" s="355"/>
      <c r="H139" s="338" t="str">
        <f aca="false">IF((F139&lt;&gt;0),IF((D139&gt;0)," ",F139)," ")</f>
        <v> </v>
      </c>
      <c r="I139" s="339" t="str">
        <f aca="false">IF((F139&lt;&gt;0),IF((D139&gt;0)," ",(I$1-A139))," ")</f>
        <v> </v>
      </c>
    </row>
    <row r="140" customFormat="false" ht="12.75" hidden="false" customHeight="false" outlineLevel="0" collapsed="false">
      <c r="A140" s="355"/>
      <c r="H140" s="338" t="str">
        <f aca="false">IF((F140&lt;&gt;0),IF((D140&gt;0)," ",F140)," ")</f>
        <v> </v>
      </c>
      <c r="I140" s="339" t="str">
        <f aca="false">IF((F140&lt;&gt;0),IF((D140&gt;0)," ",(I$1-A140))," ")</f>
        <v> </v>
      </c>
    </row>
    <row r="141" customFormat="false" ht="12.75" hidden="false" customHeight="false" outlineLevel="0" collapsed="false">
      <c r="A141" s="355"/>
      <c r="H141" s="338" t="str">
        <f aca="false">IF((F141&lt;&gt;0),IF((D141&gt;0)," ",F141)," ")</f>
        <v> </v>
      </c>
      <c r="I141" s="339" t="str">
        <f aca="false">IF((F141&lt;&gt;0),IF((D141&gt;0)," ",(I$1-A141))," ")</f>
        <v> </v>
      </c>
    </row>
    <row r="142" customFormat="false" ht="12.75" hidden="false" customHeight="false" outlineLevel="0" collapsed="false">
      <c r="A142" s="355"/>
      <c r="H142" s="338" t="str">
        <f aca="false">IF((F142&lt;&gt;0),IF((D142&gt;0)," ",F142)," ")</f>
        <v> </v>
      </c>
      <c r="I142" s="339" t="str">
        <f aca="false">IF((F142&lt;&gt;0),IF((D142&gt;0)," ",(I$1-A142))," ")</f>
        <v> </v>
      </c>
    </row>
    <row r="143" customFormat="false" ht="12.75" hidden="false" customHeight="false" outlineLevel="0" collapsed="false">
      <c r="A143" s="355"/>
      <c r="H143" s="338" t="str">
        <f aca="false">IF((F143&lt;&gt;0),IF((D143&gt;0)," ",F143)," ")</f>
        <v> </v>
      </c>
      <c r="I143" s="339" t="str">
        <f aca="false">IF((F143&lt;&gt;0),IF((D143&gt;0)," ",(I$1-A143))," ")</f>
        <v> </v>
      </c>
    </row>
    <row r="144" customFormat="false" ht="12.75" hidden="false" customHeight="false" outlineLevel="0" collapsed="false">
      <c r="A144" s="355"/>
      <c r="H144" s="338" t="str">
        <f aca="false">IF((F144&lt;&gt;0),IF((D144&gt;0)," ",F144)," ")</f>
        <v> </v>
      </c>
      <c r="I144" s="339" t="str">
        <f aca="false">IF((F144&lt;&gt;0),IF((D144&gt;0)," ",(I$1-A144))," ")</f>
        <v> </v>
      </c>
    </row>
    <row r="145" customFormat="false" ht="12.75" hidden="false" customHeight="false" outlineLevel="0" collapsed="false">
      <c r="A145" s="355"/>
      <c r="H145" s="338" t="str">
        <f aca="false">IF((F145&lt;&gt;0),IF((D145&gt;0)," ",F145)," ")</f>
        <v> </v>
      </c>
      <c r="I145" s="339" t="str">
        <f aca="false">IF((F145&lt;&gt;0),IF((D145&gt;0)," ",(I$1-A145))," ")</f>
        <v> </v>
      </c>
    </row>
    <row r="146" customFormat="false" ht="12.75" hidden="false" customHeight="false" outlineLevel="0" collapsed="false">
      <c r="A146" s="355"/>
      <c r="H146" s="338" t="str">
        <f aca="false">IF((F146&lt;&gt;0),IF((D146&gt;0)," ",F146)," ")</f>
        <v> </v>
      </c>
      <c r="I146" s="339" t="str">
        <f aca="false">IF((F146&lt;&gt;0),IF((D146&gt;0)," ",(I$1-A146))," ")</f>
        <v> </v>
      </c>
    </row>
    <row r="147" customFormat="false" ht="12.75" hidden="false" customHeight="false" outlineLevel="0" collapsed="false">
      <c r="A147" s="355"/>
      <c r="H147" s="338" t="str">
        <f aca="false">IF((F147&lt;&gt;0),IF((D147&gt;0)," ",F147)," ")</f>
        <v> </v>
      </c>
      <c r="I147" s="339" t="str">
        <f aca="false">IF((F147&lt;&gt;0),IF((D147&gt;0)," ",(I$1-A147))," ")</f>
        <v> </v>
      </c>
    </row>
    <row r="148" customFormat="false" ht="12.75" hidden="false" customHeight="false" outlineLevel="0" collapsed="false">
      <c r="A148" s="355"/>
      <c r="H148" s="338" t="str">
        <f aca="false">IF((F148&lt;&gt;0),IF((D148&gt;0)," ",F148)," ")</f>
        <v> </v>
      </c>
      <c r="I148" s="339" t="str">
        <f aca="false">IF((F148&lt;&gt;0),IF((D148&gt;0)," ",(I$1-A148))," ")</f>
        <v> </v>
      </c>
    </row>
    <row r="149" customFormat="false" ht="12.75" hidden="false" customHeight="false" outlineLevel="0" collapsed="false">
      <c r="A149" s="355"/>
      <c r="H149" s="338" t="str">
        <f aca="false">IF((F149&lt;&gt;0),IF((D149&gt;0)," ",F149)," ")</f>
        <v> </v>
      </c>
      <c r="I149" s="339" t="str">
        <f aca="false">IF((F149&lt;&gt;0),IF((D149&gt;0)," ",(I$1-A149))," ")</f>
        <v> </v>
      </c>
    </row>
    <row r="150" customFormat="false" ht="12.75" hidden="false" customHeight="false" outlineLevel="0" collapsed="false">
      <c r="A150" s="355"/>
      <c r="H150" s="338" t="str">
        <f aca="false">IF((F150&lt;&gt;0),IF((D150&gt;0)," ",F150)," ")</f>
        <v> </v>
      </c>
      <c r="I150" s="339" t="str">
        <f aca="false">IF((F150&lt;&gt;0),IF((D150&gt;0)," ",(I$1-A150))," ")</f>
        <v> </v>
      </c>
    </row>
    <row r="151" customFormat="false" ht="12.75" hidden="false" customHeight="false" outlineLevel="0" collapsed="false">
      <c r="A151" s="355"/>
      <c r="H151" s="338" t="str">
        <f aca="false">IF((F151&lt;&gt;0),IF((D151&gt;0)," ",F151)," ")</f>
        <v> </v>
      </c>
      <c r="I151" s="339" t="str">
        <f aca="false">IF((F151&lt;&gt;0),IF((D151&gt;0)," ",(I$1-A151))," ")</f>
        <v> </v>
      </c>
    </row>
    <row r="152" customFormat="false" ht="12.75" hidden="false" customHeight="false" outlineLevel="0" collapsed="false">
      <c r="A152" s="355"/>
      <c r="H152" s="338" t="str">
        <f aca="false">IF((F152&lt;&gt;0),IF((D152&gt;0)," ",F152)," ")</f>
        <v> </v>
      </c>
      <c r="I152" s="339" t="str">
        <f aca="false">IF((F152&lt;&gt;0),IF((D152&gt;0)," ",(I$1-A152))," ")</f>
        <v> </v>
      </c>
    </row>
    <row r="153" customFormat="false" ht="12.75" hidden="false" customHeight="false" outlineLevel="0" collapsed="false">
      <c r="A153" s="355"/>
      <c r="H153" s="338" t="str">
        <f aca="false">IF((F153&lt;&gt;0),IF((D153&gt;0)," ",F153)," ")</f>
        <v> </v>
      </c>
      <c r="I153" s="339" t="str">
        <f aca="false">IF((F153&lt;&gt;0),IF((D153&gt;0)," ",(I$1-A153))," ")</f>
        <v> </v>
      </c>
    </row>
    <row r="154" customFormat="false" ht="12.75" hidden="false" customHeight="false" outlineLevel="0" collapsed="false">
      <c r="A154" s="355"/>
      <c r="H154" s="338" t="str">
        <f aca="false">IF((F154&lt;&gt;0),IF((D154&gt;0)," ",F154)," ")</f>
        <v> </v>
      </c>
      <c r="I154" s="339" t="str">
        <f aca="false">IF((F154&lt;&gt;0),IF((D154&gt;0)," ",(I$1-A154))," ")</f>
        <v> </v>
      </c>
    </row>
    <row r="155" customFormat="false" ht="12.75" hidden="false" customHeight="false" outlineLevel="0" collapsed="false">
      <c r="A155" s="355"/>
      <c r="H155" s="338" t="str">
        <f aca="false">IF((F155&lt;&gt;0),IF((D155&gt;0)," ",F155)," ")</f>
        <v> </v>
      </c>
      <c r="I155" s="339" t="str">
        <f aca="false">IF((F155&lt;&gt;0),IF((D155&gt;0)," ",(I$1-A155))," ")</f>
        <v> </v>
      </c>
    </row>
    <row r="156" customFormat="false" ht="12.75" hidden="false" customHeight="false" outlineLevel="0" collapsed="false">
      <c r="A156" s="355"/>
      <c r="H156" s="338" t="str">
        <f aca="false">IF((F156&lt;&gt;0),IF((D156&gt;0)," ",F156)," ")</f>
        <v> </v>
      </c>
      <c r="I156" s="339" t="str">
        <f aca="false">IF((F156&lt;&gt;0),IF((D156&gt;0)," ",(I$1-A156))," ")</f>
        <v> </v>
      </c>
    </row>
    <row r="157" customFormat="false" ht="12.75" hidden="false" customHeight="false" outlineLevel="0" collapsed="false">
      <c r="A157" s="355"/>
      <c r="H157" s="338" t="str">
        <f aca="false">IF((F157&lt;&gt;0),IF((D157&gt;0)," ",F157)," ")</f>
        <v> </v>
      </c>
      <c r="I157" s="339" t="str">
        <f aca="false">IF((F157&lt;&gt;0),IF((D157&gt;0)," ",(I$1-A157))," ")</f>
        <v> </v>
      </c>
    </row>
    <row r="158" customFormat="false" ht="12.75" hidden="false" customHeight="false" outlineLevel="0" collapsed="false">
      <c r="A158" s="355"/>
      <c r="H158" s="338" t="str">
        <f aca="false">IF((F158&lt;&gt;0),IF((D158&gt;0)," ",F158)," ")</f>
        <v> </v>
      </c>
      <c r="I158" s="339" t="str">
        <f aca="false">IF((F158&lt;&gt;0),IF((D158&gt;0)," ",(I$1-A158))," ")</f>
        <v> </v>
      </c>
    </row>
    <row r="159" customFormat="false" ht="12.75" hidden="false" customHeight="false" outlineLevel="0" collapsed="false">
      <c r="A159" s="355"/>
      <c r="H159" s="338" t="str">
        <f aca="false">IF((F159&lt;&gt;0),IF((D159&gt;0)," ",F159)," ")</f>
        <v> </v>
      </c>
      <c r="I159" s="339" t="str">
        <f aca="false">IF((F159&lt;&gt;0),IF((D159&gt;0)," ",(I$1-A159))," ")</f>
        <v> </v>
      </c>
    </row>
    <row r="160" customFormat="false" ht="12.75" hidden="false" customHeight="false" outlineLevel="0" collapsed="false">
      <c r="A160" s="355"/>
      <c r="H160" s="338" t="str">
        <f aca="false">IF((F160&lt;&gt;0),IF((D160&gt;0)," ",F160)," ")</f>
        <v> </v>
      </c>
      <c r="I160" s="339" t="str">
        <f aca="false">IF((F160&lt;&gt;0),IF((D160&gt;0)," ",(I$1-A160))," ")</f>
        <v> </v>
      </c>
    </row>
    <row r="161" customFormat="false" ht="12.75" hidden="false" customHeight="false" outlineLevel="0" collapsed="false">
      <c r="A161" s="355"/>
      <c r="H161" s="338" t="str">
        <f aca="false">IF((F161&lt;&gt;0),IF((D161&gt;0)," ",F161)," ")</f>
        <v> </v>
      </c>
      <c r="I161" s="339" t="str">
        <f aca="false">IF((F161&lt;&gt;0),IF((D161&gt;0)," ",(I$1-A161))," ")</f>
        <v> </v>
      </c>
    </row>
    <row r="162" customFormat="false" ht="12.75" hidden="false" customHeight="false" outlineLevel="0" collapsed="false">
      <c r="A162" s="355"/>
      <c r="H162" s="338" t="str">
        <f aca="false">IF((F162&lt;&gt;0),IF((D162&gt;0)," ",F162)," ")</f>
        <v> </v>
      </c>
      <c r="I162" s="339" t="str">
        <f aca="false">IF((F162&lt;&gt;0),IF((D162&gt;0)," ",(I$1-A162))," ")</f>
        <v> </v>
      </c>
    </row>
    <row r="163" customFormat="false" ht="12.75" hidden="false" customHeight="false" outlineLevel="0" collapsed="false">
      <c r="A163" s="355"/>
      <c r="H163" s="338" t="str">
        <f aca="false">IF((F163&lt;&gt;0),IF((D163&gt;0)," ",F163)," ")</f>
        <v> </v>
      </c>
      <c r="I163" s="339" t="str">
        <f aca="false">IF((F163&lt;&gt;0),IF((D163&gt;0)," ",(I$1-A163))," ")</f>
        <v> </v>
      </c>
    </row>
    <row r="164" customFormat="false" ht="12.75" hidden="false" customHeight="false" outlineLevel="0" collapsed="false">
      <c r="A164" s="355"/>
      <c r="H164" s="338" t="str">
        <f aca="false">IF((F164&lt;&gt;0),IF((D164&gt;0)," ",F164)," ")</f>
        <v> </v>
      </c>
      <c r="I164" s="339" t="str">
        <f aca="false">IF((F164&lt;&gt;0),IF((D164&gt;0)," ",(I$1-A164))," ")</f>
        <v> </v>
      </c>
    </row>
    <row r="165" customFormat="false" ht="12.75" hidden="false" customHeight="false" outlineLevel="0" collapsed="false">
      <c r="A165" s="355"/>
      <c r="H165" s="338" t="str">
        <f aca="false">IF((F165&lt;&gt;0),IF((D165&gt;0)," ",F165)," ")</f>
        <v> </v>
      </c>
      <c r="I165" s="339" t="str">
        <f aca="false">IF((F165&lt;&gt;0),IF((D165&gt;0)," ",(I$1-A165))," ")</f>
        <v> </v>
      </c>
    </row>
    <row r="166" customFormat="false" ht="12.75" hidden="false" customHeight="false" outlineLevel="0" collapsed="false">
      <c r="A166" s="355"/>
      <c r="H166" s="338" t="str">
        <f aca="false">IF((F166&lt;&gt;0),IF((D166&gt;0)," ",F166)," ")</f>
        <v> </v>
      </c>
      <c r="I166" s="339" t="str">
        <f aca="false">IF((F166&lt;&gt;0),IF((D166&gt;0)," ",(I$1-A166))," ")</f>
        <v> </v>
      </c>
    </row>
    <row r="167" customFormat="false" ht="12.75" hidden="false" customHeight="false" outlineLevel="0" collapsed="false">
      <c r="A167" s="355"/>
      <c r="H167" s="338" t="str">
        <f aca="false">IF((F167&lt;&gt;0),IF((D167&gt;0)," ",F167)," ")</f>
        <v> </v>
      </c>
      <c r="I167" s="339" t="str">
        <f aca="false">IF((F167&lt;&gt;0),IF((D167&gt;0)," ",(I$1-A167))," ")</f>
        <v> </v>
      </c>
    </row>
    <row r="168" customFormat="false" ht="12.75" hidden="false" customHeight="false" outlineLevel="0" collapsed="false">
      <c r="A168" s="355"/>
      <c r="H168" s="338" t="str">
        <f aca="false">IF((F168&lt;&gt;0),IF((D168&gt;0)," ",F168)," ")</f>
        <v> </v>
      </c>
      <c r="I168" s="339" t="str">
        <f aca="false">IF((F168&lt;&gt;0),IF((D168&gt;0)," ",(I$1-A168))," ")</f>
        <v> </v>
      </c>
    </row>
    <row r="169" customFormat="false" ht="12.75" hidden="false" customHeight="false" outlineLevel="0" collapsed="false">
      <c r="A169" s="355"/>
      <c r="H169" s="338" t="str">
        <f aca="false">IF((F169&lt;&gt;0),IF((D169&gt;0)," ",F169)," ")</f>
        <v> </v>
      </c>
      <c r="I169" s="339" t="str">
        <f aca="false">IF((F169&lt;&gt;0),IF((D169&gt;0)," ",(I$1-A169))," ")</f>
        <v> </v>
      </c>
    </row>
    <row r="170" customFormat="false" ht="12.75" hidden="false" customHeight="false" outlineLevel="0" collapsed="false">
      <c r="A170" s="355"/>
      <c r="H170" s="338" t="str">
        <f aca="false">IF((F170&lt;&gt;0),IF((D170&gt;0)," ",F170)," ")</f>
        <v> </v>
      </c>
      <c r="I170" s="339" t="str">
        <f aca="false">IF((F170&lt;&gt;0),IF((D170&gt;0)," ",(I$1-A170))," ")</f>
        <v> </v>
      </c>
    </row>
    <row r="171" customFormat="false" ht="12.75" hidden="false" customHeight="false" outlineLevel="0" collapsed="false">
      <c r="A171" s="355"/>
      <c r="H171" s="338" t="str">
        <f aca="false">IF((F171&lt;&gt;0),IF((D171&gt;0)," ",F171)," ")</f>
        <v> </v>
      </c>
      <c r="I171" s="339" t="str">
        <f aca="false">IF((F171&lt;&gt;0),IF((D171&gt;0)," ",(I$1-A171))," ")</f>
        <v> </v>
      </c>
    </row>
    <row r="172" customFormat="false" ht="12.75" hidden="false" customHeight="false" outlineLevel="0" collapsed="false">
      <c r="A172" s="355"/>
      <c r="H172" s="338" t="str">
        <f aca="false">IF((F172&lt;&gt;0),IF((D172&gt;0)," ",F172)," ")</f>
        <v> </v>
      </c>
      <c r="I172" s="339" t="str">
        <f aca="false">IF((F172&lt;&gt;0),IF((D172&gt;0)," ",(I$1-A172))," ")</f>
        <v> </v>
      </c>
    </row>
    <row r="173" customFormat="false" ht="12.75" hidden="false" customHeight="false" outlineLevel="0" collapsed="false">
      <c r="A173" s="355"/>
      <c r="H173" s="338" t="str">
        <f aca="false">IF((F173&lt;&gt;0),IF((D173&gt;0)," ",F173)," ")</f>
        <v> </v>
      </c>
      <c r="I173" s="339" t="str">
        <f aca="false">IF((F173&lt;&gt;0),IF((D173&gt;0)," ",(I$1-A173))," ")</f>
        <v> </v>
      </c>
    </row>
    <row r="174" customFormat="false" ht="12.75" hidden="false" customHeight="false" outlineLevel="0" collapsed="false">
      <c r="A174" s="355"/>
      <c r="H174" s="338" t="str">
        <f aca="false">IF((F174&lt;&gt;0),IF((D174&gt;0)," ",F174)," ")</f>
        <v> </v>
      </c>
      <c r="I174" s="339" t="str">
        <f aca="false">IF((F174&lt;&gt;0),IF((D174&gt;0)," ",(I$1-A174))," ")</f>
        <v> </v>
      </c>
    </row>
    <row r="175" customFormat="false" ht="12.75" hidden="false" customHeight="false" outlineLevel="0" collapsed="false">
      <c r="A175" s="355"/>
      <c r="H175" s="338" t="str">
        <f aca="false">IF((F175&lt;&gt;0),IF((D175&gt;0)," ",F175)," ")</f>
        <v> </v>
      </c>
      <c r="I175" s="339" t="str">
        <f aca="false">IF((F175&lt;&gt;0),IF((D175&gt;0)," ",(I$1-A175))," ")</f>
        <v> </v>
      </c>
    </row>
    <row r="176" customFormat="false" ht="12.75" hidden="false" customHeight="false" outlineLevel="0" collapsed="false">
      <c r="A176" s="355"/>
      <c r="H176" s="338" t="str">
        <f aca="false">IF((F176&lt;&gt;0),IF((D176&gt;0)," ",F176)," ")</f>
        <v> </v>
      </c>
      <c r="I176" s="339" t="str">
        <f aca="false">IF((F176&lt;&gt;0),IF((D176&gt;0)," ",(I$1-A176))," ")</f>
        <v> </v>
      </c>
    </row>
    <row r="177" customFormat="false" ht="12.75" hidden="false" customHeight="false" outlineLevel="0" collapsed="false">
      <c r="A177" s="355"/>
      <c r="H177" s="338" t="str">
        <f aca="false">IF((F177&lt;&gt;0),IF((D177&gt;0)," ",F177)," ")</f>
        <v> </v>
      </c>
      <c r="I177" s="339" t="str">
        <f aca="false">IF((F177&lt;&gt;0),IF((D177&gt;0)," ",(I$1-A177))," ")</f>
        <v> </v>
      </c>
    </row>
    <row r="178" customFormat="false" ht="12.75" hidden="false" customHeight="false" outlineLevel="0" collapsed="false">
      <c r="A178" s="355"/>
      <c r="H178" s="338" t="str">
        <f aca="false">IF((F178&lt;&gt;0),IF((D178&gt;0)," ",F178)," ")</f>
        <v> </v>
      </c>
      <c r="I178" s="339" t="str">
        <f aca="false">IF((F178&lt;&gt;0),IF((D178&gt;0)," ",(I$1-A178))," ")</f>
        <v> </v>
      </c>
    </row>
    <row r="179" customFormat="false" ht="12.75" hidden="false" customHeight="false" outlineLevel="0" collapsed="false">
      <c r="A179" s="355"/>
      <c r="H179" s="338" t="str">
        <f aca="false">IF((F179&lt;&gt;0),IF((D179&gt;0)," ",F179)," ")</f>
        <v> </v>
      </c>
      <c r="I179" s="339" t="str">
        <f aca="false">IF((F179&lt;&gt;0),IF((D179&gt;0)," ",(I$1-A179))," ")</f>
        <v> </v>
      </c>
    </row>
    <row r="180" customFormat="false" ht="12.75" hidden="false" customHeight="false" outlineLevel="0" collapsed="false">
      <c r="A180" s="355"/>
      <c r="H180" s="338" t="str">
        <f aca="false">IF((F180&lt;&gt;0),IF((D180&gt;0)," ",F180)," ")</f>
        <v> </v>
      </c>
      <c r="I180" s="339" t="str">
        <f aca="false">IF((F180&lt;&gt;0),IF((D180&gt;0)," ",(I$1-A180))," ")</f>
        <v> </v>
      </c>
    </row>
    <row r="181" customFormat="false" ht="12.75" hidden="false" customHeight="false" outlineLevel="0" collapsed="false">
      <c r="A181" s="355"/>
      <c r="H181" s="338" t="str">
        <f aca="false">IF((F181&lt;&gt;0),IF((D181&gt;0)," ",F181)," ")</f>
        <v> </v>
      </c>
      <c r="I181" s="339" t="str">
        <f aca="false">IF((F181&lt;&gt;0),IF((D181&gt;0)," ",(I$1-A181))," ")</f>
        <v> </v>
      </c>
    </row>
    <row r="182" customFormat="false" ht="12.75" hidden="false" customHeight="false" outlineLevel="0" collapsed="false">
      <c r="A182" s="355"/>
      <c r="H182" s="338" t="str">
        <f aca="false">IF((F182&lt;&gt;0),IF((D182&gt;0)," ",F182)," ")</f>
        <v> </v>
      </c>
      <c r="I182" s="339" t="str">
        <f aca="false">IF((F182&lt;&gt;0),IF((D182&gt;0)," ",(I$1-A182))," ")</f>
        <v> </v>
      </c>
    </row>
    <row r="183" customFormat="false" ht="12.75" hidden="false" customHeight="false" outlineLevel="0" collapsed="false">
      <c r="A183" s="355"/>
      <c r="H183" s="338" t="str">
        <f aca="false">IF((F183&lt;&gt;0),IF((D183&gt;0)," ",F183)," ")</f>
        <v> </v>
      </c>
      <c r="I183" s="339" t="str">
        <f aca="false">IF((F183&lt;&gt;0),IF((D183&gt;0)," ",(I$1-A183))," ")</f>
        <v> </v>
      </c>
    </row>
    <row r="184" customFormat="false" ht="12.75" hidden="false" customHeight="false" outlineLevel="0" collapsed="false">
      <c r="A184" s="355"/>
      <c r="H184" s="338" t="str">
        <f aca="false">IF((F184&lt;&gt;0),IF((D184&gt;0)," ",F184)," ")</f>
        <v> </v>
      </c>
      <c r="I184" s="339" t="str">
        <f aca="false">IF((F184&lt;&gt;0),IF((D184&gt;0)," ",(I$1-A184))," ")</f>
        <v> </v>
      </c>
    </row>
    <row r="185" customFormat="false" ht="12.75" hidden="false" customHeight="false" outlineLevel="0" collapsed="false">
      <c r="A185" s="355"/>
      <c r="H185" s="338" t="str">
        <f aca="false">IF((F185&lt;&gt;0),IF((D185&gt;0)," ",F185)," ")</f>
        <v> </v>
      </c>
      <c r="I185" s="339" t="str">
        <f aca="false">IF((F185&lt;&gt;0),IF((D185&gt;0)," ",(I$1-A185))," ")</f>
        <v> </v>
      </c>
    </row>
    <row r="186" customFormat="false" ht="12.75" hidden="false" customHeight="false" outlineLevel="0" collapsed="false">
      <c r="A186" s="355"/>
      <c r="H186" s="338" t="str">
        <f aca="false">IF((F186&lt;&gt;0),IF((D186&gt;0)," ",F186)," ")</f>
        <v> </v>
      </c>
      <c r="I186" s="339" t="str">
        <f aca="false">IF((F186&lt;&gt;0),IF((D186&gt;0)," ",(I$1-A186))," ")</f>
        <v> </v>
      </c>
    </row>
    <row r="187" customFormat="false" ht="12.75" hidden="false" customHeight="false" outlineLevel="0" collapsed="false">
      <c r="A187" s="355"/>
      <c r="H187" s="338" t="str">
        <f aca="false">IF((F187&lt;&gt;0),IF((D187&gt;0)," ",F187)," ")</f>
        <v> </v>
      </c>
      <c r="I187" s="339" t="str">
        <f aca="false">IF((F187&lt;&gt;0),IF((D187&gt;0)," ",(I$1-A187))," ")</f>
        <v> </v>
      </c>
    </row>
    <row r="188" customFormat="false" ht="12.75" hidden="false" customHeight="false" outlineLevel="0" collapsed="false">
      <c r="A188" s="355"/>
      <c r="H188" s="338" t="str">
        <f aca="false">IF((F188&lt;&gt;0),IF((D188&gt;0)," ",F188)," ")</f>
        <v> </v>
      </c>
      <c r="I188" s="339" t="str">
        <f aca="false">IF((F188&lt;&gt;0),IF((D188&gt;0)," ",(I$1-A188))," ")</f>
        <v> </v>
      </c>
    </row>
    <row r="189" customFormat="false" ht="12.75" hidden="false" customHeight="false" outlineLevel="0" collapsed="false">
      <c r="A189" s="355"/>
      <c r="H189" s="338" t="str">
        <f aca="false">IF((F189&lt;&gt;0),IF((D189&gt;0)," ",F189)," ")</f>
        <v> </v>
      </c>
      <c r="I189" s="339" t="str">
        <f aca="false">IF((F189&lt;&gt;0),IF((D189&gt;0)," ",(I$1-A189))," ")</f>
        <v> </v>
      </c>
    </row>
    <row r="190" customFormat="false" ht="12.75" hidden="false" customHeight="false" outlineLevel="0" collapsed="false">
      <c r="A190" s="355"/>
      <c r="H190" s="338" t="str">
        <f aca="false">IF((F190&lt;&gt;0),IF((D190&gt;0)," ",F190)," ")</f>
        <v> </v>
      </c>
      <c r="I190" s="339" t="str">
        <f aca="false">IF((F190&lt;&gt;0),IF((D190&gt;0)," ",(I$1-A190))," ")</f>
        <v> </v>
      </c>
    </row>
    <row r="191" customFormat="false" ht="12.75" hidden="false" customHeight="false" outlineLevel="0" collapsed="false">
      <c r="A191" s="355"/>
      <c r="H191" s="338" t="str">
        <f aca="false">IF((F191&lt;&gt;0),IF((D191&gt;0)," ",F191)," ")</f>
        <v> </v>
      </c>
      <c r="I191" s="339" t="str">
        <f aca="false">IF((F191&lt;&gt;0),IF((D191&gt;0)," ",(I$1-A191))," ")</f>
        <v> </v>
      </c>
    </row>
    <row r="192" customFormat="false" ht="12.75" hidden="false" customHeight="false" outlineLevel="0" collapsed="false">
      <c r="A192" s="355"/>
      <c r="H192" s="338" t="str">
        <f aca="false">IF((F192&lt;&gt;0),IF((D192&gt;0)," ",F192)," ")</f>
        <v> </v>
      </c>
      <c r="I192" s="339" t="str">
        <f aca="false">IF((F192&lt;&gt;0),IF((D192&gt;0)," ",(I$1-A192))," ")</f>
        <v> </v>
      </c>
    </row>
    <row r="193" customFormat="false" ht="12.75" hidden="false" customHeight="false" outlineLevel="0" collapsed="false">
      <c r="A193" s="355"/>
      <c r="H193" s="338" t="str">
        <f aca="false">IF((F193&lt;&gt;0),IF((D193&gt;0)," ",F193)," ")</f>
        <v> </v>
      </c>
      <c r="I193" s="339" t="str">
        <f aca="false">IF((F193&lt;&gt;0),IF((D193&gt;0)," ",(I$1-A193))," ")</f>
        <v> </v>
      </c>
    </row>
    <row r="194" customFormat="false" ht="12.75" hidden="false" customHeight="false" outlineLevel="0" collapsed="false">
      <c r="A194" s="355"/>
      <c r="H194" s="338" t="str">
        <f aca="false">IF((F194&lt;&gt;0),IF((D194&gt;0)," ",F194)," ")</f>
        <v> </v>
      </c>
      <c r="I194" s="339" t="str">
        <f aca="false">IF((F194&lt;&gt;0),IF((D194&gt;0)," ",(I$1-A194))," ")</f>
        <v> </v>
      </c>
    </row>
    <row r="195" customFormat="false" ht="12.75" hidden="false" customHeight="false" outlineLevel="0" collapsed="false">
      <c r="A195" s="355"/>
      <c r="H195" s="338" t="str">
        <f aca="false">IF((F195&lt;&gt;0),IF((D195&gt;0)," ",F195)," ")</f>
        <v> </v>
      </c>
      <c r="I195" s="339" t="str">
        <f aca="false">IF((F195&lt;&gt;0),IF((D195&gt;0)," ",(I$1-A195))," ")</f>
        <v> </v>
      </c>
    </row>
    <row r="196" customFormat="false" ht="12.75" hidden="false" customHeight="false" outlineLevel="0" collapsed="false">
      <c r="A196" s="355"/>
      <c r="H196" s="338" t="str">
        <f aca="false">IF((F196&lt;&gt;0),IF((D196&gt;0)," ",F196)," ")</f>
        <v> </v>
      </c>
      <c r="I196" s="339" t="str">
        <f aca="false">IF((F196&lt;&gt;0),IF((D196&gt;0)," ",(I$1-A196))," ")</f>
        <v> </v>
      </c>
    </row>
    <row r="197" customFormat="false" ht="12.75" hidden="false" customHeight="false" outlineLevel="0" collapsed="false">
      <c r="A197" s="355"/>
      <c r="H197" s="338" t="str">
        <f aca="false">IF((F197&lt;&gt;0),IF((D197&gt;0)," ",F197)," ")</f>
        <v> </v>
      </c>
      <c r="I197" s="339" t="str">
        <f aca="false">IF((F197&lt;&gt;0),IF((D197&gt;0)," ",(I$1-A197))," ")</f>
        <v> </v>
      </c>
    </row>
    <row r="198" customFormat="false" ht="12.75" hidden="false" customHeight="false" outlineLevel="0" collapsed="false">
      <c r="A198" s="355"/>
      <c r="H198" s="338" t="str">
        <f aca="false">IF((F198&lt;&gt;0),IF((D198&gt;0)," ",F198)," ")</f>
        <v> </v>
      </c>
      <c r="I198" s="339" t="str">
        <f aca="false">IF((F198&lt;&gt;0),IF((D198&gt;0)," ",(I$1-A198))," ")</f>
        <v> </v>
      </c>
    </row>
    <row r="199" customFormat="false" ht="12.75" hidden="false" customHeight="false" outlineLevel="0" collapsed="false">
      <c r="A199" s="355"/>
      <c r="H199" s="338" t="str">
        <f aca="false">IF((F199&lt;&gt;0),IF((D199&gt;0)," ",F199)," ")</f>
        <v> </v>
      </c>
      <c r="I199" s="339" t="str">
        <f aca="false">IF((F199&lt;&gt;0),IF((D199&gt;0)," ",(I$1-A199))," ")</f>
        <v> </v>
      </c>
    </row>
    <row r="200" customFormat="false" ht="12.75" hidden="false" customHeight="false" outlineLevel="0" collapsed="false">
      <c r="A200" s="355"/>
      <c r="H200" s="338" t="str">
        <f aca="false">IF((F200&lt;&gt;0),IF((D200&gt;0)," ",F200)," ")</f>
        <v> </v>
      </c>
      <c r="I200" s="339" t="str">
        <f aca="false">IF((F200&lt;&gt;0),IF((D200&gt;0)," ",(I$1-A200))," ")</f>
        <v> </v>
      </c>
    </row>
    <row r="201" customFormat="false" ht="12.75" hidden="false" customHeight="false" outlineLevel="0" collapsed="false">
      <c r="A201" s="355"/>
      <c r="H201" s="338" t="str">
        <f aca="false">IF((F201&lt;&gt;0),IF((D201&gt;0)," ",F201)," ")</f>
        <v> </v>
      </c>
      <c r="I201" s="339" t="str">
        <f aca="false">IF((F201&lt;&gt;0),IF((D201&gt;0)," ",(I$1-A201))," ")</f>
        <v> </v>
      </c>
    </row>
    <row r="202" customFormat="false" ht="12.75" hidden="false" customHeight="false" outlineLevel="0" collapsed="false">
      <c r="A202" s="355"/>
      <c r="H202" s="338" t="str">
        <f aca="false">IF((F202&lt;&gt;0),IF((D202&gt;0)," ",F202)," ")</f>
        <v> </v>
      </c>
      <c r="I202" s="339" t="str">
        <f aca="false">IF((F202&lt;&gt;0),IF((D202&gt;0)," ",(I$1-A202))," ")</f>
        <v> </v>
      </c>
    </row>
    <row r="203" customFormat="false" ht="12.75" hidden="false" customHeight="false" outlineLevel="0" collapsed="false">
      <c r="A203" s="355"/>
      <c r="H203" s="338" t="str">
        <f aca="false">IF((F203&lt;&gt;0),IF((D203&gt;0)," ",F203)," ")</f>
        <v> </v>
      </c>
      <c r="I203" s="339" t="str">
        <f aca="false">IF((F203&lt;&gt;0),IF((D203&gt;0)," ",(I$1-A203))," ")</f>
        <v> </v>
      </c>
    </row>
    <row r="204" customFormat="false" ht="12.75" hidden="false" customHeight="false" outlineLevel="0" collapsed="false">
      <c r="A204" s="355"/>
      <c r="H204" s="338" t="str">
        <f aca="false">IF((F204&lt;&gt;0),IF((D204&gt;0)," ",F204)," ")</f>
        <v> </v>
      </c>
      <c r="I204" s="339" t="str">
        <f aca="false">IF((F204&lt;&gt;0),IF((D204&gt;0)," ",(I$1-A204))," ")</f>
        <v> </v>
      </c>
    </row>
    <row r="205" customFormat="false" ht="12.75" hidden="false" customHeight="false" outlineLevel="0" collapsed="false">
      <c r="A205" s="355"/>
    </row>
    <row r="206" customFormat="false" ht="12.75" hidden="false" customHeight="false" outlineLevel="0" collapsed="false">
      <c r="A206" s="355"/>
    </row>
    <row r="207" customFormat="false" ht="12.75" hidden="false" customHeight="false" outlineLevel="0" collapsed="false">
      <c r="A207" s="355"/>
    </row>
    <row r="208" customFormat="false" ht="12.75" hidden="false" customHeight="false" outlineLevel="0" collapsed="false">
      <c r="A208" s="355"/>
    </row>
    <row r="209" customFormat="false" ht="12.75" hidden="false" customHeight="false" outlineLevel="0" collapsed="false">
      <c r="A209" s="355"/>
    </row>
    <row r="210" customFormat="false" ht="12.75" hidden="false" customHeight="false" outlineLevel="0" collapsed="false">
      <c r="A210" s="355"/>
    </row>
    <row r="211" customFormat="false" ht="12.75" hidden="false" customHeight="false" outlineLevel="0" collapsed="false">
      <c r="A211" s="355"/>
    </row>
    <row r="212" customFormat="false" ht="12.75" hidden="false" customHeight="false" outlineLevel="0" collapsed="false">
      <c r="A212" s="355"/>
    </row>
    <row r="213" customFormat="false" ht="12.75" hidden="false" customHeight="false" outlineLevel="0" collapsed="false">
      <c r="A213" s="355"/>
    </row>
    <row r="214" customFormat="false" ht="12.75" hidden="false" customHeight="false" outlineLevel="0" collapsed="false">
      <c r="A214" s="355"/>
    </row>
    <row r="215" customFormat="false" ht="12.75" hidden="false" customHeight="false" outlineLevel="0" collapsed="false">
      <c r="A215" s="355"/>
    </row>
    <row r="216" customFormat="false" ht="12.75" hidden="false" customHeight="false" outlineLevel="0" collapsed="false">
      <c r="A216" s="355"/>
    </row>
    <row r="217" customFormat="false" ht="12.75" hidden="false" customHeight="false" outlineLevel="0" collapsed="false">
      <c r="A217" s="355"/>
    </row>
    <row r="218" customFormat="false" ht="12.75" hidden="false" customHeight="false" outlineLevel="0" collapsed="false">
      <c r="A218" s="355"/>
    </row>
    <row r="219" customFormat="false" ht="12.75" hidden="false" customHeight="false" outlineLevel="0" collapsed="false">
      <c r="A219" s="355"/>
    </row>
    <row r="220" customFormat="false" ht="12.75" hidden="false" customHeight="false" outlineLevel="0" collapsed="false">
      <c r="A220" s="355"/>
    </row>
    <row r="221" customFormat="false" ht="12.75" hidden="false" customHeight="false" outlineLevel="0" collapsed="false">
      <c r="A221" s="355"/>
    </row>
    <row r="222" customFormat="false" ht="12.75" hidden="false" customHeight="false" outlineLevel="0" collapsed="false">
      <c r="A222" s="355"/>
    </row>
    <row r="223" customFormat="false" ht="12.75" hidden="false" customHeight="false" outlineLevel="0" collapsed="false">
      <c r="A223" s="355"/>
    </row>
    <row r="224" customFormat="false" ht="12.75" hidden="false" customHeight="false" outlineLevel="0" collapsed="false">
      <c r="A224" s="355"/>
    </row>
    <row r="225" customFormat="false" ht="12.75" hidden="false" customHeight="false" outlineLevel="0" collapsed="false">
      <c r="A225" s="355"/>
    </row>
    <row r="226" customFormat="false" ht="12.75" hidden="false" customHeight="false" outlineLevel="0" collapsed="false">
      <c r="A226" s="355"/>
    </row>
    <row r="227" customFormat="false" ht="12.75" hidden="false" customHeight="false" outlineLevel="0" collapsed="false">
      <c r="A227" s="355"/>
    </row>
    <row r="228" customFormat="false" ht="12.75" hidden="false" customHeight="false" outlineLevel="0" collapsed="false">
      <c r="A228" s="355"/>
    </row>
    <row r="229" customFormat="false" ht="12.75" hidden="false" customHeight="false" outlineLevel="0" collapsed="false">
      <c r="A229" s="355"/>
    </row>
    <row r="230" customFormat="false" ht="12.75" hidden="false" customHeight="false" outlineLevel="0" collapsed="false">
      <c r="A230" s="355"/>
    </row>
    <row r="231" customFormat="false" ht="12.75" hidden="false" customHeight="false" outlineLevel="0" collapsed="false">
      <c r="A231" s="355"/>
    </row>
    <row r="232" customFormat="false" ht="12.75" hidden="false" customHeight="false" outlineLevel="0" collapsed="false">
      <c r="A232" s="355"/>
    </row>
    <row r="233" customFormat="false" ht="12.75" hidden="false" customHeight="false" outlineLevel="0" collapsed="false">
      <c r="A233" s="355"/>
    </row>
    <row r="234" customFormat="false" ht="12.75" hidden="false" customHeight="false" outlineLevel="0" collapsed="false">
      <c r="A234" s="355"/>
    </row>
    <row r="235" customFormat="false" ht="12.75" hidden="false" customHeight="false" outlineLevel="0" collapsed="false">
      <c r="A235" s="355"/>
    </row>
    <row r="236" customFormat="false" ht="12.75" hidden="false" customHeight="false" outlineLevel="0" collapsed="false">
      <c r="A236" s="355"/>
    </row>
    <row r="237" customFormat="false" ht="12.75" hidden="false" customHeight="false" outlineLevel="0" collapsed="false">
      <c r="A237" s="355"/>
    </row>
    <row r="238" customFormat="false" ht="12.75" hidden="false" customHeight="false" outlineLevel="0" collapsed="false">
      <c r="A238" s="355"/>
    </row>
    <row r="239" customFormat="false" ht="12.75" hidden="false" customHeight="false" outlineLevel="0" collapsed="false">
      <c r="A239" s="355"/>
    </row>
    <row r="240" customFormat="false" ht="12.75" hidden="false" customHeight="false" outlineLevel="0" collapsed="false">
      <c r="A240" s="355"/>
    </row>
    <row r="241" customFormat="false" ht="12.75" hidden="false" customHeight="false" outlineLevel="0" collapsed="false">
      <c r="A241" s="355"/>
    </row>
    <row r="242" customFormat="false" ht="12.75" hidden="false" customHeight="false" outlineLevel="0" collapsed="false">
      <c r="A242" s="355"/>
    </row>
    <row r="243" customFormat="false" ht="12.75" hidden="false" customHeight="false" outlineLevel="0" collapsed="false">
      <c r="A243" s="355"/>
    </row>
    <row r="244" customFormat="false" ht="12.75" hidden="false" customHeight="false" outlineLevel="0" collapsed="false">
      <c r="A244" s="355"/>
    </row>
    <row r="245" customFormat="false" ht="12.75" hidden="false" customHeight="false" outlineLevel="0" collapsed="false">
      <c r="A245" s="355"/>
    </row>
    <row r="246" customFormat="false" ht="12.75" hidden="false" customHeight="false" outlineLevel="0" collapsed="false">
      <c r="A246" s="355"/>
    </row>
    <row r="247" customFormat="false" ht="12.75" hidden="false" customHeight="false" outlineLevel="0" collapsed="false">
      <c r="A247" s="355"/>
    </row>
    <row r="248" customFormat="false" ht="12.75" hidden="false" customHeight="false" outlineLevel="0" collapsed="false">
      <c r="A248" s="355"/>
    </row>
    <row r="249" customFormat="false" ht="12.75" hidden="false" customHeight="false" outlineLevel="0" collapsed="false">
      <c r="A249" s="355"/>
    </row>
    <row r="250" customFormat="false" ht="12.75" hidden="false" customHeight="false" outlineLevel="0" collapsed="false">
      <c r="A250" s="355"/>
    </row>
    <row r="251" customFormat="false" ht="12.75" hidden="false" customHeight="false" outlineLevel="0" collapsed="false">
      <c r="A251" s="355"/>
    </row>
    <row r="252" customFormat="false" ht="12.75" hidden="false" customHeight="false" outlineLevel="0" collapsed="false">
      <c r="A252" s="355"/>
    </row>
    <row r="253" customFormat="false" ht="12.75" hidden="false" customHeight="false" outlineLevel="0" collapsed="false">
      <c r="A253" s="355"/>
    </row>
    <row r="254" customFormat="false" ht="12.75" hidden="false" customHeight="false" outlineLevel="0" collapsed="false">
      <c r="A254" s="355"/>
    </row>
    <row r="255" customFormat="false" ht="12.75" hidden="false" customHeight="false" outlineLevel="0" collapsed="false">
      <c r="A255" s="355"/>
    </row>
    <row r="256" customFormat="false" ht="12.75" hidden="false" customHeight="false" outlineLevel="0" collapsed="false">
      <c r="A256" s="355"/>
    </row>
    <row r="257" customFormat="false" ht="12.75" hidden="false" customHeight="false" outlineLevel="0" collapsed="false">
      <c r="A257" s="355"/>
    </row>
    <row r="258" customFormat="false" ht="12.75" hidden="false" customHeight="false" outlineLevel="0" collapsed="false">
      <c r="A258" s="355"/>
    </row>
    <row r="259" customFormat="false" ht="12.75" hidden="false" customHeight="false" outlineLevel="0" collapsed="false">
      <c r="A259" s="355"/>
    </row>
    <row r="260" customFormat="false" ht="12.75" hidden="false" customHeight="false" outlineLevel="0" collapsed="false">
      <c r="A260" s="355"/>
    </row>
    <row r="261" customFormat="false" ht="12.75" hidden="false" customHeight="false" outlineLevel="0" collapsed="false">
      <c r="A261" s="355"/>
    </row>
    <row r="262" customFormat="false" ht="12.75" hidden="false" customHeight="false" outlineLevel="0" collapsed="false">
      <c r="A262" s="355"/>
    </row>
    <row r="263" customFormat="false" ht="12.75" hidden="false" customHeight="false" outlineLevel="0" collapsed="false">
      <c r="A263" s="355"/>
    </row>
    <row r="264" customFormat="false" ht="12.75" hidden="false" customHeight="false" outlineLevel="0" collapsed="false">
      <c r="A264" s="355"/>
    </row>
    <row r="265" customFormat="false" ht="12.75" hidden="false" customHeight="false" outlineLevel="0" collapsed="false">
      <c r="A265" s="355"/>
    </row>
    <row r="266" customFormat="false" ht="12.75" hidden="false" customHeight="false" outlineLevel="0" collapsed="false">
      <c r="A266" s="355"/>
    </row>
    <row r="267" customFormat="false" ht="12.75" hidden="false" customHeight="false" outlineLevel="0" collapsed="false">
      <c r="A267" s="355"/>
    </row>
    <row r="268" customFormat="false" ht="12.75" hidden="false" customHeight="false" outlineLevel="0" collapsed="false">
      <c r="A268" s="355"/>
    </row>
    <row r="269" customFormat="false" ht="12.75" hidden="false" customHeight="false" outlineLevel="0" collapsed="false">
      <c r="A269" s="355"/>
    </row>
    <row r="270" customFormat="false" ht="12.75" hidden="false" customHeight="false" outlineLevel="0" collapsed="false">
      <c r="A270" s="355"/>
    </row>
    <row r="271" customFormat="false" ht="12.75" hidden="false" customHeight="false" outlineLevel="0" collapsed="false">
      <c r="A271" s="355"/>
    </row>
    <row r="272" customFormat="false" ht="12.75" hidden="false" customHeight="false" outlineLevel="0" collapsed="false">
      <c r="A272" s="355"/>
    </row>
    <row r="273" customFormat="false" ht="12.75" hidden="false" customHeight="false" outlineLevel="0" collapsed="false">
      <c r="A273" s="355"/>
    </row>
    <row r="274" customFormat="false" ht="12.75" hidden="false" customHeight="false" outlineLevel="0" collapsed="false">
      <c r="A274" s="355"/>
    </row>
    <row r="275" customFormat="false" ht="12.75" hidden="false" customHeight="false" outlineLevel="0" collapsed="false">
      <c r="A275" s="355"/>
    </row>
    <row r="276" customFormat="false" ht="12.75" hidden="false" customHeight="false" outlineLevel="0" collapsed="false">
      <c r="A276" s="355"/>
    </row>
    <row r="277" customFormat="false" ht="12.75" hidden="false" customHeight="false" outlineLevel="0" collapsed="false">
      <c r="A277" s="355"/>
    </row>
    <row r="278" customFormat="false" ht="12.75" hidden="false" customHeight="false" outlineLevel="0" collapsed="false">
      <c r="A278" s="355"/>
    </row>
    <row r="279" customFormat="false" ht="12.75" hidden="false" customHeight="false" outlineLevel="0" collapsed="false">
      <c r="A279" s="355"/>
    </row>
    <row r="280" customFormat="false" ht="12.75" hidden="false" customHeight="false" outlineLevel="0" collapsed="false">
      <c r="A280" s="355"/>
    </row>
    <row r="281" customFormat="false" ht="12.75" hidden="false" customHeight="false" outlineLevel="0" collapsed="false">
      <c r="A281" s="355"/>
    </row>
    <row r="282" customFormat="false" ht="12.75" hidden="false" customHeight="false" outlineLevel="0" collapsed="false">
      <c r="A282" s="355"/>
    </row>
    <row r="283" customFormat="false" ht="12.75" hidden="false" customHeight="false" outlineLevel="0" collapsed="false">
      <c r="A283" s="355"/>
    </row>
    <row r="284" customFormat="false" ht="12.75" hidden="false" customHeight="false" outlineLevel="0" collapsed="false">
      <c r="A284" s="355"/>
    </row>
    <row r="285" customFormat="false" ht="12.75" hidden="false" customHeight="false" outlineLevel="0" collapsed="false">
      <c r="A285" s="355"/>
    </row>
    <row r="286" customFormat="false" ht="12.75" hidden="false" customHeight="false" outlineLevel="0" collapsed="false">
      <c r="A286" s="355"/>
    </row>
    <row r="287" customFormat="false" ht="12.75" hidden="false" customHeight="false" outlineLevel="0" collapsed="false">
      <c r="A287" s="355"/>
    </row>
    <row r="288" customFormat="false" ht="12.75" hidden="false" customHeight="false" outlineLevel="0" collapsed="false">
      <c r="A288" s="355"/>
    </row>
    <row r="289" customFormat="false" ht="12.75" hidden="false" customHeight="false" outlineLevel="0" collapsed="false">
      <c r="A289" s="355"/>
    </row>
    <row r="290" customFormat="false" ht="12.75" hidden="false" customHeight="false" outlineLevel="0" collapsed="false">
      <c r="A290" s="355"/>
    </row>
    <row r="291" customFormat="false" ht="12.75" hidden="false" customHeight="false" outlineLevel="0" collapsed="false">
      <c r="A291" s="355"/>
    </row>
    <row r="292" customFormat="false" ht="12.75" hidden="false" customHeight="false" outlineLevel="0" collapsed="false">
      <c r="A292" s="355"/>
    </row>
    <row r="293" customFormat="false" ht="12.75" hidden="false" customHeight="false" outlineLevel="0" collapsed="false">
      <c r="A293" s="355"/>
    </row>
    <row r="294" customFormat="false" ht="12.75" hidden="false" customHeight="false" outlineLevel="0" collapsed="false">
      <c r="A294" s="355"/>
    </row>
    <row r="295" customFormat="false" ht="12.75" hidden="false" customHeight="false" outlineLevel="0" collapsed="false">
      <c r="A295" s="355"/>
    </row>
    <row r="296" customFormat="false" ht="12.75" hidden="false" customHeight="false" outlineLevel="0" collapsed="false">
      <c r="A296" s="355"/>
    </row>
    <row r="297" customFormat="false" ht="12.75" hidden="false" customHeight="false" outlineLevel="0" collapsed="false">
      <c r="A297" s="355"/>
    </row>
    <row r="298" customFormat="false" ht="12.75" hidden="false" customHeight="false" outlineLevel="0" collapsed="false">
      <c r="A298" s="355"/>
    </row>
    <row r="299" customFormat="false" ht="12.75" hidden="false" customHeight="false" outlineLevel="0" collapsed="false">
      <c r="A299" s="355"/>
    </row>
    <row r="300" customFormat="false" ht="12.75" hidden="false" customHeight="false" outlineLevel="0" collapsed="false">
      <c r="A300" s="355"/>
      <c r="B300" s="356"/>
      <c r="C300" s="357"/>
      <c r="D300" s="358"/>
      <c r="E300" s="359"/>
      <c r="F300" s="356"/>
      <c r="G300" s="356"/>
      <c r="H300" s="360"/>
      <c r="I300" s="361"/>
      <c r="J300" s="356"/>
    </row>
    <row r="301" customFormat="false" ht="12.75" hidden="false" customHeight="false" outlineLevel="0" collapsed="false">
      <c r="A301" s="333" t="s">
        <v>265</v>
      </c>
    </row>
  </sheetData>
  <mergeCells count="10">
    <mergeCell ref="A1:A3"/>
    <mergeCell ref="B1:B3"/>
    <mergeCell ref="C2:C3"/>
    <mergeCell ref="D2:D3"/>
    <mergeCell ref="E2:E3"/>
    <mergeCell ref="F2:F3"/>
    <mergeCell ref="G2:G3"/>
    <mergeCell ref="H2:H3"/>
    <mergeCell ref="I2:I3"/>
    <mergeCell ref="J2:K2"/>
  </mergeCells>
  <dataValidations count="1">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4:A300" type="date">
      <formula1>38353</formula1>
      <formula2>53327</formula2>
    </dataValidation>
  </dataValidations>
  <printOptions headings="false" gridLines="true" gridLinesSet="true" horizontalCentered="false" verticalCentered="false"/>
  <pageMargins left="0.196527777777778" right="0.39375" top="0.590972222222222" bottom="0.590972222222222"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&amp;C&amp;"Arial,Bold"&amp;11Sales Turnover</oddHeader>
    <oddFooter>&amp;L&amp;D  &amp;T&amp;C&amp;P  of  &amp;N&amp;R&amp;F  &amp;A</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62" width="9.66"/>
    <col collapsed="false" customWidth="true" hidden="false" outlineLevel="0" max="2" min="2" style="363" width="23.99"/>
    <col collapsed="false" customWidth="true" hidden="false" outlineLevel="0" max="3" min="3" style="363" width="15.99"/>
    <col collapsed="false" customWidth="true" hidden="false" outlineLevel="0" max="4" min="4" style="364" width="16.15"/>
    <col collapsed="false" customWidth="true" hidden="false" outlineLevel="0" max="5" min="5" style="365" width="9.49"/>
    <col collapsed="false" customWidth="true" hidden="false" outlineLevel="0" max="6" min="6" style="365" width="8.66"/>
    <col collapsed="false" customWidth="true" hidden="false" outlineLevel="0" max="7" min="7" style="366" width="12.66"/>
    <col collapsed="false" customWidth="true" hidden="false" outlineLevel="0" max="8" min="8" style="338" width="11.5"/>
    <col collapsed="false" customWidth="true" hidden="false" outlineLevel="0" max="9" min="9" style="367" width="10.5"/>
    <col collapsed="false" customWidth="true" hidden="false" outlineLevel="0" max="19" min="10" style="334" width="9.66"/>
    <col collapsed="false" customWidth="true" hidden="false" outlineLevel="0" max="22" min="20" style="334" width="7.66"/>
    <col collapsed="false" customWidth="true" hidden="false" outlineLevel="0" max="23" min="23" style="334" width="9.66"/>
    <col collapsed="false" customWidth="true" hidden="false" outlineLevel="0" max="24" min="24" style="363" width="24.66"/>
    <col collapsed="false" customWidth="false" hidden="false" outlineLevel="0" max="25" min="25" style="368" width="9.15"/>
    <col collapsed="false" customWidth="true" hidden="false" outlineLevel="0" max="26" min="26" style="368" width="12.66"/>
    <col collapsed="false" customWidth="false" hidden="false" outlineLevel="0" max="257" min="27" style="363" width="9.15"/>
  </cols>
  <sheetData>
    <row r="1" s="334" customFormat="true" ht="13.5" hidden="false" customHeight="true" outlineLevel="0" collapsed="false">
      <c r="A1" s="369" t="n">
        <f aca="false">G4+PurchasesJan!A1</f>
        <v>0</v>
      </c>
      <c r="B1" s="370" t="s">
        <v>266</v>
      </c>
      <c r="C1" s="344" t="n">
        <f aca="false">PurchasesJan!C1+PurchasesFeb!F1+SalesFeb!$E$1</f>
        <v>0</v>
      </c>
      <c r="D1" s="369" t="s">
        <v>248</v>
      </c>
      <c r="E1" s="371" t="str">
        <f aca="false">IF((G1-SUM(J1:W1)&lt;&gt;0),(G1-SUM(J1:W1))," ")</f>
        <v> </v>
      </c>
      <c r="F1" s="344" t="n">
        <f aca="false">SUM(F5:F300)</f>
        <v>0</v>
      </c>
      <c r="G1" s="343" t="n">
        <f aca="false">SUM(G4:G300)</f>
        <v>4396.5</v>
      </c>
      <c r="H1" s="372" t="n">
        <f aca="false">SUM(H5:H300)</f>
        <v>4396.5</v>
      </c>
      <c r="I1" s="373" t="n">
        <f aca="true">TODAY()</f>
        <v>46138</v>
      </c>
      <c r="J1" s="343" t="n">
        <f aca="false">SUM(J5:J300)</f>
        <v>660</v>
      </c>
      <c r="K1" s="343" t="n">
        <f aca="false">SUM(K5:K300)</f>
        <v>0</v>
      </c>
      <c r="L1" s="343" t="n">
        <f aca="false">SUM(L5:L300)</f>
        <v>0</v>
      </c>
      <c r="M1" s="343" t="n">
        <f aca="false">SUM(M5:M300)</f>
        <v>1200</v>
      </c>
      <c r="N1" s="343" t="n">
        <f aca="false">SUM(N5:N300)</f>
        <v>360</v>
      </c>
      <c r="O1" s="343" t="n">
        <f aca="false">SUM(O5:O300)</f>
        <v>135</v>
      </c>
      <c r="P1" s="343" t="n">
        <f aca="false">SUM(P3:P300)</f>
        <v>595.5</v>
      </c>
      <c r="Q1" s="343" t="n">
        <f aca="false">SUM(Q5:Q300)</f>
        <v>368</v>
      </c>
      <c r="R1" s="343" t="n">
        <f aca="false">SUM(R5:R300)</f>
        <v>0</v>
      </c>
      <c r="S1" s="343" t="n">
        <f aca="false">SUM(S5:S300)</f>
        <v>300</v>
      </c>
      <c r="T1" s="343" t="n">
        <f aca="false">SUM(T5:T300)</f>
        <v>0</v>
      </c>
      <c r="U1" s="343" t="n">
        <f aca="false">SUM(U5:U300)</f>
        <v>0</v>
      </c>
      <c r="V1" s="343" t="n">
        <f aca="false">SUM(V5:V300)</f>
        <v>778</v>
      </c>
      <c r="W1" s="345" t="n">
        <f aca="false">SUM(W5:W300)</f>
        <v>0</v>
      </c>
      <c r="X1" s="374" t="n">
        <f aca="false">W1+PurchasesJan!X1</f>
        <v>39000</v>
      </c>
      <c r="Y1" s="375" t="n">
        <f aca="false">SUM(Y5:Y200)</f>
        <v>0</v>
      </c>
      <c r="Z1" s="376" t="n">
        <f aca="false">Y1+PurchasesJan!Z1</f>
        <v>0</v>
      </c>
    </row>
    <row r="2" s="384" customFormat="true" ht="24" hidden="false" customHeight="true" outlineLevel="0" collapsed="false">
      <c r="A2" s="377" t="s">
        <v>267</v>
      </c>
      <c r="B2" s="378" t="str">
        <f aca="false">IF((G1-SUM(J1:W1)&lt;&gt;0),"COMPLETE EXPENSE ANALYSIS by inserting expense letter in col E","Supplier")</f>
        <v>Supplier</v>
      </c>
      <c r="C2" s="379" t="s">
        <v>268</v>
      </c>
      <c r="D2" s="379" t="s">
        <v>269</v>
      </c>
      <c r="E2" s="379" t="s">
        <v>270</v>
      </c>
      <c r="F2" s="379" t="s">
        <v>344</v>
      </c>
      <c r="G2" s="380" t="s">
        <v>272</v>
      </c>
      <c r="H2" s="381" t="s">
        <v>273</v>
      </c>
      <c r="I2" s="382" t="s">
        <v>274</v>
      </c>
      <c r="J2" s="380" t="s">
        <v>275</v>
      </c>
      <c r="K2" s="380" t="s">
        <v>276</v>
      </c>
      <c r="L2" s="380" t="s">
        <v>277</v>
      </c>
      <c r="M2" s="380" t="s">
        <v>278</v>
      </c>
      <c r="N2" s="380" t="s">
        <v>279</v>
      </c>
      <c r="O2" s="380" t="s">
        <v>280</v>
      </c>
      <c r="P2" s="380" t="s">
        <v>281</v>
      </c>
      <c r="Q2" s="380" t="s">
        <v>282</v>
      </c>
      <c r="R2" s="380" t="s">
        <v>283</v>
      </c>
      <c r="S2" s="380" t="s">
        <v>284</v>
      </c>
      <c r="T2" s="380" t="s">
        <v>285</v>
      </c>
      <c r="U2" s="380" t="s">
        <v>286</v>
      </c>
      <c r="V2" s="380" t="s">
        <v>287</v>
      </c>
      <c r="W2" s="381" t="s">
        <v>288</v>
      </c>
      <c r="X2" s="383" t="str">
        <f aca="false">IF(X1&gt;('Fixed Assets'!$E$110),"FIXED ASSETS requires updating with new additions","Fixed Assets Description  (Vehicles: make, model, date reg. and reg. mark)")</f>
        <v>FIXED ASSETS requires updating with new additions</v>
      </c>
      <c r="Y2" s="380" t="s">
        <v>289</v>
      </c>
      <c r="Z2" s="380"/>
    </row>
    <row r="3" s="386" customFormat="true" ht="12" hidden="false" customHeight="true" outlineLevel="0" collapsed="false">
      <c r="A3" s="377"/>
      <c r="B3" s="377"/>
      <c r="C3" s="377"/>
      <c r="D3" s="377"/>
      <c r="E3" s="379"/>
      <c r="F3" s="379"/>
      <c r="G3" s="380"/>
      <c r="H3" s="381"/>
      <c r="I3" s="381"/>
      <c r="J3" s="380"/>
      <c r="K3" s="380"/>
      <c r="L3" s="380"/>
      <c r="M3" s="380"/>
      <c r="N3" s="380"/>
      <c r="O3" s="380"/>
      <c r="P3" s="385" t="n">
        <f aca="false">IF((E$4="m"),G$4," ")</f>
        <v>0</v>
      </c>
      <c r="Q3" s="380"/>
      <c r="R3" s="380"/>
      <c r="S3" s="380"/>
      <c r="T3" s="380"/>
      <c r="U3" s="380"/>
      <c r="V3" s="380"/>
      <c r="W3" s="381"/>
      <c r="X3" s="383"/>
      <c r="Y3" s="380" t="s">
        <v>290</v>
      </c>
      <c r="Z3" s="380"/>
    </row>
    <row r="4" s="365" customFormat="true" ht="12.75" hidden="false" customHeight="false" outlineLevel="0" collapsed="false">
      <c r="A4" s="377"/>
      <c r="B4" s="377"/>
      <c r="C4" s="377"/>
      <c r="D4" s="377"/>
      <c r="E4" s="387" t="s">
        <v>291</v>
      </c>
      <c r="F4" s="379"/>
      <c r="G4" s="400" t="n">
        <f aca="false">IF((C1&lt;Admin!$F$22),((C1-PurchasesJan!C1)*Admin!$G$21),(C1*Admin!$G$21-(C1-Admin!$F$21)*(Admin!$G$21-Admin!$G$22)-PurchasesJan!A1))</f>
        <v>0</v>
      </c>
      <c r="H4" s="381"/>
      <c r="I4" s="381"/>
      <c r="J4" s="389" t="s">
        <v>292</v>
      </c>
      <c r="K4" s="390" t="s">
        <v>293</v>
      </c>
      <c r="L4" s="390" t="s">
        <v>294</v>
      </c>
      <c r="M4" s="390" t="s">
        <v>295</v>
      </c>
      <c r="N4" s="390" t="s">
        <v>296</v>
      </c>
      <c r="O4" s="390" t="s">
        <v>297</v>
      </c>
      <c r="P4" s="391" t="s">
        <v>298</v>
      </c>
      <c r="Q4" s="390" t="s">
        <v>299</v>
      </c>
      <c r="R4" s="390" t="s">
        <v>300</v>
      </c>
      <c r="S4" s="390" t="s">
        <v>301</v>
      </c>
      <c r="T4" s="390" t="s">
        <v>302</v>
      </c>
      <c r="U4" s="390" t="s">
        <v>303</v>
      </c>
      <c r="V4" s="390" t="s">
        <v>304</v>
      </c>
      <c r="W4" s="392" t="s">
        <v>305</v>
      </c>
      <c r="X4" s="383"/>
      <c r="Y4" s="380" t="s">
        <v>306</v>
      </c>
      <c r="Z4" s="380" t="s">
        <v>307</v>
      </c>
    </row>
    <row r="5" customFormat="false" ht="12.75" hidden="false" customHeight="false" outlineLevel="0" collapsed="false">
      <c r="A5" s="355" t="n">
        <v>46054</v>
      </c>
      <c r="B5" s="363" t="s">
        <v>239</v>
      </c>
      <c r="E5" s="365" t="s">
        <v>308</v>
      </c>
      <c r="G5" s="366" t="n">
        <v>1200</v>
      </c>
      <c r="H5" s="338" t="n">
        <f aca="false">IF((G5&lt;&gt;0),IF((D5&gt;0)," ",G5)," ")</f>
        <v>1200</v>
      </c>
      <c r="I5" s="367" t="n">
        <f aca="false">IF((G5&lt;&gt;0),IF((D5&gt;0)," ",(I$1-A5))," ")</f>
        <v>84</v>
      </c>
      <c r="J5" s="334" t="str">
        <f aca="false">IF((E5="s"),G5," ")</f>
        <v> </v>
      </c>
      <c r="K5" s="334" t="str">
        <f aca="false">IF((E5="d"),G5," ")</f>
        <v> </v>
      </c>
      <c r="L5" s="334" t="str">
        <f aca="false">IF((E5="e"),G5," ")</f>
        <v> </v>
      </c>
      <c r="M5" s="334" t="n">
        <f aca="false">IF((E5="p"),G5," ")</f>
        <v>1200</v>
      </c>
      <c r="N5" s="334" t="str">
        <f aca="false">IF((E5="r"),G5," ")</f>
        <v> </v>
      </c>
      <c r="O5" s="334" t="str">
        <f aca="false">IF((E5="g"),G5," ")</f>
        <v> </v>
      </c>
      <c r="P5" s="334" t="str">
        <f aca="false">IF((E5="m"),G5," ")</f>
        <v> </v>
      </c>
      <c r="Q5" s="334" t="str">
        <f aca="false">IF((E5="t"),G5," ")</f>
        <v> </v>
      </c>
      <c r="R5" s="334" t="str">
        <f aca="false">IF((E5="a"),G5," ")</f>
        <v> </v>
      </c>
      <c r="S5" s="334" t="str">
        <f aca="false">IF((E5="l"),G5," ")</f>
        <v> </v>
      </c>
      <c r="T5" s="334" t="str">
        <f aca="false">IF((E5="b"),G5," ")</f>
        <v> </v>
      </c>
      <c r="U5" s="334" t="str">
        <f aca="false">IF((E5="i"),G5," ")</f>
        <v> </v>
      </c>
      <c r="V5" s="334" t="str">
        <f aca="false">IF((E5="o"),G5," ")</f>
        <v> </v>
      </c>
      <c r="W5" s="334" t="str">
        <f aca="false">IF((E5="f"),G5," ")</f>
        <v> </v>
      </c>
    </row>
    <row r="6" customFormat="false" ht="12.75" hidden="false" customHeight="false" outlineLevel="0" collapsed="false">
      <c r="A6" s="355" t="n">
        <v>46054</v>
      </c>
      <c r="B6" s="363" t="s">
        <v>309</v>
      </c>
      <c r="E6" s="365" t="s">
        <v>310</v>
      </c>
      <c r="G6" s="366" t="n">
        <v>30</v>
      </c>
      <c r="H6" s="338" t="n">
        <f aca="false">IF((G6&lt;&gt;0),IF((D6&gt;0)," ",G6)," ")</f>
        <v>30</v>
      </c>
      <c r="I6" s="367" t="n">
        <f aca="false">IF((G6&lt;&gt;0),IF((D6&gt;0)," ",(I$1-A6))," ")</f>
        <v>84</v>
      </c>
      <c r="J6" s="334" t="str">
        <f aca="false">IF((E6="s"),G6," ")</f>
        <v> </v>
      </c>
      <c r="K6" s="334" t="str">
        <f aca="false">IF((E6="d"),G6," ")</f>
        <v> </v>
      </c>
      <c r="L6" s="334" t="str">
        <f aca="false">IF((E6="e"),G6," ")</f>
        <v> </v>
      </c>
      <c r="M6" s="334" t="str">
        <f aca="false">IF((E6="p"),G6," ")</f>
        <v> </v>
      </c>
      <c r="N6" s="334" t="str">
        <f aca="false">IF((E6="r"),G6," ")</f>
        <v> </v>
      </c>
      <c r="O6" s="334" t="n">
        <f aca="false">IF((E6="g"),G6," ")</f>
        <v>30</v>
      </c>
      <c r="P6" s="334" t="str">
        <f aca="false">IF((E6="m"),G6," ")</f>
        <v> </v>
      </c>
      <c r="Q6" s="334" t="str">
        <f aca="false">IF((E6="t"),G6," ")</f>
        <v> </v>
      </c>
      <c r="R6" s="334" t="str">
        <f aca="false">IF((E6="a"),G6," ")</f>
        <v> </v>
      </c>
      <c r="S6" s="334" t="str">
        <f aca="false">IF((E6="l"),G6," ")</f>
        <v> </v>
      </c>
      <c r="T6" s="334" t="str">
        <f aca="false">IF((E6="b"),G6," ")</f>
        <v> </v>
      </c>
      <c r="U6" s="334" t="str">
        <f aca="false">IF((E6="i"),G6," ")</f>
        <v> </v>
      </c>
      <c r="V6" s="334" t="str">
        <f aca="false">IF((E6="o"),G6," ")</f>
        <v> </v>
      </c>
      <c r="W6" s="334" t="str">
        <f aca="false">IF((E6="f"),G6," ")</f>
        <v> </v>
      </c>
    </row>
    <row r="7" customFormat="false" ht="12.75" hidden="false" customHeight="false" outlineLevel="0" collapsed="false">
      <c r="A7" s="355" t="n">
        <v>46054</v>
      </c>
      <c r="B7" s="363" t="s">
        <v>311</v>
      </c>
      <c r="E7" s="365" t="s">
        <v>310</v>
      </c>
      <c r="G7" s="366" t="n">
        <v>15</v>
      </c>
      <c r="H7" s="338" t="n">
        <f aca="false">IF((G7&lt;&gt;0),IF((D7&gt;0)," ",G7)," ")</f>
        <v>15</v>
      </c>
      <c r="I7" s="367" t="n">
        <f aca="false">IF((G7&lt;&gt;0),IF((D7&gt;0)," ",(I$1-A7))," ")</f>
        <v>84</v>
      </c>
      <c r="J7" s="334" t="str">
        <f aca="false">IF((E7="s"),G7," ")</f>
        <v> </v>
      </c>
      <c r="K7" s="334" t="str">
        <f aca="false">IF((E7="d"),G7," ")</f>
        <v> </v>
      </c>
      <c r="L7" s="334" t="str">
        <f aca="false">IF((E7="e"),G7," ")</f>
        <v> </v>
      </c>
      <c r="M7" s="334" t="str">
        <f aca="false">IF((E7="p"),G7," ")</f>
        <v> </v>
      </c>
      <c r="N7" s="334" t="str">
        <f aca="false">IF((E7="r"),G7," ")</f>
        <v> </v>
      </c>
      <c r="O7" s="334" t="n">
        <f aca="false">IF((E7="g"),G7," ")</f>
        <v>15</v>
      </c>
      <c r="P7" s="334" t="str">
        <f aca="false">IF((E7="m"),G7," ")</f>
        <v> </v>
      </c>
      <c r="Q7" s="334" t="str">
        <f aca="false">IF((E7="t"),G7," ")</f>
        <v> </v>
      </c>
      <c r="R7" s="334" t="str">
        <f aca="false">IF((E7="a"),G7," ")</f>
        <v> </v>
      </c>
      <c r="S7" s="334" t="str">
        <f aca="false">IF((E7="l"),G7," ")</f>
        <v> </v>
      </c>
      <c r="T7" s="334" t="str">
        <f aca="false">IF((E7="b"),G7," ")</f>
        <v> </v>
      </c>
      <c r="U7" s="334" t="str">
        <f aca="false">IF((E7="i"),G7," ")</f>
        <v> </v>
      </c>
      <c r="V7" s="334" t="str">
        <f aca="false">IF((E7="o"),G7," ")</f>
        <v> </v>
      </c>
      <c r="W7" s="334" t="str">
        <f aca="false">IF((E7="f"),G7," ")</f>
        <v> </v>
      </c>
    </row>
    <row r="8" customFormat="false" ht="12.75" hidden="false" customHeight="false" outlineLevel="0" collapsed="false">
      <c r="A8" s="355" t="n">
        <v>46054</v>
      </c>
      <c r="B8" s="363" t="s">
        <v>312</v>
      </c>
      <c r="E8" s="365" t="s">
        <v>313</v>
      </c>
      <c r="G8" s="366" t="n">
        <v>45</v>
      </c>
      <c r="H8" s="338" t="n">
        <f aca="false">IF((G8&lt;&gt;0),IF((D8&gt;0)," ",G8)," ")</f>
        <v>45</v>
      </c>
      <c r="I8" s="367" t="n">
        <f aca="false">IF((G8&lt;&gt;0),IF((D8&gt;0)," ",(I$1-A8))," ")</f>
        <v>84</v>
      </c>
      <c r="J8" s="334" t="str">
        <f aca="false">IF((E8="s"),G8," ")</f>
        <v> </v>
      </c>
      <c r="K8" s="334" t="str">
        <f aca="false">IF((E8="d"),G8," ")</f>
        <v> </v>
      </c>
      <c r="L8" s="334" t="str">
        <f aca="false">IF((E8="e"),G8," ")</f>
        <v> </v>
      </c>
      <c r="M8" s="334" t="str">
        <f aca="false">IF((E8="p"),G8," ")</f>
        <v> </v>
      </c>
      <c r="N8" s="334" t="str">
        <f aca="false">IF((E8="r"),G8," ")</f>
        <v> </v>
      </c>
      <c r="O8" s="334" t="str">
        <f aca="false">IF((E8="g"),G8," ")</f>
        <v> </v>
      </c>
      <c r="P8" s="334" t="str">
        <f aca="false">IF((E8="m"),G8," ")</f>
        <v> </v>
      </c>
      <c r="Q8" s="334" t="str">
        <f aca="false">IF((E8="t"),G8," ")</f>
        <v> </v>
      </c>
      <c r="R8" s="334" t="str">
        <f aca="false">IF((E8="a"),G8," ")</f>
        <v> </v>
      </c>
      <c r="S8" s="334" t="str">
        <f aca="false">IF((E8="l"),G8," ")</f>
        <v> </v>
      </c>
      <c r="T8" s="334" t="str">
        <f aca="false">IF((E8="b"),G8," ")</f>
        <v> </v>
      </c>
      <c r="U8" s="334" t="str">
        <f aca="false">IF((E8="i"),G8," ")</f>
        <v> </v>
      </c>
      <c r="V8" s="334" t="n">
        <f aca="false">IF((E8="o"),G8," ")</f>
        <v>45</v>
      </c>
      <c r="W8" s="334" t="str">
        <f aca="false">IF((E8="f"),G8," ")</f>
        <v> </v>
      </c>
    </row>
    <row r="9" customFormat="false" ht="12.75" hidden="false" customHeight="false" outlineLevel="0" collapsed="false">
      <c r="A9" s="355" t="n">
        <v>46054</v>
      </c>
      <c r="B9" s="363" t="s">
        <v>315</v>
      </c>
      <c r="E9" s="365" t="s">
        <v>313</v>
      </c>
      <c r="G9" s="366" t="n">
        <v>24</v>
      </c>
      <c r="H9" s="338" t="n">
        <f aca="false">IF((G9&lt;&gt;0),IF((D9&gt;0)," ",G9)," ")</f>
        <v>24</v>
      </c>
      <c r="I9" s="367" t="n">
        <f aca="false">IF((G9&lt;&gt;0),IF((D9&gt;0)," ",(I$1-A9))," ")</f>
        <v>84</v>
      </c>
      <c r="J9" s="334" t="str">
        <f aca="false">IF((E9="s"),G9," ")</f>
        <v> </v>
      </c>
      <c r="K9" s="334" t="str">
        <f aca="false">IF((E9="d"),G9," ")</f>
        <v> </v>
      </c>
      <c r="L9" s="334" t="str">
        <f aca="false">IF((E9="e"),G9," ")</f>
        <v> </v>
      </c>
      <c r="M9" s="334" t="str">
        <f aca="false">IF((E9="p"),G9," ")</f>
        <v> </v>
      </c>
      <c r="N9" s="334" t="str">
        <f aca="false">IF((E9="r"),G9," ")</f>
        <v> </v>
      </c>
      <c r="O9" s="334" t="str">
        <f aca="false">IF((E9="g"),G9," ")</f>
        <v> </v>
      </c>
      <c r="P9" s="334" t="str">
        <f aca="false">IF((E9="m"),G9," ")</f>
        <v> </v>
      </c>
      <c r="Q9" s="334" t="str">
        <f aca="false">IF((E9="t"),G9," ")</f>
        <v> </v>
      </c>
      <c r="R9" s="334" t="str">
        <f aca="false">IF((E9="a"),G9," ")</f>
        <v> </v>
      </c>
      <c r="S9" s="334" t="str">
        <f aca="false">IF((E9="l"),G9," ")</f>
        <v> </v>
      </c>
      <c r="T9" s="334" t="str">
        <f aca="false">IF((E9="b"),G9," ")</f>
        <v> </v>
      </c>
      <c r="U9" s="334" t="str">
        <f aca="false">IF((E9="i"),G9," ")</f>
        <v> </v>
      </c>
      <c r="V9" s="334" t="n">
        <f aca="false">IF((E9="o"),G9," ")</f>
        <v>24</v>
      </c>
      <c r="W9" s="334" t="str">
        <f aca="false">IF((E9="f"),G9," ")</f>
        <v> </v>
      </c>
    </row>
    <row r="10" customFormat="false" ht="12.75" hidden="false" customHeight="false" outlineLevel="0" collapsed="false">
      <c r="A10" s="355" t="n">
        <v>46054</v>
      </c>
      <c r="B10" s="363" t="s">
        <v>316</v>
      </c>
      <c r="E10" s="365" t="s">
        <v>310</v>
      </c>
      <c r="G10" s="366" t="n">
        <v>18</v>
      </c>
      <c r="H10" s="338" t="n">
        <f aca="false">IF((G10&lt;&gt;0),IF((D10&gt;0)," ",G10)," ")</f>
        <v>18</v>
      </c>
      <c r="I10" s="367" t="n">
        <f aca="false">IF((G10&lt;&gt;0),IF((D10&gt;0)," ",(I$1-A10))," ")</f>
        <v>84</v>
      </c>
      <c r="J10" s="334" t="str">
        <f aca="false">IF((E10="s"),G10," ")</f>
        <v> </v>
      </c>
      <c r="K10" s="334" t="str">
        <f aca="false">IF((E10="d"),G10," ")</f>
        <v> </v>
      </c>
      <c r="L10" s="334" t="str">
        <f aca="false">IF((E10="e"),G10," ")</f>
        <v> </v>
      </c>
      <c r="M10" s="334" t="str">
        <f aca="false">IF((E10="p"),G10," ")</f>
        <v> </v>
      </c>
      <c r="N10" s="334" t="str">
        <f aca="false">IF((E10="r"),G10," ")</f>
        <v> </v>
      </c>
      <c r="O10" s="334" t="n">
        <f aca="false">IF((E10="g"),G10," ")</f>
        <v>18</v>
      </c>
      <c r="P10" s="334" t="str">
        <f aca="false">IF((E10="m"),G10," ")</f>
        <v> </v>
      </c>
      <c r="Q10" s="334" t="str">
        <f aca="false">IF((E10="t"),G10," ")</f>
        <v> </v>
      </c>
      <c r="R10" s="334" t="str">
        <f aca="false">IF((E10="a"),G10," ")</f>
        <v> </v>
      </c>
      <c r="S10" s="334" t="str">
        <f aca="false">IF((E10="l"),G10," ")</f>
        <v> </v>
      </c>
      <c r="T10" s="334" t="str">
        <f aca="false">IF((E10="b"),G10," ")</f>
        <v> </v>
      </c>
      <c r="U10" s="334" t="str">
        <f aca="false">IF((E10="i"),G10," ")</f>
        <v> </v>
      </c>
      <c r="V10" s="334" t="str">
        <f aca="false">IF((E10="o"),G10," ")</f>
        <v> </v>
      </c>
      <c r="W10" s="334" t="str">
        <f aca="false">IF((E10="f"),G10," ")</f>
        <v> </v>
      </c>
    </row>
    <row r="11" customFormat="false" ht="12.75" hidden="false" customHeight="false" outlineLevel="0" collapsed="false">
      <c r="A11" s="355" t="n">
        <v>46056</v>
      </c>
      <c r="B11" s="363" t="s">
        <v>317</v>
      </c>
      <c r="E11" s="365" t="s">
        <v>313</v>
      </c>
      <c r="G11" s="366" t="n">
        <v>180</v>
      </c>
      <c r="H11" s="338" t="n">
        <f aca="false">IF((G11&lt;&gt;0),IF((D11&gt;0)," ",G11)," ")</f>
        <v>180</v>
      </c>
      <c r="I11" s="367" t="n">
        <f aca="false">IF((G11&lt;&gt;0),IF((D11&gt;0)," ",(I$1-A11))," ")</f>
        <v>82</v>
      </c>
      <c r="J11" s="334" t="str">
        <f aca="false">IF((E11="s"),G11," ")</f>
        <v> </v>
      </c>
      <c r="K11" s="334" t="str">
        <f aca="false">IF((E11="d"),G11," ")</f>
        <v> </v>
      </c>
      <c r="L11" s="334" t="str">
        <f aca="false">IF((E11="e"),G11," ")</f>
        <v> </v>
      </c>
      <c r="M11" s="334" t="str">
        <f aca="false">IF((E11="p"),G11," ")</f>
        <v> </v>
      </c>
      <c r="N11" s="334" t="str">
        <f aca="false">IF((E11="r"),G11," ")</f>
        <v> </v>
      </c>
      <c r="O11" s="334" t="str">
        <f aca="false">IF((E11="g"),G11," ")</f>
        <v> </v>
      </c>
      <c r="P11" s="334" t="str">
        <f aca="false">IF((E11="m"),G11," ")</f>
        <v> </v>
      </c>
      <c r="Q11" s="334" t="str">
        <f aca="false">IF((E11="t"),G11," ")</f>
        <v> </v>
      </c>
      <c r="R11" s="334" t="str">
        <f aca="false">IF((E11="a"),G11," ")</f>
        <v> </v>
      </c>
      <c r="S11" s="334" t="str">
        <f aca="false">IF((E11="l"),G11," ")</f>
        <v> </v>
      </c>
      <c r="T11" s="334" t="str">
        <f aca="false">IF((E11="b"),G11," ")</f>
        <v> </v>
      </c>
      <c r="U11" s="334" t="str">
        <f aca="false">IF((E11="i"),G11," ")</f>
        <v> </v>
      </c>
      <c r="V11" s="334" t="n">
        <f aca="false">IF((E11="o"),G11," ")</f>
        <v>180</v>
      </c>
      <c r="W11" s="334" t="str">
        <f aca="false">IF((E11="f"),G11," ")</f>
        <v> </v>
      </c>
    </row>
    <row r="12" customFormat="false" ht="12.75" hidden="false" customHeight="false" outlineLevel="0" collapsed="false">
      <c r="A12" s="355" t="n">
        <v>46056</v>
      </c>
      <c r="B12" s="363" t="s">
        <v>318</v>
      </c>
      <c r="E12" s="365" t="s">
        <v>313</v>
      </c>
      <c r="G12" s="366" t="n">
        <v>22</v>
      </c>
      <c r="H12" s="338" t="n">
        <f aca="false">IF((G12&lt;&gt;0),IF((D12&gt;0)," ",G12)," ")</f>
        <v>22</v>
      </c>
      <c r="I12" s="367" t="n">
        <f aca="false">IF((G12&lt;&gt;0),IF((D12&gt;0)," ",(I$1-A12))," ")</f>
        <v>82</v>
      </c>
      <c r="J12" s="334" t="str">
        <f aca="false">IF((E12="s"),G12," ")</f>
        <v> </v>
      </c>
      <c r="K12" s="334" t="str">
        <f aca="false">IF((E12="d"),G12," ")</f>
        <v> </v>
      </c>
      <c r="L12" s="334" t="str">
        <f aca="false">IF((E12="e"),G12," ")</f>
        <v> </v>
      </c>
      <c r="M12" s="334" t="str">
        <f aca="false">IF((E12="p"),G12," ")</f>
        <v> </v>
      </c>
      <c r="N12" s="334" t="str">
        <f aca="false">IF((E12="r"),G12," ")</f>
        <v> </v>
      </c>
      <c r="O12" s="334" t="str">
        <f aca="false">IF((E12="g"),G12," ")</f>
        <v> </v>
      </c>
      <c r="P12" s="334" t="str">
        <f aca="false">IF((E12="m"),G12," ")</f>
        <v> </v>
      </c>
      <c r="Q12" s="334" t="str">
        <f aca="false">IF((E12="t"),G12," ")</f>
        <v> </v>
      </c>
      <c r="R12" s="334" t="str">
        <f aca="false">IF((E12="a"),G12," ")</f>
        <v> </v>
      </c>
      <c r="S12" s="334" t="str">
        <f aca="false">IF((E12="l"),G12," ")</f>
        <v> </v>
      </c>
      <c r="T12" s="334" t="str">
        <f aca="false">IF((E12="b"),G12," ")</f>
        <v> </v>
      </c>
      <c r="U12" s="334" t="str">
        <f aca="false">IF((E12="i"),G12," ")</f>
        <v> </v>
      </c>
      <c r="V12" s="334" t="n">
        <f aca="false">IF((E12="o"),G12," ")</f>
        <v>22</v>
      </c>
      <c r="W12" s="334" t="str">
        <f aca="false">IF((E12="f"),G12," ")</f>
        <v> </v>
      </c>
    </row>
    <row r="13" customFormat="false" ht="12.75" hidden="false" customHeight="false" outlineLevel="0" collapsed="false">
      <c r="A13" s="355" t="n">
        <v>46058</v>
      </c>
      <c r="B13" s="363" t="s">
        <v>319</v>
      </c>
      <c r="E13" s="365" t="s">
        <v>313</v>
      </c>
      <c r="G13" s="366" t="n">
        <v>24</v>
      </c>
      <c r="H13" s="338" t="n">
        <f aca="false">IF((G13&lt;&gt;0),IF((D13&gt;0)," ",G13)," ")</f>
        <v>24</v>
      </c>
      <c r="I13" s="367" t="n">
        <f aca="false">IF((G13&lt;&gt;0),IF((D13&gt;0)," ",(I$1-A13))," ")</f>
        <v>80</v>
      </c>
      <c r="J13" s="334" t="str">
        <f aca="false">IF((E13="s"),G13," ")</f>
        <v> </v>
      </c>
      <c r="K13" s="334" t="str">
        <f aca="false">IF((E13="d"),G13," ")</f>
        <v> </v>
      </c>
      <c r="L13" s="334" t="str">
        <f aca="false">IF((E13="e"),G13," ")</f>
        <v> </v>
      </c>
      <c r="M13" s="334" t="str">
        <f aca="false">IF((E13="p"),G13," ")</f>
        <v> </v>
      </c>
      <c r="N13" s="334" t="str">
        <f aca="false">IF((E13="r"),G13," ")</f>
        <v> </v>
      </c>
      <c r="O13" s="334" t="str">
        <f aca="false">IF((E13="g"),G13," ")</f>
        <v> </v>
      </c>
      <c r="P13" s="334" t="str">
        <f aca="false">IF((E13="m"),G13," ")</f>
        <v> </v>
      </c>
      <c r="Q13" s="334" t="str">
        <f aca="false">IF((E13="t"),G13," ")</f>
        <v> </v>
      </c>
      <c r="R13" s="334" t="str">
        <f aca="false">IF((E13="a"),G13," ")</f>
        <v> </v>
      </c>
      <c r="S13" s="334" t="str">
        <f aca="false">IF((E13="l"),G13," ")</f>
        <v> </v>
      </c>
      <c r="T13" s="334" t="str">
        <f aca="false">IF((E13="b"),G13," ")</f>
        <v> </v>
      </c>
      <c r="U13" s="334" t="str">
        <f aca="false">IF((E13="i"),G13," ")</f>
        <v> </v>
      </c>
      <c r="V13" s="334" t="n">
        <f aca="false">IF((E13="o"),G13," ")</f>
        <v>24</v>
      </c>
      <c r="W13" s="334" t="str">
        <f aca="false">IF((E13="f"),G13," ")</f>
        <v> </v>
      </c>
    </row>
    <row r="14" customFormat="false" ht="12.75" hidden="false" customHeight="false" outlineLevel="0" collapsed="false">
      <c r="A14" s="355" t="n">
        <v>46058</v>
      </c>
      <c r="B14" s="363" t="s">
        <v>320</v>
      </c>
      <c r="E14" s="365" t="s">
        <v>291</v>
      </c>
      <c r="G14" s="366" t="n">
        <v>180</v>
      </c>
      <c r="H14" s="338" t="n">
        <f aca="false">IF((G14&lt;&gt;0),IF((D14&gt;0)," ",G14)," ")</f>
        <v>180</v>
      </c>
      <c r="I14" s="367" t="n">
        <f aca="false">IF((G14&lt;&gt;0),IF((D14&gt;0)," ",(I$1-A14))," ")</f>
        <v>80</v>
      </c>
      <c r="J14" s="334" t="str">
        <f aca="false">IF((E14="s"),G14," ")</f>
        <v> </v>
      </c>
      <c r="K14" s="334" t="str">
        <f aca="false">IF((E14="d"),G14," ")</f>
        <v> </v>
      </c>
      <c r="L14" s="334" t="str">
        <f aca="false">IF((E14="e"),G14," ")</f>
        <v> </v>
      </c>
      <c r="M14" s="334" t="str">
        <f aca="false">IF((E14="p"),G14," ")</f>
        <v> </v>
      </c>
      <c r="N14" s="334" t="str">
        <f aca="false">IF((E14="r"),G14," ")</f>
        <v> </v>
      </c>
      <c r="O14" s="334" t="str">
        <f aca="false">IF((E14="g"),G14," ")</f>
        <v> </v>
      </c>
      <c r="P14" s="334" t="n">
        <f aca="false">IF((E14="m"),G14," ")</f>
        <v>180</v>
      </c>
      <c r="Q14" s="334" t="str">
        <f aca="false">IF((E14="t"),G14," ")</f>
        <v> </v>
      </c>
      <c r="R14" s="334" t="str">
        <f aca="false">IF((E14="a"),G14," ")</f>
        <v> </v>
      </c>
      <c r="S14" s="334" t="str">
        <f aca="false">IF((E14="l"),G14," ")</f>
        <v> </v>
      </c>
      <c r="T14" s="334" t="str">
        <f aca="false">IF((E14="b"),G14," ")</f>
        <v> </v>
      </c>
      <c r="U14" s="334" t="str">
        <f aca="false">IF((E14="i"),G14," ")</f>
        <v> </v>
      </c>
      <c r="V14" s="334" t="str">
        <f aca="false">IF((E14="o"),G14," ")</f>
        <v> </v>
      </c>
      <c r="W14" s="334" t="str">
        <f aca="false">IF((E14="f"),G14," ")</f>
        <v> </v>
      </c>
    </row>
    <row r="15" customFormat="false" ht="12.75" hidden="false" customHeight="false" outlineLevel="0" collapsed="false">
      <c r="A15" s="355" t="n">
        <v>46058</v>
      </c>
      <c r="B15" s="363" t="s">
        <v>321</v>
      </c>
      <c r="E15" s="365" t="s">
        <v>313</v>
      </c>
      <c r="G15" s="366" t="n">
        <v>36</v>
      </c>
      <c r="H15" s="338" t="n">
        <f aca="false">IF((G15&lt;&gt;0),IF((D15&gt;0)," ",G15)," ")</f>
        <v>36</v>
      </c>
      <c r="I15" s="367" t="n">
        <f aca="false">IF((G15&lt;&gt;0),IF((D15&gt;0)," ",(I$1-A15))," ")</f>
        <v>80</v>
      </c>
      <c r="J15" s="334" t="str">
        <f aca="false">IF((E15="s"),G15," ")</f>
        <v> </v>
      </c>
      <c r="K15" s="334" t="str">
        <f aca="false">IF((E15="d"),G15," ")</f>
        <v> </v>
      </c>
      <c r="L15" s="334" t="str">
        <f aca="false">IF((E15="e"),G15," ")</f>
        <v> </v>
      </c>
      <c r="M15" s="334" t="str">
        <f aca="false">IF((E15="p"),G15," ")</f>
        <v> </v>
      </c>
      <c r="N15" s="334" t="str">
        <f aca="false">IF((E15="r"),G15," ")</f>
        <v> </v>
      </c>
      <c r="O15" s="334" t="str">
        <f aca="false">IF((E15="g"),G15," ")</f>
        <v> </v>
      </c>
      <c r="P15" s="334" t="str">
        <f aca="false">IF((E15="m"),G15," ")</f>
        <v> </v>
      </c>
      <c r="Q15" s="334" t="str">
        <f aca="false">IF((E15="t"),G15," ")</f>
        <v> </v>
      </c>
      <c r="R15" s="334" t="str">
        <f aca="false">IF((E15="a"),G15," ")</f>
        <v> </v>
      </c>
      <c r="S15" s="334" t="str">
        <f aca="false">IF((E15="l"),G15," ")</f>
        <v> </v>
      </c>
      <c r="T15" s="334" t="str">
        <f aca="false">IF((E15="b"),G15," ")</f>
        <v> </v>
      </c>
      <c r="U15" s="334" t="str">
        <f aca="false">IF((E15="i"),G15," ")</f>
        <v> </v>
      </c>
      <c r="V15" s="334" t="n">
        <f aca="false">IF((E15="o"),G15," ")</f>
        <v>36</v>
      </c>
      <c r="W15" s="334" t="str">
        <f aca="false">IF((E15="f"),G15," ")</f>
        <v> </v>
      </c>
    </row>
    <row r="16" customFormat="false" ht="12.75" hidden="false" customHeight="false" outlineLevel="0" collapsed="false">
      <c r="A16" s="355" t="n">
        <v>46059</v>
      </c>
      <c r="B16" s="363" t="s">
        <v>345</v>
      </c>
      <c r="E16" s="365" t="s">
        <v>323</v>
      </c>
      <c r="G16" s="366" t="n">
        <v>36</v>
      </c>
      <c r="H16" s="338" t="n">
        <f aca="false">IF((G16&lt;&gt;0),IF((D16&gt;0)," ",G16)," ")</f>
        <v>36</v>
      </c>
      <c r="I16" s="367" t="n">
        <f aca="false">IF((G16&lt;&gt;0),IF((D16&gt;0)," ",(I$1-A16))," ")</f>
        <v>79</v>
      </c>
      <c r="J16" s="334" t="str">
        <f aca="false">IF((E16="s"),G16," ")</f>
        <v> </v>
      </c>
      <c r="K16" s="334" t="str">
        <f aca="false">IF((E16="d"),G16," ")</f>
        <v> </v>
      </c>
      <c r="L16" s="334" t="str">
        <f aca="false">IF((E16="e"),G16," ")</f>
        <v> </v>
      </c>
      <c r="M16" s="334" t="str">
        <f aca="false">IF((E16="p"),G16," ")</f>
        <v> </v>
      </c>
      <c r="N16" s="334" t="str">
        <f aca="false">IF((E16="r"),G16," ")</f>
        <v> </v>
      </c>
      <c r="O16" s="334" t="str">
        <f aca="false">IF((E16="g"),G16," ")</f>
        <v> </v>
      </c>
      <c r="P16" s="334" t="str">
        <f aca="false">IF((E16="m"),G16," ")</f>
        <v> </v>
      </c>
      <c r="Q16" s="334" t="n">
        <f aca="false">IF((E16="t"),G16," ")</f>
        <v>36</v>
      </c>
      <c r="R16" s="334" t="str">
        <f aca="false">IF((E16="a"),G16," ")</f>
        <v> </v>
      </c>
      <c r="S16" s="334" t="str">
        <f aca="false">IF((E16="l"),G16," ")</f>
        <v> </v>
      </c>
      <c r="T16" s="334" t="str">
        <f aca="false">IF((E16="b"),G16," ")</f>
        <v> </v>
      </c>
      <c r="U16" s="334" t="str">
        <f aca="false">IF((E16="i"),G16," ")</f>
        <v> </v>
      </c>
      <c r="V16" s="334" t="str">
        <f aca="false">IF((E16="o"),G16," ")</f>
        <v> </v>
      </c>
      <c r="W16" s="334" t="str">
        <f aca="false">IF((E16="f"),G16," ")</f>
        <v> </v>
      </c>
    </row>
    <row r="17" customFormat="false" ht="12.75" hidden="false" customHeight="false" outlineLevel="0" collapsed="false">
      <c r="A17" s="355" t="n">
        <v>46061</v>
      </c>
      <c r="B17" s="363" t="s">
        <v>322</v>
      </c>
      <c r="E17" s="365" t="s">
        <v>323</v>
      </c>
      <c r="G17" s="366" t="n">
        <v>48</v>
      </c>
      <c r="H17" s="338" t="n">
        <f aca="false">IF((G17&lt;&gt;0),IF((D17&gt;0)," ",G17)," ")</f>
        <v>48</v>
      </c>
      <c r="I17" s="367" t="n">
        <f aca="false">IF((G17&lt;&gt;0),IF((D17&gt;0)," ",(I$1-A17))," ")</f>
        <v>77</v>
      </c>
      <c r="J17" s="334" t="str">
        <f aca="false">IF((E17="s"),G17," ")</f>
        <v> </v>
      </c>
      <c r="K17" s="334" t="str">
        <f aca="false">IF((E17="d"),G17," ")</f>
        <v> </v>
      </c>
      <c r="L17" s="334" t="str">
        <f aca="false">IF((E17="e"),G17," ")</f>
        <v> </v>
      </c>
      <c r="M17" s="334" t="str">
        <f aca="false">IF((E17="p"),G17," ")</f>
        <v> </v>
      </c>
      <c r="N17" s="334" t="str">
        <f aca="false">IF((E17="r"),G17," ")</f>
        <v> </v>
      </c>
      <c r="O17" s="334" t="str">
        <f aca="false">IF((E17="g"),G17," ")</f>
        <v> </v>
      </c>
      <c r="P17" s="334" t="str">
        <f aca="false">IF((E17="m"),G17," ")</f>
        <v> </v>
      </c>
      <c r="Q17" s="334" t="n">
        <f aca="false">IF((E17="t"),G17," ")</f>
        <v>48</v>
      </c>
      <c r="R17" s="334" t="str">
        <f aca="false">IF((E17="a"),G17," ")</f>
        <v> </v>
      </c>
      <c r="S17" s="334" t="str">
        <f aca="false">IF((E17="l"),G17," ")</f>
        <v> </v>
      </c>
      <c r="T17" s="334" t="str">
        <f aca="false">IF((E17="b"),G17," ")</f>
        <v> </v>
      </c>
      <c r="U17" s="334" t="str">
        <f aca="false">IF((E17="i"),G17," ")</f>
        <v> </v>
      </c>
      <c r="V17" s="334" t="str">
        <f aca="false">IF((E17="o"),G17," ")</f>
        <v> </v>
      </c>
      <c r="W17" s="334" t="str">
        <f aca="false">IF((E17="f"),G17," ")</f>
        <v> </v>
      </c>
    </row>
    <row r="18" customFormat="false" ht="12.75" hidden="false" customHeight="false" outlineLevel="0" collapsed="false">
      <c r="A18" s="355" t="n">
        <v>46063</v>
      </c>
      <c r="B18" s="363" t="s">
        <v>324</v>
      </c>
      <c r="E18" s="365" t="s">
        <v>313</v>
      </c>
      <c r="G18" s="366" t="n">
        <v>36</v>
      </c>
      <c r="H18" s="338" t="n">
        <f aca="false">IF((G18&lt;&gt;0),IF((D18&gt;0)," ",G18)," ")</f>
        <v>36</v>
      </c>
      <c r="I18" s="367" t="n">
        <f aca="false">IF((G18&lt;&gt;0),IF((D18&gt;0)," ",(I$1-A18))," ")</f>
        <v>75</v>
      </c>
      <c r="J18" s="334" t="str">
        <f aca="false">IF((E18="s"),G18," ")</f>
        <v> </v>
      </c>
      <c r="K18" s="334" t="str">
        <f aca="false">IF((E18="d"),G18," ")</f>
        <v> </v>
      </c>
      <c r="L18" s="334" t="str">
        <f aca="false">IF((E18="e"),G18," ")</f>
        <v> </v>
      </c>
      <c r="M18" s="334" t="str">
        <f aca="false">IF((E18="p"),G18," ")</f>
        <v> </v>
      </c>
      <c r="N18" s="334" t="str">
        <f aca="false">IF((E18="r"),G18," ")</f>
        <v> </v>
      </c>
      <c r="O18" s="334" t="str">
        <f aca="false">IF((E18="g"),G18," ")</f>
        <v> </v>
      </c>
      <c r="P18" s="334" t="str">
        <f aca="false">IF((E18="m"),G18," ")</f>
        <v> </v>
      </c>
      <c r="Q18" s="334" t="str">
        <f aca="false">IF((E18="t"),G18," ")</f>
        <v> </v>
      </c>
      <c r="R18" s="334" t="str">
        <f aca="false">IF((E18="a"),G18," ")</f>
        <v> </v>
      </c>
      <c r="S18" s="334" t="str">
        <f aca="false">IF((E18="l"),G18," ")</f>
        <v> </v>
      </c>
      <c r="T18" s="334" t="str">
        <f aca="false">IF((E18="b"),G18," ")</f>
        <v> </v>
      </c>
      <c r="U18" s="334" t="str">
        <f aca="false">IF((E18="i"),G18," ")</f>
        <v> </v>
      </c>
      <c r="V18" s="334" t="n">
        <f aca="false">IF((E18="o"),G18," ")</f>
        <v>36</v>
      </c>
      <c r="W18" s="334" t="str">
        <f aca="false">IF((E18="f"),G18," ")</f>
        <v> </v>
      </c>
    </row>
    <row r="19" customFormat="false" ht="12.75" hidden="false" customHeight="false" outlineLevel="0" collapsed="false">
      <c r="A19" s="355" t="n">
        <v>46065</v>
      </c>
      <c r="B19" s="363" t="s">
        <v>328</v>
      </c>
      <c r="E19" s="365" t="s">
        <v>291</v>
      </c>
      <c r="G19" s="366" t="n">
        <v>18</v>
      </c>
      <c r="H19" s="338" t="n">
        <f aca="false">IF((G19&lt;&gt;0),IF((D19&gt;0)," ",G19)," ")</f>
        <v>18</v>
      </c>
      <c r="I19" s="367" t="n">
        <f aca="false">IF((G19&lt;&gt;0),IF((D19&gt;0)," ",(I$1-A19))," ")</f>
        <v>73</v>
      </c>
      <c r="J19" s="334" t="str">
        <f aca="false">IF((E19="s"),G19," ")</f>
        <v> </v>
      </c>
      <c r="K19" s="334" t="str">
        <f aca="false">IF((E19="d"),G19," ")</f>
        <v> </v>
      </c>
      <c r="L19" s="334" t="str">
        <f aca="false">IF((E19="e"),G19," ")</f>
        <v> </v>
      </c>
      <c r="M19" s="334" t="str">
        <f aca="false">IF((E19="p"),G19," ")</f>
        <v> </v>
      </c>
      <c r="N19" s="334" t="str">
        <f aca="false">IF((E19="r"),G19," ")</f>
        <v> </v>
      </c>
      <c r="O19" s="334" t="str">
        <f aca="false">IF((E19="g"),G19," ")</f>
        <v> </v>
      </c>
      <c r="P19" s="334" t="n">
        <f aca="false">IF((E19="m"),G19," ")</f>
        <v>18</v>
      </c>
      <c r="Q19" s="334" t="str">
        <f aca="false">IF((E19="t"),G19," ")</f>
        <v> </v>
      </c>
      <c r="R19" s="334" t="str">
        <f aca="false">IF((E19="a"),G19," ")</f>
        <v> </v>
      </c>
      <c r="S19" s="334" t="str">
        <f aca="false">IF((E19="l"),G19," ")</f>
        <v> </v>
      </c>
      <c r="T19" s="334" t="str">
        <f aca="false">IF((E19="b"),G19," ")</f>
        <v> </v>
      </c>
      <c r="U19" s="334" t="str">
        <f aca="false">IF((E19="i"),G19," ")</f>
        <v> </v>
      </c>
      <c r="V19" s="334" t="str">
        <f aca="false">IF((E19="o"),G19," ")</f>
        <v> </v>
      </c>
      <c r="W19" s="334" t="str">
        <f aca="false">IF((E19="f"),G19," ")</f>
        <v> </v>
      </c>
    </row>
    <row r="20" customFormat="false" ht="12.75" hidden="false" customHeight="false" outlineLevel="0" collapsed="false">
      <c r="A20" s="355" t="n">
        <v>46065</v>
      </c>
      <c r="B20" s="363" t="s">
        <v>368</v>
      </c>
      <c r="E20" s="365" t="s">
        <v>313</v>
      </c>
      <c r="G20" s="366" t="n">
        <v>360</v>
      </c>
      <c r="H20" s="338" t="n">
        <f aca="false">IF((G20&lt;&gt;0),IF((D20&gt;0)," ",G20)," ")</f>
        <v>360</v>
      </c>
      <c r="I20" s="367" t="n">
        <f aca="false">IF((G20&lt;&gt;0),IF((D20&gt;0)," ",(I$1-A20))," ")</f>
        <v>73</v>
      </c>
      <c r="J20" s="334" t="str">
        <f aca="false">IF((E20="s"),G20," ")</f>
        <v> </v>
      </c>
      <c r="K20" s="334" t="str">
        <f aca="false">IF((E20="d"),G20," ")</f>
        <v> </v>
      </c>
      <c r="L20" s="334" t="str">
        <f aca="false">IF((E20="e"),G20," ")</f>
        <v> </v>
      </c>
      <c r="M20" s="334" t="str">
        <f aca="false">IF((E20="p"),G20," ")</f>
        <v> </v>
      </c>
      <c r="N20" s="334" t="str">
        <f aca="false">IF((E20="r"),G20," ")</f>
        <v> </v>
      </c>
      <c r="O20" s="334" t="str">
        <f aca="false">IF((E20="g"),G20," ")</f>
        <v> </v>
      </c>
      <c r="P20" s="334" t="str">
        <f aca="false">IF((E20="m"),G20," ")</f>
        <v> </v>
      </c>
      <c r="Q20" s="334" t="str">
        <f aca="false">IF((E20="t"),G20," ")</f>
        <v> </v>
      </c>
      <c r="R20" s="334" t="str">
        <f aca="false">IF((E20="a"),G20," ")</f>
        <v> </v>
      </c>
      <c r="S20" s="334" t="str">
        <f aca="false">IF((E20="l"),G20," ")</f>
        <v> </v>
      </c>
      <c r="T20" s="334" t="str">
        <f aca="false">IF((E20="b"),G20," ")</f>
        <v> </v>
      </c>
      <c r="U20" s="334" t="str">
        <f aca="false">IF((E20="i"),G20," ")</f>
        <v> </v>
      </c>
      <c r="V20" s="334" t="n">
        <f aca="false">IF((E20="o"),G20," ")</f>
        <v>360</v>
      </c>
      <c r="W20" s="334" t="str">
        <f aca="false">IF((E20="f"),G20," ")</f>
        <v> </v>
      </c>
    </row>
    <row r="21" customFormat="false" ht="12.75" hidden="false" customHeight="false" outlineLevel="0" collapsed="false">
      <c r="A21" s="355" t="n">
        <v>46067</v>
      </c>
      <c r="B21" s="363" t="s">
        <v>329</v>
      </c>
      <c r="E21" s="365" t="s">
        <v>313</v>
      </c>
      <c r="G21" s="366" t="n">
        <v>18</v>
      </c>
      <c r="H21" s="338" t="n">
        <f aca="false">IF((G21&lt;&gt;0),IF((D21&gt;0)," ",G21)," ")</f>
        <v>18</v>
      </c>
      <c r="I21" s="367" t="n">
        <f aca="false">IF((G21&lt;&gt;0),IF((D21&gt;0)," ",(I$1-A21))," ")</f>
        <v>71</v>
      </c>
      <c r="J21" s="334" t="str">
        <f aca="false">IF((E21="s"),G21," ")</f>
        <v> </v>
      </c>
      <c r="K21" s="334" t="str">
        <f aca="false">IF((E21="d"),G21," ")</f>
        <v> </v>
      </c>
      <c r="L21" s="334" t="str">
        <f aca="false">IF((E21="e"),G21," ")</f>
        <v> </v>
      </c>
      <c r="M21" s="334" t="str">
        <f aca="false">IF((E21="p"),G21," ")</f>
        <v> </v>
      </c>
      <c r="N21" s="334" t="str">
        <f aca="false">IF((E21="r"),G21," ")</f>
        <v> </v>
      </c>
      <c r="O21" s="334" t="str">
        <f aca="false">IF((E21="g"),G21," ")</f>
        <v> </v>
      </c>
      <c r="P21" s="334" t="str">
        <f aca="false">IF((E21="m"),G21," ")</f>
        <v> </v>
      </c>
      <c r="Q21" s="334" t="str">
        <f aca="false">IF((E21="t"),G21," ")</f>
        <v> </v>
      </c>
      <c r="R21" s="334" t="str">
        <f aca="false">IF((E21="a"),G21," ")</f>
        <v> </v>
      </c>
      <c r="S21" s="334" t="str">
        <f aca="false">IF((E21="l"),G21," ")</f>
        <v> </v>
      </c>
      <c r="T21" s="334" t="str">
        <f aca="false">IF((E21="b"),G21," ")</f>
        <v> </v>
      </c>
      <c r="U21" s="334" t="str">
        <f aca="false">IF((E21="i"),G21," ")</f>
        <v> </v>
      </c>
      <c r="V21" s="334" t="n">
        <f aca="false">IF((E21="o"),G21," ")</f>
        <v>18</v>
      </c>
      <c r="W21" s="334" t="str">
        <f aca="false">IF((E21="f"),G21," ")</f>
        <v> </v>
      </c>
    </row>
    <row r="22" customFormat="false" ht="12.75" hidden="false" customHeight="false" outlineLevel="0" collapsed="false">
      <c r="A22" s="355" t="n">
        <v>46067</v>
      </c>
      <c r="B22" s="363" t="s">
        <v>330</v>
      </c>
      <c r="E22" s="365" t="s">
        <v>323</v>
      </c>
      <c r="G22" s="366" t="n">
        <v>24</v>
      </c>
      <c r="H22" s="338" t="n">
        <f aca="false">IF((G22&lt;&gt;0),IF((D22&gt;0)," ",G22)," ")</f>
        <v>24</v>
      </c>
      <c r="I22" s="367" t="n">
        <f aca="false">IF((G22&lt;&gt;0),IF((D22&gt;0)," ",(I$1-A22))," ")</f>
        <v>71</v>
      </c>
      <c r="J22" s="334" t="str">
        <f aca="false">IF((E22="s"),G22," ")</f>
        <v> </v>
      </c>
      <c r="K22" s="334" t="str">
        <f aca="false">IF((E22="d"),G22," ")</f>
        <v> </v>
      </c>
      <c r="L22" s="334" t="str">
        <f aca="false">IF((E22="e"),G22," ")</f>
        <v> </v>
      </c>
      <c r="M22" s="334" t="str">
        <f aca="false">IF((E22="p"),G22," ")</f>
        <v> </v>
      </c>
      <c r="N22" s="334" t="str">
        <f aca="false">IF((E22="r"),G22," ")</f>
        <v> </v>
      </c>
      <c r="O22" s="334" t="str">
        <f aca="false">IF((E22="g"),G22," ")</f>
        <v> </v>
      </c>
      <c r="P22" s="334" t="str">
        <f aca="false">IF((E22="m"),G22," ")</f>
        <v> </v>
      </c>
      <c r="Q22" s="334" t="n">
        <f aca="false">IF((E22="t"),G22," ")</f>
        <v>24</v>
      </c>
      <c r="R22" s="334" t="str">
        <f aca="false">IF((E22="a"),G22," ")</f>
        <v> </v>
      </c>
      <c r="S22" s="334" t="str">
        <f aca="false">IF((E22="l"),G22," ")</f>
        <v> </v>
      </c>
      <c r="T22" s="334" t="str">
        <f aca="false">IF((E22="b"),G22," ")</f>
        <v> </v>
      </c>
      <c r="U22" s="334" t="str">
        <f aca="false">IF((E22="i"),G22," ")</f>
        <v> </v>
      </c>
      <c r="V22" s="334" t="str">
        <f aca="false">IF((E22="o"),G22," ")</f>
        <v> </v>
      </c>
      <c r="W22" s="334" t="str">
        <f aca="false">IF((E22="f"),G22," ")</f>
        <v> </v>
      </c>
    </row>
    <row r="23" customFormat="false" ht="12.75" hidden="false" customHeight="false" outlineLevel="0" collapsed="false">
      <c r="A23" s="355" t="n">
        <v>46067</v>
      </c>
      <c r="B23" s="363" t="s">
        <v>331</v>
      </c>
      <c r="E23" s="365" t="s">
        <v>323</v>
      </c>
      <c r="G23" s="366" t="n">
        <v>12</v>
      </c>
      <c r="H23" s="338" t="n">
        <f aca="false">IF((G23&lt;&gt;0),IF((D23&gt;0)," ",G23)," ")</f>
        <v>12</v>
      </c>
      <c r="I23" s="367" t="n">
        <f aca="false">IF((G23&lt;&gt;0),IF((D23&gt;0)," ",(I$1-A23))," ")</f>
        <v>71</v>
      </c>
      <c r="J23" s="334" t="str">
        <f aca="false">IF((E23="s"),G23," ")</f>
        <v> </v>
      </c>
      <c r="K23" s="334" t="str">
        <f aca="false">IF((E23="d"),G23," ")</f>
        <v> </v>
      </c>
      <c r="L23" s="334" t="str">
        <f aca="false">IF((E23="e"),G23," ")</f>
        <v> </v>
      </c>
      <c r="M23" s="334" t="str">
        <f aca="false">IF((E23="p"),G23," ")</f>
        <v> </v>
      </c>
      <c r="N23" s="334" t="str">
        <f aca="false">IF((E23="r"),G23," ")</f>
        <v> </v>
      </c>
      <c r="O23" s="334" t="str">
        <f aca="false">IF((E23="g"),G23," ")</f>
        <v> </v>
      </c>
      <c r="P23" s="334" t="str">
        <f aca="false">IF((E23="m"),G23," ")</f>
        <v> </v>
      </c>
      <c r="Q23" s="334" t="n">
        <f aca="false">IF((E23="t"),G23," ")</f>
        <v>12</v>
      </c>
      <c r="R23" s="334" t="str">
        <f aca="false">IF((E23="a"),G23," ")</f>
        <v> </v>
      </c>
      <c r="S23" s="334" t="str">
        <f aca="false">IF((E23="l"),G23," ")</f>
        <v> </v>
      </c>
      <c r="T23" s="334" t="str">
        <f aca="false">IF((E23="b"),G23," ")</f>
        <v> </v>
      </c>
      <c r="U23" s="334" t="str">
        <f aca="false">IF((E23="i"),G23," ")</f>
        <v> </v>
      </c>
      <c r="V23" s="334" t="str">
        <f aca="false">IF((E23="o"),G23," ")</f>
        <v> </v>
      </c>
      <c r="W23" s="334" t="str">
        <f aca="false">IF((E23="f"),G23," ")</f>
        <v> </v>
      </c>
    </row>
    <row r="24" customFormat="false" ht="12.75" hidden="false" customHeight="false" outlineLevel="0" collapsed="false">
      <c r="A24" s="355" t="n">
        <v>46068</v>
      </c>
      <c r="B24" s="363" t="s">
        <v>243</v>
      </c>
      <c r="E24" s="365" t="s">
        <v>291</v>
      </c>
      <c r="G24" s="366" t="n">
        <v>150</v>
      </c>
      <c r="H24" s="338" t="n">
        <f aca="false">IF((G24&lt;&gt;0),IF((D24&gt;0)," ",G24)," ")</f>
        <v>150</v>
      </c>
      <c r="I24" s="367" t="n">
        <f aca="false">IF((G24&lt;&gt;0),IF((D24&gt;0)," ",(I$1-A24))," ")</f>
        <v>70</v>
      </c>
      <c r="J24" s="334" t="str">
        <f aca="false">IF((E24="s"),G24," ")</f>
        <v> </v>
      </c>
      <c r="K24" s="334" t="str">
        <f aca="false">IF((E24="d"),G24," ")</f>
        <v> </v>
      </c>
      <c r="L24" s="334" t="str">
        <f aca="false">IF((E24="e"),G24," ")</f>
        <v> </v>
      </c>
      <c r="M24" s="334" t="str">
        <f aca="false">IF((E24="p"),G24," ")</f>
        <v> </v>
      </c>
      <c r="N24" s="334" t="str">
        <f aca="false">IF((E24="r"),G24," ")</f>
        <v> </v>
      </c>
      <c r="O24" s="334" t="str">
        <f aca="false">IF((E24="g"),G24," ")</f>
        <v> </v>
      </c>
      <c r="P24" s="334" t="n">
        <f aca="false">IF((E24="m"),G24," ")</f>
        <v>150</v>
      </c>
      <c r="Q24" s="334" t="str">
        <f aca="false">IF((E24="t"),G24," ")</f>
        <v> </v>
      </c>
      <c r="R24" s="334" t="str">
        <f aca="false">IF((E24="a"),G24," ")</f>
        <v> </v>
      </c>
      <c r="S24" s="334" t="str">
        <f aca="false">IF((E24="l"),G24," ")</f>
        <v> </v>
      </c>
      <c r="T24" s="334" t="str">
        <f aca="false">IF((E24="b"),G24," ")</f>
        <v> </v>
      </c>
      <c r="U24" s="334" t="str">
        <f aca="false">IF((E24="i"),G24," ")</f>
        <v> </v>
      </c>
      <c r="V24" s="334" t="str">
        <f aca="false">IF((E24="o"),G24," ")</f>
        <v> </v>
      </c>
      <c r="W24" s="334" t="str">
        <f aca="false">IF((E24="f"),G24," ")</f>
        <v> </v>
      </c>
    </row>
    <row r="25" customFormat="false" ht="12.75" hidden="false" customHeight="false" outlineLevel="0" collapsed="false">
      <c r="A25" s="355" t="n">
        <v>46068</v>
      </c>
      <c r="B25" s="363" t="s">
        <v>332</v>
      </c>
      <c r="E25" s="365" t="s">
        <v>310</v>
      </c>
      <c r="G25" s="366" t="n">
        <v>12</v>
      </c>
      <c r="H25" s="338" t="n">
        <f aca="false">IF((G25&lt;&gt;0),IF((D25&gt;0)," ",G25)," ")</f>
        <v>12</v>
      </c>
      <c r="I25" s="367" t="n">
        <f aca="false">IF((G25&lt;&gt;0),IF((D25&gt;0)," ",(I$1-A25))," ")</f>
        <v>70</v>
      </c>
      <c r="J25" s="334" t="str">
        <f aca="false">IF((E25="s"),G25," ")</f>
        <v> </v>
      </c>
      <c r="K25" s="334" t="str">
        <f aca="false">IF((E25="d"),G25," ")</f>
        <v> </v>
      </c>
      <c r="L25" s="334" t="str">
        <f aca="false">IF((E25="e"),G25," ")</f>
        <v> </v>
      </c>
      <c r="M25" s="334" t="str">
        <f aca="false">IF((E25="p"),G25," ")</f>
        <v> </v>
      </c>
      <c r="N25" s="334" t="str">
        <f aca="false">IF((E25="r"),G25," ")</f>
        <v> </v>
      </c>
      <c r="O25" s="334" t="n">
        <f aca="false">IF((E25="g"),G25," ")</f>
        <v>12</v>
      </c>
      <c r="P25" s="334" t="str">
        <f aca="false">IF((E25="m"),G25," ")</f>
        <v> </v>
      </c>
      <c r="Q25" s="334" t="str">
        <f aca="false">IF((E25="t"),G25," ")</f>
        <v> </v>
      </c>
      <c r="R25" s="334" t="str">
        <f aca="false">IF((E25="a"),G25," ")</f>
        <v> </v>
      </c>
      <c r="S25" s="334" t="str">
        <f aca="false">IF((E25="l"),G25," ")</f>
        <v> </v>
      </c>
      <c r="T25" s="334" t="str">
        <f aca="false">IF((E25="b"),G25," ")</f>
        <v> </v>
      </c>
      <c r="U25" s="334" t="str">
        <f aca="false">IF((E25="i"),G25," ")</f>
        <v> </v>
      </c>
      <c r="V25" s="334" t="str">
        <f aca="false">IF((E25="o"),G25," ")</f>
        <v> </v>
      </c>
      <c r="W25" s="334" t="str">
        <f aca="false">IF((E25="f"),G25," ")</f>
        <v> </v>
      </c>
    </row>
    <row r="26" customFormat="false" ht="12.75" hidden="false" customHeight="false" outlineLevel="0" collapsed="false">
      <c r="A26" s="355" t="n">
        <v>46068</v>
      </c>
      <c r="B26" s="363" t="s">
        <v>349</v>
      </c>
      <c r="E26" s="365" t="s">
        <v>327</v>
      </c>
      <c r="G26" s="366" t="n">
        <v>420</v>
      </c>
      <c r="H26" s="338" t="n">
        <f aca="false">IF((G26&lt;&gt;0),IF((D26&gt;0)," ",G26)," ")</f>
        <v>420</v>
      </c>
      <c r="I26" s="367" t="n">
        <f aca="false">IF((G26&lt;&gt;0),IF((D26&gt;0)," ",(I$1-A26))," ")</f>
        <v>70</v>
      </c>
      <c r="J26" s="334" t="n">
        <f aca="false">IF((E26="s"),G26," ")</f>
        <v>420</v>
      </c>
      <c r="K26" s="334" t="str">
        <f aca="false">IF((E26="d"),G26," ")</f>
        <v> </v>
      </c>
      <c r="L26" s="334" t="str">
        <f aca="false">IF((E26="e"),G26," ")</f>
        <v> </v>
      </c>
      <c r="M26" s="334" t="str">
        <f aca="false">IF((E26="p"),G26," ")</f>
        <v> </v>
      </c>
      <c r="N26" s="334" t="str">
        <f aca="false">IF((E26="r"),G26," ")</f>
        <v> </v>
      </c>
      <c r="O26" s="334" t="str">
        <f aca="false">IF((E26="g"),G26," ")</f>
        <v> </v>
      </c>
      <c r="P26" s="334" t="str">
        <f aca="false">IF((E26="m"),G26," ")</f>
        <v> </v>
      </c>
      <c r="Q26" s="334" t="str">
        <f aca="false">IF((E26="t"),G26," ")</f>
        <v> </v>
      </c>
      <c r="R26" s="334" t="str">
        <f aca="false">IF((E26="a"),G26," ")</f>
        <v> </v>
      </c>
      <c r="S26" s="334" t="str">
        <f aca="false">IF((E26="l"),G26," ")</f>
        <v> </v>
      </c>
      <c r="T26" s="334" t="str">
        <f aca="false">IF((E26="b"),G26," ")</f>
        <v> </v>
      </c>
      <c r="U26" s="334" t="str">
        <f aca="false">IF((E26="i"),G26," ")</f>
        <v> </v>
      </c>
      <c r="V26" s="334" t="str">
        <f aca="false">IF((E26="o"),G26," ")</f>
        <v> </v>
      </c>
      <c r="W26" s="334" t="str">
        <f aca="false">IF((E26="f"),G26," ")</f>
        <v> </v>
      </c>
    </row>
    <row r="27" customFormat="false" ht="12.75" hidden="false" customHeight="false" outlineLevel="0" collapsed="false">
      <c r="A27" s="355" t="n">
        <v>46071</v>
      </c>
      <c r="B27" s="363" t="s">
        <v>372</v>
      </c>
      <c r="E27" s="365" t="s">
        <v>335</v>
      </c>
      <c r="G27" s="366" t="n">
        <v>360</v>
      </c>
      <c r="H27" s="338" t="n">
        <f aca="false">IF((G27&lt;&gt;0),IF((D27&gt;0)," ",G27)," ")</f>
        <v>360</v>
      </c>
      <c r="I27" s="367" t="n">
        <f aca="false">IF((G27&lt;&gt;0),IF((D27&gt;0)," ",(I$1-A27))," ")</f>
        <v>67</v>
      </c>
      <c r="J27" s="334" t="str">
        <f aca="false">IF((E27="s"),G27," ")</f>
        <v> </v>
      </c>
      <c r="K27" s="334" t="str">
        <f aca="false">IF((E27="d"),G27," ")</f>
        <v> </v>
      </c>
      <c r="L27" s="334" t="str">
        <f aca="false">IF((E27="e"),G27," ")</f>
        <v> </v>
      </c>
      <c r="M27" s="334" t="str">
        <f aca="false">IF((E27="p"),G27," ")</f>
        <v> </v>
      </c>
      <c r="N27" s="334" t="n">
        <f aca="false">IF((E27="r"),G27," ")</f>
        <v>360</v>
      </c>
      <c r="O27" s="334" t="str">
        <f aca="false">IF((E27="g"),G27," ")</f>
        <v> </v>
      </c>
      <c r="P27" s="334" t="str">
        <f aca="false">IF((E27="m"),G27," ")</f>
        <v> </v>
      </c>
      <c r="Q27" s="334" t="str">
        <f aca="false">IF((E27="t"),G27," ")</f>
        <v> </v>
      </c>
      <c r="R27" s="334" t="str">
        <f aca="false">IF((E27="a"),G27," ")</f>
        <v> </v>
      </c>
      <c r="S27" s="334" t="str">
        <f aca="false">IF((E27="l"),G27," ")</f>
        <v> </v>
      </c>
      <c r="T27" s="334" t="str">
        <f aca="false">IF((E27="b"),G27," ")</f>
        <v> </v>
      </c>
      <c r="U27" s="334" t="str">
        <f aca="false">IF((E27="i"),G27," ")</f>
        <v> </v>
      </c>
      <c r="V27" s="334" t="str">
        <f aca="false">IF((E27="o"),G27," ")</f>
        <v> </v>
      </c>
      <c r="W27" s="334" t="str">
        <f aca="false">IF((E27="f"),G27," ")</f>
        <v> </v>
      </c>
    </row>
    <row r="28" customFormat="false" ht="12.75" hidden="false" customHeight="false" outlineLevel="0" collapsed="false">
      <c r="A28" s="355" t="n">
        <v>46071</v>
      </c>
      <c r="B28" s="363" t="s">
        <v>360</v>
      </c>
      <c r="E28" s="365" t="s">
        <v>323</v>
      </c>
      <c r="G28" s="366" t="n">
        <v>240</v>
      </c>
      <c r="H28" s="338" t="n">
        <f aca="false">IF((G28&lt;&gt;0),IF((D28&gt;0)," ",G28)," ")</f>
        <v>240</v>
      </c>
      <c r="I28" s="367" t="n">
        <f aca="false">IF((G28&lt;&gt;0),IF((D28&gt;0)," ",(I$1-A28))," ")</f>
        <v>67</v>
      </c>
      <c r="J28" s="334" t="str">
        <f aca="false">IF((E28="s"),G28," ")</f>
        <v> </v>
      </c>
      <c r="K28" s="334" t="str">
        <f aca="false">IF((E28="d"),G28," ")</f>
        <v> </v>
      </c>
      <c r="L28" s="334" t="str">
        <f aca="false">IF((E28="e"),G28," ")</f>
        <v> </v>
      </c>
      <c r="M28" s="334" t="str">
        <f aca="false">IF((E28="p"),G28," ")</f>
        <v> </v>
      </c>
      <c r="N28" s="334" t="str">
        <f aca="false">IF((E28="r"),G28," ")</f>
        <v> </v>
      </c>
      <c r="O28" s="334" t="str">
        <f aca="false">IF((E28="g"),G28," ")</f>
        <v> </v>
      </c>
      <c r="P28" s="334" t="str">
        <f aca="false">IF((E28="m"),G28," ")</f>
        <v> </v>
      </c>
      <c r="Q28" s="334" t="n">
        <f aca="false">IF((E28="t"),G28," ")</f>
        <v>240</v>
      </c>
      <c r="R28" s="334" t="str">
        <f aca="false">IF((E28="a"),G28," ")</f>
        <v> </v>
      </c>
      <c r="S28" s="334" t="str">
        <f aca="false">IF((E28="l"),G28," ")</f>
        <v> </v>
      </c>
      <c r="T28" s="334" t="str">
        <f aca="false">IF((E28="b"),G28," ")</f>
        <v> </v>
      </c>
      <c r="U28" s="334" t="str">
        <f aca="false">IF((E28="i"),G28," ")</f>
        <v> </v>
      </c>
      <c r="V28" s="334" t="str">
        <f aca="false">IF((E28="o"),G28," ")</f>
        <v> </v>
      </c>
      <c r="W28" s="334" t="str">
        <f aca="false">IF((E28="f"),G28," ")</f>
        <v> </v>
      </c>
    </row>
    <row r="29" customFormat="false" ht="12.75" hidden="false" customHeight="false" outlineLevel="0" collapsed="false">
      <c r="A29" s="355" t="n">
        <v>46071</v>
      </c>
      <c r="B29" s="363" t="s">
        <v>333</v>
      </c>
      <c r="E29" s="365" t="s">
        <v>291</v>
      </c>
      <c r="G29" s="366" t="n">
        <v>96</v>
      </c>
      <c r="H29" s="338" t="n">
        <f aca="false">IF((G29&lt;&gt;0),IF((D29&gt;0)," ",G29)," ")</f>
        <v>96</v>
      </c>
      <c r="I29" s="367" t="n">
        <f aca="false">IF((G29&lt;&gt;0),IF((D29&gt;0)," ",(I$1-A29))," ")</f>
        <v>67</v>
      </c>
      <c r="J29" s="334" t="str">
        <f aca="false">IF((E29="s"),G29," ")</f>
        <v> </v>
      </c>
      <c r="K29" s="334" t="str">
        <f aca="false">IF((E29="d"),G29," ")</f>
        <v> </v>
      </c>
      <c r="L29" s="334" t="str">
        <f aca="false">IF((E29="e"),G29," ")</f>
        <v> </v>
      </c>
      <c r="M29" s="334" t="str">
        <f aca="false">IF((E29="p"),G29," ")</f>
        <v> </v>
      </c>
      <c r="N29" s="334" t="str">
        <f aca="false">IF((E29="r"),G29," ")</f>
        <v> </v>
      </c>
      <c r="O29" s="334" t="str">
        <f aca="false">IF((E29="g"),G29," ")</f>
        <v> </v>
      </c>
      <c r="P29" s="334" t="n">
        <f aca="false">IF((E29="m"),G29," ")</f>
        <v>96</v>
      </c>
      <c r="Q29" s="334" t="str">
        <f aca="false">IF((E29="t"),G29," ")</f>
        <v> </v>
      </c>
      <c r="R29" s="334" t="str">
        <f aca="false">IF((E29="a"),G29," ")</f>
        <v> </v>
      </c>
      <c r="S29" s="334" t="str">
        <f aca="false">IF((E29="l"),G29," ")</f>
        <v> </v>
      </c>
      <c r="T29" s="334" t="str">
        <f aca="false">IF((E29="b"),G29," ")</f>
        <v> </v>
      </c>
      <c r="U29" s="334" t="str">
        <f aca="false">IF((E29="i"),G29," ")</f>
        <v> </v>
      </c>
      <c r="V29" s="334" t="str">
        <f aca="false">IF((E29="o"),G29," ")</f>
        <v> </v>
      </c>
      <c r="W29" s="334" t="str">
        <f aca="false">IF((E29="f"),G29," ")</f>
        <v> </v>
      </c>
    </row>
    <row r="30" customFormat="false" ht="12.75" hidden="false" customHeight="false" outlineLevel="0" collapsed="false">
      <c r="A30" s="355" t="n">
        <v>46073</v>
      </c>
      <c r="B30" s="363" t="s">
        <v>242</v>
      </c>
      <c r="E30" s="365" t="s">
        <v>310</v>
      </c>
      <c r="G30" s="366" t="n">
        <v>60</v>
      </c>
      <c r="H30" s="338" t="n">
        <f aca="false">IF((G30&lt;&gt;0),IF((D30&gt;0)," ",G30)," ")</f>
        <v>60</v>
      </c>
      <c r="I30" s="367" t="n">
        <f aca="false">IF((G30&lt;&gt;0),IF((D30&gt;0)," ",(I$1-A30))," ")</f>
        <v>65</v>
      </c>
      <c r="J30" s="334" t="str">
        <f aca="false">IF((E30="s"),G30," ")</f>
        <v> </v>
      </c>
      <c r="K30" s="334" t="str">
        <f aca="false">IF((E30="d"),G30," ")</f>
        <v> </v>
      </c>
      <c r="L30" s="334" t="str">
        <f aca="false">IF((E30="e"),G30," ")</f>
        <v> </v>
      </c>
      <c r="M30" s="334" t="str">
        <f aca="false">IF((E30="p"),G30," ")</f>
        <v> </v>
      </c>
      <c r="N30" s="334" t="str">
        <f aca="false">IF((E30="r"),G30," ")</f>
        <v> </v>
      </c>
      <c r="O30" s="334" t="n">
        <f aca="false">IF((E30="g"),G30," ")</f>
        <v>60</v>
      </c>
      <c r="P30" s="334" t="str">
        <f aca="false">IF((E30="m"),G30," ")</f>
        <v> </v>
      </c>
      <c r="Q30" s="334" t="str">
        <f aca="false">IF((E30="t"),G30," ")</f>
        <v> </v>
      </c>
      <c r="R30" s="334" t="str">
        <f aca="false">IF((E30="a"),G30," ")</f>
        <v> </v>
      </c>
      <c r="S30" s="334" t="str">
        <f aca="false">IF((E30="l"),G30," ")</f>
        <v> </v>
      </c>
      <c r="T30" s="334" t="str">
        <f aca="false">IF((E30="b"),G30," ")</f>
        <v> </v>
      </c>
      <c r="U30" s="334" t="str">
        <f aca="false">IF((E30="i"),G30," ")</f>
        <v> </v>
      </c>
      <c r="V30" s="334" t="str">
        <f aca="false">IF((E30="o"),G30," ")</f>
        <v> </v>
      </c>
      <c r="W30" s="334" t="str">
        <f aca="false">IF((E30="f"),G30," ")</f>
        <v> </v>
      </c>
    </row>
    <row r="31" customFormat="false" ht="12.75" hidden="false" customHeight="false" outlineLevel="0" collapsed="false">
      <c r="A31" s="355" t="n">
        <v>46073</v>
      </c>
      <c r="B31" s="363" t="s">
        <v>354</v>
      </c>
      <c r="E31" s="365" t="s">
        <v>327</v>
      </c>
      <c r="G31" s="366" t="n">
        <v>240</v>
      </c>
      <c r="H31" s="338" t="n">
        <f aca="false">IF((G31&lt;&gt;0),IF((D31&gt;0)," ",G31)," ")</f>
        <v>240</v>
      </c>
      <c r="I31" s="367" t="n">
        <f aca="false">IF((G31&lt;&gt;0),IF((D31&gt;0)," ",(I$1-A31))," ")</f>
        <v>65</v>
      </c>
      <c r="J31" s="334" t="n">
        <f aca="false">IF((E31="s"),G31," ")</f>
        <v>240</v>
      </c>
      <c r="K31" s="334" t="str">
        <f aca="false">IF((E31="d"),G31," ")</f>
        <v> </v>
      </c>
      <c r="L31" s="334" t="str">
        <f aca="false">IF((E31="e"),G31," ")</f>
        <v> </v>
      </c>
      <c r="M31" s="334" t="str">
        <f aca="false">IF((E31="p"),G31," ")</f>
        <v> </v>
      </c>
      <c r="N31" s="334" t="str">
        <f aca="false">IF((E31="r"),G31," ")</f>
        <v> </v>
      </c>
      <c r="O31" s="334" t="str">
        <f aca="false">IF((E31="g"),G31," ")</f>
        <v> </v>
      </c>
      <c r="P31" s="334" t="str">
        <f aca="false">IF((E31="m"),G31," ")</f>
        <v> </v>
      </c>
      <c r="Q31" s="334" t="str">
        <f aca="false">IF((E31="t"),G31," ")</f>
        <v> </v>
      </c>
      <c r="R31" s="334" t="str">
        <f aca="false">IF((E31="a"),G31," ")</f>
        <v> </v>
      </c>
      <c r="S31" s="334" t="str">
        <f aca="false">IF((E31="l"),G31," ")</f>
        <v> </v>
      </c>
      <c r="T31" s="334" t="str">
        <f aca="false">IF((E31="b"),G31," ")</f>
        <v> </v>
      </c>
      <c r="U31" s="334" t="str">
        <f aca="false">IF((E31="i"),G31," ")</f>
        <v> </v>
      </c>
      <c r="V31" s="334" t="str">
        <f aca="false">IF((E31="o"),G31," ")</f>
        <v> </v>
      </c>
      <c r="W31" s="334" t="str">
        <f aca="false">IF((E31="f"),G31," ")</f>
        <v> </v>
      </c>
    </row>
    <row r="32" customFormat="false" ht="12.75" hidden="false" customHeight="false" outlineLevel="0" collapsed="false">
      <c r="A32" s="355" t="n">
        <v>46074</v>
      </c>
      <c r="B32" s="363" t="s">
        <v>336</v>
      </c>
      <c r="E32" s="365" t="s">
        <v>323</v>
      </c>
      <c r="G32" s="366" t="n">
        <v>8</v>
      </c>
      <c r="H32" s="338" t="n">
        <f aca="false">IF((G32&lt;&gt;0),IF((D32&gt;0)," ",G32)," ")</f>
        <v>8</v>
      </c>
      <c r="I32" s="367" t="n">
        <f aca="false">IF((G32&lt;&gt;0),IF((D32&gt;0)," ",(I$1-A32))," ")</f>
        <v>64</v>
      </c>
      <c r="J32" s="334" t="str">
        <f aca="false">IF((E32="s"),G32," ")</f>
        <v> </v>
      </c>
      <c r="K32" s="334" t="str">
        <f aca="false">IF((E32="d"),G32," ")</f>
        <v> </v>
      </c>
      <c r="L32" s="334" t="str">
        <f aca="false">IF((E32="e"),G32," ")</f>
        <v> </v>
      </c>
      <c r="M32" s="334" t="str">
        <f aca="false">IF((E32="p"),G32," ")</f>
        <v> </v>
      </c>
      <c r="N32" s="334" t="str">
        <f aca="false">IF((E32="r"),G32," ")</f>
        <v> </v>
      </c>
      <c r="O32" s="334" t="str">
        <f aca="false">IF((E32="g"),G32," ")</f>
        <v> </v>
      </c>
      <c r="P32" s="334" t="str">
        <f aca="false">IF((E32="m"),G32," ")</f>
        <v> </v>
      </c>
      <c r="Q32" s="334" t="n">
        <f aca="false">IF((E32="t"),G32," ")</f>
        <v>8</v>
      </c>
      <c r="R32" s="334" t="str">
        <f aca="false">IF((E32="a"),G32," ")</f>
        <v> </v>
      </c>
      <c r="S32" s="334" t="str">
        <f aca="false">IF((E32="l"),G32," ")</f>
        <v> </v>
      </c>
      <c r="T32" s="334" t="str">
        <f aca="false">IF((E32="b"),G32," ")</f>
        <v> </v>
      </c>
      <c r="U32" s="334" t="str">
        <f aca="false">IF((E32="i"),G32," ")</f>
        <v> </v>
      </c>
      <c r="V32" s="334" t="str">
        <f aca="false">IF((E32="o"),G32," ")</f>
        <v> </v>
      </c>
      <c r="W32" s="334" t="str">
        <f aca="false">IF((E32="f"),G32," ")</f>
        <v> </v>
      </c>
    </row>
    <row r="33" customFormat="false" ht="12.75" hidden="false" customHeight="false" outlineLevel="0" collapsed="false">
      <c r="A33" s="355" t="n">
        <v>46075</v>
      </c>
      <c r="B33" s="363" t="s">
        <v>337</v>
      </c>
      <c r="E33" s="365" t="s">
        <v>313</v>
      </c>
      <c r="G33" s="366" t="n">
        <v>18</v>
      </c>
      <c r="H33" s="338" t="n">
        <f aca="false">IF((G33&lt;&gt;0),IF((D33&gt;0)," ",G33)," ")</f>
        <v>18</v>
      </c>
      <c r="I33" s="367" t="n">
        <f aca="false">IF((G33&lt;&gt;0),IF((D33&gt;0)," ",(I$1-A33))," ")</f>
        <v>63</v>
      </c>
      <c r="J33" s="334" t="str">
        <f aca="false">IF((E33="s"),G33," ")</f>
        <v> </v>
      </c>
      <c r="K33" s="334" t="str">
        <f aca="false">IF((E33="d"),G33," ")</f>
        <v> </v>
      </c>
      <c r="L33" s="334" t="str">
        <f aca="false">IF((E33="e"),G33," ")</f>
        <v> </v>
      </c>
      <c r="M33" s="334" t="str">
        <f aca="false">IF((E33="p"),G33," ")</f>
        <v> </v>
      </c>
      <c r="N33" s="334" t="str">
        <f aca="false">IF((E33="r"),G33," ")</f>
        <v> </v>
      </c>
      <c r="O33" s="334" t="str">
        <f aca="false">IF((E33="g"),G33," ")</f>
        <v> </v>
      </c>
      <c r="P33" s="334" t="str">
        <f aca="false">IF((E33="m"),G33," ")</f>
        <v> </v>
      </c>
      <c r="Q33" s="334" t="str">
        <f aca="false">IF((E33="t"),G33," ")</f>
        <v> </v>
      </c>
      <c r="R33" s="334" t="str">
        <f aca="false">IF((E33="a"),G33," ")</f>
        <v> </v>
      </c>
      <c r="S33" s="334" t="str">
        <f aca="false">IF((E33="l"),G33," ")</f>
        <v> </v>
      </c>
      <c r="T33" s="334" t="str">
        <f aca="false">IF((E33="b"),G33," ")</f>
        <v> </v>
      </c>
      <c r="U33" s="334" t="str">
        <f aca="false">IF((E33="i"),G33," ")</f>
        <v> </v>
      </c>
      <c r="V33" s="334" t="n">
        <f aca="false">IF((E33="o"),G33," ")</f>
        <v>18</v>
      </c>
      <c r="W33" s="334" t="str">
        <f aca="false">IF((E33="f"),G33," ")</f>
        <v> </v>
      </c>
    </row>
    <row r="34" customFormat="false" ht="12.75" hidden="false" customHeight="false" outlineLevel="0" collapsed="false">
      <c r="A34" s="355" t="n">
        <v>46078</v>
      </c>
      <c r="B34" s="363" t="s">
        <v>338</v>
      </c>
      <c r="E34" s="365" t="s">
        <v>313</v>
      </c>
      <c r="G34" s="366" t="n">
        <v>15</v>
      </c>
      <c r="H34" s="338" t="n">
        <f aca="false">IF((G34&lt;&gt;0),IF((D34&gt;0)," ",G34)," ")</f>
        <v>15</v>
      </c>
      <c r="I34" s="367" t="n">
        <f aca="false">IF((G34&lt;&gt;0),IF((D34&gt;0)," ",(I$1-A34))," ")</f>
        <v>60</v>
      </c>
      <c r="J34" s="334" t="str">
        <f aca="false">IF((E34="s"),G34," ")</f>
        <v> </v>
      </c>
      <c r="K34" s="334" t="str">
        <f aca="false">IF((E34="d"),G34," ")</f>
        <v> </v>
      </c>
      <c r="L34" s="334" t="str">
        <f aca="false">IF((E34="e"),G34," ")</f>
        <v> </v>
      </c>
      <c r="M34" s="334" t="str">
        <f aca="false">IF((E34="p"),G34," ")</f>
        <v> </v>
      </c>
      <c r="N34" s="334" t="str">
        <f aca="false">IF((E34="r"),G34," ")</f>
        <v> </v>
      </c>
      <c r="O34" s="334" t="str">
        <f aca="false">IF((E34="g"),G34," ")</f>
        <v> </v>
      </c>
      <c r="P34" s="334" t="str">
        <f aca="false">IF((E34="m"),G34," ")</f>
        <v> </v>
      </c>
      <c r="Q34" s="334" t="str">
        <f aca="false">IF((E34="t"),G34," ")</f>
        <v> </v>
      </c>
      <c r="R34" s="334" t="str">
        <f aca="false">IF((E34="a"),G34," ")</f>
        <v> </v>
      </c>
      <c r="S34" s="334" t="str">
        <f aca="false">IF((E34="l"),G34," ")</f>
        <v> </v>
      </c>
      <c r="T34" s="334" t="str">
        <f aca="false">IF((E34="b"),G34," ")</f>
        <v> </v>
      </c>
      <c r="U34" s="334" t="str">
        <f aca="false">IF((E34="i"),G34," ")</f>
        <v> </v>
      </c>
      <c r="V34" s="334" t="n">
        <f aca="false">IF((E34="o"),G34," ")</f>
        <v>15</v>
      </c>
      <c r="W34" s="334" t="str">
        <f aca="false">IF((E34="f"),G34," ")</f>
        <v> </v>
      </c>
    </row>
    <row r="35" customFormat="false" ht="12.75" hidden="false" customHeight="false" outlineLevel="0" collapsed="false">
      <c r="A35" s="355" t="n">
        <v>46078</v>
      </c>
      <c r="B35" s="363" t="s">
        <v>339</v>
      </c>
      <c r="E35" s="365" t="s">
        <v>291</v>
      </c>
      <c r="G35" s="366" t="n">
        <v>31.5</v>
      </c>
      <c r="H35" s="338" t="n">
        <f aca="false">IF((G35&lt;&gt;0),IF((D35&gt;0)," ",G35)," ")</f>
        <v>31.5</v>
      </c>
      <c r="I35" s="367" t="n">
        <f aca="false">IF((G35&lt;&gt;0),IF((D35&gt;0)," ",(I$1-A35))," ")</f>
        <v>60</v>
      </c>
      <c r="J35" s="334" t="str">
        <f aca="false">IF((E35="s"),G35," ")</f>
        <v> </v>
      </c>
      <c r="K35" s="334" t="str">
        <f aca="false">IF((E35="d"),G35," ")</f>
        <v> </v>
      </c>
      <c r="L35" s="334" t="str">
        <f aca="false">IF((E35="e"),G35," ")</f>
        <v> </v>
      </c>
      <c r="M35" s="334" t="str">
        <f aca="false">IF((E35="p"),G35," ")</f>
        <v> </v>
      </c>
      <c r="N35" s="334" t="str">
        <f aca="false">IF((E35="r"),G35," ")</f>
        <v> </v>
      </c>
      <c r="O35" s="334" t="str">
        <f aca="false">IF((E35="g"),G35," ")</f>
        <v> </v>
      </c>
      <c r="P35" s="334" t="n">
        <f aca="false">IF((E35="m"),G35," ")</f>
        <v>31.5</v>
      </c>
      <c r="Q35" s="334" t="str">
        <f aca="false">IF((E35="t"),G35," ")</f>
        <v> </v>
      </c>
      <c r="R35" s="334" t="str">
        <f aca="false">IF((E35="a"),G35," ")</f>
        <v> </v>
      </c>
      <c r="S35" s="334" t="str">
        <f aca="false">IF((E35="l"),G35," ")</f>
        <v> </v>
      </c>
      <c r="T35" s="334" t="str">
        <f aca="false">IF((E35="b"),G35," ")</f>
        <v> </v>
      </c>
      <c r="U35" s="334" t="str">
        <f aca="false">IF((E35="i"),G35," ")</f>
        <v> </v>
      </c>
      <c r="V35" s="334" t="str">
        <f aca="false">IF((E35="o"),G35," ")</f>
        <v> </v>
      </c>
      <c r="W35" s="334" t="str">
        <f aca="false">IF((E35="f"),G35," ")</f>
        <v> </v>
      </c>
    </row>
    <row r="36" customFormat="false" ht="12.75" hidden="false" customHeight="false" outlineLevel="0" collapsed="false">
      <c r="A36" s="355" t="n">
        <v>46081</v>
      </c>
      <c r="B36" s="363" t="s">
        <v>240</v>
      </c>
      <c r="E36" s="365" t="s">
        <v>340</v>
      </c>
      <c r="G36" s="366" t="n">
        <v>300</v>
      </c>
      <c r="H36" s="338" t="n">
        <f aca="false">IF((G36&lt;&gt;0),IF((D36&gt;0)," ",G36)," ")</f>
        <v>300</v>
      </c>
      <c r="I36" s="367" t="n">
        <f aca="false">IF((G36&lt;&gt;0),IF((D36&gt;0)," ",(I$1-A36))," ")</f>
        <v>57</v>
      </c>
      <c r="J36" s="334" t="str">
        <f aca="false">IF((E36="s"),G36," ")</f>
        <v> </v>
      </c>
      <c r="K36" s="334" t="str">
        <f aca="false">IF((E36="d"),G36," ")</f>
        <v> </v>
      </c>
      <c r="L36" s="334" t="str">
        <f aca="false">IF((E36="e"),G36," ")</f>
        <v> </v>
      </c>
      <c r="M36" s="334" t="str">
        <f aca="false">IF((E36="p"),G36," ")</f>
        <v> </v>
      </c>
      <c r="N36" s="334" t="str">
        <f aca="false">IF((E36="r"),G36," ")</f>
        <v> </v>
      </c>
      <c r="O36" s="334" t="str">
        <f aca="false">IF((E36="g"),G36," ")</f>
        <v> </v>
      </c>
      <c r="P36" s="334" t="str">
        <f aca="false">IF((E36="m"),G36," ")</f>
        <v> </v>
      </c>
      <c r="Q36" s="334" t="str">
        <f aca="false">IF((E36="t"),G36," ")</f>
        <v> </v>
      </c>
      <c r="R36" s="334" t="str">
        <f aca="false">IF((E36="a"),G36," ")</f>
        <v> </v>
      </c>
      <c r="S36" s="334" t="n">
        <f aca="false">IF((E36="l"),G36," ")</f>
        <v>300</v>
      </c>
      <c r="T36" s="334" t="str">
        <f aca="false">IF((E36="b"),G36," ")</f>
        <v> </v>
      </c>
      <c r="U36" s="334" t="str">
        <f aca="false">IF((E36="i"),G36," ")</f>
        <v> </v>
      </c>
      <c r="V36" s="334" t="str">
        <f aca="false">IF((E36="o"),G36," ")</f>
        <v> </v>
      </c>
      <c r="W36" s="334" t="str">
        <f aca="false">IF((E36="f"),G36," ")</f>
        <v> </v>
      </c>
    </row>
    <row r="37" customFormat="false" ht="12.75" hidden="false" customHeight="false" outlineLevel="0" collapsed="false">
      <c r="A37" s="355" t="n">
        <v>46081</v>
      </c>
      <c r="B37" s="363" t="s">
        <v>243</v>
      </c>
      <c r="E37" s="365" t="s">
        <v>291</v>
      </c>
      <c r="G37" s="366" t="n">
        <v>120</v>
      </c>
      <c r="H37" s="338" t="n">
        <f aca="false">IF((G37&lt;&gt;0),IF((D37&gt;0)," ",G37)," ")</f>
        <v>120</v>
      </c>
      <c r="I37" s="367" t="n">
        <f aca="false">IF((G37&lt;&gt;0),IF((D37&gt;0)," ",(I$1-A37))," ")</f>
        <v>57</v>
      </c>
      <c r="J37" s="334" t="str">
        <f aca="false">IF((E37="s"),G37," ")</f>
        <v> </v>
      </c>
      <c r="K37" s="334" t="str">
        <f aca="false">IF((E37="d"),G37," ")</f>
        <v> </v>
      </c>
      <c r="L37" s="334" t="str">
        <f aca="false">IF((E37="e"),G37," ")</f>
        <v> </v>
      </c>
      <c r="M37" s="334" t="str">
        <f aca="false">IF((E37="p"),G37," ")</f>
        <v> </v>
      </c>
      <c r="N37" s="334" t="str">
        <f aca="false">IF((E37="r"),G37," ")</f>
        <v> </v>
      </c>
      <c r="O37" s="334" t="str">
        <f aca="false">IF((E37="g"),G37," ")</f>
        <v> </v>
      </c>
      <c r="P37" s="334" t="n">
        <f aca="false">IF((E37="m"),G37," ")</f>
        <v>120</v>
      </c>
      <c r="Q37" s="334" t="str">
        <f aca="false">IF((E37="t"),G37," ")</f>
        <v> </v>
      </c>
      <c r="R37" s="334" t="str">
        <f aca="false">IF((E37="a"),G37," ")</f>
        <v> </v>
      </c>
      <c r="S37" s="334" t="str">
        <f aca="false">IF((E37="l"),G37," ")</f>
        <v> </v>
      </c>
      <c r="T37" s="334" t="str">
        <f aca="false">IF((E37="b"),G37," ")</f>
        <v> </v>
      </c>
      <c r="U37" s="334" t="str">
        <f aca="false">IF((E37="i"),G37," ")</f>
        <v> </v>
      </c>
      <c r="V37" s="334" t="str">
        <f aca="false">IF((E37="o"),G37," ")</f>
        <v> </v>
      </c>
      <c r="W37" s="334" t="str">
        <f aca="false">IF((E37="f"),G37," ")</f>
        <v> </v>
      </c>
    </row>
    <row r="38" customFormat="false" ht="12.75" hidden="false" customHeight="false" outlineLevel="0" collapsed="false">
      <c r="A38" s="355"/>
      <c r="H38" s="338" t="str">
        <f aca="false">IF((G38&lt;&gt;0),IF((D38&gt;0)," ",G38)," ")</f>
        <v> </v>
      </c>
      <c r="I38" s="367" t="str">
        <f aca="false">IF((G38&lt;&gt;0),IF((D38&gt;0)," ",(I$1-A38))," ")</f>
        <v> </v>
      </c>
      <c r="J38" s="334" t="str">
        <f aca="false">IF((E38="s"),G38," ")</f>
        <v> </v>
      </c>
      <c r="K38" s="334" t="str">
        <f aca="false">IF((E38="d"),G38," ")</f>
        <v> </v>
      </c>
      <c r="L38" s="334" t="str">
        <f aca="false">IF((E38="e"),G38," ")</f>
        <v> </v>
      </c>
      <c r="M38" s="334" t="str">
        <f aca="false">IF((E38="p"),G38," ")</f>
        <v> </v>
      </c>
      <c r="N38" s="334" t="str">
        <f aca="false">IF((E38="r"),G38," ")</f>
        <v> </v>
      </c>
      <c r="O38" s="334" t="str">
        <f aca="false">IF((E38="g"),G38," ")</f>
        <v> </v>
      </c>
      <c r="P38" s="334" t="str">
        <f aca="false">IF((E38="m"),G38," ")</f>
        <v> </v>
      </c>
      <c r="Q38" s="334" t="str">
        <f aca="false">IF((E38="t"),G38," ")</f>
        <v> </v>
      </c>
      <c r="R38" s="334" t="str">
        <f aca="false">IF((E38="a"),G38," ")</f>
        <v> </v>
      </c>
      <c r="S38" s="334" t="str">
        <f aca="false">IF((E38="l"),G38," ")</f>
        <v> </v>
      </c>
      <c r="T38" s="334" t="str">
        <f aca="false">IF((E38="b"),G38," ")</f>
        <v> </v>
      </c>
      <c r="U38" s="334" t="str">
        <f aca="false">IF((E38="i"),G38," ")</f>
        <v> </v>
      </c>
      <c r="V38" s="334" t="str">
        <f aca="false">IF((E38="o"),G38," ")</f>
        <v> </v>
      </c>
      <c r="W38" s="334" t="str">
        <f aca="false">IF((E38="f"),G38," ")</f>
        <v> </v>
      </c>
    </row>
    <row r="39" customFormat="false" ht="12.75" hidden="false" customHeight="false" outlineLevel="0" collapsed="false">
      <c r="A39" s="355"/>
      <c r="H39" s="338" t="str">
        <f aca="false">IF((G39&lt;&gt;0),IF((D39&gt;0)," ",G39)," ")</f>
        <v> </v>
      </c>
      <c r="I39" s="367" t="str">
        <f aca="false">IF((G39&lt;&gt;0),IF((D39&gt;0)," ",(I$1-A39))," ")</f>
        <v> </v>
      </c>
      <c r="J39" s="334" t="str">
        <f aca="false">IF((E39="s"),G39," ")</f>
        <v> </v>
      </c>
      <c r="K39" s="334" t="str">
        <f aca="false">IF((E39="d"),G39," ")</f>
        <v> </v>
      </c>
      <c r="L39" s="334" t="str">
        <f aca="false">IF((E39="e"),G39," ")</f>
        <v> </v>
      </c>
      <c r="M39" s="334" t="str">
        <f aca="false">IF((E39="p"),G39," ")</f>
        <v> </v>
      </c>
      <c r="N39" s="334" t="str">
        <f aca="false">IF((E39="r"),G39," ")</f>
        <v> </v>
      </c>
      <c r="O39" s="334" t="str">
        <f aca="false">IF((E39="g"),G39," ")</f>
        <v> </v>
      </c>
      <c r="P39" s="334" t="str">
        <f aca="false">IF((E39="m"),G39," ")</f>
        <v> </v>
      </c>
      <c r="Q39" s="334" t="str">
        <f aca="false">IF((E39="t"),G39," ")</f>
        <v> </v>
      </c>
      <c r="R39" s="334" t="str">
        <f aca="false">IF((E39="a"),G39," ")</f>
        <v> </v>
      </c>
      <c r="S39" s="334" t="str">
        <f aca="false">IF((E39="l"),G39," ")</f>
        <v> </v>
      </c>
      <c r="T39" s="334" t="str">
        <f aca="false">IF((E39="b"),G39," ")</f>
        <v> </v>
      </c>
      <c r="U39" s="334" t="str">
        <f aca="false">IF((E39="i"),G39," ")</f>
        <v> </v>
      </c>
      <c r="V39" s="334" t="str">
        <f aca="false">IF((E39="o"),G39," ")</f>
        <v> </v>
      </c>
      <c r="W39" s="334" t="str">
        <f aca="false">IF((E39="f"),G39," ")</f>
        <v> </v>
      </c>
    </row>
    <row r="40" customFormat="false" ht="12.75" hidden="false" customHeight="false" outlineLevel="0" collapsed="false">
      <c r="A40" s="355"/>
      <c r="H40" s="338" t="str">
        <f aca="false">IF((G40&lt;&gt;0),IF((D40&gt;0)," ",G40)," ")</f>
        <v> </v>
      </c>
      <c r="I40" s="367" t="str">
        <f aca="false">IF((G40&lt;&gt;0),IF((D40&gt;0)," ",(I$1-A40))," ")</f>
        <v> </v>
      </c>
      <c r="J40" s="334" t="str">
        <f aca="false">IF((E40="s"),G40," ")</f>
        <v> </v>
      </c>
      <c r="K40" s="334" t="str">
        <f aca="false">IF((E40="d"),G40," ")</f>
        <v> </v>
      </c>
      <c r="L40" s="334" t="str">
        <f aca="false">IF((E40="e"),G40," ")</f>
        <v> </v>
      </c>
      <c r="M40" s="334" t="str">
        <f aca="false">IF((E40="p"),G40," ")</f>
        <v> </v>
      </c>
      <c r="N40" s="334" t="str">
        <f aca="false">IF((E40="r"),G40," ")</f>
        <v> </v>
      </c>
      <c r="O40" s="334" t="str">
        <f aca="false">IF((E40="g"),G40," ")</f>
        <v> </v>
      </c>
      <c r="P40" s="334" t="str">
        <f aca="false">IF((E40="m"),G40," ")</f>
        <v> </v>
      </c>
      <c r="Q40" s="334" t="str">
        <f aca="false">IF((E40="t"),G40," ")</f>
        <v> </v>
      </c>
      <c r="R40" s="334" t="str">
        <f aca="false">IF((E40="a"),G40," ")</f>
        <v> </v>
      </c>
      <c r="S40" s="334" t="str">
        <f aca="false">IF((E40="l"),G40," ")</f>
        <v> </v>
      </c>
      <c r="T40" s="334" t="str">
        <f aca="false">IF((E40="b"),G40," ")</f>
        <v> </v>
      </c>
      <c r="U40" s="334" t="str">
        <f aca="false">IF((E40="i"),G40," ")</f>
        <v> </v>
      </c>
      <c r="V40" s="334" t="str">
        <f aca="false">IF((E40="o"),G40," ")</f>
        <v> </v>
      </c>
      <c r="W40" s="334" t="str">
        <f aca="false">IF((E40="f"),G40," ")</f>
        <v> </v>
      </c>
    </row>
    <row r="41" customFormat="false" ht="12.75" hidden="false" customHeight="false" outlineLevel="0" collapsed="false">
      <c r="A41" s="355"/>
      <c r="H41" s="338" t="str">
        <f aca="false">IF((G41&lt;&gt;0),IF((D41&gt;0)," ",G41)," ")</f>
        <v> </v>
      </c>
      <c r="I41" s="367" t="str">
        <f aca="false">IF((G41&lt;&gt;0),IF((D41&gt;0)," ",(I$1-A41))," ")</f>
        <v> </v>
      </c>
      <c r="J41" s="334" t="str">
        <f aca="false">IF((E41="s"),G41," ")</f>
        <v> </v>
      </c>
      <c r="K41" s="334" t="str">
        <f aca="false">IF((E41="d"),G41," ")</f>
        <v> </v>
      </c>
      <c r="L41" s="334" t="str">
        <f aca="false">IF((E41="e"),G41," ")</f>
        <v> </v>
      </c>
      <c r="M41" s="334" t="str">
        <f aca="false">IF((E41="p"),G41," ")</f>
        <v> </v>
      </c>
      <c r="N41" s="334" t="str">
        <f aca="false">IF((E41="r"),G41," ")</f>
        <v> </v>
      </c>
      <c r="O41" s="334" t="str">
        <f aca="false">IF((E41="g"),G41," ")</f>
        <v> </v>
      </c>
      <c r="P41" s="334" t="str">
        <f aca="false">IF((E41="m"),G41," ")</f>
        <v> </v>
      </c>
      <c r="Q41" s="334" t="str">
        <f aca="false">IF((E41="t"),G41," ")</f>
        <v> </v>
      </c>
      <c r="R41" s="334" t="str">
        <f aca="false">IF((E41="a"),G41," ")</f>
        <v> </v>
      </c>
      <c r="S41" s="334" t="str">
        <f aca="false">IF((E41="l"),G41," ")</f>
        <v> </v>
      </c>
      <c r="T41" s="334" t="str">
        <f aca="false">IF((E41="b"),G41," ")</f>
        <v> </v>
      </c>
      <c r="U41" s="334" t="str">
        <f aca="false">IF((E41="i"),G41," ")</f>
        <v> </v>
      </c>
      <c r="V41" s="334" t="str">
        <f aca="false">IF((E41="o"),G41," ")</f>
        <v> </v>
      </c>
      <c r="W41" s="334" t="str">
        <f aca="false">IF((E41="f"),G41," ")</f>
        <v> </v>
      </c>
    </row>
    <row r="42" customFormat="false" ht="12.75" hidden="false" customHeight="false" outlineLevel="0" collapsed="false">
      <c r="A42" s="355"/>
      <c r="H42" s="338" t="str">
        <f aca="false">IF((G42&lt;&gt;0),IF((D42&gt;0)," ",G42)," ")</f>
        <v> </v>
      </c>
      <c r="I42" s="367" t="str">
        <f aca="false">IF((G42&lt;&gt;0),IF((D42&gt;0)," ",(I$1-A42))," ")</f>
        <v> </v>
      </c>
      <c r="J42" s="334" t="str">
        <f aca="false">IF((E42="s"),G42," ")</f>
        <v> </v>
      </c>
      <c r="K42" s="334" t="str">
        <f aca="false">IF((E42="d"),G42," ")</f>
        <v> </v>
      </c>
      <c r="L42" s="334" t="str">
        <f aca="false">IF((E42="e"),G42," ")</f>
        <v> </v>
      </c>
      <c r="M42" s="334" t="str">
        <f aca="false">IF((E42="p"),G42," ")</f>
        <v> </v>
      </c>
      <c r="N42" s="334" t="str">
        <f aca="false">IF((E42="r"),G42," ")</f>
        <v> </v>
      </c>
      <c r="O42" s="334" t="str">
        <f aca="false">IF((E42="g"),G42," ")</f>
        <v> </v>
      </c>
      <c r="P42" s="334" t="str">
        <f aca="false">IF((E42="m"),G42," ")</f>
        <v> </v>
      </c>
      <c r="Q42" s="334" t="str">
        <f aca="false">IF((E42="t"),G42," ")</f>
        <v> </v>
      </c>
      <c r="R42" s="334" t="str">
        <f aca="false">IF((E42="a"),G42," ")</f>
        <v> </v>
      </c>
      <c r="S42" s="334" t="str">
        <f aca="false">IF((E42="l"),G42," ")</f>
        <v> </v>
      </c>
      <c r="T42" s="334" t="str">
        <f aca="false">IF((E42="b"),G42," ")</f>
        <v> </v>
      </c>
      <c r="U42" s="334" t="str">
        <f aca="false">IF((E42="i"),G42," ")</f>
        <v> </v>
      </c>
      <c r="V42" s="334" t="str">
        <f aca="false">IF((E42="o"),G42," ")</f>
        <v> </v>
      </c>
      <c r="W42" s="334" t="str">
        <f aca="false">IF((E42="f"),G42," ")</f>
        <v> </v>
      </c>
    </row>
    <row r="43" customFormat="false" ht="12.75" hidden="false" customHeight="false" outlineLevel="0" collapsed="false">
      <c r="A43" s="355"/>
      <c r="H43" s="338" t="str">
        <f aca="false">IF((G43&lt;&gt;0),IF((D43&gt;0)," ",G43)," ")</f>
        <v> </v>
      </c>
      <c r="I43" s="367" t="str">
        <f aca="false">IF((G43&lt;&gt;0),IF((D43&gt;0)," ",(I$1-A43))," ")</f>
        <v> </v>
      </c>
      <c r="J43" s="334" t="str">
        <f aca="false">IF((E43="s"),G43," ")</f>
        <v> </v>
      </c>
      <c r="K43" s="334" t="str">
        <f aca="false">IF((E43="d"),G43," ")</f>
        <v> </v>
      </c>
      <c r="L43" s="334" t="str">
        <f aca="false">IF((E43="e"),G43," ")</f>
        <v> </v>
      </c>
      <c r="M43" s="334" t="str">
        <f aca="false">IF((E43="p"),G43," ")</f>
        <v> </v>
      </c>
      <c r="N43" s="334" t="str">
        <f aca="false">IF((E43="r"),G43," ")</f>
        <v> </v>
      </c>
      <c r="O43" s="334" t="str">
        <f aca="false">IF((E43="g"),G43," ")</f>
        <v> </v>
      </c>
      <c r="P43" s="334" t="str">
        <f aca="false">IF((E43="m"),G43," ")</f>
        <v> </v>
      </c>
      <c r="Q43" s="334" t="str">
        <f aca="false">IF((E43="t"),G43," ")</f>
        <v> </v>
      </c>
      <c r="R43" s="334" t="str">
        <f aca="false">IF((E43="a"),G43," ")</f>
        <v> </v>
      </c>
      <c r="S43" s="334" t="str">
        <f aca="false">IF((E43="l"),G43," ")</f>
        <v> </v>
      </c>
      <c r="T43" s="334" t="str">
        <f aca="false">IF((E43="b"),G43," ")</f>
        <v> </v>
      </c>
      <c r="U43" s="334" t="str">
        <f aca="false">IF((E43="i"),G43," ")</f>
        <v> </v>
      </c>
      <c r="V43" s="334" t="str">
        <f aca="false">IF((E43="o"),G43," ")</f>
        <v> </v>
      </c>
      <c r="W43" s="334" t="str">
        <f aca="false">IF((E43="f"),G43," ")</f>
        <v> </v>
      </c>
    </row>
    <row r="44" customFormat="false" ht="12.75" hidden="false" customHeight="false" outlineLevel="0" collapsed="false">
      <c r="A44" s="355"/>
      <c r="H44" s="338" t="str">
        <f aca="false">IF((G44&lt;&gt;0),IF((D44&gt;0)," ",G44)," ")</f>
        <v> </v>
      </c>
      <c r="I44" s="367" t="str">
        <f aca="false">IF((G44&lt;&gt;0),IF((D44&gt;0)," ",(I$1-A44))," ")</f>
        <v> </v>
      </c>
      <c r="J44" s="334" t="str">
        <f aca="false">IF((E44="s"),G44," ")</f>
        <v> </v>
      </c>
      <c r="K44" s="334" t="str">
        <f aca="false">IF((E44="d"),G44," ")</f>
        <v> </v>
      </c>
      <c r="L44" s="334" t="str">
        <f aca="false">IF((E44="e"),G44," ")</f>
        <v> </v>
      </c>
      <c r="M44" s="334" t="str">
        <f aca="false">IF((E44="p"),G44," ")</f>
        <v> </v>
      </c>
      <c r="N44" s="334" t="str">
        <f aca="false">IF((E44="r"),G44," ")</f>
        <v> </v>
      </c>
      <c r="O44" s="334" t="str">
        <f aca="false">IF((E44="g"),G44," ")</f>
        <v> </v>
      </c>
      <c r="P44" s="334" t="str">
        <f aca="false">IF((E44="m"),G44," ")</f>
        <v> </v>
      </c>
      <c r="Q44" s="334" t="str">
        <f aca="false">IF((E44="t"),G44," ")</f>
        <v> </v>
      </c>
      <c r="R44" s="334" t="str">
        <f aca="false">IF((E44="a"),G44," ")</f>
        <v> </v>
      </c>
      <c r="S44" s="334" t="str">
        <f aca="false">IF((E44="l"),G44," ")</f>
        <v> </v>
      </c>
      <c r="T44" s="334" t="str">
        <f aca="false">IF((E44="b"),G44," ")</f>
        <v> </v>
      </c>
      <c r="U44" s="334" t="str">
        <f aca="false">IF((E44="i"),G44," ")</f>
        <v> </v>
      </c>
      <c r="V44" s="334" t="str">
        <f aca="false">IF((E44="o"),G44," ")</f>
        <v> </v>
      </c>
      <c r="W44" s="334" t="str">
        <f aca="false">IF((E44="f"),G44," ")</f>
        <v> </v>
      </c>
    </row>
    <row r="45" customFormat="false" ht="12.75" hidden="false" customHeight="false" outlineLevel="0" collapsed="false">
      <c r="A45" s="355"/>
      <c r="H45" s="338" t="str">
        <f aca="false">IF((G45&lt;&gt;0),IF((D45&gt;0)," ",G45)," ")</f>
        <v> </v>
      </c>
      <c r="I45" s="367" t="str">
        <f aca="false">IF((G45&lt;&gt;0),IF((D45&gt;0)," ",(I$1-A45))," ")</f>
        <v> </v>
      </c>
      <c r="J45" s="334" t="str">
        <f aca="false">IF((E45="s"),G45," ")</f>
        <v> </v>
      </c>
      <c r="K45" s="334" t="str">
        <f aca="false">IF((E45="d"),G45," ")</f>
        <v> </v>
      </c>
      <c r="L45" s="334" t="str">
        <f aca="false">IF((E45="e"),G45," ")</f>
        <v> </v>
      </c>
      <c r="M45" s="334" t="str">
        <f aca="false">IF((E45="p"),G45," ")</f>
        <v> </v>
      </c>
      <c r="N45" s="334" t="str">
        <f aca="false">IF((E45="r"),G45," ")</f>
        <v> </v>
      </c>
      <c r="O45" s="334" t="str">
        <f aca="false">IF((E45="g"),G45," ")</f>
        <v> </v>
      </c>
      <c r="P45" s="334" t="str">
        <f aca="false">IF((E45="m"),G45," ")</f>
        <v> </v>
      </c>
      <c r="Q45" s="334" t="str">
        <f aca="false">IF((E45="t"),G45," ")</f>
        <v> </v>
      </c>
      <c r="R45" s="334" t="str">
        <f aca="false">IF((E45="a"),G45," ")</f>
        <v> </v>
      </c>
      <c r="S45" s="334" t="str">
        <f aca="false">IF((E45="l"),G45," ")</f>
        <v> </v>
      </c>
      <c r="T45" s="334" t="str">
        <f aca="false">IF((E45="b"),G45," ")</f>
        <v> </v>
      </c>
      <c r="U45" s="334" t="str">
        <f aca="false">IF((E45="i"),G45," ")</f>
        <v> </v>
      </c>
      <c r="V45" s="334" t="str">
        <f aca="false">IF((E45="o"),G45," ")</f>
        <v> </v>
      </c>
      <c r="W45" s="334" t="str">
        <f aca="false">IF((E45="f"),G45," ")</f>
        <v> </v>
      </c>
    </row>
    <row r="46" customFormat="false" ht="12.75" hidden="false" customHeight="false" outlineLevel="0" collapsed="false">
      <c r="A46" s="355"/>
      <c r="H46" s="338" t="str">
        <f aca="false">IF((G46&lt;&gt;0),IF((D46&gt;0)," ",G46)," ")</f>
        <v> </v>
      </c>
      <c r="I46" s="367" t="str">
        <f aca="false">IF((G46&lt;&gt;0),IF((D46&gt;0)," ",(I$1-A46))," ")</f>
        <v> </v>
      </c>
      <c r="J46" s="334" t="str">
        <f aca="false">IF((E46="s"),G46," ")</f>
        <v> </v>
      </c>
      <c r="K46" s="334" t="str">
        <f aca="false">IF((E46="d"),G46," ")</f>
        <v> </v>
      </c>
      <c r="L46" s="334" t="str">
        <f aca="false">IF((E46="e"),G46," ")</f>
        <v> </v>
      </c>
      <c r="M46" s="334" t="str">
        <f aca="false">IF((E46="p"),G46," ")</f>
        <v> </v>
      </c>
      <c r="N46" s="334" t="str">
        <f aca="false">IF((E46="r"),G46," ")</f>
        <v> </v>
      </c>
      <c r="O46" s="334" t="str">
        <f aca="false">IF((E46="g"),G46," ")</f>
        <v> </v>
      </c>
      <c r="P46" s="334" t="str">
        <f aca="false">IF((E46="m"),G46," ")</f>
        <v> </v>
      </c>
      <c r="Q46" s="334" t="str">
        <f aca="false">IF((E46="t"),G46," ")</f>
        <v> </v>
      </c>
      <c r="R46" s="334" t="str">
        <f aca="false">IF((E46="a"),G46," ")</f>
        <v> </v>
      </c>
      <c r="S46" s="334" t="str">
        <f aca="false">IF((E46="l"),G46," ")</f>
        <v> </v>
      </c>
      <c r="T46" s="334" t="str">
        <f aca="false">IF((E46="b"),G46," ")</f>
        <v> </v>
      </c>
      <c r="U46" s="334" t="str">
        <f aca="false">IF((E46="i"),G46," ")</f>
        <v> </v>
      </c>
      <c r="V46" s="334" t="str">
        <f aca="false">IF((E46="o"),G46," ")</f>
        <v> </v>
      </c>
      <c r="W46" s="334" t="str">
        <f aca="false">IF((E46="f"),G46," ")</f>
        <v> </v>
      </c>
    </row>
    <row r="47" customFormat="false" ht="12.75" hidden="false" customHeight="false" outlineLevel="0" collapsed="false">
      <c r="A47" s="355"/>
      <c r="H47" s="338" t="str">
        <f aca="false">IF((G47&lt;&gt;0),IF((D47&gt;0)," ",G47)," ")</f>
        <v> </v>
      </c>
      <c r="I47" s="367" t="str">
        <f aca="false">IF((G47&lt;&gt;0),IF((D47&gt;0)," ",(I$1-A47))," ")</f>
        <v> </v>
      </c>
      <c r="J47" s="334" t="str">
        <f aca="false">IF((E47="s"),G47," ")</f>
        <v> </v>
      </c>
      <c r="K47" s="334" t="str">
        <f aca="false">IF((E47="d"),G47," ")</f>
        <v> </v>
      </c>
      <c r="L47" s="334" t="str">
        <f aca="false">IF((E47="e"),G47," ")</f>
        <v> </v>
      </c>
      <c r="M47" s="334" t="str">
        <f aca="false">IF((E47="p"),G47," ")</f>
        <v> </v>
      </c>
      <c r="N47" s="334" t="str">
        <f aca="false">IF((E47="r"),G47," ")</f>
        <v> </v>
      </c>
      <c r="O47" s="334" t="str">
        <f aca="false">IF((E47="g"),G47," ")</f>
        <v> </v>
      </c>
      <c r="P47" s="334" t="str">
        <f aca="false">IF((E47="m"),G47," ")</f>
        <v> </v>
      </c>
      <c r="Q47" s="334" t="str">
        <f aca="false">IF((E47="t"),G47," ")</f>
        <v> </v>
      </c>
      <c r="R47" s="334" t="str">
        <f aca="false">IF((E47="a"),G47," ")</f>
        <v> </v>
      </c>
      <c r="S47" s="334" t="str">
        <f aca="false">IF((E47="l"),G47," ")</f>
        <v> </v>
      </c>
      <c r="T47" s="334" t="str">
        <f aca="false">IF((E47="b"),G47," ")</f>
        <v> </v>
      </c>
      <c r="U47" s="334" t="str">
        <f aca="false">IF((E47="i"),G47," ")</f>
        <v> </v>
      </c>
      <c r="V47" s="334" t="str">
        <f aca="false">IF((E47="o"),G47," ")</f>
        <v> </v>
      </c>
      <c r="W47" s="334" t="str">
        <f aca="false">IF((E47="f"),G47," ")</f>
        <v> </v>
      </c>
    </row>
    <row r="48" customFormat="false" ht="12.75" hidden="false" customHeight="false" outlineLevel="0" collapsed="false">
      <c r="A48" s="355"/>
      <c r="H48" s="338" t="str">
        <f aca="false">IF((G48&lt;&gt;0),IF((D48&gt;0)," ",G48)," ")</f>
        <v> </v>
      </c>
      <c r="I48" s="367" t="str">
        <f aca="false">IF((G48&lt;&gt;0),IF((D48&gt;0)," ",(I$1-A48))," ")</f>
        <v> </v>
      </c>
      <c r="J48" s="334" t="str">
        <f aca="false">IF((E48="s"),G48," ")</f>
        <v> </v>
      </c>
      <c r="K48" s="334" t="str">
        <f aca="false">IF((E48="d"),G48," ")</f>
        <v> </v>
      </c>
      <c r="L48" s="334" t="str">
        <f aca="false">IF((E48="e"),G48," ")</f>
        <v> </v>
      </c>
      <c r="M48" s="334" t="str">
        <f aca="false">IF((E48="p"),G48," ")</f>
        <v> </v>
      </c>
      <c r="N48" s="334" t="str">
        <f aca="false">IF((E48="r"),G48," ")</f>
        <v> </v>
      </c>
      <c r="O48" s="334" t="str">
        <f aca="false">IF((E48="g"),G48," ")</f>
        <v> </v>
      </c>
      <c r="P48" s="334" t="str">
        <f aca="false">IF((E48="m"),G48," ")</f>
        <v> </v>
      </c>
      <c r="Q48" s="334" t="str">
        <f aca="false">IF((E48="t"),G48," ")</f>
        <v> </v>
      </c>
      <c r="R48" s="334" t="str">
        <f aca="false">IF((E48="a"),G48," ")</f>
        <v> </v>
      </c>
      <c r="S48" s="334" t="str">
        <f aca="false">IF((E48="l"),G48," ")</f>
        <v> </v>
      </c>
      <c r="T48" s="334" t="str">
        <f aca="false">IF((E48="b"),G48," ")</f>
        <v> </v>
      </c>
      <c r="U48" s="334" t="str">
        <f aca="false">IF((E48="i"),G48," ")</f>
        <v> </v>
      </c>
      <c r="V48" s="334" t="str">
        <f aca="false">IF((E48="o"),G48," ")</f>
        <v> </v>
      </c>
      <c r="W48" s="334" t="str">
        <f aca="false">IF((E48="f"),G48," ")</f>
        <v> </v>
      </c>
    </row>
    <row r="49" customFormat="false" ht="12.75" hidden="false" customHeight="false" outlineLevel="0" collapsed="false">
      <c r="A49" s="355"/>
      <c r="H49" s="338" t="str">
        <f aca="false">IF((G49&lt;&gt;0),IF((D49&gt;0)," ",G49)," ")</f>
        <v> </v>
      </c>
      <c r="I49" s="367" t="str">
        <f aca="false">IF((G49&lt;&gt;0),IF((D49&gt;0)," ",(I$1-A49))," ")</f>
        <v> </v>
      </c>
      <c r="J49" s="334" t="str">
        <f aca="false">IF((E49="s"),G49," ")</f>
        <v> </v>
      </c>
      <c r="K49" s="334" t="str">
        <f aca="false">IF((E49="d"),G49," ")</f>
        <v> </v>
      </c>
      <c r="L49" s="334" t="str">
        <f aca="false">IF((E49="e"),G49," ")</f>
        <v> </v>
      </c>
      <c r="M49" s="334" t="str">
        <f aca="false">IF((E49="p"),G49," ")</f>
        <v> </v>
      </c>
      <c r="N49" s="334" t="str">
        <f aca="false">IF((E49="r"),G49," ")</f>
        <v> </v>
      </c>
      <c r="O49" s="334" t="str">
        <f aca="false">IF((E49="g"),G49," ")</f>
        <v> </v>
      </c>
      <c r="P49" s="334" t="str">
        <f aca="false">IF((E49="m"),G49," ")</f>
        <v> </v>
      </c>
      <c r="Q49" s="334" t="str">
        <f aca="false">IF((E49="t"),G49," ")</f>
        <v> </v>
      </c>
      <c r="R49" s="334" t="str">
        <f aca="false">IF((E49="a"),G49," ")</f>
        <v> </v>
      </c>
      <c r="S49" s="334" t="str">
        <f aca="false">IF((E49="l"),G49," ")</f>
        <v> </v>
      </c>
      <c r="T49" s="334" t="str">
        <f aca="false">IF((E49="b"),G49," ")</f>
        <v> </v>
      </c>
      <c r="U49" s="334" t="str">
        <f aca="false">IF((E49="i"),G49," ")</f>
        <v> </v>
      </c>
      <c r="V49" s="334" t="str">
        <f aca="false">IF((E49="o"),G49," ")</f>
        <v> </v>
      </c>
      <c r="W49" s="334" t="str">
        <f aca="false">IF((E49="f"),G49," ")</f>
        <v> </v>
      </c>
    </row>
    <row r="50" customFormat="false" ht="12.75" hidden="false" customHeight="false" outlineLevel="0" collapsed="false">
      <c r="A50" s="355"/>
      <c r="H50" s="338" t="str">
        <f aca="false">IF((G50&lt;&gt;0),IF((D50&gt;0)," ",G50)," ")</f>
        <v> </v>
      </c>
      <c r="I50" s="367" t="str">
        <f aca="false">IF((G50&lt;&gt;0),IF((D50&gt;0)," ",(I$1-A50))," ")</f>
        <v> </v>
      </c>
      <c r="J50" s="334" t="str">
        <f aca="false">IF((E50="s"),G50," ")</f>
        <v> </v>
      </c>
      <c r="K50" s="334" t="str">
        <f aca="false">IF((E50="d"),G50," ")</f>
        <v> </v>
      </c>
      <c r="L50" s="334" t="str">
        <f aca="false">IF((E50="e"),G50," ")</f>
        <v> </v>
      </c>
      <c r="M50" s="334" t="str">
        <f aca="false">IF((E50="p"),G50," ")</f>
        <v> </v>
      </c>
      <c r="N50" s="334" t="str">
        <f aca="false">IF((E50="r"),G50," ")</f>
        <v> </v>
      </c>
      <c r="O50" s="334" t="str">
        <f aca="false">IF((E50="g"),G50," ")</f>
        <v> </v>
      </c>
      <c r="P50" s="334" t="str">
        <f aca="false">IF((E50="m"),G50," ")</f>
        <v> </v>
      </c>
      <c r="Q50" s="334" t="str">
        <f aca="false">IF((E50="t"),G50," ")</f>
        <v> </v>
      </c>
      <c r="R50" s="334" t="str">
        <f aca="false">IF((E50="a"),G50," ")</f>
        <v> </v>
      </c>
      <c r="S50" s="334" t="str">
        <f aca="false">IF((E50="l"),G50," ")</f>
        <v> </v>
      </c>
      <c r="T50" s="334" t="str">
        <f aca="false">IF((E50="b"),G50," ")</f>
        <v> </v>
      </c>
      <c r="U50" s="334" t="str">
        <f aca="false">IF((E50="i"),G50," ")</f>
        <v> </v>
      </c>
      <c r="V50" s="334" t="str">
        <f aca="false">IF((E50="o"),G50," ")</f>
        <v> </v>
      </c>
      <c r="W50" s="334" t="str">
        <f aca="false">IF((E50="f"),G50," ")</f>
        <v> </v>
      </c>
    </row>
    <row r="51" customFormat="false" ht="12.75" hidden="false" customHeight="false" outlineLevel="0" collapsed="false">
      <c r="A51" s="355"/>
      <c r="H51" s="338" t="str">
        <f aca="false">IF((G51&lt;&gt;0),IF((D51&gt;0)," ",G51)," ")</f>
        <v> </v>
      </c>
      <c r="I51" s="367" t="str">
        <f aca="false">IF((G51&lt;&gt;0),IF((D51&gt;0)," ",(I$1-A51))," ")</f>
        <v> </v>
      </c>
      <c r="J51" s="334" t="str">
        <f aca="false">IF((E51="s"),G51," ")</f>
        <v> </v>
      </c>
      <c r="K51" s="334" t="str">
        <f aca="false">IF((E51="d"),G51," ")</f>
        <v> </v>
      </c>
      <c r="L51" s="334" t="str">
        <f aca="false">IF((E51="e"),G51," ")</f>
        <v> </v>
      </c>
      <c r="M51" s="334" t="str">
        <f aca="false">IF((E51="p"),G51," ")</f>
        <v> </v>
      </c>
      <c r="N51" s="334" t="str">
        <f aca="false">IF((E51="r"),G51," ")</f>
        <v> </v>
      </c>
      <c r="O51" s="334" t="str">
        <f aca="false">IF((E51="g"),G51," ")</f>
        <v> </v>
      </c>
      <c r="P51" s="334" t="str">
        <f aca="false">IF((E51="m"),G51," ")</f>
        <v> </v>
      </c>
      <c r="Q51" s="334" t="str">
        <f aca="false">IF((E51="t"),G51," ")</f>
        <v> </v>
      </c>
      <c r="R51" s="334" t="str">
        <f aca="false">IF((E51="a"),G51," ")</f>
        <v> </v>
      </c>
      <c r="S51" s="334" t="str">
        <f aca="false">IF((E51="l"),G51," ")</f>
        <v> </v>
      </c>
      <c r="T51" s="334" t="str">
        <f aca="false">IF((E51="b"),G51," ")</f>
        <v> </v>
      </c>
      <c r="U51" s="334" t="str">
        <f aca="false">IF((E51="i"),G51," ")</f>
        <v> </v>
      </c>
      <c r="V51" s="334" t="str">
        <f aca="false">IF((E51="o"),G51," ")</f>
        <v> </v>
      </c>
      <c r="W51" s="334" t="str">
        <f aca="false">IF((E51="f"),G51," ")</f>
        <v> </v>
      </c>
    </row>
    <row r="52" customFormat="false" ht="12.75" hidden="false" customHeight="false" outlineLevel="0" collapsed="false">
      <c r="A52" s="355"/>
      <c r="H52" s="338" t="str">
        <f aca="false">IF((G52&lt;&gt;0),IF((D52&gt;0)," ",G52)," ")</f>
        <v> </v>
      </c>
      <c r="I52" s="367" t="str">
        <f aca="false">IF((G52&lt;&gt;0),IF((D52&gt;0)," ",(I$1-A52))," ")</f>
        <v> </v>
      </c>
      <c r="J52" s="334" t="str">
        <f aca="false">IF((E52="s"),G52," ")</f>
        <v> </v>
      </c>
      <c r="K52" s="334" t="str">
        <f aca="false">IF((E52="d"),G52," ")</f>
        <v> </v>
      </c>
      <c r="L52" s="334" t="str">
        <f aca="false">IF((E52="e"),G52," ")</f>
        <v> </v>
      </c>
      <c r="M52" s="334" t="str">
        <f aca="false">IF((E52="p"),G52," ")</f>
        <v> </v>
      </c>
      <c r="N52" s="334" t="str">
        <f aca="false">IF((E52="r"),G52," ")</f>
        <v> </v>
      </c>
      <c r="O52" s="334" t="str">
        <f aca="false">IF((E52="g"),G52," ")</f>
        <v> </v>
      </c>
      <c r="P52" s="334" t="str">
        <f aca="false">IF((E52="m"),G52," ")</f>
        <v> </v>
      </c>
      <c r="Q52" s="334" t="str">
        <f aca="false">IF((E52="t"),G52," ")</f>
        <v> </v>
      </c>
      <c r="R52" s="334" t="str">
        <f aca="false">IF((E52="a"),G52," ")</f>
        <v> </v>
      </c>
      <c r="S52" s="334" t="str">
        <f aca="false">IF((E52="l"),G52," ")</f>
        <v> </v>
      </c>
      <c r="T52" s="334" t="str">
        <f aca="false">IF((E52="b"),G52," ")</f>
        <v> </v>
      </c>
      <c r="U52" s="334" t="str">
        <f aca="false">IF((E52="i"),G52," ")</f>
        <v> </v>
      </c>
      <c r="V52" s="334" t="str">
        <f aca="false">IF((E52="o"),G52," ")</f>
        <v> </v>
      </c>
      <c r="W52" s="334" t="str">
        <f aca="false">IF((E52="f"),G52," ")</f>
        <v> </v>
      </c>
    </row>
    <row r="53" customFormat="false" ht="12.75" hidden="false" customHeight="false" outlineLevel="0" collapsed="false">
      <c r="A53" s="355"/>
      <c r="H53" s="338" t="str">
        <f aca="false">IF((G53&lt;&gt;0),IF((D53&gt;0)," ",G53)," ")</f>
        <v> </v>
      </c>
      <c r="I53" s="367" t="str">
        <f aca="false">IF((G53&lt;&gt;0),IF((D53&gt;0)," ",(I$1-A53))," ")</f>
        <v> </v>
      </c>
      <c r="J53" s="334" t="str">
        <f aca="false">IF((E53="s"),G53," ")</f>
        <v> </v>
      </c>
      <c r="K53" s="334" t="str">
        <f aca="false">IF((E53="d"),G53," ")</f>
        <v> </v>
      </c>
      <c r="L53" s="334" t="str">
        <f aca="false">IF((E53="e"),G53," ")</f>
        <v> </v>
      </c>
      <c r="M53" s="334" t="str">
        <f aca="false">IF((E53="p"),G53," ")</f>
        <v> </v>
      </c>
      <c r="N53" s="334" t="str">
        <f aca="false">IF((E53="r"),G53," ")</f>
        <v> </v>
      </c>
      <c r="O53" s="334" t="str">
        <f aca="false">IF((E53="g"),G53," ")</f>
        <v> </v>
      </c>
      <c r="P53" s="334" t="str">
        <f aca="false">IF((E53="m"),G53," ")</f>
        <v> </v>
      </c>
      <c r="Q53" s="334" t="str">
        <f aca="false">IF((E53="t"),G53," ")</f>
        <v> </v>
      </c>
      <c r="R53" s="334" t="str">
        <f aca="false">IF((E53="a"),G53," ")</f>
        <v> </v>
      </c>
      <c r="S53" s="334" t="str">
        <f aca="false">IF((E53="l"),G53," ")</f>
        <v> </v>
      </c>
      <c r="T53" s="334" t="str">
        <f aca="false">IF((E53="b"),G53," ")</f>
        <v> </v>
      </c>
      <c r="U53" s="334" t="str">
        <f aca="false">IF((E53="i"),G53," ")</f>
        <v> </v>
      </c>
      <c r="V53" s="334" t="str">
        <f aca="false">IF((E53="o"),G53," ")</f>
        <v> </v>
      </c>
      <c r="W53" s="334" t="str">
        <f aca="false">IF((E53="f"),G53," ")</f>
        <v> </v>
      </c>
    </row>
    <row r="54" customFormat="false" ht="12.75" hidden="false" customHeight="false" outlineLevel="0" collapsed="false">
      <c r="A54" s="355"/>
      <c r="H54" s="338" t="str">
        <f aca="false">IF((G54&lt;&gt;0),IF((D54&gt;0)," ",G54)," ")</f>
        <v> </v>
      </c>
      <c r="I54" s="367" t="str">
        <f aca="false">IF((G54&lt;&gt;0),IF((D54&gt;0)," ",(I$1-A54))," ")</f>
        <v> </v>
      </c>
      <c r="J54" s="334" t="str">
        <f aca="false">IF((E54="s"),G54," ")</f>
        <v> </v>
      </c>
      <c r="K54" s="334" t="str">
        <f aca="false">IF((E54="d"),G54," ")</f>
        <v> </v>
      </c>
      <c r="L54" s="334" t="str">
        <f aca="false">IF((E54="e"),G54," ")</f>
        <v> </v>
      </c>
      <c r="M54" s="334" t="str">
        <f aca="false">IF((E54="p"),G54," ")</f>
        <v> </v>
      </c>
      <c r="N54" s="334" t="str">
        <f aca="false">IF((E54="r"),G54," ")</f>
        <v> </v>
      </c>
      <c r="O54" s="334" t="str">
        <f aca="false">IF((E54="g"),G54," ")</f>
        <v> </v>
      </c>
      <c r="P54" s="334" t="str">
        <f aca="false">IF((E54="m"),G54," ")</f>
        <v> </v>
      </c>
      <c r="Q54" s="334" t="str">
        <f aca="false">IF((E54="t"),G54," ")</f>
        <v> </v>
      </c>
      <c r="R54" s="334" t="str">
        <f aca="false">IF((E54="a"),G54," ")</f>
        <v> </v>
      </c>
      <c r="S54" s="334" t="str">
        <f aca="false">IF((E54="l"),G54," ")</f>
        <v> </v>
      </c>
      <c r="T54" s="334" t="str">
        <f aca="false">IF((E54="b"),G54," ")</f>
        <v> </v>
      </c>
      <c r="U54" s="334" t="str">
        <f aca="false">IF((E54="i"),G54," ")</f>
        <v> </v>
      </c>
      <c r="V54" s="334" t="str">
        <f aca="false">IF((E54="o"),G54," ")</f>
        <v> </v>
      </c>
      <c r="W54" s="334" t="str">
        <f aca="false">IF((E54="f"),G54," ")</f>
        <v> </v>
      </c>
    </row>
    <row r="55" customFormat="false" ht="12.75" hidden="false" customHeight="false" outlineLevel="0" collapsed="false">
      <c r="A55" s="355"/>
      <c r="H55" s="338" t="str">
        <f aca="false">IF((G55&lt;&gt;0),IF((D55&gt;0)," ",G55)," ")</f>
        <v> </v>
      </c>
      <c r="I55" s="367" t="str">
        <f aca="false">IF((G55&lt;&gt;0),IF((D55&gt;0)," ",(I$1-A55))," ")</f>
        <v> </v>
      </c>
      <c r="J55" s="334" t="str">
        <f aca="false">IF((E55="s"),G55," ")</f>
        <v> </v>
      </c>
      <c r="K55" s="334" t="str">
        <f aca="false">IF((E55="d"),G55," ")</f>
        <v> </v>
      </c>
      <c r="L55" s="334" t="str">
        <f aca="false">IF((E55="e"),G55," ")</f>
        <v> </v>
      </c>
      <c r="M55" s="334" t="str">
        <f aca="false">IF((E55="p"),G55," ")</f>
        <v> </v>
      </c>
      <c r="N55" s="334" t="str">
        <f aca="false">IF((E55="r"),G55," ")</f>
        <v> </v>
      </c>
      <c r="O55" s="334" t="str">
        <f aca="false">IF((E55="g"),G55," ")</f>
        <v> </v>
      </c>
      <c r="P55" s="334" t="str">
        <f aca="false">IF((E55="m"),G55," ")</f>
        <v> </v>
      </c>
      <c r="Q55" s="334" t="str">
        <f aca="false">IF((E55="t"),G55," ")</f>
        <v> </v>
      </c>
      <c r="R55" s="334" t="str">
        <f aca="false">IF((E55="a"),G55," ")</f>
        <v> </v>
      </c>
      <c r="S55" s="334" t="str">
        <f aca="false">IF((E55="l"),G55," ")</f>
        <v> </v>
      </c>
      <c r="T55" s="334" t="str">
        <f aca="false">IF((E55="b"),G55," ")</f>
        <v> </v>
      </c>
      <c r="U55" s="334" t="str">
        <f aca="false">IF((E55="i"),G55," ")</f>
        <v> </v>
      </c>
      <c r="V55" s="334" t="str">
        <f aca="false">IF((E55="o"),G55," ")</f>
        <v> </v>
      </c>
      <c r="W55" s="334" t="str">
        <f aca="false">IF((E55="f"),G55," ")</f>
        <v> </v>
      </c>
    </row>
    <row r="56" customFormat="false" ht="12.75" hidden="false" customHeight="false" outlineLevel="0" collapsed="false">
      <c r="A56" s="355"/>
      <c r="H56" s="338" t="str">
        <f aca="false">IF((G56&lt;&gt;0),IF((D56&gt;0)," ",G56)," ")</f>
        <v> </v>
      </c>
      <c r="I56" s="367" t="str">
        <f aca="false">IF((G56&lt;&gt;0),IF((D56&gt;0)," ",(I$1-A56))," ")</f>
        <v> </v>
      </c>
      <c r="J56" s="334" t="str">
        <f aca="false">IF((E56="s"),G56," ")</f>
        <v> </v>
      </c>
      <c r="K56" s="334" t="str">
        <f aca="false">IF((E56="d"),G56," ")</f>
        <v> </v>
      </c>
      <c r="L56" s="334" t="str">
        <f aca="false">IF((E56="e"),G56," ")</f>
        <v> </v>
      </c>
      <c r="M56" s="334" t="str">
        <f aca="false">IF((E56="p"),G56," ")</f>
        <v> </v>
      </c>
      <c r="N56" s="334" t="str">
        <f aca="false">IF((E56="r"),G56," ")</f>
        <v> </v>
      </c>
      <c r="O56" s="334" t="str">
        <f aca="false">IF((E56="g"),G56," ")</f>
        <v> </v>
      </c>
      <c r="P56" s="334" t="str">
        <f aca="false">IF((E56="m"),G56," ")</f>
        <v> </v>
      </c>
      <c r="Q56" s="334" t="str">
        <f aca="false">IF((E56="t"),G56," ")</f>
        <v> </v>
      </c>
      <c r="R56" s="334" t="str">
        <f aca="false">IF((E56="a"),G56," ")</f>
        <v> </v>
      </c>
      <c r="S56" s="334" t="str">
        <f aca="false">IF((E56="l"),G56," ")</f>
        <v> </v>
      </c>
      <c r="T56" s="334" t="str">
        <f aca="false">IF((E56="b"),G56," ")</f>
        <v> </v>
      </c>
      <c r="U56" s="334" t="str">
        <f aca="false">IF((E56="i"),G56," ")</f>
        <v> </v>
      </c>
      <c r="V56" s="334" t="str">
        <f aca="false">IF((E56="o"),G56," ")</f>
        <v> </v>
      </c>
      <c r="W56" s="334" t="str">
        <f aca="false">IF((E56="f"),G56," ")</f>
        <v> </v>
      </c>
    </row>
    <row r="57" customFormat="false" ht="12.75" hidden="false" customHeight="false" outlineLevel="0" collapsed="false">
      <c r="A57" s="355"/>
      <c r="H57" s="338" t="str">
        <f aca="false">IF((G57&lt;&gt;0),IF((D57&gt;0)," ",G57)," ")</f>
        <v> </v>
      </c>
      <c r="I57" s="367" t="str">
        <f aca="false">IF((G57&lt;&gt;0),IF((D57&gt;0)," ",(I$1-A57))," ")</f>
        <v> </v>
      </c>
      <c r="J57" s="334" t="str">
        <f aca="false">IF((E57="s"),G57," ")</f>
        <v> </v>
      </c>
      <c r="K57" s="334" t="str">
        <f aca="false">IF((E57="d"),G57," ")</f>
        <v> </v>
      </c>
      <c r="L57" s="334" t="str">
        <f aca="false">IF((E57="e"),G57," ")</f>
        <v> </v>
      </c>
      <c r="M57" s="334" t="str">
        <f aca="false">IF((E57="p"),G57," ")</f>
        <v> </v>
      </c>
      <c r="N57" s="334" t="str">
        <f aca="false">IF((E57="r"),G57," ")</f>
        <v> </v>
      </c>
      <c r="O57" s="334" t="str">
        <f aca="false">IF((E57="g"),G57," ")</f>
        <v> </v>
      </c>
      <c r="P57" s="334" t="str">
        <f aca="false">IF((E57="m"),G57," ")</f>
        <v> </v>
      </c>
      <c r="Q57" s="334" t="str">
        <f aca="false">IF((E57="t"),G57," ")</f>
        <v> </v>
      </c>
      <c r="R57" s="334" t="str">
        <f aca="false">IF((E57="a"),G57," ")</f>
        <v> </v>
      </c>
      <c r="S57" s="334" t="str">
        <f aca="false">IF((E57="l"),G57," ")</f>
        <v> </v>
      </c>
      <c r="T57" s="334" t="str">
        <f aca="false">IF((E57="b"),G57," ")</f>
        <v> </v>
      </c>
      <c r="U57" s="334" t="str">
        <f aca="false">IF((E57="i"),G57," ")</f>
        <v> </v>
      </c>
      <c r="V57" s="334" t="str">
        <f aca="false">IF((E57="o"),G57," ")</f>
        <v> </v>
      </c>
      <c r="W57" s="334" t="str">
        <f aca="false">IF((E57="f"),G57," ")</f>
        <v> </v>
      </c>
    </row>
    <row r="58" customFormat="false" ht="12.75" hidden="false" customHeight="false" outlineLevel="0" collapsed="false">
      <c r="A58" s="355"/>
      <c r="H58" s="338" t="str">
        <f aca="false">IF((G58&lt;&gt;0),IF((D58&gt;0)," ",G58)," ")</f>
        <v> </v>
      </c>
      <c r="I58" s="367" t="str">
        <f aca="false">IF((G58&lt;&gt;0),IF((D58&gt;0)," ",(I$1-A58))," ")</f>
        <v> </v>
      </c>
      <c r="J58" s="334" t="str">
        <f aca="false">IF((E58="s"),G58," ")</f>
        <v> </v>
      </c>
      <c r="K58" s="334" t="str">
        <f aca="false">IF((E58="d"),G58," ")</f>
        <v> </v>
      </c>
      <c r="L58" s="334" t="str">
        <f aca="false">IF((E58="e"),G58," ")</f>
        <v> </v>
      </c>
      <c r="M58" s="334" t="str">
        <f aca="false">IF((E58="p"),G58," ")</f>
        <v> </v>
      </c>
      <c r="N58" s="334" t="str">
        <f aca="false">IF((E58="r"),G58," ")</f>
        <v> </v>
      </c>
      <c r="O58" s="334" t="str">
        <f aca="false">IF((E58="g"),G58," ")</f>
        <v> </v>
      </c>
      <c r="P58" s="334" t="str">
        <f aca="false">IF((E58="m"),G58," ")</f>
        <v> </v>
      </c>
      <c r="Q58" s="334" t="str">
        <f aca="false">IF((E58="t"),G58," ")</f>
        <v> </v>
      </c>
      <c r="R58" s="334" t="str">
        <f aca="false">IF((E58="a"),G58," ")</f>
        <v> </v>
      </c>
      <c r="S58" s="334" t="str">
        <f aca="false">IF((E58="l"),G58," ")</f>
        <v> </v>
      </c>
      <c r="T58" s="334" t="str">
        <f aca="false">IF((E58="b"),G58," ")</f>
        <v> </v>
      </c>
      <c r="U58" s="334" t="str">
        <f aca="false">IF((E58="i"),G58," ")</f>
        <v> </v>
      </c>
      <c r="V58" s="334" t="str">
        <f aca="false">IF((E58="o"),G58," ")</f>
        <v> </v>
      </c>
      <c r="W58" s="334" t="str">
        <f aca="false">IF((E58="f"),G58," ")</f>
        <v> </v>
      </c>
    </row>
    <row r="59" customFormat="false" ht="12.75" hidden="false" customHeight="false" outlineLevel="0" collapsed="false">
      <c r="A59" s="355"/>
      <c r="H59" s="338" t="str">
        <f aca="false">IF((G59&lt;&gt;0),IF((D59&gt;0)," ",G59)," ")</f>
        <v> </v>
      </c>
      <c r="I59" s="367" t="str">
        <f aca="false">IF((G59&lt;&gt;0),IF((D59&gt;0)," ",(I$1-A59))," ")</f>
        <v> </v>
      </c>
      <c r="J59" s="334" t="str">
        <f aca="false">IF((E59="s"),G59," ")</f>
        <v> </v>
      </c>
      <c r="K59" s="334" t="str">
        <f aca="false">IF((E59="d"),G59," ")</f>
        <v> </v>
      </c>
      <c r="L59" s="334" t="str">
        <f aca="false">IF((E59="e"),G59," ")</f>
        <v> </v>
      </c>
      <c r="M59" s="334" t="str">
        <f aca="false">IF((E59="p"),G59," ")</f>
        <v> </v>
      </c>
      <c r="N59" s="334" t="str">
        <f aca="false">IF((E59="r"),G59," ")</f>
        <v> </v>
      </c>
      <c r="O59" s="334" t="str">
        <f aca="false">IF((E59="g"),G59," ")</f>
        <v> </v>
      </c>
      <c r="P59" s="334" t="str">
        <f aca="false">IF((E59="m"),G59," ")</f>
        <v> </v>
      </c>
      <c r="Q59" s="334" t="str">
        <f aca="false">IF((E59="t"),G59," ")</f>
        <v> </v>
      </c>
      <c r="R59" s="334" t="str">
        <f aca="false">IF((E59="a"),G59," ")</f>
        <v> </v>
      </c>
      <c r="S59" s="334" t="str">
        <f aca="false">IF((E59="l"),G59," ")</f>
        <v> </v>
      </c>
      <c r="T59" s="334" t="str">
        <f aca="false">IF((E59="b"),G59," ")</f>
        <v> </v>
      </c>
      <c r="U59" s="334" t="str">
        <f aca="false">IF((E59="i"),G59," ")</f>
        <v> </v>
      </c>
      <c r="V59" s="334" t="str">
        <f aca="false">IF((E59="o"),G59," ")</f>
        <v> </v>
      </c>
      <c r="W59" s="334" t="str">
        <f aca="false">IF((E59="f"),G59," ")</f>
        <v> </v>
      </c>
    </row>
    <row r="60" customFormat="false" ht="12.75" hidden="false" customHeight="false" outlineLevel="0" collapsed="false">
      <c r="A60" s="355"/>
      <c r="H60" s="338" t="str">
        <f aca="false">IF((G60&lt;&gt;0),IF((D60&gt;0)," ",G60)," ")</f>
        <v> </v>
      </c>
      <c r="I60" s="367" t="str">
        <f aca="false">IF((G60&lt;&gt;0),IF((D60&gt;0)," ",(I$1-A60))," ")</f>
        <v> </v>
      </c>
      <c r="J60" s="334" t="str">
        <f aca="false">IF((E60="s"),G60," ")</f>
        <v> </v>
      </c>
      <c r="K60" s="334" t="str">
        <f aca="false">IF((E60="d"),G60," ")</f>
        <v> </v>
      </c>
      <c r="L60" s="334" t="str">
        <f aca="false">IF((E60="e"),G60," ")</f>
        <v> </v>
      </c>
      <c r="M60" s="334" t="str">
        <f aca="false">IF((E60="p"),G60," ")</f>
        <v> </v>
      </c>
      <c r="N60" s="334" t="str">
        <f aca="false">IF((E60="r"),G60," ")</f>
        <v> </v>
      </c>
      <c r="O60" s="334" t="str">
        <f aca="false">IF((E60="g"),G60," ")</f>
        <v> </v>
      </c>
      <c r="P60" s="334" t="str">
        <f aca="false">IF((E60="m"),G60," ")</f>
        <v> </v>
      </c>
      <c r="Q60" s="334" t="str">
        <f aca="false">IF((E60="t"),G60," ")</f>
        <v> </v>
      </c>
      <c r="R60" s="334" t="str">
        <f aca="false">IF((E60="a"),G60," ")</f>
        <v> </v>
      </c>
      <c r="S60" s="334" t="str">
        <f aca="false">IF((E60="l"),G60," ")</f>
        <v> </v>
      </c>
      <c r="T60" s="334" t="str">
        <f aca="false">IF((E60="b"),G60," ")</f>
        <v> </v>
      </c>
      <c r="U60" s="334" t="str">
        <f aca="false">IF((E60="i"),G60," ")</f>
        <v> </v>
      </c>
      <c r="V60" s="334" t="str">
        <f aca="false">IF((E60="o"),G60," ")</f>
        <v> </v>
      </c>
      <c r="W60" s="334" t="str">
        <f aca="false">IF((E60="f"),G60," ")</f>
        <v> </v>
      </c>
    </row>
    <row r="61" customFormat="false" ht="12.75" hidden="false" customHeight="false" outlineLevel="0" collapsed="false">
      <c r="A61" s="355"/>
      <c r="H61" s="338" t="str">
        <f aca="false">IF((G61&lt;&gt;0),IF((D61&gt;0)," ",G61)," ")</f>
        <v> </v>
      </c>
      <c r="I61" s="367" t="str">
        <f aca="false">IF((G61&lt;&gt;0),IF((D61&gt;0)," ",(I$1-A61))," ")</f>
        <v> </v>
      </c>
      <c r="J61" s="334" t="str">
        <f aca="false">IF((E61="s"),G61," ")</f>
        <v> </v>
      </c>
      <c r="K61" s="334" t="str">
        <f aca="false">IF((E61="d"),G61," ")</f>
        <v> </v>
      </c>
      <c r="L61" s="334" t="str">
        <f aca="false">IF((E61="e"),G61," ")</f>
        <v> </v>
      </c>
      <c r="M61" s="334" t="str">
        <f aca="false">IF((E61="p"),G61," ")</f>
        <v> </v>
      </c>
      <c r="N61" s="334" t="str">
        <f aca="false">IF((E61="r"),G61," ")</f>
        <v> </v>
      </c>
      <c r="O61" s="334" t="str">
        <f aca="false">IF((E61="g"),G61," ")</f>
        <v> </v>
      </c>
      <c r="P61" s="334" t="str">
        <f aca="false">IF((E61="m"),G61," ")</f>
        <v> </v>
      </c>
      <c r="Q61" s="334" t="str">
        <f aca="false">IF((E61="t"),G61," ")</f>
        <v> </v>
      </c>
      <c r="R61" s="334" t="str">
        <f aca="false">IF((E61="a"),G61," ")</f>
        <v> </v>
      </c>
      <c r="S61" s="334" t="str">
        <f aca="false">IF((E61="l"),G61," ")</f>
        <v> </v>
      </c>
      <c r="T61" s="334" t="str">
        <f aca="false">IF((E61="b"),G61," ")</f>
        <v> </v>
      </c>
      <c r="U61" s="334" t="str">
        <f aca="false">IF((E61="i"),G61," ")</f>
        <v> </v>
      </c>
      <c r="V61" s="334" t="str">
        <f aca="false">IF((E61="o"),G61," ")</f>
        <v> </v>
      </c>
      <c r="W61" s="334" t="str">
        <f aca="false">IF((E61="f"),G61," ")</f>
        <v> </v>
      </c>
    </row>
    <row r="62" customFormat="false" ht="12.75" hidden="false" customHeight="false" outlineLevel="0" collapsed="false">
      <c r="A62" s="355"/>
      <c r="H62" s="338" t="str">
        <f aca="false">IF((G62&lt;&gt;0),IF((D62&gt;0)," ",G62)," ")</f>
        <v> </v>
      </c>
      <c r="I62" s="367" t="str">
        <f aca="false">IF((G62&lt;&gt;0),IF((D62&gt;0)," ",(I$1-A62))," ")</f>
        <v> </v>
      </c>
      <c r="J62" s="334" t="str">
        <f aca="false">IF((E62="s"),G62," ")</f>
        <v> </v>
      </c>
      <c r="K62" s="334" t="str">
        <f aca="false">IF((E62="d"),G62," ")</f>
        <v> </v>
      </c>
      <c r="L62" s="334" t="str">
        <f aca="false">IF((E62="e"),G62," ")</f>
        <v> </v>
      </c>
      <c r="M62" s="334" t="str">
        <f aca="false">IF((E62="p"),G62," ")</f>
        <v> </v>
      </c>
      <c r="N62" s="334" t="str">
        <f aca="false">IF((E62="r"),G62," ")</f>
        <v> </v>
      </c>
      <c r="O62" s="334" t="str">
        <f aca="false">IF((E62="g"),G62," ")</f>
        <v> </v>
      </c>
      <c r="P62" s="334" t="str">
        <f aca="false">IF((E62="m"),G62," ")</f>
        <v> </v>
      </c>
      <c r="Q62" s="334" t="str">
        <f aca="false">IF((E62="t"),G62," ")</f>
        <v> </v>
      </c>
      <c r="R62" s="334" t="str">
        <f aca="false">IF((E62="a"),G62," ")</f>
        <v> </v>
      </c>
      <c r="S62" s="334" t="str">
        <f aca="false">IF((E62="l"),G62," ")</f>
        <v> </v>
      </c>
      <c r="T62" s="334" t="str">
        <f aca="false">IF((E62="b"),G62," ")</f>
        <v> </v>
      </c>
      <c r="U62" s="334" t="str">
        <f aca="false">IF((E62="i"),G62," ")</f>
        <v> </v>
      </c>
      <c r="V62" s="334" t="str">
        <f aca="false">IF((E62="o"),G62," ")</f>
        <v> </v>
      </c>
      <c r="W62" s="334" t="str">
        <f aca="false">IF((E62="f"),G62," ")</f>
        <v> </v>
      </c>
    </row>
    <row r="63" customFormat="false" ht="12.75" hidden="false" customHeight="false" outlineLevel="0" collapsed="false">
      <c r="A63" s="355"/>
      <c r="H63" s="338" t="str">
        <f aca="false">IF((G63&lt;&gt;0),IF((D63&gt;0)," ",G63)," ")</f>
        <v> </v>
      </c>
      <c r="I63" s="367" t="str">
        <f aca="false">IF((G63&lt;&gt;0),IF((D63&gt;0)," ",(I$1-A63))," ")</f>
        <v> </v>
      </c>
      <c r="J63" s="334" t="str">
        <f aca="false">IF((E63="s"),G63," ")</f>
        <v> </v>
      </c>
      <c r="K63" s="334" t="str">
        <f aca="false">IF((E63="d"),G63," ")</f>
        <v> </v>
      </c>
      <c r="L63" s="334" t="str">
        <f aca="false">IF((E63="e"),G63," ")</f>
        <v> </v>
      </c>
      <c r="M63" s="334" t="str">
        <f aca="false">IF((E63="p"),G63," ")</f>
        <v> </v>
      </c>
      <c r="N63" s="334" t="str">
        <f aca="false">IF((E63="r"),G63," ")</f>
        <v> </v>
      </c>
      <c r="O63" s="334" t="str">
        <f aca="false">IF((E63="g"),G63," ")</f>
        <v> </v>
      </c>
      <c r="P63" s="334" t="str">
        <f aca="false">IF((E63="m"),G63," ")</f>
        <v> </v>
      </c>
      <c r="Q63" s="334" t="str">
        <f aca="false">IF((E63="t"),G63," ")</f>
        <v> </v>
      </c>
      <c r="R63" s="334" t="str">
        <f aca="false">IF((E63="a"),G63," ")</f>
        <v> </v>
      </c>
      <c r="S63" s="334" t="str">
        <f aca="false">IF((E63="l"),G63," ")</f>
        <v> </v>
      </c>
      <c r="T63" s="334" t="str">
        <f aca="false">IF((E63="b"),G63," ")</f>
        <v> </v>
      </c>
      <c r="U63" s="334" t="str">
        <f aca="false">IF((E63="i"),G63," ")</f>
        <v> </v>
      </c>
      <c r="V63" s="334" t="str">
        <f aca="false">IF((E63="o"),G63," ")</f>
        <v> </v>
      </c>
      <c r="W63" s="334" t="str">
        <f aca="false">IF((E63="f"),G63," ")</f>
        <v> </v>
      </c>
    </row>
    <row r="64" customFormat="false" ht="12.75" hidden="false" customHeight="false" outlineLevel="0" collapsed="false">
      <c r="A64" s="355"/>
      <c r="H64" s="338" t="str">
        <f aca="false">IF((G64&lt;&gt;0),IF((D64&gt;0)," ",G64)," ")</f>
        <v> </v>
      </c>
      <c r="I64" s="367" t="str">
        <f aca="false">IF((G64&lt;&gt;0),IF((D64&gt;0)," ",(I$1-A64))," ")</f>
        <v> </v>
      </c>
      <c r="J64" s="334" t="str">
        <f aca="false">IF((E64="s"),G64," ")</f>
        <v> </v>
      </c>
      <c r="K64" s="334" t="str">
        <f aca="false">IF((E64="d"),G64," ")</f>
        <v> </v>
      </c>
      <c r="L64" s="334" t="str">
        <f aca="false">IF((E64="e"),G64," ")</f>
        <v> </v>
      </c>
      <c r="M64" s="334" t="str">
        <f aca="false">IF((E64="p"),G64," ")</f>
        <v> </v>
      </c>
      <c r="N64" s="334" t="str">
        <f aca="false">IF((E64="r"),G64," ")</f>
        <v> </v>
      </c>
      <c r="O64" s="334" t="str">
        <f aca="false">IF((E64="g"),G64," ")</f>
        <v> </v>
      </c>
      <c r="P64" s="334" t="str">
        <f aca="false">IF((E64="m"),G64," ")</f>
        <v> </v>
      </c>
      <c r="Q64" s="334" t="str">
        <f aca="false">IF((E64="t"),G64," ")</f>
        <v> </v>
      </c>
      <c r="R64" s="334" t="str">
        <f aca="false">IF((E64="a"),G64," ")</f>
        <v> </v>
      </c>
      <c r="S64" s="334" t="str">
        <f aca="false">IF((E64="l"),G64," ")</f>
        <v> </v>
      </c>
      <c r="T64" s="334" t="str">
        <f aca="false">IF((E64="b"),G64," ")</f>
        <v> </v>
      </c>
      <c r="U64" s="334" t="str">
        <f aca="false">IF((E64="i"),G64," ")</f>
        <v> </v>
      </c>
      <c r="V64" s="334" t="str">
        <f aca="false">IF((E64="o"),G64," ")</f>
        <v> </v>
      </c>
      <c r="W64" s="334" t="str">
        <f aca="false">IF((E64="f"),G64," ")</f>
        <v> </v>
      </c>
    </row>
    <row r="65" customFormat="false" ht="12.75" hidden="false" customHeight="false" outlineLevel="0" collapsed="false">
      <c r="A65" s="355"/>
      <c r="H65" s="338" t="str">
        <f aca="false">IF((G65&lt;&gt;0),IF((D65&gt;0)," ",G65)," ")</f>
        <v> </v>
      </c>
      <c r="I65" s="367" t="str">
        <f aca="false">IF((G65&lt;&gt;0),IF((D65&gt;0)," ",(I$1-A65))," ")</f>
        <v> </v>
      </c>
      <c r="J65" s="334" t="str">
        <f aca="false">IF((E65="s"),G65," ")</f>
        <v> </v>
      </c>
      <c r="K65" s="334" t="str">
        <f aca="false">IF((E65="d"),G65," ")</f>
        <v> </v>
      </c>
      <c r="L65" s="334" t="str">
        <f aca="false">IF((E65="e"),G65," ")</f>
        <v> </v>
      </c>
      <c r="M65" s="334" t="str">
        <f aca="false">IF((E65="p"),G65," ")</f>
        <v> </v>
      </c>
      <c r="N65" s="334" t="str">
        <f aca="false">IF((E65="r"),G65," ")</f>
        <v> </v>
      </c>
      <c r="O65" s="334" t="str">
        <f aca="false">IF((E65="g"),G65," ")</f>
        <v> </v>
      </c>
      <c r="P65" s="334" t="str">
        <f aca="false">IF((E65="m"),G65," ")</f>
        <v> </v>
      </c>
      <c r="Q65" s="334" t="str">
        <f aca="false">IF((E65="t"),G65," ")</f>
        <v> </v>
      </c>
      <c r="R65" s="334" t="str">
        <f aca="false">IF((E65="a"),G65," ")</f>
        <v> </v>
      </c>
      <c r="S65" s="334" t="str">
        <f aca="false">IF((E65="l"),G65," ")</f>
        <v> </v>
      </c>
      <c r="T65" s="334" t="str">
        <f aca="false">IF((E65="b"),G65," ")</f>
        <v> </v>
      </c>
      <c r="U65" s="334" t="str">
        <f aca="false">IF((E65="i"),G65," ")</f>
        <v> </v>
      </c>
      <c r="V65" s="334" t="str">
        <f aca="false">IF((E65="o"),G65," ")</f>
        <v> </v>
      </c>
      <c r="W65" s="334" t="str">
        <f aca="false">IF((E65="f"),G65," ")</f>
        <v> </v>
      </c>
    </row>
    <row r="66" customFormat="false" ht="12.75" hidden="false" customHeight="false" outlineLevel="0" collapsed="false">
      <c r="A66" s="355"/>
      <c r="H66" s="338" t="str">
        <f aca="false">IF((G66&lt;&gt;0),IF((D66&gt;0)," ",G66)," ")</f>
        <v> </v>
      </c>
      <c r="I66" s="367" t="str">
        <f aca="false">IF((G66&lt;&gt;0),IF((D66&gt;0)," ",(I$1-A66))," ")</f>
        <v> </v>
      </c>
      <c r="J66" s="334" t="str">
        <f aca="false">IF((E66="s"),G66," ")</f>
        <v> </v>
      </c>
      <c r="K66" s="334" t="str">
        <f aca="false">IF((E66="d"),G66," ")</f>
        <v> </v>
      </c>
      <c r="L66" s="334" t="str">
        <f aca="false">IF((E66="e"),G66," ")</f>
        <v> </v>
      </c>
      <c r="M66" s="334" t="str">
        <f aca="false">IF((E66="p"),G66," ")</f>
        <v> </v>
      </c>
      <c r="N66" s="334" t="str">
        <f aca="false">IF((E66="r"),G66," ")</f>
        <v> </v>
      </c>
      <c r="O66" s="334" t="str">
        <f aca="false">IF((E66="g"),G66," ")</f>
        <v> </v>
      </c>
      <c r="P66" s="334" t="str">
        <f aca="false">IF((E66="m"),G66," ")</f>
        <v> </v>
      </c>
      <c r="Q66" s="334" t="str">
        <f aca="false">IF((E66="t"),G66," ")</f>
        <v> </v>
      </c>
      <c r="R66" s="334" t="str">
        <f aca="false">IF((E66="a"),G66," ")</f>
        <v> </v>
      </c>
      <c r="S66" s="334" t="str">
        <f aca="false">IF((E66="l"),G66," ")</f>
        <v> </v>
      </c>
      <c r="T66" s="334" t="str">
        <f aca="false">IF((E66="b"),G66," ")</f>
        <v> </v>
      </c>
      <c r="U66" s="334" t="str">
        <f aca="false">IF((E66="i"),G66," ")</f>
        <v> </v>
      </c>
      <c r="V66" s="334" t="str">
        <f aca="false">IF((E66="o"),G66," ")</f>
        <v> </v>
      </c>
      <c r="W66" s="334" t="str">
        <f aca="false">IF((E66="f"),G66," ")</f>
        <v> </v>
      </c>
    </row>
    <row r="67" customFormat="false" ht="12.75" hidden="false" customHeight="false" outlineLevel="0" collapsed="false">
      <c r="A67" s="355"/>
      <c r="H67" s="338" t="str">
        <f aca="false">IF((G67&lt;&gt;0),IF((D67&gt;0)," ",G67)," ")</f>
        <v> </v>
      </c>
      <c r="I67" s="367" t="str">
        <f aca="false">IF((G67&lt;&gt;0),IF((D67&gt;0)," ",(I$1-A67))," ")</f>
        <v> </v>
      </c>
      <c r="J67" s="334" t="str">
        <f aca="false">IF((E67="s"),G67," ")</f>
        <v> </v>
      </c>
      <c r="K67" s="334" t="str">
        <f aca="false">IF((E67="d"),G67," ")</f>
        <v> </v>
      </c>
      <c r="L67" s="334" t="str">
        <f aca="false">IF((E67="e"),G67," ")</f>
        <v> </v>
      </c>
      <c r="M67" s="334" t="str">
        <f aca="false">IF((E67="p"),G67," ")</f>
        <v> </v>
      </c>
      <c r="N67" s="334" t="str">
        <f aca="false">IF((E67="r"),G67," ")</f>
        <v> </v>
      </c>
      <c r="O67" s="334" t="str">
        <f aca="false">IF((E67="g"),G67," ")</f>
        <v> </v>
      </c>
      <c r="P67" s="334" t="str">
        <f aca="false">IF((E67="m"),G67," ")</f>
        <v> </v>
      </c>
      <c r="Q67" s="334" t="str">
        <f aca="false">IF((E67="t"),G67," ")</f>
        <v> </v>
      </c>
      <c r="R67" s="334" t="str">
        <f aca="false">IF((E67="a"),G67," ")</f>
        <v> </v>
      </c>
      <c r="S67" s="334" t="str">
        <f aca="false">IF((E67="l"),G67," ")</f>
        <v> </v>
      </c>
      <c r="T67" s="334" t="str">
        <f aca="false">IF((E67="b"),G67," ")</f>
        <v> </v>
      </c>
      <c r="U67" s="334" t="str">
        <f aca="false">IF((E67="i"),G67," ")</f>
        <v> </v>
      </c>
      <c r="V67" s="334" t="str">
        <f aca="false">IF((E67="o"),G67," ")</f>
        <v> </v>
      </c>
      <c r="W67" s="334" t="str">
        <f aca="false">IF((E67="f"),G67," ")</f>
        <v> </v>
      </c>
    </row>
    <row r="68" customFormat="false" ht="12.75" hidden="false" customHeight="false" outlineLevel="0" collapsed="false">
      <c r="A68" s="355"/>
      <c r="H68" s="338" t="str">
        <f aca="false">IF((G68&lt;&gt;0),IF((D68&gt;0)," ",G68)," ")</f>
        <v> </v>
      </c>
      <c r="I68" s="367" t="str">
        <f aca="false">IF((G68&lt;&gt;0),IF((D68&gt;0)," ",(I$1-A68))," ")</f>
        <v> </v>
      </c>
      <c r="J68" s="334" t="str">
        <f aca="false">IF((E68="s"),G68," ")</f>
        <v> </v>
      </c>
      <c r="K68" s="334" t="str">
        <f aca="false">IF((E68="d"),G68," ")</f>
        <v> </v>
      </c>
      <c r="L68" s="334" t="str">
        <f aca="false">IF((E68="e"),G68," ")</f>
        <v> </v>
      </c>
      <c r="M68" s="334" t="str">
        <f aca="false">IF((E68="p"),G68," ")</f>
        <v> </v>
      </c>
      <c r="N68" s="334" t="str">
        <f aca="false">IF((E68="r"),G68," ")</f>
        <v> </v>
      </c>
      <c r="O68" s="334" t="str">
        <f aca="false">IF((E68="g"),G68," ")</f>
        <v> </v>
      </c>
      <c r="P68" s="334" t="str">
        <f aca="false">IF((E68="m"),G68," ")</f>
        <v> </v>
      </c>
      <c r="Q68" s="334" t="str">
        <f aca="false">IF((E68="t"),G68," ")</f>
        <v> </v>
      </c>
      <c r="R68" s="334" t="str">
        <f aca="false">IF((E68="a"),G68," ")</f>
        <v> </v>
      </c>
      <c r="S68" s="334" t="str">
        <f aca="false">IF((E68="l"),G68," ")</f>
        <v> </v>
      </c>
      <c r="T68" s="334" t="str">
        <f aca="false">IF((E68="b"),G68," ")</f>
        <v> </v>
      </c>
      <c r="U68" s="334" t="str">
        <f aca="false">IF((E68="i"),G68," ")</f>
        <v> </v>
      </c>
      <c r="V68" s="334" t="str">
        <f aca="false">IF((E68="o"),G68," ")</f>
        <v> </v>
      </c>
      <c r="W68" s="334" t="str">
        <f aca="false">IF((E68="f"),G68," ")</f>
        <v> </v>
      </c>
    </row>
    <row r="69" customFormat="false" ht="12.75" hidden="false" customHeight="false" outlineLevel="0" collapsed="false">
      <c r="A69" s="355"/>
      <c r="E69" s="365" t="str">
        <f aca="false">IF((G69&lt;&gt;0),"Enter Letter"," ")</f>
        <v> </v>
      </c>
      <c r="H69" s="338" t="str">
        <f aca="false">IF((G69&lt;&gt;0),IF((D69&gt;0)," ",G69)," ")</f>
        <v> </v>
      </c>
      <c r="I69" s="367" t="str">
        <f aca="false">IF((G69&lt;&gt;0),IF((D69&gt;0)," ",(I$1-A69))," ")</f>
        <v> </v>
      </c>
      <c r="J69" s="334" t="str">
        <f aca="false">IF((E69="s"),G69," ")</f>
        <v> </v>
      </c>
      <c r="K69" s="334" t="str">
        <f aca="false">IF((E69="d"),G69," ")</f>
        <v> </v>
      </c>
      <c r="L69" s="334" t="str">
        <f aca="false">IF((E69="e"),G69," ")</f>
        <v> </v>
      </c>
      <c r="M69" s="334" t="str">
        <f aca="false">IF((E69="p"),G69," ")</f>
        <v> </v>
      </c>
      <c r="N69" s="334" t="str">
        <f aca="false">IF((E69="r"),G69," ")</f>
        <v> </v>
      </c>
      <c r="O69" s="334" t="str">
        <f aca="false">IF((E69="g"),G69," ")</f>
        <v> </v>
      </c>
      <c r="P69" s="334" t="str">
        <f aca="false">IF((E69="m"),G69," ")</f>
        <v> </v>
      </c>
      <c r="Q69" s="334" t="str">
        <f aca="false">IF((E69="t"),G69," ")</f>
        <v> </v>
      </c>
      <c r="R69" s="334" t="str">
        <f aca="false">IF((E69="a"),G69," ")</f>
        <v> </v>
      </c>
      <c r="S69" s="334" t="str">
        <f aca="false">IF((E69="l"),G69," ")</f>
        <v> </v>
      </c>
      <c r="T69" s="334" t="str">
        <f aca="false">IF((E69="b"),G69," ")</f>
        <v> </v>
      </c>
      <c r="U69" s="334" t="str">
        <f aca="false">IF((E69="i"),G69," ")</f>
        <v> </v>
      </c>
      <c r="V69" s="334" t="str">
        <f aca="false">IF((E69="o"),G69," ")</f>
        <v> </v>
      </c>
      <c r="W69" s="334" t="str">
        <f aca="false">IF((E69="f"),G69," ")</f>
        <v> </v>
      </c>
    </row>
    <row r="70" customFormat="false" ht="12.75" hidden="false" customHeight="false" outlineLevel="0" collapsed="false">
      <c r="A70" s="355"/>
      <c r="E70" s="365" t="str">
        <f aca="false">IF((G70&lt;&gt;0),"Enter Letter"," ")</f>
        <v> </v>
      </c>
      <c r="H70" s="338" t="str">
        <f aca="false">IF((G70&lt;&gt;0),IF((D70&gt;0)," ",G70)," ")</f>
        <v> </v>
      </c>
      <c r="I70" s="367" t="str">
        <f aca="false">IF((G70&lt;&gt;0),IF((D70&gt;0)," ",(I$1-A70))," ")</f>
        <v> </v>
      </c>
      <c r="J70" s="334" t="str">
        <f aca="false">IF((E70="s"),G70," ")</f>
        <v> </v>
      </c>
      <c r="K70" s="334" t="str">
        <f aca="false">IF((E70="d"),G70," ")</f>
        <v> </v>
      </c>
      <c r="L70" s="334" t="str">
        <f aca="false">IF((E70="e"),G70," ")</f>
        <v> </v>
      </c>
      <c r="M70" s="334" t="str">
        <f aca="false">IF((E70="p"),G70," ")</f>
        <v> </v>
      </c>
      <c r="N70" s="334" t="str">
        <f aca="false">IF((E70="r"),G70," ")</f>
        <v> </v>
      </c>
      <c r="O70" s="334" t="str">
        <f aca="false">IF((E70="g"),G70," ")</f>
        <v> </v>
      </c>
      <c r="P70" s="334" t="str">
        <f aca="false">IF((E70="m"),G70," ")</f>
        <v> </v>
      </c>
      <c r="Q70" s="334" t="str">
        <f aca="false">IF((E70="t"),G70," ")</f>
        <v> </v>
      </c>
      <c r="R70" s="334" t="str">
        <f aca="false">IF((E70="a"),G70," ")</f>
        <v> </v>
      </c>
      <c r="S70" s="334" t="str">
        <f aca="false">IF((E70="l"),G70," ")</f>
        <v> </v>
      </c>
      <c r="T70" s="334" t="str">
        <f aca="false">IF((E70="b"),G70," ")</f>
        <v> </v>
      </c>
      <c r="U70" s="334" t="str">
        <f aca="false">IF((E70="i"),G70," ")</f>
        <v> </v>
      </c>
      <c r="V70" s="334" t="str">
        <f aca="false">IF((E70="o"),G70," ")</f>
        <v> </v>
      </c>
      <c r="W70" s="334" t="str">
        <f aca="false">IF((E70="f"),G70," ")</f>
        <v> </v>
      </c>
    </row>
    <row r="71" customFormat="false" ht="12.75" hidden="false" customHeight="false" outlineLevel="0" collapsed="false">
      <c r="A71" s="355"/>
      <c r="E71" s="365" t="str">
        <f aca="false">IF((G71&lt;&gt;0),"Enter Letter"," ")</f>
        <v> </v>
      </c>
      <c r="H71" s="338" t="str">
        <f aca="false">IF((G71&lt;&gt;0),IF((D71&gt;0)," ",G71)," ")</f>
        <v> </v>
      </c>
      <c r="I71" s="367" t="str">
        <f aca="false">IF((G71&lt;&gt;0),IF((D71&gt;0)," ",(I$1-A71))," ")</f>
        <v> </v>
      </c>
      <c r="J71" s="334" t="str">
        <f aca="false">IF((E71="s"),G71," ")</f>
        <v> </v>
      </c>
      <c r="K71" s="334" t="str">
        <f aca="false">IF((E71="d"),G71," ")</f>
        <v> </v>
      </c>
      <c r="L71" s="334" t="str">
        <f aca="false">IF((E71="e"),G71," ")</f>
        <v> </v>
      </c>
      <c r="M71" s="334" t="str">
        <f aca="false">IF((E71="p"),G71," ")</f>
        <v> </v>
      </c>
      <c r="N71" s="334" t="str">
        <f aca="false">IF((E71="r"),G71," ")</f>
        <v> </v>
      </c>
      <c r="O71" s="334" t="str">
        <f aca="false">IF((E71="g"),G71," ")</f>
        <v> </v>
      </c>
      <c r="P71" s="334" t="str">
        <f aca="false">IF((E71="m"),G71," ")</f>
        <v> </v>
      </c>
      <c r="Q71" s="334" t="str">
        <f aca="false">IF((E71="t"),G71," ")</f>
        <v> </v>
      </c>
      <c r="R71" s="334" t="str">
        <f aca="false">IF((E71="a"),G71," ")</f>
        <v> </v>
      </c>
      <c r="S71" s="334" t="str">
        <f aca="false">IF((E71="l"),G71," ")</f>
        <v> </v>
      </c>
      <c r="T71" s="334" t="str">
        <f aca="false">IF((E71="b"),G71," ")</f>
        <v> </v>
      </c>
      <c r="U71" s="334" t="str">
        <f aca="false">IF((E71="i"),G71," ")</f>
        <v> </v>
      </c>
      <c r="V71" s="334" t="str">
        <f aca="false">IF((E71="o"),G71," ")</f>
        <v> </v>
      </c>
      <c r="W71" s="334" t="str">
        <f aca="false">IF((E71="f"),G71," ")</f>
        <v> </v>
      </c>
    </row>
    <row r="72" customFormat="false" ht="12.75" hidden="false" customHeight="false" outlineLevel="0" collapsed="false">
      <c r="A72" s="355"/>
      <c r="E72" s="365" t="str">
        <f aca="false">IF((G72&lt;&gt;0),"Enter Letter"," ")</f>
        <v> </v>
      </c>
      <c r="H72" s="338" t="str">
        <f aca="false">IF((G72&lt;&gt;0),IF((D72&gt;0)," ",G72)," ")</f>
        <v> </v>
      </c>
      <c r="I72" s="367" t="str">
        <f aca="false">IF((G72&lt;&gt;0),IF((D72&gt;0)," ",(I$1-A72))," ")</f>
        <v> </v>
      </c>
      <c r="J72" s="334" t="str">
        <f aca="false">IF((E72="s"),G72," ")</f>
        <v> </v>
      </c>
      <c r="K72" s="334" t="str">
        <f aca="false">IF((E72="d"),G72," ")</f>
        <v> </v>
      </c>
      <c r="L72" s="334" t="str">
        <f aca="false">IF((E72="e"),G72," ")</f>
        <v> </v>
      </c>
      <c r="M72" s="334" t="str">
        <f aca="false">IF((E72="p"),G72," ")</f>
        <v> </v>
      </c>
      <c r="N72" s="334" t="str">
        <f aca="false">IF((E72="r"),G72," ")</f>
        <v> </v>
      </c>
      <c r="O72" s="334" t="str">
        <f aca="false">IF((E72="g"),G72," ")</f>
        <v> </v>
      </c>
      <c r="P72" s="334" t="str">
        <f aca="false">IF((E72="m"),G72," ")</f>
        <v> </v>
      </c>
      <c r="Q72" s="334" t="str">
        <f aca="false">IF((E72="t"),G72," ")</f>
        <v> </v>
      </c>
      <c r="R72" s="334" t="str">
        <f aca="false">IF((E72="a"),G72," ")</f>
        <v> </v>
      </c>
      <c r="S72" s="334" t="str">
        <f aca="false">IF((E72="l"),G72," ")</f>
        <v> </v>
      </c>
      <c r="T72" s="334" t="str">
        <f aca="false">IF((E72="b"),G72," ")</f>
        <v> </v>
      </c>
      <c r="U72" s="334" t="str">
        <f aca="false">IF((E72="i"),G72," ")</f>
        <v> </v>
      </c>
      <c r="V72" s="334" t="str">
        <f aca="false">IF((E72="o"),G72," ")</f>
        <v> </v>
      </c>
      <c r="W72" s="334" t="str">
        <f aca="false">IF((E72="f"),G72," ")</f>
        <v> </v>
      </c>
    </row>
    <row r="73" customFormat="false" ht="12.75" hidden="false" customHeight="false" outlineLevel="0" collapsed="false">
      <c r="A73" s="355"/>
      <c r="E73" s="365" t="str">
        <f aca="false">IF((G73&lt;&gt;0),"Enter Letter"," ")</f>
        <v> </v>
      </c>
      <c r="H73" s="338" t="str">
        <f aca="false">IF((G73&lt;&gt;0),IF((D73&gt;0)," ",G73)," ")</f>
        <v> </v>
      </c>
      <c r="I73" s="367" t="str">
        <f aca="false">IF((G73&lt;&gt;0),IF((D73&gt;0)," ",(I$1-A73))," ")</f>
        <v> </v>
      </c>
      <c r="J73" s="334" t="str">
        <f aca="false">IF((E73="s"),G73," ")</f>
        <v> </v>
      </c>
      <c r="K73" s="334" t="str">
        <f aca="false">IF((E73="d"),G73," ")</f>
        <v> </v>
      </c>
      <c r="L73" s="334" t="str">
        <f aca="false">IF((E73="e"),G73," ")</f>
        <v> </v>
      </c>
      <c r="M73" s="334" t="str">
        <f aca="false">IF((E73="p"),G73," ")</f>
        <v> </v>
      </c>
      <c r="N73" s="334" t="str">
        <f aca="false">IF((E73="r"),G73," ")</f>
        <v> </v>
      </c>
      <c r="O73" s="334" t="str">
        <f aca="false">IF((E73="g"),G73," ")</f>
        <v> </v>
      </c>
      <c r="P73" s="334" t="str">
        <f aca="false">IF((E73="m"),G73," ")</f>
        <v> </v>
      </c>
      <c r="Q73" s="334" t="str">
        <f aca="false">IF((E73="t"),G73," ")</f>
        <v> </v>
      </c>
      <c r="R73" s="334" t="str">
        <f aca="false">IF((E73="a"),G73," ")</f>
        <v> </v>
      </c>
      <c r="S73" s="334" t="str">
        <f aca="false">IF((E73="l"),G73," ")</f>
        <v> </v>
      </c>
      <c r="T73" s="334" t="str">
        <f aca="false">IF((E73="b"),G73," ")</f>
        <v> </v>
      </c>
      <c r="U73" s="334" t="str">
        <f aca="false">IF((E73="i"),G73," ")</f>
        <v> </v>
      </c>
      <c r="V73" s="334" t="str">
        <f aca="false">IF((E73="o"),G73," ")</f>
        <v> </v>
      </c>
      <c r="W73" s="334" t="str">
        <f aca="false">IF((E73="f"),G73," ")</f>
        <v> </v>
      </c>
    </row>
    <row r="74" customFormat="false" ht="12.75" hidden="false" customHeight="false" outlineLevel="0" collapsed="false">
      <c r="A74" s="355"/>
      <c r="E74" s="365" t="str">
        <f aca="false">IF((G74&lt;&gt;0),"Enter Letter"," ")</f>
        <v> </v>
      </c>
      <c r="H74" s="338" t="str">
        <f aca="false">IF((G74&lt;&gt;0),IF((D74&gt;0)," ",G74)," ")</f>
        <v> </v>
      </c>
      <c r="I74" s="367" t="str">
        <f aca="false">IF((G74&lt;&gt;0),IF((D74&gt;0)," ",(I$1-A74))," ")</f>
        <v> </v>
      </c>
      <c r="J74" s="334" t="str">
        <f aca="false">IF((E74="s"),G74," ")</f>
        <v> </v>
      </c>
      <c r="K74" s="334" t="str">
        <f aca="false">IF((E74="d"),G74," ")</f>
        <v> </v>
      </c>
      <c r="L74" s="334" t="str">
        <f aca="false">IF((E74="e"),G74," ")</f>
        <v> </v>
      </c>
      <c r="M74" s="334" t="str">
        <f aca="false">IF((E74="p"),G74," ")</f>
        <v> </v>
      </c>
      <c r="N74" s="334" t="str">
        <f aca="false">IF((E74="r"),G74," ")</f>
        <v> </v>
      </c>
      <c r="O74" s="334" t="str">
        <f aca="false">IF((E74="g"),G74," ")</f>
        <v> </v>
      </c>
      <c r="P74" s="334" t="str">
        <f aca="false">IF((E74="m"),G74," ")</f>
        <v> </v>
      </c>
      <c r="Q74" s="334" t="str">
        <f aca="false">IF((E74="t"),G74," ")</f>
        <v> </v>
      </c>
      <c r="R74" s="334" t="str">
        <f aca="false">IF((E74="a"),G74," ")</f>
        <v> </v>
      </c>
      <c r="S74" s="334" t="str">
        <f aca="false">IF((E74="l"),G74," ")</f>
        <v> </v>
      </c>
      <c r="T74" s="334" t="str">
        <f aca="false">IF((E74="b"),G74," ")</f>
        <v> </v>
      </c>
      <c r="U74" s="334" t="str">
        <f aca="false">IF((E74="i"),G74," ")</f>
        <v> </v>
      </c>
      <c r="V74" s="334" t="str">
        <f aca="false">IF((E74="o"),G74," ")</f>
        <v> </v>
      </c>
      <c r="W74" s="334" t="str">
        <f aca="false">IF((E74="f"),G74," ")</f>
        <v> </v>
      </c>
    </row>
    <row r="75" customFormat="false" ht="12.75" hidden="false" customHeight="false" outlineLevel="0" collapsed="false">
      <c r="A75" s="355"/>
      <c r="E75" s="365" t="str">
        <f aca="false">IF((G75&lt;&gt;0),"Enter Letter"," ")</f>
        <v> </v>
      </c>
      <c r="H75" s="338" t="str">
        <f aca="false">IF((G75&lt;&gt;0),IF((D75&gt;0)," ",G75)," ")</f>
        <v> </v>
      </c>
      <c r="I75" s="367" t="str">
        <f aca="false">IF((G75&lt;&gt;0),IF((D75&gt;0)," ",(I$1-A75))," ")</f>
        <v> </v>
      </c>
      <c r="J75" s="334" t="str">
        <f aca="false">IF((E75="s"),G75," ")</f>
        <v> </v>
      </c>
      <c r="K75" s="334" t="str">
        <f aca="false">IF((E75="d"),G75," ")</f>
        <v> </v>
      </c>
      <c r="L75" s="334" t="str">
        <f aca="false">IF((E75="e"),G75," ")</f>
        <v> </v>
      </c>
      <c r="M75" s="334" t="str">
        <f aca="false">IF((E75="p"),G75," ")</f>
        <v> </v>
      </c>
      <c r="N75" s="334" t="str">
        <f aca="false">IF((E75="r"),G75," ")</f>
        <v> </v>
      </c>
      <c r="O75" s="334" t="str">
        <f aca="false">IF((E75="g"),G75," ")</f>
        <v> </v>
      </c>
      <c r="P75" s="334" t="str">
        <f aca="false">IF((E75="m"),G75," ")</f>
        <v> </v>
      </c>
      <c r="Q75" s="334" t="str">
        <f aca="false">IF((E75="t"),G75," ")</f>
        <v> </v>
      </c>
      <c r="R75" s="334" t="str">
        <f aca="false">IF((E75="a"),G75," ")</f>
        <v> </v>
      </c>
      <c r="S75" s="334" t="str">
        <f aca="false">IF((E75="l"),G75," ")</f>
        <v> </v>
      </c>
      <c r="T75" s="334" t="str">
        <f aca="false">IF((E75="b"),G75," ")</f>
        <v> </v>
      </c>
      <c r="U75" s="334" t="str">
        <f aca="false">IF((E75="i"),G75," ")</f>
        <v> </v>
      </c>
      <c r="V75" s="334" t="str">
        <f aca="false">IF((E75="o"),G75," ")</f>
        <v> </v>
      </c>
      <c r="W75" s="334" t="str">
        <f aca="false">IF((E75="f"),G75," ")</f>
        <v> </v>
      </c>
    </row>
    <row r="76" customFormat="false" ht="12.75" hidden="false" customHeight="false" outlineLevel="0" collapsed="false">
      <c r="A76" s="355"/>
      <c r="E76" s="365" t="str">
        <f aca="false">IF((G76&lt;&gt;0),"Enter Letter"," ")</f>
        <v> </v>
      </c>
      <c r="H76" s="338" t="str">
        <f aca="false">IF((G76&lt;&gt;0),IF((D76&gt;0)," ",G76)," ")</f>
        <v> </v>
      </c>
      <c r="I76" s="367" t="str">
        <f aca="false">IF((G76&lt;&gt;0),IF((D76&gt;0)," ",(I$1-A76))," ")</f>
        <v> </v>
      </c>
      <c r="J76" s="334" t="str">
        <f aca="false">IF((E76="s"),G76," ")</f>
        <v> </v>
      </c>
      <c r="K76" s="334" t="str">
        <f aca="false">IF((E76="d"),G76," ")</f>
        <v> </v>
      </c>
      <c r="L76" s="334" t="str">
        <f aca="false">IF((E76="e"),G76," ")</f>
        <v> </v>
      </c>
      <c r="M76" s="334" t="str">
        <f aca="false">IF((E76="p"),G76," ")</f>
        <v> </v>
      </c>
      <c r="N76" s="334" t="str">
        <f aca="false">IF((E76="r"),G76," ")</f>
        <v> </v>
      </c>
      <c r="O76" s="334" t="str">
        <f aca="false">IF((E76="g"),G76," ")</f>
        <v> </v>
      </c>
      <c r="P76" s="334" t="str">
        <f aca="false">IF((E76="m"),G76," ")</f>
        <v> </v>
      </c>
      <c r="Q76" s="334" t="str">
        <f aca="false">IF((E76="t"),G76," ")</f>
        <v> </v>
      </c>
      <c r="R76" s="334" t="str">
        <f aca="false">IF((E76="a"),G76," ")</f>
        <v> </v>
      </c>
      <c r="S76" s="334" t="str">
        <f aca="false">IF((E76="l"),G76," ")</f>
        <v> </v>
      </c>
      <c r="T76" s="334" t="str">
        <f aca="false">IF((E76="b"),G76," ")</f>
        <v> </v>
      </c>
      <c r="U76" s="334" t="str">
        <f aca="false">IF((E76="i"),G76," ")</f>
        <v> </v>
      </c>
      <c r="V76" s="334" t="str">
        <f aca="false">IF((E76="o"),G76," ")</f>
        <v> </v>
      </c>
      <c r="W76" s="334" t="str">
        <f aca="false">IF((E76="f"),G76," ")</f>
        <v> </v>
      </c>
    </row>
    <row r="77" customFormat="false" ht="12.75" hidden="false" customHeight="false" outlineLevel="0" collapsed="false">
      <c r="A77" s="355"/>
      <c r="E77" s="365" t="str">
        <f aca="false">IF((G77&lt;&gt;0),"Enter Letter"," ")</f>
        <v> </v>
      </c>
      <c r="H77" s="338" t="str">
        <f aca="false">IF((G77&lt;&gt;0),IF((D77&gt;0)," ",G77)," ")</f>
        <v> </v>
      </c>
      <c r="I77" s="367" t="str">
        <f aca="false">IF((G77&lt;&gt;0),IF((D77&gt;0)," ",(I$1-A77))," ")</f>
        <v> </v>
      </c>
      <c r="J77" s="334" t="str">
        <f aca="false">IF((E77="s"),G77," ")</f>
        <v> </v>
      </c>
      <c r="K77" s="334" t="str">
        <f aca="false">IF((E77="d"),G77," ")</f>
        <v> </v>
      </c>
      <c r="L77" s="334" t="str">
        <f aca="false">IF((E77="e"),G77," ")</f>
        <v> </v>
      </c>
      <c r="M77" s="334" t="str">
        <f aca="false">IF((E77="p"),G77," ")</f>
        <v> </v>
      </c>
      <c r="N77" s="334" t="str">
        <f aca="false">IF((E77="r"),G77," ")</f>
        <v> </v>
      </c>
      <c r="O77" s="334" t="str">
        <f aca="false">IF((E77="g"),G77," ")</f>
        <v> </v>
      </c>
      <c r="P77" s="334" t="str">
        <f aca="false">IF((E77="m"),G77," ")</f>
        <v> </v>
      </c>
      <c r="Q77" s="334" t="str">
        <f aca="false">IF((E77="t"),G77," ")</f>
        <v> </v>
      </c>
      <c r="R77" s="334" t="str">
        <f aca="false">IF((E77="a"),G77," ")</f>
        <v> </v>
      </c>
      <c r="S77" s="334" t="str">
        <f aca="false">IF((E77="l"),G77," ")</f>
        <v> </v>
      </c>
      <c r="T77" s="334" t="str">
        <f aca="false">IF((E77="b"),G77," ")</f>
        <v> </v>
      </c>
      <c r="U77" s="334" t="str">
        <f aca="false">IF((E77="i"),G77," ")</f>
        <v> </v>
      </c>
      <c r="V77" s="334" t="str">
        <f aca="false">IF((E77="o"),G77," ")</f>
        <v> </v>
      </c>
      <c r="W77" s="334" t="str">
        <f aca="false">IF((E77="f"),G77," ")</f>
        <v> </v>
      </c>
    </row>
    <row r="78" customFormat="false" ht="12.75" hidden="false" customHeight="false" outlineLevel="0" collapsed="false">
      <c r="A78" s="355"/>
      <c r="E78" s="365" t="str">
        <f aca="false">IF((G78&lt;&gt;0),"Enter Letter"," ")</f>
        <v> </v>
      </c>
      <c r="H78" s="338" t="str">
        <f aca="false">IF((G78&lt;&gt;0),IF((D78&gt;0)," ",G78)," ")</f>
        <v> </v>
      </c>
      <c r="I78" s="367" t="str">
        <f aca="false">IF((G78&lt;&gt;0),IF((D78&gt;0)," ",(I$1-A78))," ")</f>
        <v> </v>
      </c>
      <c r="J78" s="334" t="str">
        <f aca="false">IF((E78="s"),G78," ")</f>
        <v> </v>
      </c>
      <c r="K78" s="334" t="str">
        <f aca="false">IF((E78="d"),G78," ")</f>
        <v> </v>
      </c>
      <c r="L78" s="334" t="str">
        <f aca="false">IF((E78="e"),G78," ")</f>
        <v> </v>
      </c>
      <c r="M78" s="334" t="str">
        <f aca="false">IF((E78="p"),G78," ")</f>
        <v> </v>
      </c>
      <c r="N78" s="334" t="str">
        <f aca="false">IF((E78="r"),G78," ")</f>
        <v> </v>
      </c>
      <c r="O78" s="334" t="str">
        <f aca="false">IF((E78="g"),G78," ")</f>
        <v> </v>
      </c>
      <c r="P78" s="334" t="str">
        <f aca="false">IF((E78="m"),G78," ")</f>
        <v> </v>
      </c>
      <c r="Q78" s="334" t="str">
        <f aca="false">IF((E78="t"),G78," ")</f>
        <v> </v>
      </c>
      <c r="R78" s="334" t="str">
        <f aca="false">IF((E78="a"),G78," ")</f>
        <v> </v>
      </c>
      <c r="S78" s="334" t="str">
        <f aca="false">IF((E78="l"),G78," ")</f>
        <v> </v>
      </c>
      <c r="T78" s="334" t="str">
        <f aca="false">IF((E78="b"),G78," ")</f>
        <v> </v>
      </c>
      <c r="U78" s="334" t="str">
        <f aca="false">IF((E78="i"),G78," ")</f>
        <v> </v>
      </c>
      <c r="V78" s="334" t="str">
        <f aca="false">IF((E78="o"),G78," ")</f>
        <v> </v>
      </c>
      <c r="W78" s="334" t="str">
        <f aca="false">IF((E78="f"),G78," ")</f>
        <v> </v>
      </c>
    </row>
    <row r="79" customFormat="false" ht="12.75" hidden="false" customHeight="false" outlineLevel="0" collapsed="false">
      <c r="A79" s="355"/>
      <c r="E79" s="365" t="str">
        <f aca="false">IF((G79&lt;&gt;0),"Enter Letter"," ")</f>
        <v> </v>
      </c>
      <c r="H79" s="338" t="str">
        <f aca="false">IF((G79&lt;&gt;0),IF((D79&gt;0)," ",G79)," ")</f>
        <v> </v>
      </c>
      <c r="I79" s="367" t="str">
        <f aca="false">IF((G79&lt;&gt;0),IF((D79&gt;0)," ",(I$1-A79))," ")</f>
        <v> </v>
      </c>
      <c r="J79" s="334" t="str">
        <f aca="false">IF((E79="s"),G79," ")</f>
        <v> </v>
      </c>
      <c r="K79" s="334" t="str">
        <f aca="false">IF((E79="d"),G79," ")</f>
        <v> </v>
      </c>
      <c r="L79" s="334" t="str">
        <f aca="false">IF((E79="e"),G79," ")</f>
        <v> </v>
      </c>
      <c r="M79" s="334" t="str">
        <f aca="false">IF((E79="p"),G79," ")</f>
        <v> </v>
      </c>
      <c r="N79" s="334" t="str">
        <f aca="false">IF((E79="r"),G79," ")</f>
        <v> </v>
      </c>
      <c r="O79" s="334" t="str">
        <f aca="false">IF((E79="g"),G79," ")</f>
        <v> </v>
      </c>
      <c r="P79" s="334" t="str">
        <f aca="false">IF((E79="m"),G79," ")</f>
        <v> </v>
      </c>
      <c r="Q79" s="334" t="str">
        <f aca="false">IF((E79="t"),G79," ")</f>
        <v> </v>
      </c>
      <c r="R79" s="334" t="str">
        <f aca="false">IF((E79="a"),G79," ")</f>
        <v> </v>
      </c>
      <c r="S79" s="334" t="str">
        <f aca="false">IF((E79="l"),G79," ")</f>
        <v> </v>
      </c>
      <c r="T79" s="334" t="str">
        <f aca="false">IF((E79="b"),G79," ")</f>
        <v> </v>
      </c>
      <c r="U79" s="334" t="str">
        <f aca="false">IF((E79="i"),G79," ")</f>
        <v> </v>
      </c>
      <c r="V79" s="334" t="str">
        <f aca="false">IF((E79="o"),G79," ")</f>
        <v> </v>
      </c>
      <c r="W79" s="334" t="str">
        <f aca="false">IF((E79="f"),G79," ")</f>
        <v> </v>
      </c>
    </row>
    <row r="80" customFormat="false" ht="12.75" hidden="false" customHeight="false" outlineLevel="0" collapsed="false">
      <c r="A80" s="355"/>
      <c r="E80" s="365" t="str">
        <f aca="false">IF((G80&lt;&gt;0),"Enter Letter"," ")</f>
        <v> </v>
      </c>
      <c r="H80" s="338" t="str">
        <f aca="false">IF((G80&lt;&gt;0),IF((D80&gt;0)," ",G80)," ")</f>
        <v> </v>
      </c>
      <c r="I80" s="367" t="str">
        <f aca="false">IF((G80&lt;&gt;0),IF((D80&gt;0)," ",(I$1-A80))," ")</f>
        <v> </v>
      </c>
      <c r="J80" s="334" t="str">
        <f aca="false">IF((E80="s"),G80," ")</f>
        <v> </v>
      </c>
      <c r="K80" s="334" t="str">
        <f aca="false">IF((E80="d"),G80," ")</f>
        <v> </v>
      </c>
      <c r="L80" s="334" t="str">
        <f aca="false">IF((E80="e"),G80," ")</f>
        <v> </v>
      </c>
      <c r="M80" s="334" t="str">
        <f aca="false">IF((E80="p"),G80," ")</f>
        <v> </v>
      </c>
      <c r="N80" s="334" t="str">
        <f aca="false">IF((E80="r"),G80," ")</f>
        <v> </v>
      </c>
      <c r="O80" s="334" t="str">
        <f aca="false">IF((E80="g"),G80," ")</f>
        <v> </v>
      </c>
      <c r="P80" s="334" t="str">
        <f aca="false">IF((E80="m"),G80," ")</f>
        <v> </v>
      </c>
      <c r="Q80" s="334" t="str">
        <f aca="false">IF((E80="t"),G80," ")</f>
        <v> </v>
      </c>
      <c r="R80" s="334" t="str">
        <f aca="false">IF((E80="a"),G80," ")</f>
        <v> </v>
      </c>
      <c r="S80" s="334" t="str">
        <f aca="false">IF((E80="l"),G80," ")</f>
        <v> </v>
      </c>
      <c r="T80" s="334" t="str">
        <f aca="false">IF((E80="b"),G80," ")</f>
        <v> </v>
      </c>
      <c r="U80" s="334" t="str">
        <f aca="false">IF((E80="i"),G80," ")</f>
        <v> </v>
      </c>
      <c r="V80" s="334" t="str">
        <f aca="false">IF((E80="o"),G80," ")</f>
        <v> </v>
      </c>
      <c r="W80" s="334" t="str">
        <f aca="false">IF((E80="f"),G80," ")</f>
        <v> </v>
      </c>
    </row>
    <row r="81" customFormat="false" ht="12.75" hidden="false" customHeight="false" outlineLevel="0" collapsed="false">
      <c r="A81" s="355"/>
      <c r="E81" s="365" t="str">
        <f aca="false">IF((G81&lt;&gt;0),"Enter Letter"," ")</f>
        <v> </v>
      </c>
      <c r="H81" s="338" t="str">
        <f aca="false">IF((G81&lt;&gt;0),IF((D81&gt;0)," ",G81)," ")</f>
        <v> </v>
      </c>
      <c r="I81" s="367" t="str">
        <f aca="false">IF((G81&lt;&gt;0),IF((D81&gt;0)," ",(I$1-A81))," ")</f>
        <v> </v>
      </c>
      <c r="J81" s="334" t="str">
        <f aca="false">IF((E81="s"),G81," ")</f>
        <v> </v>
      </c>
      <c r="K81" s="334" t="str">
        <f aca="false">IF((E81="d"),G81," ")</f>
        <v> </v>
      </c>
      <c r="L81" s="334" t="str">
        <f aca="false">IF((E81="e"),G81," ")</f>
        <v> </v>
      </c>
      <c r="M81" s="334" t="str">
        <f aca="false">IF((E81="p"),G81," ")</f>
        <v> </v>
      </c>
      <c r="N81" s="334" t="str">
        <f aca="false">IF((E81="r"),G81," ")</f>
        <v> </v>
      </c>
      <c r="O81" s="334" t="str">
        <f aca="false">IF((E81="g"),G81," ")</f>
        <v> </v>
      </c>
      <c r="P81" s="334" t="str">
        <f aca="false">IF((E81="m"),G81," ")</f>
        <v> </v>
      </c>
      <c r="Q81" s="334" t="str">
        <f aca="false">IF((E81="t"),G81," ")</f>
        <v> </v>
      </c>
      <c r="R81" s="334" t="str">
        <f aca="false">IF((E81="a"),G81," ")</f>
        <v> </v>
      </c>
      <c r="S81" s="334" t="str">
        <f aca="false">IF((E81="l"),G81," ")</f>
        <v> </v>
      </c>
      <c r="T81" s="334" t="str">
        <f aca="false">IF((E81="b"),G81," ")</f>
        <v> </v>
      </c>
      <c r="U81" s="334" t="str">
        <f aca="false">IF((E81="i"),G81," ")</f>
        <v> </v>
      </c>
      <c r="V81" s="334" t="str">
        <f aca="false">IF((E81="o"),G81," ")</f>
        <v> </v>
      </c>
      <c r="W81" s="334" t="str">
        <f aca="false">IF((E81="f"),G81," ")</f>
        <v> </v>
      </c>
    </row>
    <row r="82" customFormat="false" ht="12.75" hidden="false" customHeight="false" outlineLevel="0" collapsed="false">
      <c r="A82" s="355"/>
      <c r="E82" s="365" t="str">
        <f aca="false">IF((G82&lt;&gt;0),"Enter Letter"," ")</f>
        <v> </v>
      </c>
      <c r="H82" s="338" t="str">
        <f aca="false">IF((G82&lt;&gt;0),IF((D82&gt;0)," ",G82)," ")</f>
        <v> </v>
      </c>
      <c r="I82" s="367" t="str">
        <f aca="false">IF((G82&lt;&gt;0),IF((D82&gt;0)," ",(I$1-A82))," ")</f>
        <v> </v>
      </c>
      <c r="J82" s="334" t="str">
        <f aca="false">IF((E82="s"),G82," ")</f>
        <v> </v>
      </c>
      <c r="K82" s="334" t="str">
        <f aca="false">IF((E82="d"),G82," ")</f>
        <v> </v>
      </c>
      <c r="L82" s="334" t="str">
        <f aca="false">IF((E82="e"),G82," ")</f>
        <v> </v>
      </c>
      <c r="M82" s="334" t="str">
        <f aca="false">IF((E82="p"),G82," ")</f>
        <v> </v>
      </c>
      <c r="N82" s="334" t="str">
        <f aca="false">IF((E82="r"),G82," ")</f>
        <v> </v>
      </c>
      <c r="O82" s="334" t="str">
        <f aca="false">IF((E82="g"),G82," ")</f>
        <v> </v>
      </c>
      <c r="P82" s="334" t="str">
        <f aca="false">IF((E82="m"),G82," ")</f>
        <v> </v>
      </c>
      <c r="Q82" s="334" t="str">
        <f aca="false">IF((E82="t"),G82," ")</f>
        <v> </v>
      </c>
      <c r="R82" s="334" t="str">
        <f aca="false">IF((E82="a"),G82," ")</f>
        <v> </v>
      </c>
      <c r="S82" s="334" t="str">
        <f aca="false">IF((E82="l"),G82," ")</f>
        <v> </v>
      </c>
      <c r="T82" s="334" t="str">
        <f aca="false">IF((E82="b"),G82," ")</f>
        <v> </v>
      </c>
      <c r="U82" s="334" t="str">
        <f aca="false">IF((E82="i"),G82," ")</f>
        <v> </v>
      </c>
      <c r="V82" s="334" t="str">
        <f aca="false">IF((E82="o"),G82," ")</f>
        <v> </v>
      </c>
      <c r="W82" s="334" t="str">
        <f aca="false">IF((E82="f"),G82," ")</f>
        <v> </v>
      </c>
    </row>
    <row r="83" customFormat="false" ht="12.75" hidden="false" customHeight="false" outlineLevel="0" collapsed="false">
      <c r="A83" s="355"/>
      <c r="E83" s="365" t="str">
        <f aca="false">IF((G83&lt;&gt;0),"Enter Letter"," ")</f>
        <v> </v>
      </c>
      <c r="H83" s="338" t="str">
        <f aca="false">IF((G83&lt;&gt;0),IF((D83&gt;0)," ",G83)," ")</f>
        <v> </v>
      </c>
      <c r="I83" s="367" t="str">
        <f aca="false">IF((G83&lt;&gt;0),IF((D83&gt;0)," ",(I$1-A83))," ")</f>
        <v> </v>
      </c>
      <c r="J83" s="334" t="str">
        <f aca="false">IF((E83="s"),G83," ")</f>
        <v> </v>
      </c>
      <c r="K83" s="334" t="str">
        <f aca="false">IF((E83="d"),G83," ")</f>
        <v> </v>
      </c>
      <c r="L83" s="334" t="str">
        <f aca="false">IF((E83="e"),G83," ")</f>
        <v> </v>
      </c>
      <c r="M83" s="334" t="str">
        <f aca="false">IF((E83="p"),G83," ")</f>
        <v> </v>
      </c>
      <c r="N83" s="334" t="str">
        <f aca="false">IF((E83="r"),G83," ")</f>
        <v> </v>
      </c>
      <c r="O83" s="334" t="str">
        <f aca="false">IF((E83="g"),G83," ")</f>
        <v> </v>
      </c>
      <c r="P83" s="334" t="str">
        <f aca="false">IF((E83="m"),G83," ")</f>
        <v> </v>
      </c>
      <c r="Q83" s="334" t="str">
        <f aca="false">IF((E83="t"),G83," ")</f>
        <v> </v>
      </c>
      <c r="R83" s="334" t="str">
        <f aca="false">IF((E83="a"),G83," ")</f>
        <v> </v>
      </c>
      <c r="S83" s="334" t="str">
        <f aca="false">IF((E83="l"),G83," ")</f>
        <v> </v>
      </c>
      <c r="T83" s="334" t="str">
        <f aca="false">IF((E83="b"),G83," ")</f>
        <v> </v>
      </c>
      <c r="U83" s="334" t="str">
        <f aca="false">IF((E83="i"),G83," ")</f>
        <v> </v>
      </c>
      <c r="V83" s="334" t="str">
        <f aca="false">IF((E83="o"),G83," ")</f>
        <v> </v>
      </c>
      <c r="W83" s="334" t="str">
        <f aca="false">IF((E83="f"),G83," ")</f>
        <v> </v>
      </c>
    </row>
    <row r="84" customFormat="false" ht="12.75" hidden="false" customHeight="false" outlineLevel="0" collapsed="false">
      <c r="A84" s="355"/>
      <c r="E84" s="365" t="str">
        <f aca="false">IF((G84&lt;&gt;0),"Enter Letter"," ")</f>
        <v> </v>
      </c>
      <c r="H84" s="338" t="str">
        <f aca="false">IF((G84&lt;&gt;0),IF((D84&gt;0)," ",G84)," ")</f>
        <v> </v>
      </c>
      <c r="I84" s="367" t="str">
        <f aca="false">IF((G84&lt;&gt;0),IF((D84&gt;0)," ",(I$1-A84))," ")</f>
        <v> </v>
      </c>
      <c r="J84" s="334" t="str">
        <f aca="false">IF((E84="s"),G84," ")</f>
        <v> </v>
      </c>
      <c r="K84" s="334" t="str">
        <f aca="false">IF((E84="d"),G84," ")</f>
        <v> </v>
      </c>
      <c r="L84" s="334" t="str">
        <f aca="false">IF((E84="e"),G84," ")</f>
        <v> </v>
      </c>
      <c r="M84" s="334" t="str">
        <f aca="false">IF((E84="p"),G84," ")</f>
        <v> </v>
      </c>
      <c r="N84" s="334" t="str">
        <f aca="false">IF((E84="r"),G84," ")</f>
        <v> </v>
      </c>
      <c r="O84" s="334" t="str">
        <f aca="false">IF((E84="g"),G84," ")</f>
        <v> </v>
      </c>
      <c r="P84" s="334" t="str">
        <f aca="false">IF((E84="m"),G84," ")</f>
        <v> </v>
      </c>
      <c r="Q84" s="334" t="str">
        <f aca="false">IF((E84="t"),G84," ")</f>
        <v> </v>
      </c>
      <c r="R84" s="334" t="str">
        <f aca="false">IF((E84="a"),G84," ")</f>
        <v> </v>
      </c>
      <c r="S84" s="334" t="str">
        <f aca="false">IF((E84="l"),G84," ")</f>
        <v> </v>
      </c>
      <c r="T84" s="334" t="str">
        <f aca="false">IF((E84="b"),G84," ")</f>
        <v> </v>
      </c>
      <c r="U84" s="334" t="str">
        <f aca="false">IF((E84="i"),G84," ")</f>
        <v> </v>
      </c>
      <c r="V84" s="334" t="str">
        <f aca="false">IF((E84="o"),G84," ")</f>
        <v> </v>
      </c>
      <c r="W84" s="334" t="str">
        <f aca="false">IF((E84="f"),G84," ")</f>
        <v> </v>
      </c>
    </row>
    <row r="85" customFormat="false" ht="12.75" hidden="false" customHeight="false" outlineLevel="0" collapsed="false">
      <c r="A85" s="355"/>
      <c r="E85" s="365" t="str">
        <f aca="false">IF((G85&lt;&gt;0),"Enter Letter"," ")</f>
        <v> </v>
      </c>
      <c r="H85" s="338" t="str">
        <f aca="false">IF((G85&lt;&gt;0),IF((D85&gt;0)," ",G85)," ")</f>
        <v> </v>
      </c>
      <c r="I85" s="367" t="str">
        <f aca="false">IF((G85&lt;&gt;0),IF((D85&gt;0)," ",(I$1-A85))," ")</f>
        <v> </v>
      </c>
      <c r="J85" s="334" t="str">
        <f aca="false">IF((E85="s"),G85," ")</f>
        <v> </v>
      </c>
      <c r="K85" s="334" t="str">
        <f aca="false">IF((E85="d"),G85," ")</f>
        <v> </v>
      </c>
      <c r="L85" s="334" t="str">
        <f aca="false">IF((E85="e"),G85," ")</f>
        <v> </v>
      </c>
      <c r="M85" s="334" t="str">
        <f aca="false">IF((E85="p"),G85," ")</f>
        <v> </v>
      </c>
      <c r="N85" s="334" t="str">
        <f aca="false">IF((E85="r"),G85," ")</f>
        <v> </v>
      </c>
      <c r="O85" s="334" t="str">
        <f aca="false">IF((E85="g"),G85," ")</f>
        <v> </v>
      </c>
      <c r="P85" s="334" t="str">
        <f aca="false">IF((E85="m"),G85," ")</f>
        <v> </v>
      </c>
      <c r="Q85" s="334" t="str">
        <f aca="false">IF((E85="t"),G85," ")</f>
        <v> </v>
      </c>
      <c r="R85" s="334" t="str">
        <f aca="false">IF((E85="a"),G85," ")</f>
        <v> </v>
      </c>
      <c r="S85" s="334" t="str">
        <f aca="false">IF((E85="l"),G85," ")</f>
        <v> </v>
      </c>
      <c r="T85" s="334" t="str">
        <f aca="false">IF((E85="b"),G85," ")</f>
        <v> </v>
      </c>
      <c r="U85" s="334" t="str">
        <f aca="false">IF((E85="i"),G85," ")</f>
        <v> </v>
      </c>
      <c r="V85" s="334" t="str">
        <f aca="false">IF((E85="o"),G85," ")</f>
        <v> </v>
      </c>
      <c r="W85" s="334" t="str">
        <f aca="false">IF((E85="f"),G85," ")</f>
        <v> </v>
      </c>
    </row>
    <row r="86" customFormat="false" ht="12.75" hidden="false" customHeight="false" outlineLevel="0" collapsed="false">
      <c r="A86" s="355"/>
      <c r="E86" s="365" t="str">
        <f aca="false">IF((G86&lt;&gt;0),"Enter Letter"," ")</f>
        <v> </v>
      </c>
      <c r="H86" s="338" t="str">
        <f aca="false">IF((G86&lt;&gt;0),IF((D86&gt;0)," ",G86)," ")</f>
        <v> </v>
      </c>
      <c r="I86" s="367" t="str">
        <f aca="false">IF((G86&lt;&gt;0),IF((D86&gt;0)," ",(I$1-A86))," ")</f>
        <v> </v>
      </c>
      <c r="J86" s="334" t="str">
        <f aca="false">IF((E86="s"),G86," ")</f>
        <v> </v>
      </c>
      <c r="K86" s="334" t="str">
        <f aca="false">IF((E86="d"),G86," ")</f>
        <v> </v>
      </c>
      <c r="L86" s="334" t="str">
        <f aca="false">IF((E86="e"),G86," ")</f>
        <v> </v>
      </c>
      <c r="M86" s="334" t="str">
        <f aca="false">IF((E86="p"),G86," ")</f>
        <v> </v>
      </c>
      <c r="N86" s="334" t="str">
        <f aca="false">IF((E86="r"),G86," ")</f>
        <v> </v>
      </c>
      <c r="O86" s="334" t="str">
        <f aca="false">IF((E86="g"),G86," ")</f>
        <v> </v>
      </c>
      <c r="P86" s="334" t="str">
        <f aca="false">IF((E86="m"),G86," ")</f>
        <v> </v>
      </c>
      <c r="Q86" s="334" t="str">
        <f aca="false">IF((E86="t"),G86," ")</f>
        <v> </v>
      </c>
      <c r="R86" s="334" t="str">
        <f aca="false">IF((E86="a"),G86," ")</f>
        <v> </v>
      </c>
      <c r="S86" s="334" t="str">
        <f aca="false">IF((E86="l"),G86," ")</f>
        <v> </v>
      </c>
      <c r="T86" s="334" t="str">
        <f aca="false">IF((E86="b"),G86," ")</f>
        <v> </v>
      </c>
      <c r="U86" s="334" t="str">
        <f aca="false">IF((E86="i"),G86," ")</f>
        <v> </v>
      </c>
      <c r="V86" s="334" t="str">
        <f aca="false">IF((E86="o"),G86," ")</f>
        <v> </v>
      </c>
      <c r="W86" s="334" t="str">
        <f aca="false">IF((E86="f"),G86," ")</f>
        <v> </v>
      </c>
    </row>
    <row r="87" customFormat="false" ht="12.75" hidden="false" customHeight="false" outlineLevel="0" collapsed="false">
      <c r="A87" s="355"/>
      <c r="E87" s="365" t="str">
        <f aca="false">IF((G87&lt;&gt;0),"Enter Letter"," ")</f>
        <v> </v>
      </c>
      <c r="H87" s="338" t="str">
        <f aca="false">IF((G87&lt;&gt;0),IF((D87&gt;0)," ",G87)," ")</f>
        <v> </v>
      </c>
      <c r="I87" s="367" t="str">
        <f aca="false">IF((G87&lt;&gt;0),IF((D87&gt;0)," ",(I$1-A87))," ")</f>
        <v> </v>
      </c>
      <c r="J87" s="334" t="str">
        <f aca="false">IF((E87="s"),G87," ")</f>
        <v> </v>
      </c>
      <c r="K87" s="334" t="str">
        <f aca="false">IF((E87="d"),G87," ")</f>
        <v> </v>
      </c>
      <c r="L87" s="334" t="str">
        <f aca="false">IF((E87="e"),G87," ")</f>
        <v> </v>
      </c>
      <c r="M87" s="334" t="str">
        <f aca="false">IF((E87="p"),G87," ")</f>
        <v> </v>
      </c>
      <c r="N87" s="334" t="str">
        <f aca="false">IF((E87="r"),G87," ")</f>
        <v> </v>
      </c>
      <c r="O87" s="334" t="str">
        <f aca="false">IF((E87="g"),G87," ")</f>
        <v> </v>
      </c>
      <c r="P87" s="334" t="str">
        <f aca="false">IF((E87="m"),G87," ")</f>
        <v> </v>
      </c>
      <c r="Q87" s="334" t="str">
        <f aca="false">IF((E87="t"),G87," ")</f>
        <v> </v>
      </c>
      <c r="R87" s="334" t="str">
        <f aca="false">IF((E87="a"),G87," ")</f>
        <v> </v>
      </c>
      <c r="S87" s="334" t="str">
        <f aca="false">IF((E87="l"),G87," ")</f>
        <v> </v>
      </c>
      <c r="T87" s="334" t="str">
        <f aca="false">IF((E87="b"),G87," ")</f>
        <v> </v>
      </c>
      <c r="U87" s="334" t="str">
        <f aca="false">IF((E87="i"),G87," ")</f>
        <v> </v>
      </c>
      <c r="V87" s="334" t="str">
        <f aca="false">IF((E87="o"),G87," ")</f>
        <v> </v>
      </c>
      <c r="W87" s="334" t="str">
        <f aca="false">IF((E87="f"),G87," ")</f>
        <v> </v>
      </c>
    </row>
    <row r="88" customFormat="false" ht="12.75" hidden="false" customHeight="false" outlineLevel="0" collapsed="false">
      <c r="A88" s="355"/>
      <c r="E88" s="365" t="str">
        <f aca="false">IF((G88&lt;&gt;0),"Enter Letter"," ")</f>
        <v> </v>
      </c>
      <c r="H88" s="338" t="str">
        <f aca="false">IF((G88&lt;&gt;0),IF((D88&gt;0)," ",G88)," ")</f>
        <v> </v>
      </c>
      <c r="I88" s="367" t="str">
        <f aca="false">IF((G88&lt;&gt;0),IF((D88&gt;0)," ",(I$1-A88))," ")</f>
        <v> </v>
      </c>
      <c r="J88" s="334" t="str">
        <f aca="false">IF((E88="s"),G88," ")</f>
        <v> </v>
      </c>
      <c r="K88" s="334" t="str">
        <f aca="false">IF((E88="d"),G88," ")</f>
        <v> </v>
      </c>
      <c r="L88" s="334" t="str">
        <f aca="false">IF((E88="e"),G88," ")</f>
        <v> </v>
      </c>
      <c r="M88" s="334" t="str">
        <f aca="false">IF((E88="p"),G88," ")</f>
        <v> </v>
      </c>
      <c r="N88" s="334" t="str">
        <f aca="false">IF((E88="r"),G88," ")</f>
        <v> </v>
      </c>
      <c r="O88" s="334" t="str">
        <f aca="false">IF((E88="g"),G88," ")</f>
        <v> </v>
      </c>
      <c r="P88" s="334" t="str">
        <f aca="false">IF((E88="m"),G88," ")</f>
        <v> </v>
      </c>
      <c r="Q88" s="334" t="str">
        <f aca="false">IF((E88="t"),G88," ")</f>
        <v> </v>
      </c>
      <c r="R88" s="334" t="str">
        <f aca="false">IF((E88="a"),G88," ")</f>
        <v> </v>
      </c>
      <c r="S88" s="334" t="str">
        <f aca="false">IF((E88="l"),G88," ")</f>
        <v> </v>
      </c>
      <c r="T88" s="334" t="str">
        <f aca="false">IF((E88="b"),G88," ")</f>
        <v> </v>
      </c>
      <c r="U88" s="334" t="str">
        <f aca="false">IF((E88="i"),G88," ")</f>
        <v> </v>
      </c>
      <c r="V88" s="334" t="str">
        <f aca="false">IF((E88="o"),G88," ")</f>
        <v> </v>
      </c>
      <c r="W88" s="334" t="str">
        <f aca="false">IF((E88="f"),G88," ")</f>
        <v> </v>
      </c>
    </row>
    <row r="89" customFormat="false" ht="12.75" hidden="false" customHeight="false" outlineLevel="0" collapsed="false">
      <c r="A89" s="355"/>
      <c r="E89" s="365" t="str">
        <f aca="false">IF((G89&lt;&gt;0),"Enter Letter"," ")</f>
        <v> </v>
      </c>
      <c r="H89" s="338" t="str">
        <f aca="false">IF((G89&lt;&gt;0),IF((D89&gt;0)," ",G89)," ")</f>
        <v> </v>
      </c>
      <c r="I89" s="367" t="str">
        <f aca="false">IF((G89&lt;&gt;0),IF((D89&gt;0)," ",(I$1-A89))," ")</f>
        <v> </v>
      </c>
      <c r="J89" s="334" t="str">
        <f aca="false">IF((E89="s"),G89," ")</f>
        <v> </v>
      </c>
      <c r="K89" s="334" t="str">
        <f aca="false">IF((E89="d"),G89," ")</f>
        <v> </v>
      </c>
      <c r="L89" s="334" t="str">
        <f aca="false">IF((E89="e"),G89," ")</f>
        <v> </v>
      </c>
      <c r="M89" s="334" t="str">
        <f aca="false">IF((E89="p"),G89," ")</f>
        <v> </v>
      </c>
      <c r="N89" s="334" t="str">
        <f aca="false">IF((E89="r"),G89," ")</f>
        <v> </v>
      </c>
      <c r="O89" s="334" t="str">
        <f aca="false">IF((E89="g"),G89," ")</f>
        <v> </v>
      </c>
      <c r="P89" s="334" t="str">
        <f aca="false">IF((E89="m"),G89," ")</f>
        <v> </v>
      </c>
      <c r="Q89" s="334" t="str">
        <f aca="false">IF((E89="t"),G89," ")</f>
        <v> </v>
      </c>
      <c r="R89" s="334" t="str">
        <f aca="false">IF((E89="a"),G89," ")</f>
        <v> </v>
      </c>
      <c r="S89" s="334" t="str">
        <f aca="false">IF((E89="l"),G89," ")</f>
        <v> </v>
      </c>
      <c r="T89" s="334" t="str">
        <f aca="false">IF((E89="b"),G89," ")</f>
        <v> </v>
      </c>
      <c r="U89" s="334" t="str">
        <f aca="false">IF((E89="i"),G89," ")</f>
        <v> </v>
      </c>
      <c r="V89" s="334" t="str">
        <f aca="false">IF((E89="o"),G89," ")</f>
        <v> </v>
      </c>
      <c r="W89" s="334" t="str">
        <f aca="false">IF((E89="f"),G89," ")</f>
        <v> </v>
      </c>
    </row>
    <row r="90" customFormat="false" ht="12.75" hidden="false" customHeight="false" outlineLevel="0" collapsed="false">
      <c r="A90" s="355"/>
      <c r="E90" s="365" t="str">
        <f aca="false">IF((G90&lt;&gt;0),"Enter Letter"," ")</f>
        <v> </v>
      </c>
      <c r="H90" s="338" t="str">
        <f aca="false">IF((G90&lt;&gt;0),IF((D90&gt;0)," ",G90)," ")</f>
        <v> </v>
      </c>
      <c r="I90" s="367" t="str">
        <f aca="false">IF((G90&lt;&gt;0),IF((D90&gt;0)," ",(I$1-A90))," ")</f>
        <v> </v>
      </c>
      <c r="J90" s="334" t="str">
        <f aca="false">IF((E90="s"),G90," ")</f>
        <v> </v>
      </c>
      <c r="K90" s="334" t="str">
        <f aca="false">IF((E90="d"),G90," ")</f>
        <v> </v>
      </c>
      <c r="L90" s="334" t="str">
        <f aca="false">IF((E90="e"),G90," ")</f>
        <v> </v>
      </c>
      <c r="M90" s="334" t="str">
        <f aca="false">IF((E90="p"),G90," ")</f>
        <v> </v>
      </c>
      <c r="N90" s="334" t="str">
        <f aca="false">IF((E90="r"),G90," ")</f>
        <v> </v>
      </c>
      <c r="O90" s="334" t="str">
        <f aca="false">IF((E90="g"),G90," ")</f>
        <v> </v>
      </c>
      <c r="P90" s="334" t="str">
        <f aca="false">IF((E90="m"),G90," ")</f>
        <v> </v>
      </c>
      <c r="Q90" s="334" t="str">
        <f aca="false">IF((E90="t"),G90," ")</f>
        <v> </v>
      </c>
      <c r="R90" s="334" t="str">
        <f aca="false">IF((E90="a"),G90," ")</f>
        <v> </v>
      </c>
      <c r="S90" s="334" t="str">
        <f aca="false">IF((E90="l"),G90," ")</f>
        <v> </v>
      </c>
      <c r="T90" s="334" t="str">
        <f aca="false">IF((E90="b"),G90," ")</f>
        <v> </v>
      </c>
      <c r="U90" s="334" t="str">
        <f aca="false">IF((E90="i"),G90," ")</f>
        <v> </v>
      </c>
      <c r="V90" s="334" t="str">
        <f aca="false">IF((E90="o"),G90," ")</f>
        <v> </v>
      </c>
      <c r="W90" s="334" t="str">
        <f aca="false">IF((E90="f"),G90," ")</f>
        <v> </v>
      </c>
    </row>
    <row r="91" customFormat="false" ht="12.75" hidden="false" customHeight="false" outlineLevel="0" collapsed="false">
      <c r="A91" s="355"/>
      <c r="E91" s="365" t="str">
        <f aca="false">IF((G91&lt;&gt;0),"Enter Letter"," ")</f>
        <v> </v>
      </c>
      <c r="H91" s="338" t="str">
        <f aca="false">IF((G91&lt;&gt;0),IF((D91&gt;0)," ",G91)," ")</f>
        <v> </v>
      </c>
      <c r="I91" s="367" t="str">
        <f aca="false">IF((G91&lt;&gt;0),IF((D91&gt;0)," ",(I$1-A91))," ")</f>
        <v> </v>
      </c>
      <c r="J91" s="334" t="str">
        <f aca="false">IF((E91="s"),G91," ")</f>
        <v> </v>
      </c>
      <c r="K91" s="334" t="str">
        <f aca="false">IF((E91="d"),G91," ")</f>
        <v> </v>
      </c>
      <c r="L91" s="334" t="str">
        <f aca="false">IF((E91="e"),G91," ")</f>
        <v> </v>
      </c>
      <c r="M91" s="334" t="str">
        <f aca="false">IF((E91="p"),G91," ")</f>
        <v> </v>
      </c>
      <c r="N91" s="334" t="str">
        <f aca="false">IF((E91="r"),G91," ")</f>
        <v> </v>
      </c>
      <c r="O91" s="334" t="str">
        <f aca="false">IF((E91="g"),G91," ")</f>
        <v> </v>
      </c>
      <c r="P91" s="334" t="str">
        <f aca="false">IF((E91="m"),G91," ")</f>
        <v> </v>
      </c>
      <c r="Q91" s="334" t="str">
        <f aca="false">IF((E91="t"),G91," ")</f>
        <v> </v>
      </c>
      <c r="R91" s="334" t="str">
        <f aca="false">IF((E91="a"),G91," ")</f>
        <v> </v>
      </c>
      <c r="S91" s="334" t="str">
        <f aca="false">IF((E91="l"),G91," ")</f>
        <v> </v>
      </c>
      <c r="T91" s="334" t="str">
        <f aca="false">IF((E91="b"),G91," ")</f>
        <v> </v>
      </c>
      <c r="U91" s="334" t="str">
        <f aca="false">IF((E91="i"),G91," ")</f>
        <v> </v>
      </c>
      <c r="V91" s="334" t="str">
        <f aca="false">IF((E91="o"),G91," ")</f>
        <v> </v>
      </c>
      <c r="W91" s="334" t="str">
        <f aca="false">IF((E91="f"),G91," ")</f>
        <v> </v>
      </c>
    </row>
    <row r="92" customFormat="false" ht="12.75" hidden="false" customHeight="false" outlineLevel="0" collapsed="false">
      <c r="A92" s="355"/>
      <c r="E92" s="365" t="str">
        <f aca="false">IF((G92&lt;&gt;0),"Enter Letter"," ")</f>
        <v> </v>
      </c>
      <c r="H92" s="338" t="str">
        <f aca="false">IF((G92&lt;&gt;0),IF((D92&gt;0)," ",G92)," ")</f>
        <v> </v>
      </c>
      <c r="I92" s="367" t="str">
        <f aca="false">IF((G92&lt;&gt;0),IF((D92&gt;0)," ",(I$1-A92))," ")</f>
        <v> </v>
      </c>
      <c r="J92" s="334" t="str">
        <f aca="false">IF((E92="s"),G92," ")</f>
        <v> </v>
      </c>
      <c r="K92" s="334" t="str">
        <f aca="false">IF((E92="d"),G92," ")</f>
        <v> </v>
      </c>
      <c r="L92" s="334" t="str">
        <f aca="false">IF((E92="e"),G92," ")</f>
        <v> </v>
      </c>
      <c r="M92" s="334" t="str">
        <f aca="false">IF((E92="p"),G92," ")</f>
        <v> </v>
      </c>
      <c r="N92" s="334" t="str">
        <f aca="false">IF((E92="r"),G92," ")</f>
        <v> </v>
      </c>
      <c r="O92" s="334" t="str">
        <f aca="false">IF((E92="g"),G92," ")</f>
        <v> </v>
      </c>
      <c r="P92" s="334" t="str">
        <f aca="false">IF((E92="m"),G92," ")</f>
        <v> </v>
      </c>
      <c r="Q92" s="334" t="str">
        <f aca="false">IF((E92="t"),G92," ")</f>
        <v> </v>
      </c>
      <c r="R92" s="334" t="str">
        <f aca="false">IF((E92="a"),G92," ")</f>
        <v> </v>
      </c>
      <c r="S92" s="334" t="str">
        <f aca="false">IF((E92="l"),G92," ")</f>
        <v> </v>
      </c>
      <c r="T92" s="334" t="str">
        <f aca="false">IF((E92="b"),G92," ")</f>
        <v> </v>
      </c>
      <c r="U92" s="334" t="str">
        <f aca="false">IF((E92="i"),G92," ")</f>
        <v> </v>
      </c>
      <c r="V92" s="334" t="str">
        <f aca="false">IF((E92="o"),G92," ")</f>
        <v> </v>
      </c>
      <c r="W92" s="334" t="str">
        <f aca="false">IF((E92="f"),G92," ")</f>
        <v> </v>
      </c>
    </row>
    <row r="93" customFormat="false" ht="12.75" hidden="false" customHeight="false" outlineLevel="0" collapsed="false">
      <c r="A93" s="355"/>
      <c r="E93" s="365" t="str">
        <f aca="false">IF((G93&lt;&gt;0),"Enter Letter"," ")</f>
        <v> </v>
      </c>
      <c r="H93" s="338" t="str">
        <f aca="false">IF((G93&lt;&gt;0),IF((D93&gt;0)," ",G93)," ")</f>
        <v> </v>
      </c>
      <c r="I93" s="367" t="str">
        <f aca="false">IF((G93&lt;&gt;0),IF((D93&gt;0)," ",(I$1-A93))," ")</f>
        <v> </v>
      </c>
      <c r="J93" s="334" t="str">
        <f aca="false">IF((E93="s"),G93," ")</f>
        <v> </v>
      </c>
      <c r="K93" s="334" t="str">
        <f aca="false">IF((E93="d"),G93," ")</f>
        <v> </v>
      </c>
      <c r="L93" s="334" t="str">
        <f aca="false">IF((E93="e"),G93," ")</f>
        <v> </v>
      </c>
      <c r="M93" s="334" t="str">
        <f aca="false">IF((E93="p"),G93," ")</f>
        <v> </v>
      </c>
      <c r="N93" s="334" t="str">
        <f aca="false">IF((E93="r"),G93," ")</f>
        <v> </v>
      </c>
      <c r="O93" s="334" t="str">
        <f aca="false">IF((E93="g"),G93," ")</f>
        <v> </v>
      </c>
      <c r="P93" s="334" t="str">
        <f aca="false">IF((E93="m"),G93," ")</f>
        <v> </v>
      </c>
      <c r="Q93" s="334" t="str">
        <f aca="false">IF((E93="t"),G93," ")</f>
        <v> </v>
      </c>
      <c r="R93" s="334" t="str">
        <f aca="false">IF((E93="a"),G93," ")</f>
        <v> </v>
      </c>
      <c r="S93" s="334" t="str">
        <f aca="false">IF((E93="l"),G93," ")</f>
        <v> </v>
      </c>
      <c r="T93" s="334" t="str">
        <f aca="false">IF((E93="b"),G93," ")</f>
        <v> </v>
      </c>
      <c r="U93" s="334" t="str">
        <f aca="false">IF((E93="i"),G93," ")</f>
        <v> </v>
      </c>
      <c r="V93" s="334" t="str">
        <f aca="false">IF((E93="o"),G93," ")</f>
        <v> </v>
      </c>
      <c r="W93" s="334" t="str">
        <f aca="false">IF((E93="f"),G93," ")</f>
        <v> </v>
      </c>
    </row>
    <row r="94" customFormat="false" ht="12.75" hidden="false" customHeight="false" outlineLevel="0" collapsed="false">
      <c r="A94" s="355"/>
      <c r="E94" s="365" t="str">
        <f aca="false">IF((G94&lt;&gt;0),"Enter Letter"," ")</f>
        <v> </v>
      </c>
      <c r="H94" s="338" t="str">
        <f aca="false">IF((G94&lt;&gt;0),IF((D94&gt;0)," ",G94)," ")</f>
        <v> </v>
      </c>
      <c r="I94" s="367" t="str">
        <f aca="false">IF((G94&lt;&gt;0),IF((D94&gt;0)," ",(I$1-A94))," ")</f>
        <v> </v>
      </c>
      <c r="J94" s="334" t="str">
        <f aca="false">IF((E94="s"),G94," ")</f>
        <v> </v>
      </c>
      <c r="K94" s="334" t="str">
        <f aca="false">IF((E94="d"),G94," ")</f>
        <v> </v>
      </c>
      <c r="L94" s="334" t="str">
        <f aca="false">IF((E94="e"),G94," ")</f>
        <v> </v>
      </c>
      <c r="M94" s="334" t="str">
        <f aca="false">IF((E94="p"),G94," ")</f>
        <v> </v>
      </c>
      <c r="N94" s="334" t="str">
        <f aca="false">IF((E94="r"),G94," ")</f>
        <v> </v>
      </c>
      <c r="O94" s="334" t="str">
        <f aca="false">IF((E94="g"),G94," ")</f>
        <v> </v>
      </c>
      <c r="P94" s="334" t="str">
        <f aca="false">IF((E94="m"),G94," ")</f>
        <v> </v>
      </c>
      <c r="Q94" s="334" t="str">
        <f aca="false">IF((E94="t"),G94," ")</f>
        <v> </v>
      </c>
      <c r="R94" s="334" t="str">
        <f aca="false">IF((E94="a"),G94," ")</f>
        <v> </v>
      </c>
      <c r="S94" s="334" t="str">
        <f aca="false">IF((E94="l"),G94," ")</f>
        <v> </v>
      </c>
      <c r="T94" s="334" t="str">
        <f aca="false">IF((E94="b"),G94," ")</f>
        <v> </v>
      </c>
      <c r="U94" s="334" t="str">
        <f aca="false">IF((E94="i"),G94," ")</f>
        <v> </v>
      </c>
      <c r="V94" s="334" t="str">
        <f aca="false">IF((E94="o"),G94," ")</f>
        <v> </v>
      </c>
      <c r="W94" s="334" t="str">
        <f aca="false">IF((E94="f"),G94," ")</f>
        <v> </v>
      </c>
    </row>
    <row r="95" customFormat="false" ht="12.75" hidden="false" customHeight="false" outlineLevel="0" collapsed="false">
      <c r="A95" s="355"/>
      <c r="E95" s="365" t="str">
        <f aca="false">IF((G95&lt;&gt;0),"Enter Letter"," ")</f>
        <v> </v>
      </c>
      <c r="H95" s="338" t="str">
        <f aca="false">IF((G95&lt;&gt;0),IF((D95&gt;0)," ",G95)," ")</f>
        <v> </v>
      </c>
      <c r="I95" s="367" t="str">
        <f aca="false">IF((G95&lt;&gt;0),IF((D95&gt;0)," ",(I$1-A95))," ")</f>
        <v> </v>
      </c>
      <c r="J95" s="334" t="str">
        <f aca="false">IF((E95="s"),G95," ")</f>
        <v> </v>
      </c>
      <c r="K95" s="334" t="str">
        <f aca="false">IF((E95="d"),G95," ")</f>
        <v> </v>
      </c>
      <c r="L95" s="334" t="str">
        <f aca="false">IF((E95="e"),G95," ")</f>
        <v> </v>
      </c>
      <c r="M95" s="334" t="str">
        <f aca="false">IF((E95="p"),G95," ")</f>
        <v> </v>
      </c>
      <c r="N95" s="334" t="str">
        <f aca="false">IF((E95="r"),G95," ")</f>
        <v> </v>
      </c>
      <c r="O95" s="334" t="str">
        <f aca="false">IF((E95="g"),G95," ")</f>
        <v> </v>
      </c>
      <c r="P95" s="334" t="str">
        <f aca="false">IF((E95="m"),G95," ")</f>
        <v> </v>
      </c>
      <c r="Q95" s="334" t="str">
        <f aca="false">IF((E95="t"),G95," ")</f>
        <v> </v>
      </c>
      <c r="R95" s="334" t="str">
        <f aca="false">IF((E95="a"),G95," ")</f>
        <v> </v>
      </c>
      <c r="S95" s="334" t="str">
        <f aca="false">IF((E95="l"),G95," ")</f>
        <v> </v>
      </c>
      <c r="T95" s="334" t="str">
        <f aca="false">IF((E95="b"),G95," ")</f>
        <v> </v>
      </c>
      <c r="U95" s="334" t="str">
        <f aca="false">IF((E95="i"),G95," ")</f>
        <v> </v>
      </c>
      <c r="V95" s="334" t="str">
        <f aca="false">IF((E95="o"),G95," ")</f>
        <v> </v>
      </c>
      <c r="W95" s="334" t="str">
        <f aca="false">IF((E95="f"),G95," ")</f>
        <v> </v>
      </c>
    </row>
    <row r="96" customFormat="false" ht="12.75" hidden="false" customHeight="false" outlineLevel="0" collapsed="false">
      <c r="A96" s="355"/>
      <c r="E96" s="365" t="str">
        <f aca="false">IF((G96&lt;&gt;0),"Enter Letter"," ")</f>
        <v> </v>
      </c>
      <c r="H96" s="338" t="str">
        <f aca="false">IF((G96&lt;&gt;0),IF((D96&gt;0)," ",G96)," ")</f>
        <v> </v>
      </c>
      <c r="I96" s="367" t="str">
        <f aca="false">IF((G96&lt;&gt;0),IF((D96&gt;0)," ",(I$1-A96))," ")</f>
        <v> </v>
      </c>
      <c r="J96" s="334" t="str">
        <f aca="false">IF((E96="s"),G96," ")</f>
        <v> </v>
      </c>
      <c r="K96" s="334" t="str">
        <f aca="false">IF((E96="d"),G96," ")</f>
        <v> </v>
      </c>
      <c r="L96" s="334" t="str">
        <f aca="false">IF((E96="e"),G96," ")</f>
        <v> </v>
      </c>
      <c r="M96" s="334" t="str">
        <f aca="false">IF((E96="p"),G96," ")</f>
        <v> </v>
      </c>
      <c r="N96" s="334" t="str">
        <f aca="false">IF((E96="r"),G96," ")</f>
        <v> </v>
      </c>
      <c r="O96" s="334" t="str">
        <f aca="false">IF((E96="g"),G96," ")</f>
        <v> </v>
      </c>
      <c r="P96" s="334" t="str">
        <f aca="false">IF((E96="m"),G96," ")</f>
        <v> </v>
      </c>
      <c r="Q96" s="334" t="str">
        <f aca="false">IF((E96="t"),G96," ")</f>
        <v> </v>
      </c>
      <c r="R96" s="334" t="str">
        <f aca="false">IF((E96="a"),G96," ")</f>
        <v> </v>
      </c>
      <c r="S96" s="334" t="str">
        <f aca="false">IF((E96="l"),G96," ")</f>
        <v> </v>
      </c>
      <c r="T96" s="334" t="str">
        <f aca="false">IF((E96="b"),G96," ")</f>
        <v> </v>
      </c>
      <c r="U96" s="334" t="str">
        <f aca="false">IF((E96="i"),G96," ")</f>
        <v> </v>
      </c>
      <c r="V96" s="334" t="str">
        <f aca="false">IF((E96="o"),G96," ")</f>
        <v> </v>
      </c>
      <c r="W96" s="334" t="str">
        <f aca="false">IF((E96="f"),G96," ")</f>
        <v> </v>
      </c>
    </row>
    <row r="97" customFormat="false" ht="12.75" hidden="false" customHeight="false" outlineLevel="0" collapsed="false">
      <c r="A97" s="355"/>
      <c r="E97" s="365" t="str">
        <f aca="false">IF((G97&lt;&gt;0),"Enter Letter"," ")</f>
        <v> </v>
      </c>
      <c r="H97" s="338" t="str">
        <f aca="false">IF((G97&lt;&gt;0),IF((D97&gt;0)," ",G97)," ")</f>
        <v> </v>
      </c>
      <c r="I97" s="367" t="str">
        <f aca="false">IF((G97&lt;&gt;0),IF((D97&gt;0)," ",(I$1-A97))," ")</f>
        <v> </v>
      </c>
      <c r="J97" s="334" t="str">
        <f aca="false">IF((E97="s"),G97," ")</f>
        <v> </v>
      </c>
      <c r="K97" s="334" t="str">
        <f aca="false">IF((E97="d"),G97," ")</f>
        <v> </v>
      </c>
      <c r="L97" s="334" t="str">
        <f aca="false">IF((E97="e"),G97," ")</f>
        <v> </v>
      </c>
      <c r="M97" s="334" t="str">
        <f aca="false">IF((E97="p"),G97," ")</f>
        <v> </v>
      </c>
      <c r="N97" s="334" t="str">
        <f aca="false">IF((E97="r"),G97," ")</f>
        <v> </v>
      </c>
      <c r="O97" s="334" t="str">
        <f aca="false">IF((E97="g"),G97," ")</f>
        <v> </v>
      </c>
      <c r="P97" s="334" t="str">
        <f aca="false">IF((E97="m"),G97," ")</f>
        <v> </v>
      </c>
      <c r="Q97" s="334" t="str">
        <f aca="false">IF((E97="t"),G97," ")</f>
        <v> </v>
      </c>
      <c r="R97" s="334" t="str">
        <f aca="false">IF((E97="a"),G97," ")</f>
        <v> </v>
      </c>
      <c r="S97" s="334" t="str">
        <f aca="false">IF((E97="l"),G97," ")</f>
        <v> </v>
      </c>
      <c r="T97" s="334" t="str">
        <f aca="false">IF((E97="b"),G97," ")</f>
        <v> </v>
      </c>
      <c r="U97" s="334" t="str">
        <f aca="false">IF((E97="i"),G97," ")</f>
        <v> </v>
      </c>
      <c r="V97" s="334" t="str">
        <f aca="false">IF((E97="o"),G97," ")</f>
        <v> </v>
      </c>
      <c r="W97" s="334" t="str">
        <f aca="false">IF((E97="f"),G97," ")</f>
        <v> </v>
      </c>
    </row>
    <row r="98" customFormat="false" ht="12.75" hidden="false" customHeight="false" outlineLevel="0" collapsed="false">
      <c r="A98" s="355"/>
      <c r="E98" s="365" t="str">
        <f aca="false">IF((G98&lt;&gt;0),"Enter Letter"," ")</f>
        <v> </v>
      </c>
      <c r="H98" s="338" t="str">
        <f aca="false">IF((G98&lt;&gt;0),IF((D98&gt;0)," ",G98)," ")</f>
        <v> </v>
      </c>
      <c r="I98" s="367" t="str">
        <f aca="false">IF((G98&lt;&gt;0),IF((D98&gt;0)," ",(I$1-A98))," ")</f>
        <v> </v>
      </c>
      <c r="J98" s="334" t="str">
        <f aca="false">IF((E98="s"),G98," ")</f>
        <v> </v>
      </c>
      <c r="K98" s="334" t="str">
        <f aca="false">IF((E98="d"),G98," ")</f>
        <v> </v>
      </c>
      <c r="L98" s="334" t="str">
        <f aca="false">IF((E98="e"),G98," ")</f>
        <v> </v>
      </c>
      <c r="M98" s="334" t="str">
        <f aca="false">IF((E98="p"),G98," ")</f>
        <v> </v>
      </c>
      <c r="N98" s="334" t="str">
        <f aca="false">IF((E98="r"),G98," ")</f>
        <v> </v>
      </c>
      <c r="O98" s="334" t="str">
        <f aca="false">IF((E98="g"),G98," ")</f>
        <v> </v>
      </c>
      <c r="P98" s="334" t="str">
        <f aca="false">IF((E98="m"),G98," ")</f>
        <v> </v>
      </c>
      <c r="Q98" s="334" t="str">
        <f aca="false">IF((E98="t"),G98," ")</f>
        <v> </v>
      </c>
      <c r="R98" s="334" t="str">
        <f aca="false">IF((E98="a"),G98," ")</f>
        <v> </v>
      </c>
      <c r="S98" s="334" t="str">
        <f aca="false">IF((E98="l"),G98," ")</f>
        <v> </v>
      </c>
      <c r="T98" s="334" t="str">
        <f aca="false">IF((E98="b"),G98," ")</f>
        <v> </v>
      </c>
      <c r="U98" s="334" t="str">
        <f aca="false">IF((E98="i"),G98," ")</f>
        <v> </v>
      </c>
      <c r="V98" s="334" t="str">
        <f aca="false">IF((E98="o"),G98," ")</f>
        <v> </v>
      </c>
      <c r="W98" s="334" t="str">
        <f aca="false">IF((E98="f"),G98," ")</f>
        <v> </v>
      </c>
    </row>
    <row r="99" customFormat="false" ht="12.75" hidden="false" customHeight="false" outlineLevel="0" collapsed="false">
      <c r="A99" s="355"/>
      <c r="E99" s="365" t="str">
        <f aca="false">IF((G99&lt;&gt;0),"Enter Letter"," ")</f>
        <v> </v>
      </c>
      <c r="H99" s="338" t="str">
        <f aca="false">IF((G99&lt;&gt;0),IF((D99&gt;0)," ",G99)," ")</f>
        <v> </v>
      </c>
      <c r="I99" s="367" t="str">
        <f aca="false">IF((G99&lt;&gt;0),IF((D99&gt;0)," ",(I$1-A99))," ")</f>
        <v> </v>
      </c>
      <c r="J99" s="334" t="str">
        <f aca="false">IF((E99="s"),G99," ")</f>
        <v> </v>
      </c>
      <c r="K99" s="334" t="str">
        <f aca="false">IF((E99="d"),G99," ")</f>
        <v> </v>
      </c>
      <c r="L99" s="334" t="str">
        <f aca="false">IF((E99="e"),G99," ")</f>
        <v> </v>
      </c>
      <c r="M99" s="334" t="str">
        <f aca="false">IF((E99="p"),G99," ")</f>
        <v> </v>
      </c>
      <c r="N99" s="334" t="str">
        <f aca="false">IF((E99="r"),G99," ")</f>
        <v> </v>
      </c>
      <c r="O99" s="334" t="str">
        <f aca="false">IF((E99="g"),G99," ")</f>
        <v> </v>
      </c>
      <c r="P99" s="334" t="str">
        <f aca="false">IF((E99="m"),G99," ")</f>
        <v> </v>
      </c>
      <c r="Q99" s="334" t="str">
        <f aca="false">IF((E99="t"),G99," ")</f>
        <v> </v>
      </c>
      <c r="R99" s="334" t="str">
        <f aca="false">IF((E99="a"),G99," ")</f>
        <v> </v>
      </c>
      <c r="S99" s="334" t="str">
        <f aca="false">IF((E99="l"),G99," ")</f>
        <v> </v>
      </c>
      <c r="T99" s="334" t="str">
        <f aca="false">IF((E99="b"),G99," ")</f>
        <v> </v>
      </c>
      <c r="U99" s="334" t="str">
        <f aca="false">IF((E99="i"),G99," ")</f>
        <v> </v>
      </c>
      <c r="V99" s="334" t="str">
        <f aca="false">IF((E99="o"),G99," ")</f>
        <v> </v>
      </c>
      <c r="W99" s="334" t="str">
        <f aca="false">IF((E99="f"),G99," ")</f>
        <v> </v>
      </c>
    </row>
    <row r="100" customFormat="false" ht="12.75" hidden="false" customHeight="false" outlineLevel="0" collapsed="false">
      <c r="A100" s="355"/>
      <c r="E100" s="365" t="str">
        <f aca="false">IF((G100&lt;&gt;0),"Enter Letter"," ")</f>
        <v> </v>
      </c>
      <c r="H100" s="338" t="str">
        <f aca="false">IF((G100&lt;&gt;0),IF((D100&gt;0)," ",G100)," ")</f>
        <v> </v>
      </c>
      <c r="I100" s="367" t="str">
        <f aca="false">IF((G100&lt;&gt;0),IF((D100&gt;0)," ",(I$1-A100))," ")</f>
        <v> </v>
      </c>
      <c r="J100" s="334" t="str">
        <f aca="false">IF((E100="s"),G100," ")</f>
        <v> </v>
      </c>
      <c r="K100" s="334" t="str">
        <f aca="false">IF((E100="d"),G100," ")</f>
        <v> </v>
      </c>
      <c r="L100" s="334" t="str">
        <f aca="false">IF((E100="e"),G100," ")</f>
        <v> </v>
      </c>
      <c r="M100" s="334" t="str">
        <f aca="false">IF((E100="p"),G100," ")</f>
        <v> </v>
      </c>
      <c r="N100" s="334" t="str">
        <f aca="false">IF((E100="r"),G100," ")</f>
        <v> </v>
      </c>
      <c r="O100" s="334" t="str">
        <f aca="false">IF((E100="g"),G100," ")</f>
        <v> </v>
      </c>
      <c r="P100" s="334" t="str">
        <f aca="false">IF((E100="m"),G100," ")</f>
        <v> </v>
      </c>
      <c r="Q100" s="334" t="str">
        <f aca="false">IF((E100="t"),G100," ")</f>
        <v> </v>
      </c>
      <c r="R100" s="334" t="str">
        <f aca="false">IF((E100="a"),G100," ")</f>
        <v> </v>
      </c>
      <c r="S100" s="334" t="str">
        <f aca="false">IF((E100="l"),G100," ")</f>
        <v> </v>
      </c>
      <c r="T100" s="334" t="str">
        <f aca="false">IF((E100="b"),G100," ")</f>
        <v> </v>
      </c>
      <c r="U100" s="334" t="str">
        <f aca="false">IF((E100="i"),G100," ")</f>
        <v> </v>
      </c>
      <c r="V100" s="334" t="str">
        <f aca="false">IF((E100="o"),G100," ")</f>
        <v> </v>
      </c>
      <c r="W100" s="334" t="str">
        <f aca="false">IF((E100="f"),G100," ")</f>
        <v> </v>
      </c>
    </row>
    <row r="101" customFormat="false" ht="12.75" hidden="false" customHeight="false" outlineLevel="0" collapsed="false">
      <c r="A101" s="355"/>
      <c r="E101" s="365" t="str">
        <f aca="false">IF((G101&lt;&gt;0),"Enter Letter"," ")</f>
        <v> </v>
      </c>
      <c r="H101" s="338" t="str">
        <f aca="false">IF((G101&lt;&gt;0),IF((D101&gt;0)," ",G101)," ")</f>
        <v> </v>
      </c>
      <c r="I101" s="367" t="str">
        <f aca="false">IF((G101&lt;&gt;0),IF((D101&gt;0)," ",(I$1-A101))," ")</f>
        <v> </v>
      </c>
      <c r="J101" s="334" t="str">
        <f aca="false">IF((E101="s"),G101," ")</f>
        <v> </v>
      </c>
      <c r="K101" s="334" t="str">
        <f aca="false">IF((E101="d"),G101," ")</f>
        <v> </v>
      </c>
      <c r="L101" s="334" t="str">
        <f aca="false">IF((E101="e"),G101," ")</f>
        <v> </v>
      </c>
      <c r="M101" s="334" t="str">
        <f aca="false">IF((E101="p"),G101," ")</f>
        <v> </v>
      </c>
      <c r="N101" s="334" t="str">
        <f aca="false">IF((E101="r"),G101," ")</f>
        <v> </v>
      </c>
      <c r="O101" s="334" t="str">
        <f aca="false">IF((E101="g"),G101," ")</f>
        <v> </v>
      </c>
      <c r="P101" s="334" t="str">
        <f aca="false">IF((E101="m"),G101," ")</f>
        <v> </v>
      </c>
      <c r="Q101" s="334" t="str">
        <f aca="false">IF((E101="t"),G101," ")</f>
        <v> </v>
      </c>
      <c r="R101" s="334" t="str">
        <f aca="false">IF((E101="a"),G101," ")</f>
        <v> </v>
      </c>
      <c r="S101" s="334" t="str">
        <f aca="false">IF((E101="l"),G101," ")</f>
        <v> </v>
      </c>
      <c r="T101" s="334" t="str">
        <f aca="false">IF((E101="b"),G101," ")</f>
        <v> </v>
      </c>
      <c r="U101" s="334" t="str">
        <f aca="false">IF((E101="i"),G101," ")</f>
        <v> </v>
      </c>
      <c r="V101" s="334" t="str">
        <f aca="false">IF((E101="o"),G101," ")</f>
        <v> </v>
      </c>
      <c r="W101" s="334" t="str">
        <f aca="false">IF((E101="f"),G101," ")</f>
        <v> </v>
      </c>
    </row>
    <row r="102" customFormat="false" ht="12.75" hidden="false" customHeight="false" outlineLevel="0" collapsed="false">
      <c r="A102" s="355"/>
      <c r="E102" s="365" t="str">
        <f aca="false">IF((G102&lt;&gt;0),"Enter Letter"," ")</f>
        <v> </v>
      </c>
      <c r="H102" s="338" t="str">
        <f aca="false">IF((G102&lt;&gt;0),IF((D102&gt;0)," ",G102)," ")</f>
        <v> </v>
      </c>
      <c r="I102" s="367" t="str">
        <f aca="false">IF((G102&lt;&gt;0),IF((D102&gt;0)," ",(I$1-A102))," ")</f>
        <v> </v>
      </c>
      <c r="J102" s="334" t="str">
        <f aca="false">IF((E102="s"),G102," ")</f>
        <v> </v>
      </c>
      <c r="K102" s="334" t="str">
        <f aca="false">IF((E102="d"),G102," ")</f>
        <v> </v>
      </c>
      <c r="L102" s="334" t="str">
        <f aca="false">IF((E102="e"),G102," ")</f>
        <v> </v>
      </c>
      <c r="M102" s="334" t="str">
        <f aca="false">IF((E102="p"),G102," ")</f>
        <v> </v>
      </c>
      <c r="N102" s="334" t="str">
        <f aca="false">IF((E102="r"),G102," ")</f>
        <v> </v>
      </c>
      <c r="O102" s="334" t="str">
        <f aca="false">IF((E102="g"),G102," ")</f>
        <v> </v>
      </c>
      <c r="P102" s="334" t="str">
        <f aca="false">IF((E102="m"),G102," ")</f>
        <v> </v>
      </c>
      <c r="Q102" s="334" t="str">
        <f aca="false">IF((E102="t"),G102," ")</f>
        <v> </v>
      </c>
      <c r="R102" s="334" t="str">
        <f aca="false">IF((E102="a"),G102," ")</f>
        <v> </v>
      </c>
      <c r="S102" s="334" t="str">
        <f aca="false">IF((E102="l"),G102," ")</f>
        <v> </v>
      </c>
      <c r="T102" s="334" t="str">
        <f aca="false">IF((E102="b"),G102," ")</f>
        <v> </v>
      </c>
      <c r="U102" s="334" t="str">
        <f aca="false">IF((E102="i"),G102," ")</f>
        <v> </v>
      </c>
      <c r="V102" s="334" t="str">
        <f aca="false">IF((E102="o"),G102," ")</f>
        <v> </v>
      </c>
      <c r="W102" s="334" t="str">
        <f aca="false">IF((E102="f"),G102," ")</f>
        <v> </v>
      </c>
    </row>
    <row r="103" customFormat="false" ht="12.75" hidden="false" customHeight="false" outlineLevel="0" collapsed="false">
      <c r="A103" s="355"/>
      <c r="E103" s="365" t="str">
        <f aca="false">IF((G103&lt;&gt;0),"Enter Letter"," ")</f>
        <v> </v>
      </c>
      <c r="H103" s="338" t="str">
        <f aca="false">IF((G103&lt;&gt;0),IF((D103&gt;0)," ",G103)," ")</f>
        <v> </v>
      </c>
      <c r="I103" s="367" t="str">
        <f aca="false">IF((G103&lt;&gt;0),IF((D103&gt;0)," ",(I$1-A103))," ")</f>
        <v> </v>
      </c>
      <c r="J103" s="334" t="str">
        <f aca="false">IF((E103="s"),G103," ")</f>
        <v> </v>
      </c>
      <c r="K103" s="334" t="str">
        <f aca="false">IF((E103="d"),G103," ")</f>
        <v> </v>
      </c>
      <c r="L103" s="334" t="str">
        <f aca="false">IF((E103="e"),G103," ")</f>
        <v> </v>
      </c>
      <c r="M103" s="334" t="str">
        <f aca="false">IF((E103="p"),G103," ")</f>
        <v> </v>
      </c>
      <c r="N103" s="334" t="str">
        <f aca="false">IF((E103="r"),G103," ")</f>
        <v> </v>
      </c>
      <c r="O103" s="334" t="str">
        <f aca="false">IF((E103="g"),G103," ")</f>
        <v> </v>
      </c>
      <c r="P103" s="334" t="str">
        <f aca="false">IF((E103="m"),G103," ")</f>
        <v> </v>
      </c>
      <c r="Q103" s="334" t="str">
        <f aca="false">IF((E103="t"),G103," ")</f>
        <v> </v>
      </c>
      <c r="R103" s="334" t="str">
        <f aca="false">IF((E103="a"),G103," ")</f>
        <v> </v>
      </c>
      <c r="S103" s="334" t="str">
        <f aca="false">IF((E103="l"),G103," ")</f>
        <v> </v>
      </c>
      <c r="T103" s="334" t="str">
        <f aca="false">IF((E103="b"),G103," ")</f>
        <v> </v>
      </c>
      <c r="U103" s="334" t="str">
        <f aca="false">IF((E103="i"),G103," ")</f>
        <v> </v>
      </c>
      <c r="V103" s="334" t="str">
        <f aca="false">IF((E103="o"),G103," ")</f>
        <v> </v>
      </c>
      <c r="W103" s="334" t="str">
        <f aca="false">IF((E103="f"),G103," ")</f>
        <v> </v>
      </c>
    </row>
    <row r="104" customFormat="false" ht="12.75" hidden="false" customHeight="false" outlineLevel="0" collapsed="false">
      <c r="A104" s="355"/>
      <c r="E104" s="365" t="str">
        <f aca="false">IF((G104&lt;&gt;0),"Enter Letter"," ")</f>
        <v> </v>
      </c>
      <c r="H104" s="338" t="str">
        <f aca="false">IF((G104&lt;&gt;0),IF((D104&gt;0)," ",G104)," ")</f>
        <v> </v>
      </c>
      <c r="I104" s="367" t="str">
        <f aca="false">IF((G104&lt;&gt;0),IF((D104&gt;0)," ",(I$1-A104))," ")</f>
        <v> </v>
      </c>
      <c r="J104" s="334" t="str">
        <f aca="false">IF((E104="s"),G104," ")</f>
        <v> </v>
      </c>
      <c r="K104" s="334" t="str">
        <f aca="false">IF((E104="d"),G104," ")</f>
        <v> </v>
      </c>
      <c r="L104" s="334" t="str">
        <f aca="false">IF((E104="e"),G104," ")</f>
        <v> </v>
      </c>
      <c r="M104" s="334" t="str">
        <f aca="false">IF((E104="p"),G104," ")</f>
        <v> </v>
      </c>
      <c r="N104" s="334" t="str">
        <f aca="false">IF((E104="r"),G104," ")</f>
        <v> </v>
      </c>
      <c r="O104" s="334" t="str">
        <f aca="false">IF((E104="g"),G104," ")</f>
        <v> </v>
      </c>
      <c r="P104" s="334" t="str">
        <f aca="false">IF((E104="m"),G104," ")</f>
        <v> </v>
      </c>
      <c r="Q104" s="334" t="str">
        <f aca="false">IF((E104="t"),G104," ")</f>
        <v> </v>
      </c>
      <c r="R104" s="334" t="str">
        <f aca="false">IF((E104="a"),G104," ")</f>
        <v> </v>
      </c>
      <c r="S104" s="334" t="str">
        <f aca="false">IF((E104="l"),G104," ")</f>
        <v> </v>
      </c>
      <c r="T104" s="334" t="str">
        <f aca="false">IF((E104="b"),G104," ")</f>
        <v> </v>
      </c>
      <c r="U104" s="334" t="str">
        <f aca="false">IF((E104="i"),G104," ")</f>
        <v> </v>
      </c>
      <c r="V104" s="334" t="str">
        <f aca="false">IF((E104="o"),G104," ")</f>
        <v> </v>
      </c>
      <c r="W104" s="334" t="str">
        <f aca="false">IF((E104="f"),G104," ")</f>
        <v> </v>
      </c>
    </row>
    <row r="105" customFormat="false" ht="12.75" hidden="false" customHeight="false" outlineLevel="0" collapsed="false">
      <c r="A105" s="355"/>
      <c r="E105" s="365" t="str">
        <f aca="false">IF((G105&lt;&gt;0),"Enter Letter"," ")</f>
        <v> </v>
      </c>
      <c r="H105" s="338" t="str">
        <f aca="false">IF((G105&lt;&gt;0),IF((D105&gt;0)," ",G105)," ")</f>
        <v> </v>
      </c>
      <c r="I105" s="367" t="str">
        <f aca="false">IF((G105&lt;&gt;0),IF((D105&gt;0)," ",(I$1-A105))," ")</f>
        <v> </v>
      </c>
      <c r="J105" s="334" t="str">
        <f aca="false">IF((E105="s"),G105," ")</f>
        <v> </v>
      </c>
      <c r="K105" s="334" t="str">
        <f aca="false">IF((E105="d"),G105," ")</f>
        <v> </v>
      </c>
      <c r="L105" s="334" t="str">
        <f aca="false">IF((E105="e"),G105," ")</f>
        <v> </v>
      </c>
      <c r="M105" s="334" t="str">
        <f aca="false">IF((E105="p"),G105," ")</f>
        <v> </v>
      </c>
      <c r="N105" s="334" t="str">
        <f aca="false">IF((E105="r"),G105," ")</f>
        <v> </v>
      </c>
      <c r="O105" s="334" t="str">
        <f aca="false">IF((E105="g"),G105," ")</f>
        <v> </v>
      </c>
      <c r="P105" s="334" t="str">
        <f aca="false">IF((E105="m"),G105," ")</f>
        <v> </v>
      </c>
      <c r="Q105" s="334" t="str">
        <f aca="false">IF((E105="t"),G105," ")</f>
        <v> </v>
      </c>
      <c r="R105" s="334" t="str">
        <f aca="false">IF((E105="a"),G105," ")</f>
        <v> </v>
      </c>
      <c r="S105" s="334" t="str">
        <f aca="false">IF((E105="l"),G105," ")</f>
        <v> </v>
      </c>
      <c r="T105" s="334" t="str">
        <f aca="false">IF((E105="b"),G105," ")</f>
        <v> </v>
      </c>
      <c r="U105" s="334" t="str">
        <f aca="false">IF((E105="i"),G105," ")</f>
        <v> </v>
      </c>
      <c r="V105" s="334" t="str">
        <f aca="false">IF((E105="o"),G105," ")</f>
        <v> </v>
      </c>
      <c r="W105" s="334" t="str">
        <f aca="false">IF((E105="f"),G105," ")</f>
        <v> </v>
      </c>
    </row>
    <row r="106" customFormat="false" ht="12.75" hidden="false" customHeight="false" outlineLevel="0" collapsed="false">
      <c r="A106" s="355"/>
      <c r="E106" s="365" t="str">
        <f aca="false">IF((G106&lt;&gt;0),"Enter Letter"," ")</f>
        <v> </v>
      </c>
      <c r="H106" s="338" t="str">
        <f aca="false">IF((G106&lt;&gt;0),IF((D106&gt;0)," ",G106)," ")</f>
        <v> </v>
      </c>
      <c r="I106" s="367" t="str">
        <f aca="false">IF((G106&lt;&gt;0),IF((D106&gt;0)," ",(I$1-A106))," ")</f>
        <v> </v>
      </c>
      <c r="J106" s="334" t="str">
        <f aca="false">IF((E106="s"),G106," ")</f>
        <v> </v>
      </c>
      <c r="K106" s="334" t="str">
        <f aca="false">IF((E106="d"),G106," ")</f>
        <v> </v>
      </c>
      <c r="L106" s="334" t="str">
        <f aca="false">IF((E106="e"),G106," ")</f>
        <v> </v>
      </c>
      <c r="M106" s="334" t="str">
        <f aca="false">IF((E106="p"),G106," ")</f>
        <v> </v>
      </c>
      <c r="N106" s="334" t="str">
        <f aca="false">IF((E106="r"),G106," ")</f>
        <v> </v>
      </c>
      <c r="O106" s="334" t="str">
        <f aca="false">IF((E106="g"),G106," ")</f>
        <v> </v>
      </c>
      <c r="P106" s="334" t="str">
        <f aca="false">IF((E106="m"),G106," ")</f>
        <v> </v>
      </c>
      <c r="Q106" s="334" t="str">
        <f aca="false">IF((E106="t"),G106," ")</f>
        <v> </v>
      </c>
      <c r="R106" s="334" t="str">
        <f aca="false">IF((E106="a"),G106," ")</f>
        <v> </v>
      </c>
      <c r="S106" s="334" t="str">
        <f aca="false">IF((E106="l"),G106," ")</f>
        <v> </v>
      </c>
      <c r="T106" s="334" t="str">
        <f aca="false">IF((E106="b"),G106," ")</f>
        <v> </v>
      </c>
      <c r="U106" s="334" t="str">
        <f aca="false">IF((E106="i"),G106," ")</f>
        <v> </v>
      </c>
      <c r="V106" s="334" t="str">
        <f aca="false">IF((E106="o"),G106," ")</f>
        <v> </v>
      </c>
      <c r="W106" s="334" t="str">
        <f aca="false">IF((E106="f"),G106," ")</f>
        <v> </v>
      </c>
    </row>
    <row r="107" customFormat="false" ht="12.75" hidden="false" customHeight="false" outlineLevel="0" collapsed="false">
      <c r="A107" s="355"/>
      <c r="E107" s="365" t="str">
        <f aca="false">IF((G107&lt;&gt;0),"Enter Letter"," ")</f>
        <v> </v>
      </c>
      <c r="H107" s="338" t="str">
        <f aca="false">IF((G107&lt;&gt;0),IF((D107&gt;0)," ",G107)," ")</f>
        <v> </v>
      </c>
      <c r="I107" s="367" t="str">
        <f aca="false">IF((G107&lt;&gt;0),IF((D107&gt;0)," ",(I$1-A107))," ")</f>
        <v> </v>
      </c>
      <c r="J107" s="334" t="str">
        <f aca="false">IF((E107="s"),G107," ")</f>
        <v> </v>
      </c>
      <c r="K107" s="334" t="str">
        <f aca="false">IF((E107="d"),G107," ")</f>
        <v> </v>
      </c>
      <c r="L107" s="334" t="str">
        <f aca="false">IF((E107="e"),G107," ")</f>
        <v> </v>
      </c>
      <c r="M107" s="334" t="str">
        <f aca="false">IF((E107="p"),G107," ")</f>
        <v> </v>
      </c>
      <c r="N107" s="334" t="str">
        <f aca="false">IF((E107="r"),G107," ")</f>
        <v> </v>
      </c>
      <c r="O107" s="334" t="str">
        <f aca="false">IF((E107="g"),G107," ")</f>
        <v> </v>
      </c>
      <c r="P107" s="334" t="str">
        <f aca="false">IF((E107="m"),G107," ")</f>
        <v> </v>
      </c>
      <c r="Q107" s="334" t="str">
        <f aca="false">IF((E107="t"),G107," ")</f>
        <v> </v>
      </c>
      <c r="R107" s="334" t="str">
        <f aca="false">IF((E107="a"),G107," ")</f>
        <v> </v>
      </c>
      <c r="S107" s="334" t="str">
        <f aca="false">IF((E107="l"),G107," ")</f>
        <v> </v>
      </c>
      <c r="T107" s="334" t="str">
        <f aca="false">IF((E107="b"),G107," ")</f>
        <v> </v>
      </c>
      <c r="U107" s="334" t="str">
        <f aca="false">IF((E107="i"),G107," ")</f>
        <v> </v>
      </c>
      <c r="V107" s="334" t="str">
        <f aca="false">IF((E107="o"),G107," ")</f>
        <v> </v>
      </c>
      <c r="W107" s="334" t="str">
        <f aca="false">IF((E107="f"),G107," ")</f>
        <v> </v>
      </c>
    </row>
    <row r="108" customFormat="false" ht="12.75" hidden="false" customHeight="false" outlineLevel="0" collapsed="false">
      <c r="A108" s="355"/>
      <c r="E108" s="365" t="str">
        <f aca="false">IF((G108&lt;&gt;0),"Enter Letter"," ")</f>
        <v> </v>
      </c>
      <c r="H108" s="338" t="str">
        <f aca="false">IF((G108&lt;&gt;0),IF((D108&gt;0)," ",G108)," ")</f>
        <v> </v>
      </c>
      <c r="I108" s="367" t="str">
        <f aca="false">IF((G108&lt;&gt;0),IF((D108&gt;0)," ",(I$1-A108))," ")</f>
        <v> </v>
      </c>
      <c r="J108" s="334" t="str">
        <f aca="false">IF((E108="s"),G108," ")</f>
        <v> </v>
      </c>
      <c r="K108" s="334" t="str">
        <f aca="false">IF((E108="d"),G108," ")</f>
        <v> </v>
      </c>
      <c r="L108" s="334" t="str">
        <f aca="false">IF((E108="e"),G108," ")</f>
        <v> </v>
      </c>
      <c r="M108" s="334" t="str">
        <f aca="false">IF((E108="p"),G108," ")</f>
        <v> </v>
      </c>
      <c r="N108" s="334" t="str">
        <f aca="false">IF((E108="r"),G108," ")</f>
        <v> </v>
      </c>
      <c r="O108" s="334" t="str">
        <f aca="false">IF((E108="g"),G108," ")</f>
        <v> </v>
      </c>
      <c r="P108" s="334" t="str">
        <f aca="false">IF((E108="m"),G108," ")</f>
        <v> </v>
      </c>
      <c r="Q108" s="334" t="str">
        <f aca="false">IF((E108="t"),G108," ")</f>
        <v> </v>
      </c>
      <c r="R108" s="334" t="str">
        <f aca="false">IF((E108="a"),G108," ")</f>
        <v> </v>
      </c>
      <c r="S108" s="334" t="str">
        <f aca="false">IF((E108="l"),G108," ")</f>
        <v> </v>
      </c>
      <c r="T108" s="334" t="str">
        <f aca="false">IF((E108="b"),G108," ")</f>
        <v> </v>
      </c>
      <c r="U108" s="334" t="str">
        <f aca="false">IF((E108="i"),G108," ")</f>
        <v> </v>
      </c>
      <c r="V108" s="334" t="str">
        <f aca="false">IF((E108="o"),G108," ")</f>
        <v> </v>
      </c>
      <c r="W108" s="334" t="str">
        <f aca="false">IF((E108="f"),G108," ")</f>
        <v> </v>
      </c>
    </row>
    <row r="109" customFormat="false" ht="12.75" hidden="false" customHeight="false" outlineLevel="0" collapsed="false">
      <c r="A109" s="355"/>
      <c r="E109" s="365" t="str">
        <f aca="false">IF((G109&lt;&gt;0),"Enter Letter"," ")</f>
        <v> </v>
      </c>
      <c r="H109" s="338" t="str">
        <f aca="false">IF((G109&lt;&gt;0),IF((D109&gt;0)," ",G109)," ")</f>
        <v> </v>
      </c>
      <c r="I109" s="367" t="str">
        <f aca="false">IF((G109&lt;&gt;0),IF((D109&gt;0)," ",(I$1-A109))," ")</f>
        <v> </v>
      </c>
      <c r="J109" s="334" t="str">
        <f aca="false">IF((E109="s"),G109," ")</f>
        <v> </v>
      </c>
      <c r="K109" s="334" t="str">
        <f aca="false">IF((E109="d"),G109," ")</f>
        <v> </v>
      </c>
      <c r="L109" s="334" t="str">
        <f aca="false">IF((E109="e"),G109," ")</f>
        <v> </v>
      </c>
      <c r="M109" s="334" t="str">
        <f aca="false">IF((E109="p"),G109," ")</f>
        <v> </v>
      </c>
      <c r="N109" s="334" t="str">
        <f aca="false">IF((E109="r"),G109," ")</f>
        <v> </v>
      </c>
      <c r="O109" s="334" t="str">
        <f aca="false">IF((E109="g"),G109," ")</f>
        <v> </v>
      </c>
      <c r="P109" s="334" t="str">
        <f aca="false">IF((E109="m"),G109," ")</f>
        <v> </v>
      </c>
      <c r="Q109" s="334" t="str">
        <f aca="false">IF((E109="t"),G109," ")</f>
        <v> </v>
      </c>
      <c r="R109" s="334" t="str">
        <f aca="false">IF((E109="a"),G109," ")</f>
        <v> </v>
      </c>
      <c r="S109" s="334" t="str">
        <f aca="false">IF((E109="l"),G109," ")</f>
        <v> </v>
      </c>
      <c r="T109" s="334" t="str">
        <f aca="false">IF((E109="b"),G109," ")</f>
        <v> </v>
      </c>
      <c r="U109" s="334" t="str">
        <f aca="false">IF((E109="i"),G109," ")</f>
        <v> </v>
      </c>
      <c r="V109" s="334" t="str">
        <f aca="false">IF((E109="o"),G109," ")</f>
        <v> </v>
      </c>
      <c r="W109" s="334" t="str">
        <f aca="false">IF((E109="f"),G109," ")</f>
        <v> </v>
      </c>
    </row>
    <row r="110" customFormat="false" ht="12.75" hidden="false" customHeight="false" outlineLevel="0" collapsed="false">
      <c r="A110" s="355"/>
      <c r="E110" s="365" t="str">
        <f aca="false">IF((G110&lt;&gt;0),"Enter Letter"," ")</f>
        <v> </v>
      </c>
      <c r="H110" s="338" t="str">
        <f aca="false">IF((G110&lt;&gt;0),IF((D110&gt;0)," ",G110)," ")</f>
        <v> </v>
      </c>
      <c r="I110" s="367" t="str">
        <f aca="false">IF((G110&lt;&gt;0),IF((D110&gt;0)," ",(I$1-A110))," ")</f>
        <v> </v>
      </c>
      <c r="J110" s="334" t="str">
        <f aca="false">IF((E110="s"),G110," ")</f>
        <v> </v>
      </c>
      <c r="K110" s="334" t="str">
        <f aca="false">IF((E110="d"),G110," ")</f>
        <v> </v>
      </c>
      <c r="L110" s="334" t="str">
        <f aca="false">IF((E110="e"),G110," ")</f>
        <v> </v>
      </c>
      <c r="M110" s="334" t="str">
        <f aca="false">IF((E110="p"),G110," ")</f>
        <v> </v>
      </c>
      <c r="N110" s="334" t="str">
        <f aca="false">IF((E110="r"),G110," ")</f>
        <v> </v>
      </c>
      <c r="O110" s="334" t="str">
        <f aca="false">IF((E110="g"),G110," ")</f>
        <v> </v>
      </c>
      <c r="P110" s="334" t="str">
        <f aca="false">IF((E110="m"),G110," ")</f>
        <v> </v>
      </c>
      <c r="Q110" s="334" t="str">
        <f aca="false">IF((E110="t"),G110," ")</f>
        <v> </v>
      </c>
      <c r="R110" s="334" t="str">
        <f aca="false">IF((E110="a"),G110," ")</f>
        <v> </v>
      </c>
      <c r="S110" s="334" t="str">
        <f aca="false">IF((E110="l"),G110," ")</f>
        <v> </v>
      </c>
      <c r="T110" s="334" t="str">
        <f aca="false">IF((E110="b"),G110," ")</f>
        <v> </v>
      </c>
      <c r="U110" s="334" t="str">
        <f aca="false">IF((E110="i"),G110," ")</f>
        <v> </v>
      </c>
      <c r="V110" s="334" t="str">
        <f aca="false">IF((E110="o"),G110," ")</f>
        <v> </v>
      </c>
      <c r="W110" s="334" t="str">
        <f aca="false">IF((E110="f"),G110," ")</f>
        <v> </v>
      </c>
    </row>
    <row r="111" customFormat="false" ht="12.75" hidden="false" customHeight="false" outlineLevel="0" collapsed="false">
      <c r="A111" s="355"/>
      <c r="E111" s="365" t="str">
        <f aca="false">IF((G111&lt;&gt;0),"Enter Letter"," ")</f>
        <v> </v>
      </c>
      <c r="H111" s="338" t="str">
        <f aca="false">IF((G111&lt;&gt;0),IF((D111&gt;0)," ",G111)," ")</f>
        <v> </v>
      </c>
      <c r="I111" s="367" t="str">
        <f aca="false">IF((G111&lt;&gt;0),IF((D111&gt;0)," ",(I$1-A111))," ")</f>
        <v> </v>
      </c>
      <c r="J111" s="334" t="str">
        <f aca="false">IF((E111="s"),G111," ")</f>
        <v> </v>
      </c>
      <c r="K111" s="334" t="str">
        <f aca="false">IF((E111="d"),G111," ")</f>
        <v> </v>
      </c>
      <c r="L111" s="334" t="str">
        <f aca="false">IF((E111="e"),G111," ")</f>
        <v> </v>
      </c>
      <c r="M111" s="334" t="str">
        <f aca="false">IF((E111="p"),G111," ")</f>
        <v> </v>
      </c>
      <c r="N111" s="334" t="str">
        <f aca="false">IF((E111="r"),G111," ")</f>
        <v> </v>
      </c>
      <c r="O111" s="334" t="str">
        <f aca="false">IF((E111="g"),G111," ")</f>
        <v> </v>
      </c>
      <c r="P111" s="334" t="str">
        <f aca="false">IF((E111="m"),G111," ")</f>
        <v> </v>
      </c>
      <c r="Q111" s="334" t="str">
        <f aca="false">IF((E111="t"),G111," ")</f>
        <v> </v>
      </c>
      <c r="R111" s="334" t="str">
        <f aca="false">IF((E111="a"),G111," ")</f>
        <v> </v>
      </c>
      <c r="S111" s="334" t="str">
        <f aca="false">IF((E111="l"),G111," ")</f>
        <v> </v>
      </c>
      <c r="T111" s="334" t="str">
        <f aca="false">IF((E111="b"),G111," ")</f>
        <v> </v>
      </c>
      <c r="U111" s="334" t="str">
        <f aca="false">IF((E111="i"),G111," ")</f>
        <v> </v>
      </c>
      <c r="V111" s="334" t="str">
        <f aca="false">IF((E111="o"),G111," ")</f>
        <v> </v>
      </c>
      <c r="W111" s="334" t="str">
        <f aca="false">IF((E111="f"),G111," ")</f>
        <v> </v>
      </c>
    </row>
    <row r="112" customFormat="false" ht="12.75" hidden="false" customHeight="false" outlineLevel="0" collapsed="false">
      <c r="A112" s="355"/>
      <c r="E112" s="365" t="str">
        <f aca="false">IF((G112&lt;&gt;0),"Enter Letter"," ")</f>
        <v> </v>
      </c>
      <c r="H112" s="338" t="str">
        <f aca="false">IF((G112&lt;&gt;0),IF((D112&gt;0)," ",G112)," ")</f>
        <v> </v>
      </c>
      <c r="I112" s="367" t="str">
        <f aca="false">IF((G112&lt;&gt;0),IF((D112&gt;0)," ",(I$1-A112))," ")</f>
        <v> </v>
      </c>
      <c r="J112" s="334" t="str">
        <f aca="false">IF((E112="s"),G112," ")</f>
        <v> </v>
      </c>
      <c r="K112" s="334" t="str">
        <f aca="false">IF((E112="d"),G112," ")</f>
        <v> </v>
      </c>
      <c r="L112" s="334" t="str">
        <f aca="false">IF((E112="e"),G112," ")</f>
        <v> </v>
      </c>
      <c r="M112" s="334" t="str">
        <f aca="false">IF((E112="p"),G112," ")</f>
        <v> </v>
      </c>
      <c r="N112" s="334" t="str">
        <f aca="false">IF((E112="r"),G112," ")</f>
        <v> </v>
      </c>
      <c r="O112" s="334" t="str">
        <f aca="false">IF((E112="g"),G112," ")</f>
        <v> </v>
      </c>
      <c r="P112" s="334" t="str">
        <f aca="false">IF((E112="m"),G112," ")</f>
        <v> </v>
      </c>
      <c r="Q112" s="334" t="str">
        <f aca="false">IF((E112="t"),G112," ")</f>
        <v> </v>
      </c>
      <c r="R112" s="334" t="str">
        <f aca="false">IF((E112="a"),G112," ")</f>
        <v> </v>
      </c>
      <c r="S112" s="334" t="str">
        <f aca="false">IF((E112="l"),G112," ")</f>
        <v> </v>
      </c>
      <c r="T112" s="334" t="str">
        <f aca="false">IF((E112="b"),G112," ")</f>
        <v> </v>
      </c>
      <c r="U112" s="334" t="str">
        <f aca="false">IF((E112="i"),G112," ")</f>
        <v> </v>
      </c>
      <c r="V112" s="334" t="str">
        <f aca="false">IF((E112="o"),G112," ")</f>
        <v> </v>
      </c>
      <c r="W112" s="334" t="str">
        <f aca="false">IF((E112="f"),G112," ")</f>
        <v> </v>
      </c>
    </row>
    <row r="113" customFormat="false" ht="12.75" hidden="false" customHeight="false" outlineLevel="0" collapsed="false">
      <c r="A113" s="355"/>
      <c r="E113" s="365" t="str">
        <f aca="false">IF((G113&lt;&gt;0),"Enter Letter"," ")</f>
        <v> </v>
      </c>
      <c r="H113" s="338" t="str">
        <f aca="false">IF((G113&lt;&gt;0),IF((D113&gt;0)," ",G113)," ")</f>
        <v> </v>
      </c>
      <c r="I113" s="367" t="str">
        <f aca="false">IF((G113&lt;&gt;0),IF((D113&gt;0)," ",(I$1-A113))," ")</f>
        <v> </v>
      </c>
      <c r="J113" s="334" t="str">
        <f aca="false">IF((E113="s"),G113," ")</f>
        <v> </v>
      </c>
      <c r="K113" s="334" t="str">
        <f aca="false">IF((E113="d"),G113," ")</f>
        <v> </v>
      </c>
      <c r="L113" s="334" t="str">
        <f aca="false">IF((E113="e"),G113," ")</f>
        <v> </v>
      </c>
      <c r="M113" s="334" t="str">
        <f aca="false">IF((E113="p"),G113," ")</f>
        <v> </v>
      </c>
      <c r="N113" s="334" t="str">
        <f aca="false">IF((E113="r"),G113," ")</f>
        <v> </v>
      </c>
      <c r="O113" s="334" t="str">
        <f aca="false">IF((E113="g"),G113," ")</f>
        <v> </v>
      </c>
      <c r="P113" s="334" t="str">
        <f aca="false">IF((E113="m"),G113," ")</f>
        <v> </v>
      </c>
      <c r="Q113" s="334" t="str">
        <f aca="false">IF((E113="t"),G113," ")</f>
        <v> </v>
      </c>
      <c r="R113" s="334" t="str">
        <f aca="false">IF((E113="a"),G113," ")</f>
        <v> </v>
      </c>
      <c r="S113" s="334" t="str">
        <f aca="false">IF((E113="l"),G113," ")</f>
        <v> </v>
      </c>
      <c r="T113" s="334" t="str">
        <f aca="false">IF((E113="b"),G113," ")</f>
        <v> </v>
      </c>
      <c r="U113" s="334" t="str">
        <f aca="false">IF((E113="i"),G113," ")</f>
        <v> </v>
      </c>
      <c r="V113" s="334" t="str">
        <f aca="false">IF((E113="o"),G113," ")</f>
        <v> </v>
      </c>
      <c r="W113" s="334" t="str">
        <f aca="false">IF((E113="f"),G113," ")</f>
        <v> </v>
      </c>
    </row>
    <row r="114" customFormat="false" ht="12.75" hidden="false" customHeight="false" outlineLevel="0" collapsed="false">
      <c r="A114" s="355"/>
      <c r="E114" s="365" t="str">
        <f aca="false">IF((G114&lt;&gt;0),"Enter Letter"," ")</f>
        <v> </v>
      </c>
      <c r="H114" s="338" t="str">
        <f aca="false">IF((G114&lt;&gt;0),IF((D114&gt;0)," ",G114)," ")</f>
        <v> </v>
      </c>
      <c r="I114" s="367" t="str">
        <f aca="false">IF((G114&lt;&gt;0),IF((D114&gt;0)," ",(I$1-A114))," ")</f>
        <v> </v>
      </c>
      <c r="J114" s="334" t="str">
        <f aca="false">IF((E114="s"),G114," ")</f>
        <v> </v>
      </c>
      <c r="K114" s="334" t="str">
        <f aca="false">IF((E114="d"),G114," ")</f>
        <v> </v>
      </c>
      <c r="L114" s="334" t="str">
        <f aca="false">IF((E114="e"),G114," ")</f>
        <v> </v>
      </c>
      <c r="M114" s="334" t="str">
        <f aca="false">IF((E114="p"),G114," ")</f>
        <v> </v>
      </c>
      <c r="N114" s="334" t="str">
        <f aca="false">IF((E114="r"),G114," ")</f>
        <v> </v>
      </c>
      <c r="O114" s="334" t="str">
        <f aca="false">IF((E114="g"),G114," ")</f>
        <v> </v>
      </c>
      <c r="P114" s="334" t="str">
        <f aca="false">IF((E114="m"),G114," ")</f>
        <v> </v>
      </c>
      <c r="Q114" s="334" t="str">
        <f aca="false">IF((E114="t"),G114," ")</f>
        <v> </v>
      </c>
      <c r="R114" s="334" t="str">
        <f aca="false">IF((E114="a"),G114," ")</f>
        <v> </v>
      </c>
      <c r="S114" s="334" t="str">
        <f aca="false">IF((E114="l"),G114," ")</f>
        <v> </v>
      </c>
      <c r="T114" s="334" t="str">
        <f aca="false">IF((E114="b"),G114," ")</f>
        <v> </v>
      </c>
      <c r="U114" s="334" t="str">
        <f aca="false">IF((E114="i"),G114," ")</f>
        <v> </v>
      </c>
      <c r="V114" s="334" t="str">
        <f aca="false">IF((E114="o"),G114," ")</f>
        <v> </v>
      </c>
      <c r="W114" s="334" t="str">
        <f aca="false">IF((E114="f"),G114," ")</f>
        <v> </v>
      </c>
    </row>
    <row r="115" customFormat="false" ht="12.75" hidden="false" customHeight="false" outlineLevel="0" collapsed="false">
      <c r="A115" s="355"/>
      <c r="E115" s="365" t="str">
        <f aca="false">IF((G115&lt;&gt;0),"Enter Letter"," ")</f>
        <v> </v>
      </c>
      <c r="H115" s="338" t="str">
        <f aca="false">IF((G115&lt;&gt;0),IF((D115&gt;0)," ",G115)," ")</f>
        <v> </v>
      </c>
      <c r="I115" s="367" t="str">
        <f aca="false">IF((G115&lt;&gt;0),IF((D115&gt;0)," ",(I$1-A115))," ")</f>
        <v> </v>
      </c>
      <c r="J115" s="334" t="str">
        <f aca="false">IF((E115="s"),G115," ")</f>
        <v> </v>
      </c>
      <c r="K115" s="334" t="str">
        <f aca="false">IF((E115="d"),G115," ")</f>
        <v> </v>
      </c>
      <c r="L115" s="334" t="str">
        <f aca="false">IF((E115="e"),G115," ")</f>
        <v> </v>
      </c>
      <c r="M115" s="334" t="str">
        <f aca="false">IF((E115="p"),G115," ")</f>
        <v> </v>
      </c>
      <c r="N115" s="334" t="str">
        <f aca="false">IF((E115="r"),G115," ")</f>
        <v> </v>
      </c>
      <c r="O115" s="334" t="str">
        <f aca="false">IF((E115="g"),G115," ")</f>
        <v> </v>
      </c>
      <c r="P115" s="334" t="str">
        <f aca="false">IF((E115="m"),G115," ")</f>
        <v> </v>
      </c>
      <c r="Q115" s="334" t="str">
        <f aca="false">IF((E115="t"),G115," ")</f>
        <v> </v>
      </c>
      <c r="R115" s="334" t="str">
        <f aca="false">IF((E115="a"),G115," ")</f>
        <v> </v>
      </c>
      <c r="S115" s="334" t="str">
        <f aca="false">IF((E115="l"),G115," ")</f>
        <v> </v>
      </c>
      <c r="T115" s="334" t="str">
        <f aca="false">IF((E115="b"),G115," ")</f>
        <v> </v>
      </c>
      <c r="U115" s="334" t="str">
        <f aca="false">IF((E115="i"),G115," ")</f>
        <v> </v>
      </c>
      <c r="V115" s="334" t="str">
        <f aca="false">IF((E115="o"),G115," ")</f>
        <v> </v>
      </c>
      <c r="W115" s="334" t="str">
        <f aca="false">IF((E115="f"),G115," ")</f>
        <v> </v>
      </c>
    </row>
    <row r="116" customFormat="false" ht="12.75" hidden="false" customHeight="false" outlineLevel="0" collapsed="false">
      <c r="A116" s="355"/>
      <c r="E116" s="365" t="str">
        <f aca="false">IF((G116&lt;&gt;0),"Enter Letter"," ")</f>
        <v> </v>
      </c>
      <c r="H116" s="338" t="str">
        <f aca="false">IF((G116&lt;&gt;0),IF((D116&gt;0)," ",G116)," ")</f>
        <v> </v>
      </c>
      <c r="I116" s="367" t="str">
        <f aca="false">IF((G116&lt;&gt;0),IF((D116&gt;0)," ",(I$1-A116))," ")</f>
        <v> </v>
      </c>
      <c r="J116" s="334" t="str">
        <f aca="false">IF((E116="s"),G116," ")</f>
        <v> </v>
      </c>
      <c r="K116" s="334" t="str">
        <f aca="false">IF((E116="d"),G116," ")</f>
        <v> </v>
      </c>
      <c r="L116" s="334" t="str">
        <f aca="false">IF((E116="e"),G116," ")</f>
        <v> </v>
      </c>
      <c r="M116" s="334" t="str">
        <f aca="false">IF((E116="p"),G116," ")</f>
        <v> </v>
      </c>
      <c r="N116" s="334" t="str">
        <f aca="false">IF((E116="r"),G116," ")</f>
        <v> </v>
      </c>
      <c r="O116" s="334" t="str">
        <f aca="false">IF((E116="g"),G116," ")</f>
        <v> </v>
      </c>
      <c r="P116" s="334" t="str">
        <f aca="false">IF((E116="m"),G116," ")</f>
        <v> </v>
      </c>
      <c r="Q116" s="334" t="str">
        <f aca="false">IF((E116="t"),G116," ")</f>
        <v> </v>
      </c>
      <c r="R116" s="334" t="str">
        <f aca="false">IF((E116="a"),G116," ")</f>
        <v> </v>
      </c>
      <c r="S116" s="334" t="str">
        <f aca="false">IF((E116="l"),G116," ")</f>
        <v> </v>
      </c>
      <c r="T116" s="334" t="str">
        <f aca="false">IF((E116="b"),G116," ")</f>
        <v> </v>
      </c>
      <c r="U116" s="334" t="str">
        <f aca="false">IF((E116="i"),G116," ")</f>
        <v> </v>
      </c>
      <c r="V116" s="334" t="str">
        <f aca="false">IF((E116="o"),G116," ")</f>
        <v> </v>
      </c>
      <c r="W116" s="334" t="str">
        <f aca="false">IF((E116="f"),G116," ")</f>
        <v> </v>
      </c>
    </row>
    <row r="117" customFormat="false" ht="12.75" hidden="false" customHeight="false" outlineLevel="0" collapsed="false">
      <c r="A117" s="355"/>
      <c r="E117" s="365" t="str">
        <f aca="false">IF((G117&lt;&gt;0),"Enter Letter"," ")</f>
        <v> </v>
      </c>
      <c r="H117" s="338" t="str">
        <f aca="false">IF((G117&lt;&gt;0),IF((D117&gt;0)," ",G117)," ")</f>
        <v> </v>
      </c>
      <c r="I117" s="367" t="str">
        <f aca="false">IF((G117&lt;&gt;0),IF((D117&gt;0)," ",(I$1-A117))," ")</f>
        <v> </v>
      </c>
      <c r="J117" s="334" t="str">
        <f aca="false">IF((E117="s"),G117," ")</f>
        <v> </v>
      </c>
      <c r="K117" s="334" t="str">
        <f aca="false">IF((E117="d"),G117," ")</f>
        <v> </v>
      </c>
      <c r="L117" s="334" t="str">
        <f aca="false">IF((E117="e"),G117," ")</f>
        <v> </v>
      </c>
      <c r="M117" s="334" t="str">
        <f aca="false">IF((E117="p"),G117," ")</f>
        <v> </v>
      </c>
      <c r="N117" s="334" t="str">
        <f aca="false">IF((E117="r"),G117," ")</f>
        <v> </v>
      </c>
      <c r="O117" s="334" t="str">
        <f aca="false">IF((E117="g"),G117," ")</f>
        <v> </v>
      </c>
      <c r="P117" s="334" t="str">
        <f aca="false">IF((E117="m"),G117," ")</f>
        <v> </v>
      </c>
      <c r="Q117" s="334" t="str">
        <f aca="false">IF((E117="t"),G117," ")</f>
        <v> </v>
      </c>
      <c r="R117" s="334" t="str">
        <f aca="false">IF((E117="a"),G117," ")</f>
        <v> </v>
      </c>
      <c r="S117" s="334" t="str">
        <f aca="false">IF((E117="l"),G117," ")</f>
        <v> </v>
      </c>
      <c r="T117" s="334" t="str">
        <f aca="false">IF((E117="b"),G117," ")</f>
        <v> </v>
      </c>
      <c r="U117" s="334" t="str">
        <f aca="false">IF((E117="i"),G117," ")</f>
        <v> </v>
      </c>
      <c r="V117" s="334" t="str">
        <f aca="false">IF((E117="o"),G117," ")</f>
        <v> </v>
      </c>
      <c r="W117" s="334" t="str">
        <f aca="false">IF((E117="f"),G117," ")</f>
        <v> </v>
      </c>
    </row>
    <row r="118" customFormat="false" ht="12.75" hidden="false" customHeight="false" outlineLevel="0" collapsed="false">
      <c r="A118" s="355"/>
      <c r="E118" s="365" t="str">
        <f aca="false">IF((G118&lt;&gt;0),"Enter Letter"," ")</f>
        <v> </v>
      </c>
      <c r="H118" s="338" t="str">
        <f aca="false">IF((G118&lt;&gt;0),IF((D118&gt;0)," ",G118)," ")</f>
        <v> </v>
      </c>
      <c r="I118" s="367" t="str">
        <f aca="false">IF((G118&lt;&gt;0),IF((D118&gt;0)," ",(I$1-A118))," ")</f>
        <v> </v>
      </c>
      <c r="J118" s="334" t="str">
        <f aca="false">IF((E118="s"),G118," ")</f>
        <v> </v>
      </c>
      <c r="K118" s="334" t="str">
        <f aca="false">IF((E118="d"),G118," ")</f>
        <v> </v>
      </c>
      <c r="L118" s="334" t="str">
        <f aca="false">IF((E118="e"),G118," ")</f>
        <v> </v>
      </c>
      <c r="M118" s="334" t="str">
        <f aca="false">IF((E118="p"),G118," ")</f>
        <v> </v>
      </c>
      <c r="N118" s="334" t="str">
        <f aca="false">IF((E118="r"),G118," ")</f>
        <v> </v>
      </c>
      <c r="O118" s="334" t="str">
        <f aca="false">IF((E118="g"),G118," ")</f>
        <v> </v>
      </c>
      <c r="P118" s="334" t="str">
        <f aca="false">IF((E118="m"),G118," ")</f>
        <v> </v>
      </c>
      <c r="Q118" s="334" t="str">
        <f aca="false">IF((E118="t"),G118," ")</f>
        <v> </v>
      </c>
      <c r="R118" s="334" t="str">
        <f aca="false">IF((E118="a"),G118," ")</f>
        <v> </v>
      </c>
      <c r="S118" s="334" t="str">
        <f aca="false">IF((E118="l"),G118," ")</f>
        <v> </v>
      </c>
      <c r="T118" s="334" t="str">
        <f aca="false">IF((E118="b"),G118," ")</f>
        <v> </v>
      </c>
      <c r="U118" s="334" t="str">
        <f aca="false">IF((E118="i"),G118," ")</f>
        <v> </v>
      </c>
      <c r="V118" s="334" t="str">
        <f aca="false">IF((E118="o"),G118," ")</f>
        <v> </v>
      </c>
      <c r="W118" s="334" t="str">
        <f aca="false">IF((E118="f"),G118," ")</f>
        <v> </v>
      </c>
    </row>
    <row r="119" customFormat="false" ht="12.75" hidden="false" customHeight="false" outlineLevel="0" collapsed="false">
      <c r="A119" s="355"/>
      <c r="E119" s="365" t="str">
        <f aca="false">IF((G119&lt;&gt;0),"Enter Letter"," ")</f>
        <v> </v>
      </c>
      <c r="H119" s="338" t="str">
        <f aca="false">IF((G119&lt;&gt;0),IF((D119&gt;0)," ",G119)," ")</f>
        <v> </v>
      </c>
      <c r="I119" s="367" t="str">
        <f aca="false">IF((G119&lt;&gt;0),IF((D119&gt;0)," ",(I$1-A119))," ")</f>
        <v> </v>
      </c>
      <c r="J119" s="334" t="str">
        <f aca="false">IF((E119="s"),G119," ")</f>
        <v> </v>
      </c>
      <c r="K119" s="334" t="str">
        <f aca="false">IF((E119="d"),G119," ")</f>
        <v> </v>
      </c>
      <c r="L119" s="334" t="str">
        <f aca="false">IF((E119="e"),G119," ")</f>
        <v> </v>
      </c>
      <c r="M119" s="334" t="str">
        <f aca="false">IF((E119="p"),G119," ")</f>
        <v> </v>
      </c>
      <c r="N119" s="334" t="str">
        <f aca="false">IF((E119="r"),G119," ")</f>
        <v> </v>
      </c>
      <c r="O119" s="334" t="str">
        <f aca="false">IF((E119="g"),G119," ")</f>
        <v> </v>
      </c>
      <c r="P119" s="334" t="str">
        <f aca="false">IF((E119="m"),G119," ")</f>
        <v> </v>
      </c>
      <c r="Q119" s="334" t="str">
        <f aca="false">IF((E119="t"),G119," ")</f>
        <v> </v>
      </c>
      <c r="R119" s="334" t="str">
        <f aca="false">IF((E119="a"),G119," ")</f>
        <v> </v>
      </c>
      <c r="S119" s="334" t="str">
        <f aca="false">IF((E119="l"),G119," ")</f>
        <v> </v>
      </c>
      <c r="T119" s="334" t="str">
        <f aca="false">IF((E119="b"),G119," ")</f>
        <v> </v>
      </c>
      <c r="U119" s="334" t="str">
        <f aca="false">IF((E119="i"),G119," ")</f>
        <v> </v>
      </c>
      <c r="V119" s="334" t="str">
        <f aca="false">IF((E119="o"),G119," ")</f>
        <v> </v>
      </c>
      <c r="W119" s="334" t="str">
        <f aca="false">IF((E119="f"),G119," ")</f>
        <v> </v>
      </c>
    </row>
    <row r="120" customFormat="false" ht="12.75" hidden="false" customHeight="false" outlineLevel="0" collapsed="false">
      <c r="A120" s="355"/>
      <c r="E120" s="365" t="str">
        <f aca="false">IF((G120&lt;&gt;0),"Enter Letter"," ")</f>
        <v> </v>
      </c>
      <c r="H120" s="338" t="str">
        <f aca="false">IF((G120&lt;&gt;0),IF((D120&gt;0)," ",G120)," ")</f>
        <v> </v>
      </c>
      <c r="I120" s="367" t="str">
        <f aca="false">IF((G120&lt;&gt;0),IF((D120&gt;0)," ",(I$1-A120))," ")</f>
        <v> </v>
      </c>
      <c r="J120" s="334" t="str">
        <f aca="false">IF((E120="s"),G120," ")</f>
        <v> </v>
      </c>
      <c r="K120" s="334" t="str">
        <f aca="false">IF((E120="d"),G120," ")</f>
        <v> </v>
      </c>
      <c r="L120" s="334" t="str">
        <f aca="false">IF((E120="e"),G120," ")</f>
        <v> </v>
      </c>
      <c r="M120" s="334" t="str">
        <f aca="false">IF((E120="p"),G120," ")</f>
        <v> </v>
      </c>
      <c r="N120" s="334" t="str">
        <f aca="false">IF((E120="r"),G120," ")</f>
        <v> </v>
      </c>
      <c r="O120" s="334" t="str">
        <f aca="false">IF((E120="g"),G120," ")</f>
        <v> </v>
      </c>
      <c r="P120" s="334" t="str">
        <f aca="false">IF((E120="m"),G120," ")</f>
        <v> </v>
      </c>
      <c r="Q120" s="334" t="str">
        <f aca="false">IF((E120="t"),G120," ")</f>
        <v> </v>
      </c>
      <c r="R120" s="334" t="str">
        <f aca="false">IF((E120="a"),G120," ")</f>
        <v> </v>
      </c>
      <c r="S120" s="334" t="str">
        <f aca="false">IF((E120="l"),G120," ")</f>
        <v> </v>
      </c>
      <c r="T120" s="334" t="str">
        <f aca="false">IF((E120="b"),G120," ")</f>
        <v> </v>
      </c>
      <c r="U120" s="334" t="str">
        <f aca="false">IF((E120="i"),G120," ")</f>
        <v> </v>
      </c>
      <c r="V120" s="334" t="str">
        <f aca="false">IF((E120="o"),G120," ")</f>
        <v> </v>
      </c>
      <c r="W120" s="334" t="str">
        <f aca="false">IF((E120="f"),G120," ")</f>
        <v> </v>
      </c>
    </row>
    <row r="121" customFormat="false" ht="12.75" hidden="false" customHeight="false" outlineLevel="0" collapsed="false">
      <c r="A121" s="355"/>
      <c r="E121" s="365" t="str">
        <f aca="false">IF((G121&lt;&gt;0),"Enter Letter"," ")</f>
        <v> </v>
      </c>
      <c r="H121" s="338" t="str">
        <f aca="false">IF((G121&lt;&gt;0),IF((D121&gt;0)," ",G121)," ")</f>
        <v> </v>
      </c>
      <c r="I121" s="367" t="str">
        <f aca="false">IF((G121&lt;&gt;0),IF((D121&gt;0)," ",(I$1-A121))," ")</f>
        <v> </v>
      </c>
      <c r="J121" s="334" t="str">
        <f aca="false">IF((E121="s"),G121," ")</f>
        <v> </v>
      </c>
      <c r="K121" s="334" t="str">
        <f aca="false">IF((E121="d"),G121," ")</f>
        <v> </v>
      </c>
      <c r="L121" s="334" t="str">
        <f aca="false">IF((E121="e"),G121," ")</f>
        <v> </v>
      </c>
      <c r="M121" s="334" t="str">
        <f aca="false">IF((E121="p"),G121," ")</f>
        <v> </v>
      </c>
      <c r="N121" s="334" t="str">
        <f aca="false">IF((E121="r"),G121," ")</f>
        <v> </v>
      </c>
      <c r="O121" s="334" t="str">
        <f aca="false">IF((E121="g"),G121," ")</f>
        <v> </v>
      </c>
      <c r="P121" s="334" t="str">
        <f aca="false">IF((E121="m"),G121," ")</f>
        <v> </v>
      </c>
      <c r="Q121" s="334" t="str">
        <f aca="false">IF((E121="t"),G121," ")</f>
        <v> </v>
      </c>
      <c r="R121" s="334" t="str">
        <f aca="false">IF((E121="a"),G121," ")</f>
        <v> </v>
      </c>
      <c r="S121" s="334" t="str">
        <f aca="false">IF((E121="l"),G121," ")</f>
        <v> </v>
      </c>
      <c r="T121" s="334" t="str">
        <f aca="false">IF((E121="b"),G121," ")</f>
        <v> </v>
      </c>
      <c r="U121" s="334" t="str">
        <f aca="false">IF((E121="i"),G121," ")</f>
        <v> </v>
      </c>
      <c r="V121" s="334" t="str">
        <f aca="false">IF((E121="o"),G121," ")</f>
        <v> </v>
      </c>
      <c r="W121" s="334" t="str">
        <f aca="false">IF((E121="f"),G121," ")</f>
        <v> </v>
      </c>
    </row>
    <row r="122" customFormat="false" ht="12.75" hidden="false" customHeight="false" outlineLevel="0" collapsed="false">
      <c r="A122" s="355"/>
      <c r="E122" s="365" t="str">
        <f aca="false">IF((G122&lt;&gt;0),"Enter Letter"," ")</f>
        <v> </v>
      </c>
      <c r="H122" s="338" t="str">
        <f aca="false">IF((G122&lt;&gt;0),IF((D122&gt;0)," ",G122)," ")</f>
        <v> </v>
      </c>
      <c r="I122" s="367" t="str">
        <f aca="false">IF((G122&lt;&gt;0),IF((D122&gt;0)," ",(I$1-A122))," ")</f>
        <v> </v>
      </c>
      <c r="J122" s="334" t="str">
        <f aca="false">IF((E122="s"),G122," ")</f>
        <v> </v>
      </c>
      <c r="K122" s="334" t="str">
        <f aca="false">IF((E122="d"),G122," ")</f>
        <v> </v>
      </c>
      <c r="L122" s="334" t="str">
        <f aca="false">IF((E122="e"),G122," ")</f>
        <v> </v>
      </c>
      <c r="M122" s="334" t="str">
        <f aca="false">IF((E122="p"),G122," ")</f>
        <v> </v>
      </c>
      <c r="N122" s="334" t="str">
        <f aca="false">IF((E122="r"),G122," ")</f>
        <v> </v>
      </c>
      <c r="O122" s="334" t="str">
        <f aca="false">IF((E122="g"),G122," ")</f>
        <v> </v>
      </c>
      <c r="P122" s="334" t="str">
        <f aca="false">IF((E122="m"),G122," ")</f>
        <v> </v>
      </c>
      <c r="Q122" s="334" t="str">
        <f aca="false">IF((E122="t"),G122," ")</f>
        <v> </v>
      </c>
      <c r="R122" s="334" t="str">
        <f aca="false">IF((E122="a"),G122," ")</f>
        <v> </v>
      </c>
      <c r="S122" s="334" t="str">
        <f aca="false">IF((E122="l"),G122," ")</f>
        <v> </v>
      </c>
      <c r="T122" s="334" t="str">
        <f aca="false">IF((E122="b"),G122," ")</f>
        <v> </v>
      </c>
      <c r="U122" s="334" t="str">
        <f aca="false">IF((E122="i"),G122," ")</f>
        <v> </v>
      </c>
      <c r="V122" s="334" t="str">
        <f aca="false">IF((E122="o"),G122," ")</f>
        <v> </v>
      </c>
      <c r="W122" s="334" t="str">
        <f aca="false">IF((E122="f"),G122," ")</f>
        <v> </v>
      </c>
    </row>
    <row r="123" customFormat="false" ht="12.75" hidden="false" customHeight="false" outlineLevel="0" collapsed="false">
      <c r="A123" s="355"/>
      <c r="E123" s="365" t="str">
        <f aca="false">IF((G123&lt;&gt;0),"Enter Letter"," ")</f>
        <v> </v>
      </c>
      <c r="H123" s="338" t="str">
        <f aca="false">IF((G123&lt;&gt;0),IF((D123&gt;0)," ",G123)," ")</f>
        <v> </v>
      </c>
      <c r="I123" s="367" t="str">
        <f aca="false">IF((G123&lt;&gt;0),IF((D123&gt;0)," ",(I$1-A123))," ")</f>
        <v> </v>
      </c>
      <c r="J123" s="334" t="str">
        <f aca="false">IF((E123="s"),G123," ")</f>
        <v> </v>
      </c>
      <c r="K123" s="334" t="str">
        <f aca="false">IF((E123="d"),G123," ")</f>
        <v> </v>
      </c>
      <c r="L123" s="334" t="str">
        <f aca="false">IF((E123="e"),G123," ")</f>
        <v> </v>
      </c>
      <c r="M123" s="334" t="str">
        <f aca="false">IF((E123="p"),G123," ")</f>
        <v> </v>
      </c>
      <c r="N123" s="334" t="str">
        <f aca="false">IF((E123="r"),G123," ")</f>
        <v> </v>
      </c>
      <c r="O123" s="334" t="str">
        <f aca="false">IF((E123="g"),G123," ")</f>
        <v> </v>
      </c>
      <c r="P123" s="334" t="str">
        <f aca="false">IF((E123="m"),G123," ")</f>
        <v> </v>
      </c>
      <c r="Q123" s="334" t="str">
        <f aca="false">IF((E123="t"),G123," ")</f>
        <v> </v>
      </c>
      <c r="R123" s="334" t="str">
        <f aca="false">IF((E123="a"),G123," ")</f>
        <v> </v>
      </c>
      <c r="S123" s="334" t="str">
        <f aca="false">IF((E123="l"),G123," ")</f>
        <v> </v>
      </c>
      <c r="T123" s="334" t="str">
        <f aca="false">IF((E123="b"),G123," ")</f>
        <v> </v>
      </c>
      <c r="U123" s="334" t="str">
        <f aca="false">IF((E123="i"),G123," ")</f>
        <v> </v>
      </c>
      <c r="V123" s="334" t="str">
        <f aca="false">IF((E123="o"),G123," ")</f>
        <v> </v>
      </c>
      <c r="W123" s="334" t="str">
        <f aca="false">IF((E123="f"),G123," ")</f>
        <v> </v>
      </c>
    </row>
    <row r="124" customFormat="false" ht="12.75" hidden="false" customHeight="false" outlineLevel="0" collapsed="false">
      <c r="A124" s="355"/>
      <c r="E124" s="365" t="str">
        <f aca="false">IF((G124&lt;&gt;0),"Enter Letter"," ")</f>
        <v> </v>
      </c>
      <c r="H124" s="338" t="str">
        <f aca="false">IF((G124&lt;&gt;0),IF((D124&gt;0)," ",G124)," ")</f>
        <v> </v>
      </c>
      <c r="I124" s="367" t="str">
        <f aca="false">IF((G124&lt;&gt;0),IF((D124&gt;0)," ",(I$1-A124))," ")</f>
        <v> </v>
      </c>
      <c r="J124" s="334" t="str">
        <f aca="false">IF((E124="s"),G124," ")</f>
        <v> </v>
      </c>
      <c r="K124" s="334" t="str">
        <f aca="false">IF((E124="d"),G124," ")</f>
        <v> </v>
      </c>
      <c r="L124" s="334" t="str">
        <f aca="false">IF((E124="e"),G124," ")</f>
        <v> </v>
      </c>
      <c r="M124" s="334" t="str">
        <f aca="false">IF((E124="p"),G124," ")</f>
        <v> </v>
      </c>
      <c r="N124" s="334" t="str">
        <f aca="false">IF((E124="r"),G124," ")</f>
        <v> </v>
      </c>
      <c r="O124" s="334" t="str">
        <f aca="false">IF((E124="g"),G124," ")</f>
        <v> </v>
      </c>
      <c r="P124" s="334" t="str">
        <f aca="false">IF((E124="m"),G124," ")</f>
        <v> </v>
      </c>
      <c r="Q124" s="334" t="str">
        <f aca="false">IF((E124="t"),G124," ")</f>
        <v> </v>
      </c>
      <c r="R124" s="334" t="str">
        <f aca="false">IF((E124="a"),G124," ")</f>
        <v> </v>
      </c>
      <c r="S124" s="334" t="str">
        <f aca="false">IF((E124="l"),G124," ")</f>
        <v> </v>
      </c>
      <c r="T124" s="334" t="str">
        <f aca="false">IF((E124="b"),G124," ")</f>
        <v> </v>
      </c>
      <c r="U124" s="334" t="str">
        <f aca="false">IF((E124="i"),G124," ")</f>
        <v> </v>
      </c>
      <c r="V124" s="334" t="str">
        <f aca="false">IF((E124="o"),G124," ")</f>
        <v> </v>
      </c>
      <c r="W124" s="334" t="str">
        <f aca="false">IF((E124="f"),G124," ")</f>
        <v> </v>
      </c>
    </row>
    <row r="125" customFormat="false" ht="12.75" hidden="false" customHeight="false" outlineLevel="0" collapsed="false">
      <c r="A125" s="355"/>
      <c r="E125" s="365" t="str">
        <f aca="false">IF((G125&lt;&gt;0),"Enter Letter"," ")</f>
        <v> </v>
      </c>
      <c r="H125" s="338" t="str">
        <f aca="false">IF((G125&lt;&gt;0),IF((D125&gt;0)," ",G125)," ")</f>
        <v> </v>
      </c>
      <c r="I125" s="367" t="str">
        <f aca="false">IF((G125&lt;&gt;0),IF((D125&gt;0)," ",(I$1-A125))," ")</f>
        <v> </v>
      </c>
      <c r="J125" s="334" t="str">
        <f aca="false">IF((E125="s"),G125," ")</f>
        <v> </v>
      </c>
      <c r="K125" s="334" t="str">
        <f aca="false">IF((E125="d"),G125," ")</f>
        <v> </v>
      </c>
      <c r="L125" s="334" t="str">
        <f aca="false">IF((E125="e"),G125," ")</f>
        <v> </v>
      </c>
      <c r="M125" s="334" t="str">
        <f aca="false">IF((E125="p"),G125," ")</f>
        <v> </v>
      </c>
      <c r="N125" s="334" t="str">
        <f aca="false">IF((E125="r"),G125," ")</f>
        <v> </v>
      </c>
      <c r="O125" s="334" t="str">
        <f aca="false">IF((E125="g"),G125," ")</f>
        <v> </v>
      </c>
      <c r="P125" s="334" t="str">
        <f aca="false">IF((E125="m"),G125," ")</f>
        <v> </v>
      </c>
      <c r="Q125" s="334" t="str">
        <f aca="false">IF((E125="t"),G125," ")</f>
        <v> </v>
      </c>
      <c r="R125" s="334" t="str">
        <f aca="false">IF((E125="a"),G125," ")</f>
        <v> </v>
      </c>
      <c r="S125" s="334" t="str">
        <f aca="false">IF((E125="l"),G125," ")</f>
        <v> </v>
      </c>
      <c r="T125" s="334" t="str">
        <f aca="false">IF((E125="b"),G125," ")</f>
        <v> </v>
      </c>
      <c r="U125" s="334" t="str">
        <f aca="false">IF((E125="i"),G125," ")</f>
        <v> </v>
      </c>
      <c r="V125" s="334" t="str">
        <f aca="false">IF((E125="o"),G125," ")</f>
        <v> </v>
      </c>
      <c r="W125" s="334" t="str">
        <f aca="false">IF((E125="f"),G125," ")</f>
        <v> </v>
      </c>
    </row>
    <row r="126" customFormat="false" ht="12.75" hidden="false" customHeight="false" outlineLevel="0" collapsed="false">
      <c r="A126" s="355"/>
      <c r="E126" s="365" t="str">
        <f aca="false">IF((G126&lt;&gt;0),"Enter Letter"," ")</f>
        <v> </v>
      </c>
      <c r="H126" s="338" t="str">
        <f aca="false">IF((G126&lt;&gt;0),IF((D126&gt;0)," ",G126)," ")</f>
        <v> </v>
      </c>
      <c r="I126" s="367" t="str">
        <f aca="false">IF((G126&lt;&gt;0),IF((D126&gt;0)," ",(I$1-A126))," ")</f>
        <v> </v>
      </c>
      <c r="J126" s="334" t="str">
        <f aca="false">IF((E126="s"),G126," ")</f>
        <v> </v>
      </c>
      <c r="K126" s="334" t="str">
        <f aca="false">IF((E126="d"),G126," ")</f>
        <v> </v>
      </c>
      <c r="L126" s="334" t="str">
        <f aca="false">IF((E126="e"),G126," ")</f>
        <v> </v>
      </c>
      <c r="M126" s="334" t="str">
        <f aca="false">IF((E126="p"),G126," ")</f>
        <v> </v>
      </c>
      <c r="N126" s="334" t="str">
        <f aca="false">IF((E126="r"),G126," ")</f>
        <v> </v>
      </c>
      <c r="O126" s="334" t="str">
        <f aca="false">IF((E126="g"),G126," ")</f>
        <v> </v>
      </c>
      <c r="P126" s="334" t="str">
        <f aca="false">IF((E126="m"),G126," ")</f>
        <v> </v>
      </c>
      <c r="Q126" s="334" t="str">
        <f aca="false">IF((E126="t"),G126," ")</f>
        <v> </v>
      </c>
      <c r="R126" s="334" t="str">
        <f aca="false">IF((E126="a"),G126," ")</f>
        <v> </v>
      </c>
      <c r="S126" s="334" t="str">
        <f aca="false">IF((E126="l"),G126," ")</f>
        <v> </v>
      </c>
      <c r="T126" s="334" t="str">
        <f aca="false">IF((E126="b"),G126," ")</f>
        <v> </v>
      </c>
      <c r="U126" s="334" t="str">
        <f aca="false">IF((E126="i"),G126," ")</f>
        <v> </v>
      </c>
      <c r="V126" s="334" t="str">
        <f aca="false">IF((E126="o"),G126," ")</f>
        <v> </v>
      </c>
      <c r="W126" s="334" t="str">
        <f aca="false">IF((E126="f"),G126," ")</f>
        <v> </v>
      </c>
    </row>
    <row r="127" customFormat="false" ht="12.75" hidden="false" customHeight="false" outlineLevel="0" collapsed="false">
      <c r="A127" s="355"/>
      <c r="E127" s="365" t="str">
        <f aca="false">IF((G127&lt;&gt;0),"Enter Letter"," ")</f>
        <v> </v>
      </c>
      <c r="H127" s="338" t="str">
        <f aca="false">IF((G127&lt;&gt;0),IF((D127&gt;0)," ",G127)," ")</f>
        <v> </v>
      </c>
      <c r="I127" s="367" t="str">
        <f aca="false">IF((G127&lt;&gt;0),IF((D127&gt;0)," ",(I$1-A127))," ")</f>
        <v> </v>
      </c>
      <c r="J127" s="334" t="str">
        <f aca="false">IF((E127="s"),G127," ")</f>
        <v> </v>
      </c>
      <c r="K127" s="334" t="str">
        <f aca="false">IF((E127="d"),G127," ")</f>
        <v> </v>
      </c>
      <c r="L127" s="334" t="str">
        <f aca="false">IF((E127="e"),G127," ")</f>
        <v> </v>
      </c>
      <c r="M127" s="334" t="str">
        <f aca="false">IF((E127="p"),G127," ")</f>
        <v> </v>
      </c>
      <c r="N127" s="334" t="str">
        <f aca="false">IF((E127="r"),G127," ")</f>
        <v> </v>
      </c>
      <c r="O127" s="334" t="str">
        <f aca="false">IF((E127="g"),G127," ")</f>
        <v> </v>
      </c>
      <c r="P127" s="334" t="str">
        <f aca="false">IF((E127="m"),G127," ")</f>
        <v> </v>
      </c>
      <c r="Q127" s="334" t="str">
        <f aca="false">IF((E127="t"),G127," ")</f>
        <v> </v>
      </c>
      <c r="R127" s="334" t="str">
        <f aca="false">IF((E127="a"),G127," ")</f>
        <v> </v>
      </c>
      <c r="S127" s="334" t="str">
        <f aca="false">IF((E127="l"),G127," ")</f>
        <v> </v>
      </c>
      <c r="T127" s="334" t="str">
        <f aca="false">IF((E127="b"),G127," ")</f>
        <v> </v>
      </c>
      <c r="U127" s="334" t="str">
        <f aca="false">IF((E127="i"),G127," ")</f>
        <v> </v>
      </c>
      <c r="V127" s="334" t="str">
        <f aca="false">IF((E127="o"),G127," ")</f>
        <v> </v>
      </c>
      <c r="W127" s="334" t="str">
        <f aca="false">IF((E127="f"),G127," ")</f>
        <v> </v>
      </c>
    </row>
    <row r="128" customFormat="false" ht="12.75" hidden="false" customHeight="false" outlineLevel="0" collapsed="false">
      <c r="A128" s="355"/>
      <c r="E128" s="365" t="str">
        <f aca="false">IF((G128&lt;&gt;0),"Enter Letter"," ")</f>
        <v> </v>
      </c>
      <c r="H128" s="338" t="str">
        <f aca="false">IF((G128&lt;&gt;0),IF((D128&gt;0)," ",G128)," ")</f>
        <v> </v>
      </c>
      <c r="I128" s="367" t="str">
        <f aca="false">IF((G128&lt;&gt;0),IF((D128&gt;0)," ",(I$1-A128))," ")</f>
        <v> </v>
      </c>
      <c r="J128" s="334" t="str">
        <f aca="false">IF((E128="s"),G128," ")</f>
        <v> </v>
      </c>
      <c r="K128" s="334" t="str">
        <f aca="false">IF((E128="d"),G128," ")</f>
        <v> </v>
      </c>
      <c r="L128" s="334" t="str">
        <f aca="false">IF((E128="e"),G128," ")</f>
        <v> </v>
      </c>
      <c r="M128" s="334" t="str">
        <f aca="false">IF((E128="p"),G128," ")</f>
        <v> </v>
      </c>
      <c r="N128" s="334" t="str">
        <f aca="false">IF((E128="r"),G128," ")</f>
        <v> </v>
      </c>
      <c r="O128" s="334" t="str">
        <f aca="false">IF((E128="g"),G128," ")</f>
        <v> </v>
      </c>
      <c r="P128" s="334" t="str">
        <f aca="false">IF((E128="m"),G128," ")</f>
        <v> </v>
      </c>
      <c r="Q128" s="334" t="str">
        <f aca="false">IF((E128="t"),G128," ")</f>
        <v> </v>
      </c>
      <c r="R128" s="334" t="str">
        <f aca="false">IF((E128="a"),G128," ")</f>
        <v> </v>
      </c>
      <c r="S128" s="334" t="str">
        <f aca="false">IF((E128="l"),G128," ")</f>
        <v> </v>
      </c>
      <c r="T128" s="334" t="str">
        <f aca="false">IF((E128="b"),G128," ")</f>
        <v> </v>
      </c>
      <c r="U128" s="334" t="str">
        <f aca="false">IF((E128="i"),G128," ")</f>
        <v> </v>
      </c>
      <c r="V128" s="334" t="str">
        <f aca="false">IF((E128="o"),G128," ")</f>
        <v> </v>
      </c>
      <c r="W128" s="334" t="str">
        <f aca="false">IF((E128="f"),G128," ")</f>
        <v> </v>
      </c>
    </row>
    <row r="129" customFormat="false" ht="12.75" hidden="false" customHeight="false" outlineLevel="0" collapsed="false">
      <c r="A129" s="355"/>
      <c r="E129" s="365" t="str">
        <f aca="false">IF((G129&lt;&gt;0),"Enter Letter"," ")</f>
        <v> </v>
      </c>
      <c r="H129" s="338" t="str">
        <f aca="false">IF((G129&lt;&gt;0),IF((D129&gt;0)," ",G129)," ")</f>
        <v> </v>
      </c>
      <c r="I129" s="367" t="str">
        <f aca="false">IF((G129&lt;&gt;0),IF((D129&gt;0)," ",(I$1-A129))," ")</f>
        <v> </v>
      </c>
      <c r="J129" s="334" t="str">
        <f aca="false">IF((E129="s"),G129," ")</f>
        <v> </v>
      </c>
      <c r="K129" s="334" t="str">
        <f aca="false">IF((E129="d"),G129," ")</f>
        <v> </v>
      </c>
      <c r="L129" s="334" t="str">
        <f aca="false">IF((E129="e"),G129," ")</f>
        <v> </v>
      </c>
      <c r="M129" s="334" t="str">
        <f aca="false">IF((E129="p"),G129," ")</f>
        <v> </v>
      </c>
      <c r="N129" s="334" t="str">
        <f aca="false">IF((E129="r"),G129," ")</f>
        <v> </v>
      </c>
      <c r="O129" s="334" t="str">
        <f aca="false">IF((E129="g"),G129," ")</f>
        <v> </v>
      </c>
      <c r="P129" s="334" t="str">
        <f aca="false">IF((E129="m"),G129," ")</f>
        <v> </v>
      </c>
      <c r="Q129" s="334" t="str">
        <f aca="false">IF((E129="t"),G129," ")</f>
        <v> </v>
      </c>
      <c r="R129" s="334" t="str">
        <f aca="false">IF((E129="a"),G129," ")</f>
        <v> </v>
      </c>
      <c r="S129" s="334" t="str">
        <f aca="false">IF((E129="l"),G129," ")</f>
        <v> </v>
      </c>
      <c r="T129" s="334" t="str">
        <f aca="false">IF((E129="b"),G129," ")</f>
        <v> </v>
      </c>
      <c r="U129" s="334" t="str">
        <f aca="false">IF((E129="i"),G129," ")</f>
        <v> </v>
      </c>
      <c r="V129" s="334" t="str">
        <f aca="false">IF((E129="o"),G129," ")</f>
        <v> </v>
      </c>
      <c r="W129" s="334" t="str">
        <f aca="false">IF((E129="f"),G129," ")</f>
        <v> </v>
      </c>
    </row>
    <row r="130" customFormat="false" ht="12.75" hidden="false" customHeight="false" outlineLevel="0" collapsed="false">
      <c r="A130" s="355"/>
      <c r="E130" s="365" t="str">
        <f aca="false">IF((G130&lt;&gt;0),"Enter Letter"," ")</f>
        <v> </v>
      </c>
      <c r="H130" s="338" t="str">
        <f aca="false">IF((G130&lt;&gt;0),IF((D130&gt;0)," ",G130)," ")</f>
        <v> </v>
      </c>
      <c r="I130" s="367" t="str">
        <f aca="false">IF((G130&lt;&gt;0),IF((D130&gt;0)," ",(I$1-A130))," ")</f>
        <v> </v>
      </c>
      <c r="J130" s="334" t="str">
        <f aca="false">IF((E130="s"),G130," ")</f>
        <v> </v>
      </c>
      <c r="K130" s="334" t="str">
        <f aca="false">IF((E130="d"),G130," ")</f>
        <v> </v>
      </c>
      <c r="L130" s="334" t="str">
        <f aca="false">IF((E130="e"),G130," ")</f>
        <v> </v>
      </c>
      <c r="M130" s="334" t="str">
        <f aca="false">IF((E130="p"),G130," ")</f>
        <v> </v>
      </c>
      <c r="N130" s="334" t="str">
        <f aca="false">IF((E130="r"),G130," ")</f>
        <v> </v>
      </c>
      <c r="O130" s="334" t="str">
        <f aca="false">IF((E130="g"),G130," ")</f>
        <v> </v>
      </c>
      <c r="P130" s="334" t="str">
        <f aca="false">IF((E130="m"),G130," ")</f>
        <v> </v>
      </c>
      <c r="Q130" s="334" t="str">
        <f aca="false">IF((E130="t"),G130," ")</f>
        <v> </v>
      </c>
      <c r="R130" s="334" t="str">
        <f aca="false">IF((E130="a"),G130," ")</f>
        <v> </v>
      </c>
      <c r="S130" s="334" t="str">
        <f aca="false">IF((E130="l"),G130," ")</f>
        <v> </v>
      </c>
      <c r="T130" s="334" t="str">
        <f aca="false">IF((E130="b"),G130," ")</f>
        <v> </v>
      </c>
      <c r="U130" s="334" t="str">
        <f aca="false">IF((E130="i"),G130," ")</f>
        <v> </v>
      </c>
      <c r="V130" s="334" t="str">
        <f aca="false">IF((E130="o"),G130," ")</f>
        <v> </v>
      </c>
      <c r="W130" s="334" t="str">
        <f aca="false">IF((E130="f"),G130," ")</f>
        <v> </v>
      </c>
    </row>
    <row r="131" customFormat="false" ht="12.75" hidden="false" customHeight="false" outlineLevel="0" collapsed="false">
      <c r="A131" s="355"/>
      <c r="E131" s="365" t="str">
        <f aca="false">IF((G131&lt;&gt;0),"Enter Letter"," ")</f>
        <v> </v>
      </c>
      <c r="H131" s="338" t="str">
        <f aca="false">IF((G131&lt;&gt;0),IF((D131&gt;0)," ",G131)," ")</f>
        <v> </v>
      </c>
      <c r="I131" s="367" t="str">
        <f aca="false">IF((G131&lt;&gt;0),IF((D131&gt;0)," ",(I$1-A131))," ")</f>
        <v> </v>
      </c>
      <c r="J131" s="334" t="str">
        <f aca="false">IF((E131="s"),G131," ")</f>
        <v> </v>
      </c>
      <c r="K131" s="334" t="str">
        <f aca="false">IF((E131="d"),G131," ")</f>
        <v> </v>
      </c>
      <c r="L131" s="334" t="str">
        <f aca="false">IF((E131="e"),G131," ")</f>
        <v> </v>
      </c>
      <c r="M131" s="334" t="str">
        <f aca="false">IF((E131="p"),G131," ")</f>
        <v> </v>
      </c>
      <c r="N131" s="334" t="str">
        <f aca="false">IF((E131="r"),G131," ")</f>
        <v> </v>
      </c>
      <c r="O131" s="334" t="str">
        <f aca="false">IF((E131="g"),G131," ")</f>
        <v> </v>
      </c>
      <c r="P131" s="334" t="str">
        <f aca="false">IF((E131="m"),G131," ")</f>
        <v> </v>
      </c>
      <c r="Q131" s="334" t="str">
        <f aca="false">IF((E131="t"),G131," ")</f>
        <v> </v>
      </c>
      <c r="R131" s="334" t="str">
        <f aca="false">IF((E131="a"),G131," ")</f>
        <v> </v>
      </c>
      <c r="S131" s="334" t="str">
        <f aca="false">IF((E131="l"),G131," ")</f>
        <v> </v>
      </c>
      <c r="T131" s="334" t="str">
        <f aca="false">IF((E131="b"),G131," ")</f>
        <v> </v>
      </c>
      <c r="U131" s="334" t="str">
        <f aca="false">IF((E131="i"),G131," ")</f>
        <v> </v>
      </c>
      <c r="V131" s="334" t="str">
        <f aca="false">IF((E131="o"),G131," ")</f>
        <v> </v>
      </c>
      <c r="W131" s="334" t="str">
        <f aca="false">IF((E131="f"),G131," ")</f>
        <v> </v>
      </c>
    </row>
    <row r="132" customFormat="false" ht="12.75" hidden="false" customHeight="false" outlineLevel="0" collapsed="false">
      <c r="A132" s="355"/>
      <c r="E132" s="365" t="str">
        <f aca="false">IF((G132&lt;&gt;0),"Enter Letter"," ")</f>
        <v> </v>
      </c>
      <c r="H132" s="338" t="str">
        <f aca="false">IF((G132&lt;&gt;0),IF((D132&gt;0)," ",G132)," ")</f>
        <v> </v>
      </c>
      <c r="I132" s="367" t="str">
        <f aca="false">IF((G132&lt;&gt;0),IF((D132&gt;0)," ",(I$1-A132))," ")</f>
        <v> </v>
      </c>
      <c r="J132" s="334" t="str">
        <f aca="false">IF((E132="s"),G132," ")</f>
        <v> </v>
      </c>
      <c r="K132" s="334" t="str">
        <f aca="false">IF((E132="d"),G132," ")</f>
        <v> </v>
      </c>
      <c r="L132" s="334" t="str">
        <f aca="false">IF((E132="e"),G132," ")</f>
        <v> </v>
      </c>
      <c r="M132" s="334" t="str">
        <f aca="false">IF((E132="p"),G132," ")</f>
        <v> </v>
      </c>
      <c r="N132" s="334" t="str">
        <f aca="false">IF((E132="r"),G132," ")</f>
        <v> </v>
      </c>
      <c r="O132" s="334" t="str">
        <f aca="false">IF((E132="g"),G132," ")</f>
        <v> </v>
      </c>
      <c r="P132" s="334" t="str">
        <f aca="false">IF((E132="m"),G132," ")</f>
        <v> </v>
      </c>
      <c r="Q132" s="334" t="str">
        <f aca="false">IF((E132="t"),G132," ")</f>
        <v> </v>
      </c>
      <c r="R132" s="334" t="str">
        <f aca="false">IF((E132="a"),G132," ")</f>
        <v> </v>
      </c>
      <c r="S132" s="334" t="str">
        <f aca="false">IF((E132="l"),G132," ")</f>
        <v> </v>
      </c>
      <c r="T132" s="334" t="str">
        <f aca="false">IF((E132="b"),G132," ")</f>
        <v> </v>
      </c>
      <c r="U132" s="334" t="str">
        <f aca="false">IF((E132="i"),G132," ")</f>
        <v> </v>
      </c>
      <c r="V132" s="334" t="str">
        <f aca="false">IF((E132="o"),G132," ")</f>
        <v> </v>
      </c>
      <c r="W132" s="334" t="str">
        <f aca="false">IF((E132="f"),G132," ")</f>
        <v> </v>
      </c>
    </row>
    <row r="133" customFormat="false" ht="12.75" hidden="false" customHeight="false" outlineLevel="0" collapsed="false">
      <c r="A133" s="355"/>
      <c r="E133" s="365" t="str">
        <f aca="false">IF((G133&lt;&gt;0),"Enter Letter"," ")</f>
        <v> </v>
      </c>
      <c r="H133" s="338" t="str">
        <f aca="false">IF((G133&lt;&gt;0),IF((D133&gt;0)," ",G133)," ")</f>
        <v> </v>
      </c>
      <c r="I133" s="367" t="str">
        <f aca="false">IF((G133&lt;&gt;0),IF((D133&gt;0)," ",(I$1-A133))," ")</f>
        <v> </v>
      </c>
      <c r="J133" s="334" t="str">
        <f aca="false">IF((E133="s"),G133," ")</f>
        <v> </v>
      </c>
      <c r="K133" s="334" t="str">
        <f aca="false">IF((E133="d"),G133," ")</f>
        <v> </v>
      </c>
      <c r="L133" s="334" t="str">
        <f aca="false">IF((E133="e"),G133," ")</f>
        <v> </v>
      </c>
      <c r="M133" s="334" t="str">
        <f aca="false">IF((E133="p"),G133," ")</f>
        <v> </v>
      </c>
      <c r="N133" s="334" t="str">
        <f aca="false">IF((E133="r"),G133," ")</f>
        <v> </v>
      </c>
      <c r="O133" s="334" t="str">
        <f aca="false">IF((E133="g"),G133," ")</f>
        <v> </v>
      </c>
      <c r="P133" s="334" t="str">
        <f aca="false">IF((E133="m"),G133," ")</f>
        <v> </v>
      </c>
      <c r="Q133" s="334" t="str">
        <f aca="false">IF((E133="t"),G133," ")</f>
        <v> </v>
      </c>
      <c r="R133" s="334" t="str">
        <f aca="false">IF((E133="a"),G133," ")</f>
        <v> </v>
      </c>
      <c r="S133" s="334" t="str">
        <f aca="false">IF((E133="l"),G133," ")</f>
        <v> </v>
      </c>
      <c r="T133" s="334" t="str">
        <f aca="false">IF((E133="b"),G133," ")</f>
        <v> </v>
      </c>
      <c r="U133" s="334" t="str">
        <f aca="false">IF((E133="i"),G133," ")</f>
        <v> </v>
      </c>
      <c r="V133" s="334" t="str">
        <f aca="false">IF((E133="o"),G133," ")</f>
        <v> </v>
      </c>
      <c r="W133" s="334" t="str">
        <f aca="false">IF((E133="f"),G133," ")</f>
        <v> </v>
      </c>
    </row>
    <row r="134" customFormat="false" ht="12.75" hidden="false" customHeight="false" outlineLevel="0" collapsed="false">
      <c r="A134" s="355"/>
      <c r="E134" s="365" t="str">
        <f aca="false">IF((G134&lt;&gt;0),"Enter Letter"," ")</f>
        <v> </v>
      </c>
      <c r="H134" s="338" t="str">
        <f aca="false">IF((G134&lt;&gt;0),IF((D134&gt;0)," ",G134)," ")</f>
        <v> </v>
      </c>
      <c r="I134" s="367" t="str">
        <f aca="false">IF((G134&lt;&gt;0),IF((D134&gt;0)," ",(I$1-A134))," ")</f>
        <v> </v>
      </c>
      <c r="J134" s="334" t="str">
        <f aca="false">IF((E134="s"),G134," ")</f>
        <v> </v>
      </c>
      <c r="K134" s="334" t="str">
        <f aca="false">IF((E134="d"),G134," ")</f>
        <v> </v>
      </c>
      <c r="L134" s="334" t="str">
        <f aca="false">IF((E134="e"),G134," ")</f>
        <v> </v>
      </c>
      <c r="M134" s="334" t="str">
        <f aca="false">IF((E134="p"),G134," ")</f>
        <v> </v>
      </c>
      <c r="N134" s="334" t="str">
        <f aca="false">IF((E134="r"),G134," ")</f>
        <v> </v>
      </c>
      <c r="O134" s="334" t="str">
        <f aca="false">IF((E134="g"),G134," ")</f>
        <v> </v>
      </c>
      <c r="P134" s="334" t="str">
        <f aca="false">IF((E134="m"),G134," ")</f>
        <v> </v>
      </c>
      <c r="Q134" s="334" t="str">
        <f aca="false">IF((E134="t"),G134," ")</f>
        <v> </v>
      </c>
      <c r="R134" s="334" t="str">
        <f aca="false">IF((E134="a"),G134," ")</f>
        <v> </v>
      </c>
      <c r="S134" s="334" t="str">
        <f aca="false">IF((E134="l"),G134," ")</f>
        <v> </v>
      </c>
      <c r="T134" s="334" t="str">
        <f aca="false">IF((E134="b"),G134," ")</f>
        <v> </v>
      </c>
      <c r="U134" s="334" t="str">
        <f aca="false">IF((E134="i"),G134," ")</f>
        <v> </v>
      </c>
      <c r="V134" s="334" t="str">
        <f aca="false">IF((E134="o"),G134," ")</f>
        <v> </v>
      </c>
      <c r="W134" s="334" t="str">
        <f aca="false">IF((E134="f"),G134," ")</f>
        <v> </v>
      </c>
    </row>
    <row r="135" customFormat="false" ht="12.75" hidden="false" customHeight="false" outlineLevel="0" collapsed="false">
      <c r="A135" s="355"/>
      <c r="E135" s="365" t="str">
        <f aca="false">IF((G135&lt;&gt;0),"Enter Letter"," ")</f>
        <v> </v>
      </c>
      <c r="H135" s="338" t="str">
        <f aca="false">IF((G135&lt;&gt;0),IF((D135&gt;0)," ",G135)," ")</f>
        <v> </v>
      </c>
      <c r="I135" s="367" t="str">
        <f aca="false">IF((G135&lt;&gt;0),IF((D135&gt;0)," ",(I$1-A135))," ")</f>
        <v> </v>
      </c>
      <c r="J135" s="334" t="str">
        <f aca="false">IF((E135="s"),G135," ")</f>
        <v> </v>
      </c>
      <c r="K135" s="334" t="str">
        <f aca="false">IF((E135="d"),G135," ")</f>
        <v> </v>
      </c>
      <c r="L135" s="334" t="str">
        <f aca="false">IF((E135="e"),G135," ")</f>
        <v> </v>
      </c>
      <c r="M135" s="334" t="str">
        <f aca="false">IF((E135="p"),G135," ")</f>
        <v> </v>
      </c>
      <c r="N135" s="334" t="str">
        <f aca="false">IF((E135="r"),G135," ")</f>
        <v> </v>
      </c>
      <c r="O135" s="334" t="str">
        <f aca="false">IF((E135="g"),G135," ")</f>
        <v> </v>
      </c>
      <c r="P135" s="334" t="str">
        <f aca="false">IF((E135="m"),G135," ")</f>
        <v> </v>
      </c>
      <c r="Q135" s="334" t="str">
        <f aca="false">IF((E135="t"),G135," ")</f>
        <v> </v>
      </c>
      <c r="R135" s="334" t="str">
        <f aca="false">IF((E135="a"),G135," ")</f>
        <v> </v>
      </c>
      <c r="S135" s="334" t="str">
        <f aca="false">IF((E135="l"),G135," ")</f>
        <v> </v>
      </c>
      <c r="T135" s="334" t="str">
        <f aca="false">IF((E135="b"),G135," ")</f>
        <v> </v>
      </c>
      <c r="U135" s="334" t="str">
        <f aca="false">IF((E135="i"),G135," ")</f>
        <v> </v>
      </c>
      <c r="V135" s="334" t="str">
        <f aca="false">IF((E135="o"),G135," ")</f>
        <v> </v>
      </c>
      <c r="W135" s="334" t="str">
        <f aca="false">IF((E135="f"),G135," ")</f>
        <v> </v>
      </c>
    </row>
    <row r="136" customFormat="false" ht="12.75" hidden="false" customHeight="false" outlineLevel="0" collapsed="false">
      <c r="A136" s="355"/>
      <c r="E136" s="365" t="str">
        <f aca="false">IF((G136&lt;&gt;0),"Enter Letter"," ")</f>
        <v> </v>
      </c>
      <c r="H136" s="338" t="str">
        <f aca="false">IF((G136&lt;&gt;0),IF((D136&gt;0)," ",G136)," ")</f>
        <v> </v>
      </c>
      <c r="I136" s="367" t="str">
        <f aca="false">IF((G136&lt;&gt;0),IF((D136&gt;0)," ",(I$1-A136))," ")</f>
        <v> </v>
      </c>
      <c r="J136" s="334" t="str">
        <f aca="false">IF((E136="s"),G136," ")</f>
        <v> </v>
      </c>
      <c r="K136" s="334" t="str">
        <f aca="false">IF((E136="d"),G136," ")</f>
        <v> </v>
      </c>
      <c r="L136" s="334" t="str">
        <f aca="false">IF((E136="e"),G136," ")</f>
        <v> </v>
      </c>
      <c r="M136" s="334" t="str">
        <f aca="false">IF((E136="p"),G136," ")</f>
        <v> </v>
      </c>
      <c r="N136" s="334" t="str">
        <f aca="false">IF((E136="r"),G136," ")</f>
        <v> </v>
      </c>
      <c r="O136" s="334" t="str">
        <f aca="false">IF((E136="g"),G136," ")</f>
        <v> </v>
      </c>
      <c r="P136" s="334" t="str">
        <f aca="false">IF((E136="m"),G136," ")</f>
        <v> </v>
      </c>
      <c r="Q136" s="334" t="str">
        <f aca="false">IF((E136="t"),G136," ")</f>
        <v> </v>
      </c>
      <c r="R136" s="334" t="str">
        <f aca="false">IF((E136="a"),G136," ")</f>
        <v> </v>
      </c>
      <c r="S136" s="334" t="str">
        <f aca="false">IF((E136="l"),G136," ")</f>
        <v> </v>
      </c>
      <c r="T136" s="334" t="str">
        <f aca="false">IF((E136="b"),G136," ")</f>
        <v> </v>
      </c>
      <c r="U136" s="334" t="str">
        <f aca="false">IF((E136="i"),G136," ")</f>
        <v> </v>
      </c>
      <c r="V136" s="334" t="str">
        <f aca="false">IF((E136="o"),G136," ")</f>
        <v> </v>
      </c>
      <c r="W136" s="334" t="str">
        <f aca="false">IF((E136="f"),G136," ")</f>
        <v> </v>
      </c>
    </row>
    <row r="137" customFormat="false" ht="12.75" hidden="false" customHeight="false" outlineLevel="0" collapsed="false">
      <c r="A137" s="355"/>
      <c r="E137" s="365" t="str">
        <f aca="false">IF((G137&lt;&gt;0),"Enter Letter"," ")</f>
        <v> </v>
      </c>
      <c r="H137" s="338" t="str">
        <f aca="false">IF((G137&lt;&gt;0),IF((D137&gt;0)," ",G137)," ")</f>
        <v> </v>
      </c>
      <c r="I137" s="367" t="str">
        <f aca="false">IF((G137&lt;&gt;0),IF((D137&gt;0)," ",(I$1-A137))," ")</f>
        <v> </v>
      </c>
      <c r="J137" s="334" t="str">
        <f aca="false">IF((E137="s"),G137," ")</f>
        <v> </v>
      </c>
      <c r="K137" s="334" t="str">
        <f aca="false">IF((E137="d"),G137," ")</f>
        <v> </v>
      </c>
      <c r="L137" s="334" t="str">
        <f aca="false">IF((E137="e"),G137," ")</f>
        <v> </v>
      </c>
      <c r="M137" s="334" t="str">
        <f aca="false">IF((E137="p"),G137," ")</f>
        <v> </v>
      </c>
      <c r="N137" s="334" t="str">
        <f aca="false">IF((E137="r"),G137," ")</f>
        <v> </v>
      </c>
      <c r="O137" s="334" t="str">
        <f aca="false">IF((E137="g"),G137," ")</f>
        <v> </v>
      </c>
      <c r="P137" s="334" t="str">
        <f aca="false">IF((E137="m"),G137," ")</f>
        <v> </v>
      </c>
      <c r="Q137" s="334" t="str">
        <f aca="false">IF((E137="t"),G137," ")</f>
        <v> </v>
      </c>
      <c r="R137" s="334" t="str">
        <f aca="false">IF((E137="a"),G137," ")</f>
        <v> </v>
      </c>
      <c r="S137" s="334" t="str">
        <f aca="false">IF((E137="l"),G137," ")</f>
        <v> </v>
      </c>
      <c r="T137" s="334" t="str">
        <f aca="false">IF((E137="b"),G137," ")</f>
        <v> </v>
      </c>
      <c r="U137" s="334" t="str">
        <f aca="false">IF((E137="i"),G137," ")</f>
        <v> </v>
      </c>
      <c r="V137" s="334" t="str">
        <f aca="false">IF((E137="o"),G137," ")</f>
        <v> </v>
      </c>
      <c r="W137" s="334" t="str">
        <f aca="false">IF((E137="f"),G137," ")</f>
        <v> </v>
      </c>
    </row>
    <row r="138" customFormat="false" ht="12.75" hidden="false" customHeight="false" outlineLevel="0" collapsed="false">
      <c r="A138" s="355"/>
      <c r="E138" s="365" t="str">
        <f aca="false">IF((G138&lt;&gt;0),"Enter Letter"," ")</f>
        <v> </v>
      </c>
      <c r="H138" s="338" t="str">
        <f aca="false">IF((G138&lt;&gt;0),IF((D138&gt;0)," ",G138)," ")</f>
        <v> </v>
      </c>
      <c r="I138" s="367" t="str">
        <f aca="false">IF((G138&lt;&gt;0),IF((D138&gt;0)," ",(I$1-A138))," ")</f>
        <v> </v>
      </c>
      <c r="J138" s="334" t="str">
        <f aca="false">IF((E138="s"),G138," ")</f>
        <v> </v>
      </c>
      <c r="K138" s="334" t="str">
        <f aca="false">IF((E138="d"),G138," ")</f>
        <v> </v>
      </c>
      <c r="L138" s="334" t="str">
        <f aca="false">IF((E138="e"),G138," ")</f>
        <v> </v>
      </c>
      <c r="M138" s="334" t="str">
        <f aca="false">IF((E138="p"),G138," ")</f>
        <v> </v>
      </c>
      <c r="N138" s="334" t="str">
        <f aca="false">IF((E138="r"),G138," ")</f>
        <v> </v>
      </c>
      <c r="O138" s="334" t="str">
        <f aca="false">IF((E138="g"),G138," ")</f>
        <v> </v>
      </c>
      <c r="P138" s="334" t="str">
        <f aca="false">IF((E138="m"),G138," ")</f>
        <v> </v>
      </c>
      <c r="Q138" s="334" t="str">
        <f aca="false">IF((E138="t"),G138," ")</f>
        <v> </v>
      </c>
      <c r="R138" s="334" t="str">
        <f aca="false">IF((E138="a"),G138," ")</f>
        <v> </v>
      </c>
      <c r="S138" s="334" t="str">
        <f aca="false">IF((E138="l"),G138," ")</f>
        <v> </v>
      </c>
      <c r="T138" s="334" t="str">
        <f aca="false">IF((E138="b"),G138," ")</f>
        <v> </v>
      </c>
      <c r="U138" s="334" t="str">
        <f aca="false">IF((E138="i"),G138," ")</f>
        <v> </v>
      </c>
      <c r="V138" s="334" t="str">
        <f aca="false">IF((E138="o"),G138," ")</f>
        <v> </v>
      </c>
      <c r="W138" s="334" t="str">
        <f aca="false">IF((E138="f"),G138," ")</f>
        <v> </v>
      </c>
    </row>
    <row r="139" customFormat="false" ht="12.75" hidden="false" customHeight="false" outlineLevel="0" collapsed="false">
      <c r="A139" s="355"/>
      <c r="E139" s="365" t="str">
        <f aca="false">IF((G139&lt;&gt;0),"Enter Letter"," ")</f>
        <v> </v>
      </c>
      <c r="H139" s="338" t="str">
        <f aca="false">IF((G139&lt;&gt;0),IF((D139&gt;0)," ",G139)," ")</f>
        <v> </v>
      </c>
      <c r="I139" s="367" t="str">
        <f aca="false">IF((G139&lt;&gt;0),IF((D139&gt;0)," ",(I$1-A139))," ")</f>
        <v> </v>
      </c>
      <c r="J139" s="334" t="str">
        <f aca="false">IF((E139="s"),G139," ")</f>
        <v> </v>
      </c>
      <c r="K139" s="334" t="str">
        <f aca="false">IF((E139="d"),G139," ")</f>
        <v> </v>
      </c>
      <c r="L139" s="334" t="str">
        <f aca="false">IF((E139="e"),G139," ")</f>
        <v> </v>
      </c>
      <c r="M139" s="334" t="str">
        <f aca="false">IF((E139="p"),G139," ")</f>
        <v> </v>
      </c>
      <c r="N139" s="334" t="str">
        <f aca="false">IF((E139="r"),G139," ")</f>
        <v> </v>
      </c>
      <c r="O139" s="334" t="str">
        <f aca="false">IF((E139="g"),G139," ")</f>
        <v> </v>
      </c>
      <c r="P139" s="334" t="str">
        <f aca="false">IF((E139="m"),G139," ")</f>
        <v> </v>
      </c>
      <c r="Q139" s="334" t="str">
        <f aca="false">IF((E139="t"),G139," ")</f>
        <v> </v>
      </c>
      <c r="R139" s="334" t="str">
        <f aca="false">IF((E139="a"),G139," ")</f>
        <v> </v>
      </c>
      <c r="S139" s="334" t="str">
        <f aca="false">IF((E139="l"),G139," ")</f>
        <v> </v>
      </c>
      <c r="T139" s="334" t="str">
        <f aca="false">IF((E139="b"),G139," ")</f>
        <v> </v>
      </c>
      <c r="U139" s="334" t="str">
        <f aca="false">IF((E139="i"),G139," ")</f>
        <v> </v>
      </c>
      <c r="V139" s="334" t="str">
        <f aca="false">IF((E139="o"),G139," ")</f>
        <v> </v>
      </c>
      <c r="W139" s="334" t="str">
        <f aca="false">IF((E139="f"),G139," ")</f>
        <v> </v>
      </c>
    </row>
    <row r="140" customFormat="false" ht="12.75" hidden="false" customHeight="false" outlineLevel="0" collapsed="false">
      <c r="A140" s="355"/>
      <c r="E140" s="365" t="str">
        <f aca="false">IF((G140&lt;&gt;0),"Enter Letter"," ")</f>
        <v> </v>
      </c>
      <c r="H140" s="338" t="str">
        <f aca="false">IF((G140&lt;&gt;0),IF((D140&gt;0)," ",G140)," ")</f>
        <v> </v>
      </c>
      <c r="I140" s="367" t="str">
        <f aca="false">IF((G140&lt;&gt;0),IF((D140&gt;0)," ",(I$1-A140))," ")</f>
        <v> </v>
      </c>
      <c r="J140" s="334" t="str">
        <f aca="false">IF((E140="s"),G140," ")</f>
        <v> </v>
      </c>
      <c r="K140" s="334" t="str">
        <f aca="false">IF((E140="d"),G140," ")</f>
        <v> </v>
      </c>
      <c r="L140" s="334" t="str">
        <f aca="false">IF((E140="e"),G140," ")</f>
        <v> </v>
      </c>
      <c r="M140" s="334" t="str">
        <f aca="false">IF((E140="p"),G140," ")</f>
        <v> </v>
      </c>
      <c r="N140" s="334" t="str">
        <f aca="false">IF((E140="r"),G140," ")</f>
        <v> </v>
      </c>
      <c r="O140" s="334" t="str">
        <f aca="false">IF((E140="g"),G140," ")</f>
        <v> </v>
      </c>
      <c r="P140" s="334" t="str">
        <f aca="false">IF((E140="m"),G140," ")</f>
        <v> </v>
      </c>
      <c r="Q140" s="334" t="str">
        <f aca="false">IF((E140="t"),G140," ")</f>
        <v> </v>
      </c>
      <c r="R140" s="334" t="str">
        <f aca="false">IF((E140="a"),G140," ")</f>
        <v> </v>
      </c>
      <c r="S140" s="334" t="str">
        <f aca="false">IF((E140="l"),G140," ")</f>
        <v> </v>
      </c>
      <c r="T140" s="334" t="str">
        <f aca="false">IF((E140="b"),G140," ")</f>
        <v> </v>
      </c>
      <c r="U140" s="334" t="str">
        <f aca="false">IF((E140="i"),G140," ")</f>
        <v> </v>
      </c>
      <c r="V140" s="334" t="str">
        <f aca="false">IF((E140="o"),G140," ")</f>
        <v> </v>
      </c>
      <c r="W140" s="334" t="str">
        <f aca="false">IF((E140="f"),G140," ")</f>
        <v> </v>
      </c>
    </row>
    <row r="141" customFormat="false" ht="12.75" hidden="false" customHeight="false" outlineLevel="0" collapsed="false">
      <c r="A141" s="355"/>
      <c r="E141" s="365" t="str">
        <f aca="false">IF((G141&lt;&gt;0),"Enter Letter"," ")</f>
        <v> </v>
      </c>
      <c r="H141" s="338" t="str">
        <f aca="false">IF((G141&lt;&gt;0),IF((D141&gt;0)," ",G141)," ")</f>
        <v> </v>
      </c>
      <c r="I141" s="367" t="str">
        <f aca="false">IF((G141&lt;&gt;0),IF((D141&gt;0)," ",(I$1-A141))," ")</f>
        <v> </v>
      </c>
      <c r="J141" s="334" t="str">
        <f aca="false">IF((E141="s"),G141," ")</f>
        <v> </v>
      </c>
      <c r="K141" s="334" t="str">
        <f aca="false">IF((E141="d"),G141," ")</f>
        <v> </v>
      </c>
      <c r="L141" s="334" t="str">
        <f aca="false">IF((E141="e"),G141," ")</f>
        <v> </v>
      </c>
      <c r="M141" s="334" t="str">
        <f aca="false">IF((E141="p"),G141," ")</f>
        <v> </v>
      </c>
      <c r="N141" s="334" t="str">
        <f aca="false">IF((E141="r"),G141," ")</f>
        <v> </v>
      </c>
      <c r="O141" s="334" t="str">
        <f aca="false">IF((E141="g"),G141," ")</f>
        <v> </v>
      </c>
      <c r="P141" s="334" t="str">
        <f aca="false">IF((E141="m"),G141," ")</f>
        <v> </v>
      </c>
      <c r="Q141" s="334" t="str">
        <f aca="false">IF((E141="t"),G141," ")</f>
        <v> </v>
      </c>
      <c r="R141" s="334" t="str">
        <f aca="false">IF((E141="a"),G141," ")</f>
        <v> </v>
      </c>
      <c r="S141" s="334" t="str">
        <f aca="false">IF((E141="l"),G141," ")</f>
        <v> </v>
      </c>
      <c r="T141" s="334" t="str">
        <f aca="false">IF((E141="b"),G141," ")</f>
        <v> </v>
      </c>
      <c r="U141" s="334" t="str">
        <f aca="false">IF((E141="i"),G141," ")</f>
        <v> </v>
      </c>
      <c r="V141" s="334" t="str">
        <f aca="false">IF((E141="o"),G141," ")</f>
        <v> </v>
      </c>
      <c r="W141" s="334" t="str">
        <f aca="false">IF((E141="f"),G141," ")</f>
        <v> </v>
      </c>
    </row>
    <row r="142" customFormat="false" ht="12.75" hidden="false" customHeight="false" outlineLevel="0" collapsed="false">
      <c r="A142" s="355"/>
      <c r="E142" s="365" t="str">
        <f aca="false">IF((G142&lt;&gt;0),"Enter Letter"," ")</f>
        <v> </v>
      </c>
      <c r="H142" s="338" t="str">
        <f aca="false">IF((G142&lt;&gt;0),IF((D142&gt;0)," ",G142)," ")</f>
        <v> </v>
      </c>
      <c r="I142" s="367" t="str">
        <f aca="false">IF((G142&lt;&gt;0),IF((D142&gt;0)," ",(I$1-A142))," ")</f>
        <v> </v>
      </c>
      <c r="J142" s="334" t="str">
        <f aca="false">IF((E142="s"),G142," ")</f>
        <v> </v>
      </c>
      <c r="K142" s="334" t="str">
        <f aca="false">IF((E142="d"),G142," ")</f>
        <v> </v>
      </c>
      <c r="L142" s="334" t="str">
        <f aca="false">IF((E142="e"),G142," ")</f>
        <v> </v>
      </c>
      <c r="M142" s="334" t="str">
        <f aca="false">IF((E142="p"),G142," ")</f>
        <v> </v>
      </c>
      <c r="N142" s="334" t="str">
        <f aca="false">IF((E142="r"),G142," ")</f>
        <v> </v>
      </c>
      <c r="O142" s="334" t="str">
        <f aca="false">IF((E142="g"),G142," ")</f>
        <v> </v>
      </c>
      <c r="P142" s="334" t="str">
        <f aca="false">IF((E142="m"),G142," ")</f>
        <v> </v>
      </c>
      <c r="Q142" s="334" t="str">
        <f aca="false">IF((E142="t"),G142," ")</f>
        <v> </v>
      </c>
      <c r="R142" s="334" t="str">
        <f aca="false">IF((E142="a"),G142," ")</f>
        <v> </v>
      </c>
      <c r="S142" s="334" t="str">
        <f aca="false">IF((E142="l"),G142," ")</f>
        <v> </v>
      </c>
      <c r="T142" s="334" t="str">
        <f aca="false">IF((E142="b"),G142," ")</f>
        <v> </v>
      </c>
      <c r="U142" s="334" t="str">
        <f aca="false">IF((E142="i"),G142," ")</f>
        <v> </v>
      </c>
      <c r="V142" s="334" t="str">
        <f aca="false">IF((E142="o"),G142," ")</f>
        <v> </v>
      </c>
      <c r="W142" s="334" t="str">
        <f aca="false">IF((E142="f"),G142," ")</f>
        <v> </v>
      </c>
    </row>
    <row r="143" customFormat="false" ht="12.75" hidden="false" customHeight="false" outlineLevel="0" collapsed="false">
      <c r="A143" s="355"/>
      <c r="E143" s="365" t="str">
        <f aca="false">IF((G143&lt;&gt;0),"Enter Letter"," ")</f>
        <v> </v>
      </c>
      <c r="H143" s="338" t="str">
        <f aca="false">IF((G143&lt;&gt;0),IF((D143&gt;0)," ",G143)," ")</f>
        <v> </v>
      </c>
      <c r="I143" s="367" t="str">
        <f aca="false">IF((G143&lt;&gt;0),IF((D143&gt;0)," ",(I$1-A143))," ")</f>
        <v> </v>
      </c>
      <c r="J143" s="334" t="str">
        <f aca="false">IF((E143="s"),G143," ")</f>
        <v> </v>
      </c>
      <c r="K143" s="334" t="str">
        <f aca="false">IF((E143="d"),G143," ")</f>
        <v> </v>
      </c>
      <c r="L143" s="334" t="str">
        <f aca="false">IF((E143="e"),G143," ")</f>
        <v> </v>
      </c>
      <c r="M143" s="334" t="str">
        <f aca="false">IF((E143="p"),G143," ")</f>
        <v> </v>
      </c>
      <c r="N143" s="334" t="str">
        <f aca="false">IF((E143="r"),G143," ")</f>
        <v> </v>
      </c>
      <c r="O143" s="334" t="str">
        <f aca="false">IF((E143="g"),G143," ")</f>
        <v> </v>
      </c>
      <c r="P143" s="334" t="str">
        <f aca="false">IF((E143="m"),G143," ")</f>
        <v> </v>
      </c>
      <c r="Q143" s="334" t="str">
        <f aca="false">IF((E143="t"),G143," ")</f>
        <v> </v>
      </c>
      <c r="R143" s="334" t="str">
        <f aca="false">IF((E143="a"),G143," ")</f>
        <v> </v>
      </c>
      <c r="S143" s="334" t="str">
        <f aca="false">IF((E143="l"),G143," ")</f>
        <v> </v>
      </c>
      <c r="T143" s="334" t="str">
        <f aca="false">IF((E143="b"),G143," ")</f>
        <v> </v>
      </c>
      <c r="U143" s="334" t="str">
        <f aca="false">IF((E143="i"),G143," ")</f>
        <v> </v>
      </c>
      <c r="V143" s="334" t="str">
        <f aca="false">IF((E143="o"),G143," ")</f>
        <v> </v>
      </c>
      <c r="W143" s="334" t="str">
        <f aca="false">IF((E143="f"),G143," ")</f>
        <v> </v>
      </c>
    </row>
    <row r="144" customFormat="false" ht="12.75" hidden="false" customHeight="false" outlineLevel="0" collapsed="false">
      <c r="A144" s="355"/>
      <c r="E144" s="365" t="str">
        <f aca="false">IF((G144&lt;&gt;0),"Enter Letter"," ")</f>
        <v> </v>
      </c>
      <c r="H144" s="338" t="str">
        <f aca="false">IF((G144&lt;&gt;0),IF((D144&gt;0)," ",G144)," ")</f>
        <v> </v>
      </c>
      <c r="I144" s="367" t="str">
        <f aca="false">IF((G144&lt;&gt;0),IF((D144&gt;0)," ",(I$1-A144))," ")</f>
        <v> </v>
      </c>
      <c r="J144" s="334" t="str">
        <f aca="false">IF((E144="s"),G144," ")</f>
        <v> </v>
      </c>
      <c r="K144" s="334" t="str">
        <f aca="false">IF((E144="d"),G144," ")</f>
        <v> </v>
      </c>
      <c r="L144" s="334" t="str">
        <f aca="false">IF((E144="e"),G144," ")</f>
        <v> </v>
      </c>
      <c r="M144" s="334" t="str">
        <f aca="false">IF((E144="p"),G144," ")</f>
        <v> </v>
      </c>
      <c r="N144" s="334" t="str">
        <f aca="false">IF((E144="r"),G144," ")</f>
        <v> </v>
      </c>
      <c r="O144" s="334" t="str">
        <f aca="false">IF((E144="g"),G144," ")</f>
        <v> </v>
      </c>
      <c r="P144" s="334" t="str">
        <f aca="false">IF((E144="m"),G144," ")</f>
        <v> </v>
      </c>
      <c r="Q144" s="334" t="str">
        <f aca="false">IF((E144="t"),G144," ")</f>
        <v> </v>
      </c>
      <c r="R144" s="334" t="str">
        <f aca="false">IF((E144="a"),G144," ")</f>
        <v> </v>
      </c>
      <c r="S144" s="334" t="str">
        <f aca="false">IF((E144="l"),G144," ")</f>
        <v> </v>
      </c>
      <c r="T144" s="334" t="str">
        <f aca="false">IF((E144="b"),G144," ")</f>
        <v> </v>
      </c>
      <c r="U144" s="334" t="str">
        <f aca="false">IF((E144="i"),G144," ")</f>
        <v> </v>
      </c>
      <c r="V144" s="334" t="str">
        <f aca="false">IF((E144="o"),G144," ")</f>
        <v> </v>
      </c>
      <c r="W144" s="334" t="str">
        <f aca="false">IF((E144="f"),G144," ")</f>
        <v> </v>
      </c>
    </row>
    <row r="145" customFormat="false" ht="12.75" hidden="false" customHeight="false" outlineLevel="0" collapsed="false">
      <c r="A145" s="355"/>
      <c r="E145" s="365" t="str">
        <f aca="false">IF((G145&lt;&gt;0),"Enter Letter"," ")</f>
        <v> </v>
      </c>
      <c r="H145" s="338" t="str">
        <f aca="false">IF((G145&lt;&gt;0),IF((D145&gt;0)," ",G145)," ")</f>
        <v> </v>
      </c>
      <c r="I145" s="367" t="str">
        <f aca="false">IF((G145&lt;&gt;0),IF((D145&gt;0)," ",(I$1-A145))," ")</f>
        <v> </v>
      </c>
      <c r="J145" s="334" t="str">
        <f aca="false">IF((E145="s"),G145," ")</f>
        <v> </v>
      </c>
      <c r="K145" s="334" t="str">
        <f aca="false">IF((E145="d"),G145," ")</f>
        <v> </v>
      </c>
      <c r="L145" s="334" t="str">
        <f aca="false">IF((E145="e"),G145," ")</f>
        <v> </v>
      </c>
      <c r="M145" s="334" t="str">
        <f aca="false">IF((E145="p"),G145," ")</f>
        <v> </v>
      </c>
      <c r="N145" s="334" t="str">
        <f aca="false">IF((E145="r"),G145," ")</f>
        <v> </v>
      </c>
      <c r="O145" s="334" t="str">
        <f aca="false">IF((E145="g"),G145," ")</f>
        <v> </v>
      </c>
      <c r="P145" s="334" t="str">
        <f aca="false">IF((E145="m"),G145," ")</f>
        <v> </v>
      </c>
      <c r="Q145" s="334" t="str">
        <f aca="false">IF((E145="t"),G145," ")</f>
        <v> </v>
      </c>
      <c r="R145" s="334" t="str">
        <f aca="false">IF((E145="a"),G145," ")</f>
        <v> </v>
      </c>
      <c r="S145" s="334" t="str">
        <f aca="false">IF((E145="l"),G145," ")</f>
        <v> </v>
      </c>
      <c r="T145" s="334" t="str">
        <f aca="false">IF((E145="b"),G145," ")</f>
        <v> </v>
      </c>
      <c r="U145" s="334" t="str">
        <f aca="false">IF((E145="i"),G145," ")</f>
        <v> </v>
      </c>
      <c r="V145" s="334" t="str">
        <f aca="false">IF((E145="o"),G145," ")</f>
        <v> </v>
      </c>
      <c r="W145" s="334" t="str">
        <f aca="false">IF((E145="f"),G145," ")</f>
        <v> </v>
      </c>
    </row>
    <row r="146" customFormat="false" ht="12.75" hidden="false" customHeight="false" outlineLevel="0" collapsed="false">
      <c r="A146" s="355"/>
      <c r="E146" s="365" t="str">
        <f aca="false">IF((G146&lt;&gt;0),"Enter Letter"," ")</f>
        <v> </v>
      </c>
      <c r="H146" s="338" t="str">
        <f aca="false">IF((G146&lt;&gt;0),IF((D146&gt;0)," ",G146)," ")</f>
        <v> </v>
      </c>
      <c r="I146" s="367" t="str">
        <f aca="false">IF((G146&lt;&gt;0),IF((D146&gt;0)," ",(I$1-A146))," ")</f>
        <v> </v>
      </c>
      <c r="J146" s="334" t="str">
        <f aca="false">IF((E146="s"),G146," ")</f>
        <v> </v>
      </c>
      <c r="K146" s="334" t="str">
        <f aca="false">IF((E146="d"),G146," ")</f>
        <v> </v>
      </c>
      <c r="L146" s="334" t="str">
        <f aca="false">IF((E146="e"),G146," ")</f>
        <v> </v>
      </c>
      <c r="M146" s="334" t="str">
        <f aca="false">IF((E146="p"),G146," ")</f>
        <v> </v>
      </c>
      <c r="N146" s="334" t="str">
        <f aca="false">IF((E146="r"),G146," ")</f>
        <v> </v>
      </c>
      <c r="O146" s="334" t="str">
        <f aca="false">IF((E146="g"),G146," ")</f>
        <v> </v>
      </c>
      <c r="P146" s="334" t="str">
        <f aca="false">IF((E146="m"),G146," ")</f>
        <v> </v>
      </c>
      <c r="Q146" s="334" t="str">
        <f aca="false">IF((E146="t"),G146," ")</f>
        <v> </v>
      </c>
      <c r="R146" s="334" t="str">
        <f aca="false">IF((E146="a"),G146," ")</f>
        <v> </v>
      </c>
      <c r="S146" s="334" t="str">
        <f aca="false">IF((E146="l"),G146," ")</f>
        <v> </v>
      </c>
      <c r="T146" s="334" t="str">
        <f aca="false">IF((E146="b"),G146," ")</f>
        <v> </v>
      </c>
      <c r="U146" s="334" t="str">
        <f aca="false">IF((E146="i"),G146," ")</f>
        <v> </v>
      </c>
      <c r="V146" s="334" t="str">
        <f aca="false">IF((E146="o"),G146," ")</f>
        <v> </v>
      </c>
      <c r="W146" s="334" t="str">
        <f aca="false">IF((E146="f"),G146," ")</f>
        <v> </v>
      </c>
    </row>
    <row r="147" customFormat="false" ht="12.75" hidden="false" customHeight="false" outlineLevel="0" collapsed="false">
      <c r="A147" s="355"/>
      <c r="E147" s="365" t="str">
        <f aca="false">IF((G147&lt;&gt;0),"Enter Letter"," ")</f>
        <v> </v>
      </c>
      <c r="H147" s="338" t="str">
        <f aca="false">IF((G147&lt;&gt;0),IF((D147&gt;0)," ",G147)," ")</f>
        <v> </v>
      </c>
      <c r="I147" s="367" t="str">
        <f aca="false">IF((G147&lt;&gt;0),IF((D147&gt;0)," ",(I$1-A147))," ")</f>
        <v> </v>
      </c>
      <c r="J147" s="334" t="str">
        <f aca="false">IF((E147="s"),G147," ")</f>
        <v> </v>
      </c>
      <c r="K147" s="334" t="str">
        <f aca="false">IF((E147="d"),G147," ")</f>
        <v> </v>
      </c>
      <c r="L147" s="334" t="str">
        <f aca="false">IF((E147="e"),G147," ")</f>
        <v> </v>
      </c>
      <c r="M147" s="334" t="str">
        <f aca="false">IF((E147="p"),G147," ")</f>
        <v> </v>
      </c>
      <c r="N147" s="334" t="str">
        <f aca="false">IF((E147="r"),G147," ")</f>
        <v> </v>
      </c>
      <c r="O147" s="334" t="str">
        <f aca="false">IF((E147="g"),G147," ")</f>
        <v> </v>
      </c>
      <c r="P147" s="334" t="str">
        <f aca="false">IF((E147="m"),G147," ")</f>
        <v> </v>
      </c>
      <c r="Q147" s="334" t="str">
        <f aca="false">IF((E147="t"),G147," ")</f>
        <v> </v>
      </c>
      <c r="R147" s="334" t="str">
        <f aca="false">IF((E147="a"),G147," ")</f>
        <v> </v>
      </c>
      <c r="S147" s="334" t="str">
        <f aca="false">IF((E147="l"),G147," ")</f>
        <v> </v>
      </c>
      <c r="T147" s="334" t="str">
        <f aca="false">IF((E147="b"),G147," ")</f>
        <v> </v>
      </c>
      <c r="U147" s="334" t="str">
        <f aca="false">IF((E147="i"),G147," ")</f>
        <v> </v>
      </c>
      <c r="V147" s="334" t="str">
        <f aca="false">IF((E147="o"),G147," ")</f>
        <v> </v>
      </c>
      <c r="W147" s="334" t="str">
        <f aca="false">IF((E147="f"),G147," ")</f>
        <v> </v>
      </c>
    </row>
    <row r="148" customFormat="false" ht="12.75" hidden="false" customHeight="false" outlineLevel="0" collapsed="false">
      <c r="A148" s="355"/>
      <c r="E148" s="365" t="str">
        <f aca="false">IF((G148&lt;&gt;0),"Enter Letter"," ")</f>
        <v> </v>
      </c>
      <c r="H148" s="338" t="str">
        <f aca="false">IF((G148&lt;&gt;0),IF((D148&gt;0)," ",G148)," ")</f>
        <v> </v>
      </c>
      <c r="I148" s="367" t="str">
        <f aca="false">IF((G148&lt;&gt;0),IF((D148&gt;0)," ",(I$1-A148))," ")</f>
        <v> </v>
      </c>
      <c r="J148" s="334" t="str">
        <f aca="false">IF((E148="s"),G148," ")</f>
        <v> </v>
      </c>
      <c r="K148" s="334" t="str">
        <f aca="false">IF((E148="d"),G148," ")</f>
        <v> </v>
      </c>
      <c r="L148" s="334" t="str">
        <f aca="false">IF((E148="e"),G148," ")</f>
        <v> </v>
      </c>
      <c r="M148" s="334" t="str">
        <f aca="false">IF((E148="p"),G148," ")</f>
        <v> </v>
      </c>
      <c r="N148" s="334" t="str">
        <f aca="false">IF((E148="r"),G148," ")</f>
        <v> </v>
      </c>
      <c r="O148" s="334" t="str">
        <f aca="false">IF((E148="g"),G148," ")</f>
        <v> </v>
      </c>
      <c r="P148" s="334" t="str">
        <f aca="false">IF((E148="m"),G148," ")</f>
        <v> </v>
      </c>
      <c r="Q148" s="334" t="str">
        <f aca="false">IF((E148="t"),G148," ")</f>
        <v> </v>
      </c>
      <c r="R148" s="334" t="str">
        <f aca="false">IF((E148="a"),G148," ")</f>
        <v> </v>
      </c>
      <c r="S148" s="334" t="str">
        <f aca="false">IF((E148="l"),G148," ")</f>
        <v> </v>
      </c>
      <c r="T148" s="334" t="str">
        <f aca="false">IF((E148="b"),G148," ")</f>
        <v> </v>
      </c>
      <c r="U148" s="334" t="str">
        <f aca="false">IF((E148="i"),G148," ")</f>
        <v> </v>
      </c>
      <c r="V148" s="334" t="str">
        <f aca="false">IF((E148="o"),G148," ")</f>
        <v> </v>
      </c>
      <c r="W148" s="334" t="str">
        <f aca="false">IF((E148="f"),G148," ")</f>
        <v> </v>
      </c>
    </row>
    <row r="149" customFormat="false" ht="12.75" hidden="false" customHeight="false" outlineLevel="0" collapsed="false">
      <c r="A149" s="355"/>
      <c r="E149" s="365" t="str">
        <f aca="false">IF((G149&lt;&gt;0),"Enter Letter"," ")</f>
        <v> </v>
      </c>
      <c r="H149" s="338" t="str">
        <f aca="false">IF((G149&lt;&gt;0),IF((D149&gt;0)," ",G149)," ")</f>
        <v> </v>
      </c>
      <c r="I149" s="367" t="str">
        <f aca="false">IF((G149&lt;&gt;0),IF((D149&gt;0)," ",(I$1-A149))," ")</f>
        <v> </v>
      </c>
      <c r="J149" s="334" t="str">
        <f aca="false">IF((E149="s"),G149," ")</f>
        <v> </v>
      </c>
      <c r="K149" s="334" t="str">
        <f aca="false">IF((E149="d"),G149," ")</f>
        <v> </v>
      </c>
      <c r="L149" s="334" t="str">
        <f aca="false">IF((E149="e"),G149," ")</f>
        <v> </v>
      </c>
      <c r="M149" s="334" t="str">
        <f aca="false">IF((E149="p"),G149," ")</f>
        <v> </v>
      </c>
      <c r="N149" s="334" t="str">
        <f aca="false">IF((E149="r"),G149," ")</f>
        <v> </v>
      </c>
      <c r="O149" s="334" t="str">
        <f aca="false">IF((E149="g"),G149," ")</f>
        <v> </v>
      </c>
      <c r="P149" s="334" t="str">
        <f aca="false">IF((E149="m"),G149," ")</f>
        <v> </v>
      </c>
      <c r="Q149" s="334" t="str">
        <f aca="false">IF((E149="t"),G149," ")</f>
        <v> </v>
      </c>
      <c r="R149" s="334" t="str">
        <f aca="false">IF((E149="a"),G149," ")</f>
        <v> </v>
      </c>
      <c r="S149" s="334" t="str">
        <f aca="false">IF((E149="l"),G149," ")</f>
        <v> </v>
      </c>
      <c r="T149" s="334" t="str">
        <f aca="false">IF((E149="b"),G149," ")</f>
        <v> </v>
      </c>
      <c r="U149" s="334" t="str">
        <f aca="false">IF((E149="i"),G149," ")</f>
        <v> </v>
      </c>
      <c r="V149" s="334" t="str">
        <f aca="false">IF((E149="o"),G149," ")</f>
        <v> </v>
      </c>
      <c r="W149" s="334" t="str">
        <f aca="false">IF((E149="f"),G149," ")</f>
        <v> </v>
      </c>
    </row>
    <row r="150" customFormat="false" ht="12.75" hidden="false" customHeight="false" outlineLevel="0" collapsed="false">
      <c r="A150" s="355"/>
      <c r="E150" s="365" t="str">
        <f aca="false">IF((G150&lt;&gt;0),"Enter Letter"," ")</f>
        <v> </v>
      </c>
      <c r="H150" s="338" t="str">
        <f aca="false">IF((G150&lt;&gt;0),IF((D150&gt;0)," ",G150)," ")</f>
        <v> </v>
      </c>
      <c r="I150" s="367" t="str">
        <f aca="false">IF((G150&lt;&gt;0),IF((D150&gt;0)," ",(I$1-A150))," ")</f>
        <v> </v>
      </c>
      <c r="J150" s="334" t="str">
        <f aca="false">IF((E150="s"),G150," ")</f>
        <v> </v>
      </c>
      <c r="K150" s="334" t="str">
        <f aca="false">IF((E150="d"),G150," ")</f>
        <v> </v>
      </c>
      <c r="L150" s="334" t="str">
        <f aca="false">IF((E150="e"),G150," ")</f>
        <v> </v>
      </c>
      <c r="M150" s="334" t="str">
        <f aca="false">IF((E150="p"),G150," ")</f>
        <v> </v>
      </c>
      <c r="N150" s="334" t="str">
        <f aca="false">IF((E150="r"),G150," ")</f>
        <v> </v>
      </c>
      <c r="O150" s="334" t="str">
        <f aca="false">IF((E150="g"),G150," ")</f>
        <v> </v>
      </c>
      <c r="P150" s="334" t="str">
        <f aca="false">IF((E150="m"),G150," ")</f>
        <v> </v>
      </c>
      <c r="Q150" s="334" t="str">
        <f aca="false">IF((E150="t"),G150," ")</f>
        <v> </v>
      </c>
      <c r="R150" s="334" t="str">
        <f aca="false">IF((E150="a"),G150," ")</f>
        <v> </v>
      </c>
      <c r="S150" s="334" t="str">
        <f aca="false">IF((E150="l"),G150," ")</f>
        <v> </v>
      </c>
      <c r="T150" s="334" t="str">
        <f aca="false">IF((E150="b"),G150," ")</f>
        <v> </v>
      </c>
      <c r="U150" s="334" t="str">
        <f aca="false">IF((E150="i"),G150," ")</f>
        <v> </v>
      </c>
      <c r="V150" s="334" t="str">
        <f aca="false">IF((E150="o"),G150," ")</f>
        <v> </v>
      </c>
      <c r="W150" s="334" t="str">
        <f aca="false">IF((E150="f"),G150," ")</f>
        <v> </v>
      </c>
    </row>
    <row r="151" customFormat="false" ht="12.75" hidden="false" customHeight="false" outlineLevel="0" collapsed="false">
      <c r="A151" s="355"/>
      <c r="E151" s="365" t="str">
        <f aca="false">IF((G151&lt;&gt;0),"Enter Letter"," ")</f>
        <v> </v>
      </c>
      <c r="H151" s="338" t="str">
        <f aca="false">IF((G151&lt;&gt;0),IF((D151&gt;0)," ",G151)," ")</f>
        <v> </v>
      </c>
      <c r="I151" s="367" t="str">
        <f aca="false">IF((G151&lt;&gt;0),IF((D151&gt;0)," ",(I$1-A151))," ")</f>
        <v> </v>
      </c>
      <c r="J151" s="334" t="str">
        <f aca="false">IF((E151="s"),G151," ")</f>
        <v> </v>
      </c>
      <c r="K151" s="334" t="str">
        <f aca="false">IF((E151="d"),G151," ")</f>
        <v> </v>
      </c>
      <c r="L151" s="334" t="str">
        <f aca="false">IF((E151="e"),G151," ")</f>
        <v> </v>
      </c>
      <c r="M151" s="334" t="str">
        <f aca="false">IF((E151="p"),G151," ")</f>
        <v> </v>
      </c>
      <c r="N151" s="334" t="str">
        <f aca="false">IF((E151="r"),G151," ")</f>
        <v> </v>
      </c>
      <c r="O151" s="334" t="str">
        <f aca="false">IF((E151="g"),G151," ")</f>
        <v> </v>
      </c>
      <c r="P151" s="334" t="str">
        <f aca="false">IF((E151="m"),G151," ")</f>
        <v> </v>
      </c>
      <c r="Q151" s="334" t="str">
        <f aca="false">IF((E151="t"),G151," ")</f>
        <v> </v>
      </c>
      <c r="R151" s="334" t="str">
        <f aca="false">IF((E151="a"),G151," ")</f>
        <v> </v>
      </c>
      <c r="S151" s="334" t="str">
        <f aca="false">IF((E151="l"),G151," ")</f>
        <v> </v>
      </c>
      <c r="T151" s="334" t="str">
        <f aca="false">IF((E151="b"),G151," ")</f>
        <v> </v>
      </c>
      <c r="U151" s="334" t="str">
        <f aca="false">IF((E151="i"),G151," ")</f>
        <v> </v>
      </c>
      <c r="V151" s="334" t="str">
        <f aca="false">IF((E151="o"),G151," ")</f>
        <v> </v>
      </c>
      <c r="W151" s="334" t="str">
        <f aca="false">IF((E151="f"),G151," ")</f>
        <v> </v>
      </c>
    </row>
    <row r="152" customFormat="false" ht="12.75" hidden="false" customHeight="false" outlineLevel="0" collapsed="false">
      <c r="A152" s="355"/>
      <c r="E152" s="365" t="str">
        <f aca="false">IF((G152&lt;&gt;0),"Enter Letter"," ")</f>
        <v> </v>
      </c>
      <c r="H152" s="338" t="str">
        <f aca="false">IF((G152&lt;&gt;0),IF((D152&gt;0)," ",G152)," ")</f>
        <v> </v>
      </c>
      <c r="I152" s="367" t="str">
        <f aca="false">IF((G152&lt;&gt;0),IF((D152&gt;0)," ",(I$1-A152))," ")</f>
        <v> </v>
      </c>
      <c r="J152" s="334" t="str">
        <f aca="false">IF((E152="s"),G152," ")</f>
        <v> </v>
      </c>
      <c r="K152" s="334" t="str">
        <f aca="false">IF((E152="d"),G152," ")</f>
        <v> </v>
      </c>
      <c r="L152" s="334" t="str">
        <f aca="false">IF((E152="e"),G152," ")</f>
        <v> </v>
      </c>
      <c r="M152" s="334" t="str">
        <f aca="false">IF((E152="p"),G152," ")</f>
        <v> </v>
      </c>
      <c r="N152" s="334" t="str">
        <f aca="false">IF((E152="r"),G152," ")</f>
        <v> </v>
      </c>
      <c r="O152" s="334" t="str">
        <f aca="false">IF((E152="g"),G152," ")</f>
        <v> </v>
      </c>
      <c r="P152" s="334" t="str">
        <f aca="false">IF((E152="m"),G152," ")</f>
        <v> </v>
      </c>
      <c r="Q152" s="334" t="str">
        <f aca="false">IF((E152="t"),G152," ")</f>
        <v> </v>
      </c>
      <c r="R152" s="334" t="str">
        <f aca="false">IF((E152="a"),G152," ")</f>
        <v> </v>
      </c>
      <c r="S152" s="334" t="str">
        <f aca="false">IF((E152="l"),G152," ")</f>
        <v> </v>
      </c>
      <c r="T152" s="334" t="str">
        <f aca="false">IF((E152="b"),G152," ")</f>
        <v> </v>
      </c>
      <c r="U152" s="334" t="str">
        <f aca="false">IF((E152="i"),G152," ")</f>
        <v> </v>
      </c>
      <c r="V152" s="334" t="str">
        <f aca="false">IF((E152="o"),G152," ")</f>
        <v> </v>
      </c>
      <c r="W152" s="334" t="str">
        <f aca="false">IF((E152="f"),G152," ")</f>
        <v> </v>
      </c>
    </row>
    <row r="153" customFormat="false" ht="12.75" hidden="false" customHeight="false" outlineLevel="0" collapsed="false">
      <c r="A153" s="355"/>
      <c r="E153" s="365" t="str">
        <f aca="false">IF((G153&lt;&gt;0),"Enter Letter"," ")</f>
        <v> </v>
      </c>
      <c r="H153" s="338" t="str">
        <f aca="false">IF((G153&lt;&gt;0),IF((D153&gt;0)," ",G153)," ")</f>
        <v> </v>
      </c>
      <c r="I153" s="367" t="str">
        <f aca="false">IF((G153&lt;&gt;0),IF((D153&gt;0)," ",(I$1-A153))," ")</f>
        <v> </v>
      </c>
      <c r="J153" s="334" t="str">
        <f aca="false">IF((E153="s"),G153," ")</f>
        <v> </v>
      </c>
      <c r="K153" s="334" t="str">
        <f aca="false">IF((E153="d"),G153," ")</f>
        <v> </v>
      </c>
      <c r="L153" s="334" t="str">
        <f aca="false">IF((E153="e"),G153," ")</f>
        <v> </v>
      </c>
      <c r="M153" s="334" t="str">
        <f aca="false">IF((E153="p"),G153," ")</f>
        <v> </v>
      </c>
      <c r="N153" s="334" t="str">
        <f aca="false">IF((E153="r"),G153," ")</f>
        <v> </v>
      </c>
      <c r="O153" s="334" t="str">
        <f aca="false">IF((E153="g"),G153," ")</f>
        <v> </v>
      </c>
      <c r="P153" s="334" t="str">
        <f aca="false">IF((E153="m"),G153," ")</f>
        <v> </v>
      </c>
      <c r="Q153" s="334" t="str">
        <f aca="false">IF((E153="t"),G153," ")</f>
        <v> </v>
      </c>
      <c r="R153" s="334" t="str">
        <f aca="false">IF((E153="a"),G153," ")</f>
        <v> </v>
      </c>
      <c r="S153" s="334" t="str">
        <f aca="false">IF((E153="l"),G153," ")</f>
        <v> </v>
      </c>
      <c r="T153" s="334" t="str">
        <f aca="false">IF((E153="b"),G153," ")</f>
        <v> </v>
      </c>
      <c r="U153" s="334" t="str">
        <f aca="false">IF((E153="i"),G153," ")</f>
        <v> </v>
      </c>
      <c r="V153" s="334" t="str">
        <f aca="false">IF((E153="o"),G153," ")</f>
        <v> </v>
      </c>
      <c r="W153" s="334" t="str">
        <f aca="false">IF((E153="f"),G153," ")</f>
        <v> </v>
      </c>
    </row>
    <row r="154" customFormat="false" ht="12.75" hidden="false" customHeight="false" outlineLevel="0" collapsed="false">
      <c r="A154" s="355"/>
      <c r="E154" s="365" t="str">
        <f aca="false">IF((G154&lt;&gt;0),"Enter Letter"," ")</f>
        <v> </v>
      </c>
      <c r="H154" s="338" t="str">
        <f aca="false">IF((G154&lt;&gt;0),IF((D154&gt;0)," ",G154)," ")</f>
        <v> </v>
      </c>
      <c r="I154" s="367" t="str">
        <f aca="false">IF((G154&lt;&gt;0),IF((D154&gt;0)," ",(I$1-A154))," ")</f>
        <v> </v>
      </c>
      <c r="J154" s="334" t="str">
        <f aca="false">IF((E154="s"),G154," ")</f>
        <v> </v>
      </c>
      <c r="K154" s="334" t="str">
        <f aca="false">IF((E154="d"),G154," ")</f>
        <v> </v>
      </c>
      <c r="L154" s="334" t="str">
        <f aca="false">IF((E154="e"),G154," ")</f>
        <v> </v>
      </c>
      <c r="M154" s="334" t="str">
        <f aca="false">IF((E154="p"),G154," ")</f>
        <v> </v>
      </c>
      <c r="N154" s="334" t="str">
        <f aca="false">IF((E154="r"),G154," ")</f>
        <v> </v>
      </c>
      <c r="O154" s="334" t="str">
        <f aca="false">IF((E154="g"),G154," ")</f>
        <v> </v>
      </c>
      <c r="P154" s="334" t="str">
        <f aca="false">IF((E154="m"),G154," ")</f>
        <v> </v>
      </c>
      <c r="Q154" s="334" t="str">
        <f aca="false">IF((E154="t"),G154," ")</f>
        <v> </v>
      </c>
      <c r="R154" s="334" t="str">
        <f aca="false">IF((E154="a"),G154," ")</f>
        <v> </v>
      </c>
      <c r="S154" s="334" t="str">
        <f aca="false">IF((E154="l"),G154," ")</f>
        <v> </v>
      </c>
      <c r="T154" s="334" t="str">
        <f aca="false">IF((E154="b"),G154," ")</f>
        <v> </v>
      </c>
      <c r="U154" s="334" t="str">
        <f aca="false">IF((E154="i"),G154," ")</f>
        <v> </v>
      </c>
      <c r="V154" s="334" t="str">
        <f aca="false">IF((E154="o"),G154," ")</f>
        <v> </v>
      </c>
      <c r="W154" s="334" t="str">
        <f aca="false">IF((E154="f"),G154," ")</f>
        <v> </v>
      </c>
    </row>
    <row r="155" customFormat="false" ht="12.75" hidden="false" customHeight="false" outlineLevel="0" collapsed="false">
      <c r="A155" s="355"/>
      <c r="E155" s="365" t="str">
        <f aca="false">IF((G155&lt;&gt;0),"Enter Letter"," ")</f>
        <v> </v>
      </c>
      <c r="H155" s="338" t="str">
        <f aca="false">IF((G155&lt;&gt;0),IF((D155&gt;0)," ",G155)," ")</f>
        <v> </v>
      </c>
      <c r="I155" s="367" t="str">
        <f aca="false">IF((G155&lt;&gt;0),IF((D155&gt;0)," ",(I$1-A155))," ")</f>
        <v> </v>
      </c>
      <c r="J155" s="334" t="str">
        <f aca="false">IF((E155="s"),G155," ")</f>
        <v> </v>
      </c>
      <c r="K155" s="334" t="str">
        <f aca="false">IF((E155="d"),G155," ")</f>
        <v> </v>
      </c>
      <c r="L155" s="334" t="str">
        <f aca="false">IF((E155="e"),G155," ")</f>
        <v> </v>
      </c>
      <c r="M155" s="334" t="str">
        <f aca="false">IF((E155="p"),G155," ")</f>
        <v> </v>
      </c>
      <c r="N155" s="334" t="str">
        <f aca="false">IF((E155="r"),G155," ")</f>
        <v> </v>
      </c>
      <c r="O155" s="334" t="str">
        <f aca="false">IF((E155="g"),G155," ")</f>
        <v> </v>
      </c>
      <c r="P155" s="334" t="str">
        <f aca="false">IF((E155="m"),G155," ")</f>
        <v> </v>
      </c>
      <c r="Q155" s="334" t="str">
        <f aca="false">IF((E155="t"),G155," ")</f>
        <v> </v>
      </c>
      <c r="R155" s="334" t="str">
        <f aca="false">IF((E155="a"),G155," ")</f>
        <v> </v>
      </c>
      <c r="S155" s="334" t="str">
        <f aca="false">IF((E155="l"),G155," ")</f>
        <v> </v>
      </c>
      <c r="T155" s="334" t="str">
        <f aca="false">IF((E155="b"),G155," ")</f>
        <v> </v>
      </c>
      <c r="U155" s="334" t="str">
        <f aca="false">IF((E155="i"),G155," ")</f>
        <v> </v>
      </c>
      <c r="V155" s="334" t="str">
        <f aca="false">IF((E155="o"),G155," ")</f>
        <v> </v>
      </c>
      <c r="W155" s="334" t="str">
        <f aca="false">IF((E155="f"),G155," ")</f>
        <v> </v>
      </c>
    </row>
    <row r="156" customFormat="false" ht="12.75" hidden="false" customHeight="false" outlineLevel="0" collapsed="false">
      <c r="A156" s="355"/>
      <c r="E156" s="365" t="str">
        <f aca="false">IF((G156&lt;&gt;0),"Enter Letter"," ")</f>
        <v> </v>
      </c>
      <c r="H156" s="338" t="str">
        <f aca="false">IF((G156&lt;&gt;0),IF((D156&gt;0)," ",G156)," ")</f>
        <v> </v>
      </c>
      <c r="I156" s="367" t="str">
        <f aca="false">IF((G156&lt;&gt;0),IF((D156&gt;0)," ",(I$1-A156))," ")</f>
        <v> </v>
      </c>
      <c r="J156" s="334" t="str">
        <f aca="false">IF((E156="s"),G156," ")</f>
        <v> </v>
      </c>
      <c r="K156" s="334" t="str">
        <f aca="false">IF((E156="d"),G156," ")</f>
        <v> </v>
      </c>
      <c r="L156" s="334" t="str">
        <f aca="false">IF((E156="e"),G156," ")</f>
        <v> </v>
      </c>
      <c r="M156" s="334" t="str">
        <f aca="false">IF((E156="p"),G156," ")</f>
        <v> </v>
      </c>
      <c r="N156" s="334" t="str">
        <f aca="false">IF((E156="r"),G156," ")</f>
        <v> </v>
      </c>
      <c r="O156" s="334" t="str">
        <f aca="false">IF((E156="g"),G156," ")</f>
        <v> </v>
      </c>
      <c r="P156" s="334" t="str">
        <f aca="false">IF((E156="m"),G156," ")</f>
        <v> </v>
      </c>
      <c r="Q156" s="334" t="str">
        <f aca="false">IF((E156="t"),G156," ")</f>
        <v> </v>
      </c>
      <c r="R156" s="334" t="str">
        <f aca="false">IF((E156="a"),G156," ")</f>
        <v> </v>
      </c>
      <c r="S156" s="334" t="str">
        <f aca="false">IF((E156="l"),G156," ")</f>
        <v> </v>
      </c>
      <c r="T156" s="334" t="str">
        <f aca="false">IF((E156="b"),G156," ")</f>
        <v> </v>
      </c>
      <c r="U156" s="334" t="str">
        <f aca="false">IF((E156="i"),G156," ")</f>
        <v> </v>
      </c>
      <c r="V156" s="334" t="str">
        <f aca="false">IF((E156="o"),G156," ")</f>
        <v> </v>
      </c>
      <c r="W156" s="334" t="str">
        <f aca="false">IF((E156="f"),G156," ")</f>
        <v> </v>
      </c>
    </row>
    <row r="157" customFormat="false" ht="12.75" hidden="false" customHeight="false" outlineLevel="0" collapsed="false">
      <c r="A157" s="355"/>
      <c r="E157" s="365" t="str">
        <f aca="false">IF((G157&lt;&gt;0),"Enter Letter"," ")</f>
        <v> </v>
      </c>
      <c r="H157" s="338" t="str">
        <f aca="false">IF((G157&lt;&gt;0),IF((D157&gt;0)," ",G157)," ")</f>
        <v> </v>
      </c>
      <c r="I157" s="367" t="str">
        <f aca="false">IF((G157&lt;&gt;0),IF((D157&gt;0)," ",(I$1-A157))," ")</f>
        <v> </v>
      </c>
      <c r="J157" s="334" t="str">
        <f aca="false">IF((E157="s"),G157," ")</f>
        <v> </v>
      </c>
      <c r="K157" s="334" t="str">
        <f aca="false">IF((E157="d"),G157," ")</f>
        <v> </v>
      </c>
      <c r="L157" s="334" t="str">
        <f aca="false">IF((E157="e"),G157," ")</f>
        <v> </v>
      </c>
      <c r="M157" s="334" t="str">
        <f aca="false">IF((E157="p"),G157," ")</f>
        <v> </v>
      </c>
      <c r="N157" s="334" t="str">
        <f aca="false">IF((E157="r"),G157," ")</f>
        <v> </v>
      </c>
      <c r="O157" s="334" t="str">
        <f aca="false">IF((E157="g"),G157," ")</f>
        <v> </v>
      </c>
      <c r="P157" s="334" t="str">
        <f aca="false">IF((E157="m"),G157," ")</f>
        <v> </v>
      </c>
      <c r="Q157" s="334" t="str">
        <f aca="false">IF((E157="t"),G157," ")</f>
        <v> </v>
      </c>
      <c r="R157" s="334" t="str">
        <f aca="false">IF((E157="a"),G157," ")</f>
        <v> </v>
      </c>
      <c r="S157" s="334" t="str">
        <f aca="false">IF((E157="l"),G157," ")</f>
        <v> </v>
      </c>
      <c r="T157" s="334" t="str">
        <f aca="false">IF((E157="b"),G157," ")</f>
        <v> </v>
      </c>
      <c r="U157" s="334" t="str">
        <f aca="false">IF((E157="i"),G157," ")</f>
        <v> </v>
      </c>
      <c r="V157" s="334" t="str">
        <f aca="false">IF((E157="o"),G157," ")</f>
        <v> </v>
      </c>
      <c r="W157" s="334" t="str">
        <f aca="false">IF((E157="f"),G157," ")</f>
        <v> </v>
      </c>
    </row>
    <row r="158" customFormat="false" ht="12.75" hidden="false" customHeight="false" outlineLevel="0" collapsed="false">
      <c r="A158" s="355"/>
      <c r="E158" s="365" t="str">
        <f aca="false">IF((G158&lt;&gt;0),"Enter Letter"," ")</f>
        <v> </v>
      </c>
      <c r="H158" s="338" t="str">
        <f aca="false">IF((G158&lt;&gt;0),IF((D158&gt;0)," ",G158)," ")</f>
        <v> </v>
      </c>
      <c r="I158" s="367" t="str">
        <f aca="false">IF((G158&lt;&gt;0),IF((D158&gt;0)," ",(I$1-A158))," ")</f>
        <v> </v>
      </c>
      <c r="J158" s="334" t="str">
        <f aca="false">IF((E158="s"),G158," ")</f>
        <v> </v>
      </c>
      <c r="K158" s="334" t="str">
        <f aca="false">IF((E158="d"),G158," ")</f>
        <v> </v>
      </c>
      <c r="L158" s="334" t="str">
        <f aca="false">IF((E158="e"),G158," ")</f>
        <v> </v>
      </c>
      <c r="M158" s="334" t="str">
        <f aca="false">IF((E158="p"),G158," ")</f>
        <v> </v>
      </c>
      <c r="N158" s="334" t="str">
        <f aca="false">IF((E158="r"),G158," ")</f>
        <v> </v>
      </c>
      <c r="O158" s="334" t="str">
        <f aca="false">IF((E158="g"),G158," ")</f>
        <v> </v>
      </c>
      <c r="P158" s="334" t="str">
        <f aca="false">IF((E158="m"),G158," ")</f>
        <v> </v>
      </c>
      <c r="Q158" s="334" t="str">
        <f aca="false">IF((E158="t"),G158," ")</f>
        <v> </v>
      </c>
      <c r="R158" s="334" t="str">
        <f aca="false">IF((E158="a"),G158," ")</f>
        <v> </v>
      </c>
      <c r="S158" s="334" t="str">
        <f aca="false">IF((E158="l"),G158," ")</f>
        <v> </v>
      </c>
      <c r="T158" s="334" t="str">
        <f aca="false">IF((E158="b"),G158," ")</f>
        <v> </v>
      </c>
      <c r="U158" s="334" t="str">
        <f aca="false">IF((E158="i"),G158," ")</f>
        <v> </v>
      </c>
      <c r="V158" s="334" t="str">
        <f aca="false">IF((E158="o"),G158," ")</f>
        <v> </v>
      </c>
      <c r="W158" s="334" t="str">
        <f aca="false">IF((E158="f"),G158," ")</f>
        <v> </v>
      </c>
    </row>
    <row r="159" customFormat="false" ht="12.75" hidden="false" customHeight="false" outlineLevel="0" collapsed="false">
      <c r="A159" s="355"/>
      <c r="E159" s="365" t="str">
        <f aca="false">IF((G159&lt;&gt;0),"Enter Letter"," ")</f>
        <v> </v>
      </c>
      <c r="H159" s="338" t="str">
        <f aca="false">IF((G159&lt;&gt;0),IF((D159&gt;0)," ",G159)," ")</f>
        <v> </v>
      </c>
      <c r="I159" s="367" t="str">
        <f aca="false">IF((G159&lt;&gt;0),IF((D159&gt;0)," ",(I$1-A159))," ")</f>
        <v> </v>
      </c>
      <c r="J159" s="334" t="str">
        <f aca="false">IF((E159="s"),G159," ")</f>
        <v> </v>
      </c>
      <c r="K159" s="334" t="str">
        <f aca="false">IF((E159="d"),G159," ")</f>
        <v> </v>
      </c>
      <c r="L159" s="334" t="str">
        <f aca="false">IF((E159="e"),G159," ")</f>
        <v> </v>
      </c>
      <c r="M159" s="334" t="str">
        <f aca="false">IF((E159="p"),G159," ")</f>
        <v> </v>
      </c>
      <c r="N159" s="334" t="str">
        <f aca="false">IF((E159="r"),G159," ")</f>
        <v> </v>
      </c>
      <c r="O159" s="334" t="str">
        <f aca="false">IF((E159="g"),G159," ")</f>
        <v> </v>
      </c>
      <c r="P159" s="334" t="str">
        <f aca="false">IF((E159="m"),G159," ")</f>
        <v> </v>
      </c>
      <c r="Q159" s="334" t="str">
        <f aca="false">IF((E159="t"),G159," ")</f>
        <v> </v>
      </c>
      <c r="R159" s="334" t="str">
        <f aca="false">IF((E159="a"),G159," ")</f>
        <v> </v>
      </c>
      <c r="S159" s="334" t="str">
        <f aca="false">IF((E159="l"),G159," ")</f>
        <v> </v>
      </c>
      <c r="T159" s="334" t="str">
        <f aca="false">IF((E159="b"),G159," ")</f>
        <v> </v>
      </c>
      <c r="U159" s="334" t="str">
        <f aca="false">IF((E159="i"),G159," ")</f>
        <v> </v>
      </c>
      <c r="V159" s="334" t="str">
        <f aca="false">IF((E159="o"),G159," ")</f>
        <v> </v>
      </c>
      <c r="W159" s="334" t="str">
        <f aca="false">IF((E159="f"),G159," ")</f>
        <v> </v>
      </c>
    </row>
    <row r="160" customFormat="false" ht="12.75" hidden="false" customHeight="false" outlineLevel="0" collapsed="false">
      <c r="A160" s="355"/>
      <c r="E160" s="365" t="str">
        <f aca="false">IF((G160&lt;&gt;0),"Enter Letter"," ")</f>
        <v> </v>
      </c>
      <c r="H160" s="338" t="str">
        <f aca="false">IF((G160&lt;&gt;0),IF((D160&gt;0)," ",G160)," ")</f>
        <v> </v>
      </c>
      <c r="I160" s="367" t="str">
        <f aca="false">IF((G160&lt;&gt;0),IF((D160&gt;0)," ",(I$1-A160))," ")</f>
        <v> </v>
      </c>
      <c r="J160" s="334" t="str">
        <f aca="false">IF((E160="s"),G160," ")</f>
        <v> </v>
      </c>
      <c r="K160" s="334" t="str">
        <f aca="false">IF((E160="d"),G160," ")</f>
        <v> </v>
      </c>
      <c r="L160" s="334" t="str">
        <f aca="false">IF((E160="e"),G160," ")</f>
        <v> </v>
      </c>
      <c r="M160" s="334" t="str">
        <f aca="false">IF((E160="p"),G160," ")</f>
        <v> </v>
      </c>
      <c r="N160" s="334" t="str">
        <f aca="false">IF((E160="r"),G160," ")</f>
        <v> </v>
      </c>
      <c r="O160" s="334" t="str">
        <f aca="false">IF((E160="g"),G160," ")</f>
        <v> </v>
      </c>
      <c r="P160" s="334" t="str">
        <f aca="false">IF((E160="m"),G160," ")</f>
        <v> </v>
      </c>
      <c r="Q160" s="334" t="str">
        <f aca="false">IF((E160="t"),G160," ")</f>
        <v> </v>
      </c>
      <c r="R160" s="334" t="str">
        <f aca="false">IF((E160="a"),G160," ")</f>
        <v> </v>
      </c>
      <c r="S160" s="334" t="str">
        <f aca="false">IF((E160="l"),G160," ")</f>
        <v> </v>
      </c>
      <c r="T160" s="334" t="str">
        <f aca="false">IF((E160="b"),G160," ")</f>
        <v> </v>
      </c>
      <c r="U160" s="334" t="str">
        <f aca="false">IF((E160="i"),G160," ")</f>
        <v> </v>
      </c>
      <c r="V160" s="334" t="str">
        <f aca="false">IF((E160="o"),G160," ")</f>
        <v> </v>
      </c>
      <c r="W160" s="334" t="str">
        <f aca="false">IF((E160="f"),G160," ")</f>
        <v> </v>
      </c>
    </row>
    <row r="161" customFormat="false" ht="12.75" hidden="false" customHeight="false" outlineLevel="0" collapsed="false">
      <c r="A161" s="355"/>
      <c r="E161" s="365" t="str">
        <f aca="false">IF((G161&lt;&gt;0),"Enter Letter"," ")</f>
        <v> </v>
      </c>
      <c r="H161" s="338" t="str">
        <f aca="false">IF((G161&lt;&gt;0),IF((D161&gt;0)," ",G161)," ")</f>
        <v> </v>
      </c>
      <c r="I161" s="367" t="str">
        <f aca="false">IF((G161&lt;&gt;0),IF((D161&gt;0)," ",(I$1-A161))," ")</f>
        <v> </v>
      </c>
      <c r="J161" s="334" t="str">
        <f aca="false">IF((E161="s"),G161," ")</f>
        <v> </v>
      </c>
      <c r="K161" s="334" t="str">
        <f aca="false">IF((E161="d"),G161," ")</f>
        <v> </v>
      </c>
      <c r="L161" s="334" t="str">
        <f aca="false">IF((E161="e"),G161," ")</f>
        <v> </v>
      </c>
      <c r="M161" s="334" t="str">
        <f aca="false">IF((E161="p"),G161," ")</f>
        <v> </v>
      </c>
      <c r="N161" s="334" t="str">
        <f aca="false">IF((E161="r"),G161," ")</f>
        <v> </v>
      </c>
      <c r="O161" s="334" t="str">
        <f aca="false">IF((E161="g"),G161," ")</f>
        <v> </v>
      </c>
      <c r="P161" s="334" t="str">
        <f aca="false">IF((E161="m"),G161," ")</f>
        <v> </v>
      </c>
      <c r="Q161" s="334" t="str">
        <f aca="false">IF((E161="t"),G161," ")</f>
        <v> </v>
      </c>
      <c r="R161" s="334" t="str">
        <f aca="false">IF((E161="a"),G161," ")</f>
        <v> </v>
      </c>
      <c r="S161" s="334" t="str">
        <f aca="false">IF((E161="l"),G161," ")</f>
        <v> </v>
      </c>
      <c r="T161" s="334" t="str">
        <f aca="false">IF((E161="b"),G161," ")</f>
        <v> </v>
      </c>
      <c r="U161" s="334" t="str">
        <f aca="false">IF((E161="i"),G161," ")</f>
        <v> </v>
      </c>
      <c r="V161" s="334" t="str">
        <f aca="false">IF((E161="o"),G161," ")</f>
        <v> </v>
      </c>
      <c r="W161" s="334" t="str">
        <f aca="false">IF((E161="f"),G161," ")</f>
        <v> </v>
      </c>
    </row>
    <row r="162" customFormat="false" ht="12.75" hidden="false" customHeight="false" outlineLevel="0" collapsed="false">
      <c r="A162" s="355"/>
      <c r="E162" s="365" t="str">
        <f aca="false">IF((G162&lt;&gt;0),"Enter Letter"," ")</f>
        <v> </v>
      </c>
      <c r="H162" s="338" t="str">
        <f aca="false">IF((G162&lt;&gt;0),IF((D162&gt;0)," ",G162)," ")</f>
        <v> </v>
      </c>
      <c r="I162" s="367" t="str">
        <f aca="false">IF((G162&lt;&gt;0),IF((D162&gt;0)," ",(I$1-A162))," ")</f>
        <v> </v>
      </c>
      <c r="J162" s="334" t="str">
        <f aca="false">IF((E162="s"),G162," ")</f>
        <v> </v>
      </c>
      <c r="K162" s="334" t="str">
        <f aca="false">IF((E162="d"),G162," ")</f>
        <v> </v>
      </c>
      <c r="L162" s="334" t="str">
        <f aca="false">IF((E162="e"),G162," ")</f>
        <v> </v>
      </c>
      <c r="M162" s="334" t="str">
        <f aca="false">IF((E162="p"),G162," ")</f>
        <v> </v>
      </c>
      <c r="N162" s="334" t="str">
        <f aca="false">IF((E162="r"),G162," ")</f>
        <v> </v>
      </c>
      <c r="O162" s="334" t="str">
        <f aca="false">IF((E162="g"),G162," ")</f>
        <v> </v>
      </c>
      <c r="P162" s="334" t="str">
        <f aca="false">IF((E162="m"),G162," ")</f>
        <v> </v>
      </c>
      <c r="Q162" s="334" t="str">
        <f aca="false">IF((E162="t"),G162," ")</f>
        <v> </v>
      </c>
      <c r="R162" s="334" t="str">
        <f aca="false">IF((E162="a"),G162," ")</f>
        <v> </v>
      </c>
      <c r="S162" s="334" t="str">
        <f aca="false">IF((E162="l"),G162," ")</f>
        <v> </v>
      </c>
      <c r="T162" s="334" t="str">
        <f aca="false">IF((E162="b"),G162," ")</f>
        <v> </v>
      </c>
      <c r="U162" s="334" t="str">
        <f aca="false">IF((E162="i"),G162," ")</f>
        <v> </v>
      </c>
      <c r="V162" s="334" t="str">
        <f aca="false">IF((E162="o"),G162," ")</f>
        <v> </v>
      </c>
      <c r="W162" s="334" t="str">
        <f aca="false">IF((E162="f"),G162," ")</f>
        <v> </v>
      </c>
    </row>
    <row r="163" customFormat="false" ht="12.75" hidden="false" customHeight="false" outlineLevel="0" collapsed="false">
      <c r="A163" s="355"/>
      <c r="E163" s="365" t="str">
        <f aca="false">IF((G163&lt;&gt;0),"Enter Letter"," ")</f>
        <v> </v>
      </c>
      <c r="H163" s="338" t="str">
        <f aca="false">IF((G163&lt;&gt;0),IF((D163&gt;0)," ",G163)," ")</f>
        <v> </v>
      </c>
      <c r="I163" s="367" t="str">
        <f aca="false">IF((G163&lt;&gt;0),IF((D163&gt;0)," ",(I$1-A163))," ")</f>
        <v> </v>
      </c>
      <c r="J163" s="334" t="str">
        <f aca="false">IF((E163="s"),G163," ")</f>
        <v> </v>
      </c>
      <c r="K163" s="334" t="str">
        <f aca="false">IF((E163="d"),G163," ")</f>
        <v> </v>
      </c>
      <c r="L163" s="334" t="str">
        <f aca="false">IF((E163="e"),G163," ")</f>
        <v> </v>
      </c>
      <c r="M163" s="334" t="str">
        <f aca="false">IF((E163="p"),G163," ")</f>
        <v> </v>
      </c>
      <c r="N163" s="334" t="str">
        <f aca="false">IF((E163="r"),G163," ")</f>
        <v> </v>
      </c>
      <c r="O163" s="334" t="str">
        <f aca="false">IF((E163="g"),G163," ")</f>
        <v> </v>
      </c>
      <c r="P163" s="334" t="str">
        <f aca="false">IF((E163="m"),G163," ")</f>
        <v> </v>
      </c>
      <c r="Q163" s="334" t="str">
        <f aca="false">IF((E163="t"),G163," ")</f>
        <v> </v>
      </c>
      <c r="R163" s="334" t="str">
        <f aca="false">IF((E163="a"),G163," ")</f>
        <v> </v>
      </c>
      <c r="S163" s="334" t="str">
        <f aca="false">IF((E163="l"),G163," ")</f>
        <v> </v>
      </c>
      <c r="T163" s="334" t="str">
        <f aca="false">IF((E163="b"),G163," ")</f>
        <v> </v>
      </c>
      <c r="U163" s="334" t="str">
        <f aca="false">IF((E163="i"),G163," ")</f>
        <v> </v>
      </c>
      <c r="V163" s="334" t="str">
        <f aca="false">IF((E163="o"),G163," ")</f>
        <v> </v>
      </c>
      <c r="W163" s="334" t="str">
        <f aca="false">IF((E163="f"),G163," ")</f>
        <v> </v>
      </c>
    </row>
    <row r="164" customFormat="false" ht="12.75" hidden="false" customHeight="false" outlineLevel="0" collapsed="false">
      <c r="A164" s="355"/>
      <c r="E164" s="365" t="str">
        <f aca="false">IF((G164&lt;&gt;0),"Enter Letter"," ")</f>
        <v> </v>
      </c>
      <c r="H164" s="338" t="str">
        <f aca="false">IF((G164&lt;&gt;0),IF((D164&gt;0)," ",G164)," ")</f>
        <v> </v>
      </c>
      <c r="I164" s="367" t="str">
        <f aca="false">IF((G164&lt;&gt;0),IF((D164&gt;0)," ",(I$1-A164))," ")</f>
        <v> </v>
      </c>
      <c r="J164" s="334" t="str">
        <f aca="false">IF((E164="s"),G164," ")</f>
        <v> </v>
      </c>
      <c r="K164" s="334" t="str">
        <f aca="false">IF((E164="d"),G164," ")</f>
        <v> </v>
      </c>
      <c r="L164" s="334" t="str">
        <f aca="false">IF((E164="e"),G164," ")</f>
        <v> </v>
      </c>
      <c r="M164" s="334" t="str">
        <f aca="false">IF((E164="p"),G164," ")</f>
        <v> </v>
      </c>
      <c r="N164" s="334" t="str">
        <f aca="false">IF((E164="r"),G164," ")</f>
        <v> </v>
      </c>
      <c r="O164" s="334" t="str">
        <f aca="false">IF((E164="g"),G164," ")</f>
        <v> </v>
      </c>
      <c r="P164" s="334" t="str">
        <f aca="false">IF((E164="m"),G164," ")</f>
        <v> </v>
      </c>
      <c r="Q164" s="334" t="str">
        <f aca="false">IF((E164="t"),G164," ")</f>
        <v> </v>
      </c>
      <c r="R164" s="334" t="str">
        <f aca="false">IF((E164="a"),G164," ")</f>
        <v> </v>
      </c>
      <c r="S164" s="334" t="str">
        <f aca="false">IF((E164="l"),G164," ")</f>
        <v> </v>
      </c>
      <c r="T164" s="334" t="str">
        <f aca="false">IF((E164="b"),G164," ")</f>
        <v> </v>
      </c>
      <c r="U164" s="334" t="str">
        <f aca="false">IF((E164="i"),G164," ")</f>
        <v> </v>
      </c>
      <c r="V164" s="334" t="str">
        <f aca="false">IF((E164="o"),G164," ")</f>
        <v> </v>
      </c>
      <c r="W164" s="334" t="str">
        <f aca="false">IF((E164="f"),G164," ")</f>
        <v> </v>
      </c>
    </row>
    <row r="165" customFormat="false" ht="12.75" hidden="false" customHeight="false" outlineLevel="0" collapsed="false">
      <c r="A165" s="355"/>
      <c r="E165" s="365" t="str">
        <f aca="false">IF((G165&lt;&gt;0),"Enter Letter"," ")</f>
        <v> </v>
      </c>
      <c r="H165" s="338" t="str">
        <f aca="false">IF((G165&lt;&gt;0),IF((D165&gt;0)," ",G165)," ")</f>
        <v> </v>
      </c>
      <c r="I165" s="367" t="str">
        <f aca="false">IF((G165&lt;&gt;0),IF((D165&gt;0)," ",(I$1-A165))," ")</f>
        <v> </v>
      </c>
      <c r="J165" s="334" t="str">
        <f aca="false">IF((E165="s"),G165," ")</f>
        <v> </v>
      </c>
      <c r="K165" s="334" t="str">
        <f aca="false">IF((E165="d"),G165," ")</f>
        <v> </v>
      </c>
      <c r="L165" s="334" t="str">
        <f aca="false">IF((E165="e"),G165," ")</f>
        <v> </v>
      </c>
      <c r="M165" s="334" t="str">
        <f aca="false">IF((E165="p"),G165," ")</f>
        <v> </v>
      </c>
      <c r="N165" s="334" t="str">
        <f aca="false">IF((E165="r"),G165," ")</f>
        <v> </v>
      </c>
      <c r="O165" s="334" t="str">
        <f aca="false">IF((E165="g"),G165," ")</f>
        <v> </v>
      </c>
      <c r="P165" s="334" t="str">
        <f aca="false">IF((E165="m"),G165," ")</f>
        <v> </v>
      </c>
      <c r="Q165" s="334" t="str">
        <f aca="false">IF((E165="t"),G165," ")</f>
        <v> </v>
      </c>
      <c r="R165" s="334" t="str">
        <f aca="false">IF((E165="a"),G165," ")</f>
        <v> </v>
      </c>
      <c r="S165" s="334" t="str">
        <f aca="false">IF((E165="l"),G165," ")</f>
        <v> </v>
      </c>
      <c r="T165" s="334" t="str">
        <f aca="false">IF((E165="b"),G165," ")</f>
        <v> </v>
      </c>
      <c r="U165" s="334" t="str">
        <f aca="false">IF((E165="i"),G165," ")</f>
        <v> </v>
      </c>
      <c r="V165" s="334" t="str">
        <f aca="false">IF((E165="o"),G165," ")</f>
        <v> </v>
      </c>
      <c r="W165" s="334" t="str">
        <f aca="false">IF((E165="f"),G165," ")</f>
        <v> </v>
      </c>
    </row>
    <row r="166" customFormat="false" ht="12.75" hidden="false" customHeight="false" outlineLevel="0" collapsed="false">
      <c r="A166" s="355"/>
      <c r="E166" s="365" t="str">
        <f aca="false">IF((G166&lt;&gt;0),"Enter Letter"," ")</f>
        <v> </v>
      </c>
      <c r="H166" s="338" t="str">
        <f aca="false">IF((G166&lt;&gt;0),IF((D166&gt;0)," ",G166)," ")</f>
        <v> </v>
      </c>
      <c r="I166" s="367" t="str">
        <f aca="false">IF((G166&lt;&gt;0),IF((D166&gt;0)," ",(I$1-A166))," ")</f>
        <v> </v>
      </c>
      <c r="J166" s="334" t="str">
        <f aca="false">IF((E166="s"),G166," ")</f>
        <v> </v>
      </c>
      <c r="K166" s="334" t="str">
        <f aca="false">IF((E166="d"),G166," ")</f>
        <v> </v>
      </c>
      <c r="L166" s="334" t="str">
        <f aca="false">IF((E166="e"),G166," ")</f>
        <v> </v>
      </c>
      <c r="M166" s="334" t="str">
        <f aca="false">IF((E166="p"),G166," ")</f>
        <v> </v>
      </c>
      <c r="N166" s="334" t="str">
        <f aca="false">IF((E166="r"),G166," ")</f>
        <v> </v>
      </c>
      <c r="O166" s="334" t="str">
        <f aca="false">IF((E166="g"),G166," ")</f>
        <v> </v>
      </c>
      <c r="P166" s="334" t="str">
        <f aca="false">IF((E166="m"),G166," ")</f>
        <v> </v>
      </c>
      <c r="Q166" s="334" t="str">
        <f aca="false">IF((E166="t"),G166," ")</f>
        <v> </v>
      </c>
      <c r="R166" s="334" t="str">
        <f aca="false">IF((E166="a"),G166," ")</f>
        <v> </v>
      </c>
      <c r="S166" s="334" t="str">
        <f aca="false">IF((E166="l"),G166," ")</f>
        <v> </v>
      </c>
      <c r="T166" s="334" t="str">
        <f aca="false">IF((E166="b"),G166," ")</f>
        <v> </v>
      </c>
      <c r="U166" s="334" t="str">
        <f aca="false">IF((E166="i"),G166," ")</f>
        <v> </v>
      </c>
      <c r="V166" s="334" t="str">
        <f aca="false">IF((E166="o"),G166," ")</f>
        <v> </v>
      </c>
      <c r="W166" s="334" t="str">
        <f aca="false">IF((E166="f"),G166," ")</f>
        <v> </v>
      </c>
    </row>
    <row r="167" customFormat="false" ht="12.75" hidden="false" customHeight="false" outlineLevel="0" collapsed="false">
      <c r="A167" s="355"/>
      <c r="E167" s="365" t="str">
        <f aca="false">IF((G167&lt;&gt;0),"Enter Letter"," ")</f>
        <v> </v>
      </c>
      <c r="H167" s="338" t="str">
        <f aca="false">IF((G167&lt;&gt;0),IF((D167&gt;0)," ",G167)," ")</f>
        <v> </v>
      </c>
      <c r="I167" s="367" t="str">
        <f aca="false">IF((G167&lt;&gt;0),IF((D167&gt;0)," ",(I$1-A167))," ")</f>
        <v> </v>
      </c>
      <c r="J167" s="334" t="str">
        <f aca="false">IF((E167="s"),G167," ")</f>
        <v> </v>
      </c>
      <c r="K167" s="334" t="str">
        <f aca="false">IF((E167="d"),G167," ")</f>
        <v> </v>
      </c>
      <c r="L167" s="334" t="str">
        <f aca="false">IF((E167="e"),G167," ")</f>
        <v> </v>
      </c>
      <c r="M167" s="334" t="str">
        <f aca="false">IF((E167="p"),G167," ")</f>
        <v> </v>
      </c>
      <c r="N167" s="334" t="str">
        <f aca="false">IF((E167="r"),G167," ")</f>
        <v> </v>
      </c>
      <c r="O167" s="334" t="str">
        <f aca="false">IF((E167="g"),G167," ")</f>
        <v> </v>
      </c>
      <c r="P167" s="334" t="str">
        <f aca="false">IF((E167="m"),G167," ")</f>
        <v> </v>
      </c>
      <c r="Q167" s="334" t="str">
        <f aca="false">IF((E167="t"),G167," ")</f>
        <v> </v>
      </c>
      <c r="R167" s="334" t="str">
        <f aca="false">IF((E167="a"),G167," ")</f>
        <v> </v>
      </c>
      <c r="S167" s="334" t="str">
        <f aca="false">IF((E167="l"),G167," ")</f>
        <v> </v>
      </c>
      <c r="T167" s="334" t="str">
        <f aca="false">IF((E167="b"),G167," ")</f>
        <v> </v>
      </c>
      <c r="U167" s="334" t="str">
        <f aca="false">IF((E167="i"),G167," ")</f>
        <v> </v>
      </c>
      <c r="V167" s="334" t="str">
        <f aca="false">IF((E167="o"),G167," ")</f>
        <v> </v>
      </c>
      <c r="W167" s="334" t="str">
        <f aca="false">IF((E167="f"),G167," ")</f>
        <v> </v>
      </c>
    </row>
    <row r="168" customFormat="false" ht="12.75" hidden="false" customHeight="false" outlineLevel="0" collapsed="false">
      <c r="A168" s="355"/>
      <c r="E168" s="365" t="str">
        <f aca="false">IF((G168&lt;&gt;0),"Enter Letter"," ")</f>
        <v> </v>
      </c>
      <c r="H168" s="338" t="str">
        <f aca="false">IF((G168&lt;&gt;0),IF((D168&gt;0)," ",G168)," ")</f>
        <v> </v>
      </c>
      <c r="I168" s="367" t="str">
        <f aca="false">IF((G168&lt;&gt;0),IF((D168&gt;0)," ",(I$1-A168))," ")</f>
        <v> </v>
      </c>
      <c r="J168" s="334" t="str">
        <f aca="false">IF((E168="s"),G168," ")</f>
        <v> </v>
      </c>
      <c r="K168" s="334" t="str">
        <f aca="false">IF((E168="d"),G168," ")</f>
        <v> </v>
      </c>
      <c r="L168" s="334" t="str">
        <f aca="false">IF((E168="e"),G168," ")</f>
        <v> </v>
      </c>
      <c r="M168" s="334" t="str">
        <f aca="false">IF((E168="p"),G168," ")</f>
        <v> </v>
      </c>
      <c r="N168" s="334" t="str">
        <f aca="false">IF((E168="r"),G168," ")</f>
        <v> </v>
      </c>
      <c r="O168" s="334" t="str">
        <f aca="false">IF((E168="g"),G168," ")</f>
        <v> </v>
      </c>
      <c r="P168" s="334" t="str">
        <f aca="false">IF((E168="m"),G168," ")</f>
        <v> </v>
      </c>
      <c r="Q168" s="334" t="str">
        <f aca="false">IF((E168="t"),G168," ")</f>
        <v> </v>
      </c>
      <c r="R168" s="334" t="str">
        <f aca="false">IF((E168="a"),G168," ")</f>
        <v> </v>
      </c>
      <c r="S168" s="334" t="str">
        <f aca="false">IF((E168="l"),G168," ")</f>
        <v> </v>
      </c>
      <c r="T168" s="334" t="str">
        <f aca="false">IF((E168="b"),G168," ")</f>
        <v> </v>
      </c>
      <c r="U168" s="334" t="str">
        <f aca="false">IF((E168="i"),G168," ")</f>
        <v> </v>
      </c>
      <c r="V168" s="334" t="str">
        <f aca="false">IF((E168="o"),G168," ")</f>
        <v> </v>
      </c>
      <c r="W168" s="334" t="str">
        <f aca="false">IF((E168="f"),G168," ")</f>
        <v> </v>
      </c>
    </row>
    <row r="169" customFormat="false" ht="12.75" hidden="false" customHeight="false" outlineLevel="0" collapsed="false">
      <c r="A169" s="355"/>
      <c r="E169" s="365" t="str">
        <f aca="false">IF((G169&lt;&gt;0),"Enter Letter"," ")</f>
        <v> </v>
      </c>
      <c r="H169" s="338" t="str">
        <f aca="false">IF((G169&lt;&gt;0),IF((D169&gt;0)," ",G169)," ")</f>
        <v> </v>
      </c>
      <c r="I169" s="367" t="str">
        <f aca="false">IF((G169&lt;&gt;0),IF((D169&gt;0)," ",(I$1-A169))," ")</f>
        <v> </v>
      </c>
      <c r="J169" s="334" t="str">
        <f aca="false">IF((E169="s"),G169," ")</f>
        <v> </v>
      </c>
      <c r="K169" s="334" t="str">
        <f aca="false">IF((E169="d"),G169," ")</f>
        <v> </v>
      </c>
      <c r="L169" s="334" t="str">
        <f aca="false">IF((E169="e"),G169," ")</f>
        <v> </v>
      </c>
      <c r="M169" s="334" t="str">
        <f aca="false">IF((E169="p"),G169," ")</f>
        <v> </v>
      </c>
      <c r="N169" s="334" t="str">
        <f aca="false">IF((E169="r"),G169," ")</f>
        <v> </v>
      </c>
      <c r="O169" s="334" t="str">
        <f aca="false">IF((E169="g"),G169," ")</f>
        <v> </v>
      </c>
      <c r="P169" s="334" t="str">
        <f aca="false">IF((E169="m"),G169," ")</f>
        <v> </v>
      </c>
      <c r="Q169" s="334" t="str">
        <f aca="false">IF((E169="t"),G169," ")</f>
        <v> </v>
      </c>
      <c r="R169" s="334" t="str">
        <f aca="false">IF((E169="a"),G169," ")</f>
        <v> </v>
      </c>
      <c r="S169" s="334" t="str">
        <f aca="false">IF((E169="l"),G169," ")</f>
        <v> </v>
      </c>
      <c r="T169" s="334" t="str">
        <f aca="false">IF((E169="b"),G169," ")</f>
        <v> </v>
      </c>
      <c r="U169" s="334" t="str">
        <f aca="false">IF((E169="i"),G169," ")</f>
        <v> </v>
      </c>
      <c r="V169" s="334" t="str">
        <f aca="false">IF((E169="o"),G169," ")</f>
        <v> </v>
      </c>
      <c r="W169" s="334" t="str">
        <f aca="false">IF((E169="f"),G169," ")</f>
        <v> </v>
      </c>
    </row>
    <row r="170" customFormat="false" ht="12.75" hidden="false" customHeight="false" outlineLevel="0" collapsed="false">
      <c r="A170" s="355"/>
      <c r="E170" s="365" t="str">
        <f aca="false">IF((G170&lt;&gt;0),"Enter Letter"," ")</f>
        <v> </v>
      </c>
      <c r="H170" s="338" t="str">
        <f aca="false">IF((G170&lt;&gt;0),IF((D170&gt;0)," ",G170)," ")</f>
        <v> </v>
      </c>
      <c r="I170" s="367" t="str">
        <f aca="false">IF((G170&lt;&gt;0),IF((D170&gt;0)," ",(I$1-A170))," ")</f>
        <v> </v>
      </c>
      <c r="J170" s="334" t="str">
        <f aca="false">IF((E170="s"),G170," ")</f>
        <v> </v>
      </c>
      <c r="K170" s="334" t="str">
        <f aca="false">IF((E170="d"),G170," ")</f>
        <v> </v>
      </c>
      <c r="L170" s="334" t="str">
        <f aca="false">IF((E170="e"),G170," ")</f>
        <v> </v>
      </c>
      <c r="M170" s="334" t="str">
        <f aca="false">IF((E170="p"),G170," ")</f>
        <v> </v>
      </c>
      <c r="N170" s="334" t="str">
        <f aca="false">IF((E170="r"),G170," ")</f>
        <v> </v>
      </c>
      <c r="O170" s="334" t="str">
        <f aca="false">IF((E170="g"),G170," ")</f>
        <v> </v>
      </c>
      <c r="P170" s="334" t="str">
        <f aca="false">IF((E170="m"),G170," ")</f>
        <v> </v>
      </c>
      <c r="Q170" s="334" t="str">
        <f aca="false">IF((E170="t"),G170," ")</f>
        <v> </v>
      </c>
      <c r="R170" s="334" t="str">
        <f aca="false">IF((E170="a"),G170," ")</f>
        <v> </v>
      </c>
      <c r="S170" s="334" t="str">
        <f aca="false">IF((E170="l"),G170," ")</f>
        <v> </v>
      </c>
      <c r="T170" s="334" t="str">
        <f aca="false">IF((E170="b"),G170," ")</f>
        <v> </v>
      </c>
      <c r="U170" s="334" t="str">
        <f aca="false">IF((E170="i"),G170," ")</f>
        <v> </v>
      </c>
      <c r="V170" s="334" t="str">
        <f aca="false">IF((E170="o"),G170," ")</f>
        <v> </v>
      </c>
      <c r="W170" s="334" t="str">
        <f aca="false">IF((E170="f"),G170," ")</f>
        <v> </v>
      </c>
    </row>
    <row r="171" customFormat="false" ht="12.75" hidden="false" customHeight="false" outlineLevel="0" collapsed="false">
      <c r="A171" s="355"/>
      <c r="E171" s="365" t="str">
        <f aca="false">IF((G171&lt;&gt;0),"Enter Letter"," ")</f>
        <v> </v>
      </c>
      <c r="H171" s="338" t="str">
        <f aca="false">IF((G171&lt;&gt;0),IF((D171&gt;0)," ",G171)," ")</f>
        <v> </v>
      </c>
      <c r="I171" s="367" t="str">
        <f aca="false">IF((G171&lt;&gt;0),IF((D171&gt;0)," ",(I$1-A171))," ")</f>
        <v> </v>
      </c>
      <c r="J171" s="334" t="str">
        <f aca="false">IF((E171="s"),G171," ")</f>
        <v> </v>
      </c>
      <c r="K171" s="334" t="str">
        <f aca="false">IF((E171="d"),G171," ")</f>
        <v> </v>
      </c>
      <c r="L171" s="334" t="str">
        <f aca="false">IF((E171="e"),G171," ")</f>
        <v> </v>
      </c>
      <c r="M171" s="334" t="str">
        <f aca="false">IF((E171="p"),G171," ")</f>
        <v> </v>
      </c>
      <c r="N171" s="334" t="str">
        <f aca="false">IF((E171="r"),G171," ")</f>
        <v> </v>
      </c>
      <c r="O171" s="334" t="str">
        <f aca="false">IF((E171="g"),G171," ")</f>
        <v> </v>
      </c>
      <c r="P171" s="334" t="str">
        <f aca="false">IF((E171="m"),G171," ")</f>
        <v> </v>
      </c>
      <c r="Q171" s="334" t="str">
        <f aca="false">IF((E171="t"),G171," ")</f>
        <v> </v>
      </c>
      <c r="R171" s="334" t="str">
        <f aca="false">IF((E171="a"),G171," ")</f>
        <v> </v>
      </c>
      <c r="S171" s="334" t="str">
        <f aca="false">IF((E171="l"),G171," ")</f>
        <v> </v>
      </c>
      <c r="T171" s="334" t="str">
        <f aca="false">IF((E171="b"),G171," ")</f>
        <v> </v>
      </c>
      <c r="U171" s="334" t="str">
        <f aca="false">IF((E171="i"),G171," ")</f>
        <v> </v>
      </c>
      <c r="V171" s="334" t="str">
        <f aca="false">IF((E171="o"),G171," ")</f>
        <v> </v>
      </c>
      <c r="W171" s="334" t="str">
        <f aca="false">IF((E171="f"),G171," ")</f>
        <v> </v>
      </c>
    </row>
    <row r="172" customFormat="false" ht="12.75" hidden="false" customHeight="false" outlineLevel="0" collapsed="false">
      <c r="A172" s="355"/>
      <c r="E172" s="365" t="str">
        <f aca="false">IF((G172&lt;&gt;0),"Enter Letter"," ")</f>
        <v> </v>
      </c>
      <c r="H172" s="338" t="str">
        <f aca="false">IF((G172&lt;&gt;0),IF((D172&gt;0)," ",G172)," ")</f>
        <v> </v>
      </c>
      <c r="I172" s="367" t="str">
        <f aca="false">IF((G172&lt;&gt;0),IF((D172&gt;0)," ",(I$1-A172))," ")</f>
        <v> </v>
      </c>
      <c r="J172" s="334" t="str">
        <f aca="false">IF((E172="s"),G172," ")</f>
        <v> </v>
      </c>
      <c r="K172" s="334" t="str">
        <f aca="false">IF((E172="d"),G172," ")</f>
        <v> </v>
      </c>
      <c r="L172" s="334" t="str">
        <f aca="false">IF((E172="e"),G172," ")</f>
        <v> </v>
      </c>
      <c r="M172" s="334" t="str">
        <f aca="false">IF((E172="p"),G172," ")</f>
        <v> </v>
      </c>
      <c r="N172" s="334" t="str">
        <f aca="false">IF((E172="r"),G172," ")</f>
        <v> </v>
      </c>
      <c r="O172" s="334" t="str">
        <f aca="false">IF((E172="g"),G172," ")</f>
        <v> </v>
      </c>
      <c r="P172" s="334" t="str">
        <f aca="false">IF((E172="m"),G172," ")</f>
        <v> </v>
      </c>
      <c r="Q172" s="334" t="str">
        <f aca="false">IF((E172="t"),G172," ")</f>
        <v> </v>
      </c>
      <c r="R172" s="334" t="str">
        <f aca="false">IF((E172="a"),G172," ")</f>
        <v> </v>
      </c>
      <c r="S172" s="334" t="str">
        <f aca="false">IF((E172="l"),G172," ")</f>
        <v> </v>
      </c>
      <c r="T172" s="334" t="str">
        <f aca="false">IF((E172="b"),G172," ")</f>
        <v> </v>
      </c>
      <c r="U172" s="334" t="str">
        <f aca="false">IF((E172="i"),G172," ")</f>
        <v> </v>
      </c>
      <c r="V172" s="334" t="str">
        <f aca="false">IF((E172="o"),G172," ")</f>
        <v> </v>
      </c>
      <c r="W172" s="334" t="str">
        <f aca="false">IF((E172="f"),G172," ")</f>
        <v> </v>
      </c>
    </row>
    <row r="173" customFormat="false" ht="12.75" hidden="false" customHeight="false" outlineLevel="0" collapsed="false">
      <c r="A173" s="355"/>
      <c r="E173" s="365" t="str">
        <f aca="false">IF((G173&lt;&gt;0),"Enter Letter"," ")</f>
        <v> </v>
      </c>
      <c r="H173" s="338" t="str">
        <f aca="false">IF((G173&lt;&gt;0),IF((D173&gt;0)," ",G173)," ")</f>
        <v> </v>
      </c>
      <c r="I173" s="367" t="str">
        <f aca="false">IF((G173&lt;&gt;0),IF((D173&gt;0)," ",(I$1-A173))," ")</f>
        <v> </v>
      </c>
      <c r="J173" s="334" t="str">
        <f aca="false">IF((E173="s"),G173," ")</f>
        <v> </v>
      </c>
      <c r="K173" s="334" t="str">
        <f aca="false">IF((E173="d"),G173," ")</f>
        <v> </v>
      </c>
      <c r="L173" s="334" t="str">
        <f aca="false">IF((E173="e"),G173," ")</f>
        <v> </v>
      </c>
      <c r="M173" s="334" t="str">
        <f aca="false">IF((E173="p"),G173," ")</f>
        <v> </v>
      </c>
      <c r="N173" s="334" t="str">
        <f aca="false">IF((E173="r"),G173," ")</f>
        <v> </v>
      </c>
      <c r="O173" s="334" t="str">
        <f aca="false">IF((E173="g"),G173," ")</f>
        <v> </v>
      </c>
      <c r="P173" s="334" t="str">
        <f aca="false">IF((E173="m"),G173," ")</f>
        <v> </v>
      </c>
      <c r="Q173" s="334" t="str">
        <f aca="false">IF((E173="t"),G173," ")</f>
        <v> </v>
      </c>
      <c r="R173" s="334" t="str">
        <f aca="false">IF((E173="a"),G173," ")</f>
        <v> </v>
      </c>
      <c r="S173" s="334" t="str">
        <f aca="false">IF((E173="l"),G173," ")</f>
        <v> </v>
      </c>
      <c r="T173" s="334" t="str">
        <f aca="false">IF((E173="b"),G173," ")</f>
        <v> </v>
      </c>
      <c r="U173" s="334" t="str">
        <f aca="false">IF((E173="i"),G173," ")</f>
        <v> </v>
      </c>
      <c r="V173" s="334" t="str">
        <f aca="false">IF((E173="o"),G173," ")</f>
        <v> </v>
      </c>
      <c r="W173" s="334" t="str">
        <f aca="false">IF((E173="f"),G173," ")</f>
        <v> </v>
      </c>
    </row>
    <row r="174" customFormat="false" ht="12.75" hidden="false" customHeight="false" outlineLevel="0" collapsed="false">
      <c r="A174" s="355"/>
      <c r="E174" s="365" t="str">
        <f aca="false">IF((G174&lt;&gt;0),"Enter Letter"," ")</f>
        <v> </v>
      </c>
      <c r="H174" s="338" t="str">
        <f aca="false">IF((G174&lt;&gt;0),IF((D174&gt;0)," ",G174)," ")</f>
        <v> </v>
      </c>
      <c r="I174" s="367" t="str">
        <f aca="false">IF((G174&lt;&gt;0),IF((D174&gt;0)," ",(I$1-A174))," ")</f>
        <v> </v>
      </c>
      <c r="J174" s="334" t="str">
        <f aca="false">IF((E174="s"),G174," ")</f>
        <v> </v>
      </c>
      <c r="K174" s="334" t="str">
        <f aca="false">IF((E174="d"),G174," ")</f>
        <v> </v>
      </c>
      <c r="L174" s="334" t="str">
        <f aca="false">IF((E174="e"),G174," ")</f>
        <v> </v>
      </c>
      <c r="M174" s="334" t="str">
        <f aca="false">IF((E174="p"),G174," ")</f>
        <v> </v>
      </c>
      <c r="N174" s="334" t="str">
        <f aca="false">IF((E174="r"),G174," ")</f>
        <v> </v>
      </c>
      <c r="O174" s="334" t="str">
        <f aca="false">IF((E174="g"),G174," ")</f>
        <v> </v>
      </c>
      <c r="P174" s="334" t="str">
        <f aca="false">IF((E174="m"),G174," ")</f>
        <v> </v>
      </c>
      <c r="Q174" s="334" t="str">
        <f aca="false">IF((E174="t"),G174," ")</f>
        <v> </v>
      </c>
      <c r="R174" s="334" t="str">
        <f aca="false">IF((E174="a"),G174," ")</f>
        <v> </v>
      </c>
      <c r="S174" s="334" t="str">
        <f aca="false">IF((E174="l"),G174," ")</f>
        <v> </v>
      </c>
      <c r="T174" s="334" t="str">
        <f aca="false">IF((E174="b"),G174," ")</f>
        <v> </v>
      </c>
      <c r="U174" s="334" t="str">
        <f aca="false">IF((E174="i"),G174," ")</f>
        <v> </v>
      </c>
      <c r="V174" s="334" t="str">
        <f aca="false">IF((E174="o"),G174," ")</f>
        <v> </v>
      </c>
      <c r="W174" s="334" t="str">
        <f aca="false">IF((E174="f"),G174," ")</f>
        <v> </v>
      </c>
    </row>
    <row r="175" customFormat="false" ht="12.75" hidden="false" customHeight="false" outlineLevel="0" collapsed="false">
      <c r="A175" s="355"/>
      <c r="E175" s="365" t="str">
        <f aca="false">IF((G175&lt;&gt;0),"Enter Letter"," ")</f>
        <v> </v>
      </c>
      <c r="H175" s="338" t="str">
        <f aca="false">IF((G175&lt;&gt;0),IF((D175&gt;0)," ",G175)," ")</f>
        <v> </v>
      </c>
      <c r="I175" s="367" t="str">
        <f aca="false">IF((G175&lt;&gt;0),IF((D175&gt;0)," ",(I$1-A175))," ")</f>
        <v> </v>
      </c>
      <c r="J175" s="334" t="str">
        <f aca="false">IF((E175="s"),G175," ")</f>
        <v> </v>
      </c>
      <c r="K175" s="334" t="str">
        <f aca="false">IF((E175="d"),G175," ")</f>
        <v> </v>
      </c>
      <c r="L175" s="334" t="str">
        <f aca="false">IF((E175="e"),G175," ")</f>
        <v> </v>
      </c>
      <c r="M175" s="334" t="str">
        <f aca="false">IF((E175="p"),G175," ")</f>
        <v> </v>
      </c>
      <c r="N175" s="334" t="str">
        <f aca="false">IF((E175="r"),G175," ")</f>
        <v> </v>
      </c>
      <c r="O175" s="334" t="str">
        <f aca="false">IF((E175="g"),G175," ")</f>
        <v> </v>
      </c>
      <c r="P175" s="334" t="str">
        <f aca="false">IF((E175="m"),G175," ")</f>
        <v> </v>
      </c>
      <c r="Q175" s="334" t="str">
        <f aca="false">IF((E175="t"),G175," ")</f>
        <v> </v>
      </c>
      <c r="R175" s="334" t="str">
        <f aca="false">IF((E175="a"),G175," ")</f>
        <v> </v>
      </c>
      <c r="S175" s="334" t="str">
        <f aca="false">IF((E175="l"),G175," ")</f>
        <v> </v>
      </c>
      <c r="T175" s="334" t="str">
        <f aca="false">IF((E175="b"),G175," ")</f>
        <v> </v>
      </c>
      <c r="U175" s="334" t="str">
        <f aca="false">IF((E175="i"),G175," ")</f>
        <v> </v>
      </c>
      <c r="V175" s="334" t="str">
        <f aca="false">IF((E175="o"),G175," ")</f>
        <v> </v>
      </c>
      <c r="W175" s="334" t="str">
        <f aca="false">IF((E175="f"),G175," ")</f>
        <v> </v>
      </c>
    </row>
    <row r="176" customFormat="false" ht="12.75" hidden="false" customHeight="false" outlineLevel="0" collapsed="false">
      <c r="A176" s="355"/>
      <c r="E176" s="365" t="str">
        <f aca="false">IF((G176&lt;&gt;0),"Enter Letter"," ")</f>
        <v> </v>
      </c>
      <c r="H176" s="338" t="str">
        <f aca="false">IF((G176&lt;&gt;0),IF((D176&gt;0)," ",G176)," ")</f>
        <v> </v>
      </c>
      <c r="I176" s="367" t="str">
        <f aca="false">IF((G176&lt;&gt;0),IF((D176&gt;0)," ",(I$1-A176))," ")</f>
        <v> </v>
      </c>
      <c r="J176" s="334" t="str">
        <f aca="false">IF((E176="s"),G176," ")</f>
        <v> </v>
      </c>
      <c r="K176" s="334" t="str">
        <f aca="false">IF((E176="d"),G176," ")</f>
        <v> </v>
      </c>
      <c r="L176" s="334" t="str">
        <f aca="false">IF((E176="e"),G176," ")</f>
        <v> </v>
      </c>
      <c r="M176" s="334" t="str">
        <f aca="false">IF((E176="p"),G176," ")</f>
        <v> </v>
      </c>
      <c r="N176" s="334" t="str">
        <f aca="false">IF((E176="r"),G176," ")</f>
        <v> </v>
      </c>
      <c r="O176" s="334" t="str">
        <f aca="false">IF((E176="g"),G176," ")</f>
        <v> </v>
      </c>
      <c r="P176" s="334" t="str">
        <f aca="false">IF((E176="m"),G176," ")</f>
        <v> </v>
      </c>
      <c r="Q176" s="334" t="str">
        <f aca="false">IF((E176="t"),G176," ")</f>
        <v> </v>
      </c>
      <c r="R176" s="334" t="str">
        <f aca="false">IF((E176="a"),G176," ")</f>
        <v> </v>
      </c>
      <c r="S176" s="334" t="str">
        <f aca="false">IF((E176="l"),G176," ")</f>
        <v> </v>
      </c>
      <c r="T176" s="334" t="str">
        <f aca="false">IF((E176="b"),G176," ")</f>
        <v> </v>
      </c>
      <c r="U176" s="334" t="str">
        <f aca="false">IF((E176="i"),G176," ")</f>
        <v> </v>
      </c>
      <c r="V176" s="334" t="str">
        <f aca="false">IF((E176="o"),G176," ")</f>
        <v> </v>
      </c>
      <c r="W176" s="334" t="str">
        <f aca="false">IF((E176="f"),G176," ")</f>
        <v> </v>
      </c>
    </row>
    <row r="177" customFormat="false" ht="12.75" hidden="false" customHeight="false" outlineLevel="0" collapsed="false">
      <c r="A177" s="355"/>
      <c r="E177" s="365" t="str">
        <f aca="false">IF((G177&lt;&gt;0),"Enter Letter"," ")</f>
        <v> </v>
      </c>
      <c r="H177" s="338" t="str">
        <f aca="false">IF((G177&lt;&gt;0),IF((D177&gt;0)," ",G177)," ")</f>
        <v> </v>
      </c>
      <c r="I177" s="367" t="str">
        <f aca="false">IF((G177&lt;&gt;0),IF((D177&gt;0)," ",(I$1-A177))," ")</f>
        <v> </v>
      </c>
      <c r="J177" s="334" t="str">
        <f aca="false">IF((E177="s"),G177," ")</f>
        <v> </v>
      </c>
      <c r="K177" s="334" t="str">
        <f aca="false">IF((E177="d"),G177," ")</f>
        <v> </v>
      </c>
      <c r="L177" s="334" t="str">
        <f aca="false">IF((E177="e"),G177," ")</f>
        <v> </v>
      </c>
      <c r="M177" s="334" t="str">
        <f aca="false">IF((E177="p"),G177," ")</f>
        <v> </v>
      </c>
      <c r="N177" s="334" t="str">
        <f aca="false">IF((E177="r"),G177," ")</f>
        <v> </v>
      </c>
      <c r="O177" s="334" t="str">
        <f aca="false">IF((E177="g"),G177," ")</f>
        <v> </v>
      </c>
      <c r="P177" s="334" t="str">
        <f aca="false">IF((E177="m"),G177," ")</f>
        <v> </v>
      </c>
      <c r="Q177" s="334" t="str">
        <f aca="false">IF((E177="t"),G177," ")</f>
        <v> </v>
      </c>
      <c r="R177" s="334" t="str">
        <f aca="false">IF((E177="a"),G177," ")</f>
        <v> </v>
      </c>
      <c r="S177" s="334" t="str">
        <f aca="false">IF((E177="l"),G177," ")</f>
        <v> </v>
      </c>
      <c r="T177" s="334" t="str">
        <f aca="false">IF((E177="b"),G177," ")</f>
        <v> </v>
      </c>
      <c r="U177" s="334" t="str">
        <f aca="false">IF((E177="i"),G177," ")</f>
        <v> </v>
      </c>
      <c r="V177" s="334" t="str">
        <f aca="false">IF((E177="o"),G177," ")</f>
        <v> </v>
      </c>
      <c r="W177" s="334" t="str">
        <f aca="false">IF((E177="f"),G177," ")</f>
        <v> </v>
      </c>
    </row>
    <row r="178" customFormat="false" ht="12.75" hidden="false" customHeight="false" outlineLevel="0" collapsed="false">
      <c r="A178" s="355"/>
      <c r="E178" s="365" t="str">
        <f aca="false">IF((G178&lt;&gt;0),"Enter Letter"," ")</f>
        <v> </v>
      </c>
      <c r="H178" s="338" t="str">
        <f aca="false">IF((G178&lt;&gt;0),IF((D178&gt;0)," ",G178)," ")</f>
        <v> </v>
      </c>
      <c r="I178" s="367" t="str">
        <f aca="false">IF((G178&lt;&gt;0),IF((D178&gt;0)," ",(I$1-A178))," ")</f>
        <v> </v>
      </c>
      <c r="J178" s="334" t="str">
        <f aca="false">IF((E178="s"),G178," ")</f>
        <v> </v>
      </c>
      <c r="K178" s="334" t="str">
        <f aca="false">IF((E178="d"),G178," ")</f>
        <v> </v>
      </c>
      <c r="L178" s="334" t="str">
        <f aca="false">IF((E178="e"),G178," ")</f>
        <v> </v>
      </c>
      <c r="M178" s="334" t="str">
        <f aca="false">IF((E178="p"),G178," ")</f>
        <v> </v>
      </c>
      <c r="N178" s="334" t="str">
        <f aca="false">IF((E178="r"),G178," ")</f>
        <v> </v>
      </c>
      <c r="O178" s="334" t="str">
        <f aca="false">IF((E178="g"),G178," ")</f>
        <v> </v>
      </c>
      <c r="P178" s="334" t="str">
        <f aca="false">IF((E178="m"),G178," ")</f>
        <v> </v>
      </c>
      <c r="Q178" s="334" t="str">
        <f aca="false">IF((E178="t"),G178," ")</f>
        <v> </v>
      </c>
      <c r="R178" s="334" t="str">
        <f aca="false">IF((E178="a"),G178," ")</f>
        <v> </v>
      </c>
      <c r="S178" s="334" t="str">
        <f aca="false">IF((E178="l"),G178," ")</f>
        <v> </v>
      </c>
      <c r="T178" s="334" t="str">
        <f aca="false">IF((E178="b"),G178," ")</f>
        <v> </v>
      </c>
      <c r="U178" s="334" t="str">
        <f aca="false">IF((E178="i"),G178," ")</f>
        <v> </v>
      </c>
      <c r="V178" s="334" t="str">
        <f aca="false">IF((E178="o"),G178," ")</f>
        <v> </v>
      </c>
      <c r="W178" s="334" t="str">
        <f aca="false">IF((E178="f"),G178," ")</f>
        <v> </v>
      </c>
    </row>
    <row r="179" customFormat="false" ht="12.75" hidden="false" customHeight="false" outlineLevel="0" collapsed="false">
      <c r="A179" s="355"/>
      <c r="E179" s="365" t="str">
        <f aca="false">IF((G179&lt;&gt;0),"Enter Letter"," ")</f>
        <v> </v>
      </c>
      <c r="H179" s="338" t="str">
        <f aca="false">IF((G179&lt;&gt;0),IF((D179&gt;0)," ",G179)," ")</f>
        <v> </v>
      </c>
      <c r="I179" s="367" t="str">
        <f aca="false">IF((G179&lt;&gt;0),IF((D179&gt;0)," ",(I$1-A179))," ")</f>
        <v> </v>
      </c>
      <c r="J179" s="334" t="str">
        <f aca="false">IF((E179="s"),G179," ")</f>
        <v> </v>
      </c>
      <c r="K179" s="334" t="str">
        <f aca="false">IF((E179="d"),G179," ")</f>
        <v> </v>
      </c>
      <c r="L179" s="334" t="str">
        <f aca="false">IF((E179="e"),G179," ")</f>
        <v> </v>
      </c>
      <c r="M179" s="334" t="str">
        <f aca="false">IF((E179="p"),G179," ")</f>
        <v> </v>
      </c>
      <c r="N179" s="334" t="str">
        <f aca="false">IF((E179="r"),G179," ")</f>
        <v> </v>
      </c>
      <c r="O179" s="334" t="str">
        <f aca="false">IF((E179="g"),G179," ")</f>
        <v> </v>
      </c>
      <c r="P179" s="334" t="str">
        <f aca="false">IF((E179="m"),G179," ")</f>
        <v> </v>
      </c>
      <c r="Q179" s="334" t="str">
        <f aca="false">IF((E179="t"),G179," ")</f>
        <v> </v>
      </c>
      <c r="R179" s="334" t="str">
        <f aca="false">IF((E179="a"),G179," ")</f>
        <v> </v>
      </c>
      <c r="S179" s="334" t="str">
        <f aca="false">IF((E179="l"),G179," ")</f>
        <v> </v>
      </c>
      <c r="T179" s="334" t="str">
        <f aca="false">IF((E179="b"),G179," ")</f>
        <v> </v>
      </c>
      <c r="U179" s="334" t="str">
        <f aca="false">IF((E179="i"),G179," ")</f>
        <v> </v>
      </c>
      <c r="V179" s="334" t="str">
        <f aca="false">IF((E179="o"),G179," ")</f>
        <v> </v>
      </c>
      <c r="W179" s="334" t="str">
        <f aca="false">IF((E179="f"),G179," ")</f>
        <v> </v>
      </c>
    </row>
    <row r="180" customFormat="false" ht="12.75" hidden="false" customHeight="false" outlineLevel="0" collapsed="false">
      <c r="A180" s="355"/>
      <c r="E180" s="365" t="str">
        <f aca="false">IF((G180&lt;&gt;0),"Enter Letter"," ")</f>
        <v> </v>
      </c>
      <c r="H180" s="338" t="str">
        <f aca="false">IF((G180&lt;&gt;0),IF((D180&gt;0)," ",G180)," ")</f>
        <v> </v>
      </c>
      <c r="I180" s="367" t="str">
        <f aca="false">IF((G180&lt;&gt;0),IF((D180&gt;0)," ",(I$1-A180))," ")</f>
        <v> </v>
      </c>
      <c r="J180" s="334" t="str">
        <f aca="false">IF((E180="s"),G180," ")</f>
        <v> </v>
      </c>
      <c r="K180" s="334" t="str">
        <f aca="false">IF((E180="d"),G180," ")</f>
        <v> </v>
      </c>
      <c r="L180" s="334" t="str">
        <f aca="false">IF((E180="e"),G180," ")</f>
        <v> </v>
      </c>
      <c r="M180" s="334" t="str">
        <f aca="false">IF((E180="p"),G180," ")</f>
        <v> </v>
      </c>
      <c r="N180" s="334" t="str">
        <f aca="false">IF((E180="r"),G180," ")</f>
        <v> </v>
      </c>
      <c r="O180" s="334" t="str">
        <f aca="false">IF((E180="g"),G180," ")</f>
        <v> </v>
      </c>
      <c r="P180" s="334" t="str">
        <f aca="false">IF((E180="m"),G180," ")</f>
        <v> </v>
      </c>
      <c r="Q180" s="334" t="str">
        <f aca="false">IF((E180="t"),G180," ")</f>
        <v> </v>
      </c>
      <c r="R180" s="334" t="str">
        <f aca="false">IF((E180="a"),G180," ")</f>
        <v> </v>
      </c>
      <c r="S180" s="334" t="str">
        <f aca="false">IF((E180="l"),G180," ")</f>
        <v> </v>
      </c>
      <c r="T180" s="334" t="str">
        <f aca="false">IF((E180="b"),G180," ")</f>
        <v> </v>
      </c>
      <c r="U180" s="334" t="str">
        <f aca="false">IF((E180="i"),G180," ")</f>
        <v> </v>
      </c>
      <c r="V180" s="334" t="str">
        <f aca="false">IF((E180="o"),G180," ")</f>
        <v> </v>
      </c>
      <c r="W180" s="334" t="str">
        <f aca="false">IF((E180="f"),G180," ")</f>
        <v> </v>
      </c>
    </row>
    <row r="181" customFormat="false" ht="12.75" hidden="false" customHeight="false" outlineLevel="0" collapsed="false">
      <c r="A181" s="355"/>
      <c r="E181" s="365" t="str">
        <f aca="false">IF((G181&lt;&gt;0),"Enter Letter"," ")</f>
        <v> </v>
      </c>
      <c r="H181" s="338" t="str">
        <f aca="false">IF((G181&lt;&gt;0),IF((D181&gt;0)," ",G181)," ")</f>
        <v> </v>
      </c>
      <c r="I181" s="367" t="str">
        <f aca="false">IF((G181&lt;&gt;0),IF((D181&gt;0)," ",(I$1-A181))," ")</f>
        <v> </v>
      </c>
      <c r="J181" s="334" t="str">
        <f aca="false">IF((E181="s"),G181," ")</f>
        <v> </v>
      </c>
      <c r="K181" s="334" t="str">
        <f aca="false">IF((E181="d"),G181," ")</f>
        <v> </v>
      </c>
      <c r="L181" s="334" t="str">
        <f aca="false">IF((E181="e"),G181," ")</f>
        <v> </v>
      </c>
      <c r="M181" s="334" t="str">
        <f aca="false">IF((E181="p"),G181," ")</f>
        <v> </v>
      </c>
      <c r="N181" s="334" t="str">
        <f aca="false">IF((E181="r"),G181," ")</f>
        <v> </v>
      </c>
      <c r="O181" s="334" t="str">
        <f aca="false">IF((E181="g"),G181," ")</f>
        <v> </v>
      </c>
      <c r="P181" s="334" t="str">
        <f aca="false">IF((E181="m"),G181," ")</f>
        <v> </v>
      </c>
      <c r="Q181" s="334" t="str">
        <f aca="false">IF((E181="t"),G181," ")</f>
        <v> </v>
      </c>
      <c r="R181" s="334" t="str">
        <f aca="false">IF((E181="a"),G181," ")</f>
        <v> </v>
      </c>
      <c r="S181" s="334" t="str">
        <f aca="false">IF((E181="l"),G181," ")</f>
        <v> </v>
      </c>
      <c r="T181" s="334" t="str">
        <f aca="false">IF((E181="b"),G181," ")</f>
        <v> </v>
      </c>
      <c r="U181" s="334" t="str">
        <f aca="false">IF((E181="i"),G181," ")</f>
        <v> </v>
      </c>
      <c r="V181" s="334" t="str">
        <f aca="false">IF((E181="o"),G181," ")</f>
        <v> </v>
      </c>
      <c r="W181" s="334" t="str">
        <f aca="false">IF((E181="f"),G181," ")</f>
        <v> </v>
      </c>
    </row>
    <row r="182" customFormat="false" ht="12.75" hidden="false" customHeight="false" outlineLevel="0" collapsed="false">
      <c r="A182" s="355"/>
      <c r="E182" s="365" t="str">
        <f aca="false">IF((G182&lt;&gt;0),"Enter Letter"," ")</f>
        <v> </v>
      </c>
      <c r="H182" s="338" t="str">
        <f aca="false">IF((G182&lt;&gt;0),IF((D182&gt;0)," ",G182)," ")</f>
        <v> </v>
      </c>
      <c r="I182" s="367" t="str">
        <f aca="false">IF((G182&lt;&gt;0),IF((D182&gt;0)," ",(I$1-A182))," ")</f>
        <v> </v>
      </c>
      <c r="J182" s="334" t="str">
        <f aca="false">IF((E182="s"),G182," ")</f>
        <v> </v>
      </c>
      <c r="K182" s="334" t="str">
        <f aca="false">IF((E182="d"),G182," ")</f>
        <v> </v>
      </c>
      <c r="L182" s="334" t="str">
        <f aca="false">IF((E182="e"),G182," ")</f>
        <v> </v>
      </c>
      <c r="M182" s="334" t="str">
        <f aca="false">IF((E182="p"),G182," ")</f>
        <v> </v>
      </c>
      <c r="N182" s="334" t="str">
        <f aca="false">IF((E182="r"),G182," ")</f>
        <v> </v>
      </c>
      <c r="O182" s="334" t="str">
        <f aca="false">IF((E182="g"),G182," ")</f>
        <v> </v>
      </c>
      <c r="P182" s="334" t="str">
        <f aca="false">IF((E182="m"),G182," ")</f>
        <v> </v>
      </c>
      <c r="Q182" s="334" t="str">
        <f aca="false">IF((E182="t"),G182," ")</f>
        <v> </v>
      </c>
      <c r="R182" s="334" t="str">
        <f aca="false">IF((E182="a"),G182," ")</f>
        <v> </v>
      </c>
      <c r="S182" s="334" t="str">
        <f aca="false">IF((E182="l"),G182," ")</f>
        <v> </v>
      </c>
      <c r="T182" s="334" t="str">
        <f aca="false">IF((E182="b"),G182," ")</f>
        <v> </v>
      </c>
      <c r="U182" s="334" t="str">
        <f aca="false">IF((E182="i"),G182," ")</f>
        <v> </v>
      </c>
      <c r="V182" s="334" t="str">
        <f aca="false">IF((E182="o"),G182," ")</f>
        <v> </v>
      </c>
      <c r="W182" s="334" t="str">
        <f aca="false">IF((E182="f"),G182," ")</f>
        <v> </v>
      </c>
    </row>
    <row r="183" customFormat="false" ht="12.75" hidden="false" customHeight="false" outlineLevel="0" collapsed="false">
      <c r="A183" s="355"/>
      <c r="E183" s="365" t="str">
        <f aca="false">IF((G183&lt;&gt;0),"Enter Letter"," ")</f>
        <v> </v>
      </c>
      <c r="H183" s="338" t="str">
        <f aca="false">IF((G183&lt;&gt;0),IF((D183&gt;0)," ",G183)," ")</f>
        <v> </v>
      </c>
      <c r="I183" s="367" t="str">
        <f aca="false">IF((G183&lt;&gt;0),IF((D183&gt;0)," ",(I$1-A183))," ")</f>
        <v> </v>
      </c>
      <c r="J183" s="334" t="str">
        <f aca="false">IF((E183="s"),G183," ")</f>
        <v> </v>
      </c>
      <c r="K183" s="334" t="str">
        <f aca="false">IF((E183="d"),G183," ")</f>
        <v> </v>
      </c>
      <c r="L183" s="334" t="str">
        <f aca="false">IF((E183="e"),G183," ")</f>
        <v> </v>
      </c>
      <c r="M183" s="334" t="str">
        <f aca="false">IF((E183="p"),G183," ")</f>
        <v> </v>
      </c>
      <c r="N183" s="334" t="str">
        <f aca="false">IF((E183="r"),G183," ")</f>
        <v> </v>
      </c>
      <c r="O183" s="334" t="str">
        <f aca="false">IF((E183="g"),G183," ")</f>
        <v> </v>
      </c>
      <c r="P183" s="334" t="str">
        <f aca="false">IF((E183="m"),G183," ")</f>
        <v> </v>
      </c>
      <c r="Q183" s="334" t="str">
        <f aca="false">IF((E183="t"),G183," ")</f>
        <v> </v>
      </c>
      <c r="R183" s="334" t="str">
        <f aca="false">IF((E183="a"),G183," ")</f>
        <v> </v>
      </c>
      <c r="S183" s="334" t="str">
        <f aca="false">IF((E183="l"),G183," ")</f>
        <v> </v>
      </c>
      <c r="T183" s="334" t="str">
        <f aca="false">IF((E183="b"),G183," ")</f>
        <v> </v>
      </c>
      <c r="U183" s="334" t="str">
        <f aca="false">IF((E183="i"),G183," ")</f>
        <v> </v>
      </c>
      <c r="V183" s="334" t="str">
        <f aca="false">IF((E183="o"),G183," ")</f>
        <v> </v>
      </c>
      <c r="W183" s="334" t="str">
        <f aca="false">IF((E183="f"),G183," ")</f>
        <v> </v>
      </c>
    </row>
    <row r="184" customFormat="false" ht="12.75" hidden="false" customHeight="false" outlineLevel="0" collapsed="false">
      <c r="A184" s="355"/>
      <c r="E184" s="365" t="str">
        <f aca="false">IF((G184&lt;&gt;0),"Enter Letter"," ")</f>
        <v> </v>
      </c>
      <c r="H184" s="338" t="str">
        <f aca="false">IF((G184&lt;&gt;0),IF((D184&gt;0)," ",G184)," ")</f>
        <v> </v>
      </c>
      <c r="I184" s="367" t="str">
        <f aca="false">IF((G184&lt;&gt;0),IF((D184&gt;0)," ",(I$1-A184))," ")</f>
        <v> </v>
      </c>
      <c r="J184" s="334" t="str">
        <f aca="false">IF((E184="s"),G184," ")</f>
        <v> </v>
      </c>
      <c r="K184" s="334" t="str">
        <f aca="false">IF((E184="d"),G184," ")</f>
        <v> </v>
      </c>
      <c r="L184" s="334" t="str">
        <f aca="false">IF((E184="e"),G184," ")</f>
        <v> </v>
      </c>
      <c r="M184" s="334" t="str">
        <f aca="false">IF((E184="p"),G184," ")</f>
        <v> </v>
      </c>
      <c r="N184" s="334" t="str">
        <f aca="false">IF((E184="r"),G184," ")</f>
        <v> </v>
      </c>
      <c r="O184" s="334" t="str">
        <f aca="false">IF((E184="g"),G184," ")</f>
        <v> </v>
      </c>
      <c r="P184" s="334" t="str">
        <f aca="false">IF((E184="m"),G184," ")</f>
        <v> </v>
      </c>
      <c r="Q184" s="334" t="str">
        <f aca="false">IF((E184="t"),G184," ")</f>
        <v> </v>
      </c>
      <c r="R184" s="334" t="str">
        <f aca="false">IF((E184="a"),G184," ")</f>
        <v> </v>
      </c>
      <c r="S184" s="334" t="str">
        <f aca="false">IF((E184="l"),G184," ")</f>
        <v> </v>
      </c>
      <c r="T184" s="334" t="str">
        <f aca="false">IF((E184="b"),G184," ")</f>
        <v> </v>
      </c>
      <c r="U184" s="334" t="str">
        <f aca="false">IF((E184="i"),G184," ")</f>
        <v> </v>
      </c>
      <c r="V184" s="334" t="str">
        <f aca="false">IF((E184="o"),G184," ")</f>
        <v> </v>
      </c>
      <c r="W184" s="334" t="str">
        <f aca="false">IF((E184="f"),G184," ")</f>
        <v> </v>
      </c>
    </row>
    <row r="185" customFormat="false" ht="12.75" hidden="false" customHeight="false" outlineLevel="0" collapsed="false">
      <c r="A185" s="355"/>
      <c r="E185" s="365" t="str">
        <f aca="false">IF((G185&lt;&gt;0),"Enter Letter"," ")</f>
        <v> </v>
      </c>
      <c r="H185" s="338" t="str">
        <f aca="false">IF((G185&lt;&gt;0),IF((D185&gt;0)," ",G185)," ")</f>
        <v> </v>
      </c>
      <c r="I185" s="367" t="str">
        <f aca="false">IF((G185&lt;&gt;0),IF((D185&gt;0)," ",(I$1-A185))," ")</f>
        <v> </v>
      </c>
      <c r="J185" s="334" t="str">
        <f aca="false">IF((E185="s"),G185," ")</f>
        <v> </v>
      </c>
      <c r="K185" s="334" t="str">
        <f aca="false">IF((E185="d"),G185," ")</f>
        <v> </v>
      </c>
      <c r="L185" s="334" t="str">
        <f aca="false">IF((E185="e"),G185," ")</f>
        <v> </v>
      </c>
      <c r="M185" s="334" t="str">
        <f aca="false">IF((E185="p"),G185," ")</f>
        <v> </v>
      </c>
      <c r="N185" s="334" t="str">
        <f aca="false">IF((E185="r"),G185," ")</f>
        <v> </v>
      </c>
      <c r="O185" s="334" t="str">
        <f aca="false">IF((E185="g"),G185," ")</f>
        <v> </v>
      </c>
      <c r="P185" s="334" t="str">
        <f aca="false">IF((E185="m"),G185," ")</f>
        <v> </v>
      </c>
      <c r="Q185" s="334" t="str">
        <f aca="false">IF((E185="t"),G185," ")</f>
        <v> </v>
      </c>
      <c r="R185" s="334" t="str">
        <f aca="false">IF((E185="a"),G185," ")</f>
        <v> </v>
      </c>
      <c r="S185" s="334" t="str">
        <f aca="false">IF((E185="l"),G185," ")</f>
        <v> </v>
      </c>
      <c r="T185" s="334" t="str">
        <f aca="false">IF((E185="b"),G185," ")</f>
        <v> </v>
      </c>
      <c r="U185" s="334" t="str">
        <f aca="false">IF((E185="i"),G185," ")</f>
        <v> </v>
      </c>
      <c r="V185" s="334" t="str">
        <f aca="false">IF((E185="o"),G185," ")</f>
        <v> </v>
      </c>
      <c r="W185" s="334" t="str">
        <f aca="false">IF((E185="f"),G185," ")</f>
        <v> </v>
      </c>
    </row>
    <row r="186" customFormat="false" ht="12.75" hidden="false" customHeight="false" outlineLevel="0" collapsed="false">
      <c r="A186" s="355"/>
      <c r="E186" s="365" t="str">
        <f aca="false">IF((G186&lt;&gt;0),"Enter Letter"," ")</f>
        <v> </v>
      </c>
      <c r="H186" s="338" t="str">
        <f aca="false">IF((G186&lt;&gt;0),IF((D186&gt;0)," ",G186)," ")</f>
        <v> </v>
      </c>
      <c r="I186" s="367" t="str">
        <f aca="false">IF((G186&lt;&gt;0),IF((D186&gt;0)," ",(I$1-A186))," ")</f>
        <v> </v>
      </c>
      <c r="J186" s="334" t="str">
        <f aca="false">IF((E186="s"),G186," ")</f>
        <v> </v>
      </c>
      <c r="K186" s="334" t="str">
        <f aca="false">IF((E186="d"),G186," ")</f>
        <v> </v>
      </c>
      <c r="L186" s="334" t="str">
        <f aca="false">IF((E186="e"),G186," ")</f>
        <v> </v>
      </c>
      <c r="M186" s="334" t="str">
        <f aca="false">IF((E186="p"),G186," ")</f>
        <v> </v>
      </c>
      <c r="N186" s="334" t="str">
        <f aca="false">IF((E186="r"),G186," ")</f>
        <v> </v>
      </c>
      <c r="O186" s="334" t="str">
        <f aca="false">IF((E186="g"),G186," ")</f>
        <v> </v>
      </c>
      <c r="P186" s="334" t="str">
        <f aca="false">IF((E186="m"),G186," ")</f>
        <v> </v>
      </c>
      <c r="Q186" s="334" t="str">
        <f aca="false">IF((E186="t"),G186," ")</f>
        <v> </v>
      </c>
      <c r="R186" s="334" t="str">
        <f aca="false">IF((E186="a"),G186," ")</f>
        <v> </v>
      </c>
      <c r="S186" s="334" t="str">
        <f aca="false">IF((E186="l"),G186," ")</f>
        <v> </v>
      </c>
      <c r="T186" s="334" t="str">
        <f aca="false">IF((E186="b"),G186," ")</f>
        <v> </v>
      </c>
      <c r="U186" s="334" t="str">
        <f aca="false">IF((E186="i"),G186," ")</f>
        <v> </v>
      </c>
      <c r="V186" s="334" t="str">
        <f aca="false">IF((E186="o"),G186," ")</f>
        <v> </v>
      </c>
      <c r="W186" s="334" t="str">
        <f aca="false">IF((E186="f"),G186," ")</f>
        <v> </v>
      </c>
    </row>
    <row r="187" customFormat="false" ht="12.75" hidden="false" customHeight="false" outlineLevel="0" collapsed="false">
      <c r="A187" s="355"/>
      <c r="E187" s="365" t="str">
        <f aca="false">IF((G187&lt;&gt;0),"Enter Letter"," ")</f>
        <v> </v>
      </c>
      <c r="H187" s="338" t="str">
        <f aca="false">IF((G187&lt;&gt;0),IF((D187&gt;0)," ",G187)," ")</f>
        <v> </v>
      </c>
      <c r="I187" s="367" t="str">
        <f aca="false">IF((G187&lt;&gt;0),IF((D187&gt;0)," ",(I$1-A187))," ")</f>
        <v> </v>
      </c>
      <c r="J187" s="334" t="str">
        <f aca="false">IF((E187="s"),G187," ")</f>
        <v> </v>
      </c>
      <c r="K187" s="334" t="str">
        <f aca="false">IF((E187="d"),G187," ")</f>
        <v> </v>
      </c>
      <c r="L187" s="334" t="str">
        <f aca="false">IF((E187="e"),G187," ")</f>
        <v> </v>
      </c>
      <c r="M187" s="334" t="str">
        <f aca="false">IF((E187="p"),G187," ")</f>
        <v> </v>
      </c>
      <c r="N187" s="334" t="str">
        <f aca="false">IF((E187="r"),G187," ")</f>
        <v> </v>
      </c>
      <c r="O187" s="334" t="str">
        <f aca="false">IF((E187="g"),G187," ")</f>
        <v> </v>
      </c>
      <c r="P187" s="334" t="str">
        <f aca="false">IF((E187="m"),G187," ")</f>
        <v> </v>
      </c>
      <c r="Q187" s="334" t="str">
        <f aca="false">IF((E187="t"),G187," ")</f>
        <v> </v>
      </c>
      <c r="R187" s="334" t="str">
        <f aca="false">IF((E187="a"),G187," ")</f>
        <v> </v>
      </c>
      <c r="S187" s="334" t="str">
        <f aca="false">IF((E187="l"),G187," ")</f>
        <v> </v>
      </c>
      <c r="T187" s="334" t="str">
        <f aca="false">IF((E187="b"),G187," ")</f>
        <v> </v>
      </c>
      <c r="U187" s="334" t="str">
        <f aca="false">IF((E187="i"),G187," ")</f>
        <v> </v>
      </c>
      <c r="V187" s="334" t="str">
        <f aca="false">IF((E187="o"),G187," ")</f>
        <v> </v>
      </c>
      <c r="W187" s="334" t="str">
        <f aca="false">IF((E187="f"),G187," ")</f>
        <v> </v>
      </c>
    </row>
    <row r="188" customFormat="false" ht="12.75" hidden="false" customHeight="false" outlineLevel="0" collapsed="false">
      <c r="A188" s="355"/>
      <c r="E188" s="365" t="str">
        <f aca="false">IF((G188&lt;&gt;0),"Enter Letter"," ")</f>
        <v> </v>
      </c>
      <c r="H188" s="338" t="str">
        <f aca="false">IF((G188&lt;&gt;0),IF((D188&gt;0)," ",G188)," ")</f>
        <v> </v>
      </c>
      <c r="I188" s="367" t="str">
        <f aca="false">IF((G188&lt;&gt;0),IF((D188&gt;0)," ",(I$1-A188))," ")</f>
        <v> </v>
      </c>
      <c r="J188" s="334" t="str">
        <f aca="false">IF((E188="s"),G188," ")</f>
        <v> </v>
      </c>
      <c r="K188" s="334" t="str">
        <f aca="false">IF((E188="d"),G188," ")</f>
        <v> </v>
      </c>
      <c r="L188" s="334" t="str">
        <f aca="false">IF((E188="e"),G188," ")</f>
        <v> </v>
      </c>
      <c r="M188" s="334" t="str">
        <f aca="false">IF((E188="p"),G188," ")</f>
        <v> </v>
      </c>
      <c r="N188" s="334" t="str">
        <f aca="false">IF((E188="r"),G188," ")</f>
        <v> </v>
      </c>
      <c r="O188" s="334" t="str">
        <f aca="false">IF((E188="g"),G188," ")</f>
        <v> </v>
      </c>
      <c r="P188" s="334" t="str">
        <f aca="false">IF((E188="m"),G188," ")</f>
        <v> </v>
      </c>
      <c r="Q188" s="334" t="str">
        <f aca="false">IF((E188="t"),G188," ")</f>
        <v> </v>
      </c>
      <c r="R188" s="334" t="str">
        <f aca="false">IF((E188="a"),G188," ")</f>
        <v> </v>
      </c>
      <c r="S188" s="334" t="str">
        <f aca="false">IF((E188="l"),G188," ")</f>
        <v> </v>
      </c>
      <c r="T188" s="334" t="str">
        <f aca="false">IF((E188="b"),G188," ")</f>
        <v> </v>
      </c>
      <c r="U188" s="334" t="str">
        <f aca="false">IF((E188="i"),G188," ")</f>
        <v> </v>
      </c>
      <c r="V188" s="334" t="str">
        <f aca="false">IF((E188="o"),G188," ")</f>
        <v> </v>
      </c>
      <c r="W188" s="334" t="str">
        <f aca="false">IF((E188="f"),G188," ")</f>
        <v> </v>
      </c>
    </row>
    <row r="189" customFormat="false" ht="12.75" hidden="false" customHeight="false" outlineLevel="0" collapsed="false">
      <c r="A189" s="355"/>
      <c r="E189" s="365" t="str">
        <f aca="false">IF((G189&lt;&gt;0),"Enter Letter"," ")</f>
        <v> </v>
      </c>
      <c r="H189" s="338" t="str">
        <f aca="false">IF((G189&lt;&gt;0),IF((D189&gt;0)," ",G189)," ")</f>
        <v> </v>
      </c>
      <c r="I189" s="367" t="str">
        <f aca="false">IF((G189&lt;&gt;0),IF((D189&gt;0)," ",(I$1-A189))," ")</f>
        <v> </v>
      </c>
      <c r="J189" s="334" t="str">
        <f aca="false">IF((E189="s"),G189," ")</f>
        <v> </v>
      </c>
      <c r="K189" s="334" t="str">
        <f aca="false">IF((E189="d"),G189," ")</f>
        <v> </v>
      </c>
      <c r="L189" s="334" t="str">
        <f aca="false">IF((E189="e"),G189," ")</f>
        <v> </v>
      </c>
      <c r="M189" s="334" t="str">
        <f aca="false">IF((E189="p"),G189," ")</f>
        <v> </v>
      </c>
      <c r="N189" s="334" t="str">
        <f aca="false">IF((E189="r"),G189," ")</f>
        <v> </v>
      </c>
      <c r="O189" s="334" t="str">
        <f aca="false">IF((E189="g"),G189," ")</f>
        <v> </v>
      </c>
      <c r="P189" s="334" t="str">
        <f aca="false">IF((E189="m"),G189," ")</f>
        <v> </v>
      </c>
      <c r="Q189" s="334" t="str">
        <f aca="false">IF((E189="t"),G189," ")</f>
        <v> </v>
      </c>
      <c r="R189" s="334" t="str">
        <f aca="false">IF((E189="a"),G189," ")</f>
        <v> </v>
      </c>
      <c r="S189" s="334" t="str">
        <f aca="false">IF((E189="l"),G189," ")</f>
        <v> </v>
      </c>
      <c r="T189" s="334" t="str">
        <f aca="false">IF((E189="b"),G189," ")</f>
        <v> </v>
      </c>
      <c r="U189" s="334" t="str">
        <f aca="false">IF((E189="i"),G189," ")</f>
        <v> </v>
      </c>
      <c r="V189" s="334" t="str">
        <f aca="false">IF((E189="o"),G189," ")</f>
        <v> </v>
      </c>
      <c r="W189" s="334" t="str">
        <f aca="false">IF((E189="f"),G189," ")</f>
        <v> </v>
      </c>
    </row>
    <row r="190" customFormat="false" ht="12.75" hidden="false" customHeight="false" outlineLevel="0" collapsed="false">
      <c r="A190" s="355"/>
      <c r="E190" s="365" t="str">
        <f aca="false">IF((G190&lt;&gt;0),"Enter Letter"," ")</f>
        <v> </v>
      </c>
      <c r="H190" s="338" t="str">
        <f aca="false">IF((G190&lt;&gt;0),IF((D190&gt;0)," ",G190)," ")</f>
        <v> </v>
      </c>
      <c r="I190" s="367" t="str">
        <f aca="false">IF((G190&lt;&gt;0),IF((D190&gt;0)," ",(I$1-A190))," ")</f>
        <v> </v>
      </c>
      <c r="J190" s="334" t="str">
        <f aca="false">IF((E190="s"),G190," ")</f>
        <v> </v>
      </c>
      <c r="K190" s="334" t="str">
        <f aca="false">IF((E190="d"),G190," ")</f>
        <v> </v>
      </c>
      <c r="L190" s="334" t="str">
        <f aca="false">IF((E190="e"),G190," ")</f>
        <v> </v>
      </c>
      <c r="M190" s="334" t="str">
        <f aca="false">IF((E190="p"),G190," ")</f>
        <v> </v>
      </c>
      <c r="N190" s="334" t="str">
        <f aca="false">IF((E190="r"),G190," ")</f>
        <v> </v>
      </c>
      <c r="O190" s="334" t="str">
        <f aca="false">IF((E190="g"),G190," ")</f>
        <v> </v>
      </c>
      <c r="P190" s="334" t="str">
        <f aca="false">IF((E190="m"),G190," ")</f>
        <v> </v>
      </c>
      <c r="Q190" s="334" t="str">
        <f aca="false">IF((E190="t"),G190," ")</f>
        <v> </v>
      </c>
      <c r="R190" s="334" t="str">
        <f aca="false">IF((E190="a"),G190," ")</f>
        <v> </v>
      </c>
      <c r="S190" s="334" t="str">
        <f aca="false">IF((E190="l"),G190," ")</f>
        <v> </v>
      </c>
      <c r="T190" s="334" t="str">
        <f aca="false">IF((E190="b"),G190," ")</f>
        <v> </v>
      </c>
      <c r="U190" s="334" t="str">
        <f aca="false">IF((E190="i"),G190," ")</f>
        <v> </v>
      </c>
      <c r="V190" s="334" t="str">
        <f aca="false">IF((E190="o"),G190," ")</f>
        <v> </v>
      </c>
      <c r="W190" s="334" t="str">
        <f aca="false">IF((E190="f"),G190," ")</f>
        <v> </v>
      </c>
    </row>
    <row r="191" customFormat="false" ht="12.75" hidden="false" customHeight="false" outlineLevel="0" collapsed="false">
      <c r="A191" s="355"/>
      <c r="E191" s="365" t="str">
        <f aca="false">IF((G191&lt;&gt;0),"Enter Letter"," ")</f>
        <v> </v>
      </c>
      <c r="H191" s="338" t="str">
        <f aca="false">IF((G191&lt;&gt;0),IF((D191&gt;0)," ",G191)," ")</f>
        <v> </v>
      </c>
      <c r="I191" s="367" t="str">
        <f aca="false">IF((G191&lt;&gt;0),IF((D191&gt;0)," ",(I$1-A191))," ")</f>
        <v> </v>
      </c>
      <c r="J191" s="334" t="str">
        <f aca="false">IF((E191="s"),G191," ")</f>
        <v> </v>
      </c>
      <c r="K191" s="334" t="str">
        <f aca="false">IF((E191="d"),G191," ")</f>
        <v> </v>
      </c>
      <c r="L191" s="334" t="str">
        <f aca="false">IF((E191="e"),G191," ")</f>
        <v> </v>
      </c>
      <c r="M191" s="334" t="str">
        <f aca="false">IF((E191="p"),G191," ")</f>
        <v> </v>
      </c>
      <c r="N191" s="334" t="str">
        <f aca="false">IF((E191="r"),G191," ")</f>
        <v> </v>
      </c>
      <c r="O191" s="334" t="str">
        <f aca="false">IF((E191="g"),G191," ")</f>
        <v> </v>
      </c>
      <c r="P191" s="334" t="str">
        <f aca="false">IF((E191="m"),G191," ")</f>
        <v> </v>
      </c>
      <c r="Q191" s="334" t="str">
        <f aca="false">IF((E191="t"),G191," ")</f>
        <v> </v>
      </c>
      <c r="R191" s="334" t="str">
        <f aca="false">IF((E191="a"),G191," ")</f>
        <v> </v>
      </c>
      <c r="S191" s="334" t="str">
        <f aca="false">IF((E191="l"),G191," ")</f>
        <v> </v>
      </c>
      <c r="T191" s="334" t="str">
        <f aca="false">IF((E191="b"),G191," ")</f>
        <v> </v>
      </c>
      <c r="U191" s="334" t="str">
        <f aca="false">IF((E191="i"),G191," ")</f>
        <v> </v>
      </c>
      <c r="V191" s="334" t="str">
        <f aca="false">IF((E191="o"),G191," ")</f>
        <v> </v>
      </c>
      <c r="W191" s="334" t="str">
        <f aca="false">IF((E191="f"),G191," ")</f>
        <v> </v>
      </c>
    </row>
    <row r="192" customFormat="false" ht="12.75" hidden="false" customHeight="false" outlineLevel="0" collapsed="false">
      <c r="A192" s="355"/>
      <c r="E192" s="365" t="str">
        <f aca="false">IF((G192&lt;&gt;0),"Enter Letter"," ")</f>
        <v> </v>
      </c>
      <c r="H192" s="338" t="str">
        <f aca="false">IF((G192&lt;&gt;0),IF((D192&gt;0)," ",G192)," ")</f>
        <v> </v>
      </c>
      <c r="I192" s="367" t="str">
        <f aca="false">IF((G192&lt;&gt;0),IF((D192&gt;0)," ",(I$1-A192))," ")</f>
        <v> </v>
      </c>
      <c r="J192" s="334" t="str">
        <f aca="false">IF((E192="s"),G192," ")</f>
        <v> </v>
      </c>
      <c r="K192" s="334" t="str">
        <f aca="false">IF((E192="d"),G192," ")</f>
        <v> </v>
      </c>
      <c r="L192" s="334" t="str">
        <f aca="false">IF((E192="e"),G192," ")</f>
        <v> </v>
      </c>
      <c r="M192" s="334" t="str">
        <f aca="false">IF((E192="p"),G192," ")</f>
        <v> </v>
      </c>
      <c r="N192" s="334" t="str">
        <f aca="false">IF((E192="r"),G192," ")</f>
        <v> </v>
      </c>
      <c r="O192" s="334" t="str">
        <f aca="false">IF((E192="g"),G192," ")</f>
        <v> </v>
      </c>
      <c r="P192" s="334" t="str">
        <f aca="false">IF((E192="m"),G192," ")</f>
        <v> </v>
      </c>
      <c r="Q192" s="334" t="str">
        <f aca="false">IF((E192="t"),G192," ")</f>
        <v> </v>
      </c>
      <c r="R192" s="334" t="str">
        <f aca="false">IF((E192="a"),G192," ")</f>
        <v> </v>
      </c>
      <c r="S192" s="334" t="str">
        <f aca="false">IF((E192="l"),G192," ")</f>
        <v> </v>
      </c>
      <c r="T192" s="334" t="str">
        <f aca="false">IF((E192="b"),G192," ")</f>
        <v> </v>
      </c>
      <c r="U192" s="334" t="str">
        <f aca="false">IF((E192="i"),G192," ")</f>
        <v> </v>
      </c>
      <c r="V192" s="334" t="str">
        <f aca="false">IF((E192="o"),G192," ")</f>
        <v> </v>
      </c>
      <c r="W192" s="334" t="str">
        <f aca="false">IF((E192="f"),G192," ")</f>
        <v> </v>
      </c>
    </row>
    <row r="193" customFormat="false" ht="12.75" hidden="false" customHeight="false" outlineLevel="0" collapsed="false">
      <c r="A193" s="355"/>
      <c r="E193" s="365" t="str">
        <f aca="false">IF((G193&lt;&gt;0),"Enter Letter"," ")</f>
        <v> </v>
      </c>
      <c r="H193" s="338" t="str">
        <f aca="false">IF((G193&lt;&gt;0),IF((D193&gt;0)," ",G193)," ")</f>
        <v> </v>
      </c>
      <c r="I193" s="367" t="str">
        <f aca="false">IF((G193&lt;&gt;0),IF((D193&gt;0)," ",(I$1-A193))," ")</f>
        <v> </v>
      </c>
      <c r="J193" s="334" t="str">
        <f aca="false">IF((E193="s"),G193," ")</f>
        <v> </v>
      </c>
      <c r="K193" s="334" t="str">
        <f aca="false">IF((E193="d"),G193," ")</f>
        <v> </v>
      </c>
      <c r="L193" s="334" t="str">
        <f aca="false">IF((E193="e"),G193," ")</f>
        <v> </v>
      </c>
      <c r="M193" s="334" t="str">
        <f aca="false">IF((E193="p"),G193," ")</f>
        <v> </v>
      </c>
      <c r="N193" s="334" t="str">
        <f aca="false">IF((E193="r"),G193," ")</f>
        <v> </v>
      </c>
      <c r="O193" s="334" t="str">
        <f aca="false">IF((E193="g"),G193," ")</f>
        <v> </v>
      </c>
      <c r="P193" s="334" t="str">
        <f aca="false">IF((E193="m"),G193," ")</f>
        <v> </v>
      </c>
      <c r="Q193" s="334" t="str">
        <f aca="false">IF((E193="t"),G193," ")</f>
        <v> </v>
      </c>
      <c r="R193" s="334" t="str">
        <f aca="false">IF((E193="a"),G193," ")</f>
        <v> </v>
      </c>
      <c r="S193" s="334" t="str">
        <f aca="false">IF((E193="l"),G193," ")</f>
        <v> </v>
      </c>
      <c r="T193" s="334" t="str">
        <f aca="false">IF((E193="b"),G193," ")</f>
        <v> </v>
      </c>
      <c r="U193" s="334" t="str">
        <f aca="false">IF((E193="i"),G193," ")</f>
        <v> </v>
      </c>
      <c r="V193" s="334" t="str">
        <f aca="false">IF((E193="o"),G193," ")</f>
        <v> </v>
      </c>
      <c r="W193" s="334" t="str">
        <f aca="false">IF((E193="f"),G193," ")</f>
        <v> </v>
      </c>
    </row>
    <row r="194" customFormat="false" ht="12.75" hidden="false" customHeight="false" outlineLevel="0" collapsed="false">
      <c r="A194" s="355"/>
      <c r="E194" s="365" t="str">
        <f aca="false">IF((G194&lt;&gt;0),"Enter Letter"," ")</f>
        <v> </v>
      </c>
      <c r="H194" s="338" t="str">
        <f aca="false">IF((G194&lt;&gt;0),IF((D194&gt;0)," ",G194)," ")</f>
        <v> </v>
      </c>
      <c r="I194" s="367" t="str">
        <f aca="false">IF((G194&lt;&gt;0),IF((D194&gt;0)," ",(I$1-A194))," ")</f>
        <v> </v>
      </c>
      <c r="J194" s="334" t="str">
        <f aca="false">IF((E194="s"),G194," ")</f>
        <v> </v>
      </c>
      <c r="K194" s="334" t="str">
        <f aca="false">IF((E194="d"),G194," ")</f>
        <v> </v>
      </c>
      <c r="L194" s="334" t="str">
        <f aca="false">IF((E194="e"),G194," ")</f>
        <v> </v>
      </c>
      <c r="M194" s="334" t="str">
        <f aca="false">IF((E194="p"),G194," ")</f>
        <v> </v>
      </c>
      <c r="N194" s="334" t="str">
        <f aca="false">IF((E194="r"),G194," ")</f>
        <v> </v>
      </c>
      <c r="O194" s="334" t="str">
        <f aca="false">IF((E194="g"),G194," ")</f>
        <v> </v>
      </c>
      <c r="P194" s="334" t="str">
        <f aca="false">IF((E194="m"),G194," ")</f>
        <v> </v>
      </c>
      <c r="Q194" s="334" t="str">
        <f aca="false">IF((E194="t"),G194," ")</f>
        <v> </v>
      </c>
      <c r="R194" s="334" t="str">
        <f aca="false">IF((E194="a"),G194," ")</f>
        <v> </v>
      </c>
      <c r="S194" s="334" t="str">
        <f aca="false">IF((E194="l"),G194," ")</f>
        <v> </v>
      </c>
      <c r="T194" s="334" t="str">
        <f aca="false">IF((E194="b"),G194," ")</f>
        <v> </v>
      </c>
      <c r="U194" s="334" t="str">
        <f aca="false">IF((E194="i"),G194," ")</f>
        <v> </v>
      </c>
      <c r="V194" s="334" t="str">
        <f aca="false">IF((E194="o"),G194," ")</f>
        <v> </v>
      </c>
      <c r="W194" s="334" t="str">
        <f aca="false">IF((E194="f"),G194," ")</f>
        <v> </v>
      </c>
    </row>
    <row r="195" customFormat="false" ht="12.75" hidden="false" customHeight="false" outlineLevel="0" collapsed="false">
      <c r="A195" s="355"/>
      <c r="E195" s="365" t="str">
        <f aca="false">IF((G195&lt;&gt;0),"Enter Letter"," ")</f>
        <v> </v>
      </c>
      <c r="H195" s="338" t="str">
        <f aca="false">IF((G195&lt;&gt;0),IF((D195&gt;0)," ",G195)," ")</f>
        <v> </v>
      </c>
      <c r="I195" s="367" t="str">
        <f aca="false">IF((G195&lt;&gt;0),IF((D195&gt;0)," ",(I$1-A195))," ")</f>
        <v> </v>
      </c>
      <c r="J195" s="334" t="str">
        <f aca="false">IF((E195="s"),G195," ")</f>
        <v> </v>
      </c>
      <c r="K195" s="334" t="str">
        <f aca="false">IF((E195="d"),G195," ")</f>
        <v> </v>
      </c>
      <c r="L195" s="334" t="str">
        <f aca="false">IF((E195="e"),G195," ")</f>
        <v> </v>
      </c>
      <c r="M195" s="334" t="str">
        <f aca="false">IF((E195="p"),G195," ")</f>
        <v> </v>
      </c>
      <c r="N195" s="334" t="str">
        <f aca="false">IF((E195="r"),G195," ")</f>
        <v> </v>
      </c>
      <c r="O195" s="334" t="str">
        <f aca="false">IF((E195="g"),G195," ")</f>
        <v> </v>
      </c>
      <c r="P195" s="334" t="str">
        <f aca="false">IF((E195="m"),G195," ")</f>
        <v> </v>
      </c>
      <c r="Q195" s="334" t="str">
        <f aca="false">IF((E195="t"),G195," ")</f>
        <v> </v>
      </c>
      <c r="R195" s="334" t="str">
        <f aca="false">IF((E195="a"),G195," ")</f>
        <v> </v>
      </c>
      <c r="S195" s="334" t="str">
        <f aca="false">IF((E195="l"),G195," ")</f>
        <v> </v>
      </c>
      <c r="T195" s="334" t="str">
        <f aca="false">IF((E195="b"),G195," ")</f>
        <v> </v>
      </c>
      <c r="U195" s="334" t="str">
        <f aca="false">IF((E195="i"),G195," ")</f>
        <v> </v>
      </c>
      <c r="V195" s="334" t="str">
        <f aca="false">IF((E195="o"),G195," ")</f>
        <v> </v>
      </c>
      <c r="W195" s="334" t="str">
        <f aca="false">IF((E195="f"),G195," ")</f>
        <v> </v>
      </c>
    </row>
    <row r="196" customFormat="false" ht="12.75" hidden="false" customHeight="false" outlineLevel="0" collapsed="false">
      <c r="A196" s="355"/>
      <c r="E196" s="365" t="str">
        <f aca="false">IF((G196&lt;&gt;0),"Enter Letter"," ")</f>
        <v> </v>
      </c>
      <c r="H196" s="338" t="str">
        <f aca="false">IF((G196&lt;&gt;0),IF((D196&gt;0)," ",G196)," ")</f>
        <v> </v>
      </c>
      <c r="I196" s="367" t="str">
        <f aca="false">IF((G196&lt;&gt;0),IF((D196&gt;0)," ",(I$1-A196))," ")</f>
        <v> </v>
      </c>
      <c r="J196" s="334" t="str">
        <f aca="false">IF((E196="s"),G196," ")</f>
        <v> </v>
      </c>
      <c r="K196" s="334" t="str">
        <f aca="false">IF((E196="d"),G196," ")</f>
        <v> </v>
      </c>
      <c r="L196" s="334" t="str">
        <f aca="false">IF((E196="e"),G196," ")</f>
        <v> </v>
      </c>
      <c r="M196" s="334" t="str">
        <f aca="false">IF((E196="p"),G196," ")</f>
        <v> </v>
      </c>
      <c r="N196" s="334" t="str">
        <f aca="false">IF((E196="r"),G196," ")</f>
        <v> </v>
      </c>
      <c r="O196" s="334" t="str">
        <f aca="false">IF((E196="g"),G196," ")</f>
        <v> </v>
      </c>
      <c r="P196" s="334" t="str">
        <f aca="false">IF((E196="m"),G196," ")</f>
        <v> </v>
      </c>
      <c r="Q196" s="334" t="str">
        <f aca="false">IF((E196="t"),G196," ")</f>
        <v> </v>
      </c>
      <c r="R196" s="334" t="str">
        <f aca="false">IF((E196="a"),G196," ")</f>
        <v> </v>
      </c>
      <c r="S196" s="334" t="str">
        <f aca="false">IF((E196="l"),G196," ")</f>
        <v> </v>
      </c>
      <c r="T196" s="334" t="str">
        <f aca="false">IF((E196="b"),G196," ")</f>
        <v> </v>
      </c>
      <c r="U196" s="334" t="str">
        <f aca="false">IF((E196="i"),G196," ")</f>
        <v> </v>
      </c>
      <c r="V196" s="334" t="str">
        <f aca="false">IF((E196="o"),G196," ")</f>
        <v> </v>
      </c>
      <c r="W196" s="334" t="str">
        <f aca="false">IF((E196="f"),G196," ")</f>
        <v> </v>
      </c>
    </row>
    <row r="197" customFormat="false" ht="12.75" hidden="false" customHeight="false" outlineLevel="0" collapsed="false">
      <c r="A197" s="355"/>
      <c r="E197" s="365" t="str">
        <f aca="false">IF((G197&lt;&gt;0),"Enter Letter"," ")</f>
        <v> </v>
      </c>
      <c r="H197" s="338" t="str">
        <f aca="false">IF((G197&lt;&gt;0),IF((D197&gt;0)," ",G197)," ")</f>
        <v> </v>
      </c>
      <c r="I197" s="367" t="str">
        <f aca="false">IF((G197&lt;&gt;0),IF((D197&gt;0)," ",(I$1-A197))," ")</f>
        <v> </v>
      </c>
      <c r="J197" s="334" t="str">
        <f aca="false">IF((E197="s"),G197," ")</f>
        <v> </v>
      </c>
      <c r="K197" s="334" t="str">
        <f aca="false">IF((E197="d"),G197," ")</f>
        <v> </v>
      </c>
      <c r="L197" s="334" t="str">
        <f aca="false">IF((E197="e"),G197," ")</f>
        <v> </v>
      </c>
      <c r="M197" s="334" t="str">
        <f aca="false">IF((E197="p"),G197," ")</f>
        <v> </v>
      </c>
      <c r="N197" s="334" t="str">
        <f aca="false">IF((E197="r"),G197," ")</f>
        <v> </v>
      </c>
      <c r="O197" s="334" t="str">
        <f aca="false">IF((E197="g"),G197," ")</f>
        <v> </v>
      </c>
      <c r="P197" s="334" t="str">
        <f aca="false">IF((E197="m"),G197," ")</f>
        <v> </v>
      </c>
      <c r="Q197" s="334" t="str">
        <f aca="false">IF((E197="t"),G197," ")</f>
        <v> </v>
      </c>
      <c r="R197" s="334" t="str">
        <f aca="false">IF((E197="a"),G197," ")</f>
        <v> </v>
      </c>
      <c r="S197" s="334" t="str">
        <f aca="false">IF((E197="l"),G197," ")</f>
        <v> </v>
      </c>
      <c r="T197" s="334" t="str">
        <f aca="false">IF((E197="b"),G197," ")</f>
        <v> </v>
      </c>
      <c r="U197" s="334" t="str">
        <f aca="false">IF((E197="i"),G197," ")</f>
        <v> </v>
      </c>
      <c r="V197" s="334" t="str">
        <f aca="false">IF((E197="o"),G197," ")</f>
        <v> </v>
      </c>
      <c r="W197" s="334" t="str">
        <f aca="false">IF((E197="f"),G197," ")</f>
        <v> </v>
      </c>
    </row>
    <row r="198" customFormat="false" ht="12.75" hidden="false" customHeight="false" outlineLevel="0" collapsed="false">
      <c r="A198" s="355"/>
      <c r="E198" s="365" t="str">
        <f aca="false">IF((G198&lt;&gt;0),"Enter Letter"," ")</f>
        <v> </v>
      </c>
      <c r="H198" s="338" t="str">
        <f aca="false">IF((G198&lt;&gt;0),IF((D198&gt;0)," ",G198)," ")</f>
        <v> </v>
      </c>
      <c r="I198" s="367" t="str">
        <f aca="false">IF((G198&lt;&gt;0),IF((D198&gt;0)," ",(I$1-A198))," ")</f>
        <v> </v>
      </c>
      <c r="J198" s="334" t="str">
        <f aca="false">IF((E198="s"),G198," ")</f>
        <v> </v>
      </c>
      <c r="K198" s="334" t="str">
        <f aca="false">IF((E198="d"),G198," ")</f>
        <v> </v>
      </c>
      <c r="L198" s="334" t="str">
        <f aca="false">IF((E198="e"),G198," ")</f>
        <v> </v>
      </c>
      <c r="M198" s="334" t="str">
        <f aca="false">IF((E198="p"),G198," ")</f>
        <v> </v>
      </c>
      <c r="N198" s="334" t="str">
        <f aca="false">IF((E198="r"),G198," ")</f>
        <v> </v>
      </c>
      <c r="O198" s="334" t="str">
        <f aca="false">IF((E198="g"),G198," ")</f>
        <v> </v>
      </c>
      <c r="P198" s="334" t="str">
        <f aca="false">IF((E198="m"),G198," ")</f>
        <v> </v>
      </c>
      <c r="Q198" s="334" t="str">
        <f aca="false">IF((E198="t"),G198," ")</f>
        <v> </v>
      </c>
      <c r="R198" s="334" t="str">
        <f aca="false">IF((E198="a"),G198," ")</f>
        <v> </v>
      </c>
      <c r="S198" s="334" t="str">
        <f aca="false">IF((E198="l"),G198," ")</f>
        <v> </v>
      </c>
      <c r="T198" s="334" t="str">
        <f aca="false">IF((E198="b"),G198," ")</f>
        <v> </v>
      </c>
      <c r="U198" s="334" t="str">
        <f aca="false">IF((E198="i"),G198," ")</f>
        <v> </v>
      </c>
      <c r="V198" s="334" t="str">
        <f aca="false">IF((E198="o"),G198," ")</f>
        <v> </v>
      </c>
      <c r="W198" s="334" t="str">
        <f aca="false">IF((E198="f"),G198," ")</f>
        <v> </v>
      </c>
    </row>
    <row r="199" customFormat="false" ht="12.75" hidden="false" customHeight="false" outlineLevel="0" collapsed="false">
      <c r="A199" s="355"/>
      <c r="E199" s="365" t="str">
        <f aca="false">IF((G199&lt;&gt;0),"Enter Letter"," ")</f>
        <v> </v>
      </c>
      <c r="H199" s="338" t="str">
        <f aca="false">IF((G199&lt;&gt;0),IF((D199&gt;0)," ",G199)," ")</f>
        <v> </v>
      </c>
      <c r="I199" s="367" t="str">
        <f aca="false">IF((G199&lt;&gt;0),IF((D199&gt;0)," ",(I$1-A199))," ")</f>
        <v> </v>
      </c>
      <c r="J199" s="334" t="str">
        <f aca="false">IF((E199="s"),G199," ")</f>
        <v> </v>
      </c>
      <c r="K199" s="334" t="str">
        <f aca="false">IF((E199="d"),G199," ")</f>
        <v> </v>
      </c>
      <c r="L199" s="334" t="str">
        <f aca="false">IF((E199="e"),G199," ")</f>
        <v> </v>
      </c>
      <c r="M199" s="334" t="str">
        <f aca="false">IF((E199="p"),G199," ")</f>
        <v> </v>
      </c>
      <c r="N199" s="334" t="str">
        <f aca="false">IF((E199="r"),G199," ")</f>
        <v> </v>
      </c>
      <c r="O199" s="334" t="str">
        <f aca="false">IF((E199="g"),G199," ")</f>
        <v> </v>
      </c>
      <c r="P199" s="334" t="str">
        <f aca="false">IF((E199="m"),G199," ")</f>
        <v> </v>
      </c>
      <c r="Q199" s="334" t="str">
        <f aca="false">IF((E199="t"),G199," ")</f>
        <v> </v>
      </c>
      <c r="R199" s="334" t="str">
        <f aca="false">IF((E199="a"),G199," ")</f>
        <v> </v>
      </c>
      <c r="S199" s="334" t="str">
        <f aca="false">IF((E199="l"),G199," ")</f>
        <v> </v>
      </c>
      <c r="T199" s="334" t="str">
        <f aca="false">IF((E199="b"),G199," ")</f>
        <v> </v>
      </c>
      <c r="U199" s="334" t="str">
        <f aca="false">IF((E199="i"),G199," ")</f>
        <v> </v>
      </c>
      <c r="V199" s="334" t="str">
        <f aca="false">IF((E199="o"),G199," ")</f>
        <v> </v>
      </c>
      <c r="W199" s="334" t="str">
        <f aca="false">IF((E199="f"),G199," ")</f>
        <v> </v>
      </c>
    </row>
    <row r="200" customFormat="false" ht="12.75" hidden="false" customHeight="false" outlineLevel="0" collapsed="false">
      <c r="A200" s="355"/>
      <c r="E200" s="365" t="str">
        <f aca="false">IF((G200&lt;&gt;0),"Enter Letter"," ")</f>
        <v> </v>
      </c>
      <c r="H200" s="338" t="str">
        <f aca="false">IF((G200&lt;&gt;0),IF((D200&gt;0)," ",G200)," ")</f>
        <v> </v>
      </c>
      <c r="I200" s="367" t="str">
        <f aca="false">IF((G200&lt;&gt;0),IF((D200&gt;0)," ",(I$1-A200))," ")</f>
        <v> </v>
      </c>
      <c r="J200" s="334" t="str">
        <f aca="false">IF((E200="s"),G200," ")</f>
        <v> </v>
      </c>
      <c r="K200" s="334" t="str">
        <f aca="false">IF((E200="d"),G200," ")</f>
        <v> </v>
      </c>
      <c r="L200" s="334" t="str">
        <f aca="false">IF((E200="e"),G200," ")</f>
        <v> </v>
      </c>
      <c r="M200" s="334" t="str">
        <f aca="false">IF((E200="p"),G200," ")</f>
        <v> </v>
      </c>
      <c r="N200" s="334" t="str">
        <f aca="false">IF((E200="r"),G200," ")</f>
        <v> </v>
      </c>
      <c r="O200" s="334" t="str">
        <f aca="false">IF((E200="g"),G200," ")</f>
        <v> </v>
      </c>
      <c r="P200" s="334" t="str">
        <f aca="false">IF((E200="m"),G200," ")</f>
        <v> </v>
      </c>
      <c r="Q200" s="334" t="str">
        <f aca="false">IF((E200="t"),G200," ")</f>
        <v> </v>
      </c>
      <c r="R200" s="334" t="str">
        <f aca="false">IF((E200="a"),G200," ")</f>
        <v> </v>
      </c>
      <c r="S200" s="334" t="str">
        <f aca="false">IF((E200="l"),G200," ")</f>
        <v> </v>
      </c>
      <c r="T200" s="334" t="str">
        <f aca="false">IF((E200="b"),G200," ")</f>
        <v> </v>
      </c>
      <c r="U200" s="334" t="str">
        <f aca="false">IF((E200="i"),G200," ")</f>
        <v> </v>
      </c>
      <c r="V200" s="334" t="str">
        <f aca="false">IF((E200="o"),G200," ")</f>
        <v> </v>
      </c>
      <c r="W200" s="334" t="str">
        <f aca="false">IF((E200="f"),G200," ")</f>
        <v> </v>
      </c>
      <c r="Y200" s="399"/>
      <c r="Z200" s="399"/>
    </row>
    <row r="201" customFormat="false" ht="12.75" hidden="false" customHeight="false" outlineLevel="0" collapsed="false">
      <c r="A201" s="355"/>
      <c r="E201" s="365" t="str">
        <f aca="false">IF((G201&lt;&gt;0),"Enter Letter"," ")</f>
        <v> </v>
      </c>
      <c r="H201" s="338" t="str">
        <f aca="false">IF((G201&lt;&gt;0),IF((D201&gt;0)," ",G201)," ")</f>
        <v> </v>
      </c>
      <c r="I201" s="367" t="str">
        <f aca="false">IF((G201&lt;&gt;0),IF((D201&gt;0)," ",(I$1-A201))," ")</f>
        <v> </v>
      </c>
      <c r="J201" s="334" t="str">
        <f aca="false">IF((E201="s"),G201," ")</f>
        <v> </v>
      </c>
      <c r="K201" s="334" t="str">
        <f aca="false">IF((E201="d"),G201," ")</f>
        <v> </v>
      </c>
      <c r="L201" s="334" t="str">
        <f aca="false">IF((E201="e"),G201," ")</f>
        <v> </v>
      </c>
      <c r="M201" s="334" t="str">
        <f aca="false">IF((E201="p"),G201," ")</f>
        <v> </v>
      </c>
      <c r="N201" s="334" t="str">
        <f aca="false">IF((E201="r"),G201," ")</f>
        <v> </v>
      </c>
      <c r="O201" s="334" t="str">
        <f aca="false">IF((E201="g"),G201," ")</f>
        <v> </v>
      </c>
      <c r="P201" s="334" t="str">
        <f aca="false">IF((E201="m"),G201," ")</f>
        <v> </v>
      </c>
      <c r="Q201" s="334" t="str">
        <f aca="false">IF((E201="t"),G201," ")</f>
        <v> </v>
      </c>
      <c r="R201" s="334" t="str">
        <f aca="false">IF((E201="a"),G201," ")</f>
        <v> </v>
      </c>
      <c r="S201" s="334" t="str">
        <f aca="false">IF((E201="l"),G201," ")</f>
        <v> </v>
      </c>
      <c r="T201" s="334" t="str">
        <f aca="false">IF((E201="b"),G201," ")</f>
        <v> </v>
      </c>
      <c r="U201" s="334" t="str">
        <f aca="false">IF((E201="i"),G201," ")</f>
        <v> </v>
      </c>
      <c r="V201" s="334" t="str">
        <f aca="false">IF((E201="o"),G201," ")</f>
        <v> </v>
      </c>
      <c r="W201" s="334" t="str">
        <f aca="false">IF((E201="f"),G201," ")</f>
        <v> </v>
      </c>
    </row>
    <row r="202" customFormat="false" ht="12.75" hidden="false" customHeight="false" outlineLevel="0" collapsed="false">
      <c r="A202" s="355"/>
      <c r="E202" s="365" t="str">
        <f aca="false">IF((G202&lt;&gt;0),"Enter Letter"," ")</f>
        <v> </v>
      </c>
      <c r="H202" s="338" t="str">
        <f aca="false">IF((G202&lt;&gt;0),IF((D202&gt;0)," ",G202)," ")</f>
        <v> </v>
      </c>
      <c r="I202" s="367" t="str">
        <f aca="false">IF((G202&lt;&gt;0),IF((D202&gt;0)," ",(I$1-A202))," ")</f>
        <v> </v>
      </c>
      <c r="J202" s="334" t="str">
        <f aca="false">IF((E202="s"),G202," ")</f>
        <v> </v>
      </c>
      <c r="K202" s="334" t="str">
        <f aca="false">IF((E202="d"),G202," ")</f>
        <v> </v>
      </c>
      <c r="L202" s="334" t="str">
        <f aca="false">IF((E202="e"),G202," ")</f>
        <v> </v>
      </c>
      <c r="M202" s="334" t="str">
        <f aca="false">IF((E202="p"),G202," ")</f>
        <v> </v>
      </c>
      <c r="N202" s="334" t="str">
        <f aca="false">IF((E202="r"),G202," ")</f>
        <v> </v>
      </c>
      <c r="O202" s="334" t="str">
        <f aca="false">IF((E202="g"),G202," ")</f>
        <v> </v>
      </c>
      <c r="P202" s="334" t="str">
        <f aca="false">IF((E202="m"),G202," ")</f>
        <v> </v>
      </c>
      <c r="Q202" s="334" t="str">
        <f aca="false">IF((E202="t"),G202," ")</f>
        <v> </v>
      </c>
      <c r="R202" s="334" t="str">
        <f aca="false">IF((E202="a"),G202," ")</f>
        <v> </v>
      </c>
      <c r="S202" s="334" t="str">
        <f aca="false">IF((E202="l"),G202," ")</f>
        <v> </v>
      </c>
      <c r="T202" s="334" t="str">
        <f aca="false">IF((E202="b"),G202," ")</f>
        <v> </v>
      </c>
      <c r="U202" s="334" t="str">
        <f aca="false">IF((E202="i"),G202," ")</f>
        <v> </v>
      </c>
      <c r="V202" s="334" t="str">
        <f aca="false">IF((E202="o"),G202," ")</f>
        <v> </v>
      </c>
      <c r="W202" s="334" t="str">
        <f aca="false">IF((E202="f"),G202," ")</f>
        <v> </v>
      </c>
    </row>
    <row r="203" customFormat="false" ht="12.75" hidden="false" customHeight="false" outlineLevel="0" collapsed="false">
      <c r="A203" s="355"/>
      <c r="E203" s="365" t="str">
        <f aca="false">IF((G203&lt;&gt;0),"Enter Letter"," ")</f>
        <v> </v>
      </c>
      <c r="H203" s="338" t="str">
        <f aca="false">IF((G203&lt;&gt;0),IF((D203&gt;0)," ",G203)," ")</f>
        <v> </v>
      </c>
      <c r="I203" s="367" t="str">
        <f aca="false">IF((G203&lt;&gt;0),IF((D203&gt;0)," ",(I$1-A203))," ")</f>
        <v> </v>
      </c>
      <c r="J203" s="334" t="str">
        <f aca="false">IF((E203="s"),G203," ")</f>
        <v> </v>
      </c>
      <c r="K203" s="334" t="str">
        <f aca="false">IF((E203="d"),G203," ")</f>
        <v> </v>
      </c>
      <c r="L203" s="334" t="str">
        <f aca="false">IF((E203="e"),G203," ")</f>
        <v> </v>
      </c>
      <c r="M203" s="334" t="str">
        <f aca="false">IF((E203="p"),G203," ")</f>
        <v> </v>
      </c>
      <c r="N203" s="334" t="str">
        <f aca="false">IF((E203="r"),G203," ")</f>
        <v> </v>
      </c>
      <c r="O203" s="334" t="str">
        <f aca="false">IF((E203="g"),G203," ")</f>
        <v> </v>
      </c>
      <c r="P203" s="334" t="str">
        <f aca="false">IF((E203="m"),G203," ")</f>
        <v> </v>
      </c>
      <c r="Q203" s="334" t="str">
        <f aca="false">IF((E203="t"),G203," ")</f>
        <v> </v>
      </c>
      <c r="R203" s="334" t="str">
        <f aca="false">IF((E203="a"),G203," ")</f>
        <v> </v>
      </c>
      <c r="S203" s="334" t="str">
        <f aca="false">IF((E203="l"),G203," ")</f>
        <v> </v>
      </c>
      <c r="T203" s="334" t="str">
        <f aca="false">IF((E203="b"),G203," ")</f>
        <v> </v>
      </c>
      <c r="U203" s="334" t="str">
        <f aca="false">IF((E203="i"),G203," ")</f>
        <v> </v>
      </c>
      <c r="V203" s="334" t="str">
        <f aca="false">IF((E203="o"),G203," ")</f>
        <v> </v>
      </c>
      <c r="W203" s="334" t="str">
        <f aca="false">IF((E203="f"),G203," ")</f>
        <v> </v>
      </c>
    </row>
    <row r="204" customFormat="false" ht="12.75" hidden="false" customHeight="false" outlineLevel="0" collapsed="false">
      <c r="A204" s="355"/>
      <c r="E204" s="365" t="str">
        <f aca="false">IF((G204&lt;&gt;0),"Enter Letter"," ")</f>
        <v> </v>
      </c>
      <c r="H204" s="338" t="str">
        <f aca="false">IF((G204&lt;&gt;0),IF((D204&gt;0)," ",G204)," ")</f>
        <v> </v>
      </c>
      <c r="I204" s="367" t="str">
        <f aca="false">IF((G204&lt;&gt;0),IF((D204&gt;0)," ",(I$1-A204))," ")</f>
        <v> </v>
      </c>
      <c r="J204" s="334" t="str">
        <f aca="false">IF((E204="s"),G204," ")</f>
        <v> </v>
      </c>
      <c r="K204" s="334" t="str">
        <f aca="false">IF((E204="d"),G204," ")</f>
        <v> </v>
      </c>
      <c r="L204" s="334" t="str">
        <f aca="false">IF((E204="e"),G204," ")</f>
        <v> </v>
      </c>
      <c r="M204" s="334" t="str">
        <f aca="false">IF((E204="p"),G204," ")</f>
        <v> </v>
      </c>
      <c r="N204" s="334" t="str">
        <f aca="false">IF((E204="r"),G204," ")</f>
        <v> </v>
      </c>
      <c r="O204" s="334" t="str">
        <f aca="false">IF((E204="g"),G204," ")</f>
        <v> </v>
      </c>
      <c r="P204" s="334" t="str">
        <f aca="false">IF((E204="m"),G204," ")</f>
        <v> </v>
      </c>
      <c r="Q204" s="334" t="str">
        <f aca="false">IF((E204="t"),G204," ")</f>
        <v> </v>
      </c>
      <c r="R204" s="334" t="str">
        <f aca="false">IF((E204="a"),G204," ")</f>
        <v> </v>
      </c>
      <c r="S204" s="334" t="str">
        <f aca="false">IF((E204="l"),G204," ")</f>
        <v> </v>
      </c>
      <c r="T204" s="334" t="str">
        <f aca="false">IF((E204="b"),G204," ")</f>
        <v> </v>
      </c>
      <c r="U204" s="334" t="str">
        <f aca="false">IF((E204="i"),G204," ")</f>
        <v> </v>
      </c>
      <c r="V204" s="334" t="str">
        <f aca="false">IF((E204="o"),G204," ")</f>
        <v> </v>
      </c>
      <c r="W204" s="334" t="str">
        <f aca="false">IF((E204="f"),G204," ")</f>
        <v> </v>
      </c>
    </row>
    <row r="205" customFormat="false" ht="12.75" hidden="false" customHeight="false" outlineLevel="0" collapsed="false">
      <c r="A205" s="355"/>
      <c r="E205" s="365" t="str">
        <f aca="false">IF((G205&lt;&gt;0),"Enter Letter"," ")</f>
        <v> </v>
      </c>
      <c r="J205" s="334" t="str">
        <f aca="false">IF((E205="s"),G205," ")</f>
        <v> </v>
      </c>
      <c r="K205" s="334" t="str">
        <f aca="false">IF((E205="d"),G205," ")</f>
        <v> </v>
      </c>
      <c r="L205" s="334" t="str">
        <f aca="false">IF((E205="e"),G205," ")</f>
        <v> </v>
      </c>
      <c r="M205" s="334" t="str">
        <f aca="false">IF((E205="p"),G205," ")</f>
        <v> </v>
      </c>
      <c r="N205" s="334" t="str">
        <f aca="false">IF((E205="r"),G205," ")</f>
        <v> </v>
      </c>
      <c r="O205" s="334" t="str">
        <f aca="false">IF((E205="g"),G205," ")</f>
        <v> </v>
      </c>
      <c r="P205" s="334" t="str">
        <f aca="false">IF((E205="m"),G205," ")</f>
        <v> </v>
      </c>
      <c r="Q205" s="334" t="str">
        <f aca="false">IF((E205="t"),G205," ")</f>
        <v> </v>
      </c>
      <c r="R205" s="334" t="str">
        <f aca="false">IF((E205="a"),G205," ")</f>
        <v> </v>
      </c>
      <c r="S205" s="334" t="str">
        <f aca="false">IF((E205="l"),G205," ")</f>
        <v> </v>
      </c>
      <c r="T205" s="334" t="str">
        <f aca="false">IF((E205="b"),G205," ")</f>
        <v> </v>
      </c>
      <c r="U205" s="334" t="str">
        <f aca="false">IF((E205="i"),G205," ")</f>
        <v> </v>
      </c>
      <c r="V205" s="334" t="str">
        <f aca="false">IF((E205="o"),G205," ")</f>
        <v> </v>
      </c>
      <c r="W205" s="334" t="str">
        <f aca="false">IF((E205="f"),G205," ")</f>
        <v> </v>
      </c>
    </row>
    <row r="206" customFormat="false" ht="12.75" hidden="false" customHeight="false" outlineLevel="0" collapsed="false">
      <c r="A206" s="355"/>
      <c r="E206" s="365" t="str">
        <f aca="false">IF((G206&lt;&gt;0),"Enter Letter"," ")</f>
        <v> </v>
      </c>
      <c r="J206" s="334" t="str">
        <f aca="false">IF((E206="s"),G206," ")</f>
        <v> </v>
      </c>
      <c r="K206" s="334" t="str">
        <f aca="false">IF((E206="d"),G206," ")</f>
        <v> </v>
      </c>
      <c r="L206" s="334" t="str">
        <f aca="false">IF((E206="e"),G206," ")</f>
        <v> </v>
      </c>
      <c r="M206" s="334" t="str">
        <f aca="false">IF((E206="p"),G206," ")</f>
        <v> </v>
      </c>
      <c r="N206" s="334" t="str">
        <f aca="false">IF((E206="r"),G206," ")</f>
        <v> </v>
      </c>
      <c r="O206" s="334" t="str">
        <f aca="false">IF((E206="g"),G206," ")</f>
        <v> </v>
      </c>
      <c r="P206" s="334" t="str">
        <f aca="false">IF((E206="m"),G206," ")</f>
        <v> </v>
      </c>
      <c r="Q206" s="334" t="str">
        <f aca="false">IF((E206="t"),G206," ")</f>
        <v> </v>
      </c>
      <c r="R206" s="334" t="str">
        <f aca="false">IF((E206="a"),G206," ")</f>
        <v> </v>
      </c>
      <c r="S206" s="334" t="str">
        <f aca="false">IF((E206="l"),G206," ")</f>
        <v> </v>
      </c>
      <c r="T206" s="334" t="str">
        <f aca="false">IF((E206="b"),G206," ")</f>
        <v> </v>
      </c>
      <c r="U206" s="334" t="str">
        <f aca="false">IF((E206="i"),G206," ")</f>
        <v> </v>
      </c>
      <c r="V206" s="334" t="str">
        <f aca="false">IF((E206="o"),G206," ")</f>
        <v> </v>
      </c>
      <c r="W206" s="334" t="str">
        <f aca="false">IF((E206="f"),G206," ")</f>
        <v> </v>
      </c>
    </row>
    <row r="207" customFormat="false" ht="12.75" hidden="false" customHeight="false" outlineLevel="0" collapsed="false">
      <c r="A207" s="355"/>
      <c r="E207" s="365" t="str">
        <f aca="false">IF((G207&lt;&gt;0),"Enter Letter"," ")</f>
        <v> </v>
      </c>
      <c r="J207" s="334" t="str">
        <f aca="false">IF((E207="s"),G207," ")</f>
        <v> </v>
      </c>
      <c r="K207" s="334" t="str">
        <f aca="false">IF((E207="d"),G207," ")</f>
        <v> </v>
      </c>
      <c r="L207" s="334" t="str">
        <f aca="false">IF((E207="e"),G207," ")</f>
        <v> </v>
      </c>
      <c r="M207" s="334" t="str">
        <f aca="false">IF((E207="p"),G207," ")</f>
        <v> </v>
      </c>
      <c r="N207" s="334" t="str">
        <f aca="false">IF((E207="r"),G207," ")</f>
        <v> </v>
      </c>
      <c r="O207" s="334" t="str">
        <f aca="false">IF((E207="g"),G207," ")</f>
        <v> </v>
      </c>
      <c r="P207" s="334" t="str">
        <f aca="false">IF((E207="m"),G207," ")</f>
        <v> </v>
      </c>
      <c r="Q207" s="334" t="str">
        <f aca="false">IF((E207="t"),G207," ")</f>
        <v> </v>
      </c>
      <c r="R207" s="334" t="str">
        <f aca="false">IF((E207="a"),G207," ")</f>
        <v> </v>
      </c>
      <c r="S207" s="334" t="str">
        <f aca="false">IF((E207="l"),G207," ")</f>
        <v> </v>
      </c>
      <c r="T207" s="334" t="str">
        <f aca="false">IF((E207="b"),G207," ")</f>
        <v> </v>
      </c>
      <c r="U207" s="334" t="str">
        <f aca="false">IF((E207="i"),G207," ")</f>
        <v> </v>
      </c>
      <c r="V207" s="334" t="str">
        <f aca="false">IF((E207="o"),G207," ")</f>
        <v> </v>
      </c>
      <c r="W207" s="334" t="str">
        <f aca="false">IF((E207="f"),G207," ")</f>
        <v> </v>
      </c>
    </row>
    <row r="208" customFormat="false" ht="12.75" hidden="false" customHeight="false" outlineLevel="0" collapsed="false">
      <c r="A208" s="355"/>
      <c r="E208" s="365" t="str">
        <f aca="false">IF((G208&lt;&gt;0),"Enter Letter"," ")</f>
        <v> </v>
      </c>
      <c r="J208" s="334" t="str">
        <f aca="false">IF((E208="s"),G208," ")</f>
        <v> </v>
      </c>
      <c r="K208" s="334" t="str">
        <f aca="false">IF((E208="d"),G208," ")</f>
        <v> </v>
      </c>
      <c r="L208" s="334" t="str">
        <f aca="false">IF((E208="e"),G208," ")</f>
        <v> </v>
      </c>
      <c r="M208" s="334" t="str">
        <f aca="false">IF((E208="p"),G208," ")</f>
        <v> </v>
      </c>
      <c r="N208" s="334" t="str">
        <f aca="false">IF((E208="r"),G208," ")</f>
        <v> </v>
      </c>
      <c r="O208" s="334" t="str">
        <f aca="false">IF((E208="g"),G208," ")</f>
        <v> </v>
      </c>
      <c r="P208" s="334" t="str">
        <f aca="false">IF((E208="m"),G208," ")</f>
        <v> </v>
      </c>
      <c r="Q208" s="334" t="str">
        <f aca="false">IF((E208="t"),G208," ")</f>
        <v> </v>
      </c>
      <c r="R208" s="334" t="str">
        <f aca="false">IF((E208="a"),G208," ")</f>
        <v> </v>
      </c>
      <c r="S208" s="334" t="str">
        <f aca="false">IF((E208="l"),G208," ")</f>
        <v> </v>
      </c>
      <c r="T208" s="334" t="str">
        <f aca="false">IF((E208="b"),G208," ")</f>
        <v> </v>
      </c>
      <c r="U208" s="334" t="str">
        <f aca="false">IF((E208="i"),G208," ")</f>
        <v> </v>
      </c>
      <c r="V208" s="334" t="str">
        <f aca="false">IF((E208="o"),G208," ")</f>
        <v> </v>
      </c>
      <c r="W208" s="334" t="str">
        <f aca="false">IF((E208="f"),G208," ")</f>
        <v> </v>
      </c>
    </row>
    <row r="209" customFormat="false" ht="12.75" hidden="false" customHeight="false" outlineLevel="0" collapsed="false">
      <c r="A209" s="355"/>
      <c r="E209" s="365" t="str">
        <f aca="false">IF((G209&lt;&gt;0),"Enter Letter"," ")</f>
        <v> </v>
      </c>
      <c r="J209" s="334" t="str">
        <f aca="false">IF((E209="s"),G209," ")</f>
        <v> </v>
      </c>
      <c r="K209" s="334" t="str">
        <f aca="false">IF((E209="d"),G209," ")</f>
        <v> </v>
      </c>
      <c r="L209" s="334" t="str">
        <f aca="false">IF((E209="e"),G209," ")</f>
        <v> </v>
      </c>
      <c r="M209" s="334" t="str">
        <f aca="false">IF((E209="p"),G209," ")</f>
        <v> </v>
      </c>
      <c r="N209" s="334" t="str">
        <f aca="false">IF((E209="r"),G209," ")</f>
        <v> </v>
      </c>
      <c r="O209" s="334" t="str">
        <f aca="false">IF((E209="g"),G209," ")</f>
        <v> </v>
      </c>
      <c r="P209" s="334" t="str">
        <f aca="false">IF((E209="m"),G209," ")</f>
        <v> </v>
      </c>
      <c r="Q209" s="334" t="str">
        <f aca="false">IF((E209="t"),G209," ")</f>
        <v> </v>
      </c>
      <c r="R209" s="334" t="str">
        <f aca="false">IF((E209="a"),G209," ")</f>
        <v> </v>
      </c>
      <c r="S209" s="334" t="str">
        <f aca="false">IF((E209="l"),G209," ")</f>
        <v> </v>
      </c>
      <c r="T209" s="334" t="str">
        <f aca="false">IF((E209="b"),G209," ")</f>
        <v> </v>
      </c>
      <c r="U209" s="334" t="str">
        <f aca="false">IF((E209="i"),G209," ")</f>
        <v> </v>
      </c>
      <c r="V209" s="334" t="str">
        <f aca="false">IF((E209="o"),G209," ")</f>
        <v> </v>
      </c>
      <c r="W209" s="334" t="str">
        <f aca="false">IF((E209="f"),G209," ")</f>
        <v> </v>
      </c>
    </row>
    <row r="210" customFormat="false" ht="12.75" hidden="false" customHeight="false" outlineLevel="0" collapsed="false">
      <c r="A210" s="355"/>
      <c r="E210" s="365" t="str">
        <f aca="false">IF((G210&lt;&gt;0),"Enter Letter"," ")</f>
        <v> </v>
      </c>
      <c r="J210" s="334" t="str">
        <f aca="false">IF((E210="s"),G210," ")</f>
        <v> </v>
      </c>
      <c r="K210" s="334" t="str">
        <f aca="false">IF((E210="d"),G210," ")</f>
        <v> </v>
      </c>
      <c r="L210" s="334" t="str">
        <f aca="false">IF((E210="e"),G210," ")</f>
        <v> </v>
      </c>
      <c r="M210" s="334" t="str">
        <f aca="false">IF((E210="p"),G210," ")</f>
        <v> </v>
      </c>
      <c r="N210" s="334" t="str">
        <f aca="false">IF((E210="r"),G210," ")</f>
        <v> </v>
      </c>
      <c r="O210" s="334" t="str">
        <f aca="false">IF((E210="g"),G210," ")</f>
        <v> </v>
      </c>
      <c r="P210" s="334" t="str">
        <f aca="false">IF((E210="m"),G210," ")</f>
        <v> </v>
      </c>
      <c r="Q210" s="334" t="str">
        <f aca="false">IF((E210="t"),G210," ")</f>
        <v> </v>
      </c>
      <c r="R210" s="334" t="str">
        <f aca="false">IF((E210="a"),G210," ")</f>
        <v> </v>
      </c>
      <c r="S210" s="334" t="str">
        <f aca="false">IF((E210="l"),G210," ")</f>
        <v> </v>
      </c>
      <c r="T210" s="334" t="str">
        <f aca="false">IF((E210="b"),G210," ")</f>
        <v> </v>
      </c>
      <c r="U210" s="334" t="str">
        <f aca="false">IF((E210="i"),G210," ")</f>
        <v> </v>
      </c>
      <c r="V210" s="334" t="str">
        <f aca="false">IF((E210="o"),G210," ")</f>
        <v> </v>
      </c>
      <c r="W210" s="334" t="str">
        <f aca="false">IF((E210="f"),G210," ")</f>
        <v> </v>
      </c>
    </row>
    <row r="211" customFormat="false" ht="12.75" hidden="false" customHeight="false" outlineLevel="0" collapsed="false">
      <c r="A211" s="355"/>
      <c r="E211" s="365" t="str">
        <f aca="false">IF((G211&lt;&gt;0),"Enter Letter"," ")</f>
        <v> </v>
      </c>
      <c r="J211" s="334" t="str">
        <f aca="false">IF((E211="s"),G211," ")</f>
        <v> </v>
      </c>
      <c r="K211" s="334" t="str">
        <f aca="false">IF((E211="d"),G211," ")</f>
        <v> </v>
      </c>
      <c r="L211" s="334" t="str">
        <f aca="false">IF((E211="e"),G211," ")</f>
        <v> </v>
      </c>
      <c r="M211" s="334" t="str">
        <f aca="false">IF((E211="p"),G211," ")</f>
        <v> </v>
      </c>
      <c r="N211" s="334" t="str">
        <f aca="false">IF((E211="r"),G211," ")</f>
        <v> </v>
      </c>
      <c r="O211" s="334" t="str">
        <f aca="false">IF((E211="g"),G211," ")</f>
        <v> </v>
      </c>
      <c r="P211" s="334" t="str">
        <f aca="false">IF((E211="m"),G211," ")</f>
        <v> </v>
      </c>
      <c r="Q211" s="334" t="str">
        <f aca="false">IF((E211="t"),G211," ")</f>
        <v> </v>
      </c>
      <c r="R211" s="334" t="str">
        <f aca="false">IF((E211="a"),G211," ")</f>
        <v> </v>
      </c>
      <c r="S211" s="334" t="str">
        <f aca="false">IF((E211="l"),G211," ")</f>
        <v> </v>
      </c>
      <c r="T211" s="334" t="str">
        <f aca="false">IF((E211="b"),G211," ")</f>
        <v> </v>
      </c>
      <c r="U211" s="334" t="str">
        <f aca="false">IF((E211="i"),G211," ")</f>
        <v> </v>
      </c>
      <c r="V211" s="334" t="str">
        <f aca="false">IF((E211="o"),G211," ")</f>
        <v> </v>
      </c>
      <c r="W211" s="334" t="str">
        <f aca="false">IF((E211="f"),G211," ")</f>
        <v> </v>
      </c>
    </row>
    <row r="212" customFormat="false" ht="12.75" hidden="false" customHeight="false" outlineLevel="0" collapsed="false">
      <c r="A212" s="355"/>
      <c r="E212" s="365" t="str">
        <f aca="false">IF((G212&lt;&gt;0),"Enter Letter"," ")</f>
        <v> </v>
      </c>
      <c r="J212" s="334" t="str">
        <f aca="false">IF((E212="s"),G212," ")</f>
        <v> </v>
      </c>
      <c r="K212" s="334" t="str">
        <f aca="false">IF((E212="d"),G212," ")</f>
        <v> </v>
      </c>
      <c r="L212" s="334" t="str">
        <f aca="false">IF((E212="e"),G212," ")</f>
        <v> </v>
      </c>
      <c r="M212" s="334" t="str">
        <f aca="false">IF((E212="p"),G212," ")</f>
        <v> </v>
      </c>
      <c r="N212" s="334" t="str">
        <f aca="false">IF((E212="r"),G212," ")</f>
        <v> </v>
      </c>
      <c r="O212" s="334" t="str">
        <f aca="false">IF((E212="g"),G212," ")</f>
        <v> </v>
      </c>
      <c r="P212" s="334" t="str">
        <f aca="false">IF((E212="m"),G212," ")</f>
        <v> </v>
      </c>
      <c r="Q212" s="334" t="str">
        <f aca="false">IF((E212="t"),G212," ")</f>
        <v> </v>
      </c>
      <c r="R212" s="334" t="str">
        <f aca="false">IF((E212="a"),G212," ")</f>
        <v> </v>
      </c>
      <c r="S212" s="334" t="str">
        <f aca="false">IF((E212="l"),G212," ")</f>
        <v> </v>
      </c>
      <c r="T212" s="334" t="str">
        <f aca="false">IF((E212="b"),G212," ")</f>
        <v> </v>
      </c>
      <c r="U212" s="334" t="str">
        <f aca="false">IF((E212="i"),G212," ")</f>
        <v> </v>
      </c>
      <c r="V212" s="334" t="str">
        <f aca="false">IF((E212="o"),G212," ")</f>
        <v> </v>
      </c>
      <c r="W212" s="334" t="str">
        <f aca="false">IF((E212="f"),G212," ")</f>
        <v> </v>
      </c>
    </row>
    <row r="213" customFormat="false" ht="12.75" hidden="false" customHeight="false" outlineLevel="0" collapsed="false">
      <c r="A213" s="355"/>
      <c r="E213" s="365" t="str">
        <f aca="false">IF((G213&lt;&gt;0),"Enter Letter"," ")</f>
        <v> </v>
      </c>
      <c r="J213" s="334" t="str">
        <f aca="false">IF((E213="s"),G213," ")</f>
        <v> </v>
      </c>
      <c r="K213" s="334" t="str">
        <f aca="false">IF((E213="d"),G213," ")</f>
        <v> </v>
      </c>
      <c r="L213" s="334" t="str">
        <f aca="false">IF((E213="e"),G213," ")</f>
        <v> </v>
      </c>
      <c r="M213" s="334" t="str">
        <f aca="false">IF((E213="p"),G213," ")</f>
        <v> </v>
      </c>
      <c r="N213" s="334" t="str">
        <f aca="false">IF((E213="r"),G213," ")</f>
        <v> </v>
      </c>
      <c r="O213" s="334" t="str">
        <f aca="false">IF((E213="g"),G213," ")</f>
        <v> </v>
      </c>
      <c r="P213" s="334" t="str">
        <f aca="false">IF((E213="m"),G213," ")</f>
        <v> </v>
      </c>
      <c r="Q213" s="334" t="str">
        <f aca="false">IF((E213="t"),G213," ")</f>
        <v> </v>
      </c>
      <c r="R213" s="334" t="str">
        <f aca="false">IF((E213="a"),G213," ")</f>
        <v> </v>
      </c>
      <c r="S213" s="334" t="str">
        <f aca="false">IF((E213="l"),G213," ")</f>
        <v> </v>
      </c>
      <c r="T213" s="334" t="str">
        <f aca="false">IF((E213="b"),G213," ")</f>
        <v> </v>
      </c>
      <c r="U213" s="334" t="str">
        <f aca="false">IF((E213="i"),G213," ")</f>
        <v> </v>
      </c>
      <c r="V213" s="334" t="str">
        <f aca="false">IF((E213="o"),G213," ")</f>
        <v> </v>
      </c>
      <c r="W213" s="334" t="str">
        <f aca="false">IF((E213="f"),G213," ")</f>
        <v> </v>
      </c>
    </row>
    <row r="214" customFormat="false" ht="12.75" hidden="false" customHeight="false" outlineLevel="0" collapsed="false">
      <c r="A214" s="355"/>
      <c r="E214" s="365" t="str">
        <f aca="false">IF((G214&lt;&gt;0),"Enter Letter"," ")</f>
        <v> </v>
      </c>
      <c r="J214" s="334" t="str">
        <f aca="false">IF((E214="s"),G214," ")</f>
        <v> </v>
      </c>
      <c r="K214" s="334" t="str">
        <f aca="false">IF((E214="d"),G214," ")</f>
        <v> </v>
      </c>
      <c r="L214" s="334" t="str">
        <f aca="false">IF((E214="e"),G214," ")</f>
        <v> </v>
      </c>
      <c r="M214" s="334" t="str">
        <f aca="false">IF((E214="p"),G214," ")</f>
        <v> </v>
      </c>
      <c r="N214" s="334" t="str">
        <f aca="false">IF((E214="r"),G214," ")</f>
        <v> </v>
      </c>
      <c r="O214" s="334" t="str">
        <f aca="false">IF((E214="g"),G214," ")</f>
        <v> </v>
      </c>
      <c r="P214" s="334" t="str">
        <f aca="false">IF((E214="m"),G214," ")</f>
        <v> </v>
      </c>
      <c r="Q214" s="334" t="str">
        <f aca="false">IF((E214="t"),G214," ")</f>
        <v> </v>
      </c>
      <c r="R214" s="334" t="str">
        <f aca="false">IF((E214="a"),G214," ")</f>
        <v> </v>
      </c>
      <c r="S214" s="334" t="str">
        <f aca="false">IF((E214="l"),G214," ")</f>
        <v> </v>
      </c>
      <c r="T214" s="334" t="str">
        <f aca="false">IF((E214="b"),G214," ")</f>
        <v> </v>
      </c>
      <c r="U214" s="334" t="str">
        <f aca="false">IF((E214="i"),G214," ")</f>
        <v> </v>
      </c>
      <c r="V214" s="334" t="str">
        <f aca="false">IF((E214="o"),G214," ")</f>
        <v> </v>
      </c>
      <c r="W214" s="334" t="str">
        <f aca="false">IF((E214="f"),G214," ")</f>
        <v> </v>
      </c>
    </row>
    <row r="215" customFormat="false" ht="12.75" hidden="false" customHeight="false" outlineLevel="0" collapsed="false">
      <c r="A215" s="355"/>
      <c r="E215" s="365" t="str">
        <f aca="false">IF((G215&lt;&gt;0),"Enter Letter"," ")</f>
        <v> </v>
      </c>
      <c r="J215" s="334" t="str">
        <f aca="false">IF((E215="s"),G215," ")</f>
        <v> </v>
      </c>
      <c r="K215" s="334" t="str">
        <f aca="false">IF((E215="d"),G215," ")</f>
        <v> </v>
      </c>
      <c r="L215" s="334" t="str">
        <f aca="false">IF((E215="e"),G215," ")</f>
        <v> </v>
      </c>
      <c r="M215" s="334" t="str">
        <f aca="false">IF((E215="p"),G215," ")</f>
        <v> </v>
      </c>
      <c r="N215" s="334" t="str">
        <f aca="false">IF((E215="r"),G215," ")</f>
        <v> </v>
      </c>
      <c r="O215" s="334" t="str">
        <f aca="false">IF((E215="g"),G215," ")</f>
        <v> </v>
      </c>
      <c r="P215" s="334" t="str">
        <f aca="false">IF((E215="m"),G215," ")</f>
        <v> </v>
      </c>
      <c r="Q215" s="334" t="str">
        <f aca="false">IF((E215="t"),G215," ")</f>
        <v> </v>
      </c>
      <c r="R215" s="334" t="str">
        <f aca="false">IF((E215="a"),G215," ")</f>
        <v> </v>
      </c>
      <c r="S215" s="334" t="str">
        <f aca="false">IF((E215="l"),G215," ")</f>
        <v> </v>
      </c>
      <c r="T215" s="334" t="str">
        <f aca="false">IF((E215="b"),G215," ")</f>
        <v> </v>
      </c>
      <c r="U215" s="334" t="str">
        <f aca="false">IF((E215="i"),G215," ")</f>
        <v> </v>
      </c>
      <c r="V215" s="334" t="str">
        <f aca="false">IF((E215="o"),G215," ")</f>
        <v> </v>
      </c>
      <c r="W215" s="334" t="str">
        <f aca="false">IF((E215="f"),G215," ")</f>
        <v> </v>
      </c>
    </row>
    <row r="216" customFormat="false" ht="12.75" hidden="false" customHeight="false" outlineLevel="0" collapsed="false">
      <c r="A216" s="355"/>
      <c r="E216" s="365" t="str">
        <f aca="false">IF((G216&lt;&gt;0),"Enter Letter"," ")</f>
        <v> </v>
      </c>
      <c r="J216" s="334" t="str">
        <f aca="false">IF((E216="s"),G216," ")</f>
        <v> </v>
      </c>
      <c r="K216" s="334" t="str">
        <f aca="false">IF((E216="d"),G216," ")</f>
        <v> </v>
      </c>
      <c r="L216" s="334" t="str">
        <f aca="false">IF((E216="e"),G216," ")</f>
        <v> </v>
      </c>
      <c r="M216" s="334" t="str">
        <f aca="false">IF((E216="p"),G216," ")</f>
        <v> </v>
      </c>
      <c r="N216" s="334" t="str">
        <f aca="false">IF((E216="r"),G216," ")</f>
        <v> </v>
      </c>
      <c r="O216" s="334" t="str">
        <f aca="false">IF((E216="g"),G216," ")</f>
        <v> </v>
      </c>
      <c r="P216" s="334" t="str">
        <f aca="false">IF((E216="m"),G216," ")</f>
        <v> </v>
      </c>
      <c r="Q216" s="334" t="str">
        <f aca="false">IF((E216="t"),G216," ")</f>
        <v> </v>
      </c>
      <c r="R216" s="334" t="str">
        <f aca="false">IF((E216="a"),G216," ")</f>
        <v> </v>
      </c>
      <c r="S216" s="334" t="str">
        <f aca="false">IF((E216="l"),G216," ")</f>
        <v> </v>
      </c>
      <c r="T216" s="334" t="str">
        <f aca="false">IF((E216="b"),G216," ")</f>
        <v> </v>
      </c>
      <c r="U216" s="334" t="str">
        <f aca="false">IF((E216="i"),G216," ")</f>
        <v> </v>
      </c>
      <c r="V216" s="334" t="str">
        <f aca="false">IF((E216="o"),G216," ")</f>
        <v> </v>
      </c>
      <c r="W216" s="334" t="str">
        <f aca="false">IF((E216="f"),G216," ")</f>
        <v> </v>
      </c>
    </row>
    <row r="217" customFormat="false" ht="12.75" hidden="false" customHeight="false" outlineLevel="0" collapsed="false">
      <c r="A217" s="355"/>
      <c r="E217" s="365" t="str">
        <f aca="false">IF((G217&lt;&gt;0),"Enter Letter"," ")</f>
        <v> </v>
      </c>
      <c r="J217" s="334" t="str">
        <f aca="false">IF((E217="s"),G217," ")</f>
        <v> </v>
      </c>
      <c r="K217" s="334" t="str">
        <f aca="false">IF((E217="d"),G217," ")</f>
        <v> </v>
      </c>
      <c r="L217" s="334" t="str">
        <f aca="false">IF((E217="e"),G217," ")</f>
        <v> </v>
      </c>
      <c r="M217" s="334" t="str">
        <f aca="false">IF((E217="p"),G217," ")</f>
        <v> </v>
      </c>
      <c r="N217" s="334" t="str">
        <f aca="false">IF((E217="r"),G217," ")</f>
        <v> </v>
      </c>
      <c r="O217" s="334" t="str">
        <f aca="false">IF((E217="g"),G217," ")</f>
        <v> </v>
      </c>
      <c r="P217" s="334" t="str">
        <f aca="false">IF((E217="m"),G217," ")</f>
        <v> </v>
      </c>
      <c r="Q217" s="334" t="str">
        <f aca="false">IF((E217="t"),G217," ")</f>
        <v> </v>
      </c>
      <c r="R217" s="334" t="str">
        <f aca="false">IF((E217="a"),G217," ")</f>
        <v> </v>
      </c>
      <c r="S217" s="334" t="str">
        <f aca="false">IF((E217="l"),G217," ")</f>
        <v> </v>
      </c>
      <c r="T217" s="334" t="str">
        <f aca="false">IF((E217="b"),G217," ")</f>
        <v> </v>
      </c>
      <c r="U217" s="334" t="str">
        <f aca="false">IF((E217="i"),G217," ")</f>
        <v> </v>
      </c>
      <c r="V217" s="334" t="str">
        <f aca="false">IF((E217="o"),G217," ")</f>
        <v> </v>
      </c>
      <c r="W217" s="334" t="str">
        <f aca="false">IF((E217="f"),G217," ")</f>
        <v> </v>
      </c>
    </row>
    <row r="218" customFormat="false" ht="12.75" hidden="false" customHeight="false" outlineLevel="0" collapsed="false">
      <c r="A218" s="355"/>
      <c r="E218" s="365" t="str">
        <f aca="false">IF((G218&lt;&gt;0),"Enter Letter"," ")</f>
        <v> </v>
      </c>
      <c r="J218" s="334" t="str">
        <f aca="false">IF((E218="s"),G218," ")</f>
        <v> </v>
      </c>
      <c r="K218" s="334" t="str">
        <f aca="false">IF((E218="d"),G218," ")</f>
        <v> </v>
      </c>
      <c r="L218" s="334" t="str">
        <f aca="false">IF((E218="e"),G218," ")</f>
        <v> </v>
      </c>
      <c r="M218" s="334" t="str">
        <f aca="false">IF((E218="p"),G218," ")</f>
        <v> </v>
      </c>
      <c r="N218" s="334" t="str">
        <f aca="false">IF((E218="r"),G218," ")</f>
        <v> </v>
      </c>
      <c r="O218" s="334" t="str">
        <f aca="false">IF((E218="g"),G218," ")</f>
        <v> </v>
      </c>
      <c r="P218" s="334" t="str">
        <f aca="false">IF((E218="m"),G218," ")</f>
        <v> </v>
      </c>
      <c r="Q218" s="334" t="str">
        <f aca="false">IF((E218="t"),G218," ")</f>
        <v> </v>
      </c>
      <c r="R218" s="334" t="str">
        <f aca="false">IF((E218="a"),G218," ")</f>
        <v> </v>
      </c>
      <c r="S218" s="334" t="str">
        <f aca="false">IF((E218="l"),G218," ")</f>
        <v> </v>
      </c>
      <c r="T218" s="334" t="str">
        <f aca="false">IF((E218="b"),G218," ")</f>
        <v> </v>
      </c>
      <c r="U218" s="334" t="str">
        <f aca="false">IF((E218="i"),G218," ")</f>
        <v> </v>
      </c>
      <c r="V218" s="334" t="str">
        <f aca="false">IF((E218="o"),G218," ")</f>
        <v> </v>
      </c>
      <c r="W218" s="334" t="str">
        <f aca="false">IF((E218="f"),G218," ")</f>
        <v> </v>
      </c>
    </row>
    <row r="219" customFormat="false" ht="12.75" hidden="false" customHeight="false" outlineLevel="0" collapsed="false">
      <c r="A219" s="355"/>
      <c r="E219" s="365" t="str">
        <f aca="false">IF((G219&lt;&gt;0),"Enter Letter"," ")</f>
        <v> </v>
      </c>
      <c r="J219" s="334" t="str">
        <f aca="false">IF((E219="s"),G219," ")</f>
        <v> </v>
      </c>
      <c r="K219" s="334" t="str">
        <f aca="false">IF((E219="d"),G219," ")</f>
        <v> </v>
      </c>
      <c r="L219" s="334" t="str">
        <f aca="false">IF((E219="e"),G219," ")</f>
        <v> </v>
      </c>
      <c r="M219" s="334" t="str">
        <f aca="false">IF((E219="p"),G219," ")</f>
        <v> </v>
      </c>
      <c r="N219" s="334" t="str">
        <f aca="false">IF((E219="r"),G219," ")</f>
        <v> </v>
      </c>
      <c r="O219" s="334" t="str">
        <f aca="false">IF((E219="g"),G219," ")</f>
        <v> </v>
      </c>
      <c r="P219" s="334" t="str">
        <f aca="false">IF((E219="m"),G219," ")</f>
        <v> </v>
      </c>
      <c r="Q219" s="334" t="str">
        <f aca="false">IF((E219="t"),G219," ")</f>
        <v> </v>
      </c>
      <c r="R219" s="334" t="str">
        <f aca="false">IF((E219="a"),G219," ")</f>
        <v> </v>
      </c>
      <c r="S219" s="334" t="str">
        <f aca="false">IF((E219="l"),G219," ")</f>
        <v> </v>
      </c>
      <c r="T219" s="334" t="str">
        <f aca="false">IF((E219="b"),G219," ")</f>
        <v> </v>
      </c>
      <c r="U219" s="334" t="str">
        <f aca="false">IF((E219="i"),G219," ")</f>
        <v> </v>
      </c>
      <c r="V219" s="334" t="str">
        <f aca="false">IF((E219="o"),G219," ")</f>
        <v> </v>
      </c>
      <c r="W219" s="334" t="str">
        <f aca="false">IF((E219="f"),G219," ")</f>
        <v> </v>
      </c>
    </row>
    <row r="220" customFormat="false" ht="12.75" hidden="false" customHeight="false" outlineLevel="0" collapsed="false">
      <c r="A220" s="355"/>
      <c r="E220" s="365" t="str">
        <f aca="false">IF((G220&lt;&gt;0),"Enter Letter"," ")</f>
        <v> </v>
      </c>
      <c r="J220" s="334" t="str">
        <f aca="false">IF((E220="s"),G220," ")</f>
        <v> </v>
      </c>
      <c r="K220" s="334" t="str">
        <f aca="false">IF((E220="d"),G220," ")</f>
        <v> </v>
      </c>
      <c r="L220" s="334" t="str">
        <f aca="false">IF((E220="e"),G220," ")</f>
        <v> </v>
      </c>
      <c r="M220" s="334" t="str">
        <f aca="false">IF((E220="p"),G220," ")</f>
        <v> </v>
      </c>
      <c r="N220" s="334" t="str">
        <f aca="false">IF((E220="r"),G220," ")</f>
        <v> </v>
      </c>
      <c r="O220" s="334" t="str">
        <f aca="false">IF((E220="g"),G220," ")</f>
        <v> </v>
      </c>
      <c r="P220" s="334" t="str">
        <f aca="false">IF((E220="m"),G220," ")</f>
        <v> </v>
      </c>
      <c r="Q220" s="334" t="str">
        <f aca="false">IF((E220="t"),G220," ")</f>
        <v> </v>
      </c>
      <c r="R220" s="334" t="str">
        <f aca="false">IF((E220="a"),G220," ")</f>
        <v> </v>
      </c>
      <c r="S220" s="334" t="str">
        <f aca="false">IF((E220="l"),G220," ")</f>
        <v> </v>
      </c>
      <c r="T220" s="334" t="str">
        <f aca="false">IF((E220="b"),G220," ")</f>
        <v> </v>
      </c>
      <c r="U220" s="334" t="str">
        <f aca="false">IF((E220="i"),G220," ")</f>
        <v> </v>
      </c>
      <c r="V220" s="334" t="str">
        <f aca="false">IF((E220="o"),G220," ")</f>
        <v> </v>
      </c>
      <c r="W220" s="334" t="str">
        <f aca="false">IF((E220="f"),G220," ")</f>
        <v> </v>
      </c>
    </row>
    <row r="221" customFormat="false" ht="12.75" hidden="false" customHeight="false" outlineLevel="0" collapsed="false">
      <c r="A221" s="355"/>
      <c r="E221" s="365" t="str">
        <f aca="false">IF((G221&lt;&gt;0),"Enter Letter"," ")</f>
        <v> </v>
      </c>
      <c r="J221" s="334" t="str">
        <f aca="false">IF((E221="s"),G221," ")</f>
        <v> </v>
      </c>
      <c r="K221" s="334" t="str">
        <f aca="false">IF((E221="d"),G221," ")</f>
        <v> </v>
      </c>
      <c r="L221" s="334" t="str">
        <f aca="false">IF((E221="e"),G221," ")</f>
        <v> </v>
      </c>
      <c r="M221" s="334" t="str">
        <f aca="false">IF((E221="p"),G221," ")</f>
        <v> </v>
      </c>
      <c r="N221" s="334" t="str">
        <f aca="false">IF((E221="r"),G221," ")</f>
        <v> </v>
      </c>
      <c r="O221" s="334" t="str">
        <f aca="false">IF((E221="g"),G221," ")</f>
        <v> </v>
      </c>
      <c r="P221" s="334" t="str">
        <f aca="false">IF((E221="m"),G221," ")</f>
        <v> </v>
      </c>
      <c r="Q221" s="334" t="str">
        <f aca="false">IF((E221="t"),G221," ")</f>
        <v> </v>
      </c>
      <c r="R221" s="334" t="str">
        <f aca="false">IF((E221="a"),G221," ")</f>
        <v> </v>
      </c>
      <c r="S221" s="334" t="str">
        <f aca="false">IF((E221="l"),G221," ")</f>
        <v> </v>
      </c>
      <c r="T221" s="334" t="str">
        <f aca="false">IF((E221="b"),G221," ")</f>
        <v> </v>
      </c>
      <c r="U221" s="334" t="str">
        <f aca="false">IF((E221="i"),G221," ")</f>
        <v> </v>
      </c>
      <c r="V221" s="334" t="str">
        <f aca="false">IF((E221="o"),G221," ")</f>
        <v> </v>
      </c>
      <c r="W221" s="334" t="str">
        <f aca="false">IF((E221="f"),G221," ")</f>
        <v> </v>
      </c>
    </row>
    <row r="222" customFormat="false" ht="12.75" hidden="false" customHeight="false" outlineLevel="0" collapsed="false">
      <c r="A222" s="355"/>
      <c r="E222" s="365" t="str">
        <f aca="false">IF((G222&lt;&gt;0),"Enter Letter"," ")</f>
        <v> </v>
      </c>
      <c r="J222" s="334" t="str">
        <f aca="false">IF((E222="s"),G222," ")</f>
        <v> </v>
      </c>
      <c r="K222" s="334" t="str">
        <f aca="false">IF((E222="d"),G222," ")</f>
        <v> </v>
      </c>
      <c r="L222" s="334" t="str">
        <f aca="false">IF((E222="e"),G222," ")</f>
        <v> </v>
      </c>
      <c r="M222" s="334" t="str">
        <f aca="false">IF((E222="p"),G222," ")</f>
        <v> </v>
      </c>
      <c r="N222" s="334" t="str">
        <f aca="false">IF((E222="r"),G222," ")</f>
        <v> </v>
      </c>
      <c r="O222" s="334" t="str">
        <f aca="false">IF((E222="g"),G222," ")</f>
        <v> </v>
      </c>
      <c r="P222" s="334" t="str">
        <f aca="false">IF((E222="m"),G222," ")</f>
        <v> </v>
      </c>
      <c r="Q222" s="334" t="str">
        <f aca="false">IF((E222="t"),G222," ")</f>
        <v> </v>
      </c>
      <c r="R222" s="334" t="str">
        <f aca="false">IF((E222="a"),G222," ")</f>
        <v> </v>
      </c>
      <c r="S222" s="334" t="str">
        <f aca="false">IF((E222="l"),G222," ")</f>
        <v> </v>
      </c>
      <c r="T222" s="334" t="str">
        <f aca="false">IF((E222="b"),G222," ")</f>
        <v> </v>
      </c>
      <c r="U222" s="334" t="str">
        <f aca="false">IF((E222="i"),G222," ")</f>
        <v> </v>
      </c>
      <c r="V222" s="334" t="str">
        <f aca="false">IF((E222="o"),G222," ")</f>
        <v> </v>
      </c>
      <c r="W222" s="334" t="str">
        <f aca="false">IF((E222="f"),G222," ")</f>
        <v> </v>
      </c>
    </row>
    <row r="223" customFormat="false" ht="12.75" hidden="false" customHeight="false" outlineLevel="0" collapsed="false">
      <c r="A223" s="355"/>
      <c r="E223" s="365" t="str">
        <f aca="false">IF((G223&lt;&gt;0),"Enter Letter"," ")</f>
        <v> </v>
      </c>
      <c r="J223" s="334" t="str">
        <f aca="false">IF((E223="s"),G223," ")</f>
        <v> </v>
      </c>
      <c r="K223" s="334" t="str">
        <f aca="false">IF((E223="d"),G223," ")</f>
        <v> </v>
      </c>
      <c r="L223" s="334" t="str">
        <f aca="false">IF((E223="e"),G223," ")</f>
        <v> </v>
      </c>
      <c r="M223" s="334" t="str">
        <f aca="false">IF((E223="p"),G223," ")</f>
        <v> </v>
      </c>
      <c r="N223" s="334" t="str">
        <f aca="false">IF((E223="r"),G223," ")</f>
        <v> </v>
      </c>
      <c r="O223" s="334" t="str">
        <f aca="false">IF((E223="g"),G223," ")</f>
        <v> </v>
      </c>
      <c r="P223" s="334" t="str">
        <f aca="false">IF((E223="m"),G223," ")</f>
        <v> </v>
      </c>
      <c r="Q223" s="334" t="str">
        <f aca="false">IF((E223="t"),G223," ")</f>
        <v> </v>
      </c>
      <c r="R223" s="334" t="str">
        <f aca="false">IF((E223="a"),G223," ")</f>
        <v> </v>
      </c>
      <c r="S223" s="334" t="str">
        <f aca="false">IF((E223="l"),G223," ")</f>
        <v> </v>
      </c>
      <c r="T223" s="334" t="str">
        <f aca="false">IF((E223="b"),G223," ")</f>
        <v> </v>
      </c>
      <c r="U223" s="334" t="str">
        <f aca="false">IF((E223="i"),G223," ")</f>
        <v> </v>
      </c>
      <c r="V223" s="334" t="str">
        <f aca="false">IF((E223="o"),G223," ")</f>
        <v> </v>
      </c>
      <c r="W223" s="334" t="str">
        <f aca="false">IF((E223="f"),G223," ")</f>
        <v> </v>
      </c>
    </row>
    <row r="224" customFormat="false" ht="12.75" hidden="false" customHeight="false" outlineLevel="0" collapsed="false">
      <c r="A224" s="355"/>
      <c r="E224" s="365" t="str">
        <f aca="false">IF((G224&lt;&gt;0),"Enter Letter"," ")</f>
        <v> </v>
      </c>
      <c r="J224" s="334" t="str">
        <f aca="false">IF((E224="s"),G224," ")</f>
        <v> </v>
      </c>
      <c r="K224" s="334" t="str">
        <f aca="false">IF((E224="d"),G224," ")</f>
        <v> </v>
      </c>
      <c r="L224" s="334" t="str">
        <f aca="false">IF((E224="e"),G224," ")</f>
        <v> </v>
      </c>
      <c r="M224" s="334" t="str">
        <f aca="false">IF((E224="p"),G224," ")</f>
        <v> </v>
      </c>
      <c r="N224" s="334" t="str">
        <f aca="false">IF((E224="r"),G224," ")</f>
        <v> </v>
      </c>
      <c r="O224" s="334" t="str">
        <f aca="false">IF((E224="g"),G224," ")</f>
        <v> </v>
      </c>
      <c r="P224" s="334" t="str">
        <f aca="false">IF((E224="m"),G224," ")</f>
        <v> </v>
      </c>
      <c r="Q224" s="334" t="str">
        <f aca="false">IF((E224="t"),G224," ")</f>
        <v> </v>
      </c>
      <c r="R224" s="334" t="str">
        <f aca="false">IF((E224="a"),G224," ")</f>
        <v> </v>
      </c>
      <c r="S224" s="334" t="str">
        <f aca="false">IF((E224="l"),G224," ")</f>
        <v> </v>
      </c>
      <c r="T224" s="334" t="str">
        <f aca="false">IF((E224="b"),G224," ")</f>
        <v> </v>
      </c>
      <c r="U224" s="334" t="str">
        <f aca="false">IF((E224="i"),G224," ")</f>
        <v> </v>
      </c>
      <c r="V224" s="334" t="str">
        <f aca="false">IF((E224="o"),G224," ")</f>
        <v> </v>
      </c>
      <c r="W224" s="334" t="str">
        <f aca="false">IF((E224="f"),G224," ")</f>
        <v> </v>
      </c>
    </row>
    <row r="225" customFormat="false" ht="12.75" hidden="false" customHeight="false" outlineLevel="0" collapsed="false">
      <c r="A225" s="355"/>
      <c r="E225" s="365" t="str">
        <f aca="false">IF((G225&lt;&gt;0),"Enter Letter"," ")</f>
        <v> </v>
      </c>
      <c r="J225" s="334" t="str">
        <f aca="false">IF((E225="s"),G225," ")</f>
        <v> </v>
      </c>
      <c r="K225" s="334" t="str">
        <f aca="false">IF((E225="d"),G225," ")</f>
        <v> </v>
      </c>
      <c r="L225" s="334" t="str">
        <f aca="false">IF((E225="e"),G225," ")</f>
        <v> </v>
      </c>
      <c r="M225" s="334" t="str">
        <f aca="false">IF((E225="p"),G225," ")</f>
        <v> </v>
      </c>
      <c r="N225" s="334" t="str">
        <f aca="false">IF((E225="r"),G225," ")</f>
        <v> </v>
      </c>
      <c r="O225" s="334" t="str">
        <f aca="false">IF((E225="g"),G225," ")</f>
        <v> </v>
      </c>
      <c r="P225" s="334" t="str">
        <f aca="false">IF((E225="m"),G225," ")</f>
        <v> </v>
      </c>
      <c r="Q225" s="334" t="str">
        <f aca="false">IF((E225="t"),G225," ")</f>
        <v> </v>
      </c>
      <c r="R225" s="334" t="str">
        <f aca="false">IF((E225="a"),G225," ")</f>
        <v> </v>
      </c>
      <c r="S225" s="334" t="str">
        <f aca="false">IF((E225="l"),G225," ")</f>
        <v> </v>
      </c>
      <c r="T225" s="334" t="str">
        <f aca="false">IF((E225="b"),G225," ")</f>
        <v> </v>
      </c>
      <c r="U225" s="334" t="str">
        <f aca="false">IF((E225="i"),G225," ")</f>
        <v> </v>
      </c>
      <c r="V225" s="334" t="str">
        <f aca="false">IF((E225="o"),G225," ")</f>
        <v> </v>
      </c>
      <c r="W225" s="334" t="str">
        <f aca="false">IF((E225="f"),G225," ")</f>
        <v> </v>
      </c>
    </row>
    <row r="226" customFormat="false" ht="12.75" hidden="false" customHeight="false" outlineLevel="0" collapsed="false">
      <c r="A226" s="355"/>
      <c r="E226" s="365" t="str">
        <f aca="false">IF((G226&lt;&gt;0),"Enter Letter"," ")</f>
        <v> </v>
      </c>
      <c r="J226" s="334" t="str">
        <f aca="false">IF((E226="s"),G226," ")</f>
        <v> </v>
      </c>
      <c r="K226" s="334" t="str">
        <f aca="false">IF((E226="d"),G226," ")</f>
        <v> </v>
      </c>
      <c r="L226" s="334" t="str">
        <f aca="false">IF((E226="e"),G226," ")</f>
        <v> </v>
      </c>
      <c r="M226" s="334" t="str">
        <f aca="false">IF((E226="p"),G226," ")</f>
        <v> </v>
      </c>
      <c r="N226" s="334" t="str">
        <f aca="false">IF((E226="r"),G226," ")</f>
        <v> </v>
      </c>
      <c r="O226" s="334" t="str">
        <f aca="false">IF((E226="g"),G226," ")</f>
        <v> </v>
      </c>
      <c r="P226" s="334" t="str">
        <f aca="false">IF((E226="m"),G226," ")</f>
        <v> </v>
      </c>
      <c r="Q226" s="334" t="str">
        <f aca="false">IF((E226="t"),G226," ")</f>
        <v> </v>
      </c>
      <c r="R226" s="334" t="str">
        <f aca="false">IF((E226="a"),G226," ")</f>
        <v> </v>
      </c>
      <c r="S226" s="334" t="str">
        <f aca="false">IF((E226="l"),G226," ")</f>
        <v> </v>
      </c>
      <c r="T226" s="334" t="str">
        <f aca="false">IF((E226="b"),G226," ")</f>
        <v> </v>
      </c>
      <c r="U226" s="334" t="str">
        <f aca="false">IF((E226="i"),G226," ")</f>
        <v> </v>
      </c>
      <c r="V226" s="334" t="str">
        <f aca="false">IF((E226="o"),G226," ")</f>
        <v> </v>
      </c>
      <c r="W226" s="334" t="str">
        <f aca="false">IF((E226="f"),G226," ")</f>
        <v> </v>
      </c>
    </row>
    <row r="227" customFormat="false" ht="12.75" hidden="false" customHeight="false" outlineLevel="0" collapsed="false">
      <c r="A227" s="355"/>
      <c r="E227" s="365" t="str">
        <f aca="false">IF((G227&lt;&gt;0),"Enter Letter"," ")</f>
        <v> </v>
      </c>
      <c r="J227" s="334" t="str">
        <f aca="false">IF((E227="s"),G227," ")</f>
        <v> </v>
      </c>
      <c r="K227" s="334" t="str">
        <f aca="false">IF((E227="d"),G227," ")</f>
        <v> </v>
      </c>
      <c r="L227" s="334" t="str">
        <f aca="false">IF((E227="e"),G227," ")</f>
        <v> </v>
      </c>
      <c r="M227" s="334" t="str">
        <f aca="false">IF((E227="p"),G227," ")</f>
        <v> </v>
      </c>
      <c r="N227" s="334" t="str">
        <f aca="false">IF((E227="r"),G227," ")</f>
        <v> </v>
      </c>
      <c r="O227" s="334" t="str">
        <f aca="false">IF((E227="g"),G227," ")</f>
        <v> </v>
      </c>
      <c r="P227" s="334" t="str">
        <f aca="false">IF((E227="m"),G227," ")</f>
        <v> </v>
      </c>
      <c r="Q227" s="334" t="str">
        <f aca="false">IF((E227="t"),G227," ")</f>
        <v> </v>
      </c>
      <c r="R227" s="334" t="str">
        <f aca="false">IF((E227="a"),G227," ")</f>
        <v> </v>
      </c>
      <c r="S227" s="334" t="str">
        <f aca="false">IF((E227="l"),G227," ")</f>
        <v> </v>
      </c>
      <c r="T227" s="334" t="str">
        <f aca="false">IF((E227="b"),G227," ")</f>
        <v> </v>
      </c>
      <c r="U227" s="334" t="str">
        <f aca="false">IF((E227="i"),G227," ")</f>
        <v> </v>
      </c>
      <c r="V227" s="334" t="str">
        <f aca="false">IF((E227="o"),G227," ")</f>
        <v> </v>
      </c>
      <c r="W227" s="334" t="str">
        <f aca="false">IF((E227="f"),G227," ")</f>
        <v> </v>
      </c>
    </row>
    <row r="228" customFormat="false" ht="12.75" hidden="false" customHeight="false" outlineLevel="0" collapsed="false">
      <c r="A228" s="355"/>
      <c r="E228" s="365" t="str">
        <f aca="false">IF((G228&lt;&gt;0),"Enter Letter"," ")</f>
        <v> </v>
      </c>
      <c r="J228" s="334" t="str">
        <f aca="false">IF((E228="s"),G228," ")</f>
        <v> </v>
      </c>
      <c r="K228" s="334" t="str">
        <f aca="false">IF((E228="d"),G228," ")</f>
        <v> </v>
      </c>
      <c r="L228" s="334" t="str">
        <f aca="false">IF((E228="e"),G228," ")</f>
        <v> </v>
      </c>
      <c r="M228" s="334" t="str">
        <f aca="false">IF((E228="p"),G228," ")</f>
        <v> </v>
      </c>
      <c r="N228" s="334" t="str">
        <f aca="false">IF((E228="r"),G228," ")</f>
        <v> </v>
      </c>
      <c r="O228" s="334" t="str">
        <f aca="false">IF((E228="g"),G228," ")</f>
        <v> </v>
      </c>
      <c r="P228" s="334" t="str">
        <f aca="false">IF((E228="m"),G228," ")</f>
        <v> </v>
      </c>
      <c r="Q228" s="334" t="str">
        <f aca="false">IF((E228="t"),G228," ")</f>
        <v> </v>
      </c>
      <c r="R228" s="334" t="str">
        <f aca="false">IF((E228="a"),G228," ")</f>
        <v> </v>
      </c>
      <c r="S228" s="334" t="str">
        <f aca="false">IF((E228="l"),G228," ")</f>
        <v> </v>
      </c>
      <c r="T228" s="334" t="str">
        <f aca="false">IF((E228="b"),G228," ")</f>
        <v> </v>
      </c>
      <c r="U228" s="334" t="str">
        <f aca="false">IF((E228="i"),G228," ")</f>
        <v> </v>
      </c>
      <c r="V228" s="334" t="str">
        <f aca="false">IF((E228="o"),G228," ")</f>
        <v> </v>
      </c>
      <c r="W228" s="334" t="str">
        <f aca="false">IF((E228="f"),G228," ")</f>
        <v> </v>
      </c>
    </row>
    <row r="229" customFormat="false" ht="12.75" hidden="false" customHeight="false" outlineLevel="0" collapsed="false">
      <c r="A229" s="355"/>
      <c r="E229" s="365" t="str">
        <f aca="false">IF((G229&lt;&gt;0),"Enter Letter"," ")</f>
        <v> </v>
      </c>
      <c r="J229" s="334" t="str">
        <f aca="false">IF((E229="s"),G229," ")</f>
        <v> </v>
      </c>
      <c r="K229" s="334" t="str">
        <f aca="false">IF((E229="d"),G229," ")</f>
        <v> </v>
      </c>
      <c r="L229" s="334" t="str">
        <f aca="false">IF((E229="e"),G229," ")</f>
        <v> </v>
      </c>
      <c r="M229" s="334" t="str">
        <f aca="false">IF((E229="p"),G229," ")</f>
        <v> </v>
      </c>
      <c r="N229" s="334" t="str">
        <f aca="false">IF((E229="r"),G229," ")</f>
        <v> </v>
      </c>
      <c r="O229" s="334" t="str">
        <f aca="false">IF((E229="g"),G229," ")</f>
        <v> </v>
      </c>
      <c r="P229" s="334" t="str">
        <f aca="false">IF((E229="m"),G229," ")</f>
        <v> </v>
      </c>
      <c r="Q229" s="334" t="str">
        <f aca="false">IF((E229="t"),G229," ")</f>
        <v> </v>
      </c>
      <c r="R229" s="334" t="str">
        <f aca="false">IF((E229="a"),G229," ")</f>
        <v> </v>
      </c>
      <c r="S229" s="334" t="str">
        <f aca="false">IF((E229="l"),G229," ")</f>
        <v> </v>
      </c>
      <c r="T229" s="334" t="str">
        <f aca="false">IF((E229="b"),G229," ")</f>
        <v> </v>
      </c>
      <c r="U229" s="334" t="str">
        <f aca="false">IF((E229="i"),G229," ")</f>
        <v> </v>
      </c>
      <c r="V229" s="334" t="str">
        <f aca="false">IF((E229="o"),G229," ")</f>
        <v> </v>
      </c>
      <c r="W229" s="334" t="str">
        <f aca="false">IF((E229="f"),G229," ")</f>
        <v> </v>
      </c>
    </row>
    <row r="230" customFormat="false" ht="12.75" hidden="false" customHeight="false" outlineLevel="0" collapsed="false">
      <c r="A230" s="355"/>
      <c r="E230" s="365" t="str">
        <f aca="false">IF((G230&lt;&gt;0),"Enter Letter"," ")</f>
        <v> </v>
      </c>
      <c r="J230" s="334" t="str">
        <f aca="false">IF((E230="s"),G230," ")</f>
        <v> </v>
      </c>
      <c r="K230" s="334" t="str">
        <f aca="false">IF((E230="d"),G230," ")</f>
        <v> </v>
      </c>
      <c r="L230" s="334" t="str">
        <f aca="false">IF((E230="e"),G230," ")</f>
        <v> </v>
      </c>
      <c r="M230" s="334" t="str">
        <f aca="false">IF((E230="p"),G230," ")</f>
        <v> </v>
      </c>
      <c r="N230" s="334" t="str">
        <f aca="false">IF((E230="r"),G230," ")</f>
        <v> </v>
      </c>
      <c r="O230" s="334" t="str">
        <f aca="false">IF((E230="g"),G230," ")</f>
        <v> </v>
      </c>
      <c r="P230" s="334" t="str">
        <f aca="false">IF((E230="m"),G230," ")</f>
        <v> </v>
      </c>
      <c r="Q230" s="334" t="str">
        <f aca="false">IF((E230="t"),G230," ")</f>
        <v> </v>
      </c>
      <c r="R230" s="334" t="str">
        <f aca="false">IF((E230="a"),G230," ")</f>
        <v> </v>
      </c>
      <c r="S230" s="334" t="str">
        <f aca="false">IF((E230="l"),G230," ")</f>
        <v> </v>
      </c>
      <c r="T230" s="334" t="str">
        <f aca="false">IF((E230="b"),G230," ")</f>
        <v> </v>
      </c>
      <c r="U230" s="334" t="str">
        <f aca="false">IF((E230="i"),G230," ")</f>
        <v> </v>
      </c>
      <c r="V230" s="334" t="str">
        <f aca="false">IF((E230="o"),G230," ")</f>
        <v> </v>
      </c>
      <c r="W230" s="334" t="str">
        <f aca="false">IF((E230="f"),G230," ")</f>
        <v> </v>
      </c>
    </row>
    <row r="231" customFormat="false" ht="12.75" hidden="false" customHeight="false" outlineLevel="0" collapsed="false">
      <c r="A231" s="355"/>
      <c r="E231" s="365" t="str">
        <f aca="false">IF((G231&lt;&gt;0),"Enter Letter"," ")</f>
        <v> </v>
      </c>
      <c r="J231" s="334" t="str">
        <f aca="false">IF((E231="s"),G231," ")</f>
        <v> </v>
      </c>
      <c r="K231" s="334" t="str">
        <f aca="false">IF((E231="d"),G231," ")</f>
        <v> </v>
      </c>
      <c r="L231" s="334" t="str">
        <f aca="false">IF((E231="e"),G231," ")</f>
        <v> </v>
      </c>
      <c r="M231" s="334" t="str">
        <f aca="false">IF((E231="p"),G231," ")</f>
        <v> </v>
      </c>
      <c r="N231" s="334" t="str">
        <f aca="false">IF((E231="r"),G231," ")</f>
        <v> </v>
      </c>
      <c r="O231" s="334" t="str">
        <f aca="false">IF((E231="g"),G231," ")</f>
        <v> </v>
      </c>
      <c r="P231" s="334" t="str">
        <f aca="false">IF((E231="m"),G231," ")</f>
        <v> </v>
      </c>
      <c r="Q231" s="334" t="str">
        <f aca="false">IF((E231="t"),G231," ")</f>
        <v> </v>
      </c>
      <c r="R231" s="334" t="str">
        <f aca="false">IF((E231="a"),G231," ")</f>
        <v> </v>
      </c>
      <c r="S231" s="334" t="str">
        <f aca="false">IF((E231="l"),G231," ")</f>
        <v> </v>
      </c>
      <c r="T231" s="334" t="str">
        <f aca="false">IF((E231="b"),G231," ")</f>
        <v> </v>
      </c>
      <c r="U231" s="334" t="str">
        <f aca="false">IF((E231="i"),G231," ")</f>
        <v> </v>
      </c>
      <c r="V231" s="334" t="str">
        <f aca="false">IF((E231="o"),G231," ")</f>
        <v> </v>
      </c>
      <c r="W231" s="334" t="str">
        <f aca="false">IF((E231="f"),G231," ")</f>
        <v> </v>
      </c>
    </row>
    <row r="232" customFormat="false" ht="12.75" hidden="false" customHeight="false" outlineLevel="0" collapsed="false">
      <c r="A232" s="355"/>
      <c r="E232" s="365" t="str">
        <f aca="false">IF((G232&lt;&gt;0),"Enter Letter"," ")</f>
        <v> </v>
      </c>
      <c r="J232" s="334" t="str">
        <f aca="false">IF((E232="s"),G232," ")</f>
        <v> </v>
      </c>
      <c r="K232" s="334" t="str">
        <f aca="false">IF((E232="d"),G232," ")</f>
        <v> </v>
      </c>
      <c r="L232" s="334" t="str">
        <f aca="false">IF((E232="e"),G232," ")</f>
        <v> </v>
      </c>
      <c r="M232" s="334" t="str">
        <f aca="false">IF((E232="p"),G232," ")</f>
        <v> </v>
      </c>
      <c r="N232" s="334" t="str">
        <f aca="false">IF((E232="r"),G232," ")</f>
        <v> </v>
      </c>
      <c r="O232" s="334" t="str">
        <f aca="false">IF((E232="g"),G232," ")</f>
        <v> </v>
      </c>
      <c r="P232" s="334" t="str">
        <f aca="false">IF((E232="m"),G232," ")</f>
        <v> </v>
      </c>
      <c r="Q232" s="334" t="str">
        <f aca="false">IF((E232="t"),G232," ")</f>
        <v> </v>
      </c>
      <c r="R232" s="334" t="str">
        <f aca="false">IF((E232="a"),G232," ")</f>
        <v> </v>
      </c>
      <c r="S232" s="334" t="str">
        <f aca="false">IF((E232="l"),G232," ")</f>
        <v> </v>
      </c>
      <c r="T232" s="334" t="str">
        <f aca="false">IF((E232="b"),G232," ")</f>
        <v> </v>
      </c>
      <c r="U232" s="334" t="str">
        <f aca="false">IF((E232="i"),G232," ")</f>
        <v> </v>
      </c>
      <c r="V232" s="334" t="str">
        <f aca="false">IF((E232="o"),G232," ")</f>
        <v> </v>
      </c>
      <c r="W232" s="334" t="str">
        <f aca="false">IF((E232="f"),G232," ")</f>
        <v> </v>
      </c>
    </row>
    <row r="233" customFormat="false" ht="12.75" hidden="false" customHeight="false" outlineLevel="0" collapsed="false">
      <c r="A233" s="355"/>
      <c r="E233" s="365" t="str">
        <f aca="false">IF((G233&lt;&gt;0),"Enter Letter"," ")</f>
        <v> </v>
      </c>
      <c r="J233" s="334" t="str">
        <f aca="false">IF((E233="s"),G233," ")</f>
        <v> </v>
      </c>
      <c r="K233" s="334" t="str">
        <f aca="false">IF((E233="d"),G233," ")</f>
        <v> </v>
      </c>
      <c r="L233" s="334" t="str">
        <f aca="false">IF((E233="e"),G233," ")</f>
        <v> </v>
      </c>
      <c r="M233" s="334" t="str">
        <f aca="false">IF((E233="p"),G233," ")</f>
        <v> </v>
      </c>
      <c r="N233" s="334" t="str">
        <f aca="false">IF((E233="r"),G233," ")</f>
        <v> </v>
      </c>
      <c r="O233" s="334" t="str">
        <f aca="false">IF((E233="g"),G233," ")</f>
        <v> </v>
      </c>
      <c r="P233" s="334" t="str">
        <f aca="false">IF((E233="m"),G233," ")</f>
        <v> </v>
      </c>
      <c r="Q233" s="334" t="str">
        <f aca="false">IF((E233="t"),G233," ")</f>
        <v> </v>
      </c>
      <c r="R233" s="334" t="str">
        <f aca="false">IF((E233="a"),G233," ")</f>
        <v> </v>
      </c>
      <c r="S233" s="334" t="str">
        <f aca="false">IF((E233="l"),G233," ")</f>
        <v> </v>
      </c>
      <c r="T233" s="334" t="str">
        <f aca="false">IF((E233="b"),G233," ")</f>
        <v> </v>
      </c>
      <c r="U233" s="334" t="str">
        <f aca="false">IF((E233="i"),G233," ")</f>
        <v> </v>
      </c>
      <c r="V233" s="334" t="str">
        <f aca="false">IF((E233="o"),G233," ")</f>
        <v> </v>
      </c>
      <c r="W233" s="334" t="str">
        <f aca="false">IF((E233="f"),G233," ")</f>
        <v> </v>
      </c>
    </row>
    <row r="234" customFormat="false" ht="12.75" hidden="false" customHeight="false" outlineLevel="0" collapsed="false">
      <c r="A234" s="355"/>
      <c r="E234" s="365" t="str">
        <f aca="false">IF((G234&lt;&gt;0),"Enter Letter"," ")</f>
        <v> </v>
      </c>
      <c r="J234" s="334" t="str">
        <f aca="false">IF((E234="s"),G234," ")</f>
        <v> </v>
      </c>
      <c r="K234" s="334" t="str">
        <f aca="false">IF((E234="d"),G234," ")</f>
        <v> </v>
      </c>
      <c r="L234" s="334" t="str">
        <f aca="false">IF((E234="e"),G234," ")</f>
        <v> </v>
      </c>
      <c r="M234" s="334" t="str">
        <f aca="false">IF((E234="p"),G234," ")</f>
        <v> </v>
      </c>
      <c r="N234" s="334" t="str">
        <f aca="false">IF((E234="r"),G234," ")</f>
        <v> </v>
      </c>
      <c r="O234" s="334" t="str">
        <f aca="false">IF((E234="g"),G234," ")</f>
        <v> </v>
      </c>
      <c r="P234" s="334" t="str">
        <f aca="false">IF((E234="m"),G234," ")</f>
        <v> </v>
      </c>
      <c r="Q234" s="334" t="str">
        <f aca="false">IF((E234="t"),G234," ")</f>
        <v> </v>
      </c>
      <c r="R234" s="334" t="str">
        <f aca="false">IF((E234="a"),G234," ")</f>
        <v> </v>
      </c>
      <c r="S234" s="334" t="str">
        <f aca="false">IF((E234="l"),G234," ")</f>
        <v> </v>
      </c>
      <c r="T234" s="334" t="str">
        <f aca="false">IF((E234="b"),G234," ")</f>
        <v> </v>
      </c>
      <c r="U234" s="334" t="str">
        <f aca="false">IF((E234="i"),G234," ")</f>
        <v> </v>
      </c>
      <c r="V234" s="334" t="str">
        <f aca="false">IF((E234="o"),G234," ")</f>
        <v> </v>
      </c>
      <c r="W234" s="334" t="str">
        <f aca="false">IF((E234="f"),G234," ")</f>
        <v> </v>
      </c>
    </row>
    <row r="235" customFormat="false" ht="12.75" hidden="false" customHeight="false" outlineLevel="0" collapsed="false">
      <c r="A235" s="355"/>
      <c r="E235" s="365" t="str">
        <f aca="false">IF((G235&lt;&gt;0),"Enter Letter"," ")</f>
        <v> </v>
      </c>
      <c r="J235" s="334" t="str">
        <f aca="false">IF((E235="s"),G235," ")</f>
        <v> </v>
      </c>
      <c r="K235" s="334" t="str">
        <f aca="false">IF((E235="d"),G235," ")</f>
        <v> </v>
      </c>
      <c r="L235" s="334" t="str">
        <f aca="false">IF((E235="e"),G235," ")</f>
        <v> </v>
      </c>
      <c r="M235" s="334" t="str">
        <f aca="false">IF((E235="p"),G235," ")</f>
        <v> </v>
      </c>
      <c r="N235" s="334" t="str">
        <f aca="false">IF((E235="r"),G235," ")</f>
        <v> </v>
      </c>
      <c r="O235" s="334" t="str">
        <f aca="false">IF((E235="g"),G235," ")</f>
        <v> </v>
      </c>
      <c r="P235" s="334" t="str">
        <f aca="false">IF((E235="m"),G235," ")</f>
        <v> </v>
      </c>
      <c r="Q235" s="334" t="str">
        <f aca="false">IF((E235="t"),G235," ")</f>
        <v> </v>
      </c>
      <c r="R235" s="334" t="str">
        <f aca="false">IF((E235="a"),G235," ")</f>
        <v> </v>
      </c>
      <c r="S235" s="334" t="str">
        <f aca="false">IF((E235="l"),G235," ")</f>
        <v> </v>
      </c>
      <c r="T235" s="334" t="str">
        <f aca="false">IF((E235="b"),G235," ")</f>
        <v> </v>
      </c>
      <c r="U235" s="334" t="str">
        <f aca="false">IF((E235="i"),G235," ")</f>
        <v> </v>
      </c>
      <c r="V235" s="334" t="str">
        <f aca="false">IF((E235="o"),G235," ")</f>
        <v> </v>
      </c>
      <c r="W235" s="334" t="str">
        <f aca="false">IF((E235="f"),G235," ")</f>
        <v> </v>
      </c>
    </row>
    <row r="236" customFormat="false" ht="12.75" hidden="false" customHeight="false" outlineLevel="0" collapsed="false">
      <c r="A236" s="355"/>
      <c r="E236" s="365" t="str">
        <f aca="false">IF((G236&lt;&gt;0),"Enter Letter"," ")</f>
        <v> </v>
      </c>
      <c r="J236" s="334" t="str">
        <f aca="false">IF((E236="s"),G236," ")</f>
        <v> </v>
      </c>
      <c r="K236" s="334" t="str">
        <f aca="false">IF((E236="d"),G236," ")</f>
        <v> </v>
      </c>
      <c r="L236" s="334" t="str">
        <f aca="false">IF((E236="e"),G236," ")</f>
        <v> </v>
      </c>
      <c r="M236" s="334" t="str">
        <f aca="false">IF((E236="p"),G236," ")</f>
        <v> </v>
      </c>
      <c r="N236" s="334" t="str">
        <f aca="false">IF((E236="r"),G236," ")</f>
        <v> </v>
      </c>
      <c r="O236" s="334" t="str">
        <f aca="false">IF((E236="g"),G236," ")</f>
        <v> </v>
      </c>
      <c r="P236" s="334" t="str">
        <f aca="false">IF((E236="m"),G236," ")</f>
        <v> </v>
      </c>
      <c r="Q236" s="334" t="str">
        <f aca="false">IF((E236="t"),G236," ")</f>
        <v> </v>
      </c>
      <c r="R236" s="334" t="str">
        <f aca="false">IF((E236="a"),G236," ")</f>
        <v> </v>
      </c>
      <c r="S236" s="334" t="str">
        <f aca="false">IF((E236="l"),G236," ")</f>
        <v> </v>
      </c>
      <c r="T236" s="334" t="str">
        <f aca="false">IF((E236="b"),G236," ")</f>
        <v> </v>
      </c>
      <c r="U236" s="334" t="str">
        <f aca="false">IF((E236="i"),G236," ")</f>
        <v> </v>
      </c>
      <c r="V236" s="334" t="str">
        <f aca="false">IF((E236="o"),G236," ")</f>
        <v> </v>
      </c>
      <c r="W236" s="334" t="str">
        <f aca="false">IF((E236="f"),G236," ")</f>
        <v> </v>
      </c>
    </row>
    <row r="237" customFormat="false" ht="12.75" hidden="false" customHeight="false" outlineLevel="0" collapsed="false">
      <c r="A237" s="355"/>
      <c r="E237" s="365" t="str">
        <f aca="false">IF((G237&lt;&gt;0),"Enter Letter"," ")</f>
        <v> </v>
      </c>
      <c r="J237" s="334" t="str">
        <f aca="false">IF((E237="s"),G237," ")</f>
        <v> </v>
      </c>
      <c r="K237" s="334" t="str">
        <f aca="false">IF((E237="d"),G237," ")</f>
        <v> </v>
      </c>
      <c r="L237" s="334" t="str">
        <f aca="false">IF((E237="e"),G237," ")</f>
        <v> </v>
      </c>
      <c r="M237" s="334" t="str">
        <f aca="false">IF((E237="p"),G237," ")</f>
        <v> </v>
      </c>
      <c r="N237" s="334" t="str">
        <f aca="false">IF((E237="r"),G237," ")</f>
        <v> </v>
      </c>
      <c r="O237" s="334" t="str">
        <f aca="false">IF((E237="g"),G237," ")</f>
        <v> </v>
      </c>
      <c r="P237" s="334" t="str">
        <f aca="false">IF((E237="m"),G237," ")</f>
        <v> </v>
      </c>
      <c r="Q237" s="334" t="str">
        <f aca="false">IF((E237="t"),G237," ")</f>
        <v> </v>
      </c>
      <c r="R237" s="334" t="str">
        <f aca="false">IF((E237="a"),G237," ")</f>
        <v> </v>
      </c>
      <c r="S237" s="334" t="str">
        <f aca="false">IF((E237="l"),G237," ")</f>
        <v> </v>
      </c>
      <c r="T237" s="334" t="str">
        <f aca="false">IF((E237="b"),G237," ")</f>
        <v> </v>
      </c>
      <c r="U237" s="334" t="str">
        <f aca="false">IF((E237="i"),G237," ")</f>
        <v> </v>
      </c>
      <c r="V237" s="334" t="str">
        <f aca="false">IF((E237="o"),G237," ")</f>
        <v> </v>
      </c>
      <c r="W237" s="334" t="str">
        <f aca="false">IF((E237="f"),G237," ")</f>
        <v> </v>
      </c>
    </row>
    <row r="238" customFormat="false" ht="12.75" hidden="false" customHeight="false" outlineLevel="0" collapsed="false">
      <c r="A238" s="355"/>
      <c r="E238" s="365" t="str">
        <f aca="false">IF((G238&lt;&gt;0),"Enter Letter"," ")</f>
        <v> </v>
      </c>
      <c r="J238" s="334" t="str">
        <f aca="false">IF((E238="s"),G238," ")</f>
        <v> </v>
      </c>
      <c r="K238" s="334" t="str">
        <f aca="false">IF((E238="d"),G238," ")</f>
        <v> </v>
      </c>
      <c r="L238" s="334" t="str">
        <f aca="false">IF((E238="e"),G238," ")</f>
        <v> </v>
      </c>
      <c r="M238" s="334" t="str">
        <f aca="false">IF((E238="p"),G238," ")</f>
        <v> </v>
      </c>
      <c r="N238" s="334" t="str">
        <f aca="false">IF((E238="r"),G238," ")</f>
        <v> </v>
      </c>
      <c r="O238" s="334" t="str">
        <f aca="false">IF((E238="g"),G238," ")</f>
        <v> </v>
      </c>
      <c r="P238" s="334" t="str">
        <f aca="false">IF((E238="m"),G238," ")</f>
        <v> </v>
      </c>
      <c r="Q238" s="334" t="str">
        <f aca="false">IF((E238="t"),G238," ")</f>
        <v> </v>
      </c>
      <c r="R238" s="334" t="str">
        <f aca="false">IF((E238="a"),G238," ")</f>
        <v> </v>
      </c>
      <c r="S238" s="334" t="str">
        <f aca="false">IF((E238="l"),G238," ")</f>
        <v> </v>
      </c>
      <c r="T238" s="334" t="str">
        <f aca="false">IF((E238="b"),G238," ")</f>
        <v> </v>
      </c>
      <c r="U238" s="334" t="str">
        <f aca="false">IF((E238="i"),G238," ")</f>
        <v> </v>
      </c>
      <c r="V238" s="334" t="str">
        <f aca="false">IF((E238="o"),G238," ")</f>
        <v> </v>
      </c>
      <c r="W238" s="334" t="str">
        <f aca="false">IF((E238="f"),G238," ")</f>
        <v> </v>
      </c>
    </row>
    <row r="239" customFormat="false" ht="12.75" hidden="false" customHeight="false" outlineLevel="0" collapsed="false">
      <c r="A239" s="355"/>
      <c r="E239" s="365" t="str">
        <f aca="false">IF((G239&lt;&gt;0),"Enter Letter"," ")</f>
        <v> </v>
      </c>
      <c r="J239" s="334" t="str">
        <f aca="false">IF((E239="s"),G239," ")</f>
        <v> </v>
      </c>
      <c r="K239" s="334" t="str">
        <f aca="false">IF((E239="d"),G239," ")</f>
        <v> </v>
      </c>
      <c r="L239" s="334" t="str">
        <f aca="false">IF((E239="e"),G239," ")</f>
        <v> </v>
      </c>
      <c r="M239" s="334" t="str">
        <f aca="false">IF((E239="p"),G239," ")</f>
        <v> </v>
      </c>
      <c r="N239" s="334" t="str">
        <f aca="false">IF((E239="r"),G239," ")</f>
        <v> </v>
      </c>
      <c r="O239" s="334" t="str">
        <f aca="false">IF((E239="g"),G239," ")</f>
        <v> </v>
      </c>
      <c r="P239" s="334" t="str">
        <f aca="false">IF((E239="m"),G239," ")</f>
        <v> </v>
      </c>
      <c r="Q239" s="334" t="str">
        <f aca="false">IF((E239="t"),G239," ")</f>
        <v> </v>
      </c>
      <c r="R239" s="334" t="str">
        <f aca="false">IF((E239="a"),G239," ")</f>
        <v> </v>
      </c>
      <c r="S239" s="334" t="str">
        <f aca="false">IF((E239="l"),G239," ")</f>
        <v> </v>
      </c>
      <c r="T239" s="334" t="str">
        <f aca="false">IF((E239="b"),G239," ")</f>
        <v> </v>
      </c>
      <c r="U239" s="334" t="str">
        <f aca="false">IF((E239="i"),G239," ")</f>
        <v> </v>
      </c>
      <c r="V239" s="334" t="str">
        <f aca="false">IF((E239="o"),G239," ")</f>
        <v> </v>
      </c>
      <c r="W239" s="334" t="str">
        <f aca="false">IF((E239="f"),G239," ")</f>
        <v> </v>
      </c>
    </row>
    <row r="240" customFormat="false" ht="12.75" hidden="false" customHeight="false" outlineLevel="0" collapsed="false">
      <c r="A240" s="355"/>
      <c r="E240" s="365" t="str">
        <f aca="false">IF((G240&lt;&gt;0),"Enter Letter"," ")</f>
        <v> </v>
      </c>
      <c r="J240" s="334" t="str">
        <f aca="false">IF((E240="s"),G240," ")</f>
        <v> </v>
      </c>
      <c r="K240" s="334" t="str">
        <f aca="false">IF((E240="d"),G240," ")</f>
        <v> </v>
      </c>
      <c r="L240" s="334" t="str">
        <f aca="false">IF((E240="e"),G240," ")</f>
        <v> </v>
      </c>
      <c r="M240" s="334" t="str">
        <f aca="false">IF((E240="p"),G240," ")</f>
        <v> </v>
      </c>
      <c r="N240" s="334" t="str">
        <f aca="false">IF((E240="r"),G240," ")</f>
        <v> </v>
      </c>
      <c r="O240" s="334" t="str">
        <f aca="false">IF((E240="g"),G240," ")</f>
        <v> </v>
      </c>
      <c r="P240" s="334" t="str">
        <f aca="false">IF((E240="m"),G240," ")</f>
        <v> </v>
      </c>
      <c r="Q240" s="334" t="str">
        <f aca="false">IF((E240="t"),G240," ")</f>
        <v> </v>
      </c>
      <c r="R240" s="334" t="str">
        <f aca="false">IF((E240="a"),G240," ")</f>
        <v> </v>
      </c>
      <c r="S240" s="334" t="str">
        <f aca="false">IF((E240="l"),G240," ")</f>
        <v> </v>
      </c>
      <c r="T240" s="334" t="str">
        <f aca="false">IF((E240="b"),G240," ")</f>
        <v> </v>
      </c>
      <c r="U240" s="334" t="str">
        <f aca="false">IF((E240="i"),G240," ")</f>
        <v> </v>
      </c>
      <c r="V240" s="334" t="str">
        <f aca="false">IF((E240="o"),G240," ")</f>
        <v> </v>
      </c>
      <c r="W240" s="334" t="str">
        <f aca="false">IF((E240="f"),G240," ")</f>
        <v> </v>
      </c>
    </row>
    <row r="241" customFormat="false" ht="12.75" hidden="false" customHeight="false" outlineLevel="0" collapsed="false">
      <c r="A241" s="355"/>
      <c r="E241" s="365" t="str">
        <f aca="false">IF((G241&lt;&gt;0),"Enter Letter"," ")</f>
        <v> </v>
      </c>
      <c r="J241" s="334" t="str">
        <f aca="false">IF((E241="s"),G241," ")</f>
        <v> </v>
      </c>
      <c r="K241" s="334" t="str">
        <f aca="false">IF((E241="d"),G241," ")</f>
        <v> </v>
      </c>
      <c r="L241" s="334" t="str">
        <f aca="false">IF((E241="e"),G241," ")</f>
        <v> </v>
      </c>
      <c r="M241" s="334" t="str">
        <f aca="false">IF((E241="p"),G241," ")</f>
        <v> </v>
      </c>
      <c r="N241" s="334" t="str">
        <f aca="false">IF((E241="r"),G241," ")</f>
        <v> </v>
      </c>
      <c r="O241" s="334" t="str">
        <f aca="false">IF((E241="g"),G241," ")</f>
        <v> </v>
      </c>
      <c r="P241" s="334" t="str">
        <f aca="false">IF((E241="m"),G241," ")</f>
        <v> </v>
      </c>
      <c r="Q241" s="334" t="str">
        <f aca="false">IF((E241="t"),G241," ")</f>
        <v> </v>
      </c>
      <c r="R241" s="334" t="str">
        <f aca="false">IF((E241="a"),G241," ")</f>
        <v> </v>
      </c>
      <c r="S241" s="334" t="str">
        <f aca="false">IF((E241="l"),G241," ")</f>
        <v> </v>
      </c>
      <c r="T241" s="334" t="str">
        <f aca="false">IF((E241="b"),G241," ")</f>
        <v> </v>
      </c>
      <c r="U241" s="334" t="str">
        <f aca="false">IF((E241="i"),G241," ")</f>
        <v> </v>
      </c>
      <c r="V241" s="334" t="str">
        <f aca="false">IF((E241="o"),G241," ")</f>
        <v> </v>
      </c>
      <c r="W241" s="334" t="str">
        <f aca="false">IF((E241="f"),G241," ")</f>
        <v> </v>
      </c>
    </row>
    <row r="242" customFormat="false" ht="12.75" hidden="false" customHeight="false" outlineLevel="0" collapsed="false">
      <c r="A242" s="355"/>
      <c r="E242" s="365" t="str">
        <f aca="false">IF((G242&lt;&gt;0),"Enter Letter"," ")</f>
        <v> </v>
      </c>
      <c r="J242" s="334" t="str">
        <f aca="false">IF((E242="s"),G242," ")</f>
        <v> </v>
      </c>
      <c r="K242" s="334" t="str">
        <f aca="false">IF((E242="d"),G242," ")</f>
        <v> </v>
      </c>
      <c r="L242" s="334" t="str">
        <f aca="false">IF((E242="e"),G242," ")</f>
        <v> </v>
      </c>
      <c r="M242" s="334" t="str">
        <f aca="false">IF((E242="p"),G242," ")</f>
        <v> </v>
      </c>
      <c r="N242" s="334" t="str">
        <f aca="false">IF((E242="r"),G242," ")</f>
        <v> </v>
      </c>
      <c r="O242" s="334" t="str">
        <f aca="false">IF((E242="g"),G242," ")</f>
        <v> </v>
      </c>
      <c r="P242" s="334" t="str">
        <f aca="false">IF((E242="m"),G242," ")</f>
        <v> </v>
      </c>
      <c r="Q242" s="334" t="str">
        <f aca="false">IF((E242="t"),G242," ")</f>
        <v> </v>
      </c>
      <c r="R242" s="334" t="str">
        <f aca="false">IF((E242="a"),G242," ")</f>
        <v> </v>
      </c>
      <c r="S242" s="334" t="str">
        <f aca="false">IF((E242="l"),G242," ")</f>
        <v> </v>
      </c>
      <c r="T242" s="334" t="str">
        <f aca="false">IF((E242="b"),G242," ")</f>
        <v> </v>
      </c>
      <c r="U242" s="334" t="str">
        <f aca="false">IF((E242="i"),G242," ")</f>
        <v> </v>
      </c>
      <c r="V242" s="334" t="str">
        <f aca="false">IF((E242="o"),G242," ")</f>
        <v> </v>
      </c>
      <c r="W242" s="334" t="str">
        <f aca="false">IF((E242="f"),G242," ")</f>
        <v> </v>
      </c>
    </row>
    <row r="243" customFormat="false" ht="12.75" hidden="false" customHeight="false" outlineLevel="0" collapsed="false">
      <c r="A243" s="355"/>
      <c r="E243" s="365" t="str">
        <f aca="false">IF((G243&lt;&gt;0),"Enter Letter"," ")</f>
        <v> </v>
      </c>
      <c r="J243" s="334" t="str">
        <f aca="false">IF((E243="s"),G243," ")</f>
        <v> </v>
      </c>
      <c r="K243" s="334" t="str">
        <f aca="false">IF((E243="d"),G243," ")</f>
        <v> </v>
      </c>
      <c r="L243" s="334" t="str">
        <f aca="false">IF((E243="e"),G243," ")</f>
        <v> </v>
      </c>
      <c r="M243" s="334" t="str">
        <f aca="false">IF((E243="p"),G243," ")</f>
        <v> </v>
      </c>
      <c r="N243" s="334" t="str">
        <f aca="false">IF((E243="r"),G243," ")</f>
        <v> </v>
      </c>
      <c r="O243" s="334" t="str">
        <f aca="false">IF((E243="g"),G243," ")</f>
        <v> </v>
      </c>
      <c r="P243" s="334" t="str">
        <f aca="false">IF((E243="m"),G243," ")</f>
        <v> </v>
      </c>
      <c r="Q243" s="334" t="str">
        <f aca="false">IF((E243="t"),G243," ")</f>
        <v> </v>
      </c>
      <c r="R243" s="334" t="str">
        <f aca="false">IF((E243="a"),G243," ")</f>
        <v> </v>
      </c>
      <c r="S243" s="334" t="str">
        <f aca="false">IF((E243="l"),G243," ")</f>
        <v> </v>
      </c>
      <c r="T243" s="334" t="str">
        <f aca="false">IF((E243="b"),G243," ")</f>
        <v> </v>
      </c>
      <c r="U243" s="334" t="str">
        <f aca="false">IF((E243="i"),G243," ")</f>
        <v> </v>
      </c>
      <c r="V243" s="334" t="str">
        <f aca="false">IF((E243="o"),G243," ")</f>
        <v> </v>
      </c>
      <c r="W243" s="334" t="str">
        <f aca="false">IF((E243="f"),G243," ")</f>
        <v> </v>
      </c>
    </row>
    <row r="244" customFormat="false" ht="12.75" hidden="false" customHeight="false" outlineLevel="0" collapsed="false">
      <c r="A244" s="355"/>
      <c r="E244" s="365" t="str">
        <f aca="false">IF((G244&lt;&gt;0),"Enter Letter"," ")</f>
        <v> </v>
      </c>
      <c r="J244" s="334" t="str">
        <f aca="false">IF((E244="s"),G244," ")</f>
        <v> </v>
      </c>
      <c r="K244" s="334" t="str">
        <f aca="false">IF((E244="d"),G244," ")</f>
        <v> </v>
      </c>
      <c r="L244" s="334" t="str">
        <f aca="false">IF((E244="e"),G244," ")</f>
        <v> </v>
      </c>
      <c r="M244" s="334" t="str">
        <f aca="false">IF((E244="p"),G244," ")</f>
        <v> </v>
      </c>
      <c r="N244" s="334" t="str">
        <f aca="false">IF((E244="r"),G244," ")</f>
        <v> </v>
      </c>
      <c r="O244" s="334" t="str">
        <f aca="false">IF((E244="g"),G244," ")</f>
        <v> </v>
      </c>
      <c r="P244" s="334" t="str">
        <f aca="false">IF((E244="m"),G244," ")</f>
        <v> </v>
      </c>
      <c r="Q244" s="334" t="str">
        <f aca="false">IF((E244="t"),G244," ")</f>
        <v> </v>
      </c>
      <c r="R244" s="334" t="str">
        <f aca="false">IF((E244="a"),G244," ")</f>
        <v> </v>
      </c>
      <c r="S244" s="334" t="str">
        <f aca="false">IF((E244="l"),G244," ")</f>
        <v> </v>
      </c>
      <c r="T244" s="334" t="str">
        <f aca="false">IF((E244="b"),G244," ")</f>
        <v> </v>
      </c>
      <c r="U244" s="334" t="str">
        <f aca="false">IF((E244="i"),G244," ")</f>
        <v> </v>
      </c>
      <c r="V244" s="334" t="str">
        <f aca="false">IF((E244="o"),G244," ")</f>
        <v> </v>
      </c>
      <c r="W244" s="334" t="str">
        <f aca="false">IF((E244="f"),G244," ")</f>
        <v> </v>
      </c>
    </row>
    <row r="245" customFormat="false" ht="12.75" hidden="false" customHeight="false" outlineLevel="0" collapsed="false">
      <c r="A245" s="355"/>
      <c r="E245" s="365" t="str">
        <f aca="false">IF((G245&lt;&gt;0),"Enter Letter"," ")</f>
        <v> </v>
      </c>
      <c r="J245" s="334" t="str">
        <f aca="false">IF((E245="s"),G245," ")</f>
        <v> </v>
      </c>
      <c r="K245" s="334" t="str">
        <f aca="false">IF((E245="d"),G245," ")</f>
        <v> </v>
      </c>
      <c r="L245" s="334" t="str">
        <f aca="false">IF((E245="e"),G245," ")</f>
        <v> </v>
      </c>
      <c r="M245" s="334" t="str">
        <f aca="false">IF((E245="p"),G245," ")</f>
        <v> </v>
      </c>
      <c r="N245" s="334" t="str">
        <f aca="false">IF((E245="r"),G245," ")</f>
        <v> </v>
      </c>
      <c r="O245" s="334" t="str">
        <f aca="false">IF((E245="g"),G245," ")</f>
        <v> </v>
      </c>
      <c r="P245" s="334" t="str">
        <f aca="false">IF((E245="m"),G245," ")</f>
        <v> </v>
      </c>
      <c r="Q245" s="334" t="str">
        <f aca="false">IF((E245="t"),G245," ")</f>
        <v> </v>
      </c>
      <c r="R245" s="334" t="str">
        <f aca="false">IF((E245="a"),G245," ")</f>
        <v> </v>
      </c>
      <c r="S245" s="334" t="str">
        <f aca="false">IF((E245="l"),G245," ")</f>
        <v> </v>
      </c>
      <c r="T245" s="334" t="str">
        <f aca="false">IF((E245="b"),G245," ")</f>
        <v> </v>
      </c>
      <c r="U245" s="334" t="str">
        <f aca="false">IF((E245="i"),G245," ")</f>
        <v> </v>
      </c>
      <c r="V245" s="334" t="str">
        <f aca="false">IF((E245="o"),G245," ")</f>
        <v> </v>
      </c>
      <c r="W245" s="334" t="str">
        <f aca="false">IF((E245="f"),G245," ")</f>
        <v> </v>
      </c>
    </row>
    <row r="246" customFormat="false" ht="12.75" hidden="false" customHeight="false" outlineLevel="0" collapsed="false">
      <c r="A246" s="355"/>
      <c r="E246" s="365" t="str">
        <f aca="false">IF((G246&lt;&gt;0),"Enter Letter"," ")</f>
        <v> </v>
      </c>
      <c r="J246" s="334" t="str">
        <f aca="false">IF((E246="s"),G246," ")</f>
        <v> </v>
      </c>
      <c r="K246" s="334" t="str">
        <f aca="false">IF((E246="d"),G246," ")</f>
        <v> </v>
      </c>
      <c r="L246" s="334" t="str">
        <f aca="false">IF((E246="e"),G246," ")</f>
        <v> </v>
      </c>
      <c r="M246" s="334" t="str">
        <f aca="false">IF((E246="p"),G246," ")</f>
        <v> </v>
      </c>
      <c r="N246" s="334" t="str">
        <f aca="false">IF((E246="r"),G246," ")</f>
        <v> </v>
      </c>
      <c r="O246" s="334" t="str">
        <f aca="false">IF((E246="g"),G246," ")</f>
        <v> </v>
      </c>
      <c r="P246" s="334" t="str">
        <f aca="false">IF((E246="m"),G246," ")</f>
        <v> </v>
      </c>
      <c r="Q246" s="334" t="str">
        <f aca="false">IF((E246="t"),G246," ")</f>
        <v> </v>
      </c>
      <c r="R246" s="334" t="str">
        <f aca="false">IF((E246="a"),G246," ")</f>
        <v> </v>
      </c>
      <c r="S246" s="334" t="str">
        <f aca="false">IF((E246="l"),G246," ")</f>
        <v> </v>
      </c>
      <c r="T246" s="334" t="str">
        <f aca="false">IF((E246="b"),G246," ")</f>
        <v> </v>
      </c>
      <c r="U246" s="334" t="str">
        <f aca="false">IF((E246="i"),G246," ")</f>
        <v> </v>
      </c>
      <c r="V246" s="334" t="str">
        <f aca="false">IF((E246="o"),G246," ")</f>
        <v> </v>
      </c>
      <c r="W246" s="334" t="str">
        <f aca="false">IF((E246="f"),G246," ")</f>
        <v> </v>
      </c>
    </row>
    <row r="247" customFormat="false" ht="12.75" hidden="false" customHeight="false" outlineLevel="0" collapsed="false">
      <c r="A247" s="355"/>
      <c r="E247" s="365" t="str">
        <f aca="false">IF((G247&lt;&gt;0),"Enter Letter"," ")</f>
        <v> </v>
      </c>
      <c r="J247" s="334" t="str">
        <f aca="false">IF((E247="s"),G247," ")</f>
        <v> </v>
      </c>
      <c r="K247" s="334" t="str">
        <f aca="false">IF((E247="d"),G247," ")</f>
        <v> </v>
      </c>
      <c r="L247" s="334" t="str">
        <f aca="false">IF((E247="e"),G247," ")</f>
        <v> </v>
      </c>
      <c r="M247" s="334" t="str">
        <f aca="false">IF((E247="p"),G247," ")</f>
        <v> </v>
      </c>
      <c r="N247" s="334" t="str">
        <f aca="false">IF((E247="r"),G247," ")</f>
        <v> </v>
      </c>
      <c r="O247" s="334" t="str">
        <f aca="false">IF((E247="g"),G247," ")</f>
        <v> </v>
      </c>
      <c r="P247" s="334" t="str">
        <f aca="false">IF((E247="m"),G247," ")</f>
        <v> </v>
      </c>
      <c r="Q247" s="334" t="str">
        <f aca="false">IF((E247="t"),G247," ")</f>
        <v> </v>
      </c>
      <c r="R247" s="334" t="str">
        <f aca="false">IF((E247="a"),G247," ")</f>
        <v> </v>
      </c>
      <c r="S247" s="334" t="str">
        <f aca="false">IF((E247="l"),G247," ")</f>
        <v> </v>
      </c>
      <c r="T247" s="334" t="str">
        <f aca="false">IF((E247="b"),G247," ")</f>
        <v> </v>
      </c>
      <c r="U247" s="334" t="str">
        <f aca="false">IF((E247="i"),G247," ")</f>
        <v> </v>
      </c>
      <c r="V247" s="334" t="str">
        <f aca="false">IF((E247="o"),G247," ")</f>
        <v> </v>
      </c>
      <c r="W247" s="334" t="str">
        <f aca="false">IF((E247="f"),G247," ")</f>
        <v> </v>
      </c>
    </row>
    <row r="248" customFormat="false" ht="12.75" hidden="false" customHeight="false" outlineLevel="0" collapsed="false">
      <c r="A248" s="355"/>
      <c r="E248" s="365" t="str">
        <f aca="false">IF((G248&lt;&gt;0),"Enter Letter"," ")</f>
        <v> </v>
      </c>
      <c r="J248" s="334" t="str">
        <f aca="false">IF((E248="s"),G248," ")</f>
        <v> </v>
      </c>
      <c r="K248" s="334" t="str">
        <f aca="false">IF((E248="d"),G248," ")</f>
        <v> </v>
      </c>
      <c r="L248" s="334" t="str">
        <f aca="false">IF((E248="e"),G248," ")</f>
        <v> </v>
      </c>
      <c r="M248" s="334" t="str">
        <f aca="false">IF((E248="p"),G248," ")</f>
        <v> </v>
      </c>
      <c r="N248" s="334" t="str">
        <f aca="false">IF((E248="r"),G248," ")</f>
        <v> </v>
      </c>
      <c r="O248" s="334" t="str">
        <f aca="false">IF((E248="g"),G248," ")</f>
        <v> </v>
      </c>
      <c r="P248" s="334" t="str">
        <f aca="false">IF((E248="m"),G248," ")</f>
        <v> </v>
      </c>
      <c r="Q248" s="334" t="str">
        <f aca="false">IF((E248="t"),G248," ")</f>
        <v> </v>
      </c>
      <c r="R248" s="334" t="str">
        <f aca="false">IF((E248="a"),G248," ")</f>
        <v> </v>
      </c>
      <c r="S248" s="334" t="str">
        <f aca="false">IF((E248="l"),G248," ")</f>
        <v> </v>
      </c>
      <c r="T248" s="334" t="str">
        <f aca="false">IF((E248="b"),G248," ")</f>
        <v> </v>
      </c>
      <c r="U248" s="334" t="str">
        <f aca="false">IF((E248="i"),G248," ")</f>
        <v> </v>
      </c>
      <c r="V248" s="334" t="str">
        <f aca="false">IF((E248="o"),G248," ")</f>
        <v> </v>
      </c>
      <c r="W248" s="334" t="str">
        <f aca="false">IF((E248="f"),G248," ")</f>
        <v> </v>
      </c>
    </row>
    <row r="249" customFormat="false" ht="12.75" hidden="false" customHeight="false" outlineLevel="0" collapsed="false">
      <c r="A249" s="355"/>
      <c r="E249" s="365" t="str">
        <f aca="false">IF((G249&lt;&gt;0),"Enter Letter"," ")</f>
        <v> </v>
      </c>
      <c r="J249" s="334" t="str">
        <f aca="false">IF((E249="s"),G249," ")</f>
        <v> </v>
      </c>
      <c r="K249" s="334" t="str">
        <f aca="false">IF((E249="d"),G249," ")</f>
        <v> </v>
      </c>
      <c r="L249" s="334" t="str">
        <f aca="false">IF((E249="e"),G249," ")</f>
        <v> </v>
      </c>
      <c r="M249" s="334" t="str">
        <f aca="false">IF((E249="p"),G249," ")</f>
        <v> </v>
      </c>
      <c r="N249" s="334" t="str">
        <f aca="false">IF((E249="r"),G249," ")</f>
        <v> </v>
      </c>
      <c r="O249" s="334" t="str">
        <f aca="false">IF((E249="g"),G249," ")</f>
        <v> </v>
      </c>
      <c r="P249" s="334" t="str">
        <f aca="false">IF((E249="m"),G249," ")</f>
        <v> </v>
      </c>
      <c r="Q249" s="334" t="str">
        <f aca="false">IF((E249="t"),G249," ")</f>
        <v> </v>
      </c>
      <c r="R249" s="334" t="str">
        <f aca="false">IF((E249="a"),G249," ")</f>
        <v> </v>
      </c>
      <c r="S249" s="334" t="str">
        <f aca="false">IF((E249="l"),G249," ")</f>
        <v> </v>
      </c>
      <c r="T249" s="334" t="str">
        <f aca="false">IF((E249="b"),G249," ")</f>
        <v> </v>
      </c>
      <c r="U249" s="334" t="str">
        <f aca="false">IF((E249="i"),G249," ")</f>
        <v> </v>
      </c>
      <c r="V249" s="334" t="str">
        <f aca="false">IF((E249="o"),G249," ")</f>
        <v> </v>
      </c>
      <c r="W249" s="334" t="str">
        <f aca="false">IF((E249="f"),G249," ")</f>
        <v> </v>
      </c>
    </row>
    <row r="250" customFormat="false" ht="12.75" hidden="false" customHeight="false" outlineLevel="0" collapsed="false">
      <c r="A250" s="355"/>
      <c r="E250" s="365" t="str">
        <f aca="false">IF((G250&lt;&gt;0),"Enter Letter"," ")</f>
        <v> </v>
      </c>
      <c r="J250" s="334" t="str">
        <f aca="false">IF((E250="s"),G250," ")</f>
        <v> </v>
      </c>
      <c r="K250" s="334" t="str">
        <f aca="false">IF((E250="d"),G250," ")</f>
        <v> </v>
      </c>
      <c r="L250" s="334" t="str">
        <f aca="false">IF((E250="e"),G250," ")</f>
        <v> </v>
      </c>
      <c r="M250" s="334" t="str">
        <f aca="false">IF((E250="p"),G250," ")</f>
        <v> </v>
      </c>
      <c r="N250" s="334" t="str">
        <f aca="false">IF((E250="r"),G250," ")</f>
        <v> </v>
      </c>
      <c r="O250" s="334" t="str">
        <f aca="false">IF((E250="g"),G250," ")</f>
        <v> </v>
      </c>
      <c r="P250" s="334" t="str">
        <f aca="false">IF((E250="m"),G250," ")</f>
        <v> </v>
      </c>
      <c r="Q250" s="334" t="str">
        <f aca="false">IF((E250="t"),G250," ")</f>
        <v> </v>
      </c>
      <c r="R250" s="334" t="str">
        <f aca="false">IF((E250="a"),G250," ")</f>
        <v> </v>
      </c>
      <c r="S250" s="334" t="str">
        <f aca="false">IF((E250="l"),G250," ")</f>
        <v> </v>
      </c>
      <c r="T250" s="334" t="str">
        <f aca="false">IF((E250="b"),G250," ")</f>
        <v> </v>
      </c>
      <c r="U250" s="334" t="str">
        <f aca="false">IF((E250="i"),G250," ")</f>
        <v> </v>
      </c>
      <c r="V250" s="334" t="str">
        <f aca="false">IF((E250="o"),G250," ")</f>
        <v> </v>
      </c>
      <c r="W250" s="334" t="str">
        <f aca="false">IF((E250="f"),G250," ")</f>
        <v> </v>
      </c>
    </row>
    <row r="251" customFormat="false" ht="12.75" hidden="false" customHeight="false" outlineLevel="0" collapsed="false">
      <c r="A251" s="355"/>
      <c r="E251" s="365" t="str">
        <f aca="false">IF((G251&lt;&gt;0),"Enter Letter"," ")</f>
        <v> </v>
      </c>
      <c r="J251" s="334" t="str">
        <f aca="false">IF((E251="s"),G251," ")</f>
        <v> </v>
      </c>
      <c r="K251" s="334" t="str">
        <f aca="false">IF((E251="d"),G251," ")</f>
        <v> </v>
      </c>
      <c r="L251" s="334" t="str">
        <f aca="false">IF((E251="e"),G251," ")</f>
        <v> </v>
      </c>
      <c r="M251" s="334" t="str">
        <f aca="false">IF((E251="p"),G251," ")</f>
        <v> </v>
      </c>
      <c r="N251" s="334" t="str">
        <f aca="false">IF((E251="r"),G251," ")</f>
        <v> </v>
      </c>
      <c r="O251" s="334" t="str">
        <f aca="false">IF((E251="g"),G251," ")</f>
        <v> </v>
      </c>
      <c r="P251" s="334" t="str">
        <f aca="false">IF((E251="m"),G251," ")</f>
        <v> </v>
      </c>
      <c r="Q251" s="334" t="str">
        <f aca="false">IF((E251="t"),G251," ")</f>
        <v> </v>
      </c>
      <c r="R251" s="334" t="str">
        <f aca="false">IF((E251="a"),G251," ")</f>
        <v> </v>
      </c>
      <c r="S251" s="334" t="str">
        <f aca="false">IF((E251="l"),G251," ")</f>
        <v> </v>
      </c>
      <c r="T251" s="334" t="str">
        <f aca="false">IF((E251="b"),G251," ")</f>
        <v> </v>
      </c>
      <c r="U251" s="334" t="str">
        <f aca="false">IF((E251="i"),G251," ")</f>
        <v> </v>
      </c>
      <c r="V251" s="334" t="str">
        <f aca="false">IF((E251="o"),G251," ")</f>
        <v> </v>
      </c>
      <c r="W251" s="334" t="str">
        <f aca="false">IF((E251="f"),G251," ")</f>
        <v> </v>
      </c>
    </row>
    <row r="252" customFormat="false" ht="12.75" hidden="false" customHeight="false" outlineLevel="0" collapsed="false">
      <c r="A252" s="355"/>
      <c r="E252" s="365" t="str">
        <f aca="false">IF((G252&lt;&gt;0),"Enter Letter"," ")</f>
        <v> </v>
      </c>
      <c r="J252" s="334" t="str">
        <f aca="false">IF((E252="s"),G252," ")</f>
        <v> </v>
      </c>
      <c r="K252" s="334" t="str">
        <f aca="false">IF((E252="d"),G252," ")</f>
        <v> </v>
      </c>
      <c r="L252" s="334" t="str">
        <f aca="false">IF((E252="e"),G252," ")</f>
        <v> </v>
      </c>
      <c r="M252" s="334" t="str">
        <f aca="false">IF((E252="p"),G252," ")</f>
        <v> </v>
      </c>
      <c r="N252" s="334" t="str">
        <f aca="false">IF((E252="r"),G252," ")</f>
        <v> </v>
      </c>
      <c r="O252" s="334" t="str">
        <f aca="false">IF((E252="g"),G252," ")</f>
        <v> </v>
      </c>
      <c r="P252" s="334" t="str">
        <f aca="false">IF((E252="m"),G252," ")</f>
        <v> </v>
      </c>
      <c r="Q252" s="334" t="str">
        <f aca="false">IF((E252="t"),G252," ")</f>
        <v> </v>
      </c>
      <c r="R252" s="334" t="str">
        <f aca="false">IF((E252="a"),G252," ")</f>
        <v> </v>
      </c>
      <c r="S252" s="334" t="str">
        <f aca="false">IF((E252="l"),G252," ")</f>
        <v> </v>
      </c>
      <c r="T252" s="334" t="str">
        <f aca="false">IF((E252="b"),G252," ")</f>
        <v> </v>
      </c>
      <c r="U252" s="334" t="str">
        <f aca="false">IF((E252="i"),G252," ")</f>
        <v> </v>
      </c>
      <c r="V252" s="334" t="str">
        <f aca="false">IF((E252="o"),G252," ")</f>
        <v> </v>
      </c>
      <c r="W252" s="334" t="str">
        <f aca="false">IF((E252="f"),G252," ")</f>
        <v> </v>
      </c>
    </row>
    <row r="253" customFormat="false" ht="12.75" hidden="false" customHeight="false" outlineLevel="0" collapsed="false">
      <c r="A253" s="355"/>
      <c r="E253" s="365" t="str">
        <f aca="false">IF((G253&lt;&gt;0),"Enter Letter"," ")</f>
        <v> </v>
      </c>
      <c r="J253" s="334" t="str">
        <f aca="false">IF((E253="s"),G253," ")</f>
        <v> </v>
      </c>
      <c r="K253" s="334" t="str">
        <f aca="false">IF((E253="d"),G253," ")</f>
        <v> </v>
      </c>
      <c r="L253" s="334" t="str">
        <f aca="false">IF((E253="e"),G253," ")</f>
        <v> </v>
      </c>
      <c r="M253" s="334" t="str">
        <f aca="false">IF((E253="p"),G253," ")</f>
        <v> </v>
      </c>
      <c r="N253" s="334" t="str">
        <f aca="false">IF((E253="r"),G253," ")</f>
        <v> </v>
      </c>
      <c r="O253" s="334" t="str">
        <f aca="false">IF((E253="g"),G253," ")</f>
        <v> </v>
      </c>
      <c r="P253" s="334" t="str">
        <f aca="false">IF((E253="m"),G253," ")</f>
        <v> </v>
      </c>
      <c r="Q253" s="334" t="str">
        <f aca="false">IF((E253="t"),G253," ")</f>
        <v> </v>
      </c>
      <c r="R253" s="334" t="str">
        <f aca="false">IF((E253="a"),G253," ")</f>
        <v> </v>
      </c>
      <c r="S253" s="334" t="str">
        <f aca="false">IF((E253="l"),G253," ")</f>
        <v> </v>
      </c>
      <c r="T253" s="334" t="str">
        <f aca="false">IF((E253="b"),G253," ")</f>
        <v> </v>
      </c>
      <c r="U253" s="334" t="str">
        <f aca="false">IF((E253="i"),G253," ")</f>
        <v> </v>
      </c>
      <c r="V253" s="334" t="str">
        <f aca="false">IF((E253="o"),G253," ")</f>
        <v> </v>
      </c>
      <c r="W253" s="334" t="str">
        <f aca="false">IF((E253="f"),G253," ")</f>
        <v> </v>
      </c>
    </row>
    <row r="254" customFormat="false" ht="12.75" hidden="false" customHeight="false" outlineLevel="0" collapsed="false">
      <c r="A254" s="355"/>
      <c r="E254" s="365" t="str">
        <f aca="false">IF((G254&lt;&gt;0),"Enter Letter"," ")</f>
        <v> </v>
      </c>
      <c r="J254" s="334" t="str">
        <f aca="false">IF((E254="s"),G254," ")</f>
        <v> </v>
      </c>
      <c r="K254" s="334" t="str">
        <f aca="false">IF((E254="d"),G254," ")</f>
        <v> </v>
      </c>
      <c r="L254" s="334" t="str">
        <f aca="false">IF((E254="e"),G254," ")</f>
        <v> </v>
      </c>
      <c r="M254" s="334" t="str">
        <f aca="false">IF((E254="p"),G254," ")</f>
        <v> </v>
      </c>
      <c r="N254" s="334" t="str">
        <f aca="false">IF((E254="r"),G254," ")</f>
        <v> </v>
      </c>
      <c r="O254" s="334" t="str">
        <f aca="false">IF((E254="g"),G254," ")</f>
        <v> </v>
      </c>
      <c r="P254" s="334" t="str">
        <f aca="false">IF((E254="m"),G254," ")</f>
        <v> </v>
      </c>
      <c r="Q254" s="334" t="str">
        <f aca="false">IF((E254="t"),G254," ")</f>
        <v> </v>
      </c>
      <c r="R254" s="334" t="str">
        <f aca="false">IF((E254="a"),G254," ")</f>
        <v> </v>
      </c>
      <c r="S254" s="334" t="str">
        <f aca="false">IF((E254="l"),G254," ")</f>
        <v> </v>
      </c>
      <c r="T254" s="334" t="str">
        <f aca="false">IF((E254="b"),G254," ")</f>
        <v> </v>
      </c>
      <c r="U254" s="334" t="str">
        <f aca="false">IF((E254="i"),G254," ")</f>
        <v> </v>
      </c>
      <c r="V254" s="334" t="str">
        <f aca="false">IF((E254="o"),G254," ")</f>
        <v> </v>
      </c>
      <c r="W254" s="334" t="str">
        <f aca="false">IF((E254="f"),G254," ")</f>
        <v> </v>
      </c>
    </row>
    <row r="255" customFormat="false" ht="12.75" hidden="false" customHeight="false" outlineLevel="0" collapsed="false">
      <c r="A255" s="355"/>
      <c r="E255" s="365" t="str">
        <f aca="false">IF((G255&lt;&gt;0),"Enter Letter"," ")</f>
        <v> </v>
      </c>
      <c r="J255" s="334" t="str">
        <f aca="false">IF((E255="s"),G255," ")</f>
        <v> </v>
      </c>
      <c r="K255" s="334" t="str">
        <f aca="false">IF((E255="d"),G255," ")</f>
        <v> </v>
      </c>
      <c r="L255" s="334" t="str">
        <f aca="false">IF((E255="e"),G255," ")</f>
        <v> </v>
      </c>
      <c r="M255" s="334" t="str">
        <f aca="false">IF((E255="p"),G255," ")</f>
        <v> </v>
      </c>
      <c r="N255" s="334" t="str">
        <f aca="false">IF((E255="r"),G255," ")</f>
        <v> </v>
      </c>
      <c r="O255" s="334" t="str">
        <f aca="false">IF((E255="g"),G255," ")</f>
        <v> </v>
      </c>
      <c r="P255" s="334" t="str">
        <f aca="false">IF((E255="m"),G255," ")</f>
        <v> </v>
      </c>
      <c r="Q255" s="334" t="str">
        <f aca="false">IF((E255="t"),G255," ")</f>
        <v> </v>
      </c>
      <c r="R255" s="334" t="str">
        <f aca="false">IF((E255="a"),G255," ")</f>
        <v> </v>
      </c>
      <c r="S255" s="334" t="str">
        <f aca="false">IF((E255="l"),G255," ")</f>
        <v> </v>
      </c>
      <c r="T255" s="334" t="str">
        <f aca="false">IF((E255="b"),G255," ")</f>
        <v> </v>
      </c>
      <c r="U255" s="334" t="str">
        <f aca="false">IF((E255="i"),G255," ")</f>
        <v> </v>
      </c>
      <c r="V255" s="334" t="str">
        <f aca="false">IF((E255="o"),G255," ")</f>
        <v> </v>
      </c>
      <c r="W255" s="334" t="str">
        <f aca="false">IF((E255="f"),G255," ")</f>
        <v> </v>
      </c>
    </row>
    <row r="256" customFormat="false" ht="12.75" hidden="false" customHeight="false" outlineLevel="0" collapsed="false">
      <c r="A256" s="355"/>
      <c r="E256" s="365" t="str">
        <f aca="false">IF((G256&lt;&gt;0),"Enter Letter"," ")</f>
        <v> </v>
      </c>
      <c r="J256" s="334" t="str">
        <f aca="false">IF((E256="s"),G256," ")</f>
        <v> </v>
      </c>
      <c r="K256" s="334" t="str">
        <f aca="false">IF((E256="d"),G256," ")</f>
        <v> </v>
      </c>
      <c r="L256" s="334" t="str">
        <f aca="false">IF((E256="e"),G256," ")</f>
        <v> </v>
      </c>
      <c r="M256" s="334" t="str">
        <f aca="false">IF((E256="p"),G256," ")</f>
        <v> </v>
      </c>
      <c r="N256" s="334" t="str">
        <f aca="false">IF((E256="r"),G256," ")</f>
        <v> </v>
      </c>
      <c r="O256" s="334" t="str">
        <f aca="false">IF((E256="g"),G256," ")</f>
        <v> </v>
      </c>
      <c r="P256" s="334" t="str">
        <f aca="false">IF((E256="m"),G256," ")</f>
        <v> </v>
      </c>
      <c r="Q256" s="334" t="str">
        <f aca="false">IF((E256="t"),G256," ")</f>
        <v> </v>
      </c>
      <c r="R256" s="334" t="str">
        <f aca="false">IF((E256="a"),G256," ")</f>
        <v> </v>
      </c>
      <c r="S256" s="334" t="str">
        <f aca="false">IF((E256="l"),G256," ")</f>
        <v> </v>
      </c>
      <c r="T256" s="334" t="str">
        <f aca="false">IF((E256="b"),G256," ")</f>
        <v> </v>
      </c>
      <c r="U256" s="334" t="str">
        <f aca="false">IF((E256="i"),G256," ")</f>
        <v> </v>
      </c>
      <c r="V256" s="334" t="str">
        <f aca="false">IF((E256="o"),G256," ")</f>
        <v> </v>
      </c>
      <c r="W256" s="334" t="str">
        <f aca="false">IF((E256="f"),G256," ")</f>
        <v> </v>
      </c>
    </row>
    <row r="257" customFormat="false" ht="12.75" hidden="false" customHeight="false" outlineLevel="0" collapsed="false">
      <c r="A257" s="355"/>
      <c r="E257" s="365" t="str">
        <f aca="false">IF((G257&lt;&gt;0),"Enter Letter"," ")</f>
        <v> </v>
      </c>
      <c r="J257" s="334" t="str">
        <f aca="false">IF((E257="s"),G257," ")</f>
        <v> </v>
      </c>
      <c r="K257" s="334" t="str">
        <f aca="false">IF((E257="d"),G257," ")</f>
        <v> </v>
      </c>
      <c r="L257" s="334" t="str">
        <f aca="false">IF((E257="e"),G257," ")</f>
        <v> </v>
      </c>
      <c r="M257" s="334" t="str">
        <f aca="false">IF((E257="p"),G257," ")</f>
        <v> </v>
      </c>
      <c r="N257" s="334" t="str">
        <f aca="false">IF((E257="r"),G257," ")</f>
        <v> </v>
      </c>
      <c r="O257" s="334" t="str">
        <f aca="false">IF((E257="g"),G257," ")</f>
        <v> </v>
      </c>
      <c r="P257" s="334" t="str">
        <f aca="false">IF((E257="m"),G257," ")</f>
        <v> </v>
      </c>
      <c r="Q257" s="334" t="str">
        <f aca="false">IF((E257="t"),G257," ")</f>
        <v> </v>
      </c>
      <c r="R257" s="334" t="str">
        <f aca="false">IF((E257="a"),G257," ")</f>
        <v> </v>
      </c>
      <c r="S257" s="334" t="str">
        <f aca="false">IF((E257="l"),G257," ")</f>
        <v> </v>
      </c>
      <c r="T257" s="334" t="str">
        <f aca="false">IF((E257="b"),G257," ")</f>
        <v> </v>
      </c>
      <c r="U257" s="334" t="str">
        <f aca="false">IF((E257="i"),G257," ")</f>
        <v> </v>
      </c>
      <c r="V257" s="334" t="str">
        <f aca="false">IF((E257="o"),G257," ")</f>
        <v> </v>
      </c>
      <c r="W257" s="334" t="str">
        <f aca="false">IF((E257="f"),G257," ")</f>
        <v> </v>
      </c>
    </row>
    <row r="258" customFormat="false" ht="12.75" hidden="false" customHeight="false" outlineLevel="0" collapsed="false">
      <c r="A258" s="355"/>
      <c r="E258" s="365" t="str">
        <f aca="false">IF((G258&lt;&gt;0),"Enter Letter"," ")</f>
        <v> </v>
      </c>
      <c r="J258" s="334" t="str">
        <f aca="false">IF((E258="s"),G258," ")</f>
        <v> </v>
      </c>
      <c r="K258" s="334" t="str">
        <f aca="false">IF((E258="d"),G258," ")</f>
        <v> </v>
      </c>
      <c r="L258" s="334" t="str">
        <f aca="false">IF((E258="e"),G258," ")</f>
        <v> </v>
      </c>
      <c r="M258" s="334" t="str">
        <f aca="false">IF((E258="p"),G258," ")</f>
        <v> </v>
      </c>
      <c r="N258" s="334" t="str">
        <f aca="false">IF((E258="r"),G258," ")</f>
        <v> </v>
      </c>
      <c r="O258" s="334" t="str">
        <f aca="false">IF((E258="g"),G258," ")</f>
        <v> </v>
      </c>
      <c r="P258" s="334" t="str">
        <f aca="false">IF((E258="m"),G258," ")</f>
        <v> </v>
      </c>
      <c r="Q258" s="334" t="str">
        <f aca="false">IF((E258="t"),G258," ")</f>
        <v> </v>
      </c>
      <c r="R258" s="334" t="str">
        <f aca="false">IF((E258="a"),G258," ")</f>
        <v> </v>
      </c>
      <c r="S258" s="334" t="str">
        <f aca="false">IF((E258="l"),G258," ")</f>
        <v> </v>
      </c>
      <c r="T258" s="334" t="str">
        <f aca="false">IF((E258="b"),G258," ")</f>
        <v> </v>
      </c>
      <c r="U258" s="334" t="str">
        <f aca="false">IF((E258="i"),G258," ")</f>
        <v> </v>
      </c>
      <c r="V258" s="334" t="str">
        <f aca="false">IF((E258="o"),G258," ")</f>
        <v> </v>
      </c>
      <c r="W258" s="334" t="str">
        <f aca="false">IF((E258="f"),G258," ")</f>
        <v> </v>
      </c>
    </row>
    <row r="259" customFormat="false" ht="12.75" hidden="false" customHeight="false" outlineLevel="0" collapsed="false">
      <c r="A259" s="355"/>
      <c r="E259" s="365" t="str">
        <f aca="false">IF((G259&lt;&gt;0),"Enter Letter"," ")</f>
        <v> </v>
      </c>
      <c r="J259" s="334" t="str">
        <f aca="false">IF((E259="s"),G259," ")</f>
        <v> </v>
      </c>
      <c r="K259" s="334" t="str">
        <f aca="false">IF((E259="d"),G259," ")</f>
        <v> </v>
      </c>
      <c r="L259" s="334" t="str">
        <f aca="false">IF((E259="e"),G259," ")</f>
        <v> </v>
      </c>
      <c r="M259" s="334" t="str">
        <f aca="false">IF((E259="p"),G259," ")</f>
        <v> </v>
      </c>
      <c r="N259" s="334" t="str">
        <f aca="false">IF((E259="r"),G259," ")</f>
        <v> </v>
      </c>
      <c r="O259" s="334" t="str">
        <f aca="false">IF((E259="g"),G259," ")</f>
        <v> </v>
      </c>
      <c r="P259" s="334" t="str">
        <f aca="false">IF((E259="m"),G259," ")</f>
        <v> </v>
      </c>
      <c r="Q259" s="334" t="str">
        <f aca="false">IF((E259="t"),G259," ")</f>
        <v> </v>
      </c>
      <c r="R259" s="334" t="str">
        <f aca="false">IF((E259="a"),G259," ")</f>
        <v> </v>
      </c>
      <c r="S259" s="334" t="str">
        <f aca="false">IF((E259="l"),G259," ")</f>
        <v> </v>
      </c>
      <c r="T259" s="334" t="str">
        <f aca="false">IF((E259="b"),G259," ")</f>
        <v> </v>
      </c>
      <c r="U259" s="334" t="str">
        <f aca="false">IF((E259="i"),G259," ")</f>
        <v> </v>
      </c>
      <c r="V259" s="334" t="str">
        <f aca="false">IF((E259="o"),G259," ")</f>
        <v> </v>
      </c>
      <c r="W259" s="334" t="str">
        <f aca="false">IF((E259="f"),G259," ")</f>
        <v> </v>
      </c>
    </row>
    <row r="260" customFormat="false" ht="12.75" hidden="false" customHeight="false" outlineLevel="0" collapsed="false">
      <c r="A260" s="355"/>
      <c r="E260" s="365" t="str">
        <f aca="false">IF((G260&lt;&gt;0),"Enter Letter"," ")</f>
        <v> </v>
      </c>
      <c r="J260" s="334" t="str">
        <f aca="false">IF((E260="s"),G260," ")</f>
        <v> </v>
      </c>
      <c r="K260" s="334" t="str">
        <f aca="false">IF((E260="d"),G260," ")</f>
        <v> </v>
      </c>
      <c r="L260" s="334" t="str">
        <f aca="false">IF((E260="e"),G260," ")</f>
        <v> </v>
      </c>
      <c r="M260" s="334" t="str">
        <f aca="false">IF((E260="p"),G260," ")</f>
        <v> </v>
      </c>
      <c r="N260" s="334" t="str">
        <f aca="false">IF((E260="r"),G260," ")</f>
        <v> </v>
      </c>
      <c r="O260" s="334" t="str">
        <f aca="false">IF((E260="g"),G260," ")</f>
        <v> </v>
      </c>
      <c r="P260" s="334" t="str">
        <f aca="false">IF((E260="m"),G260," ")</f>
        <v> </v>
      </c>
      <c r="Q260" s="334" t="str">
        <f aca="false">IF((E260="t"),G260," ")</f>
        <v> </v>
      </c>
      <c r="R260" s="334" t="str">
        <f aca="false">IF((E260="a"),G260," ")</f>
        <v> </v>
      </c>
      <c r="S260" s="334" t="str">
        <f aca="false">IF((E260="l"),G260," ")</f>
        <v> </v>
      </c>
      <c r="T260" s="334" t="str">
        <f aca="false">IF((E260="b"),G260," ")</f>
        <v> </v>
      </c>
      <c r="U260" s="334" t="str">
        <f aca="false">IF((E260="i"),G260," ")</f>
        <v> </v>
      </c>
      <c r="V260" s="334" t="str">
        <f aca="false">IF((E260="o"),G260," ")</f>
        <v> </v>
      </c>
      <c r="W260" s="334" t="str">
        <f aca="false">IF((E260="f"),G260," ")</f>
        <v> </v>
      </c>
    </row>
    <row r="261" customFormat="false" ht="12.75" hidden="false" customHeight="false" outlineLevel="0" collapsed="false">
      <c r="A261" s="355"/>
      <c r="E261" s="365" t="str">
        <f aca="false">IF((G261&lt;&gt;0),"Enter Letter"," ")</f>
        <v> </v>
      </c>
      <c r="J261" s="334" t="str">
        <f aca="false">IF((E261="s"),G261," ")</f>
        <v> </v>
      </c>
      <c r="K261" s="334" t="str">
        <f aca="false">IF((E261="d"),G261," ")</f>
        <v> </v>
      </c>
      <c r="L261" s="334" t="str">
        <f aca="false">IF((E261="e"),G261," ")</f>
        <v> </v>
      </c>
      <c r="M261" s="334" t="str">
        <f aca="false">IF((E261="p"),G261," ")</f>
        <v> </v>
      </c>
      <c r="N261" s="334" t="str">
        <f aca="false">IF((E261="r"),G261," ")</f>
        <v> </v>
      </c>
      <c r="O261" s="334" t="str">
        <f aca="false">IF((E261="g"),G261," ")</f>
        <v> </v>
      </c>
      <c r="P261" s="334" t="str">
        <f aca="false">IF((E261="m"),G261," ")</f>
        <v> </v>
      </c>
      <c r="Q261" s="334" t="str">
        <f aca="false">IF((E261="t"),G261," ")</f>
        <v> </v>
      </c>
      <c r="R261" s="334" t="str">
        <f aca="false">IF((E261="a"),G261," ")</f>
        <v> </v>
      </c>
      <c r="S261" s="334" t="str">
        <f aca="false">IF((E261="l"),G261," ")</f>
        <v> </v>
      </c>
      <c r="T261" s="334" t="str">
        <f aca="false">IF((E261="b"),G261," ")</f>
        <v> </v>
      </c>
      <c r="U261" s="334" t="str">
        <f aca="false">IF((E261="i"),G261," ")</f>
        <v> </v>
      </c>
      <c r="V261" s="334" t="str">
        <f aca="false">IF((E261="o"),G261," ")</f>
        <v> </v>
      </c>
      <c r="W261" s="334" t="str">
        <f aca="false">IF((E261="f"),G261," ")</f>
        <v> </v>
      </c>
    </row>
    <row r="262" customFormat="false" ht="12.75" hidden="false" customHeight="false" outlineLevel="0" collapsed="false">
      <c r="A262" s="355"/>
      <c r="E262" s="365" t="str">
        <f aca="false">IF((G262&lt;&gt;0),"Enter Letter"," ")</f>
        <v> </v>
      </c>
      <c r="J262" s="334" t="str">
        <f aca="false">IF((E262="s"),G262," ")</f>
        <v> </v>
      </c>
      <c r="K262" s="334" t="str">
        <f aca="false">IF((E262="d"),G262," ")</f>
        <v> </v>
      </c>
      <c r="L262" s="334" t="str">
        <f aca="false">IF((E262="e"),G262," ")</f>
        <v> </v>
      </c>
      <c r="M262" s="334" t="str">
        <f aca="false">IF((E262="p"),G262," ")</f>
        <v> </v>
      </c>
      <c r="N262" s="334" t="str">
        <f aca="false">IF((E262="r"),G262," ")</f>
        <v> </v>
      </c>
      <c r="O262" s="334" t="str">
        <f aca="false">IF((E262="g"),G262," ")</f>
        <v> </v>
      </c>
      <c r="P262" s="334" t="str">
        <f aca="false">IF((E262="m"),G262," ")</f>
        <v> </v>
      </c>
      <c r="Q262" s="334" t="str">
        <f aca="false">IF((E262="t"),G262," ")</f>
        <v> </v>
      </c>
      <c r="R262" s="334" t="str">
        <f aca="false">IF((E262="a"),G262," ")</f>
        <v> </v>
      </c>
      <c r="S262" s="334" t="str">
        <f aca="false">IF((E262="l"),G262," ")</f>
        <v> </v>
      </c>
      <c r="T262" s="334" t="str">
        <f aca="false">IF((E262="b"),G262," ")</f>
        <v> </v>
      </c>
      <c r="U262" s="334" t="str">
        <f aca="false">IF((E262="i"),G262," ")</f>
        <v> </v>
      </c>
      <c r="V262" s="334" t="str">
        <f aca="false">IF((E262="o"),G262," ")</f>
        <v> </v>
      </c>
      <c r="W262" s="334" t="str">
        <f aca="false">IF((E262="f"),G262," ")</f>
        <v> </v>
      </c>
    </row>
    <row r="263" customFormat="false" ht="12.75" hidden="false" customHeight="false" outlineLevel="0" collapsed="false">
      <c r="A263" s="355"/>
      <c r="E263" s="365" t="str">
        <f aca="false">IF((G263&lt;&gt;0),"Enter Letter"," ")</f>
        <v> </v>
      </c>
      <c r="J263" s="334" t="str">
        <f aca="false">IF((E263="s"),G263," ")</f>
        <v> </v>
      </c>
      <c r="K263" s="334" t="str">
        <f aca="false">IF((E263="d"),G263," ")</f>
        <v> </v>
      </c>
      <c r="L263" s="334" t="str">
        <f aca="false">IF((E263="e"),G263," ")</f>
        <v> </v>
      </c>
      <c r="M263" s="334" t="str">
        <f aca="false">IF((E263="p"),G263," ")</f>
        <v> </v>
      </c>
      <c r="N263" s="334" t="str">
        <f aca="false">IF((E263="r"),G263," ")</f>
        <v> </v>
      </c>
      <c r="O263" s="334" t="str">
        <f aca="false">IF((E263="g"),G263," ")</f>
        <v> </v>
      </c>
      <c r="P263" s="334" t="str">
        <f aca="false">IF((E263="m"),G263," ")</f>
        <v> </v>
      </c>
      <c r="Q263" s="334" t="str">
        <f aca="false">IF((E263="t"),G263," ")</f>
        <v> </v>
      </c>
      <c r="R263" s="334" t="str">
        <f aca="false">IF((E263="a"),G263," ")</f>
        <v> </v>
      </c>
      <c r="S263" s="334" t="str">
        <f aca="false">IF((E263="l"),G263," ")</f>
        <v> </v>
      </c>
      <c r="T263" s="334" t="str">
        <f aca="false">IF((E263="b"),G263," ")</f>
        <v> </v>
      </c>
      <c r="U263" s="334" t="str">
        <f aca="false">IF((E263="i"),G263," ")</f>
        <v> </v>
      </c>
      <c r="V263" s="334" t="str">
        <f aca="false">IF((E263="o"),G263," ")</f>
        <v> </v>
      </c>
      <c r="W263" s="334" t="str">
        <f aca="false">IF((E263="f"),G263," ")</f>
        <v> </v>
      </c>
    </row>
    <row r="264" customFormat="false" ht="12.75" hidden="false" customHeight="false" outlineLevel="0" collapsed="false">
      <c r="A264" s="355"/>
      <c r="E264" s="365" t="str">
        <f aca="false">IF((G264&lt;&gt;0),"Enter Letter"," ")</f>
        <v> </v>
      </c>
      <c r="J264" s="334" t="str">
        <f aca="false">IF((E264="s"),G264," ")</f>
        <v> </v>
      </c>
      <c r="K264" s="334" t="str">
        <f aca="false">IF((E264="d"),G264," ")</f>
        <v> </v>
      </c>
      <c r="L264" s="334" t="str">
        <f aca="false">IF((E264="e"),G264," ")</f>
        <v> </v>
      </c>
      <c r="M264" s="334" t="str">
        <f aca="false">IF((E264="p"),G264," ")</f>
        <v> </v>
      </c>
      <c r="N264" s="334" t="str">
        <f aca="false">IF((E264="r"),G264," ")</f>
        <v> </v>
      </c>
      <c r="O264" s="334" t="str">
        <f aca="false">IF((E264="g"),G264," ")</f>
        <v> </v>
      </c>
      <c r="P264" s="334" t="str">
        <f aca="false">IF((E264="m"),G264," ")</f>
        <v> </v>
      </c>
      <c r="Q264" s="334" t="str">
        <f aca="false">IF((E264="t"),G264," ")</f>
        <v> </v>
      </c>
      <c r="R264" s="334" t="str">
        <f aca="false">IF((E264="a"),G264," ")</f>
        <v> </v>
      </c>
      <c r="S264" s="334" t="str">
        <f aca="false">IF((E264="l"),G264," ")</f>
        <v> </v>
      </c>
      <c r="T264" s="334" t="str">
        <f aca="false">IF((E264="b"),G264," ")</f>
        <v> </v>
      </c>
      <c r="U264" s="334" t="str">
        <f aca="false">IF((E264="i"),G264," ")</f>
        <v> </v>
      </c>
      <c r="V264" s="334" t="str">
        <f aca="false">IF((E264="o"),G264," ")</f>
        <v> </v>
      </c>
      <c r="W264" s="334" t="str">
        <f aca="false">IF((E264="f"),G264," ")</f>
        <v> </v>
      </c>
    </row>
    <row r="265" customFormat="false" ht="12.75" hidden="false" customHeight="false" outlineLevel="0" collapsed="false">
      <c r="A265" s="355"/>
      <c r="E265" s="365" t="str">
        <f aca="false">IF((G265&lt;&gt;0),"Enter Letter"," ")</f>
        <v> </v>
      </c>
      <c r="J265" s="334" t="str">
        <f aca="false">IF((E265="s"),G265," ")</f>
        <v> </v>
      </c>
      <c r="K265" s="334" t="str">
        <f aca="false">IF((E265="d"),G265," ")</f>
        <v> </v>
      </c>
      <c r="L265" s="334" t="str">
        <f aca="false">IF((E265="e"),G265," ")</f>
        <v> </v>
      </c>
      <c r="M265" s="334" t="str">
        <f aca="false">IF((E265="p"),G265," ")</f>
        <v> </v>
      </c>
      <c r="N265" s="334" t="str">
        <f aca="false">IF((E265="r"),G265," ")</f>
        <v> </v>
      </c>
      <c r="O265" s="334" t="str">
        <f aca="false">IF((E265="g"),G265," ")</f>
        <v> </v>
      </c>
      <c r="P265" s="334" t="str">
        <f aca="false">IF((E265="m"),G265," ")</f>
        <v> </v>
      </c>
      <c r="Q265" s="334" t="str">
        <f aca="false">IF((E265="t"),G265," ")</f>
        <v> </v>
      </c>
      <c r="R265" s="334" t="str">
        <f aca="false">IF((E265="a"),G265," ")</f>
        <v> </v>
      </c>
      <c r="S265" s="334" t="str">
        <f aca="false">IF((E265="l"),G265," ")</f>
        <v> </v>
      </c>
      <c r="T265" s="334" t="str">
        <f aca="false">IF((E265="b"),G265," ")</f>
        <v> </v>
      </c>
      <c r="U265" s="334" t="str">
        <f aca="false">IF((E265="i"),G265," ")</f>
        <v> </v>
      </c>
      <c r="V265" s="334" t="str">
        <f aca="false">IF((E265="o"),G265," ")</f>
        <v> </v>
      </c>
      <c r="W265" s="334" t="str">
        <f aca="false">IF((E265="f"),G265," ")</f>
        <v> </v>
      </c>
    </row>
    <row r="266" customFormat="false" ht="12.75" hidden="false" customHeight="false" outlineLevel="0" collapsed="false">
      <c r="A266" s="355"/>
      <c r="E266" s="365" t="str">
        <f aca="false">IF((G266&lt;&gt;0),"Enter Letter"," ")</f>
        <v> </v>
      </c>
      <c r="J266" s="334" t="str">
        <f aca="false">IF((E266="s"),G266," ")</f>
        <v> </v>
      </c>
      <c r="K266" s="334" t="str">
        <f aca="false">IF((E266="d"),G266," ")</f>
        <v> </v>
      </c>
      <c r="L266" s="334" t="str">
        <f aca="false">IF((E266="e"),G266," ")</f>
        <v> </v>
      </c>
      <c r="M266" s="334" t="str">
        <f aca="false">IF((E266="p"),G266," ")</f>
        <v> </v>
      </c>
      <c r="N266" s="334" t="str">
        <f aca="false">IF((E266="r"),G266," ")</f>
        <v> </v>
      </c>
      <c r="O266" s="334" t="str">
        <f aca="false">IF((E266="g"),G266," ")</f>
        <v> </v>
      </c>
      <c r="P266" s="334" t="str">
        <f aca="false">IF((E266="m"),G266," ")</f>
        <v> </v>
      </c>
      <c r="Q266" s="334" t="str">
        <f aca="false">IF((E266="t"),G266," ")</f>
        <v> </v>
      </c>
      <c r="R266" s="334" t="str">
        <f aca="false">IF((E266="a"),G266," ")</f>
        <v> </v>
      </c>
      <c r="S266" s="334" t="str">
        <f aca="false">IF((E266="l"),G266," ")</f>
        <v> </v>
      </c>
      <c r="T266" s="334" t="str">
        <f aca="false">IF((E266="b"),G266," ")</f>
        <v> </v>
      </c>
      <c r="U266" s="334" t="str">
        <f aca="false">IF((E266="i"),G266," ")</f>
        <v> </v>
      </c>
      <c r="V266" s="334" t="str">
        <f aca="false">IF((E266="o"),G266," ")</f>
        <v> </v>
      </c>
      <c r="W266" s="334" t="str">
        <f aca="false">IF((E266="f"),G266," ")</f>
        <v> </v>
      </c>
    </row>
    <row r="267" customFormat="false" ht="12.75" hidden="false" customHeight="false" outlineLevel="0" collapsed="false">
      <c r="A267" s="355"/>
      <c r="E267" s="365" t="str">
        <f aca="false">IF((G267&lt;&gt;0),"Enter Letter"," ")</f>
        <v> </v>
      </c>
      <c r="J267" s="334" t="str">
        <f aca="false">IF((E267="s"),G267," ")</f>
        <v> </v>
      </c>
      <c r="K267" s="334" t="str">
        <f aca="false">IF((E267="d"),G267," ")</f>
        <v> </v>
      </c>
      <c r="L267" s="334" t="str">
        <f aca="false">IF((E267="e"),G267," ")</f>
        <v> </v>
      </c>
      <c r="M267" s="334" t="str">
        <f aca="false">IF((E267="p"),G267," ")</f>
        <v> </v>
      </c>
      <c r="N267" s="334" t="str">
        <f aca="false">IF((E267="r"),G267," ")</f>
        <v> </v>
      </c>
      <c r="O267" s="334" t="str">
        <f aca="false">IF((E267="g"),G267," ")</f>
        <v> </v>
      </c>
      <c r="P267" s="334" t="str">
        <f aca="false">IF((E267="m"),G267," ")</f>
        <v> </v>
      </c>
      <c r="Q267" s="334" t="str">
        <f aca="false">IF((E267="t"),G267," ")</f>
        <v> </v>
      </c>
      <c r="R267" s="334" t="str">
        <f aca="false">IF((E267="a"),G267," ")</f>
        <v> </v>
      </c>
      <c r="S267" s="334" t="str">
        <f aca="false">IF((E267="l"),G267," ")</f>
        <v> </v>
      </c>
      <c r="T267" s="334" t="str">
        <f aca="false">IF((E267="b"),G267," ")</f>
        <v> </v>
      </c>
      <c r="U267" s="334" t="str">
        <f aca="false">IF((E267="i"),G267," ")</f>
        <v> </v>
      </c>
      <c r="V267" s="334" t="str">
        <f aca="false">IF((E267="o"),G267," ")</f>
        <v> </v>
      </c>
      <c r="W267" s="334" t="str">
        <f aca="false">IF((E267="f"),G267," ")</f>
        <v> </v>
      </c>
    </row>
    <row r="268" customFormat="false" ht="12.75" hidden="false" customHeight="false" outlineLevel="0" collapsed="false">
      <c r="A268" s="355"/>
      <c r="E268" s="365" t="str">
        <f aca="false">IF((G268&lt;&gt;0),"Enter Letter"," ")</f>
        <v> </v>
      </c>
      <c r="J268" s="334" t="str">
        <f aca="false">IF((E268="s"),G268," ")</f>
        <v> </v>
      </c>
      <c r="K268" s="334" t="str">
        <f aca="false">IF((E268="d"),G268," ")</f>
        <v> </v>
      </c>
      <c r="L268" s="334" t="str">
        <f aca="false">IF((E268="e"),G268," ")</f>
        <v> </v>
      </c>
      <c r="M268" s="334" t="str">
        <f aca="false">IF((E268="p"),G268," ")</f>
        <v> </v>
      </c>
      <c r="N268" s="334" t="str">
        <f aca="false">IF((E268="r"),G268," ")</f>
        <v> </v>
      </c>
      <c r="O268" s="334" t="str">
        <f aca="false">IF((E268="g"),G268," ")</f>
        <v> </v>
      </c>
      <c r="P268" s="334" t="str">
        <f aca="false">IF((E268="m"),G268," ")</f>
        <v> </v>
      </c>
      <c r="Q268" s="334" t="str">
        <f aca="false">IF((E268="t"),G268," ")</f>
        <v> </v>
      </c>
      <c r="R268" s="334" t="str">
        <f aca="false">IF((E268="a"),G268," ")</f>
        <v> </v>
      </c>
      <c r="S268" s="334" t="str">
        <f aca="false">IF((E268="l"),G268," ")</f>
        <v> </v>
      </c>
      <c r="T268" s="334" t="str">
        <f aca="false">IF((E268="b"),G268," ")</f>
        <v> </v>
      </c>
      <c r="U268" s="334" t="str">
        <f aca="false">IF((E268="i"),G268," ")</f>
        <v> </v>
      </c>
      <c r="V268" s="334" t="str">
        <f aca="false">IF((E268="o"),G268," ")</f>
        <v> </v>
      </c>
      <c r="W268" s="334" t="str">
        <f aca="false">IF((E268="f"),G268," ")</f>
        <v> </v>
      </c>
    </row>
    <row r="269" customFormat="false" ht="12.75" hidden="false" customHeight="false" outlineLevel="0" collapsed="false">
      <c r="A269" s="355"/>
      <c r="E269" s="365" t="str">
        <f aca="false">IF((G269&lt;&gt;0),"Enter Letter"," ")</f>
        <v> </v>
      </c>
      <c r="J269" s="334" t="str">
        <f aca="false">IF((E269="s"),G269," ")</f>
        <v> </v>
      </c>
      <c r="K269" s="334" t="str">
        <f aca="false">IF((E269="d"),G269," ")</f>
        <v> </v>
      </c>
      <c r="L269" s="334" t="str">
        <f aca="false">IF((E269="e"),G269," ")</f>
        <v> </v>
      </c>
      <c r="M269" s="334" t="str">
        <f aca="false">IF((E269="p"),G269," ")</f>
        <v> </v>
      </c>
      <c r="N269" s="334" t="str">
        <f aca="false">IF((E269="r"),G269," ")</f>
        <v> </v>
      </c>
      <c r="O269" s="334" t="str">
        <f aca="false">IF((E269="g"),G269," ")</f>
        <v> </v>
      </c>
      <c r="P269" s="334" t="str">
        <f aca="false">IF((E269="m"),G269," ")</f>
        <v> </v>
      </c>
      <c r="Q269" s="334" t="str">
        <f aca="false">IF((E269="t"),G269," ")</f>
        <v> </v>
      </c>
      <c r="R269" s="334" t="str">
        <f aca="false">IF((E269="a"),G269," ")</f>
        <v> </v>
      </c>
      <c r="S269" s="334" t="str">
        <f aca="false">IF((E269="l"),G269," ")</f>
        <v> </v>
      </c>
      <c r="T269" s="334" t="str">
        <f aca="false">IF((E269="b"),G269," ")</f>
        <v> </v>
      </c>
      <c r="U269" s="334" t="str">
        <f aca="false">IF((E269="i"),G269," ")</f>
        <v> </v>
      </c>
      <c r="V269" s="334" t="str">
        <f aca="false">IF((E269="o"),G269," ")</f>
        <v> </v>
      </c>
      <c r="W269" s="334" t="str">
        <f aca="false">IF((E269="f"),G269," ")</f>
        <v> </v>
      </c>
    </row>
    <row r="270" customFormat="false" ht="12.75" hidden="false" customHeight="false" outlineLevel="0" collapsed="false">
      <c r="A270" s="355"/>
      <c r="E270" s="365" t="str">
        <f aca="false">IF((G270&lt;&gt;0),"Enter Letter"," ")</f>
        <v> </v>
      </c>
      <c r="J270" s="334" t="str">
        <f aca="false">IF((E270="s"),G270," ")</f>
        <v> </v>
      </c>
      <c r="K270" s="334" t="str">
        <f aca="false">IF((E270="d"),G270," ")</f>
        <v> </v>
      </c>
      <c r="L270" s="334" t="str">
        <f aca="false">IF((E270="e"),G270," ")</f>
        <v> </v>
      </c>
      <c r="M270" s="334" t="str">
        <f aca="false">IF((E270="p"),G270," ")</f>
        <v> </v>
      </c>
      <c r="N270" s="334" t="str">
        <f aca="false">IF((E270="r"),G270," ")</f>
        <v> </v>
      </c>
      <c r="O270" s="334" t="str">
        <f aca="false">IF((E270="g"),G270," ")</f>
        <v> </v>
      </c>
      <c r="P270" s="334" t="str">
        <f aca="false">IF((E270="m"),G270," ")</f>
        <v> </v>
      </c>
      <c r="Q270" s="334" t="str">
        <f aca="false">IF((E270="t"),G270," ")</f>
        <v> </v>
      </c>
      <c r="R270" s="334" t="str">
        <f aca="false">IF((E270="a"),G270," ")</f>
        <v> </v>
      </c>
      <c r="S270" s="334" t="str">
        <f aca="false">IF((E270="l"),G270," ")</f>
        <v> </v>
      </c>
      <c r="T270" s="334" t="str">
        <f aca="false">IF((E270="b"),G270," ")</f>
        <v> </v>
      </c>
      <c r="U270" s="334" t="str">
        <f aca="false">IF((E270="i"),G270," ")</f>
        <v> </v>
      </c>
      <c r="V270" s="334" t="str">
        <f aca="false">IF((E270="o"),G270," ")</f>
        <v> </v>
      </c>
      <c r="W270" s="334" t="str">
        <f aca="false">IF((E270="f"),G270," ")</f>
        <v> </v>
      </c>
    </row>
    <row r="271" customFormat="false" ht="12.75" hidden="false" customHeight="false" outlineLevel="0" collapsed="false">
      <c r="A271" s="355"/>
      <c r="E271" s="365" t="str">
        <f aca="false">IF((G271&lt;&gt;0),"Enter Letter"," ")</f>
        <v> </v>
      </c>
      <c r="J271" s="334" t="str">
        <f aca="false">IF((E271="s"),G271," ")</f>
        <v> </v>
      </c>
      <c r="K271" s="334" t="str">
        <f aca="false">IF((E271="d"),G271," ")</f>
        <v> </v>
      </c>
      <c r="L271" s="334" t="str">
        <f aca="false">IF((E271="e"),G271," ")</f>
        <v> </v>
      </c>
      <c r="M271" s="334" t="str">
        <f aca="false">IF((E271="p"),G271," ")</f>
        <v> </v>
      </c>
      <c r="N271" s="334" t="str">
        <f aca="false">IF((E271="r"),G271," ")</f>
        <v> </v>
      </c>
      <c r="O271" s="334" t="str">
        <f aca="false">IF((E271="g"),G271," ")</f>
        <v> </v>
      </c>
      <c r="P271" s="334" t="str">
        <f aca="false">IF((E271="m"),G271," ")</f>
        <v> </v>
      </c>
      <c r="Q271" s="334" t="str">
        <f aca="false">IF((E271="t"),G271," ")</f>
        <v> </v>
      </c>
      <c r="R271" s="334" t="str">
        <f aca="false">IF((E271="a"),G271," ")</f>
        <v> </v>
      </c>
      <c r="S271" s="334" t="str">
        <f aca="false">IF((E271="l"),G271," ")</f>
        <v> </v>
      </c>
      <c r="T271" s="334" t="str">
        <f aca="false">IF((E271="b"),G271," ")</f>
        <v> </v>
      </c>
      <c r="U271" s="334" t="str">
        <f aca="false">IF((E271="i"),G271," ")</f>
        <v> </v>
      </c>
      <c r="V271" s="334" t="str">
        <f aca="false">IF((E271="o"),G271," ")</f>
        <v> </v>
      </c>
      <c r="W271" s="334" t="str">
        <f aca="false">IF((E271="f"),G271," ")</f>
        <v> </v>
      </c>
    </row>
    <row r="272" customFormat="false" ht="12.75" hidden="false" customHeight="false" outlineLevel="0" collapsed="false">
      <c r="A272" s="355"/>
      <c r="E272" s="365" t="str">
        <f aca="false">IF((G272&lt;&gt;0),"Enter Letter"," ")</f>
        <v> </v>
      </c>
      <c r="J272" s="334" t="str">
        <f aca="false">IF((E272="s"),G272," ")</f>
        <v> </v>
      </c>
      <c r="K272" s="334" t="str">
        <f aca="false">IF((E272="d"),G272," ")</f>
        <v> </v>
      </c>
      <c r="L272" s="334" t="str">
        <f aca="false">IF((E272="e"),G272," ")</f>
        <v> </v>
      </c>
      <c r="M272" s="334" t="str">
        <f aca="false">IF((E272="p"),G272," ")</f>
        <v> </v>
      </c>
      <c r="N272" s="334" t="str">
        <f aca="false">IF((E272="r"),G272," ")</f>
        <v> </v>
      </c>
      <c r="O272" s="334" t="str">
        <f aca="false">IF((E272="g"),G272," ")</f>
        <v> </v>
      </c>
      <c r="P272" s="334" t="str">
        <f aca="false">IF((E272="m"),G272," ")</f>
        <v> </v>
      </c>
      <c r="Q272" s="334" t="str">
        <f aca="false">IF((E272="t"),G272," ")</f>
        <v> </v>
      </c>
      <c r="R272" s="334" t="str">
        <f aca="false">IF((E272="a"),G272," ")</f>
        <v> </v>
      </c>
      <c r="S272" s="334" t="str">
        <f aca="false">IF((E272="l"),G272," ")</f>
        <v> </v>
      </c>
      <c r="T272" s="334" t="str">
        <f aca="false">IF((E272="b"),G272," ")</f>
        <v> </v>
      </c>
      <c r="U272" s="334" t="str">
        <f aca="false">IF((E272="i"),G272," ")</f>
        <v> </v>
      </c>
      <c r="V272" s="334" t="str">
        <f aca="false">IF((E272="o"),G272," ")</f>
        <v> </v>
      </c>
      <c r="W272" s="334" t="str">
        <f aca="false">IF((E272="f"),G272," ")</f>
        <v> </v>
      </c>
    </row>
    <row r="273" customFormat="false" ht="12.75" hidden="false" customHeight="false" outlineLevel="0" collapsed="false">
      <c r="A273" s="355"/>
      <c r="E273" s="365" t="str">
        <f aca="false">IF((G273&lt;&gt;0),"Enter Letter"," ")</f>
        <v> </v>
      </c>
      <c r="J273" s="334" t="str">
        <f aca="false">IF((E273="s"),G273," ")</f>
        <v> </v>
      </c>
      <c r="K273" s="334" t="str">
        <f aca="false">IF((E273="d"),G273," ")</f>
        <v> </v>
      </c>
      <c r="L273" s="334" t="str">
        <f aca="false">IF((E273="e"),G273," ")</f>
        <v> </v>
      </c>
      <c r="M273" s="334" t="str">
        <f aca="false">IF((E273="p"),G273," ")</f>
        <v> </v>
      </c>
      <c r="N273" s="334" t="str">
        <f aca="false">IF((E273="r"),G273," ")</f>
        <v> </v>
      </c>
      <c r="O273" s="334" t="str">
        <f aca="false">IF((E273="g"),G273," ")</f>
        <v> </v>
      </c>
      <c r="P273" s="334" t="str">
        <f aca="false">IF((E273="m"),G273," ")</f>
        <v> </v>
      </c>
      <c r="Q273" s="334" t="str">
        <f aca="false">IF((E273="t"),G273," ")</f>
        <v> </v>
      </c>
      <c r="R273" s="334" t="str">
        <f aca="false">IF((E273="a"),G273," ")</f>
        <v> </v>
      </c>
      <c r="S273" s="334" t="str">
        <f aca="false">IF((E273="l"),G273," ")</f>
        <v> </v>
      </c>
      <c r="T273" s="334" t="str">
        <f aca="false">IF((E273="b"),G273," ")</f>
        <v> </v>
      </c>
      <c r="U273" s="334" t="str">
        <f aca="false">IF((E273="i"),G273," ")</f>
        <v> </v>
      </c>
      <c r="V273" s="334" t="str">
        <f aca="false">IF((E273="o"),G273," ")</f>
        <v> </v>
      </c>
      <c r="W273" s="334" t="str">
        <f aca="false">IF((E273="f"),G273," ")</f>
        <v> </v>
      </c>
    </row>
    <row r="274" customFormat="false" ht="12.75" hidden="false" customHeight="false" outlineLevel="0" collapsed="false">
      <c r="A274" s="355"/>
      <c r="E274" s="365" t="str">
        <f aca="false">IF((G274&lt;&gt;0),"Enter Letter"," ")</f>
        <v> </v>
      </c>
      <c r="J274" s="334" t="str">
        <f aca="false">IF((E274="s"),G274," ")</f>
        <v> </v>
      </c>
      <c r="K274" s="334" t="str">
        <f aca="false">IF((E274="d"),G274," ")</f>
        <v> </v>
      </c>
      <c r="L274" s="334" t="str">
        <f aca="false">IF((E274="e"),G274," ")</f>
        <v> </v>
      </c>
      <c r="M274" s="334" t="str">
        <f aca="false">IF((E274="p"),G274," ")</f>
        <v> </v>
      </c>
      <c r="N274" s="334" t="str">
        <f aca="false">IF((E274="r"),G274," ")</f>
        <v> </v>
      </c>
      <c r="O274" s="334" t="str">
        <f aca="false">IF((E274="g"),G274," ")</f>
        <v> </v>
      </c>
      <c r="P274" s="334" t="str">
        <f aca="false">IF((E274="m"),G274," ")</f>
        <v> </v>
      </c>
      <c r="Q274" s="334" t="str">
        <f aca="false">IF((E274="t"),G274," ")</f>
        <v> </v>
      </c>
      <c r="R274" s="334" t="str">
        <f aca="false">IF((E274="a"),G274," ")</f>
        <v> </v>
      </c>
      <c r="S274" s="334" t="str">
        <f aca="false">IF((E274="l"),G274," ")</f>
        <v> </v>
      </c>
      <c r="T274" s="334" t="str">
        <f aca="false">IF((E274="b"),G274," ")</f>
        <v> </v>
      </c>
      <c r="U274" s="334" t="str">
        <f aca="false">IF((E274="i"),G274," ")</f>
        <v> </v>
      </c>
      <c r="V274" s="334" t="str">
        <f aca="false">IF((E274="o"),G274," ")</f>
        <v> </v>
      </c>
      <c r="W274" s="334" t="str">
        <f aca="false">IF((E274="f"),G274," ")</f>
        <v> </v>
      </c>
    </row>
    <row r="275" customFormat="false" ht="12.75" hidden="false" customHeight="false" outlineLevel="0" collapsed="false">
      <c r="A275" s="355"/>
      <c r="E275" s="365" t="str">
        <f aca="false">IF((G275&lt;&gt;0),"Enter Letter"," ")</f>
        <v> </v>
      </c>
      <c r="J275" s="334" t="str">
        <f aca="false">IF((E275="s"),G275," ")</f>
        <v> </v>
      </c>
      <c r="K275" s="334" t="str">
        <f aca="false">IF((E275="d"),G275," ")</f>
        <v> </v>
      </c>
      <c r="L275" s="334" t="str">
        <f aca="false">IF((E275="e"),G275," ")</f>
        <v> </v>
      </c>
      <c r="M275" s="334" t="str">
        <f aca="false">IF((E275="p"),G275," ")</f>
        <v> </v>
      </c>
      <c r="N275" s="334" t="str">
        <f aca="false">IF((E275="r"),G275," ")</f>
        <v> </v>
      </c>
      <c r="O275" s="334" t="str">
        <f aca="false">IF((E275="g"),G275," ")</f>
        <v> </v>
      </c>
      <c r="P275" s="334" t="str">
        <f aca="false">IF((E275="m"),G275," ")</f>
        <v> </v>
      </c>
      <c r="Q275" s="334" t="str">
        <f aca="false">IF((E275="t"),G275," ")</f>
        <v> </v>
      </c>
      <c r="R275" s="334" t="str">
        <f aca="false">IF((E275="a"),G275," ")</f>
        <v> </v>
      </c>
      <c r="S275" s="334" t="str">
        <f aca="false">IF((E275="l"),G275," ")</f>
        <v> </v>
      </c>
      <c r="T275" s="334" t="str">
        <f aca="false">IF((E275="b"),G275," ")</f>
        <v> </v>
      </c>
      <c r="U275" s="334" t="str">
        <f aca="false">IF((E275="i"),G275," ")</f>
        <v> </v>
      </c>
      <c r="V275" s="334" t="str">
        <f aca="false">IF((E275="o"),G275," ")</f>
        <v> </v>
      </c>
      <c r="W275" s="334" t="str">
        <f aca="false">IF((E275="f"),G275," ")</f>
        <v> </v>
      </c>
    </row>
    <row r="276" customFormat="false" ht="12.75" hidden="false" customHeight="false" outlineLevel="0" collapsed="false">
      <c r="A276" s="355"/>
      <c r="E276" s="365" t="str">
        <f aca="false">IF((G276&lt;&gt;0),"Enter Letter"," ")</f>
        <v> </v>
      </c>
      <c r="J276" s="334" t="str">
        <f aca="false">IF((E276="s"),G276," ")</f>
        <v> </v>
      </c>
      <c r="K276" s="334" t="str">
        <f aca="false">IF((E276="d"),G276," ")</f>
        <v> </v>
      </c>
      <c r="L276" s="334" t="str">
        <f aca="false">IF((E276="e"),G276," ")</f>
        <v> </v>
      </c>
      <c r="M276" s="334" t="str">
        <f aca="false">IF((E276="p"),G276," ")</f>
        <v> </v>
      </c>
      <c r="N276" s="334" t="str">
        <f aca="false">IF((E276="r"),G276," ")</f>
        <v> </v>
      </c>
      <c r="O276" s="334" t="str">
        <f aca="false">IF((E276="g"),G276," ")</f>
        <v> </v>
      </c>
      <c r="P276" s="334" t="str">
        <f aca="false">IF((E276="m"),G276," ")</f>
        <v> </v>
      </c>
      <c r="Q276" s="334" t="str">
        <f aca="false">IF((E276="t"),G276," ")</f>
        <v> </v>
      </c>
      <c r="R276" s="334" t="str">
        <f aca="false">IF((E276="a"),G276," ")</f>
        <v> </v>
      </c>
      <c r="S276" s="334" t="str">
        <f aca="false">IF((E276="l"),G276," ")</f>
        <v> </v>
      </c>
      <c r="T276" s="334" t="str">
        <f aca="false">IF((E276="b"),G276," ")</f>
        <v> </v>
      </c>
      <c r="U276" s="334" t="str">
        <f aca="false">IF((E276="i"),G276," ")</f>
        <v> </v>
      </c>
      <c r="V276" s="334" t="str">
        <f aca="false">IF((E276="o"),G276," ")</f>
        <v> </v>
      </c>
      <c r="W276" s="334" t="str">
        <f aca="false">IF((E276="f"),G276," ")</f>
        <v> </v>
      </c>
    </row>
    <row r="277" customFormat="false" ht="12.75" hidden="false" customHeight="false" outlineLevel="0" collapsed="false">
      <c r="A277" s="355"/>
      <c r="E277" s="365" t="str">
        <f aca="false">IF((G277&lt;&gt;0),"Enter Letter"," ")</f>
        <v> </v>
      </c>
      <c r="J277" s="334" t="str">
        <f aca="false">IF((E277="s"),G277," ")</f>
        <v> </v>
      </c>
      <c r="K277" s="334" t="str">
        <f aca="false">IF((E277="d"),G277," ")</f>
        <v> </v>
      </c>
      <c r="L277" s="334" t="str">
        <f aca="false">IF((E277="e"),G277," ")</f>
        <v> </v>
      </c>
      <c r="M277" s="334" t="str">
        <f aca="false">IF((E277="p"),G277," ")</f>
        <v> </v>
      </c>
      <c r="N277" s="334" t="str">
        <f aca="false">IF((E277="r"),G277," ")</f>
        <v> </v>
      </c>
      <c r="O277" s="334" t="str">
        <f aca="false">IF((E277="g"),G277," ")</f>
        <v> </v>
      </c>
      <c r="P277" s="334" t="str">
        <f aca="false">IF((E277="m"),G277," ")</f>
        <v> </v>
      </c>
      <c r="Q277" s="334" t="str">
        <f aca="false">IF((E277="t"),G277," ")</f>
        <v> </v>
      </c>
      <c r="R277" s="334" t="str">
        <f aca="false">IF((E277="a"),G277," ")</f>
        <v> </v>
      </c>
      <c r="S277" s="334" t="str">
        <f aca="false">IF((E277="l"),G277," ")</f>
        <v> </v>
      </c>
      <c r="T277" s="334" t="str">
        <f aca="false">IF((E277="b"),G277," ")</f>
        <v> </v>
      </c>
      <c r="U277" s="334" t="str">
        <f aca="false">IF((E277="i"),G277," ")</f>
        <v> </v>
      </c>
      <c r="V277" s="334" t="str">
        <f aca="false">IF((E277="o"),G277," ")</f>
        <v> </v>
      </c>
      <c r="W277" s="334" t="str">
        <f aca="false">IF((E277="f"),G277," ")</f>
        <v> </v>
      </c>
    </row>
    <row r="278" customFormat="false" ht="12.75" hidden="false" customHeight="false" outlineLevel="0" collapsed="false">
      <c r="A278" s="355"/>
      <c r="E278" s="365" t="str">
        <f aca="false">IF((G278&lt;&gt;0),"Enter Letter"," ")</f>
        <v> </v>
      </c>
      <c r="J278" s="334" t="str">
        <f aca="false">IF((E278="s"),G278," ")</f>
        <v> </v>
      </c>
      <c r="K278" s="334" t="str">
        <f aca="false">IF((E278="d"),G278," ")</f>
        <v> </v>
      </c>
      <c r="L278" s="334" t="str">
        <f aca="false">IF((E278="e"),G278," ")</f>
        <v> </v>
      </c>
      <c r="M278" s="334" t="str">
        <f aca="false">IF((E278="p"),G278," ")</f>
        <v> </v>
      </c>
      <c r="N278" s="334" t="str">
        <f aca="false">IF((E278="r"),G278," ")</f>
        <v> </v>
      </c>
      <c r="O278" s="334" t="str">
        <f aca="false">IF((E278="g"),G278," ")</f>
        <v> </v>
      </c>
      <c r="P278" s="334" t="str">
        <f aca="false">IF((E278="m"),G278," ")</f>
        <v> </v>
      </c>
      <c r="Q278" s="334" t="str">
        <f aca="false">IF((E278="t"),G278," ")</f>
        <v> </v>
      </c>
      <c r="R278" s="334" t="str">
        <f aca="false">IF((E278="a"),G278," ")</f>
        <v> </v>
      </c>
      <c r="S278" s="334" t="str">
        <f aca="false">IF((E278="l"),G278," ")</f>
        <v> </v>
      </c>
      <c r="T278" s="334" t="str">
        <f aca="false">IF((E278="b"),G278," ")</f>
        <v> </v>
      </c>
      <c r="U278" s="334" t="str">
        <f aca="false">IF((E278="i"),G278," ")</f>
        <v> </v>
      </c>
      <c r="V278" s="334" t="str">
        <f aca="false">IF((E278="o"),G278," ")</f>
        <v> </v>
      </c>
      <c r="W278" s="334" t="str">
        <f aca="false">IF((E278="f"),G278," ")</f>
        <v> </v>
      </c>
    </row>
    <row r="279" customFormat="false" ht="12.75" hidden="false" customHeight="false" outlineLevel="0" collapsed="false">
      <c r="A279" s="355"/>
      <c r="E279" s="365" t="str">
        <f aca="false">IF((G279&lt;&gt;0),"Enter Letter"," ")</f>
        <v> </v>
      </c>
      <c r="J279" s="334" t="str">
        <f aca="false">IF((E279="s"),G279," ")</f>
        <v> </v>
      </c>
      <c r="K279" s="334" t="str">
        <f aca="false">IF((E279="d"),G279," ")</f>
        <v> </v>
      </c>
      <c r="L279" s="334" t="str">
        <f aca="false">IF((E279="e"),G279," ")</f>
        <v> </v>
      </c>
      <c r="M279" s="334" t="str">
        <f aca="false">IF((E279="p"),G279," ")</f>
        <v> </v>
      </c>
      <c r="N279" s="334" t="str">
        <f aca="false">IF((E279="r"),G279," ")</f>
        <v> </v>
      </c>
      <c r="O279" s="334" t="str">
        <f aca="false">IF((E279="g"),G279," ")</f>
        <v> </v>
      </c>
      <c r="P279" s="334" t="str">
        <f aca="false">IF((E279="m"),G279," ")</f>
        <v> </v>
      </c>
      <c r="Q279" s="334" t="str">
        <f aca="false">IF((E279="t"),G279," ")</f>
        <v> </v>
      </c>
      <c r="R279" s="334" t="str">
        <f aca="false">IF((E279="a"),G279," ")</f>
        <v> </v>
      </c>
      <c r="S279" s="334" t="str">
        <f aca="false">IF((E279="l"),G279," ")</f>
        <v> </v>
      </c>
      <c r="T279" s="334" t="str">
        <f aca="false">IF((E279="b"),G279," ")</f>
        <v> </v>
      </c>
      <c r="U279" s="334" t="str">
        <f aca="false">IF((E279="i"),G279," ")</f>
        <v> </v>
      </c>
      <c r="V279" s="334" t="str">
        <f aca="false">IF((E279="o"),G279," ")</f>
        <v> </v>
      </c>
      <c r="W279" s="334" t="str">
        <f aca="false">IF((E279="f"),G279," ")</f>
        <v> </v>
      </c>
    </row>
    <row r="280" customFormat="false" ht="12.75" hidden="false" customHeight="false" outlineLevel="0" collapsed="false">
      <c r="A280" s="355"/>
      <c r="E280" s="365" t="str">
        <f aca="false">IF((G280&lt;&gt;0),"Enter Letter"," ")</f>
        <v> </v>
      </c>
      <c r="J280" s="334" t="str">
        <f aca="false">IF((E280="s"),G280," ")</f>
        <v> </v>
      </c>
      <c r="K280" s="334" t="str">
        <f aca="false">IF((E280="d"),G280," ")</f>
        <v> </v>
      </c>
      <c r="L280" s="334" t="str">
        <f aca="false">IF((E280="e"),G280," ")</f>
        <v> </v>
      </c>
      <c r="M280" s="334" t="str">
        <f aca="false">IF((E280="p"),G280," ")</f>
        <v> </v>
      </c>
      <c r="N280" s="334" t="str">
        <f aca="false">IF((E280="r"),G280," ")</f>
        <v> </v>
      </c>
      <c r="O280" s="334" t="str">
        <f aca="false">IF((E280="g"),G280," ")</f>
        <v> </v>
      </c>
      <c r="P280" s="334" t="str">
        <f aca="false">IF((E280="m"),G280," ")</f>
        <v> </v>
      </c>
      <c r="Q280" s="334" t="str">
        <f aca="false">IF((E280="t"),G280," ")</f>
        <v> </v>
      </c>
      <c r="R280" s="334" t="str">
        <f aca="false">IF((E280="a"),G280," ")</f>
        <v> </v>
      </c>
      <c r="S280" s="334" t="str">
        <f aca="false">IF((E280="l"),G280," ")</f>
        <v> </v>
      </c>
      <c r="T280" s="334" t="str">
        <f aca="false">IF((E280="b"),G280," ")</f>
        <v> </v>
      </c>
      <c r="U280" s="334" t="str">
        <f aca="false">IF((E280="i"),G280," ")</f>
        <v> </v>
      </c>
      <c r="V280" s="334" t="str">
        <f aca="false">IF((E280="o"),G280," ")</f>
        <v> </v>
      </c>
      <c r="W280" s="334" t="str">
        <f aca="false">IF((E280="f"),G280," ")</f>
        <v> </v>
      </c>
    </row>
    <row r="281" customFormat="false" ht="12.75" hidden="false" customHeight="false" outlineLevel="0" collapsed="false">
      <c r="A281" s="355"/>
      <c r="E281" s="365" t="str">
        <f aca="false">IF((G281&lt;&gt;0),"Enter Letter"," ")</f>
        <v> </v>
      </c>
      <c r="J281" s="334" t="str">
        <f aca="false">IF((E281="s"),G281," ")</f>
        <v> </v>
      </c>
      <c r="K281" s="334" t="str">
        <f aca="false">IF((E281="d"),G281," ")</f>
        <v> </v>
      </c>
      <c r="L281" s="334" t="str">
        <f aca="false">IF((E281="e"),G281," ")</f>
        <v> </v>
      </c>
      <c r="M281" s="334" t="str">
        <f aca="false">IF((E281="p"),G281," ")</f>
        <v> </v>
      </c>
      <c r="N281" s="334" t="str">
        <f aca="false">IF((E281="r"),G281," ")</f>
        <v> </v>
      </c>
      <c r="O281" s="334" t="str">
        <f aca="false">IF((E281="g"),G281," ")</f>
        <v> </v>
      </c>
      <c r="P281" s="334" t="str">
        <f aca="false">IF((E281="m"),G281," ")</f>
        <v> </v>
      </c>
      <c r="Q281" s="334" t="str">
        <f aca="false">IF((E281="t"),G281," ")</f>
        <v> </v>
      </c>
      <c r="R281" s="334" t="str">
        <f aca="false">IF((E281="a"),G281," ")</f>
        <v> </v>
      </c>
      <c r="S281" s="334" t="str">
        <f aca="false">IF((E281="l"),G281," ")</f>
        <v> </v>
      </c>
      <c r="T281" s="334" t="str">
        <f aca="false">IF((E281="b"),G281," ")</f>
        <v> </v>
      </c>
      <c r="U281" s="334" t="str">
        <f aca="false">IF((E281="i"),G281," ")</f>
        <v> </v>
      </c>
      <c r="V281" s="334" t="str">
        <f aca="false">IF((E281="o"),G281," ")</f>
        <v> </v>
      </c>
      <c r="W281" s="334" t="str">
        <f aca="false">IF((E281="f"),G281," ")</f>
        <v> </v>
      </c>
    </row>
    <row r="282" customFormat="false" ht="12.75" hidden="false" customHeight="false" outlineLevel="0" collapsed="false">
      <c r="A282" s="355"/>
      <c r="E282" s="365" t="str">
        <f aca="false">IF((G282&lt;&gt;0),"Enter Letter"," ")</f>
        <v> </v>
      </c>
      <c r="J282" s="334" t="str">
        <f aca="false">IF((E282="s"),G282," ")</f>
        <v> </v>
      </c>
      <c r="K282" s="334" t="str">
        <f aca="false">IF((E282="d"),G282," ")</f>
        <v> </v>
      </c>
      <c r="L282" s="334" t="str">
        <f aca="false">IF((E282="e"),G282," ")</f>
        <v> </v>
      </c>
      <c r="M282" s="334" t="str">
        <f aca="false">IF((E282="p"),G282," ")</f>
        <v> </v>
      </c>
      <c r="N282" s="334" t="str">
        <f aca="false">IF((E282="r"),G282," ")</f>
        <v> </v>
      </c>
      <c r="O282" s="334" t="str">
        <f aca="false">IF((E282="g"),G282," ")</f>
        <v> </v>
      </c>
      <c r="P282" s="334" t="str">
        <f aca="false">IF((E282="m"),G282," ")</f>
        <v> </v>
      </c>
      <c r="Q282" s="334" t="str">
        <f aca="false">IF((E282="t"),G282," ")</f>
        <v> </v>
      </c>
      <c r="R282" s="334" t="str">
        <f aca="false">IF((E282="a"),G282," ")</f>
        <v> </v>
      </c>
      <c r="S282" s="334" t="str">
        <f aca="false">IF((E282="l"),G282," ")</f>
        <v> </v>
      </c>
      <c r="T282" s="334" t="str">
        <f aca="false">IF((E282="b"),G282," ")</f>
        <v> </v>
      </c>
      <c r="U282" s="334" t="str">
        <f aca="false">IF((E282="i"),G282," ")</f>
        <v> </v>
      </c>
      <c r="V282" s="334" t="str">
        <f aca="false">IF((E282="o"),G282," ")</f>
        <v> </v>
      </c>
      <c r="W282" s="334" t="str">
        <f aca="false">IF((E282="f"),G282," ")</f>
        <v> </v>
      </c>
    </row>
    <row r="283" customFormat="false" ht="12.75" hidden="false" customHeight="false" outlineLevel="0" collapsed="false">
      <c r="A283" s="355"/>
      <c r="E283" s="365" t="str">
        <f aca="false">IF((G283&lt;&gt;0),"Enter Letter"," ")</f>
        <v> </v>
      </c>
      <c r="J283" s="334" t="str">
        <f aca="false">IF((E283="s"),G283," ")</f>
        <v> </v>
      </c>
      <c r="K283" s="334" t="str">
        <f aca="false">IF((E283="d"),G283," ")</f>
        <v> </v>
      </c>
      <c r="L283" s="334" t="str">
        <f aca="false">IF((E283="e"),G283," ")</f>
        <v> </v>
      </c>
      <c r="M283" s="334" t="str">
        <f aca="false">IF((E283="p"),G283," ")</f>
        <v> </v>
      </c>
      <c r="N283" s="334" t="str">
        <f aca="false">IF((E283="r"),G283," ")</f>
        <v> </v>
      </c>
      <c r="O283" s="334" t="str">
        <f aca="false">IF((E283="g"),G283," ")</f>
        <v> </v>
      </c>
      <c r="P283" s="334" t="str">
        <f aca="false">IF((E283="m"),G283," ")</f>
        <v> </v>
      </c>
      <c r="Q283" s="334" t="str">
        <f aca="false">IF((E283="t"),G283," ")</f>
        <v> </v>
      </c>
      <c r="R283" s="334" t="str">
        <f aca="false">IF((E283="a"),G283," ")</f>
        <v> </v>
      </c>
      <c r="S283" s="334" t="str">
        <f aca="false">IF((E283="l"),G283," ")</f>
        <v> </v>
      </c>
      <c r="T283" s="334" t="str">
        <f aca="false">IF((E283="b"),G283," ")</f>
        <v> </v>
      </c>
      <c r="U283" s="334" t="str">
        <f aca="false">IF((E283="i"),G283," ")</f>
        <v> </v>
      </c>
      <c r="V283" s="334" t="str">
        <f aca="false">IF((E283="o"),G283," ")</f>
        <v> </v>
      </c>
      <c r="W283" s="334" t="str">
        <f aca="false">IF((E283="f"),G283," ")</f>
        <v> </v>
      </c>
    </row>
    <row r="284" customFormat="false" ht="12.75" hidden="false" customHeight="false" outlineLevel="0" collapsed="false">
      <c r="A284" s="355"/>
      <c r="E284" s="365" t="str">
        <f aca="false">IF((G284&lt;&gt;0),"Enter Letter"," ")</f>
        <v> </v>
      </c>
      <c r="J284" s="334" t="str">
        <f aca="false">IF((E284="s"),G284," ")</f>
        <v> </v>
      </c>
      <c r="K284" s="334" t="str">
        <f aca="false">IF((E284="d"),G284," ")</f>
        <v> </v>
      </c>
      <c r="L284" s="334" t="str">
        <f aca="false">IF((E284="e"),G284," ")</f>
        <v> </v>
      </c>
      <c r="M284" s="334" t="str">
        <f aca="false">IF((E284="p"),G284," ")</f>
        <v> </v>
      </c>
      <c r="N284" s="334" t="str">
        <f aca="false">IF((E284="r"),G284," ")</f>
        <v> </v>
      </c>
      <c r="O284" s="334" t="str">
        <f aca="false">IF((E284="g"),G284," ")</f>
        <v> </v>
      </c>
      <c r="P284" s="334" t="str">
        <f aca="false">IF((E284="m"),G284," ")</f>
        <v> </v>
      </c>
      <c r="Q284" s="334" t="str">
        <f aca="false">IF((E284="t"),G284," ")</f>
        <v> </v>
      </c>
      <c r="R284" s="334" t="str">
        <f aca="false">IF((E284="a"),G284," ")</f>
        <v> </v>
      </c>
      <c r="S284" s="334" t="str">
        <f aca="false">IF((E284="l"),G284," ")</f>
        <v> </v>
      </c>
      <c r="T284" s="334" t="str">
        <f aca="false">IF((E284="b"),G284," ")</f>
        <v> </v>
      </c>
      <c r="U284" s="334" t="str">
        <f aca="false">IF((E284="i"),G284," ")</f>
        <v> </v>
      </c>
      <c r="V284" s="334" t="str">
        <f aca="false">IF((E284="o"),G284," ")</f>
        <v> </v>
      </c>
      <c r="W284" s="334" t="str">
        <f aca="false">IF((E284="f"),G284," ")</f>
        <v> </v>
      </c>
    </row>
    <row r="285" customFormat="false" ht="12.75" hidden="false" customHeight="false" outlineLevel="0" collapsed="false">
      <c r="A285" s="355"/>
      <c r="E285" s="365" t="str">
        <f aca="false">IF((G285&lt;&gt;0),"Enter Letter"," ")</f>
        <v> </v>
      </c>
      <c r="J285" s="334" t="str">
        <f aca="false">IF((E285="s"),G285," ")</f>
        <v> </v>
      </c>
      <c r="K285" s="334" t="str">
        <f aca="false">IF((E285="d"),G285," ")</f>
        <v> </v>
      </c>
      <c r="L285" s="334" t="str">
        <f aca="false">IF((E285="e"),G285," ")</f>
        <v> </v>
      </c>
      <c r="M285" s="334" t="str">
        <f aca="false">IF((E285="p"),G285," ")</f>
        <v> </v>
      </c>
      <c r="N285" s="334" t="str">
        <f aca="false">IF((E285="r"),G285," ")</f>
        <v> </v>
      </c>
      <c r="O285" s="334" t="str">
        <f aca="false">IF((E285="g"),G285," ")</f>
        <v> </v>
      </c>
      <c r="P285" s="334" t="str">
        <f aca="false">IF((E285="m"),G285," ")</f>
        <v> </v>
      </c>
      <c r="Q285" s="334" t="str">
        <f aca="false">IF((E285="t"),G285," ")</f>
        <v> </v>
      </c>
      <c r="R285" s="334" t="str">
        <f aca="false">IF((E285="a"),G285," ")</f>
        <v> </v>
      </c>
      <c r="S285" s="334" t="str">
        <f aca="false">IF((E285="l"),G285," ")</f>
        <v> </v>
      </c>
      <c r="T285" s="334" t="str">
        <f aca="false">IF((E285="b"),G285," ")</f>
        <v> </v>
      </c>
      <c r="U285" s="334" t="str">
        <f aca="false">IF((E285="i"),G285," ")</f>
        <v> </v>
      </c>
      <c r="V285" s="334" t="str">
        <f aca="false">IF((E285="o"),G285," ")</f>
        <v> </v>
      </c>
      <c r="W285" s="334" t="str">
        <f aca="false">IF((E285="f"),G285," ")</f>
        <v> </v>
      </c>
    </row>
    <row r="286" customFormat="false" ht="12.75" hidden="false" customHeight="false" outlineLevel="0" collapsed="false">
      <c r="A286" s="355"/>
      <c r="E286" s="365" t="str">
        <f aca="false">IF((G286&lt;&gt;0),"Enter Letter"," ")</f>
        <v> </v>
      </c>
      <c r="J286" s="334" t="str">
        <f aca="false">IF((E286="s"),G286," ")</f>
        <v> </v>
      </c>
      <c r="K286" s="334" t="str">
        <f aca="false">IF((E286="d"),G286," ")</f>
        <v> </v>
      </c>
      <c r="L286" s="334" t="str">
        <f aca="false">IF((E286="e"),G286," ")</f>
        <v> </v>
      </c>
      <c r="M286" s="334" t="str">
        <f aca="false">IF((E286="p"),G286," ")</f>
        <v> </v>
      </c>
      <c r="N286" s="334" t="str">
        <f aca="false">IF((E286="r"),G286," ")</f>
        <v> </v>
      </c>
      <c r="O286" s="334" t="str">
        <f aca="false">IF((E286="g"),G286," ")</f>
        <v> </v>
      </c>
      <c r="P286" s="334" t="str">
        <f aca="false">IF((E286="m"),G286," ")</f>
        <v> </v>
      </c>
      <c r="Q286" s="334" t="str">
        <f aca="false">IF((E286="t"),G286," ")</f>
        <v> </v>
      </c>
      <c r="R286" s="334" t="str">
        <f aca="false">IF((E286="a"),G286," ")</f>
        <v> </v>
      </c>
      <c r="S286" s="334" t="str">
        <f aca="false">IF((E286="l"),G286," ")</f>
        <v> </v>
      </c>
      <c r="T286" s="334" t="str">
        <f aca="false">IF((E286="b"),G286," ")</f>
        <v> </v>
      </c>
      <c r="U286" s="334" t="str">
        <f aca="false">IF((E286="i"),G286," ")</f>
        <v> </v>
      </c>
      <c r="V286" s="334" t="str">
        <f aca="false">IF((E286="o"),G286," ")</f>
        <v> </v>
      </c>
      <c r="W286" s="334" t="str">
        <f aca="false">IF((E286="f"),G286," ")</f>
        <v> </v>
      </c>
    </row>
    <row r="287" customFormat="false" ht="12.75" hidden="false" customHeight="false" outlineLevel="0" collapsed="false">
      <c r="A287" s="355"/>
      <c r="E287" s="365" t="str">
        <f aca="false">IF((G287&lt;&gt;0),"Enter Letter"," ")</f>
        <v> </v>
      </c>
      <c r="J287" s="334" t="str">
        <f aca="false">IF((E287="s"),G287," ")</f>
        <v> </v>
      </c>
      <c r="K287" s="334" t="str">
        <f aca="false">IF((E287="d"),G287," ")</f>
        <v> </v>
      </c>
      <c r="L287" s="334" t="str">
        <f aca="false">IF((E287="e"),G287," ")</f>
        <v> </v>
      </c>
      <c r="M287" s="334" t="str">
        <f aca="false">IF((E287="p"),G287," ")</f>
        <v> </v>
      </c>
      <c r="N287" s="334" t="str">
        <f aca="false">IF((E287="r"),G287," ")</f>
        <v> </v>
      </c>
      <c r="O287" s="334" t="str">
        <f aca="false">IF((E287="g"),G287," ")</f>
        <v> </v>
      </c>
      <c r="P287" s="334" t="str">
        <f aca="false">IF((E287="m"),G287," ")</f>
        <v> </v>
      </c>
      <c r="Q287" s="334" t="str">
        <f aca="false">IF((E287="t"),G287," ")</f>
        <v> </v>
      </c>
      <c r="R287" s="334" t="str">
        <f aca="false">IF((E287="a"),G287," ")</f>
        <v> </v>
      </c>
      <c r="S287" s="334" t="str">
        <f aca="false">IF((E287="l"),G287," ")</f>
        <v> </v>
      </c>
      <c r="T287" s="334" t="str">
        <f aca="false">IF((E287="b"),G287," ")</f>
        <v> </v>
      </c>
      <c r="U287" s="334" t="str">
        <f aca="false">IF((E287="i"),G287," ")</f>
        <v> </v>
      </c>
      <c r="V287" s="334" t="str">
        <f aca="false">IF((E287="o"),G287," ")</f>
        <v> </v>
      </c>
      <c r="W287" s="334" t="str">
        <f aca="false">IF((E287="f"),G287," ")</f>
        <v> </v>
      </c>
    </row>
    <row r="288" customFormat="false" ht="12.75" hidden="false" customHeight="false" outlineLevel="0" collapsed="false">
      <c r="A288" s="355"/>
      <c r="E288" s="365" t="str">
        <f aca="false">IF((G288&lt;&gt;0),"Enter Letter"," ")</f>
        <v> </v>
      </c>
      <c r="J288" s="334" t="str">
        <f aca="false">IF((E288="s"),G288," ")</f>
        <v> </v>
      </c>
      <c r="K288" s="334" t="str">
        <f aca="false">IF((E288="d"),G288," ")</f>
        <v> </v>
      </c>
      <c r="L288" s="334" t="str">
        <f aca="false">IF((E288="e"),G288," ")</f>
        <v> </v>
      </c>
      <c r="M288" s="334" t="str">
        <f aca="false">IF((E288="p"),G288," ")</f>
        <v> </v>
      </c>
      <c r="N288" s="334" t="str">
        <f aca="false">IF((E288="r"),G288," ")</f>
        <v> </v>
      </c>
      <c r="O288" s="334" t="str">
        <f aca="false">IF((E288="g"),G288," ")</f>
        <v> </v>
      </c>
      <c r="P288" s="334" t="str">
        <f aca="false">IF((E288="m"),G288," ")</f>
        <v> </v>
      </c>
      <c r="Q288" s="334" t="str">
        <f aca="false">IF((E288="t"),G288," ")</f>
        <v> </v>
      </c>
      <c r="R288" s="334" t="str">
        <f aca="false">IF((E288="a"),G288," ")</f>
        <v> </v>
      </c>
      <c r="S288" s="334" t="str">
        <f aca="false">IF((E288="l"),G288," ")</f>
        <v> </v>
      </c>
      <c r="T288" s="334" t="str">
        <f aca="false">IF((E288="b"),G288," ")</f>
        <v> </v>
      </c>
      <c r="U288" s="334" t="str">
        <f aca="false">IF((E288="i"),G288," ")</f>
        <v> </v>
      </c>
      <c r="V288" s="334" t="str">
        <f aca="false">IF((E288="o"),G288," ")</f>
        <v> </v>
      </c>
      <c r="W288" s="334" t="str">
        <f aca="false">IF((E288="f"),G288," ")</f>
        <v> </v>
      </c>
    </row>
    <row r="289" customFormat="false" ht="12.75" hidden="false" customHeight="false" outlineLevel="0" collapsed="false">
      <c r="A289" s="355"/>
      <c r="E289" s="365" t="str">
        <f aca="false">IF((G289&lt;&gt;0),"Enter Letter"," ")</f>
        <v> </v>
      </c>
      <c r="J289" s="334" t="str">
        <f aca="false">IF((E289="s"),G289," ")</f>
        <v> </v>
      </c>
      <c r="K289" s="334" t="str">
        <f aca="false">IF((E289="d"),G289," ")</f>
        <v> </v>
      </c>
      <c r="L289" s="334" t="str">
        <f aca="false">IF((E289="e"),G289," ")</f>
        <v> </v>
      </c>
      <c r="M289" s="334" t="str">
        <f aca="false">IF((E289="p"),G289," ")</f>
        <v> </v>
      </c>
      <c r="N289" s="334" t="str">
        <f aca="false">IF((E289="r"),G289," ")</f>
        <v> </v>
      </c>
      <c r="O289" s="334" t="str">
        <f aca="false">IF((E289="g"),G289," ")</f>
        <v> </v>
      </c>
      <c r="P289" s="334" t="str">
        <f aca="false">IF((E289="m"),G289," ")</f>
        <v> </v>
      </c>
      <c r="Q289" s="334" t="str">
        <f aca="false">IF((E289="t"),G289," ")</f>
        <v> </v>
      </c>
      <c r="R289" s="334" t="str">
        <f aca="false">IF((E289="a"),G289," ")</f>
        <v> </v>
      </c>
      <c r="S289" s="334" t="str">
        <f aca="false">IF((E289="l"),G289," ")</f>
        <v> </v>
      </c>
      <c r="T289" s="334" t="str">
        <f aca="false">IF((E289="b"),G289," ")</f>
        <v> </v>
      </c>
      <c r="U289" s="334" t="str">
        <f aca="false">IF((E289="i"),G289," ")</f>
        <v> </v>
      </c>
      <c r="V289" s="334" t="str">
        <f aca="false">IF((E289="o"),G289," ")</f>
        <v> </v>
      </c>
      <c r="W289" s="334" t="str">
        <f aca="false">IF((E289="f"),G289," ")</f>
        <v> </v>
      </c>
    </row>
    <row r="290" customFormat="false" ht="12.75" hidden="false" customHeight="false" outlineLevel="0" collapsed="false">
      <c r="A290" s="355"/>
      <c r="E290" s="365" t="str">
        <f aca="false">IF((G290&lt;&gt;0),"Enter Letter"," ")</f>
        <v> </v>
      </c>
      <c r="J290" s="334" t="str">
        <f aca="false">IF((E290="s"),G290," ")</f>
        <v> </v>
      </c>
      <c r="K290" s="334" t="str">
        <f aca="false">IF((E290="d"),G290," ")</f>
        <v> </v>
      </c>
      <c r="L290" s="334" t="str">
        <f aca="false">IF((E290="e"),G290," ")</f>
        <v> </v>
      </c>
      <c r="M290" s="334" t="str">
        <f aca="false">IF((E290="p"),G290," ")</f>
        <v> </v>
      </c>
      <c r="N290" s="334" t="str">
        <f aca="false">IF((E290="r"),G290," ")</f>
        <v> </v>
      </c>
      <c r="O290" s="334" t="str">
        <f aca="false">IF((E290="g"),G290," ")</f>
        <v> </v>
      </c>
      <c r="P290" s="334" t="str">
        <f aca="false">IF((E290="m"),G290," ")</f>
        <v> </v>
      </c>
      <c r="Q290" s="334" t="str">
        <f aca="false">IF((E290="t"),G290," ")</f>
        <v> </v>
      </c>
      <c r="R290" s="334" t="str">
        <f aca="false">IF((E290="a"),G290," ")</f>
        <v> </v>
      </c>
      <c r="S290" s="334" t="str">
        <f aca="false">IF((E290="l"),G290," ")</f>
        <v> </v>
      </c>
      <c r="T290" s="334" t="str">
        <f aca="false">IF((E290="b"),G290," ")</f>
        <v> </v>
      </c>
      <c r="U290" s="334" t="str">
        <f aca="false">IF((E290="i"),G290," ")</f>
        <v> </v>
      </c>
      <c r="V290" s="334" t="str">
        <f aca="false">IF((E290="o"),G290," ")</f>
        <v> </v>
      </c>
      <c r="W290" s="334" t="str">
        <f aca="false">IF((E290="f"),G290," ")</f>
        <v> </v>
      </c>
    </row>
    <row r="291" customFormat="false" ht="12.75" hidden="false" customHeight="false" outlineLevel="0" collapsed="false">
      <c r="A291" s="355"/>
      <c r="E291" s="365" t="str">
        <f aca="false">IF((G291&lt;&gt;0),"Enter Letter"," ")</f>
        <v> </v>
      </c>
      <c r="J291" s="334" t="str">
        <f aca="false">IF((E291="s"),G291," ")</f>
        <v> </v>
      </c>
      <c r="K291" s="334" t="str">
        <f aca="false">IF((E291="d"),G291," ")</f>
        <v> </v>
      </c>
      <c r="L291" s="334" t="str">
        <f aca="false">IF((E291="e"),G291," ")</f>
        <v> </v>
      </c>
      <c r="M291" s="334" t="str">
        <f aca="false">IF((E291="p"),G291," ")</f>
        <v> </v>
      </c>
      <c r="N291" s="334" t="str">
        <f aca="false">IF((E291="r"),G291," ")</f>
        <v> </v>
      </c>
      <c r="O291" s="334" t="str">
        <f aca="false">IF((E291="g"),G291," ")</f>
        <v> </v>
      </c>
      <c r="P291" s="334" t="str">
        <f aca="false">IF((E291="m"),G291," ")</f>
        <v> </v>
      </c>
      <c r="Q291" s="334" t="str">
        <f aca="false">IF((E291="t"),G291," ")</f>
        <v> </v>
      </c>
      <c r="R291" s="334" t="str">
        <f aca="false">IF((E291="a"),G291," ")</f>
        <v> </v>
      </c>
      <c r="S291" s="334" t="str">
        <f aca="false">IF((E291="l"),G291," ")</f>
        <v> </v>
      </c>
      <c r="T291" s="334" t="str">
        <f aca="false">IF((E291="b"),G291," ")</f>
        <v> </v>
      </c>
      <c r="U291" s="334" t="str">
        <f aca="false">IF((E291="i"),G291," ")</f>
        <v> </v>
      </c>
      <c r="V291" s="334" t="str">
        <f aca="false">IF((E291="o"),G291," ")</f>
        <v> </v>
      </c>
      <c r="W291" s="334" t="str">
        <f aca="false">IF((E291="f"),G291," ")</f>
        <v> </v>
      </c>
    </row>
    <row r="292" customFormat="false" ht="12.75" hidden="false" customHeight="false" outlineLevel="0" collapsed="false">
      <c r="A292" s="355"/>
      <c r="E292" s="365" t="str">
        <f aca="false">IF((G292&lt;&gt;0),"Enter Letter"," ")</f>
        <v> </v>
      </c>
      <c r="J292" s="334" t="str">
        <f aca="false">IF((E292="s"),G292," ")</f>
        <v> </v>
      </c>
      <c r="K292" s="334" t="str">
        <f aca="false">IF((E292="d"),G292," ")</f>
        <v> </v>
      </c>
      <c r="L292" s="334" t="str">
        <f aca="false">IF((E292="e"),G292," ")</f>
        <v> </v>
      </c>
      <c r="M292" s="334" t="str">
        <f aca="false">IF((E292="p"),G292," ")</f>
        <v> </v>
      </c>
      <c r="N292" s="334" t="str">
        <f aca="false">IF((E292="r"),G292," ")</f>
        <v> </v>
      </c>
      <c r="O292" s="334" t="str">
        <f aca="false">IF((E292="g"),G292," ")</f>
        <v> </v>
      </c>
      <c r="P292" s="334" t="str">
        <f aca="false">IF((E292="m"),G292," ")</f>
        <v> </v>
      </c>
      <c r="Q292" s="334" t="str">
        <f aca="false">IF((E292="t"),G292," ")</f>
        <v> </v>
      </c>
      <c r="R292" s="334" t="str">
        <f aca="false">IF((E292="a"),G292," ")</f>
        <v> </v>
      </c>
      <c r="S292" s="334" t="str">
        <f aca="false">IF((E292="l"),G292," ")</f>
        <v> </v>
      </c>
      <c r="T292" s="334" t="str">
        <f aca="false">IF((E292="b"),G292," ")</f>
        <v> </v>
      </c>
      <c r="U292" s="334" t="str">
        <f aca="false">IF((E292="i"),G292," ")</f>
        <v> </v>
      </c>
      <c r="V292" s="334" t="str">
        <f aca="false">IF((E292="o"),G292," ")</f>
        <v> </v>
      </c>
      <c r="W292" s="334" t="str">
        <f aca="false">IF((E292="f"),G292," ")</f>
        <v> </v>
      </c>
    </row>
    <row r="293" customFormat="false" ht="12.75" hidden="false" customHeight="false" outlineLevel="0" collapsed="false">
      <c r="A293" s="355"/>
      <c r="E293" s="365" t="str">
        <f aca="false">IF((G293&lt;&gt;0),"Enter Letter"," ")</f>
        <v> </v>
      </c>
      <c r="J293" s="334" t="str">
        <f aca="false">IF((E293="s"),G293," ")</f>
        <v> </v>
      </c>
      <c r="K293" s="334" t="str">
        <f aca="false">IF((E293="d"),G293," ")</f>
        <v> </v>
      </c>
      <c r="L293" s="334" t="str">
        <f aca="false">IF((E293="e"),G293," ")</f>
        <v> </v>
      </c>
      <c r="M293" s="334" t="str">
        <f aca="false">IF((E293="p"),G293," ")</f>
        <v> </v>
      </c>
      <c r="N293" s="334" t="str">
        <f aca="false">IF((E293="r"),G293," ")</f>
        <v> </v>
      </c>
      <c r="O293" s="334" t="str">
        <f aca="false">IF((E293="g"),G293," ")</f>
        <v> </v>
      </c>
      <c r="P293" s="334" t="str">
        <f aca="false">IF((E293="m"),G293," ")</f>
        <v> </v>
      </c>
      <c r="Q293" s="334" t="str">
        <f aca="false">IF((E293="t"),G293," ")</f>
        <v> </v>
      </c>
      <c r="R293" s="334" t="str">
        <f aca="false">IF((E293="a"),G293," ")</f>
        <v> </v>
      </c>
      <c r="S293" s="334" t="str">
        <f aca="false">IF((E293="l"),G293," ")</f>
        <v> </v>
      </c>
      <c r="T293" s="334" t="str">
        <f aca="false">IF((E293="b"),G293," ")</f>
        <v> </v>
      </c>
      <c r="U293" s="334" t="str">
        <f aca="false">IF((E293="i"),G293," ")</f>
        <v> </v>
      </c>
      <c r="V293" s="334" t="str">
        <f aca="false">IF((E293="o"),G293," ")</f>
        <v> </v>
      </c>
      <c r="W293" s="334" t="str">
        <f aca="false">IF((E293="f"),G293," ")</f>
        <v> </v>
      </c>
    </row>
    <row r="294" customFormat="false" ht="12.75" hidden="false" customHeight="false" outlineLevel="0" collapsed="false">
      <c r="A294" s="355"/>
      <c r="E294" s="365" t="str">
        <f aca="false">IF((G294&lt;&gt;0),"Enter Letter"," ")</f>
        <v> </v>
      </c>
      <c r="J294" s="334" t="str">
        <f aca="false">IF((E294="s"),G294," ")</f>
        <v> </v>
      </c>
      <c r="K294" s="334" t="str">
        <f aca="false">IF((E294="d"),G294," ")</f>
        <v> </v>
      </c>
      <c r="L294" s="334" t="str">
        <f aca="false">IF((E294="e"),G294," ")</f>
        <v> </v>
      </c>
      <c r="M294" s="334" t="str">
        <f aca="false">IF((E294="p"),G294," ")</f>
        <v> </v>
      </c>
      <c r="N294" s="334" t="str">
        <f aca="false">IF((E294="r"),G294," ")</f>
        <v> </v>
      </c>
      <c r="O294" s="334" t="str">
        <f aca="false">IF((E294="g"),G294," ")</f>
        <v> </v>
      </c>
      <c r="P294" s="334" t="str">
        <f aca="false">IF((E294="m"),G294," ")</f>
        <v> </v>
      </c>
      <c r="Q294" s="334" t="str">
        <f aca="false">IF((E294="t"),G294," ")</f>
        <v> </v>
      </c>
      <c r="R294" s="334" t="str">
        <f aca="false">IF((E294="a"),G294," ")</f>
        <v> </v>
      </c>
      <c r="S294" s="334" t="str">
        <f aca="false">IF((E294="l"),G294," ")</f>
        <v> </v>
      </c>
      <c r="T294" s="334" t="str">
        <f aca="false">IF((E294="b"),G294," ")</f>
        <v> </v>
      </c>
      <c r="U294" s="334" t="str">
        <f aca="false">IF((E294="i"),G294," ")</f>
        <v> </v>
      </c>
      <c r="V294" s="334" t="str">
        <f aca="false">IF((E294="o"),G294," ")</f>
        <v> </v>
      </c>
      <c r="W294" s="334" t="str">
        <f aca="false">IF((E294="f"),G294," ")</f>
        <v> </v>
      </c>
    </row>
    <row r="295" customFormat="false" ht="12.75" hidden="false" customHeight="false" outlineLevel="0" collapsed="false">
      <c r="A295" s="355"/>
      <c r="E295" s="365" t="str">
        <f aca="false">IF((G295&lt;&gt;0),"Enter Letter"," ")</f>
        <v> </v>
      </c>
      <c r="J295" s="334" t="str">
        <f aca="false">IF((E295="s"),G295," ")</f>
        <v> </v>
      </c>
      <c r="K295" s="334" t="str">
        <f aca="false">IF((E295="d"),G295," ")</f>
        <v> </v>
      </c>
      <c r="L295" s="334" t="str">
        <f aca="false">IF((E295="e"),G295," ")</f>
        <v> </v>
      </c>
      <c r="M295" s="334" t="str">
        <f aca="false">IF((E295="p"),G295," ")</f>
        <v> </v>
      </c>
      <c r="N295" s="334" t="str">
        <f aca="false">IF((E295="r"),G295," ")</f>
        <v> </v>
      </c>
      <c r="O295" s="334" t="str">
        <f aca="false">IF((E295="g"),G295," ")</f>
        <v> </v>
      </c>
      <c r="P295" s="334" t="str">
        <f aca="false">IF((E295="m"),G295," ")</f>
        <v> </v>
      </c>
      <c r="Q295" s="334" t="str">
        <f aca="false">IF((E295="t"),G295," ")</f>
        <v> </v>
      </c>
      <c r="R295" s="334" t="str">
        <f aca="false">IF((E295="a"),G295," ")</f>
        <v> </v>
      </c>
      <c r="S295" s="334" t="str">
        <f aca="false">IF((E295="l"),G295," ")</f>
        <v> </v>
      </c>
      <c r="T295" s="334" t="str">
        <f aca="false">IF((E295="b"),G295," ")</f>
        <v> </v>
      </c>
      <c r="U295" s="334" t="str">
        <f aca="false">IF((E295="i"),G295," ")</f>
        <v> </v>
      </c>
      <c r="V295" s="334" t="str">
        <f aca="false">IF((E295="o"),G295," ")</f>
        <v> </v>
      </c>
      <c r="W295" s="334" t="str">
        <f aca="false">IF((E295="f"),G295," ")</f>
        <v> </v>
      </c>
    </row>
    <row r="296" customFormat="false" ht="12.75" hidden="false" customHeight="false" outlineLevel="0" collapsed="false">
      <c r="A296" s="355"/>
      <c r="E296" s="365" t="str">
        <f aca="false">IF((G296&lt;&gt;0),"Enter Letter"," ")</f>
        <v> </v>
      </c>
      <c r="J296" s="334" t="str">
        <f aca="false">IF((E296="s"),G296," ")</f>
        <v> </v>
      </c>
      <c r="K296" s="334" t="str">
        <f aca="false">IF((E296="d"),G296," ")</f>
        <v> </v>
      </c>
      <c r="L296" s="334" t="str">
        <f aca="false">IF((E296="e"),G296," ")</f>
        <v> </v>
      </c>
      <c r="M296" s="334" t="str">
        <f aca="false">IF((E296="p"),G296," ")</f>
        <v> </v>
      </c>
      <c r="N296" s="334" t="str">
        <f aca="false">IF((E296="r"),G296," ")</f>
        <v> </v>
      </c>
      <c r="O296" s="334" t="str">
        <f aca="false">IF((E296="g"),G296," ")</f>
        <v> </v>
      </c>
      <c r="P296" s="334" t="str">
        <f aca="false">IF((E296="m"),G296," ")</f>
        <v> </v>
      </c>
      <c r="Q296" s="334" t="str">
        <f aca="false">IF((E296="t"),G296," ")</f>
        <v> </v>
      </c>
      <c r="R296" s="334" t="str">
        <f aca="false">IF((E296="a"),G296," ")</f>
        <v> </v>
      </c>
      <c r="S296" s="334" t="str">
        <f aca="false">IF((E296="l"),G296," ")</f>
        <v> </v>
      </c>
      <c r="T296" s="334" t="str">
        <f aca="false">IF((E296="b"),G296," ")</f>
        <v> </v>
      </c>
      <c r="U296" s="334" t="str">
        <f aca="false">IF((E296="i"),G296," ")</f>
        <v> </v>
      </c>
      <c r="V296" s="334" t="str">
        <f aca="false">IF((E296="o"),G296," ")</f>
        <v> </v>
      </c>
      <c r="W296" s="334" t="str">
        <f aca="false">IF((E296="f"),G296," ")</f>
        <v> </v>
      </c>
    </row>
    <row r="297" customFormat="false" ht="12.75" hidden="false" customHeight="false" outlineLevel="0" collapsed="false">
      <c r="A297" s="355"/>
      <c r="E297" s="365" t="str">
        <f aca="false">IF((G297&lt;&gt;0),"Enter Letter"," ")</f>
        <v> </v>
      </c>
      <c r="J297" s="334" t="str">
        <f aca="false">IF((E297="s"),G297," ")</f>
        <v> </v>
      </c>
      <c r="K297" s="334" t="str">
        <f aca="false">IF((E297="d"),G297," ")</f>
        <v> </v>
      </c>
      <c r="L297" s="334" t="str">
        <f aca="false">IF((E297="e"),G297," ")</f>
        <v> </v>
      </c>
      <c r="M297" s="334" t="str">
        <f aca="false">IF((E297="p"),G297," ")</f>
        <v> </v>
      </c>
      <c r="N297" s="334" t="str">
        <f aca="false">IF((E297="r"),G297," ")</f>
        <v> </v>
      </c>
      <c r="O297" s="334" t="str">
        <f aca="false">IF((E297="g"),G297," ")</f>
        <v> </v>
      </c>
      <c r="P297" s="334" t="str">
        <f aca="false">IF((E297="m"),G297," ")</f>
        <v> </v>
      </c>
      <c r="Q297" s="334" t="str">
        <f aca="false">IF((E297="t"),G297," ")</f>
        <v> </v>
      </c>
      <c r="R297" s="334" t="str">
        <f aca="false">IF((E297="a"),G297," ")</f>
        <v> </v>
      </c>
      <c r="S297" s="334" t="str">
        <f aca="false">IF((E297="l"),G297," ")</f>
        <v> </v>
      </c>
      <c r="T297" s="334" t="str">
        <f aca="false">IF((E297="b"),G297," ")</f>
        <v> </v>
      </c>
      <c r="U297" s="334" t="str">
        <f aca="false">IF((E297="i"),G297," ")</f>
        <v> </v>
      </c>
      <c r="V297" s="334" t="str">
        <f aca="false">IF((E297="o"),G297," ")</f>
        <v> </v>
      </c>
      <c r="W297" s="334" t="str">
        <f aca="false">IF((E297="f"),G297," ")</f>
        <v> </v>
      </c>
    </row>
    <row r="298" customFormat="false" ht="12.75" hidden="false" customHeight="false" outlineLevel="0" collapsed="false">
      <c r="A298" s="355"/>
      <c r="E298" s="365" t="str">
        <f aca="false">IF((G298&lt;&gt;0),"Enter Letter"," ")</f>
        <v> </v>
      </c>
      <c r="J298" s="334" t="str">
        <f aca="false">IF((E298="s"),G298," ")</f>
        <v> </v>
      </c>
      <c r="K298" s="334" t="str">
        <f aca="false">IF((E298="d"),G298," ")</f>
        <v> </v>
      </c>
      <c r="L298" s="334" t="str">
        <f aca="false">IF((E298="e"),G298," ")</f>
        <v> </v>
      </c>
      <c r="M298" s="334" t="str">
        <f aca="false">IF((E298="p"),G298," ")</f>
        <v> </v>
      </c>
      <c r="N298" s="334" t="str">
        <f aca="false">IF((E298="r"),G298," ")</f>
        <v> </v>
      </c>
      <c r="O298" s="334" t="str">
        <f aca="false">IF((E298="g"),G298," ")</f>
        <v> </v>
      </c>
      <c r="P298" s="334" t="str">
        <f aca="false">IF((E298="m"),G298," ")</f>
        <v> </v>
      </c>
      <c r="Q298" s="334" t="str">
        <f aca="false">IF((E298="t"),G298," ")</f>
        <v> </v>
      </c>
      <c r="R298" s="334" t="str">
        <f aca="false">IF((E298="a"),G298," ")</f>
        <v> </v>
      </c>
      <c r="S298" s="334" t="str">
        <f aca="false">IF((E298="l"),G298," ")</f>
        <v> </v>
      </c>
      <c r="T298" s="334" t="str">
        <f aca="false">IF((E298="b"),G298," ")</f>
        <v> </v>
      </c>
      <c r="U298" s="334" t="str">
        <f aca="false">IF((E298="i"),G298," ")</f>
        <v> </v>
      </c>
      <c r="V298" s="334" t="str">
        <f aca="false">IF((E298="o"),G298," ")</f>
        <v> </v>
      </c>
      <c r="W298" s="334" t="str">
        <f aca="false">IF((E298="f"),G298," ")</f>
        <v> </v>
      </c>
    </row>
    <row r="299" customFormat="false" ht="12.75" hidden="false" customHeight="false" outlineLevel="0" collapsed="false">
      <c r="A299" s="355"/>
      <c r="E299" s="365" t="str">
        <f aca="false">IF((G299&lt;&gt;0),"Enter Letter"," ")</f>
        <v> </v>
      </c>
      <c r="J299" s="334" t="str">
        <f aca="false">IF((E299="s"),G299," ")</f>
        <v> </v>
      </c>
      <c r="K299" s="334" t="str">
        <f aca="false">IF((E299="d"),G299," ")</f>
        <v> </v>
      </c>
      <c r="L299" s="334" t="str">
        <f aca="false">IF((E299="e"),G299," ")</f>
        <v> </v>
      </c>
      <c r="M299" s="334" t="str">
        <f aca="false">IF((E299="p"),G299," ")</f>
        <v> </v>
      </c>
      <c r="N299" s="334" t="str">
        <f aca="false">IF((E299="r"),G299," ")</f>
        <v> </v>
      </c>
      <c r="O299" s="334" t="str">
        <f aca="false">IF((E299="g"),G299," ")</f>
        <v> </v>
      </c>
      <c r="P299" s="334" t="str">
        <f aca="false">IF((E299="m"),G299," ")</f>
        <v> </v>
      </c>
      <c r="Q299" s="334" t="str">
        <f aca="false">IF((E299="t"),G299," ")</f>
        <v> </v>
      </c>
      <c r="R299" s="334" t="str">
        <f aca="false">IF((E299="a"),G299," ")</f>
        <v> </v>
      </c>
      <c r="S299" s="334" t="str">
        <f aca="false">IF((E299="l"),G299," ")</f>
        <v> </v>
      </c>
      <c r="T299" s="334" t="str">
        <f aca="false">IF((E299="b"),G299," ")</f>
        <v> </v>
      </c>
      <c r="U299" s="334" t="str">
        <f aca="false">IF((E299="i"),G299," ")</f>
        <v> </v>
      </c>
      <c r="V299" s="334" t="str">
        <f aca="false">IF((E299="o"),G299," ")</f>
        <v> </v>
      </c>
      <c r="W299" s="334" t="str">
        <f aca="false">IF((E299="f"),G299," ")</f>
        <v> </v>
      </c>
    </row>
    <row r="300" customFormat="false" ht="12.75" hidden="false" customHeight="false" outlineLevel="0" collapsed="false">
      <c r="A300" s="402"/>
      <c r="B300" s="393"/>
      <c r="C300" s="393"/>
      <c r="D300" s="394"/>
      <c r="E300" s="395" t="str">
        <f aca="false">IF((G300&lt;&gt;0),"Enter Letter"," ")</f>
        <v> </v>
      </c>
      <c r="F300" s="396"/>
      <c r="G300" s="397"/>
      <c r="H300" s="360"/>
      <c r="I300" s="398"/>
      <c r="J300" s="356" t="str">
        <f aca="false">IF((E300="s"),G300," ")</f>
        <v> </v>
      </c>
      <c r="K300" s="356" t="str">
        <f aca="false">IF((E300="d"),G300," ")</f>
        <v> </v>
      </c>
      <c r="L300" s="356" t="str">
        <f aca="false">IF((E300="e"),G300," ")</f>
        <v> </v>
      </c>
      <c r="M300" s="356" t="str">
        <f aca="false">IF((E300="p"),G300," ")</f>
        <v> </v>
      </c>
      <c r="N300" s="356" t="str">
        <f aca="false">IF((E300="r"),G300," ")</f>
        <v> </v>
      </c>
      <c r="O300" s="356" t="str">
        <f aca="false">IF((E300="g"),G300," ")</f>
        <v> </v>
      </c>
      <c r="P300" s="356" t="str">
        <f aca="false">IF((E300="m"),G300," ")</f>
        <v> </v>
      </c>
      <c r="Q300" s="356" t="str">
        <f aca="false">IF((E300="t"),G300," ")</f>
        <v> </v>
      </c>
      <c r="R300" s="356" t="str">
        <f aca="false">IF((E300="a"),G300," ")</f>
        <v> </v>
      </c>
      <c r="S300" s="356" t="str">
        <f aca="false">IF((E300="l"),G300," ")</f>
        <v> </v>
      </c>
      <c r="T300" s="356" t="str">
        <f aca="false">IF((E300="b"),G300," ")</f>
        <v> </v>
      </c>
      <c r="U300" s="356" t="str">
        <f aca="false">IF((E300="i"),G300," ")</f>
        <v> </v>
      </c>
      <c r="V300" s="356" t="str">
        <f aca="false">IF((E300="o"),G300," ")</f>
        <v> </v>
      </c>
      <c r="W300" s="356" t="str">
        <f aca="false">IF((E300="f"),G300," ")</f>
        <v> </v>
      </c>
    </row>
  </sheetData>
  <mergeCells count="25">
    <mergeCell ref="A2:A4"/>
    <mergeCell ref="B2:B4"/>
    <mergeCell ref="C2:C4"/>
    <mergeCell ref="D2:D4"/>
    <mergeCell ref="E2:E3"/>
    <mergeCell ref="F2:F4"/>
    <mergeCell ref="G2:G3"/>
    <mergeCell ref="H2:H4"/>
    <mergeCell ref="I2:I4"/>
    <mergeCell ref="J2:J3"/>
    <mergeCell ref="K2:K3"/>
    <mergeCell ref="L2:L3"/>
    <mergeCell ref="M2:M3"/>
    <mergeCell ref="N2:N3"/>
    <mergeCell ref="O2:O3"/>
    <mergeCell ref="Q2:Q3"/>
    <mergeCell ref="R2:R3"/>
    <mergeCell ref="S2:S3"/>
    <mergeCell ref="T2:T3"/>
    <mergeCell ref="U2:U3"/>
    <mergeCell ref="V2:V3"/>
    <mergeCell ref="W2:W3"/>
    <mergeCell ref="X2:X4"/>
    <mergeCell ref="Y2:Z2"/>
    <mergeCell ref="Y3:Z3"/>
  </mergeCells>
  <dataValidations count="3">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5:A300" type="date">
      <formula1>38353</formula1>
      <formula2>53327</formula2>
    </dataValidation>
    <dataValidation allowBlank="true" errorStyle="stop" operator="between" prompt="An amount in this cell shows the total purchases in cell G1 does not agree with the totals in the analysis columns cells J1 to W&#10;&#10;CHECK all expense code letters have been entered correctly or any manual entries in the analysis correct&#10;" promptTitle="ERROR ALERT" showDropDown="false" showErrorMessage="true" showInputMessage="true" sqref="E1" type="none">
      <formula1>0</formula1>
      <formula2>0</formula2>
    </dataValidation>
    <dataValidation allowBlank="true" errorStyle="stop" operator="between" showDropDown="false" showErrorMessage="true" showInputMessage="false" sqref="E5:E300" type="list">
      <formula1>$J$4:$W$4</formula1>
      <formula2>0</formula2>
    </dataValidation>
  </dataValidations>
  <printOptions headings="false" gridLines="true" gridLinesSet="true" horizontalCentered="false" verticalCentered="false"/>
  <pageMargins left="0.315277777777778" right="0.472222222222222"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2" manualBreakCount="2">
    <brk id="9" man="true" max="65535" min="0"/>
    <brk id="22" man="true" max="65535" min="0"/>
  </colBreaks>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false" hidden="false" outlineLevel="0" max="1" min="1" style="333" width="9.15"/>
    <col collapsed="false" customWidth="true" hidden="false" outlineLevel="0" max="2" min="2" style="334" width="17.66"/>
    <col collapsed="false" customWidth="true" hidden="false" outlineLevel="0" max="3" min="3" style="335" width="11.32"/>
    <col collapsed="false" customWidth="true" hidden="false" outlineLevel="0" max="4" min="4" style="336" width="14.49"/>
    <col collapsed="false" customWidth="true" hidden="false" outlineLevel="0" max="5" min="5" style="337" width="7.66"/>
    <col collapsed="false" customWidth="true" hidden="false" outlineLevel="0" max="7" min="6" style="334" width="9.66"/>
    <col collapsed="false" customWidth="true" hidden="false" outlineLevel="0" max="8" min="8" style="338" width="9.66"/>
    <col collapsed="false" customWidth="true" hidden="false" outlineLevel="0" max="9" min="9" style="339" width="10.5"/>
    <col collapsed="false" customWidth="false" hidden="false" outlineLevel="0" max="257" min="10" style="334" width="9.15"/>
  </cols>
  <sheetData>
    <row r="1" s="348" customFormat="true" ht="12.75" hidden="false" customHeight="true" outlineLevel="0" collapsed="false">
      <c r="A1" s="340" t="s">
        <v>246</v>
      </c>
      <c r="B1" s="341" t="s">
        <v>247</v>
      </c>
      <c r="C1" s="342"/>
      <c r="D1" s="343" t="s">
        <v>248</v>
      </c>
      <c r="E1" s="344" t="n">
        <f aca="false">SUM(E4:E300)</f>
        <v>0</v>
      </c>
      <c r="F1" s="343" t="n">
        <f aca="false">SUM(F4:F300)</f>
        <v>31360</v>
      </c>
      <c r="G1" s="343" t="n">
        <f aca="false">SUM(G4:G300)</f>
        <v>0</v>
      </c>
      <c r="H1" s="345" t="n">
        <f aca="false">SUM(H4:H300)</f>
        <v>0</v>
      </c>
      <c r="I1" s="346" t="n">
        <f aca="true">TODAY()</f>
        <v>46138</v>
      </c>
      <c r="J1" s="343" t="n">
        <f aca="false">SUM(J4:J300)</f>
        <v>0</v>
      </c>
      <c r="K1" s="347" t="n">
        <f aca="false">J1+SalesFeb!K1</f>
        <v>0</v>
      </c>
    </row>
    <row r="2" s="348" customFormat="true" ht="12.75" hidden="false" customHeight="true" outlineLevel="0" collapsed="false">
      <c r="A2" s="340"/>
      <c r="B2" s="341"/>
      <c r="C2" s="349" t="s">
        <v>249</v>
      </c>
      <c r="D2" s="350" t="s">
        <v>250</v>
      </c>
      <c r="E2" s="351" t="s">
        <v>251</v>
      </c>
      <c r="F2" s="341" t="s">
        <v>252</v>
      </c>
      <c r="G2" s="341" t="s">
        <v>253</v>
      </c>
      <c r="H2" s="352" t="s">
        <v>254</v>
      </c>
      <c r="I2" s="353" t="s">
        <v>255</v>
      </c>
      <c r="J2" s="341" t="s">
        <v>256</v>
      </c>
      <c r="K2" s="341"/>
    </row>
    <row r="3" s="354" customFormat="true" ht="38.25" hidden="false" customHeight="true" outlineLevel="0" collapsed="false">
      <c r="A3" s="340"/>
      <c r="B3" s="341"/>
      <c r="C3" s="349"/>
      <c r="D3" s="350"/>
      <c r="E3" s="351"/>
      <c r="F3" s="351"/>
      <c r="G3" s="351"/>
      <c r="H3" s="352"/>
      <c r="I3" s="353"/>
      <c r="J3" s="341" t="s">
        <v>257</v>
      </c>
      <c r="K3" s="341" t="s">
        <v>258</v>
      </c>
    </row>
    <row r="4" customFormat="false" ht="12.75" hidden="false" customHeight="false" outlineLevel="0" collapsed="false">
      <c r="A4" s="355" t="n">
        <v>46084</v>
      </c>
      <c r="B4" s="334" t="s">
        <v>259</v>
      </c>
      <c r="F4" s="334" t="n">
        <v>360</v>
      </c>
      <c r="I4" s="339" t="n">
        <f aca="false">IF((F4&lt;&gt;0),IF((D4&gt;0)," ",(I$1-A4))," ")</f>
        <v>54</v>
      </c>
    </row>
    <row r="5" customFormat="false" ht="12.75" hidden="false" customHeight="false" outlineLevel="0" collapsed="false">
      <c r="A5" s="355" t="n">
        <v>46086</v>
      </c>
      <c r="B5" s="334" t="s">
        <v>260</v>
      </c>
      <c r="F5" s="334" t="n">
        <v>600</v>
      </c>
      <c r="I5" s="339" t="n">
        <f aca="false">IF((F5&lt;&gt;0),IF((D5&gt;0)," ",(I$1-A5))," ")</f>
        <v>52</v>
      </c>
    </row>
    <row r="6" customFormat="false" ht="12.75" hidden="false" customHeight="false" outlineLevel="0" collapsed="false">
      <c r="A6" s="355" t="n">
        <v>46089</v>
      </c>
      <c r="B6" s="334" t="s">
        <v>261</v>
      </c>
      <c r="F6" s="334" t="n">
        <v>480</v>
      </c>
      <c r="I6" s="339" t="n">
        <f aca="false">IF((F6&lt;&gt;0),IF((D6&gt;0)," ",(I$1-A6))," ")</f>
        <v>49</v>
      </c>
    </row>
    <row r="7" customFormat="false" ht="12.75" hidden="false" customHeight="false" outlineLevel="0" collapsed="false">
      <c r="A7" s="355" t="n">
        <v>46091</v>
      </c>
      <c r="B7" s="334" t="s">
        <v>262</v>
      </c>
      <c r="F7" s="334" t="n">
        <v>720</v>
      </c>
      <c r="I7" s="339" t="n">
        <f aca="false">IF((F7&lt;&gt;0),IF((D7&gt;0)," ",(I$1-A7))," ")</f>
        <v>47</v>
      </c>
    </row>
    <row r="8" customFormat="false" ht="12.75" hidden="false" customHeight="false" outlineLevel="0" collapsed="false">
      <c r="A8" s="355" t="n">
        <v>46096</v>
      </c>
      <c r="B8" s="334" t="s">
        <v>235</v>
      </c>
      <c r="F8" s="334" t="n">
        <v>25000</v>
      </c>
      <c r="I8" s="339" t="n">
        <f aca="false">IF((F8&lt;&gt;0),IF((D8&gt;0)," ",(I$1-A8))," ")</f>
        <v>42</v>
      </c>
    </row>
    <row r="9" customFormat="false" ht="12.75" hidden="false" customHeight="false" outlineLevel="0" collapsed="false">
      <c r="A9" s="355" t="n">
        <v>46099</v>
      </c>
      <c r="B9" s="334" t="s">
        <v>237</v>
      </c>
      <c r="F9" s="334" t="n">
        <v>2400</v>
      </c>
      <c r="I9" s="339" t="n">
        <f aca="false">IF((F9&lt;&gt;0),IF((D9&gt;0)," ",(I$1-A9))," ")</f>
        <v>39</v>
      </c>
    </row>
    <row r="10" customFormat="false" ht="12.75" hidden="false" customHeight="false" outlineLevel="0" collapsed="false">
      <c r="A10" s="355" t="n">
        <v>46103</v>
      </c>
      <c r="B10" s="334" t="s">
        <v>356</v>
      </c>
      <c r="F10" s="334" t="n">
        <v>1440</v>
      </c>
      <c r="I10" s="339" t="n">
        <f aca="false">IF((F10&lt;&gt;0),IF((D10&gt;0)," ",(I$1-A10))," ")</f>
        <v>35</v>
      </c>
    </row>
    <row r="11" customFormat="false" ht="12.75" hidden="false" customHeight="false" outlineLevel="0" collapsed="false">
      <c r="A11" s="355" t="n">
        <v>46112</v>
      </c>
      <c r="B11" s="334" t="s">
        <v>387</v>
      </c>
      <c r="F11" s="334" t="n">
        <v>360</v>
      </c>
      <c r="I11" s="339" t="n">
        <f aca="false">IF((F11&lt;&gt;0),IF((D11&gt;0)," ",(I$1-A11))," ")</f>
        <v>26</v>
      </c>
    </row>
    <row r="12" customFormat="false" ht="12.75" hidden="false" customHeight="false" outlineLevel="0" collapsed="false">
      <c r="A12" s="355"/>
      <c r="I12" s="339" t="str">
        <f aca="false">IF((F12&lt;&gt;0),IF((D12&gt;0)," ",(I$1-A12))," ")</f>
        <v> </v>
      </c>
    </row>
    <row r="13" customFormat="false" ht="12.75" hidden="false" customHeight="false" outlineLevel="0" collapsed="false">
      <c r="A13" s="355"/>
      <c r="I13" s="339" t="str">
        <f aca="false">IF((F13&lt;&gt;0),IF((D13&gt;0)," ",(I$1-A13))," ")</f>
        <v> </v>
      </c>
    </row>
    <row r="14" customFormat="false" ht="12.75" hidden="false" customHeight="false" outlineLevel="0" collapsed="false">
      <c r="A14" s="355"/>
      <c r="I14" s="339" t="str">
        <f aca="false">IF((F14&lt;&gt;0),IF((D14&gt;0)," ",(I$1-A14))," ")</f>
        <v> </v>
      </c>
    </row>
    <row r="15" customFormat="false" ht="12.75" hidden="false" customHeight="false" outlineLevel="0" collapsed="false">
      <c r="A15" s="355"/>
      <c r="I15" s="339" t="str">
        <f aca="false">IF((F15&lt;&gt;0),IF((D15&gt;0)," ",(I$1-A15))," ")</f>
        <v> </v>
      </c>
    </row>
    <row r="16" customFormat="false" ht="12.75" hidden="false" customHeight="false" outlineLevel="0" collapsed="false">
      <c r="A16" s="355"/>
      <c r="I16" s="339" t="str">
        <f aca="false">IF((F16&lt;&gt;0),IF((D16&gt;0)," ",(I$1-A16))," ")</f>
        <v> </v>
      </c>
    </row>
    <row r="17" customFormat="false" ht="12.75" hidden="false" customHeight="false" outlineLevel="0" collapsed="false">
      <c r="A17" s="355"/>
      <c r="I17" s="339" t="str">
        <f aca="false">IF((F17&lt;&gt;0),IF((D17&gt;0)," ",(I$1-A17))," ")</f>
        <v> </v>
      </c>
    </row>
    <row r="18" customFormat="false" ht="12.75" hidden="false" customHeight="false" outlineLevel="0" collapsed="false">
      <c r="A18" s="355"/>
      <c r="I18" s="339" t="str">
        <f aca="false">IF((F18&lt;&gt;0),IF((D18&gt;0)," ",(I$1-A18))," ")</f>
        <v> </v>
      </c>
    </row>
    <row r="19" customFormat="false" ht="12.75" hidden="false" customHeight="false" outlineLevel="0" collapsed="false">
      <c r="A19" s="355"/>
      <c r="I19" s="339" t="str">
        <f aca="false">IF((F19&lt;&gt;0),IF((D19&gt;0)," ",(I$1-A19))," ")</f>
        <v> </v>
      </c>
    </row>
    <row r="20" customFormat="false" ht="12.75" hidden="false" customHeight="false" outlineLevel="0" collapsed="false">
      <c r="A20" s="355"/>
      <c r="I20" s="339" t="str">
        <f aca="false">IF((F20&lt;&gt;0),IF((D20&gt;0)," ",(I$1-A20))," ")</f>
        <v> </v>
      </c>
    </row>
    <row r="21" customFormat="false" ht="12.75" hidden="false" customHeight="false" outlineLevel="0" collapsed="false">
      <c r="A21" s="355"/>
      <c r="I21" s="339" t="str">
        <f aca="false">IF((F21&lt;&gt;0),IF((D21&gt;0)," ",(I$1-A21))," ")</f>
        <v> </v>
      </c>
    </row>
    <row r="22" customFormat="false" ht="12.75" hidden="false" customHeight="false" outlineLevel="0" collapsed="false">
      <c r="A22" s="355"/>
      <c r="I22" s="339" t="str">
        <f aca="false">IF((F22&lt;&gt;0),IF((D22&gt;0)," ",(I$1-A22))," ")</f>
        <v> </v>
      </c>
    </row>
    <row r="23" customFormat="false" ht="12.75" hidden="false" customHeight="false" outlineLevel="0" collapsed="false">
      <c r="A23" s="355"/>
      <c r="I23" s="339" t="str">
        <f aca="false">IF((F23&lt;&gt;0),IF((D23&gt;0)," ",(I$1-A23))," ")</f>
        <v> </v>
      </c>
    </row>
    <row r="24" customFormat="false" ht="12.75" hidden="false" customHeight="false" outlineLevel="0" collapsed="false">
      <c r="A24" s="355"/>
      <c r="I24" s="339" t="str">
        <f aca="false">IF((F24&lt;&gt;0),IF((D24&gt;0)," ",(I$1-A24))," ")</f>
        <v> </v>
      </c>
    </row>
    <row r="25" customFormat="false" ht="12.75" hidden="false" customHeight="false" outlineLevel="0" collapsed="false">
      <c r="A25" s="355"/>
      <c r="I25" s="339" t="str">
        <f aca="false">IF((F25&lt;&gt;0),IF((D25&gt;0)," ",(I$1-A25))," ")</f>
        <v> </v>
      </c>
    </row>
    <row r="26" customFormat="false" ht="12.75" hidden="false" customHeight="false" outlineLevel="0" collapsed="false">
      <c r="A26" s="355"/>
      <c r="I26" s="339" t="str">
        <f aca="false">IF((F26&lt;&gt;0),IF((D26&gt;0)," ",(I$1-A26))," ")</f>
        <v> </v>
      </c>
    </row>
    <row r="27" customFormat="false" ht="12.75" hidden="false" customHeight="false" outlineLevel="0" collapsed="false">
      <c r="A27" s="355"/>
      <c r="I27" s="339" t="str">
        <f aca="false">IF((F27&lt;&gt;0),IF((D27&gt;0)," ",(I$1-A27))," ")</f>
        <v> </v>
      </c>
    </row>
    <row r="28" customFormat="false" ht="12.75" hidden="false" customHeight="false" outlineLevel="0" collapsed="false">
      <c r="A28" s="355"/>
      <c r="I28" s="339" t="str">
        <f aca="false">IF((F28&lt;&gt;0),IF((D28&gt;0)," ",(I$1-A28))," ")</f>
        <v> </v>
      </c>
    </row>
    <row r="29" customFormat="false" ht="12.75" hidden="false" customHeight="false" outlineLevel="0" collapsed="false">
      <c r="A29" s="355"/>
      <c r="I29" s="339" t="str">
        <f aca="false">IF((F29&lt;&gt;0),IF((D29&gt;0)," ",(I$1-A29))," ")</f>
        <v> </v>
      </c>
    </row>
    <row r="30" customFormat="false" ht="12.75" hidden="false" customHeight="false" outlineLevel="0" collapsed="false">
      <c r="A30" s="355"/>
      <c r="I30" s="339" t="str">
        <f aca="false">IF((F30&lt;&gt;0),IF((D30&gt;0)," ",(I$1-A30))," ")</f>
        <v> </v>
      </c>
    </row>
    <row r="31" customFormat="false" ht="12.75" hidden="false" customHeight="false" outlineLevel="0" collapsed="false">
      <c r="A31" s="355"/>
      <c r="I31" s="339" t="str">
        <f aca="false">IF((F31&lt;&gt;0),IF((D31&gt;0)," ",(I$1-A31))," ")</f>
        <v> </v>
      </c>
    </row>
    <row r="32" customFormat="false" ht="12.75" hidden="false" customHeight="false" outlineLevel="0" collapsed="false">
      <c r="A32" s="355"/>
      <c r="I32" s="339" t="str">
        <f aca="false">IF((F32&lt;&gt;0),IF((D32&gt;0)," ",(I$1-A32))," ")</f>
        <v> </v>
      </c>
    </row>
    <row r="33" customFormat="false" ht="12.75" hidden="false" customHeight="false" outlineLevel="0" collapsed="false">
      <c r="A33" s="355"/>
      <c r="I33" s="339" t="str">
        <f aca="false">IF((F33&lt;&gt;0),IF((D33&gt;0)," ",(I$1-A33))," ")</f>
        <v> </v>
      </c>
    </row>
    <row r="34" customFormat="false" ht="12.75" hidden="false" customHeight="false" outlineLevel="0" collapsed="false">
      <c r="A34" s="355"/>
      <c r="I34" s="339" t="str">
        <f aca="false">IF((F34&lt;&gt;0),IF((D34&gt;0)," ",(I$1-A34))," ")</f>
        <v> </v>
      </c>
    </row>
    <row r="35" customFormat="false" ht="12.75" hidden="false" customHeight="false" outlineLevel="0" collapsed="false">
      <c r="A35" s="355"/>
      <c r="I35" s="339" t="str">
        <f aca="false">IF((F35&lt;&gt;0),IF((D35&gt;0)," ",(I$1-A35))," ")</f>
        <v> </v>
      </c>
    </row>
    <row r="36" customFormat="false" ht="12.75" hidden="false" customHeight="false" outlineLevel="0" collapsed="false">
      <c r="A36" s="355"/>
      <c r="I36" s="339" t="str">
        <f aca="false">IF((F36&lt;&gt;0),IF((D36&gt;0)," ",(I$1-A36))," ")</f>
        <v> </v>
      </c>
    </row>
    <row r="37" customFormat="false" ht="12.75" hidden="false" customHeight="false" outlineLevel="0" collapsed="false">
      <c r="A37" s="355"/>
      <c r="I37" s="339" t="str">
        <f aca="false">IF((F37&lt;&gt;0),IF((D37&gt;0)," ",(I$1-A37))," ")</f>
        <v> </v>
      </c>
    </row>
    <row r="38" customFormat="false" ht="12.75" hidden="false" customHeight="false" outlineLevel="0" collapsed="false">
      <c r="A38" s="355"/>
      <c r="I38" s="339" t="str">
        <f aca="false">IF((F38&lt;&gt;0),IF((D38&gt;0)," ",(I$1-A38))," ")</f>
        <v> </v>
      </c>
    </row>
    <row r="39" customFormat="false" ht="12.75" hidden="false" customHeight="false" outlineLevel="0" collapsed="false">
      <c r="A39" s="355"/>
      <c r="I39" s="339" t="str">
        <f aca="false">IF((F39&lt;&gt;0),IF((D39&gt;0)," ",(I$1-A39))," ")</f>
        <v> </v>
      </c>
    </row>
    <row r="40" customFormat="false" ht="12.75" hidden="false" customHeight="false" outlineLevel="0" collapsed="false">
      <c r="A40" s="355"/>
      <c r="I40" s="339" t="str">
        <f aca="false">IF((F40&lt;&gt;0),IF((D40&gt;0)," ",(I$1-A40))," ")</f>
        <v> </v>
      </c>
    </row>
    <row r="41" customFormat="false" ht="12.75" hidden="false" customHeight="false" outlineLevel="0" collapsed="false">
      <c r="A41" s="355"/>
      <c r="I41" s="339" t="str">
        <f aca="false">IF((F41&lt;&gt;0),IF((D41&gt;0)," ",(I$1-A41))," ")</f>
        <v> </v>
      </c>
    </row>
    <row r="42" customFormat="false" ht="12.75" hidden="false" customHeight="false" outlineLevel="0" collapsed="false">
      <c r="A42" s="355"/>
      <c r="I42" s="339" t="str">
        <f aca="false">IF((F42&lt;&gt;0),IF((D42&gt;0)," ",(I$1-A42))," ")</f>
        <v> </v>
      </c>
    </row>
    <row r="43" customFormat="false" ht="12.75" hidden="false" customHeight="false" outlineLevel="0" collapsed="false">
      <c r="A43" s="355"/>
      <c r="I43" s="339" t="str">
        <f aca="false">IF((F43&lt;&gt;0),IF((D43&gt;0)," ",(I$1-A43))," ")</f>
        <v> </v>
      </c>
    </row>
    <row r="44" customFormat="false" ht="12.75" hidden="false" customHeight="false" outlineLevel="0" collapsed="false">
      <c r="A44" s="355"/>
      <c r="I44" s="339" t="str">
        <f aca="false">IF((F44&lt;&gt;0),IF((D44&gt;0)," ",(I$1-A44))," ")</f>
        <v> </v>
      </c>
    </row>
    <row r="45" customFormat="false" ht="12.75" hidden="false" customHeight="false" outlineLevel="0" collapsed="false">
      <c r="A45" s="355"/>
      <c r="I45" s="339" t="str">
        <f aca="false">IF((F45&lt;&gt;0),IF((D45&gt;0)," ",(I$1-A45))," ")</f>
        <v> </v>
      </c>
    </row>
    <row r="46" customFormat="false" ht="12.75" hidden="false" customHeight="false" outlineLevel="0" collapsed="false">
      <c r="A46" s="355"/>
      <c r="I46" s="339" t="str">
        <f aca="false">IF((F46&lt;&gt;0),IF((D46&gt;0)," ",(I$1-A46))," ")</f>
        <v> </v>
      </c>
    </row>
    <row r="47" customFormat="false" ht="12.75" hidden="false" customHeight="false" outlineLevel="0" collapsed="false">
      <c r="A47" s="355"/>
      <c r="I47" s="339" t="str">
        <f aca="false">IF((F47&lt;&gt;0),IF((D47&gt;0)," ",(I$1-A47))," ")</f>
        <v> </v>
      </c>
    </row>
    <row r="48" customFormat="false" ht="12.75" hidden="false" customHeight="false" outlineLevel="0" collapsed="false">
      <c r="A48" s="355"/>
      <c r="I48" s="339" t="str">
        <f aca="false">IF((F48&lt;&gt;0),IF((D48&gt;0)," ",(I$1-A48))," ")</f>
        <v> </v>
      </c>
    </row>
    <row r="49" customFormat="false" ht="12.75" hidden="false" customHeight="false" outlineLevel="0" collapsed="false">
      <c r="A49" s="355"/>
      <c r="I49" s="339" t="str">
        <f aca="false">IF((F49&lt;&gt;0),IF((D49&gt;0)," ",(I$1-A49))," ")</f>
        <v> </v>
      </c>
    </row>
    <row r="50" customFormat="false" ht="12.75" hidden="false" customHeight="false" outlineLevel="0" collapsed="false">
      <c r="A50" s="355"/>
      <c r="I50" s="339" t="str">
        <f aca="false">IF((F50&lt;&gt;0),IF((D50&gt;0)," ",(I$1-A50))," ")</f>
        <v> </v>
      </c>
    </row>
    <row r="51" customFormat="false" ht="12.75" hidden="false" customHeight="false" outlineLevel="0" collapsed="false">
      <c r="A51" s="355"/>
      <c r="I51" s="339" t="str">
        <f aca="false">IF((F51&lt;&gt;0),IF((D51&gt;0)," ",(I$1-A51))," ")</f>
        <v> </v>
      </c>
    </row>
    <row r="52" customFormat="false" ht="12.75" hidden="false" customHeight="false" outlineLevel="0" collapsed="false">
      <c r="A52" s="355"/>
      <c r="I52" s="339" t="str">
        <f aca="false">IF((F52&lt;&gt;0),IF((D52&gt;0)," ",(I$1-A52))," ")</f>
        <v> </v>
      </c>
    </row>
    <row r="53" customFormat="false" ht="12.75" hidden="false" customHeight="false" outlineLevel="0" collapsed="false">
      <c r="A53" s="355"/>
      <c r="I53" s="339" t="str">
        <f aca="false">IF((F53&lt;&gt;0),IF((D53&gt;0)," ",(I$1-A53))," ")</f>
        <v> </v>
      </c>
    </row>
    <row r="54" customFormat="false" ht="12.75" hidden="false" customHeight="false" outlineLevel="0" collapsed="false">
      <c r="A54" s="355"/>
      <c r="I54" s="339" t="str">
        <f aca="false">IF((F54&lt;&gt;0),IF((D54&gt;0)," ",(I$1-A54))," ")</f>
        <v> </v>
      </c>
    </row>
    <row r="55" customFormat="false" ht="12.75" hidden="false" customHeight="false" outlineLevel="0" collapsed="false">
      <c r="A55" s="355"/>
      <c r="I55" s="339" t="str">
        <f aca="false">IF((F55&lt;&gt;0),IF((D55&gt;0)," ",(I$1-A55))," ")</f>
        <v> </v>
      </c>
    </row>
    <row r="56" customFormat="false" ht="12.75" hidden="false" customHeight="false" outlineLevel="0" collapsed="false">
      <c r="A56" s="355"/>
      <c r="I56" s="339" t="str">
        <f aca="false">IF((F56&lt;&gt;0),IF((D56&gt;0)," ",(I$1-A56))," ")</f>
        <v> </v>
      </c>
    </row>
    <row r="57" customFormat="false" ht="12.75" hidden="false" customHeight="false" outlineLevel="0" collapsed="false">
      <c r="A57" s="355"/>
      <c r="I57" s="339" t="str">
        <f aca="false">IF((F57&lt;&gt;0),IF((D57&gt;0)," ",(I$1-A57))," ")</f>
        <v> </v>
      </c>
    </row>
    <row r="58" customFormat="false" ht="12.75" hidden="false" customHeight="false" outlineLevel="0" collapsed="false">
      <c r="A58" s="355"/>
      <c r="I58" s="339" t="str">
        <f aca="false">IF((F58&lt;&gt;0),IF((D58&gt;0)," ",(I$1-A58))," ")</f>
        <v> </v>
      </c>
    </row>
    <row r="59" customFormat="false" ht="12.75" hidden="false" customHeight="false" outlineLevel="0" collapsed="false">
      <c r="A59" s="355"/>
      <c r="I59" s="339" t="str">
        <f aca="false">IF((F59&lt;&gt;0),IF((D59&gt;0)," ",(I$1-A59))," ")</f>
        <v> </v>
      </c>
    </row>
    <row r="60" customFormat="false" ht="12.75" hidden="false" customHeight="false" outlineLevel="0" collapsed="false">
      <c r="A60" s="355"/>
      <c r="I60" s="339" t="str">
        <f aca="false">IF((F60&lt;&gt;0),IF((D60&gt;0)," ",(I$1-A60))," ")</f>
        <v> </v>
      </c>
    </row>
    <row r="61" customFormat="false" ht="12.75" hidden="false" customHeight="false" outlineLevel="0" collapsed="false">
      <c r="A61" s="355"/>
      <c r="I61" s="339" t="str">
        <f aca="false">IF((F61&lt;&gt;0),IF((D61&gt;0)," ",(I$1-A61))," ")</f>
        <v> </v>
      </c>
    </row>
    <row r="62" customFormat="false" ht="12.75" hidden="false" customHeight="false" outlineLevel="0" collapsed="false">
      <c r="A62" s="355"/>
      <c r="I62" s="339" t="str">
        <f aca="false">IF((F62&lt;&gt;0),IF((D62&gt;0)," ",(I$1-A62))," ")</f>
        <v> </v>
      </c>
    </row>
    <row r="63" customFormat="false" ht="12.75" hidden="false" customHeight="false" outlineLevel="0" collapsed="false">
      <c r="A63" s="355"/>
      <c r="I63" s="339" t="str">
        <f aca="false">IF((F63&lt;&gt;0),IF((D63&gt;0)," ",(I$1-A63))," ")</f>
        <v> </v>
      </c>
    </row>
    <row r="64" customFormat="false" ht="12.75" hidden="false" customHeight="false" outlineLevel="0" collapsed="false">
      <c r="A64" s="355"/>
      <c r="I64" s="339" t="str">
        <f aca="false">IF((F64&lt;&gt;0),IF((D64&gt;0)," ",(I$1-A64))," ")</f>
        <v> </v>
      </c>
    </row>
    <row r="65" customFormat="false" ht="12.75" hidden="false" customHeight="false" outlineLevel="0" collapsed="false">
      <c r="A65" s="355"/>
      <c r="I65" s="339" t="str">
        <f aca="false">IF((F65&lt;&gt;0),IF((D65&gt;0)," ",(I$1-A65))," ")</f>
        <v> </v>
      </c>
    </row>
    <row r="66" customFormat="false" ht="12.75" hidden="false" customHeight="false" outlineLevel="0" collapsed="false">
      <c r="A66" s="355"/>
      <c r="I66" s="339" t="str">
        <f aca="false">IF((F66&lt;&gt;0),IF((D66&gt;0)," ",(I$1-A66))," ")</f>
        <v> </v>
      </c>
    </row>
    <row r="67" customFormat="false" ht="12.75" hidden="false" customHeight="false" outlineLevel="0" collapsed="false">
      <c r="A67" s="355"/>
      <c r="I67" s="339" t="str">
        <f aca="false">IF((F67&lt;&gt;0),IF((D67&gt;0)," ",(I$1-A67))," ")</f>
        <v> </v>
      </c>
    </row>
    <row r="68" customFormat="false" ht="12.75" hidden="false" customHeight="false" outlineLevel="0" collapsed="false">
      <c r="A68" s="355"/>
      <c r="H68" s="338" t="str">
        <f aca="false">IF((F68&lt;&gt;0),IF((D68&gt;0)," ",F68)," ")</f>
        <v> </v>
      </c>
      <c r="I68" s="339" t="str">
        <f aca="false">IF((F68&lt;&gt;0),IF((D68&gt;0)," ",(I$1-A68))," ")</f>
        <v> </v>
      </c>
    </row>
    <row r="69" customFormat="false" ht="12.75" hidden="false" customHeight="false" outlineLevel="0" collapsed="false">
      <c r="A69" s="355"/>
      <c r="H69" s="338" t="str">
        <f aca="false">IF((F69&lt;&gt;0),IF((D69&gt;0)," ",F69)," ")</f>
        <v> </v>
      </c>
      <c r="I69" s="339" t="str">
        <f aca="false">IF((F69&lt;&gt;0),IF((D69&gt;0)," ",(I$1-A69))," ")</f>
        <v> </v>
      </c>
    </row>
    <row r="70" customFormat="false" ht="12.75" hidden="false" customHeight="false" outlineLevel="0" collapsed="false">
      <c r="A70" s="355"/>
      <c r="H70" s="338" t="str">
        <f aca="false">IF((F70&lt;&gt;0),IF((D70&gt;0)," ",F70)," ")</f>
        <v> </v>
      </c>
      <c r="I70" s="339" t="str">
        <f aca="false">IF((F70&lt;&gt;0),IF((D70&gt;0)," ",(I$1-A70))," ")</f>
        <v> </v>
      </c>
    </row>
    <row r="71" customFormat="false" ht="12.75" hidden="false" customHeight="false" outlineLevel="0" collapsed="false">
      <c r="A71" s="355"/>
      <c r="H71" s="338" t="str">
        <f aca="false">IF((F71&lt;&gt;0),IF((D71&gt;0)," ",F71)," ")</f>
        <v> </v>
      </c>
      <c r="I71" s="339" t="str">
        <f aca="false">IF((F71&lt;&gt;0),IF((D71&gt;0)," ",(I$1-A71))," ")</f>
        <v> </v>
      </c>
    </row>
    <row r="72" customFormat="false" ht="12.75" hidden="false" customHeight="false" outlineLevel="0" collapsed="false">
      <c r="A72" s="355"/>
      <c r="H72" s="338" t="str">
        <f aca="false">IF((F72&lt;&gt;0),IF((D72&gt;0)," ",F72)," ")</f>
        <v> </v>
      </c>
      <c r="I72" s="339" t="str">
        <f aca="false">IF((F72&lt;&gt;0),IF((D72&gt;0)," ",(I$1-A72))," ")</f>
        <v> </v>
      </c>
    </row>
    <row r="73" customFormat="false" ht="12.75" hidden="false" customHeight="false" outlineLevel="0" collapsed="false">
      <c r="A73" s="355"/>
      <c r="H73" s="338" t="str">
        <f aca="false">IF((F73&lt;&gt;0),IF((D73&gt;0)," ",F73)," ")</f>
        <v> </v>
      </c>
      <c r="I73" s="339" t="str">
        <f aca="false">IF((F73&lt;&gt;0),IF((D73&gt;0)," ",(I$1-A73))," ")</f>
        <v> </v>
      </c>
    </row>
    <row r="74" customFormat="false" ht="12.75" hidden="false" customHeight="false" outlineLevel="0" collapsed="false">
      <c r="A74" s="355"/>
      <c r="H74" s="338" t="str">
        <f aca="false">IF((F74&lt;&gt;0),IF((D74&gt;0)," ",F74)," ")</f>
        <v> </v>
      </c>
      <c r="I74" s="339" t="str">
        <f aca="false">IF((F74&lt;&gt;0),IF((D74&gt;0)," ",(I$1-A74))," ")</f>
        <v> </v>
      </c>
    </row>
    <row r="75" customFormat="false" ht="12.75" hidden="false" customHeight="false" outlineLevel="0" collapsed="false">
      <c r="A75" s="355"/>
      <c r="H75" s="338" t="str">
        <f aca="false">IF((F75&lt;&gt;0),IF((D75&gt;0)," ",F75)," ")</f>
        <v> </v>
      </c>
      <c r="I75" s="339" t="str">
        <f aca="false">IF((F75&lt;&gt;0),IF((D75&gt;0)," ",(I$1-A75))," ")</f>
        <v> </v>
      </c>
    </row>
    <row r="76" customFormat="false" ht="12.75" hidden="false" customHeight="false" outlineLevel="0" collapsed="false">
      <c r="A76" s="355"/>
      <c r="H76" s="338" t="str">
        <f aca="false">IF((F76&lt;&gt;0),IF((D76&gt;0)," ",F76)," ")</f>
        <v> </v>
      </c>
      <c r="I76" s="339" t="str">
        <f aca="false">IF((F76&lt;&gt;0),IF((D76&gt;0)," ",(I$1-A76))," ")</f>
        <v> </v>
      </c>
    </row>
    <row r="77" customFormat="false" ht="12.75" hidden="false" customHeight="false" outlineLevel="0" collapsed="false">
      <c r="A77" s="355"/>
      <c r="H77" s="338" t="str">
        <f aca="false">IF((F77&lt;&gt;0),IF((D77&gt;0)," ",F77)," ")</f>
        <v> </v>
      </c>
      <c r="I77" s="339" t="str">
        <f aca="false">IF((F77&lt;&gt;0),IF((D77&gt;0)," ",(I$1-A77))," ")</f>
        <v> </v>
      </c>
    </row>
    <row r="78" customFormat="false" ht="12.75" hidden="false" customHeight="false" outlineLevel="0" collapsed="false">
      <c r="A78" s="355"/>
      <c r="H78" s="338" t="str">
        <f aca="false">IF((F78&lt;&gt;0),IF((D78&gt;0)," ",F78)," ")</f>
        <v> </v>
      </c>
      <c r="I78" s="339" t="str">
        <f aca="false">IF((F78&lt;&gt;0),IF((D78&gt;0)," ",(I$1-A78))," ")</f>
        <v> </v>
      </c>
    </row>
    <row r="79" customFormat="false" ht="12.75" hidden="false" customHeight="false" outlineLevel="0" collapsed="false">
      <c r="A79" s="355"/>
      <c r="H79" s="338" t="str">
        <f aca="false">IF((F79&lt;&gt;0),IF((D79&gt;0)," ",F79)," ")</f>
        <v> </v>
      </c>
      <c r="I79" s="339" t="str">
        <f aca="false">IF((F79&lt;&gt;0),IF((D79&gt;0)," ",(I$1-A79))," ")</f>
        <v> </v>
      </c>
    </row>
    <row r="80" customFormat="false" ht="12.75" hidden="false" customHeight="false" outlineLevel="0" collapsed="false">
      <c r="A80" s="355"/>
      <c r="H80" s="338" t="str">
        <f aca="false">IF((F80&lt;&gt;0),IF((D80&gt;0)," ",F80)," ")</f>
        <v> </v>
      </c>
      <c r="I80" s="339" t="str">
        <f aca="false">IF((F80&lt;&gt;0),IF((D80&gt;0)," ",(I$1-A80))," ")</f>
        <v> </v>
      </c>
    </row>
    <row r="81" customFormat="false" ht="12.75" hidden="false" customHeight="false" outlineLevel="0" collapsed="false">
      <c r="A81" s="355"/>
      <c r="H81" s="338" t="str">
        <f aca="false">IF((F81&lt;&gt;0),IF((D81&gt;0)," ",F81)," ")</f>
        <v> </v>
      </c>
      <c r="I81" s="339" t="str">
        <f aca="false">IF((F81&lt;&gt;0),IF((D81&gt;0)," ",(I$1-A81))," ")</f>
        <v> </v>
      </c>
    </row>
    <row r="82" customFormat="false" ht="12.75" hidden="false" customHeight="false" outlineLevel="0" collapsed="false">
      <c r="A82" s="355"/>
      <c r="H82" s="338" t="str">
        <f aca="false">IF((F82&lt;&gt;0),IF((D82&gt;0)," ",F82)," ")</f>
        <v> </v>
      </c>
      <c r="I82" s="339" t="str">
        <f aca="false">IF((F82&lt;&gt;0),IF((D82&gt;0)," ",(I$1-A82))," ")</f>
        <v> </v>
      </c>
    </row>
    <row r="83" customFormat="false" ht="12.75" hidden="false" customHeight="false" outlineLevel="0" collapsed="false">
      <c r="A83" s="355"/>
      <c r="H83" s="338" t="str">
        <f aca="false">IF((F83&lt;&gt;0),IF((D83&gt;0)," ",F83)," ")</f>
        <v> </v>
      </c>
      <c r="I83" s="339" t="str">
        <f aca="false">IF((F83&lt;&gt;0),IF((D83&gt;0)," ",(I$1-A83))," ")</f>
        <v> </v>
      </c>
    </row>
    <row r="84" customFormat="false" ht="12.75" hidden="false" customHeight="false" outlineLevel="0" collapsed="false">
      <c r="A84" s="355"/>
      <c r="H84" s="338" t="str">
        <f aca="false">IF((F84&lt;&gt;0),IF((D84&gt;0)," ",F84)," ")</f>
        <v> </v>
      </c>
      <c r="I84" s="339" t="str">
        <f aca="false">IF((F84&lt;&gt;0),IF((D84&gt;0)," ",(I$1-A84))," ")</f>
        <v> </v>
      </c>
    </row>
    <row r="85" customFormat="false" ht="12.75" hidden="false" customHeight="false" outlineLevel="0" collapsed="false">
      <c r="A85" s="355"/>
      <c r="H85" s="338" t="str">
        <f aca="false">IF((F85&lt;&gt;0),IF((D85&gt;0)," ",F85)," ")</f>
        <v> </v>
      </c>
      <c r="I85" s="339" t="str">
        <f aca="false">IF((F85&lt;&gt;0),IF((D85&gt;0)," ",(I$1-A85))," ")</f>
        <v> </v>
      </c>
    </row>
    <row r="86" customFormat="false" ht="12.75" hidden="false" customHeight="false" outlineLevel="0" collapsed="false">
      <c r="A86" s="355"/>
      <c r="H86" s="338" t="str">
        <f aca="false">IF((F86&lt;&gt;0),IF((D86&gt;0)," ",F86)," ")</f>
        <v> </v>
      </c>
      <c r="I86" s="339" t="str">
        <f aca="false">IF((F86&lt;&gt;0),IF((D86&gt;0)," ",(I$1-A86))," ")</f>
        <v> </v>
      </c>
    </row>
    <row r="87" customFormat="false" ht="12.75" hidden="false" customHeight="false" outlineLevel="0" collapsed="false">
      <c r="A87" s="355"/>
      <c r="H87" s="338" t="str">
        <f aca="false">IF((F87&lt;&gt;0),IF((D87&gt;0)," ",F87)," ")</f>
        <v> </v>
      </c>
      <c r="I87" s="339" t="str">
        <f aca="false">IF((F87&lt;&gt;0),IF((D87&gt;0)," ",(I$1-A87))," ")</f>
        <v> </v>
      </c>
    </row>
    <row r="88" customFormat="false" ht="12.75" hidden="false" customHeight="false" outlineLevel="0" collapsed="false">
      <c r="A88" s="355"/>
      <c r="H88" s="338" t="str">
        <f aca="false">IF((F88&lt;&gt;0),IF((D88&gt;0)," ",F88)," ")</f>
        <v> </v>
      </c>
      <c r="I88" s="339" t="str">
        <f aca="false">IF((F88&lt;&gt;0),IF((D88&gt;0)," ",(I$1-A88))," ")</f>
        <v> </v>
      </c>
    </row>
    <row r="89" customFormat="false" ht="12.75" hidden="false" customHeight="false" outlineLevel="0" collapsed="false">
      <c r="A89" s="355"/>
      <c r="H89" s="338" t="str">
        <f aca="false">IF((F89&lt;&gt;0),IF((D89&gt;0)," ",F89)," ")</f>
        <v> </v>
      </c>
      <c r="I89" s="339" t="str">
        <f aca="false">IF((F89&lt;&gt;0),IF((D89&gt;0)," ",(I$1-A89))," ")</f>
        <v> </v>
      </c>
    </row>
    <row r="90" customFormat="false" ht="12.75" hidden="false" customHeight="false" outlineLevel="0" collapsed="false">
      <c r="A90" s="355"/>
      <c r="H90" s="338" t="str">
        <f aca="false">IF((F90&lt;&gt;0),IF((D90&gt;0)," ",F90)," ")</f>
        <v> </v>
      </c>
      <c r="I90" s="339" t="str">
        <f aca="false">IF((F90&lt;&gt;0),IF((D90&gt;0)," ",(I$1-A90))," ")</f>
        <v> </v>
      </c>
    </row>
    <row r="91" customFormat="false" ht="12.75" hidden="false" customHeight="false" outlineLevel="0" collapsed="false">
      <c r="A91" s="355"/>
      <c r="H91" s="338" t="str">
        <f aca="false">IF((F91&lt;&gt;0),IF((D91&gt;0)," ",F91)," ")</f>
        <v> </v>
      </c>
      <c r="I91" s="339" t="str">
        <f aca="false">IF((F91&lt;&gt;0),IF((D91&gt;0)," ",(I$1-A91))," ")</f>
        <v> </v>
      </c>
    </row>
    <row r="92" customFormat="false" ht="12.75" hidden="false" customHeight="false" outlineLevel="0" collapsed="false">
      <c r="A92" s="355"/>
      <c r="H92" s="338" t="str">
        <f aca="false">IF((F92&lt;&gt;0),IF((D92&gt;0)," ",F92)," ")</f>
        <v> </v>
      </c>
      <c r="I92" s="339" t="str">
        <f aca="false">IF((F92&lt;&gt;0),IF((D92&gt;0)," ",(I$1-A92))," ")</f>
        <v> </v>
      </c>
    </row>
    <row r="93" customFormat="false" ht="12.75" hidden="false" customHeight="false" outlineLevel="0" collapsed="false">
      <c r="A93" s="355"/>
      <c r="H93" s="338" t="str">
        <f aca="false">IF((F93&lt;&gt;0),IF((D93&gt;0)," ",F93)," ")</f>
        <v> </v>
      </c>
      <c r="I93" s="339" t="str">
        <f aca="false">IF((F93&lt;&gt;0),IF((D93&gt;0)," ",(I$1-A93))," ")</f>
        <v> </v>
      </c>
    </row>
    <row r="94" customFormat="false" ht="12.75" hidden="false" customHeight="false" outlineLevel="0" collapsed="false">
      <c r="A94" s="355"/>
      <c r="H94" s="338" t="str">
        <f aca="false">IF((F94&lt;&gt;0),IF((D94&gt;0)," ",F94)," ")</f>
        <v> </v>
      </c>
      <c r="I94" s="339" t="str">
        <f aca="false">IF((F94&lt;&gt;0),IF((D94&gt;0)," ",(I$1-A94))," ")</f>
        <v> </v>
      </c>
    </row>
    <row r="95" customFormat="false" ht="12.75" hidden="false" customHeight="false" outlineLevel="0" collapsed="false">
      <c r="A95" s="355"/>
      <c r="H95" s="338" t="str">
        <f aca="false">IF((F95&lt;&gt;0),IF((D95&gt;0)," ",F95)," ")</f>
        <v> </v>
      </c>
      <c r="I95" s="339" t="str">
        <f aca="false">IF((F95&lt;&gt;0),IF((D95&gt;0)," ",(I$1-A95))," ")</f>
        <v> </v>
      </c>
    </row>
    <row r="96" customFormat="false" ht="12.75" hidden="false" customHeight="false" outlineLevel="0" collapsed="false">
      <c r="A96" s="355"/>
      <c r="H96" s="338" t="str">
        <f aca="false">IF((F96&lt;&gt;0),IF((D96&gt;0)," ",F96)," ")</f>
        <v> </v>
      </c>
      <c r="I96" s="339" t="str">
        <f aca="false">IF((F96&lt;&gt;0),IF((D96&gt;0)," ",(I$1-A96))," ")</f>
        <v> </v>
      </c>
    </row>
    <row r="97" customFormat="false" ht="12.75" hidden="false" customHeight="false" outlineLevel="0" collapsed="false">
      <c r="A97" s="355"/>
      <c r="H97" s="338" t="str">
        <f aca="false">IF((F97&lt;&gt;0),IF((D97&gt;0)," ",F97)," ")</f>
        <v> </v>
      </c>
      <c r="I97" s="339" t="str">
        <f aca="false">IF((F97&lt;&gt;0),IF((D97&gt;0)," ",(I$1-A97))," ")</f>
        <v> </v>
      </c>
    </row>
    <row r="98" customFormat="false" ht="12.75" hidden="false" customHeight="false" outlineLevel="0" collapsed="false">
      <c r="A98" s="355"/>
      <c r="H98" s="338" t="str">
        <f aca="false">IF((F98&lt;&gt;0),IF((D98&gt;0)," ",F98)," ")</f>
        <v> </v>
      </c>
      <c r="I98" s="339" t="str">
        <f aca="false">IF((F98&lt;&gt;0),IF((D98&gt;0)," ",(I$1-A98))," ")</f>
        <v> </v>
      </c>
    </row>
    <row r="99" customFormat="false" ht="12.75" hidden="false" customHeight="false" outlineLevel="0" collapsed="false">
      <c r="A99" s="355"/>
      <c r="H99" s="338" t="str">
        <f aca="false">IF((F99&lt;&gt;0),IF((D99&gt;0)," ",F99)," ")</f>
        <v> </v>
      </c>
      <c r="I99" s="339" t="str">
        <f aca="false">IF((F99&lt;&gt;0),IF((D99&gt;0)," ",(I$1-A99))," ")</f>
        <v> </v>
      </c>
    </row>
    <row r="100" customFormat="false" ht="12.75" hidden="false" customHeight="false" outlineLevel="0" collapsed="false">
      <c r="A100" s="355"/>
      <c r="H100" s="338" t="str">
        <f aca="false">IF((F100&lt;&gt;0),IF((D100&gt;0)," ",F100)," ")</f>
        <v> </v>
      </c>
      <c r="I100" s="339" t="str">
        <f aca="false">IF((F100&lt;&gt;0),IF((D100&gt;0)," ",(I$1-A100))," ")</f>
        <v> </v>
      </c>
    </row>
    <row r="101" customFormat="false" ht="12.75" hidden="false" customHeight="false" outlineLevel="0" collapsed="false">
      <c r="A101" s="355"/>
      <c r="H101" s="338" t="str">
        <f aca="false">IF((F101&lt;&gt;0),IF((D101&gt;0)," ",F101)," ")</f>
        <v> </v>
      </c>
      <c r="I101" s="339" t="str">
        <f aca="false">IF((F101&lt;&gt;0),IF((D101&gt;0)," ",(I$1-A101))," ")</f>
        <v> </v>
      </c>
    </row>
    <row r="102" customFormat="false" ht="12.75" hidden="false" customHeight="false" outlineLevel="0" collapsed="false">
      <c r="A102" s="355"/>
      <c r="H102" s="338" t="str">
        <f aca="false">IF((F102&lt;&gt;0),IF((D102&gt;0)," ",F102)," ")</f>
        <v> </v>
      </c>
      <c r="I102" s="339" t="str">
        <f aca="false">IF((F102&lt;&gt;0),IF((D102&gt;0)," ",(I$1-A102))," ")</f>
        <v> </v>
      </c>
    </row>
    <row r="103" customFormat="false" ht="12.75" hidden="false" customHeight="false" outlineLevel="0" collapsed="false">
      <c r="A103" s="355"/>
      <c r="H103" s="338" t="str">
        <f aca="false">IF((F103&lt;&gt;0),IF((D103&gt;0)," ",F103)," ")</f>
        <v> </v>
      </c>
      <c r="I103" s="339" t="str">
        <f aca="false">IF((F103&lt;&gt;0),IF((D103&gt;0)," ",(I$1-A103))," ")</f>
        <v> </v>
      </c>
    </row>
    <row r="104" customFormat="false" ht="12.75" hidden="false" customHeight="false" outlineLevel="0" collapsed="false">
      <c r="A104" s="355"/>
      <c r="H104" s="338" t="str">
        <f aca="false">IF((F104&lt;&gt;0),IF((D104&gt;0)," ",F104)," ")</f>
        <v> </v>
      </c>
      <c r="I104" s="339" t="str">
        <f aca="false">IF((F104&lt;&gt;0),IF((D104&gt;0)," ",(I$1-A104))," ")</f>
        <v> </v>
      </c>
    </row>
    <row r="105" customFormat="false" ht="12.75" hidden="false" customHeight="false" outlineLevel="0" collapsed="false">
      <c r="A105" s="355"/>
      <c r="H105" s="338" t="str">
        <f aca="false">IF((F105&lt;&gt;0),IF((D105&gt;0)," ",F105)," ")</f>
        <v> </v>
      </c>
      <c r="I105" s="339" t="str">
        <f aca="false">IF((F105&lt;&gt;0),IF((D105&gt;0)," ",(I$1-A105))," ")</f>
        <v> </v>
      </c>
    </row>
    <row r="106" customFormat="false" ht="12.75" hidden="false" customHeight="false" outlineLevel="0" collapsed="false">
      <c r="A106" s="355"/>
      <c r="H106" s="338" t="str">
        <f aca="false">IF((F106&lt;&gt;0),IF((D106&gt;0)," ",F106)," ")</f>
        <v> </v>
      </c>
      <c r="I106" s="339" t="str">
        <f aca="false">IF((F106&lt;&gt;0),IF((D106&gt;0)," ",(I$1-A106))," ")</f>
        <v> </v>
      </c>
    </row>
    <row r="107" customFormat="false" ht="12.75" hidden="false" customHeight="false" outlineLevel="0" collapsed="false">
      <c r="A107" s="355"/>
      <c r="H107" s="338" t="str">
        <f aca="false">IF((F107&lt;&gt;0),IF((D107&gt;0)," ",F107)," ")</f>
        <v> </v>
      </c>
      <c r="I107" s="339" t="str">
        <f aca="false">IF((F107&lt;&gt;0),IF((D107&gt;0)," ",(I$1-A107))," ")</f>
        <v> </v>
      </c>
    </row>
    <row r="108" customFormat="false" ht="12.75" hidden="false" customHeight="false" outlineLevel="0" collapsed="false">
      <c r="A108" s="355"/>
      <c r="H108" s="338" t="str">
        <f aca="false">IF((F108&lt;&gt;0),IF((D108&gt;0)," ",F108)," ")</f>
        <v> </v>
      </c>
      <c r="I108" s="339" t="str">
        <f aca="false">IF((F108&lt;&gt;0),IF((D108&gt;0)," ",(I$1-A108))," ")</f>
        <v> </v>
      </c>
    </row>
    <row r="109" customFormat="false" ht="12.75" hidden="false" customHeight="false" outlineLevel="0" collapsed="false">
      <c r="A109" s="355"/>
      <c r="H109" s="338" t="str">
        <f aca="false">IF((F109&lt;&gt;0),IF((D109&gt;0)," ",F109)," ")</f>
        <v> </v>
      </c>
      <c r="I109" s="339" t="str">
        <f aca="false">IF((F109&lt;&gt;0),IF((D109&gt;0)," ",(I$1-A109))," ")</f>
        <v> </v>
      </c>
    </row>
    <row r="110" customFormat="false" ht="12.75" hidden="false" customHeight="false" outlineLevel="0" collapsed="false">
      <c r="A110" s="355"/>
      <c r="H110" s="338" t="str">
        <f aca="false">IF((F110&lt;&gt;0),IF((D110&gt;0)," ",F110)," ")</f>
        <v> </v>
      </c>
      <c r="I110" s="339" t="str">
        <f aca="false">IF((F110&lt;&gt;0),IF((D110&gt;0)," ",(I$1-A110))," ")</f>
        <v> </v>
      </c>
    </row>
    <row r="111" customFormat="false" ht="12.75" hidden="false" customHeight="false" outlineLevel="0" collapsed="false">
      <c r="A111" s="355"/>
      <c r="H111" s="338" t="str">
        <f aca="false">IF((F111&lt;&gt;0),IF((D111&gt;0)," ",F111)," ")</f>
        <v> </v>
      </c>
      <c r="I111" s="339" t="str">
        <f aca="false">IF((F111&lt;&gt;0),IF((D111&gt;0)," ",(I$1-A111))," ")</f>
        <v> </v>
      </c>
    </row>
    <row r="112" customFormat="false" ht="12.75" hidden="false" customHeight="false" outlineLevel="0" collapsed="false">
      <c r="A112" s="355"/>
      <c r="H112" s="338" t="str">
        <f aca="false">IF((F112&lt;&gt;0),IF((D112&gt;0)," ",F112)," ")</f>
        <v> </v>
      </c>
      <c r="I112" s="339" t="str">
        <f aca="false">IF((F112&lt;&gt;0),IF((D112&gt;0)," ",(I$1-A112))," ")</f>
        <v> </v>
      </c>
    </row>
    <row r="113" customFormat="false" ht="12.75" hidden="false" customHeight="false" outlineLevel="0" collapsed="false">
      <c r="A113" s="355"/>
      <c r="H113" s="338" t="str">
        <f aca="false">IF((F113&lt;&gt;0),IF((D113&gt;0)," ",F113)," ")</f>
        <v> </v>
      </c>
      <c r="I113" s="339" t="str">
        <f aca="false">IF((F113&lt;&gt;0),IF((D113&gt;0)," ",(I$1-A113))," ")</f>
        <v> </v>
      </c>
    </row>
    <row r="114" customFormat="false" ht="12.75" hidden="false" customHeight="false" outlineLevel="0" collapsed="false">
      <c r="A114" s="355"/>
      <c r="H114" s="338" t="str">
        <f aca="false">IF((F114&lt;&gt;0),IF((D114&gt;0)," ",F114)," ")</f>
        <v> </v>
      </c>
      <c r="I114" s="339" t="str">
        <f aca="false">IF((F114&lt;&gt;0),IF((D114&gt;0)," ",(I$1-A114))," ")</f>
        <v> </v>
      </c>
    </row>
    <row r="115" customFormat="false" ht="12.75" hidden="false" customHeight="false" outlineLevel="0" collapsed="false">
      <c r="A115" s="355"/>
      <c r="H115" s="338" t="str">
        <f aca="false">IF((F115&lt;&gt;0),IF((D115&gt;0)," ",F115)," ")</f>
        <v> </v>
      </c>
      <c r="I115" s="339" t="str">
        <f aca="false">IF((F115&lt;&gt;0),IF((D115&gt;0)," ",(I$1-A115))," ")</f>
        <v> </v>
      </c>
    </row>
    <row r="116" customFormat="false" ht="12.75" hidden="false" customHeight="false" outlineLevel="0" collapsed="false">
      <c r="A116" s="355"/>
      <c r="H116" s="338" t="str">
        <f aca="false">IF((F116&lt;&gt;0),IF((D116&gt;0)," ",F116)," ")</f>
        <v> </v>
      </c>
      <c r="I116" s="339" t="str">
        <f aca="false">IF((F116&lt;&gt;0),IF((D116&gt;0)," ",(I$1-A116))," ")</f>
        <v> </v>
      </c>
    </row>
    <row r="117" customFormat="false" ht="12.75" hidden="false" customHeight="false" outlineLevel="0" collapsed="false">
      <c r="A117" s="355"/>
      <c r="H117" s="338" t="str">
        <f aca="false">IF((F117&lt;&gt;0),IF((D117&gt;0)," ",F117)," ")</f>
        <v> </v>
      </c>
      <c r="I117" s="339" t="str">
        <f aca="false">IF((F117&lt;&gt;0),IF((D117&gt;0)," ",(I$1-A117))," ")</f>
        <v> </v>
      </c>
    </row>
    <row r="118" customFormat="false" ht="12.75" hidden="false" customHeight="false" outlineLevel="0" collapsed="false">
      <c r="A118" s="355"/>
      <c r="H118" s="338" t="str">
        <f aca="false">IF((F118&lt;&gt;0),IF((D118&gt;0)," ",F118)," ")</f>
        <v> </v>
      </c>
      <c r="I118" s="339" t="str">
        <f aca="false">IF((F118&lt;&gt;0),IF((D118&gt;0)," ",(I$1-A118))," ")</f>
        <v> </v>
      </c>
    </row>
    <row r="119" customFormat="false" ht="12.75" hidden="false" customHeight="false" outlineLevel="0" collapsed="false">
      <c r="A119" s="355"/>
      <c r="H119" s="338" t="str">
        <f aca="false">IF((F119&lt;&gt;0),IF((D119&gt;0)," ",F119)," ")</f>
        <v> </v>
      </c>
      <c r="I119" s="339" t="str">
        <f aca="false">IF((F119&lt;&gt;0),IF((D119&gt;0)," ",(I$1-A119))," ")</f>
        <v> </v>
      </c>
    </row>
    <row r="120" customFormat="false" ht="12.75" hidden="false" customHeight="false" outlineLevel="0" collapsed="false">
      <c r="A120" s="355"/>
      <c r="H120" s="338" t="str">
        <f aca="false">IF((F120&lt;&gt;0),IF((D120&gt;0)," ",F120)," ")</f>
        <v> </v>
      </c>
      <c r="I120" s="339" t="str">
        <f aca="false">IF((F120&lt;&gt;0),IF((D120&gt;0)," ",(I$1-A120))," ")</f>
        <v> </v>
      </c>
    </row>
    <row r="121" customFormat="false" ht="12.75" hidden="false" customHeight="false" outlineLevel="0" collapsed="false">
      <c r="A121" s="355"/>
      <c r="H121" s="338" t="str">
        <f aca="false">IF((F121&lt;&gt;0),IF((D121&gt;0)," ",F121)," ")</f>
        <v> </v>
      </c>
      <c r="I121" s="339" t="str">
        <f aca="false">IF((F121&lt;&gt;0),IF((D121&gt;0)," ",(I$1-A121))," ")</f>
        <v> </v>
      </c>
    </row>
    <row r="122" customFormat="false" ht="12.75" hidden="false" customHeight="false" outlineLevel="0" collapsed="false">
      <c r="A122" s="355"/>
      <c r="H122" s="338" t="str">
        <f aca="false">IF((F122&lt;&gt;0),IF((D122&gt;0)," ",F122)," ")</f>
        <v> </v>
      </c>
      <c r="I122" s="339" t="str">
        <f aca="false">IF((F122&lt;&gt;0),IF((D122&gt;0)," ",(I$1-A122))," ")</f>
        <v> </v>
      </c>
    </row>
    <row r="123" customFormat="false" ht="12.75" hidden="false" customHeight="false" outlineLevel="0" collapsed="false">
      <c r="A123" s="355"/>
      <c r="H123" s="338" t="str">
        <f aca="false">IF((F123&lt;&gt;0),IF((D123&gt;0)," ",F123)," ")</f>
        <v> </v>
      </c>
      <c r="I123" s="339" t="str">
        <f aca="false">IF((F123&lt;&gt;0),IF((D123&gt;0)," ",(I$1-A123))," ")</f>
        <v> </v>
      </c>
    </row>
    <row r="124" customFormat="false" ht="12.75" hidden="false" customHeight="false" outlineLevel="0" collapsed="false">
      <c r="A124" s="355"/>
      <c r="H124" s="338" t="str">
        <f aca="false">IF((F124&lt;&gt;0),IF((D124&gt;0)," ",F124)," ")</f>
        <v> </v>
      </c>
      <c r="I124" s="339" t="str">
        <f aca="false">IF((F124&lt;&gt;0),IF((D124&gt;0)," ",(I$1-A124))," ")</f>
        <v> </v>
      </c>
    </row>
    <row r="125" customFormat="false" ht="12.75" hidden="false" customHeight="false" outlineLevel="0" collapsed="false">
      <c r="A125" s="355"/>
      <c r="H125" s="338" t="str">
        <f aca="false">IF((F125&lt;&gt;0),IF((D125&gt;0)," ",F125)," ")</f>
        <v> </v>
      </c>
      <c r="I125" s="339" t="str">
        <f aca="false">IF((F125&lt;&gt;0),IF((D125&gt;0)," ",(I$1-A125))," ")</f>
        <v> </v>
      </c>
    </row>
    <row r="126" customFormat="false" ht="12.75" hidden="false" customHeight="false" outlineLevel="0" collapsed="false">
      <c r="A126" s="355"/>
      <c r="H126" s="338" t="str">
        <f aca="false">IF((F126&lt;&gt;0),IF((D126&gt;0)," ",F126)," ")</f>
        <v> </v>
      </c>
      <c r="I126" s="339" t="str">
        <f aca="false">IF((F126&lt;&gt;0),IF((D126&gt;0)," ",(I$1-A126))," ")</f>
        <v> </v>
      </c>
    </row>
    <row r="127" customFormat="false" ht="12.75" hidden="false" customHeight="false" outlineLevel="0" collapsed="false">
      <c r="A127" s="355"/>
      <c r="H127" s="338" t="str">
        <f aca="false">IF((F127&lt;&gt;0),IF((D127&gt;0)," ",F127)," ")</f>
        <v> </v>
      </c>
      <c r="I127" s="339" t="str">
        <f aca="false">IF((F127&lt;&gt;0),IF((D127&gt;0)," ",(I$1-A127))," ")</f>
        <v> </v>
      </c>
    </row>
    <row r="128" customFormat="false" ht="12.75" hidden="false" customHeight="false" outlineLevel="0" collapsed="false">
      <c r="A128" s="355"/>
      <c r="H128" s="338" t="str">
        <f aca="false">IF((F128&lt;&gt;0),IF((D128&gt;0)," ",F128)," ")</f>
        <v> </v>
      </c>
      <c r="I128" s="339" t="str">
        <f aca="false">IF((F128&lt;&gt;0),IF((D128&gt;0)," ",(I$1-A128))," ")</f>
        <v> </v>
      </c>
    </row>
    <row r="129" customFormat="false" ht="12.75" hidden="false" customHeight="false" outlineLevel="0" collapsed="false">
      <c r="A129" s="355"/>
      <c r="H129" s="338" t="str">
        <f aca="false">IF((F129&lt;&gt;0),IF((D129&gt;0)," ",F129)," ")</f>
        <v> </v>
      </c>
      <c r="I129" s="339" t="str">
        <f aca="false">IF((F129&lt;&gt;0),IF((D129&gt;0)," ",(I$1-A129))," ")</f>
        <v> </v>
      </c>
    </row>
    <row r="130" customFormat="false" ht="12.75" hidden="false" customHeight="false" outlineLevel="0" collapsed="false">
      <c r="A130" s="355"/>
      <c r="H130" s="338" t="str">
        <f aca="false">IF((F130&lt;&gt;0),IF((D130&gt;0)," ",F130)," ")</f>
        <v> </v>
      </c>
      <c r="I130" s="339" t="str">
        <f aca="false">IF((F130&lt;&gt;0),IF((D130&gt;0)," ",(I$1-A130))," ")</f>
        <v> </v>
      </c>
    </row>
    <row r="131" customFormat="false" ht="12.75" hidden="false" customHeight="false" outlineLevel="0" collapsed="false">
      <c r="A131" s="355"/>
      <c r="H131" s="338" t="str">
        <f aca="false">IF((F131&lt;&gt;0),IF((D131&gt;0)," ",F131)," ")</f>
        <v> </v>
      </c>
      <c r="I131" s="339" t="str">
        <f aca="false">IF((F131&lt;&gt;0),IF((D131&gt;0)," ",(I$1-A131))," ")</f>
        <v> </v>
      </c>
    </row>
    <row r="132" customFormat="false" ht="12.75" hidden="false" customHeight="false" outlineLevel="0" collapsed="false">
      <c r="A132" s="355"/>
      <c r="H132" s="338" t="str">
        <f aca="false">IF((F132&lt;&gt;0),IF((D132&gt;0)," ",F132)," ")</f>
        <v> </v>
      </c>
      <c r="I132" s="339" t="str">
        <f aca="false">IF((F132&lt;&gt;0),IF((D132&gt;0)," ",(I$1-A132))," ")</f>
        <v> </v>
      </c>
    </row>
    <row r="133" customFormat="false" ht="12.75" hidden="false" customHeight="false" outlineLevel="0" collapsed="false">
      <c r="A133" s="355"/>
      <c r="H133" s="338" t="str">
        <f aca="false">IF((F133&lt;&gt;0),IF((D133&gt;0)," ",F133)," ")</f>
        <v> </v>
      </c>
      <c r="I133" s="339" t="str">
        <f aca="false">IF((F133&lt;&gt;0),IF((D133&gt;0)," ",(I$1-A133))," ")</f>
        <v> </v>
      </c>
    </row>
    <row r="134" customFormat="false" ht="12.75" hidden="false" customHeight="false" outlineLevel="0" collapsed="false">
      <c r="A134" s="355"/>
      <c r="H134" s="338" t="str">
        <f aca="false">IF((F134&lt;&gt;0),IF((D134&gt;0)," ",F134)," ")</f>
        <v> </v>
      </c>
      <c r="I134" s="339" t="str">
        <f aca="false">IF((F134&lt;&gt;0),IF((D134&gt;0)," ",(I$1-A134))," ")</f>
        <v> </v>
      </c>
    </row>
    <row r="135" customFormat="false" ht="12.75" hidden="false" customHeight="false" outlineLevel="0" collapsed="false">
      <c r="A135" s="355"/>
      <c r="H135" s="338" t="str">
        <f aca="false">IF((F135&lt;&gt;0),IF((D135&gt;0)," ",F135)," ")</f>
        <v> </v>
      </c>
      <c r="I135" s="339" t="str">
        <f aca="false">IF((F135&lt;&gt;0),IF((D135&gt;0)," ",(I$1-A135))," ")</f>
        <v> </v>
      </c>
    </row>
    <row r="136" customFormat="false" ht="12.75" hidden="false" customHeight="false" outlineLevel="0" collapsed="false">
      <c r="A136" s="355"/>
      <c r="H136" s="338" t="str">
        <f aca="false">IF((F136&lt;&gt;0),IF((D136&gt;0)," ",F136)," ")</f>
        <v> </v>
      </c>
      <c r="I136" s="339" t="str">
        <f aca="false">IF((F136&lt;&gt;0),IF((D136&gt;0)," ",(I$1-A136))," ")</f>
        <v> </v>
      </c>
    </row>
    <row r="137" customFormat="false" ht="12.75" hidden="false" customHeight="false" outlineLevel="0" collapsed="false">
      <c r="A137" s="355"/>
      <c r="H137" s="338" t="str">
        <f aca="false">IF((F137&lt;&gt;0),IF((D137&gt;0)," ",F137)," ")</f>
        <v> </v>
      </c>
      <c r="I137" s="339" t="str">
        <f aca="false">IF((F137&lt;&gt;0),IF((D137&gt;0)," ",(I$1-A137))," ")</f>
        <v> </v>
      </c>
    </row>
    <row r="138" customFormat="false" ht="12.75" hidden="false" customHeight="false" outlineLevel="0" collapsed="false">
      <c r="A138" s="355"/>
      <c r="H138" s="338" t="str">
        <f aca="false">IF((F138&lt;&gt;0),IF((D138&gt;0)," ",F138)," ")</f>
        <v> </v>
      </c>
      <c r="I138" s="339" t="str">
        <f aca="false">IF((F138&lt;&gt;0),IF((D138&gt;0)," ",(I$1-A138))," ")</f>
        <v> </v>
      </c>
    </row>
    <row r="139" customFormat="false" ht="12.75" hidden="false" customHeight="false" outlineLevel="0" collapsed="false">
      <c r="A139" s="355"/>
      <c r="H139" s="338" t="str">
        <f aca="false">IF((F139&lt;&gt;0),IF((D139&gt;0)," ",F139)," ")</f>
        <v> </v>
      </c>
      <c r="I139" s="339" t="str">
        <f aca="false">IF((F139&lt;&gt;0),IF((D139&gt;0)," ",(I$1-A139))," ")</f>
        <v> </v>
      </c>
    </row>
    <row r="140" customFormat="false" ht="12.75" hidden="false" customHeight="false" outlineLevel="0" collapsed="false">
      <c r="A140" s="355"/>
      <c r="H140" s="338" t="str">
        <f aca="false">IF((F140&lt;&gt;0),IF((D140&gt;0)," ",F140)," ")</f>
        <v> </v>
      </c>
      <c r="I140" s="339" t="str">
        <f aca="false">IF((F140&lt;&gt;0),IF((D140&gt;0)," ",(I$1-A140))," ")</f>
        <v> </v>
      </c>
    </row>
    <row r="141" customFormat="false" ht="12.75" hidden="false" customHeight="false" outlineLevel="0" collapsed="false">
      <c r="A141" s="355"/>
      <c r="H141" s="338" t="str">
        <f aca="false">IF((F141&lt;&gt;0),IF((D141&gt;0)," ",F141)," ")</f>
        <v> </v>
      </c>
      <c r="I141" s="339" t="str">
        <f aca="false">IF((F141&lt;&gt;0),IF((D141&gt;0)," ",(I$1-A141))," ")</f>
        <v> </v>
      </c>
    </row>
    <row r="142" customFormat="false" ht="12.75" hidden="false" customHeight="false" outlineLevel="0" collapsed="false">
      <c r="A142" s="355"/>
      <c r="H142" s="338" t="str">
        <f aca="false">IF((F142&lt;&gt;0),IF((D142&gt;0)," ",F142)," ")</f>
        <v> </v>
      </c>
      <c r="I142" s="339" t="str">
        <f aca="false">IF((F142&lt;&gt;0),IF((D142&gt;0)," ",(I$1-A142))," ")</f>
        <v> </v>
      </c>
    </row>
    <row r="143" customFormat="false" ht="12.75" hidden="false" customHeight="false" outlineLevel="0" collapsed="false">
      <c r="A143" s="355"/>
      <c r="H143" s="338" t="str">
        <f aca="false">IF((F143&lt;&gt;0),IF((D143&gt;0)," ",F143)," ")</f>
        <v> </v>
      </c>
      <c r="I143" s="339" t="str">
        <f aca="false">IF((F143&lt;&gt;0),IF((D143&gt;0)," ",(I$1-A143))," ")</f>
        <v> </v>
      </c>
    </row>
    <row r="144" customFormat="false" ht="12.75" hidden="false" customHeight="false" outlineLevel="0" collapsed="false">
      <c r="A144" s="355"/>
      <c r="H144" s="338" t="str">
        <f aca="false">IF((F144&lt;&gt;0),IF((D144&gt;0)," ",F144)," ")</f>
        <v> </v>
      </c>
      <c r="I144" s="339" t="str">
        <f aca="false">IF((F144&lt;&gt;0),IF((D144&gt;0)," ",(I$1-A144))," ")</f>
        <v> </v>
      </c>
    </row>
    <row r="145" customFormat="false" ht="12.75" hidden="false" customHeight="false" outlineLevel="0" collapsed="false">
      <c r="A145" s="355"/>
      <c r="H145" s="338" t="str">
        <f aca="false">IF((F145&lt;&gt;0),IF((D145&gt;0)," ",F145)," ")</f>
        <v> </v>
      </c>
      <c r="I145" s="339" t="str">
        <f aca="false">IF((F145&lt;&gt;0),IF((D145&gt;0)," ",(I$1-A145))," ")</f>
        <v> </v>
      </c>
    </row>
    <row r="146" customFormat="false" ht="12.75" hidden="false" customHeight="false" outlineLevel="0" collapsed="false">
      <c r="A146" s="355"/>
      <c r="H146" s="338" t="str">
        <f aca="false">IF((F146&lt;&gt;0),IF((D146&gt;0)," ",F146)," ")</f>
        <v> </v>
      </c>
      <c r="I146" s="339" t="str">
        <f aca="false">IF((F146&lt;&gt;0),IF((D146&gt;0)," ",(I$1-A146))," ")</f>
        <v> </v>
      </c>
    </row>
    <row r="147" customFormat="false" ht="12.75" hidden="false" customHeight="false" outlineLevel="0" collapsed="false">
      <c r="A147" s="355"/>
      <c r="H147" s="338" t="str">
        <f aca="false">IF((F147&lt;&gt;0),IF((D147&gt;0)," ",F147)," ")</f>
        <v> </v>
      </c>
      <c r="I147" s="339" t="str">
        <f aca="false">IF((F147&lt;&gt;0),IF((D147&gt;0)," ",(I$1-A147))," ")</f>
        <v> </v>
      </c>
    </row>
    <row r="148" customFormat="false" ht="12.75" hidden="false" customHeight="false" outlineLevel="0" collapsed="false">
      <c r="A148" s="355"/>
      <c r="H148" s="338" t="str">
        <f aca="false">IF((F148&lt;&gt;0),IF((D148&gt;0)," ",F148)," ")</f>
        <v> </v>
      </c>
      <c r="I148" s="339" t="str">
        <f aca="false">IF((F148&lt;&gt;0),IF((D148&gt;0)," ",(I$1-A148))," ")</f>
        <v> </v>
      </c>
    </row>
    <row r="149" customFormat="false" ht="12.75" hidden="false" customHeight="false" outlineLevel="0" collapsed="false">
      <c r="A149" s="355"/>
      <c r="H149" s="338" t="str">
        <f aca="false">IF((F149&lt;&gt;0),IF((D149&gt;0)," ",F149)," ")</f>
        <v> </v>
      </c>
      <c r="I149" s="339" t="str">
        <f aca="false">IF((F149&lt;&gt;0),IF((D149&gt;0)," ",(I$1-A149))," ")</f>
        <v> </v>
      </c>
    </row>
    <row r="150" customFormat="false" ht="12.75" hidden="false" customHeight="false" outlineLevel="0" collapsed="false">
      <c r="A150" s="355"/>
      <c r="H150" s="338" t="str">
        <f aca="false">IF((F150&lt;&gt;0),IF((D150&gt;0)," ",F150)," ")</f>
        <v> </v>
      </c>
      <c r="I150" s="339" t="str">
        <f aca="false">IF((F150&lt;&gt;0),IF((D150&gt;0)," ",(I$1-A150))," ")</f>
        <v> </v>
      </c>
    </row>
    <row r="151" customFormat="false" ht="12.75" hidden="false" customHeight="false" outlineLevel="0" collapsed="false">
      <c r="A151" s="355"/>
      <c r="H151" s="338" t="str">
        <f aca="false">IF((F151&lt;&gt;0),IF((D151&gt;0)," ",F151)," ")</f>
        <v> </v>
      </c>
      <c r="I151" s="339" t="str">
        <f aca="false">IF((F151&lt;&gt;0),IF((D151&gt;0)," ",(I$1-A151))," ")</f>
        <v> </v>
      </c>
    </row>
    <row r="152" customFormat="false" ht="12.75" hidden="false" customHeight="false" outlineLevel="0" collapsed="false">
      <c r="A152" s="355"/>
      <c r="H152" s="338" t="str">
        <f aca="false">IF((F152&lt;&gt;0),IF((D152&gt;0)," ",F152)," ")</f>
        <v> </v>
      </c>
      <c r="I152" s="339" t="str">
        <f aca="false">IF((F152&lt;&gt;0),IF((D152&gt;0)," ",(I$1-A152))," ")</f>
        <v> </v>
      </c>
    </row>
    <row r="153" customFormat="false" ht="12.75" hidden="false" customHeight="false" outlineLevel="0" collapsed="false">
      <c r="A153" s="355"/>
      <c r="H153" s="338" t="str">
        <f aca="false">IF((F153&lt;&gt;0),IF((D153&gt;0)," ",F153)," ")</f>
        <v> </v>
      </c>
      <c r="I153" s="339" t="str">
        <f aca="false">IF((F153&lt;&gt;0),IF((D153&gt;0)," ",(I$1-A153))," ")</f>
        <v> </v>
      </c>
    </row>
    <row r="154" customFormat="false" ht="12.75" hidden="false" customHeight="false" outlineLevel="0" collapsed="false">
      <c r="A154" s="355"/>
      <c r="H154" s="338" t="str">
        <f aca="false">IF((F154&lt;&gt;0),IF((D154&gt;0)," ",F154)," ")</f>
        <v> </v>
      </c>
      <c r="I154" s="339" t="str">
        <f aca="false">IF((F154&lt;&gt;0),IF((D154&gt;0)," ",(I$1-A154))," ")</f>
        <v> </v>
      </c>
    </row>
    <row r="155" customFormat="false" ht="12.75" hidden="false" customHeight="false" outlineLevel="0" collapsed="false">
      <c r="A155" s="355"/>
      <c r="H155" s="338" t="str">
        <f aca="false">IF((F155&lt;&gt;0),IF((D155&gt;0)," ",F155)," ")</f>
        <v> </v>
      </c>
      <c r="I155" s="339" t="str">
        <f aca="false">IF((F155&lt;&gt;0),IF((D155&gt;0)," ",(I$1-A155))," ")</f>
        <v> </v>
      </c>
    </row>
    <row r="156" customFormat="false" ht="12.75" hidden="false" customHeight="false" outlineLevel="0" collapsed="false">
      <c r="A156" s="355"/>
      <c r="H156" s="338" t="str">
        <f aca="false">IF((F156&lt;&gt;0),IF((D156&gt;0)," ",F156)," ")</f>
        <v> </v>
      </c>
      <c r="I156" s="339" t="str">
        <f aca="false">IF((F156&lt;&gt;0),IF((D156&gt;0)," ",(I$1-A156))," ")</f>
        <v> </v>
      </c>
    </row>
    <row r="157" customFormat="false" ht="12.75" hidden="false" customHeight="false" outlineLevel="0" collapsed="false">
      <c r="A157" s="355"/>
      <c r="H157" s="338" t="str">
        <f aca="false">IF((F157&lt;&gt;0),IF((D157&gt;0)," ",F157)," ")</f>
        <v> </v>
      </c>
      <c r="I157" s="339" t="str">
        <f aca="false">IF((F157&lt;&gt;0),IF((D157&gt;0)," ",(I$1-A157))," ")</f>
        <v> </v>
      </c>
    </row>
    <row r="158" customFormat="false" ht="12.75" hidden="false" customHeight="false" outlineLevel="0" collapsed="false">
      <c r="A158" s="355"/>
      <c r="H158" s="338" t="str">
        <f aca="false">IF((F158&lt;&gt;0),IF((D158&gt;0)," ",F158)," ")</f>
        <v> </v>
      </c>
      <c r="I158" s="339" t="str">
        <f aca="false">IF((F158&lt;&gt;0),IF((D158&gt;0)," ",(I$1-A158))," ")</f>
        <v> </v>
      </c>
    </row>
    <row r="159" customFormat="false" ht="12.75" hidden="false" customHeight="false" outlineLevel="0" collapsed="false">
      <c r="A159" s="355"/>
      <c r="H159" s="338" t="str">
        <f aca="false">IF((F159&lt;&gt;0),IF((D159&gt;0)," ",F159)," ")</f>
        <v> </v>
      </c>
      <c r="I159" s="339" t="str">
        <f aca="false">IF((F159&lt;&gt;0),IF((D159&gt;0)," ",(I$1-A159))," ")</f>
        <v> </v>
      </c>
    </row>
    <row r="160" customFormat="false" ht="12.75" hidden="false" customHeight="false" outlineLevel="0" collapsed="false">
      <c r="A160" s="355"/>
      <c r="H160" s="338" t="str">
        <f aca="false">IF((F160&lt;&gt;0),IF((D160&gt;0)," ",F160)," ")</f>
        <v> </v>
      </c>
      <c r="I160" s="339" t="str">
        <f aca="false">IF((F160&lt;&gt;0),IF((D160&gt;0)," ",(I$1-A160))," ")</f>
        <v> </v>
      </c>
    </row>
    <row r="161" customFormat="false" ht="12.75" hidden="false" customHeight="false" outlineLevel="0" collapsed="false">
      <c r="A161" s="355"/>
      <c r="H161" s="338" t="str">
        <f aca="false">IF((F161&lt;&gt;0),IF((D161&gt;0)," ",F161)," ")</f>
        <v> </v>
      </c>
      <c r="I161" s="339" t="str">
        <f aca="false">IF((F161&lt;&gt;0),IF((D161&gt;0)," ",(I$1-A161))," ")</f>
        <v> </v>
      </c>
    </row>
    <row r="162" customFormat="false" ht="12.75" hidden="false" customHeight="false" outlineLevel="0" collapsed="false">
      <c r="A162" s="355"/>
      <c r="H162" s="338" t="str">
        <f aca="false">IF((F162&lt;&gt;0),IF((D162&gt;0)," ",F162)," ")</f>
        <v> </v>
      </c>
      <c r="I162" s="339" t="str">
        <f aca="false">IF((F162&lt;&gt;0),IF((D162&gt;0)," ",(I$1-A162))," ")</f>
        <v> </v>
      </c>
    </row>
    <row r="163" customFormat="false" ht="12.75" hidden="false" customHeight="false" outlineLevel="0" collapsed="false">
      <c r="A163" s="355"/>
      <c r="H163" s="338" t="str">
        <f aca="false">IF((F163&lt;&gt;0),IF((D163&gt;0)," ",F163)," ")</f>
        <v> </v>
      </c>
      <c r="I163" s="339" t="str">
        <f aca="false">IF((F163&lt;&gt;0),IF((D163&gt;0)," ",(I$1-A163))," ")</f>
        <v> </v>
      </c>
    </row>
    <row r="164" customFormat="false" ht="12.75" hidden="false" customHeight="false" outlineLevel="0" collapsed="false">
      <c r="A164" s="355"/>
      <c r="H164" s="338" t="str">
        <f aca="false">IF((F164&lt;&gt;0),IF((D164&gt;0)," ",F164)," ")</f>
        <v> </v>
      </c>
      <c r="I164" s="339" t="str">
        <f aca="false">IF((F164&lt;&gt;0),IF((D164&gt;0)," ",(I$1-A164))," ")</f>
        <v> </v>
      </c>
    </row>
    <row r="165" customFormat="false" ht="12.75" hidden="false" customHeight="false" outlineLevel="0" collapsed="false">
      <c r="A165" s="355"/>
      <c r="H165" s="338" t="str">
        <f aca="false">IF((F165&lt;&gt;0),IF((D165&gt;0)," ",F165)," ")</f>
        <v> </v>
      </c>
      <c r="I165" s="339" t="str">
        <f aca="false">IF((F165&lt;&gt;0),IF((D165&gt;0)," ",(I$1-A165))," ")</f>
        <v> </v>
      </c>
    </row>
    <row r="166" customFormat="false" ht="12.75" hidden="false" customHeight="false" outlineLevel="0" collapsed="false">
      <c r="A166" s="355"/>
      <c r="H166" s="338" t="str">
        <f aca="false">IF((F166&lt;&gt;0),IF((D166&gt;0)," ",F166)," ")</f>
        <v> </v>
      </c>
      <c r="I166" s="339" t="str">
        <f aca="false">IF((F166&lt;&gt;0),IF((D166&gt;0)," ",(I$1-A166))," ")</f>
        <v> </v>
      </c>
    </row>
    <row r="167" customFormat="false" ht="12.75" hidden="false" customHeight="false" outlineLevel="0" collapsed="false">
      <c r="A167" s="355"/>
      <c r="H167" s="338" t="str">
        <f aca="false">IF((F167&lt;&gt;0),IF((D167&gt;0)," ",F167)," ")</f>
        <v> </v>
      </c>
      <c r="I167" s="339" t="str">
        <f aca="false">IF((F167&lt;&gt;0),IF((D167&gt;0)," ",(I$1-A167))," ")</f>
        <v> </v>
      </c>
    </row>
    <row r="168" customFormat="false" ht="12.75" hidden="false" customHeight="false" outlineLevel="0" collapsed="false">
      <c r="A168" s="355"/>
      <c r="H168" s="338" t="str">
        <f aca="false">IF((F168&lt;&gt;0),IF((D168&gt;0)," ",F168)," ")</f>
        <v> </v>
      </c>
      <c r="I168" s="339" t="str">
        <f aca="false">IF((F168&lt;&gt;0),IF((D168&gt;0)," ",(I$1-A168))," ")</f>
        <v> </v>
      </c>
    </row>
    <row r="169" customFormat="false" ht="12.75" hidden="false" customHeight="false" outlineLevel="0" collapsed="false">
      <c r="A169" s="355"/>
      <c r="H169" s="338" t="str">
        <f aca="false">IF((F169&lt;&gt;0),IF((D169&gt;0)," ",F169)," ")</f>
        <v> </v>
      </c>
      <c r="I169" s="339" t="str">
        <f aca="false">IF((F169&lt;&gt;0),IF((D169&gt;0)," ",(I$1-A169))," ")</f>
        <v> </v>
      </c>
    </row>
    <row r="170" customFormat="false" ht="12.75" hidden="false" customHeight="false" outlineLevel="0" collapsed="false">
      <c r="A170" s="355"/>
      <c r="H170" s="338" t="str">
        <f aca="false">IF((F170&lt;&gt;0),IF((D170&gt;0)," ",F170)," ")</f>
        <v> </v>
      </c>
      <c r="I170" s="339" t="str">
        <f aca="false">IF((F170&lt;&gt;0),IF((D170&gt;0)," ",(I$1-A170))," ")</f>
        <v> </v>
      </c>
    </row>
    <row r="171" customFormat="false" ht="12.75" hidden="false" customHeight="false" outlineLevel="0" collapsed="false">
      <c r="A171" s="355"/>
      <c r="H171" s="338" t="str">
        <f aca="false">IF((F171&lt;&gt;0),IF((D171&gt;0)," ",F171)," ")</f>
        <v> </v>
      </c>
      <c r="I171" s="339" t="str">
        <f aca="false">IF((F171&lt;&gt;0),IF((D171&gt;0)," ",(I$1-A171))," ")</f>
        <v> </v>
      </c>
    </row>
    <row r="172" customFormat="false" ht="12.75" hidden="false" customHeight="false" outlineLevel="0" collapsed="false">
      <c r="A172" s="355"/>
      <c r="H172" s="338" t="str">
        <f aca="false">IF((F172&lt;&gt;0),IF((D172&gt;0)," ",F172)," ")</f>
        <v> </v>
      </c>
      <c r="I172" s="339" t="str">
        <f aca="false">IF((F172&lt;&gt;0),IF((D172&gt;0)," ",(I$1-A172))," ")</f>
        <v> </v>
      </c>
    </row>
    <row r="173" customFormat="false" ht="12.75" hidden="false" customHeight="false" outlineLevel="0" collapsed="false">
      <c r="A173" s="355"/>
      <c r="H173" s="338" t="str">
        <f aca="false">IF((F173&lt;&gt;0),IF((D173&gt;0)," ",F173)," ")</f>
        <v> </v>
      </c>
      <c r="I173" s="339" t="str">
        <f aca="false">IF((F173&lt;&gt;0),IF((D173&gt;0)," ",(I$1-A173))," ")</f>
        <v> </v>
      </c>
    </row>
    <row r="174" customFormat="false" ht="12.75" hidden="false" customHeight="false" outlineLevel="0" collapsed="false">
      <c r="A174" s="355"/>
      <c r="H174" s="338" t="str">
        <f aca="false">IF((F174&lt;&gt;0),IF((D174&gt;0)," ",F174)," ")</f>
        <v> </v>
      </c>
      <c r="I174" s="339" t="str">
        <f aca="false">IF((F174&lt;&gt;0),IF((D174&gt;0)," ",(I$1-A174))," ")</f>
        <v> </v>
      </c>
    </row>
    <row r="175" customFormat="false" ht="12.75" hidden="false" customHeight="false" outlineLevel="0" collapsed="false">
      <c r="A175" s="355"/>
      <c r="H175" s="338" t="str">
        <f aca="false">IF((F175&lt;&gt;0),IF((D175&gt;0)," ",F175)," ")</f>
        <v> </v>
      </c>
      <c r="I175" s="339" t="str">
        <f aca="false">IF((F175&lt;&gt;0),IF((D175&gt;0)," ",(I$1-A175))," ")</f>
        <v> </v>
      </c>
    </row>
    <row r="176" customFormat="false" ht="12.75" hidden="false" customHeight="false" outlineLevel="0" collapsed="false">
      <c r="A176" s="355"/>
      <c r="H176" s="338" t="str">
        <f aca="false">IF((F176&lt;&gt;0),IF((D176&gt;0)," ",F176)," ")</f>
        <v> </v>
      </c>
      <c r="I176" s="339" t="str">
        <f aca="false">IF((F176&lt;&gt;0),IF((D176&gt;0)," ",(I$1-A176))," ")</f>
        <v> </v>
      </c>
    </row>
    <row r="177" customFormat="false" ht="12.75" hidden="false" customHeight="false" outlineLevel="0" collapsed="false">
      <c r="A177" s="355"/>
      <c r="H177" s="338" t="str">
        <f aca="false">IF((F177&lt;&gt;0),IF((D177&gt;0)," ",F177)," ")</f>
        <v> </v>
      </c>
      <c r="I177" s="339" t="str">
        <f aca="false">IF((F177&lt;&gt;0),IF((D177&gt;0)," ",(I$1-A177))," ")</f>
        <v> </v>
      </c>
    </row>
    <row r="178" customFormat="false" ht="12.75" hidden="false" customHeight="false" outlineLevel="0" collapsed="false">
      <c r="A178" s="355"/>
      <c r="H178" s="338" t="str">
        <f aca="false">IF((F178&lt;&gt;0),IF((D178&gt;0)," ",F178)," ")</f>
        <v> </v>
      </c>
      <c r="I178" s="339" t="str">
        <f aca="false">IF((F178&lt;&gt;0),IF((D178&gt;0)," ",(I$1-A178))," ")</f>
        <v> </v>
      </c>
    </row>
    <row r="179" customFormat="false" ht="12.75" hidden="false" customHeight="false" outlineLevel="0" collapsed="false">
      <c r="A179" s="355"/>
      <c r="H179" s="338" t="str">
        <f aca="false">IF((F179&lt;&gt;0),IF((D179&gt;0)," ",F179)," ")</f>
        <v> </v>
      </c>
      <c r="I179" s="339" t="str">
        <f aca="false">IF((F179&lt;&gt;0),IF((D179&gt;0)," ",(I$1-A179))," ")</f>
        <v> </v>
      </c>
    </row>
    <row r="180" customFormat="false" ht="12.75" hidden="false" customHeight="false" outlineLevel="0" collapsed="false">
      <c r="A180" s="355"/>
      <c r="H180" s="338" t="str">
        <f aca="false">IF((F180&lt;&gt;0),IF((D180&gt;0)," ",F180)," ")</f>
        <v> </v>
      </c>
      <c r="I180" s="339" t="str">
        <f aca="false">IF((F180&lt;&gt;0),IF((D180&gt;0)," ",(I$1-A180))," ")</f>
        <v> </v>
      </c>
    </row>
    <row r="181" customFormat="false" ht="12.75" hidden="false" customHeight="false" outlineLevel="0" collapsed="false">
      <c r="A181" s="355"/>
      <c r="H181" s="338" t="str">
        <f aca="false">IF((F181&lt;&gt;0),IF((D181&gt;0)," ",F181)," ")</f>
        <v> </v>
      </c>
      <c r="I181" s="339" t="str">
        <f aca="false">IF((F181&lt;&gt;0),IF((D181&gt;0)," ",(I$1-A181))," ")</f>
        <v> </v>
      </c>
    </row>
    <row r="182" customFormat="false" ht="12.75" hidden="false" customHeight="false" outlineLevel="0" collapsed="false">
      <c r="A182" s="355"/>
      <c r="H182" s="338" t="str">
        <f aca="false">IF((F182&lt;&gt;0),IF((D182&gt;0)," ",F182)," ")</f>
        <v> </v>
      </c>
      <c r="I182" s="339" t="str">
        <f aca="false">IF((F182&lt;&gt;0),IF((D182&gt;0)," ",(I$1-A182))," ")</f>
        <v> </v>
      </c>
    </row>
    <row r="183" customFormat="false" ht="12.75" hidden="false" customHeight="false" outlineLevel="0" collapsed="false">
      <c r="A183" s="355"/>
      <c r="H183" s="338" t="str">
        <f aca="false">IF((F183&lt;&gt;0),IF((D183&gt;0)," ",F183)," ")</f>
        <v> </v>
      </c>
      <c r="I183" s="339" t="str">
        <f aca="false">IF((F183&lt;&gt;0),IF((D183&gt;0)," ",(I$1-A183))," ")</f>
        <v> </v>
      </c>
    </row>
    <row r="184" customFormat="false" ht="12.75" hidden="false" customHeight="false" outlineLevel="0" collapsed="false">
      <c r="A184" s="355"/>
      <c r="H184" s="338" t="str">
        <f aca="false">IF((F184&lt;&gt;0),IF((D184&gt;0)," ",F184)," ")</f>
        <v> </v>
      </c>
      <c r="I184" s="339" t="str">
        <f aca="false">IF((F184&lt;&gt;0),IF((D184&gt;0)," ",(I$1-A184))," ")</f>
        <v> </v>
      </c>
    </row>
    <row r="185" customFormat="false" ht="12.75" hidden="false" customHeight="false" outlineLevel="0" collapsed="false">
      <c r="A185" s="355"/>
      <c r="H185" s="338" t="str">
        <f aca="false">IF((F185&lt;&gt;0),IF((D185&gt;0)," ",F185)," ")</f>
        <v> </v>
      </c>
      <c r="I185" s="339" t="str">
        <f aca="false">IF((F185&lt;&gt;0),IF((D185&gt;0)," ",(I$1-A185))," ")</f>
        <v> </v>
      </c>
    </row>
    <row r="186" customFormat="false" ht="12.75" hidden="false" customHeight="false" outlineLevel="0" collapsed="false">
      <c r="A186" s="355"/>
      <c r="H186" s="338" t="str">
        <f aca="false">IF((F186&lt;&gt;0),IF((D186&gt;0)," ",F186)," ")</f>
        <v> </v>
      </c>
      <c r="I186" s="339" t="str">
        <f aca="false">IF((F186&lt;&gt;0),IF((D186&gt;0)," ",(I$1-A186))," ")</f>
        <v> </v>
      </c>
    </row>
    <row r="187" customFormat="false" ht="12.75" hidden="false" customHeight="false" outlineLevel="0" collapsed="false">
      <c r="A187" s="355"/>
      <c r="H187" s="338" t="str">
        <f aca="false">IF((F187&lt;&gt;0),IF((D187&gt;0)," ",F187)," ")</f>
        <v> </v>
      </c>
      <c r="I187" s="339" t="str">
        <f aca="false">IF((F187&lt;&gt;0),IF((D187&gt;0)," ",(I$1-A187))," ")</f>
        <v> </v>
      </c>
    </row>
    <row r="188" customFormat="false" ht="12.75" hidden="false" customHeight="false" outlineLevel="0" collapsed="false">
      <c r="A188" s="355"/>
      <c r="H188" s="338" t="str">
        <f aca="false">IF((F188&lt;&gt;0),IF((D188&gt;0)," ",F188)," ")</f>
        <v> </v>
      </c>
      <c r="I188" s="339" t="str">
        <f aca="false">IF((F188&lt;&gt;0),IF((D188&gt;0)," ",(I$1-A188))," ")</f>
        <v> </v>
      </c>
    </row>
    <row r="189" customFormat="false" ht="12.75" hidden="false" customHeight="false" outlineLevel="0" collapsed="false">
      <c r="A189" s="355"/>
      <c r="H189" s="338" t="str">
        <f aca="false">IF((F189&lt;&gt;0),IF((D189&gt;0)," ",F189)," ")</f>
        <v> </v>
      </c>
      <c r="I189" s="339" t="str">
        <f aca="false">IF((F189&lt;&gt;0),IF((D189&gt;0)," ",(I$1-A189))," ")</f>
        <v> </v>
      </c>
    </row>
    <row r="190" customFormat="false" ht="12.75" hidden="false" customHeight="false" outlineLevel="0" collapsed="false">
      <c r="A190" s="355"/>
      <c r="H190" s="338" t="str">
        <f aca="false">IF((F190&lt;&gt;0),IF((D190&gt;0)," ",F190)," ")</f>
        <v> </v>
      </c>
      <c r="I190" s="339" t="str">
        <f aca="false">IF((F190&lt;&gt;0),IF((D190&gt;0)," ",(I$1-A190))," ")</f>
        <v> </v>
      </c>
    </row>
    <row r="191" customFormat="false" ht="12.75" hidden="false" customHeight="false" outlineLevel="0" collapsed="false">
      <c r="A191" s="355"/>
      <c r="H191" s="338" t="str">
        <f aca="false">IF((F191&lt;&gt;0),IF((D191&gt;0)," ",F191)," ")</f>
        <v> </v>
      </c>
      <c r="I191" s="339" t="str">
        <f aca="false">IF((F191&lt;&gt;0),IF((D191&gt;0)," ",(I$1-A191))," ")</f>
        <v> </v>
      </c>
    </row>
    <row r="192" customFormat="false" ht="12.75" hidden="false" customHeight="false" outlineLevel="0" collapsed="false">
      <c r="A192" s="355"/>
      <c r="H192" s="338" t="str">
        <f aca="false">IF((F192&lt;&gt;0),IF((D192&gt;0)," ",F192)," ")</f>
        <v> </v>
      </c>
      <c r="I192" s="339" t="str">
        <f aca="false">IF((F192&lt;&gt;0),IF((D192&gt;0)," ",(I$1-A192))," ")</f>
        <v> </v>
      </c>
    </row>
    <row r="193" customFormat="false" ht="12.75" hidden="false" customHeight="false" outlineLevel="0" collapsed="false">
      <c r="A193" s="355"/>
      <c r="H193" s="338" t="str">
        <f aca="false">IF((F193&lt;&gt;0),IF((D193&gt;0)," ",F193)," ")</f>
        <v> </v>
      </c>
      <c r="I193" s="339" t="str">
        <f aca="false">IF((F193&lt;&gt;0),IF((D193&gt;0)," ",(I$1-A193))," ")</f>
        <v> </v>
      </c>
    </row>
    <row r="194" customFormat="false" ht="12.75" hidden="false" customHeight="false" outlineLevel="0" collapsed="false">
      <c r="A194" s="355"/>
      <c r="H194" s="338" t="str">
        <f aca="false">IF((F194&lt;&gt;0),IF((D194&gt;0)," ",F194)," ")</f>
        <v> </v>
      </c>
      <c r="I194" s="339" t="str">
        <f aca="false">IF((F194&lt;&gt;0),IF((D194&gt;0)," ",(I$1-A194))," ")</f>
        <v> </v>
      </c>
    </row>
    <row r="195" customFormat="false" ht="12.75" hidden="false" customHeight="false" outlineLevel="0" collapsed="false">
      <c r="A195" s="355"/>
      <c r="H195" s="338" t="str">
        <f aca="false">IF((F195&lt;&gt;0),IF((D195&gt;0)," ",F195)," ")</f>
        <v> </v>
      </c>
      <c r="I195" s="339" t="str">
        <f aca="false">IF((F195&lt;&gt;0),IF((D195&gt;0)," ",(I$1-A195))," ")</f>
        <v> </v>
      </c>
    </row>
    <row r="196" customFormat="false" ht="12.75" hidden="false" customHeight="false" outlineLevel="0" collapsed="false">
      <c r="A196" s="355"/>
      <c r="H196" s="338" t="str">
        <f aca="false">IF((F196&lt;&gt;0),IF((D196&gt;0)," ",F196)," ")</f>
        <v> </v>
      </c>
      <c r="I196" s="339" t="str">
        <f aca="false">IF((F196&lt;&gt;0),IF((D196&gt;0)," ",(I$1-A196))," ")</f>
        <v> </v>
      </c>
    </row>
    <row r="197" customFormat="false" ht="12.75" hidden="false" customHeight="false" outlineLevel="0" collapsed="false">
      <c r="A197" s="355"/>
      <c r="H197" s="338" t="str">
        <f aca="false">IF((F197&lt;&gt;0),IF((D197&gt;0)," ",F197)," ")</f>
        <v> </v>
      </c>
      <c r="I197" s="339" t="str">
        <f aca="false">IF((F197&lt;&gt;0),IF((D197&gt;0)," ",(I$1-A197))," ")</f>
        <v> </v>
      </c>
    </row>
    <row r="198" customFormat="false" ht="12.75" hidden="false" customHeight="false" outlineLevel="0" collapsed="false">
      <c r="A198" s="355"/>
      <c r="H198" s="338" t="str">
        <f aca="false">IF((F198&lt;&gt;0),IF((D198&gt;0)," ",F198)," ")</f>
        <v> </v>
      </c>
      <c r="I198" s="339" t="str">
        <f aca="false">IF((F198&lt;&gt;0),IF((D198&gt;0)," ",(I$1-A198))," ")</f>
        <v> </v>
      </c>
    </row>
    <row r="199" customFormat="false" ht="12.75" hidden="false" customHeight="false" outlineLevel="0" collapsed="false">
      <c r="A199" s="355"/>
      <c r="H199" s="338" t="str">
        <f aca="false">IF((F199&lt;&gt;0),IF((D199&gt;0)," ",F199)," ")</f>
        <v> </v>
      </c>
      <c r="I199" s="339" t="str">
        <f aca="false">IF((F199&lt;&gt;0),IF((D199&gt;0)," ",(I$1-A199))," ")</f>
        <v> </v>
      </c>
    </row>
    <row r="200" customFormat="false" ht="12.75" hidden="false" customHeight="false" outlineLevel="0" collapsed="false">
      <c r="A200" s="355"/>
      <c r="H200" s="338" t="str">
        <f aca="false">IF((F200&lt;&gt;0),IF((D200&gt;0)," ",F200)," ")</f>
        <v> </v>
      </c>
      <c r="I200" s="339" t="str">
        <f aca="false">IF((F200&lt;&gt;0),IF((D200&gt;0)," ",(I$1-A200))," ")</f>
        <v> </v>
      </c>
    </row>
    <row r="201" customFormat="false" ht="12.75" hidden="false" customHeight="false" outlineLevel="0" collapsed="false">
      <c r="A201" s="355"/>
      <c r="H201" s="338" t="str">
        <f aca="false">IF((F201&lt;&gt;0),IF((D201&gt;0)," ",F201)," ")</f>
        <v> </v>
      </c>
      <c r="I201" s="339" t="str">
        <f aca="false">IF((F201&lt;&gt;0),IF((D201&gt;0)," ",(I$1-A201))," ")</f>
        <v> </v>
      </c>
    </row>
    <row r="202" customFormat="false" ht="12.75" hidden="false" customHeight="false" outlineLevel="0" collapsed="false">
      <c r="A202" s="355"/>
      <c r="H202" s="338" t="str">
        <f aca="false">IF((F202&lt;&gt;0),IF((D202&gt;0)," ",F202)," ")</f>
        <v> </v>
      </c>
      <c r="I202" s="339" t="str">
        <f aca="false">IF((F202&lt;&gt;0),IF((D202&gt;0)," ",(I$1-A202))," ")</f>
        <v> </v>
      </c>
    </row>
    <row r="203" customFormat="false" ht="12.75" hidden="false" customHeight="false" outlineLevel="0" collapsed="false">
      <c r="A203" s="355"/>
      <c r="H203" s="338" t="str">
        <f aca="false">IF((F203&lt;&gt;0),IF((D203&gt;0)," ",F203)," ")</f>
        <v> </v>
      </c>
      <c r="I203" s="339" t="str">
        <f aca="false">IF((F203&lt;&gt;0),IF((D203&gt;0)," ",(I$1-A203))," ")</f>
        <v> </v>
      </c>
    </row>
    <row r="204" customFormat="false" ht="12.75" hidden="false" customHeight="false" outlineLevel="0" collapsed="false">
      <c r="A204" s="355"/>
      <c r="H204" s="338" t="str">
        <f aca="false">IF((F204&lt;&gt;0),IF((D204&gt;0)," ",F204)," ")</f>
        <v> </v>
      </c>
      <c r="I204" s="339" t="str">
        <f aca="false">IF((F204&lt;&gt;0),IF((D204&gt;0)," ",(I$1-A204))," ")</f>
        <v> </v>
      </c>
    </row>
    <row r="205" customFormat="false" ht="12.75" hidden="false" customHeight="false" outlineLevel="0" collapsed="false">
      <c r="A205" s="355"/>
    </row>
    <row r="206" customFormat="false" ht="12.75" hidden="false" customHeight="false" outlineLevel="0" collapsed="false">
      <c r="A206" s="355"/>
    </row>
    <row r="207" customFormat="false" ht="12.75" hidden="false" customHeight="false" outlineLevel="0" collapsed="false">
      <c r="A207" s="355"/>
    </row>
    <row r="208" customFormat="false" ht="12.75" hidden="false" customHeight="false" outlineLevel="0" collapsed="false">
      <c r="A208" s="355"/>
    </row>
    <row r="209" customFormat="false" ht="12.75" hidden="false" customHeight="false" outlineLevel="0" collapsed="false">
      <c r="A209" s="355"/>
    </row>
    <row r="210" customFormat="false" ht="12.75" hidden="false" customHeight="false" outlineLevel="0" collapsed="false">
      <c r="A210" s="355"/>
    </row>
    <row r="211" customFormat="false" ht="12.75" hidden="false" customHeight="false" outlineLevel="0" collapsed="false">
      <c r="A211" s="355"/>
    </row>
    <row r="212" customFormat="false" ht="12.75" hidden="false" customHeight="false" outlineLevel="0" collapsed="false">
      <c r="A212" s="355"/>
    </row>
    <row r="213" customFormat="false" ht="12.75" hidden="false" customHeight="false" outlineLevel="0" collapsed="false">
      <c r="A213" s="355"/>
    </row>
    <row r="214" customFormat="false" ht="12.75" hidden="false" customHeight="false" outlineLevel="0" collapsed="false">
      <c r="A214" s="355"/>
    </row>
    <row r="215" customFormat="false" ht="12.75" hidden="false" customHeight="false" outlineLevel="0" collapsed="false">
      <c r="A215" s="355"/>
    </row>
    <row r="216" customFormat="false" ht="12.75" hidden="false" customHeight="false" outlineLevel="0" collapsed="false">
      <c r="A216" s="355"/>
    </row>
    <row r="217" customFormat="false" ht="12.75" hidden="false" customHeight="false" outlineLevel="0" collapsed="false">
      <c r="A217" s="355"/>
    </row>
    <row r="218" customFormat="false" ht="12.75" hidden="false" customHeight="false" outlineLevel="0" collapsed="false">
      <c r="A218" s="355"/>
    </row>
    <row r="219" customFormat="false" ht="12.75" hidden="false" customHeight="false" outlineLevel="0" collapsed="false">
      <c r="A219" s="355"/>
    </row>
    <row r="220" customFormat="false" ht="12.75" hidden="false" customHeight="false" outlineLevel="0" collapsed="false">
      <c r="A220" s="355"/>
    </row>
    <row r="221" customFormat="false" ht="12.75" hidden="false" customHeight="false" outlineLevel="0" collapsed="false">
      <c r="A221" s="355"/>
    </row>
    <row r="222" customFormat="false" ht="12.75" hidden="false" customHeight="false" outlineLevel="0" collapsed="false">
      <c r="A222" s="355"/>
    </row>
    <row r="223" customFormat="false" ht="12.75" hidden="false" customHeight="false" outlineLevel="0" collapsed="false">
      <c r="A223" s="355"/>
    </row>
    <row r="224" customFormat="false" ht="12.75" hidden="false" customHeight="false" outlineLevel="0" collapsed="false">
      <c r="A224" s="355"/>
    </row>
    <row r="225" customFormat="false" ht="12.75" hidden="false" customHeight="false" outlineLevel="0" collapsed="false">
      <c r="A225" s="355"/>
    </row>
    <row r="226" customFormat="false" ht="12.75" hidden="false" customHeight="false" outlineLevel="0" collapsed="false">
      <c r="A226" s="355"/>
    </row>
    <row r="227" customFormat="false" ht="12.75" hidden="false" customHeight="false" outlineLevel="0" collapsed="false">
      <c r="A227" s="355"/>
    </row>
    <row r="228" customFormat="false" ht="12.75" hidden="false" customHeight="false" outlineLevel="0" collapsed="false">
      <c r="A228" s="355"/>
    </row>
    <row r="229" customFormat="false" ht="12.75" hidden="false" customHeight="false" outlineLevel="0" collapsed="false">
      <c r="A229" s="355"/>
    </row>
    <row r="230" customFormat="false" ht="12.75" hidden="false" customHeight="false" outlineLevel="0" collapsed="false">
      <c r="A230" s="355"/>
    </row>
    <row r="231" customFormat="false" ht="12.75" hidden="false" customHeight="false" outlineLevel="0" collapsed="false">
      <c r="A231" s="355"/>
    </row>
    <row r="232" customFormat="false" ht="12.75" hidden="false" customHeight="false" outlineLevel="0" collapsed="false">
      <c r="A232" s="355"/>
    </row>
    <row r="233" customFormat="false" ht="12.75" hidden="false" customHeight="false" outlineLevel="0" collapsed="false">
      <c r="A233" s="355"/>
    </row>
    <row r="234" customFormat="false" ht="12.75" hidden="false" customHeight="false" outlineLevel="0" collapsed="false">
      <c r="A234" s="355"/>
    </row>
    <row r="235" customFormat="false" ht="12.75" hidden="false" customHeight="false" outlineLevel="0" collapsed="false">
      <c r="A235" s="355"/>
    </row>
    <row r="236" customFormat="false" ht="12.75" hidden="false" customHeight="false" outlineLevel="0" collapsed="false">
      <c r="A236" s="355"/>
    </row>
    <row r="237" customFormat="false" ht="12.75" hidden="false" customHeight="false" outlineLevel="0" collapsed="false">
      <c r="A237" s="355"/>
    </row>
    <row r="238" customFormat="false" ht="12.75" hidden="false" customHeight="false" outlineLevel="0" collapsed="false">
      <c r="A238" s="355"/>
    </row>
    <row r="239" customFormat="false" ht="12.75" hidden="false" customHeight="false" outlineLevel="0" collapsed="false">
      <c r="A239" s="355"/>
    </row>
    <row r="240" customFormat="false" ht="12.75" hidden="false" customHeight="false" outlineLevel="0" collapsed="false">
      <c r="A240" s="355"/>
    </row>
    <row r="241" customFormat="false" ht="12.75" hidden="false" customHeight="false" outlineLevel="0" collapsed="false">
      <c r="A241" s="355"/>
    </row>
    <row r="242" customFormat="false" ht="12.75" hidden="false" customHeight="false" outlineLevel="0" collapsed="false">
      <c r="A242" s="355"/>
    </row>
    <row r="243" customFormat="false" ht="12.75" hidden="false" customHeight="false" outlineLevel="0" collapsed="false">
      <c r="A243" s="355"/>
    </row>
    <row r="244" customFormat="false" ht="12.75" hidden="false" customHeight="false" outlineLevel="0" collapsed="false">
      <c r="A244" s="355"/>
    </row>
    <row r="245" customFormat="false" ht="12.75" hidden="false" customHeight="false" outlineLevel="0" collapsed="false">
      <c r="A245" s="355"/>
    </row>
    <row r="246" customFormat="false" ht="12.75" hidden="false" customHeight="false" outlineLevel="0" collapsed="false">
      <c r="A246" s="355"/>
    </row>
    <row r="247" customFormat="false" ht="12.75" hidden="false" customHeight="false" outlineLevel="0" collapsed="false">
      <c r="A247" s="355"/>
    </row>
    <row r="248" customFormat="false" ht="12.75" hidden="false" customHeight="false" outlineLevel="0" collapsed="false">
      <c r="A248" s="355"/>
    </row>
    <row r="249" customFormat="false" ht="12.75" hidden="false" customHeight="false" outlineLevel="0" collapsed="false">
      <c r="A249" s="355"/>
    </row>
    <row r="250" customFormat="false" ht="12.75" hidden="false" customHeight="false" outlineLevel="0" collapsed="false">
      <c r="A250" s="355"/>
    </row>
    <row r="251" customFormat="false" ht="12.75" hidden="false" customHeight="false" outlineLevel="0" collapsed="false">
      <c r="A251" s="355"/>
    </row>
    <row r="252" customFormat="false" ht="12.75" hidden="false" customHeight="false" outlineLevel="0" collapsed="false">
      <c r="A252" s="355"/>
    </row>
    <row r="253" customFormat="false" ht="12.75" hidden="false" customHeight="false" outlineLevel="0" collapsed="false">
      <c r="A253" s="355"/>
    </row>
    <row r="254" customFormat="false" ht="12.75" hidden="false" customHeight="false" outlineLevel="0" collapsed="false">
      <c r="A254" s="355"/>
    </row>
    <row r="255" customFormat="false" ht="12.75" hidden="false" customHeight="false" outlineLevel="0" collapsed="false">
      <c r="A255" s="355"/>
    </row>
    <row r="256" customFormat="false" ht="12.75" hidden="false" customHeight="false" outlineLevel="0" collapsed="false">
      <c r="A256" s="355"/>
    </row>
    <row r="257" customFormat="false" ht="12.75" hidden="false" customHeight="false" outlineLevel="0" collapsed="false">
      <c r="A257" s="355"/>
    </row>
    <row r="258" customFormat="false" ht="12.75" hidden="false" customHeight="false" outlineLevel="0" collapsed="false">
      <c r="A258" s="355"/>
    </row>
    <row r="259" customFormat="false" ht="12.75" hidden="false" customHeight="false" outlineLevel="0" collapsed="false">
      <c r="A259" s="355"/>
    </row>
    <row r="260" customFormat="false" ht="12.75" hidden="false" customHeight="false" outlineLevel="0" collapsed="false">
      <c r="A260" s="355"/>
    </row>
    <row r="261" customFormat="false" ht="12.75" hidden="false" customHeight="false" outlineLevel="0" collapsed="false">
      <c r="A261" s="355"/>
    </row>
    <row r="262" customFormat="false" ht="12.75" hidden="false" customHeight="false" outlineLevel="0" collapsed="false">
      <c r="A262" s="355"/>
    </row>
    <row r="263" customFormat="false" ht="12.75" hidden="false" customHeight="false" outlineLevel="0" collapsed="false">
      <c r="A263" s="355"/>
    </row>
    <row r="264" customFormat="false" ht="12.75" hidden="false" customHeight="false" outlineLevel="0" collapsed="false">
      <c r="A264" s="355"/>
    </row>
    <row r="265" customFormat="false" ht="12.75" hidden="false" customHeight="false" outlineLevel="0" collapsed="false">
      <c r="A265" s="355"/>
    </row>
    <row r="266" customFormat="false" ht="12.75" hidden="false" customHeight="false" outlineLevel="0" collapsed="false">
      <c r="A266" s="355"/>
    </row>
    <row r="267" customFormat="false" ht="12.75" hidden="false" customHeight="false" outlineLevel="0" collapsed="false">
      <c r="A267" s="355"/>
    </row>
    <row r="268" customFormat="false" ht="12.75" hidden="false" customHeight="false" outlineLevel="0" collapsed="false">
      <c r="A268" s="355"/>
    </row>
    <row r="269" customFormat="false" ht="12.75" hidden="false" customHeight="false" outlineLevel="0" collapsed="false">
      <c r="A269" s="355"/>
    </row>
    <row r="270" customFormat="false" ht="12.75" hidden="false" customHeight="false" outlineLevel="0" collapsed="false">
      <c r="A270" s="355"/>
    </row>
    <row r="271" customFormat="false" ht="12.75" hidden="false" customHeight="false" outlineLevel="0" collapsed="false">
      <c r="A271" s="355"/>
    </row>
    <row r="272" customFormat="false" ht="12.75" hidden="false" customHeight="false" outlineLevel="0" collapsed="false">
      <c r="A272" s="355"/>
    </row>
    <row r="273" customFormat="false" ht="12.75" hidden="false" customHeight="false" outlineLevel="0" collapsed="false">
      <c r="A273" s="355"/>
    </row>
    <row r="274" customFormat="false" ht="12.75" hidden="false" customHeight="false" outlineLevel="0" collapsed="false">
      <c r="A274" s="355"/>
    </row>
    <row r="275" customFormat="false" ht="12.75" hidden="false" customHeight="false" outlineLevel="0" collapsed="false">
      <c r="A275" s="355"/>
    </row>
    <row r="276" customFormat="false" ht="12.75" hidden="false" customHeight="false" outlineLevel="0" collapsed="false">
      <c r="A276" s="355"/>
    </row>
    <row r="277" customFormat="false" ht="12.75" hidden="false" customHeight="false" outlineLevel="0" collapsed="false">
      <c r="A277" s="355"/>
    </row>
    <row r="278" customFormat="false" ht="12.75" hidden="false" customHeight="false" outlineLevel="0" collapsed="false">
      <c r="A278" s="355"/>
    </row>
    <row r="279" customFormat="false" ht="12.75" hidden="false" customHeight="false" outlineLevel="0" collapsed="false">
      <c r="A279" s="355"/>
    </row>
    <row r="280" customFormat="false" ht="12.75" hidden="false" customHeight="false" outlineLevel="0" collapsed="false">
      <c r="A280" s="355"/>
    </row>
    <row r="281" customFormat="false" ht="12.75" hidden="false" customHeight="false" outlineLevel="0" collapsed="false">
      <c r="A281" s="355"/>
    </row>
    <row r="282" customFormat="false" ht="12.75" hidden="false" customHeight="false" outlineLevel="0" collapsed="false">
      <c r="A282" s="355"/>
    </row>
    <row r="283" customFormat="false" ht="12.75" hidden="false" customHeight="false" outlineLevel="0" collapsed="false">
      <c r="A283" s="355"/>
    </row>
    <row r="284" customFormat="false" ht="12.75" hidden="false" customHeight="false" outlineLevel="0" collapsed="false">
      <c r="A284" s="355"/>
    </row>
    <row r="285" customFormat="false" ht="12.75" hidden="false" customHeight="false" outlineLevel="0" collapsed="false">
      <c r="A285" s="355"/>
    </row>
    <row r="286" customFormat="false" ht="12.75" hidden="false" customHeight="false" outlineLevel="0" collapsed="false">
      <c r="A286" s="355"/>
    </row>
    <row r="287" customFormat="false" ht="12.75" hidden="false" customHeight="false" outlineLevel="0" collapsed="false">
      <c r="A287" s="355"/>
    </row>
    <row r="288" customFormat="false" ht="12.75" hidden="false" customHeight="false" outlineLevel="0" collapsed="false">
      <c r="A288" s="355"/>
    </row>
    <row r="289" customFormat="false" ht="12.75" hidden="false" customHeight="false" outlineLevel="0" collapsed="false">
      <c r="A289" s="355"/>
    </row>
    <row r="290" customFormat="false" ht="12.75" hidden="false" customHeight="false" outlineLevel="0" collapsed="false">
      <c r="A290" s="355"/>
    </row>
    <row r="291" customFormat="false" ht="12.75" hidden="false" customHeight="false" outlineLevel="0" collapsed="false">
      <c r="A291" s="355"/>
    </row>
    <row r="292" customFormat="false" ht="12.75" hidden="false" customHeight="false" outlineLevel="0" collapsed="false">
      <c r="A292" s="355"/>
    </row>
    <row r="293" customFormat="false" ht="12.75" hidden="false" customHeight="false" outlineLevel="0" collapsed="false">
      <c r="A293" s="355"/>
    </row>
    <row r="294" customFormat="false" ht="12.75" hidden="false" customHeight="false" outlineLevel="0" collapsed="false">
      <c r="A294" s="355"/>
    </row>
    <row r="295" customFormat="false" ht="12.75" hidden="false" customHeight="false" outlineLevel="0" collapsed="false">
      <c r="A295" s="355"/>
    </row>
    <row r="296" customFormat="false" ht="12.75" hidden="false" customHeight="false" outlineLevel="0" collapsed="false">
      <c r="A296" s="355"/>
    </row>
    <row r="297" customFormat="false" ht="12.75" hidden="false" customHeight="false" outlineLevel="0" collapsed="false">
      <c r="A297" s="355"/>
    </row>
    <row r="298" customFormat="false" ht="12.75" hidden="false" customHeight="false" outlineLevel="0" collapsed="false">
      <c r="A298" s="355"/>
    </row>
    <row r="299" customFormat="false" ht="12.75" hidden="false" customHeight="false" outlineLevel="0" collapsed="false">
      <c r="A299" s="355"/>
    </row>
    <row r="300" customFormat="false" ht="12.75" hidden="false" customHeight="false" outlineLevel="0" collapsed="false">
      <c r="A300" s="402"/>
      <c r="B300" s="356"/>
      <c r="C300" s="357"/>
      <c r="D300" s="358"/>
      <c r="E300" s="359"/>
      <c r="F300" s="356"/>
      <c r="G300" s="356"/>
      <c r="H300" s="360"/>
      <c r="I300" s="361"/>
      <c r="J300" s="356"/>
    </row>
    <row r="301" customFormat="false" ht="12.75" hidden="false" customHeight="false" outlineLevel="0" collapsed="false">
      <c r="A301" s="333" t="s">
        <v>265</v>
      </c>
    </row>
  </sheetData>
  <mergeCells count="10">
    <mergeCell ref="A1:A3"/>
    <mergeCell ref="B1:B3"/>
    <mergeCell ref="C2:C3"/>
    <mergeCell ref="D2:D3"/>
    <mergeCell ref="E2:E3"/>
    <mergeCell ref="F2:F3"/>
    <mergeCell ref="G2:G3"/>
    <mergeCell ref="H2:H3"/>
    <mergeCell ref="I2:I3"/>
    <mergeCell ref="J2:K2"/>
  </mergeCells>
  <dataValidations count="1">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4:A300" type="date">
      <formula1>38353</formula1>
      <formula2>53327</formula2>
    </dataValidation>
  </dataValidations>
  <printOptions headings="false" gridLines="true" gridLinesSet="true" horizontalCentered="false" verticalCentered="false"/>
  <pageMargins left="0.196527777777778" right="0.39375" top="0.590972222222222" bottom="0.590972222222222"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&amp;C&amp;"Arial,Bold"&amp;11Sales Turnover</oddHeader>
    <oddFooter>&amp;L&amp;D  &amp;T&amp;C&amp;P  of  &amp;N&amp;R&amp;F  &amp;A</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62" width="9.66"/>
    <col collapsed="false" customWidth="true" hidden="false" outlineLevel="0" max="2" min="2" style="363" width="23.99"/>
    <col collapsed="false" customWidth="true" hidden="false" outlineLevel="0" max="3" min="3" style="363" width="15.99"/>
    <col collapsed="false" customWidth="true" hidden="false" outlineLevel="0" max="4" min="4" style="364" width="16.15"/>
    <col collapsed="false" customWidth="true" hidden="false" outlineLevel="0" max="5" min="5" style="365" width="9.49"/>
    <col collapsed="false" customWidth="true" hidden="false" outlineLevel="0" max="6" min="6" style="365" width="8.66"/>
    <col collapsed="false" customWidth="true" hidden="false" outlineLevel="0" max="7" min="7" style="366" width="12.66"/>
    <col collapsed="false" customWidth="true" hidden="false" outlineLevel="0" max="8" min="8" style="338" width="11.5"/>
    <col collapsed="false" customWidth="true" hidden="false" outlineLevel="0" max="9" min="9" style="367" width="10.5"/>
    <col collapsed="false" customWidth="true" hidden="false" outlineLevel="0" max="19" min="10" style="334" width="9.66"/>
    <col collapsed="false" customWidth="true" hidden="false" outlineLevel="0" max="22" min="20" style="334" width="7.66"/>
    <col collapsed="false" customWidth="true" hidden="false" outlineLevel="0" max="23" min="23" style="334" width="9.66"/>
    <col collapsed="false" customWidth="true" hidden="false" outlineLevel="0" max="24" min="24" style="363" width="24.66"/>
    <col collapsed="false" customWidth="false" hidden="false" outlineLevel="0" max="25" min="25" style="368" width="9.15"/>
    <col collapsed="false" customWidth="true" hidden="false" outlineLevel="0" max="26" min="26" style="368" width="12.66"/>
    <col collapsed="false" customWidth="false" hidden="false" outlineLevel="0" max="257" min="27" style="363" width="9.15"/>
  </cols>
  <sheetData>
    <row r="1" s="334" customFormat="true" ht="13.5" hidden="false" customHeight="true" outlineLevel="0" collapsed="false">
      <c r="A1" s="369" t="n">
        <f aca="false">G4+PurchasesFeb!A1</f>
        <v>0</v>
      </c>
      <c r="B1" s="370" t="s">
        <v>266</v>
      </c>
      <c r="C1" s="344" t="n">
        <f aca="false">PurchasesFeb!C1+PurchasesMar!F1+SalesMar!$E$1</f>
        <v>0</v>
      </c>
      <c r="D1" s="369" t="s">
        <v>248</v>
      </c>
      <c r="E1" s="371" t="str">
        <f aca="false">IF((G1-SUM(J1:W1)&lt;&gt;0),(G1-SUM(J1:W1))," ")</f>
        <v> </v>
      </c>
      <c r="F1" s="344" t="n">
        <f aca="false">SUM(F5:F300)</f>
        <v>0</v>
      </c>
      <c r="G1" s="343" t="n">
        <f aca="false">SUM(G4:G300)</f>
        <v>3726.5</v>
      </c>
      <c r="H1" s="372" t="n">
        <f aca="false">SUM(H5:H300)</f>
        <v>3726.5</v>
      </c>
      <c r="I1" s="373" t="n">
        <f aca="true">TODAY()</f>
        <v>46138</v>
      </c>
      <c r="J1" s="343" t="n">
        <f aca="false">SUM(J5:J300)</f>
        <v>300</v>
      </c>
      <c r="K1" s="343" t="n">
        <f aca="false">SUM(K5:K300)</f>
        <v>0</v>
      </c>
      <c r="L1" s="343" t="n">
        <f aca="false">SUM(L5:L300)</f>
        <v>0</v>
      </c>
      <c r="M1" s="343" t="n">
        <f aca="false">SUM(M5:M300)</f>
        <v>1560</v>
      </c>
      <c r="N1" s="343" t="n">
        <f aca="false">SUM(N5:N300)</f>
        <v>0</v>
      </c>
      <c r="O1" s="343" t="n">
        <f aca="false">SUM(O5:O300)</f>
        <v>159</v>
      </c>
      <c r="P1" s="343" t="n">
        <f aca="false">SUM(P3:P300)</f>
        <v>682.5</v>
      </c>
      <c r="Q1" s="343" t="n">
        <f aca="false">SUM(Q5:Q300)</f>
        <v>92</v>
      </c>
      <c r="R1" s="343" t="n">
        <f aca="false">SUM(R5:R300)</f>
        <v>0</v>
      </c>
      <c r="S1" s="343" t="n">
        <f aca="false">SUM(S5:S300)</f>
        <v>300</v>
      </c>
      <c r="T1" s="343" t="n">
        <f aca="false">SUM(T5:T300)</f>
        <v>0</v>
      </c>
      <c r="U1" s="343" t="n">
        <f aca="false">SUM(U5:U300)</f>
        <v>125</v>
      </c>
      <c r="V1" s="343" t="n">
        <f aca="false">SUM(V5:V300)</f>
        <v>508</v>
      </c>
      <c r="W1" s="345" t="n">
        <f aca="false">SUM(W5:W300)</f>
        <v>0</v>
      </c>
      <c r="X1" s="374" t="n">
        <f aca="false">W1+PurchasesFeb!X1</f>
        <v>39000</v>
      </c>
      <c r="Y1" s="375" t="n">
        <f aca="false">SUM(Y5:Y200)</f>
        <v>0</v>
      </c>
      <c r="Z1" s="376" t="n">
        <f aca="false">Y1+PurchasesFeb!Z1</f>
        <v>0</v>
      </c>
    </row>
    <row r="2" s="384" customFormat="true" ht="24" hidden="false" customHeight="true" outlineLevel="0" collapsed="false">
      <c r="A2" s="377" t="s">
        <v>267</v>
      </c>
      <c r="B2" s="378" t="str">
        <f aca="false">IF((G1-SUM(J1:W1)&lt;&gt;0),"COMPLETE EXPENSE ANALYSIS by inserting expense letter in col E","Supplier")</f>
        <v>Supplier</v>
      </c>
      <c r="C2" s="379" t="s">
        <v>268</v>
      </c>
      <c r="D2" s="379" t="s">
        <v>269</v>
      </c>
      <c r="E2" s="379" t="s">
        <v>270</v>
      </c>
      <c r="F2" s="379" t="s">
        <v>344</v>
      </c>
      <c r="G2" s="380" t="s">
        <v>272</v>
      </c>
      <c r="H2" s="381" t="s">
        <v>273</v>
      </c>
      <c r="I2" s="382" t="s">
        <v>274</v>
      </c>
      <c r="J2" s="380" t="s">
        <v>275</v>
      </c>
      <c r="K2" s="380" t="s">
        <v>276</v>
      </c>
      <c r="L2" s="380" t="s">
        <v>277</v>
      </c>
      <c r="M2" s="380" t="s">
        <v>278</v>
      </c>
      <c r="N2" s="380" t="s">
        <v>279</v>
      </c>
      <c r="O2" s="380" t="s">
        <v>280</v>
      </c>
      <c r="P2" s="380" t="s">
        <v>281</v>
      </c>
      <c r="Q2" s="380" t="s">
        <v>282</v>
      </c>
      <c r="R2" s="380" t="s">
        <v>283</v>
      </c>
      <c r="S2" s="380" t="s">
        <v>284</v>
      </c>
      <c r="T2" s="380" t="s">
        <v>285</v>
      </c>
      <c r="U2" s="380" t="s">
        <v>286</v>
      </c>
      <c r="V2" s="380" t="s">
        <v>287</v>
      </c>
      <c r="W2" s="381" t="s">
        <v>288</v>
      </c>
      <c r="X2" s="383" t="str">
        <f aca="false">IF(X1&gt;('Fixed Assets'!$E$110),"FIXED ASSETS requires updating with new additions","Fixed Assets Description  (Vehicles: make, model, date reg. and reg. mark)")</f>
        <v>FIXED ASSETS requires updating with new additions</v>
      </c>
      <c r="Y2" s="380" t="s">
        <v>289</v>
      </c>
      <c r="Z2" s="380"/>
    </row>
    <row r="3" s="386" customFormat="true" ht="12" hidden="false" customHeight="true" outlineLevel="0" collapsed="false">
      <c r="A3" s="377"/>
      <c r="B3" s="377"/>
      <c r="C3" s="377"/>
      <c r="D3" s="377"/>
      <c r="E3" s="379"/>
      <c r="F3" s="379"/>
      <c r="G3" s="380"/>
      <c r="H3" s="381"/>
      <c r="I3" s="381"/>
      <c r="J3" s="380"/>
      <c r="K3" s="380"/>
      <c r="L3" s="380"/>
      <c r="M3" s="380"/>
      <c r="N3" s="380"/>
      <c r="O3" s="380"/>
      <c r="P3" s="385" t="n">
        <f aca="false">IF((E$4="m"),G$4," ")</f>
        <v>0</v>
      </c>
      <c r="Q3" s="380"/>
      <c r="R3" s="380"/>
      <c r="S3" s="380"/>
      <c r="T3" s="380"/>
      <c r="U3" s="380"/>
      <c r="V3" s="380"/>
      <c r="W3" s="381"/>
      <c r="X3" s="383"/>
      <c r="Y3" s="380" t="s">
        <v>290</v>
      </c>
      <c r="Z3" s="380"/>
    </row>
    <row r="4" s="365" customFormat="true" ht="12.75" hidden="false" customHeight="false" outlineLevel="0" collapsed="false">
      <c r="A4" s="377"/>
      <c r="B4" s="377"/>
      <c r="C4" s="377"/>
      <c r="D4" s="377"/>
      <c r="E4" s="387" t="s">
        <v>291</v>
      </c>
      <c r="F4" s="379"/>
      <c r="G4" s="400" t="n">
        <f aca="false">IF((C1&lt;Admin!$F$22),((C1-PurchasesFeb!C1)*Admin!$G$21),(C1*Admin!$G$21-(C1-Admin!$F$21)*(Admin!$G$21-Admin!$G$22)-PurchasesFeb!A1))</f>
        <v>0</v>
      </c>
      <c r="H4" s="381"/>
      <c r="I4" s="381"/>
      <c r="J4" s="389" t="s">
        <v>292</v>
      </c>
      <c r="K4" s="390" t="s">
        <v>293</v>
      </c>
      <c r="L4" s="390" t="s">
        <v>294</v>
      </c>
      <c r="M4" s="390" t="s">
        <v>295</v>
      </c>
      <c r="N4" s="390" t="s">
        <v>296</v>
      </c>
      <c r="O4" s="390" t="s">
        <v>297</v>
      </c>
      <c r="P4" s="391" t="s">
        <v>298</v>
      </c>
      <c r="Q4" s="390" t="s">
        <v>299</v>
      </c>
      <c r="R4" s="390" t="s">
        <v>300</v>
      </c>
      <c r="S4" s="390" t="s">
        <v>301</v>
      </c>
      <c r="T4" s="390" t="s">
        <v>302</v>
      </c>
      <c r="U4" s="390" t="s">
        <v>303</v>
      </c>
      <c r="V4" s="390" t="s">
        <v>304</v>
      </c>
      <c r="W4" s="392" t="s">
        <v>305</v>
      </c>
      <c r="X4" s="383"/>
      <c r="Y4" s="380" t="s">
        <v>306</v>
      </c>
      <c r="Z4" s="380" t="s">
        <v>307</v>
      </c>
    </row>
    <row r="5" customFormat="false" ht="12.75" hidden="false" customHeight="false" outlineLevel="0" collapsed="false">
      <c r="A5" s="355" t="n">
        <v>46082</v>
      </c>
      <c r="B5" s="363" t="s">
        <v>239</v>
      </c>
      <c r="E5" s="365" t="s">
        <v>308</v>
      </c>
      <c r="G5" s="366" t="n">
        <v>1200</v>
      </c>
      <c r="H5" s="338" t="n">
        <f aca="false">IF((G5&lt;&gt;0),IF((D5&gt;0)," ",G5)," ")</f>
        <v>1200</v>
      </c>
      <c r="I5" s="367" t="n">
        <f aca="false">IF((G5&lt;&gt;0),IF((D5&gt;0)," ",(I$1-A5))," ")</f>
        <v>56</v>
      </c>
      <c r="J5" s="334" t="str">
        <f aca="false">IF((E5="s"),G5," ")</f>
        <v> </v>
      </c>
      <c r="K5" s="334" t="str">
        <f aca="false">IF((E5="d"),G5," ")</f>
        <v> </v>
      </c>
      <c r="L5" s="334" t="str">
        <f aca="false">IF((E5="e"),G5," ")</f>
        <v> </v>
      </c>
      <c r="M5" s="334" t="n">
        <f aca="false">IF((E5="p"),G5," ")</f>
        <v>1200</v>
      </c>
      <c r="N5" s="334" t="str">
        <f aca="false">IF((E5="r"),G5," ")</f>
        <v> </v>
      </c>
      <c r="O5" s="334" t="str">
        <f aca="false">IF((E5="g"),G5," ")</f>
        <v> </v>
      </c>
      <c r="P5" s="334" t="str">
        <f aca="false">IF((E5="m"),G5," ")</f>
        <v> </v>
      </c>
      <c r="Q5" s="334" t="str">
        <f aca="false">IF((E5="t"),G5," ")</f>
        <v> </v>
      </c>
      <c r="R5" s="334" t="str">
        <f aca="false">IF((E5="a"),G5," ")</f>
        <v> </v>
      </c>
      <c r="S5" s="334" t="str">
        <f aca="false">IF((E5="l"),G5," ")</f>
        <v> </v>
      </c>
      <c r="T5" s="334" t="str">
        <f aca="false">IF((E5="b"),G5," ")</f>
        <v> </v>
      </c>
      <c r="U5" s="334" t="str">
        <f aca="false">IF((E5="i"),G5," ")</f>
        <v> </v>
      </c>
      <c r="V5" s="334" t="str">
        <f aca="false">IF((E5="o"),G5," ")</f>
        <v> </v>
      </c>
      <c r="W5" s="334" t="str">
        <f aca="false">IF((E5="f"),G5," ")</f>
        <v> </v>
      </c>
    </row>
    <row r="6" customFormat="false" ht="12.75" hidden="false" customHeight="false" outlineLevel="0" collapsed="false">
      <c r="A6" s="355" t="n">
        <v>46082</v>
      </c>
      <c r="B6" s="363" t="s">
        <v>309</v>
      </c>
      <c r="E6" s="365" t="s">
        <v>310</v>
      </c>
      <c r="G6" s="366" t="n">
        <v>30</v>
      </c>
      <c r="H6" s="338" t="n">
        <f aca="false">IF((G6&lt;&gt;0),IF((D6&gt;0)," ",G6)," ")</f>
        <v>30</v>
      </c>
      <c r="I6" s="367" t="n">
        <f aca="false">IF((G6&lt;&gt;0),IF((D6&gt;0)," ",(I$1-A6))," ")</f>
        <v>56</v>
      </c>
      <c r="J6" s="334" t="str">
        <f aca="false">IF((E6="s"),G6," ")</f>
        <v> </v>
      </c>
      <c r="K6" s="334" t="str">
        <f aca="false">IF((E6="d"),G6," ")</f>
        <v> </v>
      </c>
      <c r="L6" s="334" t="str">
        <f aca="false">IF((E6="e"),G6," ")</f>
        <v> </v>
      </c>
      <c r="M6" s="334" t="str">
        <f aca="false">IF((E6="p"),G6," ")</f>
        <v> </v>
      </c>
      <c r="N6" s="334" t="str">
        <f aca="false">IF((E6="r"),G6," ")</f>
        <v> </v>
      </c>
      <c r="O6" s="334" t="n">
        <f aca="false">IF((E6="g"),G6," ")</f>
        <v>30</v>
      </c>
      <c r="P6" s="334" t="str">
        <f aca="false">IF((E6="m"),G6," ")</f>
        <v> </v>
      </c>
      <c r="Q6" s="334" t="str">
        <f aca="false">IF((E6="t"),G6," ")</f>
        <v> </v>
      </c>
      <c r="R6" s="334" t="str">
        <f aca="false">IF((E6="a"),G6," ")</f>
        <v> </v>
      </c>
      <c r="S6" s="334" t="str">
        <f aca="false">IF((E6="l"),G6," ")</f>
        <v> </v>
      </c>
      <c r="T6" s="334" t="str">
        <f aca="false">IF((E6="b"),G6," ")</f>
        <v> </v>
      </c>
      <c r="U6" s="334" t="str">
        <f aca="false">IF((E6="i"),G6," ")</f>
        <v> </v>
      </c>
      <c r="V6" s="334" t="str">
        <f aca="false">IF((E6="o"),G6," ")</f>
        <v> </v>
      </c>
      <c r="W6" s="334" t="str">
        <f aca="false">IF((E6="f"),G6," ")</f>
        <v> </v>
      </c>
    </row>
    <row r="7" customFormat="false" ht="12.75" hidden="false" customHeight="false" outlineLevel="0" collapsed="false">
      <c r="A7" s="355" t="n">
        <v>46082</v>
      </c>
      <c r="B7" s="363" t="s">
        <v>311</v>
      </c>
      <c r="E7" s="365" t="s">
        <v>310</v>
      </c>
      <c r="G7" s="366" t="n">
        <v>15</v>
      </c>
      <c r="H7" s="338" t="n">
        <f aca="false">IF((G7&lt;&gt;0),IF((D7&gt;0)," ",G7)," ")</f>
        <v>15</v>
      </c>
      <c r="I7" s="367" t="n">
        <f aca="false">IF((G7&lt;&gt;0),IF((D7&gt;0)," ",(I$1-A7))," ")</f>
        <v>56</v>
      </c>
      <c r="J7" s="334" t="str">
        <f aca="false">IF((E7="s"),G7," ")</f>
        <v> </v>
      </c>
      <c r="K7" s="334" t="str">
        <f aca="false">IF((E7="d"),G7," ")</f>
        <v> </v>
      </c>
      <c r="L7" s="334" t="str">
        <f aca="false">IF((E7="e"),G7," ")</f>
        <v> </v>
      </c>
      <c r="M7" s="334" t="str">
        <f aca="false">IF((E7="p"),G7," ")</f>
        <v> </v>
      </c>
      <c r="N7" s="334" t="str">
        <f aca="false">IF((E7="r"),G7," ")</f>
        <v> </v>
      </c>
      <c r="O7" s="334" t="n">
        <f aca="false">IF((E7="g"),G7," ")</f>
        <v>15</v>
      </c>
      <c r="P7" s="334" t="str">
        <f aca="false">IF((E7="m"),G7," ")</f>
        <v> </v>
      </c>
      <c r="Q7" s="334" t="str">
        <f aca="false">IF((E7="t"),G7," ")</f>
        <v> </v>
      </c>
      <c r="R7" s="334" t="str">
        <f aca="false">IF((E7="a"),G7," ")</f>
        <v> </v>
      </c>
      <c r="S7" s="334" t="str">
        <f aca="false">IF((E7="l"),G7," ")</f>
        <v> </v>
      </c>
      <c r="T7" s="334" t="str">
        <f aca="false">IF((E7="b"),G7," ")</f>
        <v> </v>
      </c>
      <c r="U7" s="334" t="str">
        <f aca="false">IF((E7="i"),G7," ")</f>
        <v> </v>
      </c>
      <c r="V7" s="334" t="str">
        <f aca="false">IF((E7="o"),G7," ")</f>
        <v> </v>
      </c>
      <c r="W7" s="334" t="str">
        <f aca="false">IF((E7="f"),G7," ")</f>
        <v> </v>
      </c>
    </row>
    <row r="8" customFormat="false" ht="12.75" hidden="false" customHeight="false" outlineLevel="0" collapsed="false">
      <c r="A8" s="355" t="n">
        <v>46082</v>
      </c>
      <c r="B8" s="363" t="s">
        <v>312</v>
      </c>
      <c r="E8" s="365" t="s">
        <v>313</v>
      </c>
      <c r="G8" s="366" t="n">
        <v>45</v>
      </c>
      <c r="H8" s="338" t="n">
        <f aca="false">IF((G8&lt;&gt;0),IF((D8&gt;0)," ",G8)," ")</f>
        <v>45</v>
      </c>
      <c r="I8" s="367" t="n">
        <f aca="false">IF((G8&lt;&gt;0),IF((D8&gt;0)," ",(I$1-A8))," ")</f>
        <v>56</v>
      </c>
      <c r="J8" s="334" t="str">
        <f aca="false">IF((E8="s"),G8," ")</f>
        <v> </v>
      </c>
      <c r="K8" s="334" t="str">
        <f aca="false">IF((E8="d"),G8," ")</f>
        <v> </v>
      </c>
      <c r="L8" s="334" t="str">
        <f aca="false">IF((E8="e"),G8," ")</f>
        <v> </v>
      </c>
      <c r="M8" s="334" t="str">
        <f aca="false">IF((E8="p"),G8," ")</f>
        <v> </v>
      </c>
      <c r="N8" s="334" t="str">
        <f aca="false">IF((E8="r"),G8," ")</f>
        <v> </v>
      </c>
      <c r="O8" s="334" t="str">
        <f aca="false">IF((E8="g"),G8," ")</f>
        <v> </v>
      </c>
      <c r="P8" s="334" t="str">
        <f aca="false">IF((E8="m"),G8," ")</f>
        <v> </v>
      </c>
      <c r="Q8" s="334" t="str">
        <f aca="false">IF((E8="t"),G8," ")</f>
        <v> </v>
      </c>
      <c r="R8" s="334" t="str">
        <f aca="false">IF((E8="a"),G8," ")</f>
        <v> </v>
      </c>
      <c r="S8" s="334" t="str">
        <f aca="false">IF((E8="l"),G8," ")</f>
        <v> </v>
      </c>
      <c r="T8" s="334" t="str">
        <f aca="false">IF((E8="b"),G8," ")</f>
        <v> </v>
      </c>
      <c r="U8" s="334" t="str">
        <f aca="false">IF((E8="i"),G8," ")</f>
        <v> </v>
      </c>
      <c r="V8" s="334" t="n">
        <f aca="false">IF((E8="o"),G8," ")</f>
        <v>45</v>
      </c>
      <c r="W8" s="334" t="str">
        <f aca="false">IF((E8="f"),G8," ")</f>
        <v> </v>
      </c>
    </row>
    <row r="9" customFormat="false" ht="12.75" hidden="false" customHeight="false" outlineLevel="0" collapsed="false">
      <c r="A9" s="355" t="n">
        <v>46082</v>
      </c>
      <c r="B9" s="363" t="s">
        <v>315</v>
      </c>
      <c r="E9" s="365" t="s">
        <v>313</v>
      </c>
      <c r="G9" s="366" t="n">
        <v>24</v>
      </c>
      <c r="H9" s="338" t="n">
        <f aca="false">IF((G9&lt;&gt;0),IF((D9&gt;0)," ",G9)," ")</f>
        <v>24</v>
      </c>
      <c r="I9" s="367" t="n">
        <f aca="false">IF((G9&lt;&gt;0),IF((D9&gt;0)," ",(I$1-A9))," ")</f>
        <v>56</v>
      </c>
      <c r="J9" s="334" t="str">
        <f aca="false">IF((E9="s"),G9," ")</f>
        <v> </v>
      </c>
      <c r="K9" s="334" t="str">
        <f aca="false">IF((E9="d"),G9," ")</f>
        <v> </v>
      </c>
      <c r="L9" s="334" t="str">
        <f aca="false">IF((E9="e"),G9," ")</f>
        <v> </v>
      </c>
      <c r="M9" s="334" t="str">
        <f aca="false">IF((E9="p"),G9," ")</f>
        <v> </v>
      </c>
      <c r="N9" s="334" t="str">
        <f aca="false">IF((E9="r"),G9," ")</f>
        <v> </v>
      </c>
      <c r="O9" s="334" t="str">
        <f aca="false">IF((E9="g"),G9," ")</f>
        <v> </v>
      </c>
      <c r="P9" s="334" t="str">
        <f aca="false">IF((E9="m"),G9," ")</f>
        <v> </v>
      </c>
      <c r="Q9" s="334" t="str">
        <f aca="false">IF((E9="t"),G9," ")</f>
        <v> </v>
      </c>
      <c r="R9" s="334" t="str">
        <f aca="false">IF((E9="a"),G9," ")</f>
        <v> </v>
      </c>
      <c r="S9" s="334" t="str">
        <f aca="false">IF((E9="l"),G9," ")</f>
        <v> </v>
      </c>
      <c r="T9" s="334" t="str">
        <f aca="false">IF((E9="b"),G9," ")</f>
        <v> </v>
      </c>
      <c r="U9" s="334" t="str">
        <f aca="false">IF((E9="i"),G9," ")</f>
        <v> </v>
      </c>
      <c r="V9" s="334" t="n">
        <f aca="false">IF((E9="o"),G9," ")</f>
        <v>24</v>
      </c>
      <c r="W9" s="334" t="str">
        <f aca="false">IF((E9="f"),G9," ")</f>
        <v> </v>
      </c>
    </row>
    <row r="10" customFormat="false" ht="12.75" hidden="false" customHeight="false" outlineLevel="0" collapsed="false">
      <c r="A10" s="355" t="n">
        <v>46082</v>
      </c>
      <c r="B10" s="363" t="s">
        <v>316</v>
      </c>
      <c r="E10" s="365" t="s">
        <v>310</v>
      </c>
      <c r="G10" s="366" t="n">
        <v>18</v>
      </c>
      <c r="H10" s="338" t="n">
        <f aca="false">IF((G10&lt;&gt;0),IF((D10&gt;0)," ",G10)," ")</f>
        <v>18</v>
      </c>
      <c r="I10" s="367" t="n">
        <f aca="false">IF((G10&lt;&gt;0),IF((D10&gt;0)," ",(I$1-A10))," ")</f>
        <v>56</v>
      </c>
      <c r="J10" s="334" t="str">
        <f aca="false">IF((E10="s"),G10," ")</f>
        <v> </v>
      </c>
      <c r="K10" s="334" t="str">
        <f aca="false">IF((E10="d"),G10," ")</f>
        <v> </v>
      </c>
      <c r="L10" s="334" t="str">
        <f aca="false">IF((E10="e"),G10," ")</f>
        <v> </v>
      </c>
      <c r="M10" s="334" t="str">
        <f aca="false">IF((E10="p"),G10," ")</f>
        <v> </v>
      </c>
      <c r="N10" s="334" t="str">
        <f aca="false">IF((E10="r"),G10," ")</f>
        <v> </v>
      </c>
      <c r="O10" s="334" t="n">
        <f aca="false">IF((E10="g"),G10," ")</f>
        <v>18</v>
      </c>
      <c r="P10" s="334" t="str">
        <f aca="false">IF((E10="m"),G10," ")</f>
        <v> </v>
      </c>
      <c r="Q10" s="334" t="str">
        <f aca="false">IF((E10="t"),G10," ")</f>
        <v> </v>
      </c>
      <c r="R10" s="334" t="str">
        <f aca="false">IF((E10="a"),G10," ")</f>
        <v> </v>
      </c>
      <c r="S10" s="334" t="str">
        <f aca="false">IF((E10="l"),G10," ")</f>
        <v> </v>
      </c>
      <c r="T10" s="334" t="str">
        <f aca="false">IF((E10="b"),G10," ")</f>
        <v> </v>
      </c>
      <c r="U10" s="334" t="str">
        <f aca="false">IF((E10="i"),G10," ")</f>
        <v> </v>
      </c>
      <c r="V10" s="334" t="str">
        <f aca="false">IF((E10="o"),G10," ")</f>
        <v> </v>
      </c>
      <c r="W10" s="334" t="str">
        <f aca="false">IF((E10="f"),G10," ")</f>
        <v> </v>
      </c>
    </row>
    <row r="11" customFormat="false" ht="12.75" hidden="false" customHeight="false" outlineLevel="0" collapsed="false">
      <c r="A11" s="355" t="n">
        <v>46084</v>
      </c>
      <c r="B11" s="363" t="s">
        <v>317</v>
      </c>
      <c r="E11" s="365" t="s">
        <v>313</v>
      </c>
      <c r="G11" s="366" t="n">
        <v>180</v>
      </c>
      <c r="H11" s="338" t="n">
        <f aca="false">IF((G11&lt;&gt;0),IF((D11&gt;0)," ",G11)," ")</f>
        <v>180</v>
      </c>
      <c r="I11" s="367" t="n">
        <f aca="false">IF((G11&lt;&gt;0),IF((D11&gt;0)," ",(I$1-A11))," ")</f>
        <v>54</v>
      </c>
      <c r="J11" s="334" t="str">
        <f aca="false">IF((E11="s"),G11," ")</f>
        <v> </v>
      </c>
      <c r="K11" s="334" t="str">
        <f aca="false">IF((E11="d"),G11," ")</f>
        <v> </v>
      </c>
      <c r="L11" s="334" t="str">
        <f aca="false">IF((E11="e"),G11," ")</f>
        <v> </v>
      </c>
      <c r="M11" s="334" t="str">
        <f aca="false">IF((E11="p"),G11," ")</f>
        <v> </v>
      </c>
      <c r="N11" s="334" t="str">
        <f aca="false">IF((E11="r"),G11," ")</f>
        <v> </v>
      </c>
      <c r="O11" s="334" t="str">
        <f aca="false">IF((E11="g"),G11," ")</f>
        <v> </v>
      </c>
      <c r="P11" s="334" t="str">
        <f aca="false">IF((E11="m"),G11," ")</f>
        <v> </v>
      </c>
      <c r="Q11" s="334" t="str">
        <f aca="false">IF((E11="t"),G11," ")</f>
        <v> </v>
      </c>
      <c r="R11" s="334" t="str">
        <f aca="false">IF((E11="a"),G11," ")</f>
        <v> </v>
      </c>
      <c r="S11" s="334" t="str">
        <f aca="false">IF((E11="l"),G11," ")</f>
        <v> </v>
      </c>
      <c r="T11" s="334" t="str">
        <f aca="false">IF((E11="b"),G11," ")</f>
        <v> </v>
      </c>
      <c r="U11" s="334" t="str">
        <f aca="false">IF((E11="i"),G11," ")</f>
        <v> </v>
      </c>
      <c r="V11" s="334" t="n">
        <f aca="false">IF((E11="o"),G11," ")</f>
        <v>180</v>
      </c>
      <c r="W11" s="334" t="str">
        <f aca="false">IF((E11="f"),G11," ")</f>
        <v> </v>
      </c>
    </row>
    <row r="12" customFormat="false" ht="12.75" hidden="false" customHeight="false" outlineLevel="0" collapsed="false">
      <c r="A12" s="355" t="n">
        <v>46084</v>
      </c>
      <c r="B12" s="363" t="s">
        <v>318</v>
      </c>
      <c r="E12" s="365" t="s">
        <v>313</v>
      </c>
      <c r="G12" s="366" t="n">
        <v>22</v>
      </c>
      <c r="H12" s="338" t="n">
        <f aca="false">IF((G12&lt;&gt;0),IF((D12&gt;0)," ",G12)," ")</f>
        <v>22</v>
      </c>
      <c r="I12" s="367" t="n">
        <f aca="false">IF((G12&lt;&gt;0),IF((D12&gt;0)," ",(I$1-A12))," ")</f>
        <v>54</v>
      </c>
      <c r="J12" s="334" t="str">
        <f aca="false">IF((E12="s"),G12," ")</f>
        <v> </v>
      </c>
      <c r="K12" s="334" t="str">
        <f aca="false">IF((E12="d"),G12," ")</f>
        <v> </v>
      </c>
      <c r="L12" s="334" t="str">
        <f aca="false">IF((E12="e"),G12," ")</f>
        <v> </v>
      </c>
      <c r="M12" s="334" t="str">
        <f aca="false">IF((E12="p"),G12," ")</f>
        <v> </v>
      </c>
      <c r="N12" s="334" t="str">
        <f aca="false">IF((E12="r"),G12," ")</f>
        <v> </v>
      </c>
      <c r="O12" s="334" t="str">
        <f aca="false">IF((E12="g"),G12," ")</f>
        <v> </v>
      </c>
      <c r="P12" s="334" t="str">
        <f aca="false">IF((E12="m"),G12," ")</f>
        <v> </v>
      </c>
      <c r="Q12" s="334" t="str">
        <f aca="false">IF((E12="t"),G12," ")</f>
        <v> </v>
      </c>
      <c r="R12" s="334" t="str">
        <f aca="false">IF((E12="a"),G12," ")</f>
        <v> </v>
      </c>
      <c r="S12" s="334" t="str">
        <f aca="false">IF((E12="l"),G12," ")</f>
        <v> </v>
      </c>
      <c r="T12" s="334" t="str">
        <f aca="false">IF((E12="b"),G12," ")</f>
        <v> </v>
      </c>
      <c r="U12" s="334" t="str">
        <f aca="false">IF((E12="i"),G12," ")</f>
        <v> </v>
      </c>
      <c r="V12" s="334" t="n">
        <f aca="false">IF((E12="o"),G12," ")</f>
        <v>22</v>
      </c>
      <c r="W12" s="334" t="str">
        <f aca="false">IF((E12="f"),G12," ")</f>
        <v> </v>
      </c>
    </row>
    <row r="13" customFormat="false" ht="12.75" hidden="false" customHeight="false" outlineLevel="0" collapsed="false">
      <c r="A13" s="355" t="n">
        <v>46086</v>
      </c>
      <c r="B13" s="363" t="s">
        <v>319</v>
      </c>
      <c r="E13" s="365" t="s">
        <v>313</v>
      </c>
      <c r="G13" s="366" t="n">
        <v>24</v>
      </c>
      <c r="H13" s="338" t="n">
        <f aca="false">IF((G13&lt;&gt;0),IF((D13&gt;0)," ",G13)," ")</f>
        <v>24</v>
      </c>
      <c r="I13" s="367" t="n">
        <f aca="false">IF((G13&lt;&gt;0),IF((D13&gt;0)," ",(I$1-A13))," ")</f>
        <v>52</v>
      </c>
      <c r="J13" s="334" t="str">
        <f aca="false">IF((E13="s"),G13," ")</f>
        <v> </v>
      </c>
      <c r="K13" s="334" t="str">
        <f aca="false">IF((E13="d"),G13," ")</f>
        <v> </v>
      </c>
      <c r="L13" s="334" t="str">
        <f aca="false">IF((E13="e"),G13," ")</f>
        <v> </v>
      </c>
      <c r="M13" s="334" t="str">
        <f aca="false">IF((E13="p"),G13," ")</f>
        <v> </v>
      </c>
      <c r="N13" s="334" t="str">
        <f aca="false">IF((E13="r"),G13," ")</f>
        <v> </v>
      </c>
      <c r="O13" s="334" t="str">
        <f aca="false">IF((E13="g"),G13," ")</f>
        <v> </v>
      </c>
      <c r="P13" s="334" t="str">
        <f aca="false">IF((E13="m"),G13," ")</f>
        <v> </v>
      </c>
      <c r="Q13" s="334" t="str">
        <f aca="false">IF((E13="t"),G13," ")</f>
        <v> </v>
      </c>
      <c r="R13" s="334" t="str">
        <f aca="false">IF((E13="a"),G13," ")</f>
        <v> </v>
      </c>
      <c r="S13" s="334" t="str">
        <f aca="false">IF((E13="l"),G13," ")</f>
        <v> </v>
      </c>
      <c r="T13" s="334" t="str">
        <f aca="false">IF((E13="b"),G13," ")</f>
        <v> </v>
      </c>
      <c r="U13" s="334" t="str">
        <f aca="false">IF((E13="i"),G13," ")</f>
        <v> </v>
      </c>
      <c r="V13" s="334" t="n">
        <f aca="false">IF((E13="o"),G13," ")</f>
        <v>24</v>
      </c>
      <c r="W13" s="334" t="str">
        <f aca="false">IF((E13="f"),G13," ")</f>
        <v> </v>
      </c>
    </row>
    <row r="14" customFormat="false" ht="12.75" hidden="false" customHeight="false" outlineLevel="0" collapsed="false">
      <c r="A14" s="355" t="n">
        <v>46086</v>
      </c>
      <c r="B14" s="363" t="s">
        <v>320</v>
      </c>
      <c r="E14" s="365" t="s">
        <v>291</v>
      </c>
      <c r="G14" s="366" t="n">
        <v>180</v>
      </c>
      <c r="H14" s="338" t="n">
        <f aca="false">IF((G14&lt;&gt;0),IF((D14&gt;0)," ",G14)," ")</f>
        <v>180</v>
      </c>
      <c r="I14" s="367" t="n">
        <f aca="false">IF((G14&lt;&gt;0),IF((D14&gt;0)," ",(I$1-A14))," ")</f>
        <v>52</v>
      </c>
      <c r="J14" s="334" t="str">
        <f aca="false">IF((E14="s"),G14," ")</f>
        <v> </v>
      </c>
      <c r="K14" s="334" t="str">
        <f aca="false">IF((E14="d"),G14," ")</f>
        <v> </v>
      </c>
      <c r="L14" s="334" t="str">
        <f aca="false">IF((E14="e"),G14," ")</f>
        <v> </v>
      </c>
      <c r="M14" s="334" t="str">
        <f aca="false">IF((E14="p"),G14," ")</f>
        <v> </v>
      </c>
      <c r="N14" s="334" t="str">
        <f aca="false">IF((E14="r"),G14," ")</f>
        <v> </v>
      </c>
      <c r="O14" s="334" t="str">
        <f aca="false">IF((E14="g"),G14," ")</f>
        <v> </v>
      </c>
      <c r="P14" s="334" t="n">
        <f aca="false">IF((E14="m"),G14," ")</f>
        <v>180</v>
      </c>
      <c r="Q14" s="334" t="str">
        <f aca="false">IF((E14="t"),G14," ")</f>
        <v> </v>
      </c>
      <c r="R14" s="334" t="str">
        <f aca="false">IF((E14="a"),G14," ")</f>
        <v> </v>
      </c>
      <c r="S14" s="334" t="str">
        <f aca="false">IF((E14="l"),G14," ")</f>
        <v> </v>
      </c>
      <c r="T14" s="334" t="str">
        <f aca="false">IF((E14="b"),G14," ")</f>
        <v> </v>
      </c>
      <c r="U14" s="334" t="str">
        <f aca="false">IF((E14="i"),G14," ")</f>
        <v> </v>
      </c>
      <c r="V14" s="334" t="str">
        <f aca="false">IF((E14="o"),G14," ")</f>
        <v> </v>
      </c>
      <c r="W14" s="334" t="str">
        <f aca="false">IF((E14="f"),G14," ")</f>
        <v> </v>
      </c>
    </row>
    <row r="15" customFormat="false" ht="12.75" hidden="false" customHeight="false" outlineLevel="0" collapsed="false">
      <c r="A15" s="355" t="n">
        <v>46089</v>
      </c>
      <c r="B15" s="363" t="s">
        <v>322</v>
      </c>
      <c r="E15" s="365" t="s">
        <v>323</v>
      </c>
      <c r="G15" s="366" t="n">
        <v>48</v>
      </c>
      <c r="H15" s="338" t="n">
        <f aca="false">IF((G15&lt;&gt;0),IF((D15&gt;0)," ",G15)," ")</f>
        <v>48</v>
      </c>
      <c r="I15" s="367" t="n">
        <f aca="false">IF((G15&lt;&gt;0),IF((D15&gt;0)," ",(I$1-A15))," ")</f>
        <v>49</v>
      </c>
      <c r="J15" s="334" t="str">
        <f aca="false">IF((E15="s"),G15," ")</f>
        <v> </v>
      </c>
      <c r="K15" s="334" t="str">
        <f aca="false">IF((E15="d"),G15," ")</f>
        <v> </v>
      </c>
      <c r="L15" s="334" t="str">
        <f aca="false">IF((E15="e"),G15," ")</f>
        <v> </v>
      </c>
      <c r="M15" s="334" t="str">
        <f aca="false">IF((E15="p"),G15," ")</f>
        <v> </v>
      </c>
      <c r="N15" s="334" t="str">
        <f aca="false">IF((E15="r"),G15," ")</f>
        <v> </v>
      </c>
      <c r="O15" s="334" t="str">
        <f aca="false">IF((E15="g"),G15," ")</f>
        <v> </v>
      </c>
      <c r="P15" s="334" t="str">
        <f aca="false">IF((E15="m"),G15," ")</f>
        <v> </v>
      </c>
      <c r="Q15" s="334" t="n">
        <f aca="false">IF((E15="t"),G15," ")</f>
        <v>48</v>
      </c>
      <c r="R15" s="334" t="str">
        <f aca="false">IF((E15="a"),G15," ")</f>
        <v> </v>
      </c>
      <c r="S15" s="334" t="str">
        <f aca="false">IF((E15="l"),G15," ")</f>
        <v> </v>
      </c>
      <c r="T15" s="334" t="str">
        <f aca="false">IF((E15="b"),G15," ")</f>
        <v> </v>
      </c>
      <c r="U15" s="334" t="str">
        <f aca="false">IF((E15="i"),G15," ")</f>
        <v> </v>
      </c>
      <c r="V15" s="334" t="str">
        <f aca="false">IF((E15="o"),G15," ")</f>
        <v> </v>
      </c>
      <c r="W15" s="334" t="str">
        <f aca="false">IF((E15="f"),G15," ")</f>
        <v> </v>
      </c>
    </row>
    <row r="16" customFormat="false" ht="12.75" hidden="false" customHeight="false" outlineLevel="0" collapsed="false">
      <c r="A16" s="355" t="n">
        <v>46091</v>
      </c>
      <c r="B16" s="363" t="s">
        <v>324</v>
      </c>
      <c r="E16" s="365" t="s">
        <v>313</v>
      </c>
      <c r="G16" s="366" t="n">
        <v>36</v>
      </c>
      <c r="H16" s="338" t="n">
        <f aca="false">IF((G16&lt;&gt;0),IF((D16&gt;0)," ",G16)," ")</f>
        <v>36</v>
      </c>
      <c r="I16" s="367" t="n">
        <f aca="false">IF((G16&lt;&gt;0),IF((D16&gt;0)," ",(I$1-A16))," ")</f>
        <v>47</v>
      </c>
      <c r="J16" s="334" t="str">
        <f aca="false">IF((E16="s"),G16," ")</f>
        <v> </v>
      </c>
      <c r="K16" s="334" t="str">
        <f aca="false">IF((E16="d"),G16," ")</f>
        <v> </v>
      </c>
      <c r="L16" s="334" t="str">
        <f aca="false">IF((E16="e"),G16," ")</f>
        <v> </v>
      </c>
      <c r="M16" s="334" t="str">
        <f aca="false">IF((E16="p"),G16," ")</f>
        <v> </v>
      </c>
      <c r="N16" s="334" t="str">
        <f aca="false">IF((E16="r"),G16," ")</f>
        <v> </v>
      </c>
      <c r="O16" s="334" t="str">
        <f aca="false">IF((E16="g"),G16," ")</f>
        <v> </v>
      </c>
      <c r="P16" s="334" t="str">
        <f aca="false">IF((E16="m"),G16," ")</f>
        <v> </v>
      </c>
      <c r="Q16" s="334" t="str">
        <f aca="false">IF((E16="t"),G16," ")</f>
        <v> </v>
      </c>
      <c r="R16" s="334" t="str">
        <f aca="false">IF((E16="a"),G16," ")</f>
        <v> </v>
      </c>
      <c r="S16" s="334" t="str">
        <f aca="false">IF((E16="l"),G16," ")</f>
        <v> </v>
      </c>
      <c r="T16" s="334" t="str">
        <f aca="false">IF((E16="b"),G16," ")</f>
        <v> </v>
      </c>
      <c r="U16" s="334" t="str">
        <f aca="false">IF((E16="i"),G16," ")</f>
        <v> </v>
      </c>
      <c r="V16" s="334" t="n">
        <f aca="false">IF((E16="o"),G16," ")</f>
        <v>36</v>
      </c>
      <c r="W16" s="334" t="str">
        <f aca="false">IF((E16="f"),G16," ")</f>
        <v> </v>
      </c>
    </row>
    <row r="17" customFormat="false" ht="12.75" hidden="false" customHeight="false" outlineLevel="0" collapsed="false">
      <c r="A17" s="355" t="n">
        <v>46091</v>
      </c>
      <c r="B17" s="363" t="s">
        <v>332</v>
      </c>
      <c r="E17" s="365" t="s">
        <v>313</v>
      </c>
      <c r="G17" s="366" t="n">
        <v>144</v>
      </c>
      <c r="H17" s="338" t="n">
        <f aca="false">IF((G17&lt;&gt;0),IF((D17&gt;0)," ",G17)," ")</f>
        <v>144</v>
      </c>
      <c r="I17" s="367" t="n">
        <f aca="false">IF((G17&lt;&gt;0),IF((D17&gt;0)," ",(I$1-A17))," ")</f>
        <v>47</v>
      </c>
      <c r="J17" s="334" t="str">
        <f aca="false">IF((E17="s"),G17," ")</f>
        <v> </v>
      </c>
      <c r="K17" s="334" t="str">
        <f aca="false">IF((E17="d"),G17," ")</f>
        <v> </v>
      </c>
      <c r="L17" s="334" t="str">
        <f aca="false">IF((E17="e"),G17," ")</f>
        <v> </v>
      </c>
      <c r="M17" s="334" t="str">
        <f aca="false">IF((E17="p"),G17," ")</f>
        <v> </v>
      </c>
      <c r="N17" s="334" t="str">
        <f aca="false">IF((E17="r"),G17," ")</f>
        <v> </v>
      </c>
      <c r="O17" s="334" t="str">
        <f aca="false">IF((E17="g"),G17," ")</f>
        <v> </v>
      </c>
      <c r="P17" s="334" t="str">
        <f aca="false">IF((E17="m"),G17," ")</f>
        <v> </v>
      </c>
      <c r="Q17" s="334" t="str">
        <f aca="false">IF((E17="t"),G17," ")</f>
        <v> </v>
      </c>
      <c r="R17" s="334" t="str">
        <f aca="false">IF((E17="a"),G17," ")</f>
        <v> </v>
      </c>
      <c r="S17" s="334" t="str">
        <f aca="false">IF((E17="l"),G17," ")</f>
        <v> </v>
      </c>
      <c r="T17" s="334" t="str">
        <f aca="false">IF((E17="b"),G17," ")</f>
        <v> </v>
      </c>
      <c r="U17" s="334" t="str">
        <f aca="false">IF((E17="i"),G17," ")</f>
        <v> </v>
      </c>
      <c r="V17" s="334" t="n">
        <f aca="false">IF((E17="o"),G17," ")</f>
        <v>144</v>
      </c>
      <c r="W17" s="334" t="str">
        <f aca="false">IF((E17="f"),G17," ")</f>
        <v> </v>
      </c>
    </row>
    <row r="18" customFormat="false" ht="12.75" hidden="false" customHeight="false" outlineLevel="0" collapsed="false">
      <c r="A18" s="355" t="n">
        <v>46093</v>
      </c>
      <c r="B18" s="363" t="s">
        <v>328</v>
      </c>
      <c r="E18" s="365" t="s">
        <v>291</v>
      </c>
      <c r="G18" s="366" t="n">
        <v>18</v>
      </c>
      <c r="H18" s="338" t="n">
        <f aca="false">IF((G18&lt;&gt;0),IF((D18&gt;0)," ",G18)," ")</f>
        <v>18</v>
      </c>
      <c r="I18" s="367" t="n">
        <f aca="false">IF((G18&lt;&gt;0),IF((D18&gt;0)," ",(I$1-A18))," ")</f>
        <v>45</v>
      </c>
      <c r="J18" s="334" t="str">
        <f aca="false">IF((E18="s"),G18," ")</f>
        <v> </v>
      </c>
      <c r="K18" s="334" t="str">
        <f aca="false">IF((E18="d"),G18," ")</f>
        <v> </v>
      </c>
      <c r="L18" s="334" t="str">
        <f aca="false">IF((E18="e"),G18," ")</f>
        <v> </v>
      </c>
      <c r="M18" s="334" t="str">
        <f aca="false">IF((E18="p"),G18," ")</f>
        <v> </v>
      </c>
      <c r="N18" s="334" t="str">
        <f aca="false">IF((E18="r"),G18," ")</f>
        <v> </v>
      </c>
      <c r="O18" s="334" t="str">
        <f aca="false">IF((E18="g"),G18," ")</f>
        <v> </v>
      </c>
      <c r="P18" s="334" t="n">
        <f aca="false">IF((E18="m"),G18," ")</f>
        <v>18</v>
      </c>
      <c r="Q18" s="334" t="str">
        <f aca="false">IF((E18="t"),G18," ")</f>
        <v> </v>
      </c>
      <c r="R18" s="334" t="str">
        <f aca="false">IF((E18="a"),G18," ")</f>
        <v> </v>
      </c>
      <c r="S18" s="334" t="str">
        <f aca="false">IF((E18="l"),G18," ")</f>
        <v> </v>
      </c>
      <c r="T18" s="334" t="str">
        <f aca="false">IF((E18="b"),G18," ")</f>
        <v> </v>
      </c>
      <c r="U18" s="334" t="str">
        <f aca="false">IF((E18="i"),G18," ")</f>
        <v> </v>
      </c>
      <c r="V18" s="334" t="str">
        <f aca="false">IF((E18="o"),G18," ")</f>
        <v> </v>
      </c>
      <c r="W18" s="334" t="str">
        <f aca="false">IF((E18="f"),G18," ")</f>
        <v> </v>
      </c>
    </row>
    <row r="19" customFormat="false" ht="12.75" hidden="false" customHeight="false" outlineLevel="0" collapsed="false">
      <c r="A19" s="355" t="n">
        <v>46095</v>
      </c>
      <c r="B19" s="363" t="s">
        <v>330</v>
      </c>
      <c r="E19" s="365" t="s">
        <v>323</v>
      </c>
      <c r="G19" s="366" t="n">
        <v>24</v>
      </c>
      <c r="H19" s="338" t="n">
        <f aca="false">IF((G19&lt;&gt;0),IF((D19&gt;0)," ",G19)," ")</f>
        <v>24</v>
      </c>
      <c r="I19" s="367" t="n">
        <f aca="false">IF((G19&lt;&gt;0),IF((D19&gt;0)," ",(I$1-A19))," ")</f>
        <v>43</v>
      </c>
      <c r="J19" s="334" t="str">
        <f aca="false">IF((E19="s"),G19," ")</f>
        <v> </v>
      </c>
      <c r="K19" s="334" t="str">
        <f aca="false">IF((E19="d"),G19," ")</f>
        <v> </v>
      </c>
      <c r="L19" s="334" t="str">
        <f aca="false">IF((E19="e"),G19," ")</f>
        <v> </v>
      </c>
      <c r="M19" s="334" t="str">
        <f aca="false">IF((E19="p"),G19," ")</f>
        <v> </v>
      </c>
      <c r="N19" s="334" t="str">
        <f aca="false">IF((E19="r"),G19," ")</f>
        <v> </v>
      </c>
      <c r="O19" s="334" t="str">
        <f aca="false">IF((E19="g"),G19," ")</f>
        <v> </v>
      </c>
      <c r="P19" s="334" t="str">
        <f aca="false">IF((E19="m"),G19," ")</f>
        <v> </v>
      </c>
      <c r="Q19" s="334" t="n">
        <f aca="false">IF((E19="t"),G19," ")</f>
        <v>24</v>
      </c>
      <c r="R19" s="334" t="str">
        <f aca="false">IF((E19="a"),G19," ")</f>
        <v> </v>
      </c>
      <c r="S19" s="334" t="str">
        <f aca="false">IF((E19="l"),G19," ")</f>
        <v> </v>
      </c>
      <c r="T19" s="334" t="str">
        <f aca="false">IF((E19="b"),G19," ")</f>
        <v> </v>
      </c>
      <c r="U19" s="334" t="str">
        <f aca="false">IF((E19="i"),G19," ")</f>
        <v> </v>
      </c>
      <c r="V19" s="334" t="str">
        <f aca="false">IF((E19="o"),G19," ")</f>
        <v> </v>
      </c>
      <c r="W19" s="334" t="str">
        <f aca="false">IF((E19="f"),G19," ")</f>
        <v> </v>
      </c>
    </row>
    <row r="20" customFormat="false" ht="12.75" hidden="false" customHeight="false" outlineLevel="0" collapsed="false">
      <c r="A20" s="355" t="n">
        <v>46095</v>
      </c>
      <c r="B20" s="363" t="s">
        <v>331</v>
      </c>
      <c r="E20" s="365" t="s">
        <v>323</v>
      </c>
      <c r="G20" s="366" t="n">
        <v>12</v>
      </c>
      <c r="H20" s="338" t="n">
        <f aca="false">IF((G20&lt;&gt;0),IF((D20&gt;0)," ",G20)," ")</f>
        <v>12</v>
      </c>
      <c r="I20" s="367" t="n">
        <f aca="false">IF((G20&lt;&gt;0),IF((D20&gt;0)," ",(I$1-A20))," ")</f>
        <v>43</v>
      </c>
      <c r="J20" s="334" t="str">
        <f aca="false">IF((E20="s"),G20," ")</f>
        <v> </v>
      </c>
      <c r="K20" s="334" t="str">
        <f aca="false">IF((E20="d"),G20," ")</f>
        <v> </v>
      </c>
      <c r="L20" s="334" t="str">
        <f aca="false">IF((E20="e"),G20," ")</f>
        <v> </v>
      </c>
      <c r="M20" s="334" t="str">
        <f aca="false">IF((E20="p"),G20," ")</f>
        <v> </v>
      </c>
      <c r="N20" s="334" t="str">
        <f aca="false">IF((E20="r"),G20," ")</f>
        <v> </v>
      </c>
      <c r="O20" s="334" t="str">
        <f aca="false">IF((E20="g"),G20," ")</f>
        <v> </v>
      </c>
      <c r="P20" s="334" t="str">
        <f aca="false">IF((E20="m"),G20," ")</f>
        <v> </v>
      </c>
      <c r="Q20" s="334" t="n">
        <f aca="false">IF((E20="t"),G20," ")</f>
        <v>12</v>
      </c>
      <c r="R20" s="334" t="str">
        <f aca="false">IF((E20="a"),G20," ")</f>
        <v> </v>
      </c>
      <c r="S20" s="334" t="str">
        <f aca="false">IF((E20="l"),G20," ")</f>
        <v> </v>
      </c>
      <c r="T20" s="334" t="str">
        <f aca="false">IF((E20="b"),G20," ")</f>
        <v> </v>
      </c>
      <c r="U20" s="334" t="str">
        <f aca="false">IF((E20="i"),G20," ")</f>
        <v> </v>
      </c>
      <c r="V20" s="334" t="str">
        <f aca="false">IF((E20="o"),G20," ")</f>
        <v> </v>
      </c>
      <c r="W20" s="334" t="str">
        <f aca="false">IF((E20="f"),G20," ")</f>
        <v> </v>
      </c>
    </row>
    <row r="21" customFormat="false" ht="12.75" hidden="false" customHeight="false" outlineLevel="0" collapsed="false">
      <c r="A21" s="355" t="n">
        <v>46096</v>
      </c>
      <c r="B21" s="363" t="s">
        <v>243</v>
      </c>
      <c r="E21" s="365" t="s">
        <v>291</v>
      </c>
      <c r="G21" s="366" t="n">
        <v>150</v>
      </c>
      <c r="H21" s="338" t="n">
        <f aca="false">IF((G21&lt;&gt;0),IF((D21&gt;0)," ",G21)," ")</f>
        <v>150</v>
      </c>
      <c r="I21" s="367" t="n">
        <f aca="false">IF((G21&lt;&gt;0),IF((D21&gt;0)," ",(I$1-A21))," ")</f>
        <v>42</v>
      </c>
      <c r="J21" s="334" t="str">
        <f aca="false">IF((E21="s"),G21," ")</f>
        <v> </v>
      </c>
      <c r="K21" s="334" t="str">
        <f aca="false">IF((E21="d"),G21," ")</f>
        <v> </v>
      </c>
      <c r="L21" s="334" t="str">
        <f aca="false">IF((E21="e"),G21," ")</f>
        <v> </v>
      </c>
      <c r="M21" s="334" t="str">
        <f aca="false">IF((E21="p"),G21," ")</f>
        <v> </v>
      </c>
      <c r="N21" s="334" t="str">
        <f aca="false">IF((E21="r"),G21," ")</f>
        <v> </v>
      </c>
      <c r="O21" s="334" t="str">
        <f aca="false">IF((E21="g"),G21," ")</f>
        <v> </v>
      </c>
      <c r="P21" s="334" t="n">
        <f aca="false">IF((E21="m"),G21," ")</f>
        <v>150</v>
      </c>
      <c r="Q21" s="334" t="str">
        <f aca="false">IF((E21="t"),G21," ")</f>
        <v> </v>
      </c>
      <c r="R21" s="334" t="str">
        <f aca="false">IF((E21="a"),G21," ")</f>
        <v> </v>
      </c>
      <c r="S21" s="334" t="str">
        <f aca="false">IF((E21="l"),G21," ")</f>
        <v> </v>
      </c>
      <c r="T21" s="334" t="str">
        <f aca="false">IF((E21="b"),G21," ")</f>
        <v> </v>
      </c>
      <c r="U21" s="334" t="str">
        <f aca="false">IF((E21="i"),G21," ")</f>
        <v> </v>
      </c>
      <c r="V21" s="334" t="str">
        <f aca="false">IF((E21="o"),G21," ")</f>
        <v> </v>
      </c>
      <c r="W21" s="334" t="str">
        <f aca="false">IF((E21="f"),G21," ")</f>
        <v> </v>
      </c>
    </row>
    <row r="22" customFormat="false" ht="12.75" hidden="false" customHeight="false" outlineLevel="0" collapsed="false">
      <c r="A22" s="355" t="n">
        <v>46096</v>
      </c>
      <c r="B22" s="363" t="s">
        <v>332</v>
      </c>
      <c r="E22" s="365" t="s">
        <v>310</v>
      </c>
      <c r="G22" s="366" t="n">
        <v>12</v>
      </c>
      <c r="H22" s="338" t="n">
        <f aca="false">IF((G22&lt;&gt;0),IF((D22&gt;0)," ",G22)," ")</f>
        <v>12</v>
      </c>
      <c r="I22" s="367" t="n">
        <f aca="false">IF((G22&lt;&gt;0),IF((D22&gt;0)," ",(I$1-A22))," ")</f>
        <v>42</v>
      </c>
      <c r="J22" s="334" t="str">
        <f aca="false">IF((E22="s"),G22," ")</f>
        <v> </v>
      </c>
      <c r="K22" s="334" t="str">
        <f aca="false">IF((E22="d"),G22," ")</f>
        <v> </v>
      </c>
      <c r="L22" s="334" t="str">
        <f aca="false">IF((E22="e"),G22," ")</f>
        <v> </v>
      </c>
      <c r="M22" s="334" t="str">
        <f aca="false">IF((E22="p"),G22," ")</f>
        <v> </v>
      </c>
      <c r="N22" s="334" t="str">
        <f aca="false">IF((E22="r"),G22," ")</f>
        <v> </v>
      </c>
      <c r="O22" s="334" t="n">
        <f aca="false">IF((E22="g"),G22," ")</f>
        <v>12</v>
      </c>
      <c r="P22" s="334" t="str">
        <f aca="false">IF((E22="m"),G22," ")</f>
        <v> </v>
      </c>
      <c r="Q22" s="334" t="str">
        <f aca="false">IF((E22="t"),G22," ")</f>
        <v> </v>
      </c>
      <c r="R22" s="334" t="str">
        <f aca="false">IF((E22="a"),G22," ")</f>
        <v> </v>
      </c>
      <c r="S22" s="334" t="str">
        <f aca="false">IF((E22="l"),G22," ")</f>
        <v> </v>
      </c>
      <c r="T22" s="334" t="str">
        <f aca="false">IF((E22="b"),G22," ")</f>
        <v> </v>
      </c>
      <c r="U22" s="334" t="str">
        <f aca="false">IF((E22="i"),G22," ")</f>
        <v> </v>
      </c>
      <c r="V22" s="334" t="str">
        <f aca="false">IF((E22="o"),G22," ")</f>
        <v> </v>
      </c>
      <c r="W22" s="334" t="str">
        <f aca="false">IF((E22="f"),G22," ")</f>
        <v> </v>
      </c>
    </row>
    <row r="23" customFormat="false" ht="12.75" hidden="false" customHeight="false" outlineLevel="0" collapsed="false">
      <c r="A23" s="355" t="n">
        <v>46097</v>
      </c>
      <c r="B23" s="363" t="s">
        <v>352</v>
      </c>
      <c r="E23" s="365" t="s">
        <v>310</v>
      </c>
      <c r="G23" s="366" t="n">
        <v>24</v>
      </c>
      <c r="H23" s="338" t="n">
        <f aca="false">IF((G23&lt;&gt;0),IF((D23&gt;0)," ",G23)," ")</f>
        <v>24</v>
      </c>
      <c r="I23" s="367" t="n">
        <f aca="false">IF((G23&lt;&gt;0),IF((D23&gt;0)," ",(I$1-A23))," ")</f>
        <v>41</v>
      </c>
      <c r="J23" s="334" t="str">
        <f aca="false">IF((E23="s"),G23," ")</f>
        <v> </v>
      </c>
      <c r="K23" s="334" t="str">
        <f aca="false">IF((E23="d"),G23," ")</f>
        <v> </v>
      </c>
      <c r="L23" s="334" t="str">
        <f aca="false">IF((E23="e"),G23," ")</f>
        <v> </v>
      </c>
      <c r="M23" s="334" t="str">
        <f aca="false">IF((E23="p"),G23," ")</f>
        <v> </v>
      </c>
      <c r="N23" s="334" t="str">
        <f aca="false">IF((E23="r"),G23," ")</f>
        <v> </v>
      </c>
      <c r="O23" s="334" t="n">
        <f aca="false">IF((E23="g"),G23," ")</f>
        <v>24</v>
      </c>
      <c r="P23" s="334" t="str">
        <f aca="false">IF((E23="m"),G23," ")</f>
        <v> </v>
      </c>
      <c r="Q23" s="334" t="str">
        <f aca="false">IF((E23="t"),G23," ")</f>
        <v> </v>
      </c>
      <c r="R23" s="334" t="str">
        <f aca="false">IF((E23="a"),G23," ")</f>
        <v> </v>
      </c>
      <c r="S23" s="334" t="str">
        <f aca="false">IF((E23="l"),G23," ")</f>
        <v> </v>
      </c>
      <c r="T23" s="334" t="str">
        <f aca="false">IF((E23="b"),G23," ")</f>
        <v> </v>
      </c>
      <c r="U23" s="334" t="str">
        <f aca="false">IF((E23="i"),G23," ")</f>
        <v> </v>
      </c>
      <c r="V23" s="334" t="str">
        <f aca="false">IF((E23="o"),G23," ")</f>
        <v> </v>
      </c>
      <c r="W23" s="334" t="str">
        <f aca="false">IF((E23="f"),G23," ")</f>
        <v> </v>
      </c>
    </row>
    <row r="24" customFormat="false" ht="12.75" hidden="false" customHeight="false" outlineLevel="0" collapsed="false">
      <c r="A24" s="355" t="n">
        <v>46099</v>
      </c>
      <c r="B24" s="363" t="s">
        <v>361</v>
      </c>
      <c r="E24" s="365" t="s">
        <v>327</v>
      </c>
      <c r="G24" s="366" t="n">
        <v>300</v>
      </c>
      <c r="H24" s="338" t="n">
        <f aca="false">IF((G24&lt;&gt;0),IF((D24&gt;0)," ",G24)," ")</f>
        <v>300</v>
      </c>
      <c r="I24" s="367" t="n">
        <f aca="false">IF((G24&lt;&gt;0),IF((D24&gt;0)," ",(I$1-A24))," ")</f>
        <v>39</v>
      </c>
      <c r="J24" s="334" t="n">
        <f aca="false">IF((E24="s"),G24," ")</f>
        <v>300</v>
      </c>
      <c r="K24" s="334" t="str">
        <f aca="false">IF((E24="d"),G24," ")</f>
        <v> </v>
      </c>
      <c r="L24" s="334" t="str">
        <f aca="false">IF((E24="e"),G24," ")</f>
        <v> </v>
      </c>
      <c r="M24" s="334" t="str">
        <f aca="false">IF((E24="p"),G24," ")</f>
        <v> </v>
      </c>
      <c r="N24" s="334" t="str">
        <f aca="false">IF((E24="r"),G24," ")</f>
        <v> </v>
      </c>
      <c r="O24" s="334" t="str">
        <f aca="false">IF((E24="g"),G24," ")</f>
        <v> </v>
      </c>
      <c r="P24" s="334" t="str">
        <f aca="false">IF((E24="m"),G24," ")</f>
        <v> </v>
      </c>
      <c r="Q24" s="334" t="str">
        <f aca="false">IF((E24="t"),G24," ")</f>
        <v> </v>
      </c>
      <c r="R24" s="334" t="str">
        <f aca="false">IF((E24="a"),G24," ")</f>
        <v> </v>
      </c>
      <c r="S24" s="334" t="str">
        <f aca="false">IF((E24="l"),G24," ")</f>
        <v> </v>
      </c>
      <c r="T24" s="334" t="str">
        <f aca="false">IF((E24="b"),G24," ")</f>
        <v> </v>
      </c>
      <c r="U24" s="334" t="str">
        <f aca="false">IF((E24="i"),G24," ")</f>
        <v> </v>
      </c>
      <c r="V24" s="334" t="str">
        <f aca="false">IF((E24="o"),G24," ")</f>
        <v> </v>
      </c>
      <c r="W24" s="334" t="str">
        <f aca="false">IF((E24="f"),G24," ")</f>
        <v> </v>
      </c>
    </row>
    <row r="25" customFormat="false" ht="12.75" hidden="false" customHeight="false" outlineLevel="0" collapsed="false">
      <c r="A25" s="355" t="n">
        <v>46099</v>
      </c>
      <c r="B25" s="363" t="s">
        <v>333</v>
      </c>
      <c r="E25" s="365" t="s">
        <v>291</v>
      </c>
      <c r="G25" s="366" t="n">
        <v>96</v>
      </c>
      <c r="H25" s="338" t="n">
        <f aca="false">IF((G25&lt;&gt;0),IF((D25&gt;0)," ",G25)," ")</f>
        <v>96</v>
      </c>
      <c r="I25" s="367" t="n">
        <f aca="false">IF((G25&lt;&gt;0),IF((D25&gt;0)," ",(I$1-A25))," ")</f>
        <v>39</v>
      </c>
      <c r="J25" s="334" t="str">
        <f aca="false">IF((E25="s"),G25," ")</f>
        <v> </v>
      </c>
      <c r="K25" s="334" t="str">
        <f aca="false">IF((E25="d"),G25," ")</f>
        <v> </v>
      </c>
      <c r="L25" s="334" t="str">
        <f aca="false">IF((E25="e"),G25," ")</f>
        <v> </v>
      </c>
      <c r="M25" s="334" t="str">
        <f aca="false">IF((E25="p"),G25," ")</f>
        <v> </v>
      </c>
      <c r="N25" s="334" t="str">
        <f aca="false">IF((E25="r"),G25," ")</f>
        <v> </v>
      </c>
      <c r="O25" s="334" t="str">
        <f aca="false">IF((E25="g"),G25," ")</f>
        <v> </v>
      </c>
      <c r="P25" s="334" t="n">
        <f aca="false">IF((E25="m"),G25," ")</f>
        <v>96</v>
      </c>
      <c r="Q25" s="334" t="str">
        <f aca="false">IF((E25="t"),G25," ")</f>
        <v> </v>
      </c>
      <c r="R25" s="334" t="str">
        <f aca="false">IF((E25="a"),G25," ")</f>
        <v> </v>
      </c>
      <c r="S25" s="334" t="str">
        <f aca="false">IF((E25="l"),G25," ")</f>
        <v> </v>
      </c>
      <c r="T25" s="334" t="str">
        <f aca="false">IF((E25="b"),G25," ")</f>
        <v> </v>
      </c>
      <c r="U25" s="334" t="str">
        <f aca="false">IF((E25="i"),G25," ")</f>
        <v> </v>
      </c>
      <c r="V25" s="334" t="str">
        <f aca="false">IF((E25="o"),G25," ")</f>
        <v> </v>
      </c>
      <c r="W25" s="334" t="str">
        <f aca="false">IF((E25="f"),G25," ")</f>
        <v> </v>
      </c>
    </row>
    <row r="26" customFormat="false" ht="12.75" hidden="false" customHeight="false" outlineLevel="0" collapsed="false">
      <c r="A26" s="355" t="n">
        <v>46101</v>
      </c>
      <c r="B26" s="363" t="s">
        <v>242</v>
      </c>
      <c r="E26" s="365" t="s">
        <v>310</v>
      </c>
      <c r="G26" s="366" t="n">
        <v>60</v>
      </c>
      <c r="H26" s="338" t="n">
        <f aca="false">IF((G26&lt;&gt;0),IF((D26&gt;0)," ",G26)," ")</f>
        <v>60</v>
      </c>
      <c r="I26" s="367" t="n">
        <f aca="false">IF((G26&lt;&gt;0),IF((D26&gt;0)," ",(I$1-A26))," ")</f>
        <v>37</v>
      </c>
      <c r="J26" s="334" t="str">
        <f aca="false">IF((E26="s"),G26," ")</f>
        <v> </v>
      </c>
      <c r="K26" s="334" t="str">
        <f aca="false">IF((E26="d"),G26," ")</f>
        <v> </v>
      </c>
      <c r="L26" s="334" t="str">
        <f aca="false">IF((E26="e"),G26," ")</f>
        <v> </v>
      </c>
      <c r="M26" s="334" t="str">
        <f aca="false">IF((E26="p"),G26," ")</f>
        <v> </v>
      </c>
      <c r="N26" s="334" t="str">
        <f aca="false">IF((E26="r"),G26," ")</f>
        <v> </v>
      </c>
      <c r="O26" s="334" t="n">
        <f aca="false">IF((E26="g"),G26," ")</f>
        <v>60</v>
      </c>
      <c r="P26" s="334" t="str">
        <f aca="false">IF((E26="m"),G26," ")</f>
        <v> </v>
      </c>
      <c r="Q26" s="334" t="str">
        <f aca="false">IF((E26="t"),G26," ")</f>
        <v> </v>
      </c>
      <c r="R26" s="334" t="str">
        <f aca="false">IF((E26="a"),G26," ")</f>
        <v> </v>
      </c>
      <c r="S26" s="334" t="str">
        <f aca="false">IF((E26="l"),G26," ")</f>
        <v> </v>
      </c>
      <c r="T26" s="334" t="str">
        <f aca="false">IF((E26="b"),G26," ")</f>
        <v> </v>
      </c>
      <c r="U26" s="334" t="str">
        <f aca="false">IF((E26="i"),G26," ")</f>
        <v> </v>
      </c>
      <c r="V26" s="334" t="str">
        <f aca="false">IF((E26="o"),G26," ")</f>
        <v> </v>
      </c>
      <c r="W26" s="334" t="str">
        <f aca="false">IF((E26="f"),G26," ")</f>
        <v> </v>
      </c>
    </row>
    <row r="27" customFormat="false" ht="12.75" hidden="false" customHeight="false" outlineLevel="0" collapsed="false">
      <c r="A27" s="355" t="n">
        <v>46102</v>
      </c>
      <c r="B27" s="363" t="s">
        <v>336</v>
      </c>
      <c r="E27" s="365" t="s">
        <v>323</v>
      </c>
      <c r="G27" s="366" t="n">
        <v>8</v>
      </c>
      <c r="H27" s="338" t="n">
        <f aca="false">IF((G27&lt;&gt;0),IF((D27&gt;0)," ",G27)," ")</f>
        <v>8</v>
      </c>
      <c r="I27" s="367" t="n">
        <f aca="false">IF((G27&lt;&gt;0),IF((D27&gt;0)," ",(I$1-A27))," ")</f>
        <v>36</v>
      </c>
      <c r="J27" s="334" t="str">
        <f aca="false">IF((E27="s"),G27," ")</f>
        <v> </v>
      </c>
      <c r="K27" s="334" t="str">
        <f aca="false">IF((E27="d"),G27," ")</f>
        <v> </v>
      </c>
      <c r="L27" s="334" t="str">
        <f aca="false">IF((E27="e"),G27," ")</f>
        <v> </v>
      </c>
      <c r="M27" s="334" t="str">
        <f aca="false">IF((E27="p"),G27," ")</f>
        <v> </v>
      </c>
      <c r="N27" s="334" t="str">
        <f aca="false">IF((E27="r"),G27," ")</f>
        <v> </v>
      </c>
      <c r="O27" s="334" t="str">
        <f aca="false">IF((E27="g"),G27," ")</f>
        <v> </v>
      </c>
      <c r="P27" s="334" t="str">
        <f aca="false">IF((E27="m"),G27," ")</f>
        <v> </v>
      </c>
      <c r="Q27" s="334" t="n">
        <f aca="false">IF((E27="t"),G27," ")</f>
        <v>8</v>
      </c>
      <c r="R27" s="334" t="str">
        <f aca="false">IF((E27="a"),G27," ")</f>
        <v> </v>
      </c>
      <c r="S27" s="334" t="str">
        <f aca="false">IF((E27="l"),G27," ")</f>
        <v> </v>
      </c>
      <c r="T27" s="334" t="str">
        <f aca="false">IF((E27="b"),G27," ")</f>
        <v> </v>
      </c>
      <c r="U27" s="334" t="str">
        <f aca="false">IF((E27="i"),G27," ")</f>
        <v> </v>
      </c>
      <c r="V27" s="334" t="str">
        <f aca="false">IF((E27="o"),G27," ")</f>
        <v> </v>
      </c>
      <c r="W27" s="334" t="str">
        <f aca="false">IF((E27="f"),G27," ")</f>
        <v> </v>
      </c>
    </row>
    <row r="28" customFormat="false" ht="12.75" hidden="false" customHeight="false" outlineLevel="0" collapsed="false">
      <c r="A28" s="355" t="n">
        <v>46103</v>
      </c>
      <c r="B28" s="363" t="s">
        <v>337</v>
      </c>
      <c r="E28" s="365" t="s">
        <v>313</v>
      </c>
      <c r="G28" s="366" t="n">
        <v>18</v>
      </c>
      <c r="H28" s="338" t="n">
        <f aca="false">IF((G28&lt;&gt;0),IF((D28&gt;0)," ",G28)," ")</f>
        <v>18</v>
      </c>
      <c r="I28" s="367" t="n">
        <f aca="false">IF((G28&lt;&gt;0),IF((D28&gt;0)," ",(I$1-A28))," ")</f>
        <v>35</v>
      </c>
      <c r="J28" s="334" t="str">
        <f aca="false">IF((E28="s"),G28," ")</f>
        <v> </v>
      </c>
      <c r="K28" s="334" t="str">
        <f aca="false">IF((E28="d"),G28," ")</f>
        <v> </v>
      </c>
      <c r="L28" s="334" t="str">
        <f aca="false">IF((E28="e"),G28," ")</f>
        <v> </v>
      </c>
      <c r="M28" s="334" t="str">
        <f aca="false">IF((E28="p"),G28," ")</f>
        <v> </v>
      </c>
      <c r="N28" s="334" t="str">
        <f aca="false">IF((E28="r"),G28," ")</f>
        <v> </v>
      </c>
      <c r="O28" s="334" t="str">
        <f aca="false">IF((E28="g"),G28," ")</f>
        <v> </v>
      </c>
      <c r="P28" s="334" t="str">
        <f aca="false">IF((E28="m"),G28," ")</f>
        <v> </v>
      </c>
      <c r="Q28" s="334" t="str">
        <f aca="false">IF((E28="t"),G28," ")</f>
        <v> </v>
      </c>
      <c r="R28" s="334" t="str">
        <f aca="false">IF((E28="a"),G28," ")</f>
        <v> </v>
      </c>
      <c r="S28" s="334" t="str">
        <f aca="false">IF((E28="l"),G28," ")</f>
        <v> </v>
      </c>
      <c r="T28" s="334" t="str">
        <f aca="false">IF((E28="b"),G28," ")</f>
        <v> </v>
      </c>
      <c r="U28" s="334" t="str">
        <f aca="false">IF((E28="i"),G28," ")</f>
        <v> </v>
      </c>
      <c r="V28" s="334" t="n">
        <f aca="false">IF((E28="o"),G28," ")</f>
        <v>18</v>
      </c>
      <c r="W28" s="334" t="str">
        <f aca="false">IF((E28="f"),G28," ")</f>
        <v> </v>
      </c>
    </row>
    <row r="29" customFormat="false" ht="12.75" hidden="false" customHeight="false" outlineLevel="0" collapsed="false">
      <c r="A29" s="355" t="n">
        <v>46103</v>
      </c>
      <c r="B29" s="363" t="s">
        <v>355</v>
      </c>
      <c r="E29" s="365" t="s">
        <v>291</v>
      </c>
      <c r="G29" s="366" t="n">
        <v>60</v>
      </c>
      <c r="H29" s="338" t="n">
        <f aca="false">IF((G29&lt;&gt;0),IF((D29&gt;0)," ",G29)," ")</f>
        <v>60</v>
      </c>
      <c r="I29" s="367" t="n">
        <f aca="false">IF((G29&lt;&gt;0),IF((D29&gt;0)," ",(I$1-A29))," ")</f>
        <v>35</v>
      </c>
      <c r="J29" s="334" t="str">
        <f aca="false">IF((E29="s"),G29," ")</f>
        <v> </v>
      </c>
      <c r="K29" s="334" t="str">
        <f aca="false">IF((E29="d"),G29," ")</f>
        <v> </v>
      </c>
      <c r="L29" s="334" t="str">
        <f aca="false">IF((E29="e"),G29," ")</f>
        <v> </v>
      </c>
      <c r="M29" s="334" t="str">
        <f aca="false">IF((E29="p"),G29," ")</f>
        <v> </v>
      </c>
      <c r="N29" s="334" t="str">
        <f aca="false">IF((E29="r"),G29," ")</f>
        <v> </v>
      </c>
      <c r="O29" s="334" t="str">
        <f aca="false">IF((E29="g"),G29," ")</f>
        <v> </v>
      </c>
      <c r="P29" s="334" t="n">
        <f aca="false">IF((E29="m"),G29," ")</f>
        <v>60</v>
      </c>
      <c r="Q29" s="334" t="str">
        <f aca="false">IF((E29="t"),G29," ")</f>
        <v> </v>
      </c>
      <c r="R29" s="334" t="str">
        <f aca="false">IF((E29="a"),G29," ")</f>
        <v> </v>
      </c>
      <c r="S29" s="334" t="str">
        <f aca="false">IF((E29="l"),G29," ")</f>
        <v> </v>
      </c>
      <c r="T29" s="334" t="str">
        <f aca="false">IF((E29="b"),G29," ")</f>
        <v> </v>
      </c>
      <c r="U29" s="334" t="str">
        <f aca="false">IF((E29="i"),G29," ")</f>
        <v> </v>
      </c>
      <c r="V29" s="334" t="str">
        <f aca="false">IF((E29="o"),G29," ")</f>
        <v> </v>
      </c>
      <c r="W29" s="334" t="str">
        <f aca="false">IF((E29="f"),G29," ")</f>
        <v> </v>
      </c>
    </row>
    <row r="30" customFormat="false" ht="12.75" hidden="false" customHeight="false" outlineLevel="0" collapsed="false">
      <c r="A30" s="355" t="n">
        <v>46106</v>
      </c>
      <c r="B30" s="363" t="s">
        <v>362</v>
      </c>
      <c r="E30" s="365" t="s">
        <v>308</v>
      </c>
      <c r="G30" s="366" t="n">
        <v>360</v>
      </c>
      <c r="H30" s="338" t="n">
        <f aca="false">IF((G30&lt;&gt;0),IF((D30&gt;0)," ",G30)," ")</f>
        <v>360</v>
      </c>
      <c r="I30" s="367" t="n">
        <f aca="false">IF((G30&lt;&gt;0),IF((D30&gt;0)," ",(I$1-A30))," ")</f>
        <v>32</v>
      </c>
      <c r="J30" s="334" t="str">
        <f aca="false">IF((E30="s"),G30," ")</f>
        <v> </v>
      </c>
      <c r="K30" s="334" t="str">
        <f aca="false">IF((E30="d"),G30," ")</f>
        <v> </v>
      </c>
      <c r="L30" s="334" t="str">
        <f aca="false">IF((E30="e"),G30," ")</f>
        <v> </v>
      </c>
      <c r="M30" s="334" t="n">
        <f aca="false">IF((E30="p"),G30," ")</f>
        <v>360</v>
      </c>
      <c r="N30" s="334" t="str">
        <f aca="false">IF((E30="r"),G30," ")</f>
        <v> </v>
      </c>
      <c r="O30" s="334" t="str">
        <f aca="false">IF((E30="g"),G30," ")</f>
        <v> </v>
      </c>
      <c r="P30" s="334" t="str">
        <f aca="false">IF((E30="m"),G30," ")</f>
        <v> </v>
      </c>
      <c r="Q30" s="334" t="str">
        <f aca="false">IF((E30="t"),G30," ")</f>
        <v> </v>
      </c>
      <c r="R30" s="334" t="str">
        <f aca="false">IF((E30="a"),G30," ")</f>
        <v> </v>
      </c>
      <c r="S30" s="334" t="str">
        <f aca="false">IF((E30="l"),G30," ")</f>
        <v> </v>
      </c>
      <c r="T30" s="334" t="str">
        <f aca="false">IF((E30="b"),G30," ")</f>
        <v> </v>
      </c>
      <c r="U30" s="334" t="str">
        <f aca="false">IF((E30="i"),G30," ")</f>
        <v> </v>
      </c>
      <c r="V30" s="334" t="str">
        <f aca="false">IF((E30="o"),G30," ")</f>
        <v> </v>
      </c>
      <c r="W30" s="334" t="str">
        <f aca="false">IF((E30="f"),G30," ")</f>
        <v> </v>
      </c>
    </row>
    <row r="31" customFormat="false" ht="12.75" hidden="false" customHeight="false" outlineLevel="0" collapsed="false">
      <c r="A31" s="355" t="n">
        <v>46106</v>
      </c>
      <c r="B31" s="363" t="s">
        <v>338</v>
      </c>
      <c r="E31" s="365" t="s">
        <v>313</v>
      </c>
      <c r="G31" s="366" t="n">
        <v>15</v>
      </c>
      <c r="H31" s="338" t="n">
        <f aca="false">IF((G31&lt;&gt;0),IF((D31&gt;0)," ",G31)," ")</f>
        <v>15</v>
      </c>
      <c r="I31" s="367" t="n">
        <f aca="false">IF((G31&lt;&gt;0),IF((D31&gt;0)," ",(I$1-A31))," ")</f>
        <v>32</v>
      </c>
      <c r="J31" s="334" t="str">
        <f aca="false">IF((E31="s"),G31," ")</f>
        <v> </v>
      </c>
      <c r="K31" s="334" t="str">
        <f aca="false">IF((E31="d"),G31," ")</f>
        <v> </v>
      </c>
      <c r="L31" s="334" t="str">
        <f aca="false">IF((E31="e"),G31," ")</f>
        <v> </v>
      </c>
      <c r="M31" s="334" t="str">
        <f aca="false">IF((E31="p"),G31," ")</f>
        <v> </v>
      </c>
      <c r="N31" s="334" t="str">
        <f aca="false">IF((E31="r"),G31," ")</f>
        <v> </v>
      </c>
      <c r="O31" s="334" t="str">
        <f aca="false">IF((E31="g"),G31," ")</f>
        <v> </v>
      </c>
      <c r="P31" s="334" t="str">
        <f aca="false">IF((E31="m"),G31," ")</f>
        <v> </v>
      </c>
      <c r="Q31" s="334" t="str">
        <f aca="false">IF((E31="t"),G31," ")</f>
        <v> </v>
      </c>
      <c r="R31" s="334" t="str">
        <f aca="false">IF((E31="a"),G31," ")</f>
        <v> </v>
      </c>
      <c r="S31" s="334" t="str">
        <f aca="false">IF((E31="l"),G31," ")</f>
        <v> </v>
      </c>
      <c r="T31" s="334" t="str">
        <f aca="false">IF((E31="b"),G31," ")</f>
        <v> </v>
      </c>
      <c r="U31" s="334" t="str">
        <f aca="false">IF((E31="i"),G31," ")</f>
        <v> </v>
      </c>
      <c r="V31" s="334" t="n">
        <f aca="false">IF((E31="o"),G31," ")</f>
        <v>15</v>
      </c>
      <c r="W31" s="334" t="str">
        <f aca="false">IF((E31="f"),G31," ")</f>
        <v> </v>
      </c>
    </row>
    <row r="32" customFormat="false" ht="12.75" hidden="false" customHeight="false" outlineLevel="0" collapsed="false">
      <c r="A32" s="355" t="n">
        <v>46106</v>
      </c>
      <c r="B32" s="363" t="s">
        <v>339</v>
      </c>
      <c r="E32" s="365" t="s">
        <v>291</v>
      </c>
      <c r="G32" s="366" t="n">
        <v>58.5</v>
      </c>
      <c r="H32" s="338" t="n">
        <f aca="false">IF((G32&lt;&gt;0),IF((D32&gt;0)," ",G32)," ")</f>
        <v>58.5</v>
      </c>
      <c r="I32" s="367" t="n">
        <f aca="false">IF((G32&lt;&gt;0),IF((D32&gt;0)," ",(I$1-A32))," ")</f>
        <v>32</v>
      </c>
      <c r="J32" s="334" t="str">
        <f aca="false">IF((E32="s"),G32," ")</f>
        <v> </v>
      </c>
      <c r="K32" s="334" t="str">
        <f aca="false">IF((E32="d"),G32," ")</f>
        <v> </v>
      </c>
      <c r="L32" s="334" t="str">
        <f aca="false">IF((E32="e"),G32," ")</f>
        <v> </v>
      </c>
      <c r="M32" s="334" t="str">
        <f aca="false">IF((E32="p"),G32," ")</f>
        <v> </v>
      </c>
      <c r="N32" s="334" t="str">
        <f aca="false">IF((E32="r"),G32," ")</f>
        <v> </v>
      </c>
      <c r="O32" s="334" t="str">
        <f aca="false">IF((E32="g"),G32," ")</f>
        <v> </v>
      </c>
      <c r="P32" s="334" t="n">
        <f aca="false">IF((E32="m"),G32," ")</f>
        <v>58.5</v>
      </c>
      <c r="Q32" s="334" t="str">
        <f aca="false">IF((E32="t"),G32," ")</f>
        <v> </v>
      </c>
      <c r="R32" s="334" t="str">
        <f aca="false">IF((E32="a"),G32," ")</f>
        <v> </v>
      </c>
      <c r="S32" s="334" t="str">
        <f aca="false">IF((E32="l"),G32," ")</f>
        <v> </v>
      </c>
      <c r="T32" s="334" t="str">
        <f aca="false">IF((E32="b"),G32," ")</f>
        <v> </v>
      </c>
      <c r="U32" s="334" t="str">
        <f aca="false">IF((E32="i"),G32," ")</f>
        <v> </v>
      </c>
      <c r="V32" s="334" t="str">
        <f aca="false">IF((E32="o"),G32," ")</f>
        <v> </v>
      </c>
      <c r="W32" s="334" t="str">
        <f aca="false">IF((E32="f"),G32," ")</f>
        <v> </v>
      </c>
    </row>
    <row r="33" customFormat="false" ht="12.75" hidden="false" customHeight="false" outlineLevel="0" collapsed="false">
      <c r="A33" s="355" t="n">
        <v>46109</v>
      </c>
      <c r="B33" s="363" t="s">
        <v>243</v>
      </c>
      <c r="E33" s="365" t="s">
        <v>291</v>
      </c>
      <c r="G33" s="366" t="n">
        <v>120</v>
      </c>
      <c r="H33" s="338" t="n">
        <f aca="false">IF((G33&lt;&gt;0),IF((D33&gt;0)," ",G33)," ")</f>
        <v>120</v>
      </c>
      <c r="I33" s="367" t="n">
        <f aca="false">IF((G33&lt;&gt;0),IF((D33&gt;0)," ",(I$1-A33))," ")</f>
        <v>29</v>
      </c>
      <c r="J33" s="334" t="str">
        <f aca="false">IF((E33="s"),G33," ")</f>
        <v> </v>
      </c>
      <c r="K33" s="334" t="str">
        <f aca="false">IF((E33="d"),G33," ")</f>
        <v> </v>
      </c>
      <c r="L33" s="334" t="str">
        <f aca="false">IF((E33="e"),G33," ")</f>
        <v> </v>
      </c>
      <c r="M33" s="334" t="str">
        <f aca="false">IF((E33="p"),G33," ")</f>
        <v> </v>
      </c>
      <c r="N33" s="334" t="str">
        <f aca="false">IF((E33="r"),G33," ")</f>
        <v> </v>
      </c>
      <c r="O33" s="334" t="str">
        <f aca="false">IF((E33="g"),G33," ")</f>
        <v> </v>
      </c>
      <c r="P33" s="334" t="n">
        <f aca="false">IF((E33="m"),G33," ")</f>
        <v>120</v>
      </c>
      <c r="Q33" s="334" t="str">
        <f aca="false">IF((E33="t"),G33," ")</f>
        <v> </v>
      </c>
      <c r="R33" s="334" t="str">
        <f aca="false">IF((E33="a"),G33," ")</f>
        <v> </v>
      </c>
      <c r="S33" s="334" t="str">
        <f aca="false">IF((E33="l"),G33," ")</f>
        <v> </v>
      </c>
      <c r="T33" s="334" t="str">
        <f aca="false">IF((E33="b"),G33," ")</f>
        <v> </v>
      </c>
      <c r="U33" s="334" t="str">
        <f aca="false">IF((E33="i"),G33," ")</f>
        <v> </v>
      </c>
      <c r="V33" s="334" t="str">
        <f aca="false">IF((E33="o"),G33," ")</f>
        <v> </v>
      </c>
      <c r="W33" s="334" t="str">
        <f aca="false">IF((E33="f"),G33," ")</f>
        <v> </v>
      </c>
    </row>
    <row r="34" customFormat="false" ht="12.75" hidden="false" customHeight="false" outlineLevel="0" collapsed="false">
      <c r="A34" s="355" t="n">
        <v>46112</v>
      </c>
      <c r="B34" s="363" t="s">
        <v>240</v>
      </c>
      <c r="E34" s="365" t="s">
        <v>340</v>
      </c>
      <c r="G34" s="366" t="n">
        <v>300</v>
      </c>
      <c r="H34" s="338" t="n">
        <f aca="false">IF((G34&lt;&gt;0),IF((D34&gt;0)," ",G34)," ")</f>
        <v>300</v>
      </c>
      <c r="I34" s="367" t="n">
        <f aca="false">IF((G34&lt;&gt;0),IF((D34&gt;0)," ",(I$1-A34))," ")</f>
        <v>26</v>
      </c>
      <c r="J34" s="334" t="str">
        <f aca="false">IF((E34="s"),G34," ")</f>
        <v> </v>
      </c>
      <c r="K34" s="334" t="str">
        <f aca="false">IF((E34="d"),G34," ")</f>
        <v> </v>
      </c>
      <c r="L34" s="334" t="str">
        <f aca="false">IF((E34="e"),G34," ")</f>
        <v> </v>
      </c>
      <c r="M34" s="334" t="str">
        <f aca="false">IF((E34="p"),G34," ")</f>
        <v> </v>
      </c>
      <c r="N34" s="334" t="str">
        <f aca="false">IF((E34="r"),G34," ")</f>
        <v> </v>
      </c>
      <c r="O34" s="334" t="str">
        <f aca="false">IF((E34="g"),G34," ")</f>
        <v> </v>
      </c>
      <c r="P34" s="334" t="str">
        <f aca="false">IF((E34="m"),G34," ")</f>
        <v> </v>
      </c>
      <c r="Q34" s="334" t="str">
        <f aca="false">IF((E34="t"),G34," ")</f>
        <v> </v>
      </c>
      <c r="R34" s="334" t="str">
        <f aca="false">IF((E34="a"),G34," ")</f>
        <v> </v>
      </c>
      <c r="S34" s="334" t="n">
        <f aca="false">IF((E34="l"),G34," ")</f>
        <v>300</v>
      </c>
      <c r="T34" s="334" t="str">
        <f aca="false">IF((E34="b"),G34," ")</f>
        <v> </v>
      </c>
      <c r="U34" s="334" t="str">
        <f aca="false">IF((E34="i"),G34," ")</f>
        <v> </v>
      </c>
      <c r="V34" s="334" t="str">
        <f aca="false">IF((E34="o"),G34," ")</f>
        <v> </v>
      </c>
      <c r="W34" s="334" t="str">
        <f aca="false">IF((E34="f"),G34," ")</f>
        <v> </v>
      </c>
    </row>
    <row r="35" customFormat="false" ht="12.75" hidden="false" customHeight="false" outlineLevel="0" collapsed="false">
      <c r="A35" s="355" t="n">
        <v>46112</v>
      </c>
      <c r="B35" s="363" t="s">
        <v>363</v>
      </c>
      <c r="E35" s="365" t="s">
        <v>364</v>
      </c>
      <c r="G35" s="366" t="n">
        <v>125</v>
      </c>
      <c r="H35" s="338" t="n">
        <f aca="false">IF((G35&lt;&gt;0),IF((D35&gt;0)," ",G35)," ")</f>
        <v>125</v>
      </c>
      <c r="I35" s="367" t="n">
        <f aca="false">IF((G35&lt;&gt;0),IF((D35&gt;0)," ",(I$1-A35))," ")</f>
        <v>26</v>
      </c>
      <c r="J35" s="334" t="str">
        <f aca="false">IF((E35="s"),G35," ")</f>
        <v> </v>
      </c>
      <c r="K35" s="334" t="str">
        <f aca="false">IF((E35="d"),G35," ")</f>
        <v> </v>
      </c>
      <c r="L35" s="334" t="str">
        <f aca="false">IF((E35="e"),G35," ")</f>
        <v> </v>
      </c>
      <c r="M35" s="334" t="str">
        <f aca="false">IF((E35="p"),G35," ")</f>
        <v> </v>
      </c>
      <c r="N35" s="334" t="str">
        <f aca="false">IF((E35="r"),G35," ")</f>
        <v> </v>
      </c>
      <c r="O35" s="334" t="str">
        <f aca="false">IF((E35="g"),G35," ")</f>
        <v> </v>
      </c>
      <c r="P35" s="334" t="str">
        <f aca="false">IF((E35="m"),G35," ")</f>
        <v> </v>
      </c>
      <c r="Q35" s="334" t="str">
        <f aca="false">IF((E35="t"),G35," ")</f>
        <v> </v>
      </c>
      <c r="R35" s="334" t="str">
        <f aca="false">IF((E35="a"),G35," ")</f>
        <v> </v>
      </c>
      <c r="S35" s="334" t="str">
        <f aca="false">IF((E35="l"),G35," ")</f>
        <v> </v>
      </c>
      <c r="T35" s="334" t="str">
        <f aca="false">IF((E35="b"),G35," ")</f>
        <v> </v>
      </c>
      <c r="U35" s="334" t="n">
        <f aca="false">IF((E35="i"),G35," ")</f>
        <v>125</v>
      </c>
      <c r="V35" s="334" t="str">
        <f aca="false">IF((E35="o"),G35," ")</f>
        <v> </v>
      </c>
      <c r="W35" s="334" t="str">
        <f aca="false">IF((E35="f"),G35," ")</f>
        <v> </v>
      </c>
    </row>
    <row r="36" customFormat="false" ht="12.75" hidden="false" customHeight="false" outlineLevel="0" collapsed="false">
      <c r="A36" s="355"/>
      <c r="H36" s="338" t="str">
        <f aca="false">IF((G36&lt;&gt;0),IF((D36&gt;0)," ",G36)," ")</f>
        <v> </v>
      </c>
      <c r="I36" s="367" t="str">
        <f aca="false">IF((G36&lt;&gt;0),IF((D36&gt;0)," ",(I$1-A36))," ")</f>
        <v> </v>
      </c>
      <c r="J36" s="334" t="str">
        <f aca="false">IF((E36="s"),G36," ")</f>
        <v> </v>
      </c>
      <c r="K36" s="334" t="str">
        <f aca="false">IF((E36="d"),G36," ")</f>
        <v> </v>
      </c>
      <c r="L36" s="334" t="str">
        <f aca="false">IF((E36="e"),G36," ")</f>
        <v> </v>
      </c>
      <c r="M36" s="334" t="str">
        <f aca="false">IF((E36="p"),G36," ")</f>
        <v> </v>
      </c>
      <c r="N36" s="334" t="str">
        <f aca="false">IF((E36="r"),G36," ")</f>
        <v> </v>
      </c>
      <c r="O36" s="334" t="str">
        <f aca="false">IF((E36="g"),G36," ")</f>
        <v> </v>
      </c>
      <c r="P36" s="334" t="str">
        <f aca="false">IF((E36="m"),G36," ")</f>
        <v> </v>
      </c>
      <c r="Q36" s="334" t="str">
        <f aca="false">IF((E36="t"),G36," ")</f>
        <v> </v>
      </c>
      <c r="R36" s="334" t="str">
        <f aca="false">IF((E36="a"),G36," ")</f>
        <v> </v>
      </c>
      <c r="S36" s="334" t="str">
        <f aca="false">IF((E36="l"),G36," ")</f>
        <v> </v>
      </c>
      <c r="T36" s="334" t="str">
        <f aca="false">IF((E36="b"),G36," ")</f>
        <v> </v>
      </c>
      <c r="U36" s="334" t="str">
        <f aca="false">IF((E36="i"),G36," ")</f>
        <v> </v>
      </c>
      <c r="V36" s="334" t="str">
        <f aca="false">IF((E36="o"),G36," ")</f>
        <v> </v>
      </c>
      <c r="W36" s="334" t="str">
        <f aca="false">IF((E36="f"),G36," ")</f>
        <v> </v>
      </c>
    </row>
    <row r="37" customFormat="false" ht="12.75" hidden="false" customHeight="false" outlineLevel="0" collapsed="false">
      <c r="A37" s="355"/>
      <c r="H37" s="338" t="str">
        <f aca="false">IF((G37&lt;&gt;0),IF((D37&gt;0)," ",G37)," ")</f>
        <v> </v>
      </c>
      <c r="I37" s="367" t="str">
        <f aca="false">IF((G37&lt;&gt;0),IF((D37&gt;0)," ",(I$1-A37))," ")</f>
        <v> </v>
      </c>
      <c r="J37" s="334" t="str">
        <f aca="false">IF((E37="s"),G37," ")</f>
        <v> </v>
      </c>
      <c r="K37" s="334" t="str">
        <f aca="false">IF((E37="d"),G37," ")</f>
        <v> </v>
      </c>
      <c r="L37" s="334" t="str">
        <f aca="false">IF((E37="e"),G37," ")</f>
        <v> </v>
      </c>
      <c r="M37" s="334" t="str">
        <f aca="false">IF((E37="p"),G37," ")</f>
        <v> </v>
      </c>
      <c r="N37" s="334" t="str">
        <f aca="false">IF((E37="r"),G37," ")</f>
        <v> </v>
      </c>
      <c r="O37" s="334" t="str">
        <f aca="false">IF((E37="g"),G37," ")</f>
        <v> </v>
      </c>
      <c r="P37" s="334" t="str">
        <f aca="false">IF((E37="m"),G37," ")</f>
        <v> </v>
      </c>
      <c r="Q37" s="334" t="str">
        <f aca="false">IF((E37="t"),G37," ")</f>
        <v> </v>
      </c>
      <c r="R37" s="334" t="str">
        <f aca="false">IF((E37="a"),G37," ")</f>
        <v> </v>
      </c>
      <c r="S37" s="334" t="str">
        <f aca="false">IF((E37="l"),G37," ")</f>
        <v> </v>
      </c>
      <c r="T37" s="334" t="str">
        <f aca="false">IF((E37="b"),G37," ")</f>
        <v> </v>
      </c>
      <c r="U37" s="334" t="str">
        <f aca="false">IF((E37="i"),G37," ")</f>
        <v> </v>
      </c>
      <c r="V37" s="334" t="str">
        <f aca="false">IF((E37="o"),G37," ")</f>
        <v> </v>
      </c>
      <c r="W37" s="334" t="str">
        <f aca="false">IF((E37="f"),G37," ")</f>
        <v> </v>
      </c>
    </row>
    <row r="38" customFormat="false" ht="12.75" hidden="false" customHeight="false" outlineLevel="0" collapsed="false">
      <c r="A38" s="355"/>
      <c r="H38" s="338" t="str">
        <f aca="false">IF((G38&lt;&gt;0),IF((D38&gt;0)," ",G38)," ")</f>
        <v> </v>
      </c>
      <c r="I38" s="367" t="str">
        <f aca="false">IF((G38&lt;&gt;0),IF((D38&gt;0)," ",(I$1-A38))," ")</f>
        <v> </v>
      </c>
      <c r="J38" s="334" t="str">
        <f aca="false">IF((E38="s"),G38," ")</f>
        <v> </v>
      </c>
      <c r="K38" s="334" t="str">
        <f aca="false">IF((E38="d"),G38," ")</f>
        <v> </v>
      </c>
      <c r="L38" s="334" t="str">
        <f aca="false">IF((E38="e"),G38," ")</f>
        <v> </v>
      </c>
      <c r="M38" s="334" t="str">
        <f aca="false">IF((E38="p"),G38," ")</f>
        <v> </v>
      </c>
      <c r="N38" s="334" t="str">
        <f aca="false">IF((E38="r"),G38," ")</f>
        <v> </v>
      </c>
      <c r="O38" s="334" t="str">
        <f aca="false">IF((E38="g"),G38," ")</f>
        <v> </v>
      </c>
      <c r="P38" s="334" t="str">
        <f aca="false">IF((E38="m"),G38," ")</f>
        <v> </v>
      </c>
      <c r="Q38" s="334" t="str">
        <f aca="false">IF((E38="t"),G38," ")</f>
        <v> </v>
      </c>
      <c r="R38" s="334" t="str">
        <f aca="false">IF((E38="a"),G38," ")</f>
        <v> </v>
      </c>
      <c r="S38" s="334" t="str">
        <f aca="false">IF((E38="l"),G38," ")</f>
        <v> </v>
      </c>
      <c r="T38" s="334" t="str">
        <f aca="false">IF((E38="b"),G38," ")</f>
        <v> </v>
      </c>
      <c r="U38" s="334" t="str">
        <f aca="false">IF((E38="i"),G38," ")</f>
        <v> </v>
      </c>
      <c r="V38" s="334" t="str">
        <f aca="false">IF((E38="o"),G38," ")</f>
        <v> </v>
      </c>
      <c r="W38" s="334" t="str">
        <f aca="false">IF((E38="f"),G38," ")</f>
        <v> </v>
      </c>
    </row>
    <row r="39" customFormat="false" ht="12.75" hidden="false" customHeight="false" outlineLevel="0" collapsed="false">
      <c r="A39" s="355"/>
      <c r="H39" s="338" t="str">
        <f aca="false">IF((G39&lt;&gt;0),IF((D39&gt;0)," ",G39)," ")</f>
        <v> </v>
      </c>
      <c r="I39" s="367" t="str">
        <f aca="false">IF((G39&lt;&gt;0),IF((D39&gt;0)," ",(I$1-A39))," ")</f>
        <v> </v>
      </c>
      <c r="J39" s="334" t="str">
        <f aca="false">IF((E39="s"),G39," ")</f>
        <v> </v>
      </c>
      <c r="K39" s="334" t="str">
        <f aca="false">IF((E39="d"),G39," ")</f>
        <v> </v>
      </c>
      <c r="L39" s="334" t="str">
        <f aca="false">IF((E39="e"),G39," ")</f>
        <v> </v>
      </c>
      <c r="M39" s="334" t="str">
        <f aca="false">IF((E39="p"),G39," ")</f>
        <v> </v>
      </c>
      <c r="N39" s="334" t="str">
        <f aca="false">IF((E39="r"),G39," ")</f>
        <v> </v>
      </c>
      <c r="O39" s="334" t="str">
        <f aca="false">IF((E39="g"),G39," ")</f>
        <v> </v>
      </c>
      <c r="P39" s="334" t="str">
        <f aca="false">IF((E39="m"),G39," ")</f>
        <v> </v>
      </c>
      <c r="Q39" s="334" t="str">
        <f aca="false">IF((E39="t"),G39," ")</f>
        <v> </v>
      </c>
      <c r="R39" s="334" t="str">
        <f aca="false">IF((E39="a"),G39," ")</f>
        <v> </v>
      </c>
      <c r="S39" s="334" t="str">
        <f aca="false">IF((E39="l"),G39," ")</f>
        <v> </v>
      </c>
      <c r="T39" s="334" t="str">
        <f aca="false">IF((E39="b"),G39," ")</f>
        <v> </v>
      </c>
      <c r="U39" s="334" t="str">
        <f aca="false">IF((E39="i"),G39," ")</f>
        <v> </v>
      </c>
      <c r="V39" s="334" t="str">
        <f aca="false">IF((E39="o"),G39," ")</f>
        <v> </v>
      </c>
      <c r="W39" s="334" t="str">
        <f aca="false">IF((E39="f"),G39," ")</f>
        <v> </v>
      </c>
    </row>
    <row r="40" customFormat="false" ht="12.75" hidden="false" customHeight="false" outlineLevel="0" collapsed="false">
      <c r="A40" s="355"/>
      <c r="H40" s="338" t="str">
        <f aca="false">IF((G40&lt;&gt;0),IF((D40&gt;0)," ",G40)," ")</f>
        <v> </v>
      </c>
      <c r="I40" s="367" t="str">
        <f aca="false">IF((G40&lt;&gt;0),IF((D40&gt;0)," ",(I$1-A40))," ")</f>
        <v> </v>
      </c>
      <c r="J40" s="334" t="str">
        <f aca="false">IF((E40="s"),G40," ")</f>
        <v> </v>
      </c>
      <c r="K40" s="334" t="str">
        <f aca="false">IF((E40="d"),G40," ")</f>
        <v> </v>
      </c>
      <c r="L40" s="334" t="str">
        <f aca="false">IF((E40="e"),G40," ")</f>
        <v> </v>
      </c>
      <c r="M40" s="334" t="str">
        <f aca="false">IF((E40="p"),G40," ")</f>
        <v> </v>
      </c>
      <c r="N40" s="334" t="str">
        <f aca="false">IF((E40="r"),G40," ")</f>
        <v> </v>
      </c>
      <c r="O40" s="334" t="str">
        <f aca="false">IF((E40="g"),G40," ")</f>
        <v> </v>
      </c>
      <c r="P40" s="334" t="str">
        <f aca="false">IF((E40="m"),G40," ")</f>
        <v> </v>
      </c>
      <c r="Q40" s="334" t="str">
        <f aca="false">IF((E40="t"),G40," ")</f>
        <v> </v>
      </c>
      <c r="R40" s="334" t="str">
        <f aca="false">IF((E40="a"),G40," ")</f>
        <v> </v>
      </c>
      <c r="S40" s="334" t="str">
        <f aca="false">IF((E40="l"),G40," ")</f>
        <v> </v>
      </c>
      <c r="T40" s="334" t="str">
        <f aca="false">IF((E40="b"),G40," ")</f>
        <v> </v>
      </c>
      <c r="U40" s="334" t="str">
        <f aca="false">IF((E40="i"),G40," ")</f>
        <v> </v>
      </c>
      <c r="V40" s="334" t="str">
        <f aca="false">IF((E40="o"),G40," ")</f>
        <v> </v>
      </c>
      <c r="W40" s="334" t="str">
        <f aca="false">IF((E40="f"),G40," ")</f>
        <v> </v>
      </c>
    </row>
    <row r="41" customFormat="false" ht="12.75" hidden="false" customHeight="false" outlineLevel="0" collapsed="false">
      <c r="A41" s="355"/>
      <c r="H41" s="338" t="str">
        <f aca="false">IF((G41&lt;&gt;0),IF((D41&gt;0)," ",G41)," ")</f>
        <v> </v>
      </c>
      <c r="I41" s="367" t="str">
        <f aca="false">IF((G41&lt;&gt;0),IF((D41&gt;0)," ",(I$1-A41))," ")</f>
        <v> </v>
      </c>
      <c r="J41" s="334" t="str">
        <f aca="false">IF((E41="s"),G41," ")</f>
        <v> </v>
      </c>
      <c r="K41" s="334" t="str">
        <f aca="false">IF((E41="d"),G41," ")</f>
        <v> </v>
      </c>
      <c r="L41" s="334" t="str">
        <f aca="false">IF((E41="e"),G41," ")</f>
        <v> </v>
      </c>
      <c r="M41" s="334" t="str">
        <f aca="false">IF((E41="p"),G41," ")</f>
        <v> </v>
      </c>
      <c r="N41" s="334" t="str">
        <f aca="false">IF((E41="r"),G41," ")</f>
        <v> </v>
      </c>
      <c r="O41" s="334" t="str">
        <f aca="false">IF((E41="g"),G41," ")</f>
        <v> </v>
      </c>
      <c r="P41" s="334" t="str">
        <f aca="false">IF((E41="m"),G41," ")</f>
        <v> </v>
      </c>
      <c r="Q41" s="334" t="str">
        <f aca="false">IF((E41="t"),G41," ")</f>
        <v> </v>
      </c>
      <c r="R41" s="334" t="str">
        <f aca="false">IF((E41="a"),G41," ")</f>
        <v> </v>
      </c>
      <c r="S41" s="334" t="str">
        <f aca="false">IF((E41="l"),G41," ")</f>
        <v> </v>
      </c>
      <c r="T41" s="334" t="str">
        <f aca="false">IF((E41="b"),G41," ")</f>
        <v> </v>
      </c>
      <c r="U41" s="334" t="str">
        <f aca="false">IF((E41="i"),G41," ")</f>
        <v> </v>
      </c>
      <c r="V41" s="334" t="str">
        <f aca="false">IF((E41="o"),G41," ")</f>
        <v> </v>
      </c>
      <c r="W41" s="334" t="str">
        <f aca="false">IF((E41="f"),G41," ")</f>
        <v> </v>
      </c>
    </row>
    <row r="42" customFormat="false" ht="12.75" hidden="false" customHeight="false" outlineLevel="0" collapsed="false">
      <c r="A42" s="355"/>
      <c r="H42" s="338" t="str">
        <f aca="false">IF((G42&lt;&gt;0),IF((D42&gt;0)," ",G42)," ")</f>
        <v> </v>
      </c>
      <c r="I42" s="367" t="str">
        <f aca="false">IF((G42&lt;&gt;0),IF((D42&gt;0)," ",(I$1-A42))," ")</f>
        <v> </v>
      </c>
      <c r="J42" s="334" t="str">
        <f aca="false">IF((E42="s"),G42," ")</f>
        <v> </v>
      </c>
      <c r="K42" s="334" t="str">
        <f aca="false">IF((E42="d"),G42," ")</f>
        <v> </v>
      </c>
      <c r="L42" s="334" t="str">
        <f aca="false">IF((E42="e"),G42," ")</f>
        <v> </v>
      </c>
      <c r="M42" s="334" t="str">
        <f aca="false">IF((E42="p"),G42," ")</f>
        <v> </v>
      </c>
      <c r="N42" s="334" t="str">
        <f aca="false">IF((E42="r"),G42," ")</f>
        <v> </v>
      </c>
      <c r="O42" s="334" t="str">
        <f aca="false">IF((E42="g"),G42," ")</f>
        <v> </v>
      </c>
      <c r="P42" s="334" t="str">
        <f aca="false">IF((E42="m"),G42," ")</f>
        <v> </v>
      </c>
      <c r="Q42" s="334" t="str">
        <f aca="false">IF((E42="t"),G42," ")</f>
        <v> </v>
      </c>
      <c r="R42" s="334" t="str">
        <f aca="false">IF((E42="a"),G42," ")</f>
        <v> </v>
      </c>
      <c r="S42" s="334" t="str">
        <f aca="false">IF((E42="l"),G42," ")</f>
        <v> </v>
      </c>
      <c r="T42" s="334" t="str">
        <f aca="false">IF((E42="b"),G42," ")</f>
        <v> </v>
      </c>
      <c r="U42" s="334" t="str">
        <f aca="false">IF((E42="i"),G42," ")</f>
        <v> </v>
      </c>
      <c r="V42" s="334" t="str">
        <f aca="false">IF((E42="o"),G42," ")</f>
        <v> </v>
      </c>
      <c r="W42" s="334" t="str">
        <f aca="false">IF((E42="f"),G42," ")</f>
        <v> </v>
      </c>
    </row>
    <row r="43" customFormat="false" ht="12.75" hidden="false" customHeight="false" outlineLevel="0" collapsed="false">
      <c r="A43" s="355"/>
      <c r="H43" s="338" t="str">
        <f aca="false">IF((G43&lt;&gt;0),IF((D43&gt;0)," ",G43)," ")</f>
        <v> </v>
      </c>
      <c r="I43" s="367" t="str">
        <f aca="false">IF((G43&lt;&gt;0),IF((D43&gt;0)," ",(I$1-A43))," ")</f>
        <v> </v>
      </c>
      <c r="J43" s="334" t="str">
        <f aca="false">IF((E43="s"),G43," ")</f>
        <v> </v>
      </c>
      <c r="K43" s="334" t="str">
        <f aca="false">IF((E43="d"),G43," ")</f>
        <v> </v>
      </c>
      <c r="L43" s="334" t="str">
        <f aca="false">IF((E43="e"),G43," ")</f>
        <v> </v>
      </c>
      <c r="M43" s="334" t="str">
        <f aca="false">IF((E43="p"),G43," ")</f>
        <v> </v>
      </c>
      <c r="N43" s="334" t="str">
        <f aca="false">IF((E43="r"),G43," ")</f>
        <v> </v>
      </c>
      <c r="O43" s="334" t="str">
        <f aca="false">IF((E43="g"),G43," ")</f>
        <v> </v>
      </c>
      <c r="P43" s="334" t="str">
        <f aca="false">IF((E43="m"),G43," ")</f>
        <v> </v>
      </c>
      <c r="Q43" s="334" t="str">
        <f aca="false">IF((E43="t"),G43," ")</f>
        <v> </v>
      </c>
      <c r="R43" s="334" t="str">
        <f aca="false">IF((E43="a"),G43," ")</f>
        <v> </v>
      </c>
      <c r="S43" s="334" t="str">
        <f aca="false">IF((E43="l"),G43," ")</f>
        <v> </v>
      </c>
      <c r="T43" s="334" t="str">
        <f aca="false">IF((E43="b"),G43," ")</f>
        <v> </v>
      </c>
      <c r="U43" s="334" t="str">
        <f aca="false">IF((E43="i"),G43," ")</f>
        <v> </v>
      </c>
      <c r="V43" s="334" t="str">
        <f aca="false">IF((E43="o"),G43," ")</f>
        <v> </v>
      </c>
      <c r="W43" s="334" t="str">
        <f aca="false">IF((E43="f"),G43," ")</f>
        <v> </v>
      </c>
    </row>
    <row r="44" customFormat="false" ht="12.75" hidden="false" customHeight="false" outlineLevel="0" collapsed="false">
      <c r="A44" s="355"/>
      <c r="H44" s="338" t="str">
        <f aca="false">IF((G44&lt;&gt;0),IF((D44&gt;0)," ",G44)," ")</f>
        <v> </v>
      </c>
      <c r="I44" s="367" t="str">
        <f aca="false">IF((G44&lt;&gt;0),IF((D44&gt;0)," ",(I$1-A44))," ")</f>
        <v> </v>
      </c>
      <c r="J44" s="334" t="str">
        <f aca="false">IF((E44="s"),G44," ")</f>
        <v> </v>
      </c>
      <c r="K44" s="334" t="str">
        <f aca="false">IF((E44="d"),G44," ")</f>
        <v> </v>
      </c>
      <c r="L44" s="334" t="str">
        <f aca="false">IF((E44="e"),G44," ")</f>
        <v> </v>
      </c>
      <c r="M44" s="334" t="str">
        <f aca="false">IF((E44="p"),G44," ")</f>
        <v> </v>
      </c>
      <c r="N44" s="334" t="str">
        <f aca="false">IF((E44="r"),G44," ")</f>
        <v> </v>
      </c>
      <c r="O44" s="334" t="str">
        <f aca="false">IF((E44="g"),G44," ")</f>
        <v> </v>
      </c>
      <c r="P44" s="334" t="str">
        <f aca="false">IF((E44="m"),G44," ")</f>
        <v> </v>
      </c>
      <c r="Q44" s="334" t="str">
        <f aca="false">IF((E44="t"),G44," ")</f>
        <v> </v>
      </c>
      <c r="R44" s="334" t="str">
        <f aca="false">IF((E44="a"),G44," ")</f>
        <v> </v>
      </c>
      <c r="S44" s="334" t="str">
        <f aca="false">IF((E44="l"),G44," ")</f>
        <v> </v>
      </c>
      <c r="T44" s="334" t="str">
        <f aca="false">IF((E44="b"),G44," ")</f>
        <v> </v>
      </c>
      <c r="U44" s="334" t="str">
        <f aca="false">IF((E44="i"),G44," ")</f>
        <v> </v>
      </c>
      <c r="V44" s="334" t="str">
        <f aca="false">IF((E44="o"),G44," ")</f>
        <v> </v>
      </c>
      <c r="W44" s="334" t="str">
        <f aca="false">IF((E44="f"),G44," ")</f>
        <v> </v>
      </c>
    </row>
    <row r="45" customFormat="false" ht="12.75" hidden="false" customHeight="false" outlineLevel="0" collapsed="false">
      <c r="A45" s="355"/>
      <c r="H45" s="338" t="str">
        <f aca="false">IF((G45&lt;&gt;0),IF((D45&gt;0)," ",G45)," ")</f>
        <v> </v>
      </c>
      <c r="I45" s="367" t="str">
        <f aca="false">IF((G45&lt;&gt;0),IF((D45&gt;0)," ",(I$1-A45))," ")</f>
        <v> </v>
      </c>
      <c r="J45" s="334" t="str">
        <f aca="false">IF((E45="s"),G45," ")</f>
        <v> </v>
      </c>
      <c r="K45" s="334" t="str">
        <f aca="false">IF((E45="d"),G45," ")</f>
        <v> </v>
      </c>
      <c r="L45" s="334" t="str">
        <f aca="false">IF((E45="e"),G45," ")</f>
        <v> </v>
      </c>
      <c r="M45" s="334" t="str">
        <f aca="false">IF((E45="p"),G45," ")</f>
        <v> </v>
      </c>
      <c r="N45" s="334" t="str">
        <f aca="false">IF((E45="r"),G45," ")</f>
        <v> </v>
      </c>
      <c r="O45" s="334" t="str">
        <f aca="false">IF((E45="g"),G45," ")</f>
        <v> </v>
      </c>
      <c r="P45" s="334" t="str">
        <f aca="false">IF((E45="m"),G45," ")</f>
        <v> </v>
      </c>
      <c r="Q45" s="334" t="str">
        <f aca="false">IF((E45="t"),G45," ")</f>
        <v> </v>
      </c>
      <c r="R45" s="334" t="str">
        <f aca="false">IF((E45="a"),G45," ")</f>
        <v> </v>
      </c>
      <c r="S45" s="334" t="str">
        <f aca="false">IF((E45="l"),G45," ")</f>
        <v> </v>
      </c>
      <c r="T45" s="334" t="str">
        <f aca="false">IF((E45="b"),G45," ")</f>
        <v> </v>
      </c>
      <c r="U45" s="334" t="str">
        <f aca="false">IF((E45="i"),G45," ")</f>
        <v> </v>
      </c>
      <c r="V45" s="334" t="str">
        <f aca="false">IF((E45="o"),G45," ")</f>
        <v> </v>
      </c>
      <c r="W45" s="334" t="str">
        <f aca="false">IF((E45="f"),G45," ")</f>
        <v> </v>
      </c>
    </row>
    <row r="46" customFormat="false" ht="12.75" hidden="false" customHeight="false" outlineLevel="0" collapsed="false">
      <c r="A46" s="355"/>
      <c r="H46" s="338" t="str">
        <f aca="false">IF((G46&lt;&gt;0),IF((D46&gt;0)," ",G46)," ")</f>
        <v> </v>
      </c>
      <c r="I46" s="367" t="str">
        <f aca="false">IF((G46&lt;&gt;0),IF((D46&gt;0)," ",(I$1-A46))," ")</f>
        <v> </v>
      </c>
      <c r="J46" s="334" t="str">
        <f aca="false">IF((E46="s"),G46," ")</f>
        <v> </v>
      </c>
      <c r="K46" s="334" t="str">
        <f aca="false">IF((E46="d"),G46," ")</f>
        <v> </v>
      </c>
      <c r="L46" s="334" t="str">
        <f aca="false">IF((E46="e"),G46," ")</f>
        <v> </v>
      </c>
      <c r="M46" s="334" t="str">
        <f aca="false">IF((E46="p"),G46," ")</f>
        <v> </v>
      </c>
      <c r="N46" s="334" t="str">
        <f aca="false">IF((E46="r"),G46," ")</f>
        <v> </v>
      </c>
      <c r="O46" s="334" t="str">
        <f aca="false">IF((E46="g"),G46," ")</f>
        <v> </v>
      </c>
      <c r="P46" s="334" t="str">
        <f aca="false">IF((E46="m"),G46," ")</f>
        <v> </v>
      </c>
      <c r="Q46" s="334" t="str">
        <f aca="false">IF((E46="t"),G46," ")</f>
        <v> </v>
      </c>
      <c r="R46" s="334" t="str">
        <f aca="false">IF((E46="a"),G46," ")</f>
        <v> </v>
      </c>
      <c r="S46" s="334" t="str">
        <f aca="false">IF((E46="l"),G46," ")</f>
        <v> </v>
      </c>
      <c r="T46" s="334" t="str">
        <f aca="false">IF((E46="b"),G46," ")</f>
        <v> </v>
      </c>
      <c r="U46" s="334" t="str">
        <f aca="false">IF((E46="i"),G46," ")</f>
        <v> </v>
      </c>
      <c r="V46" s="334" t="str">
        <f aca="false">IF((E46="o"),G46," ")</f>
        <v> </v>
      </c>
      <c r="W46" s="334" t="str">
        <f aca="false">IF((E46="f"),G46," ")</f>
        <v> </v>
      </c>
    </row>
    <row r="47" customFormat="false" ht="12.75" hidden="false" customHeight="false" outlineLevel="0" collapsed="false">
      <c r="A47" s="355"/>
      <c r="H47" s="338" t="str">
        <f aca="false">IF((G47&lt;&gt;0),IF((D47&gt;0)," ",G47)," ")</f>
        <v> </v>
      </c>
      <c r="I47" s="367" t="str">
        <f aca="false">IF((G47&lt;&gt;0),IF((D47&gt;0)," ",(I$1-A47))," ")</f>
        <v> </v>
      </c>
      <c r="J47" s="334" t="str">
        <f aca="false">IF((E47="s"),G47," ")</f>
        <v> </v>
      </c>
      <c r="K47" s="334" t="str">
        <f aca="false">IF((E47="d"),G47," ")</f>
        <v> </v>
      </c>
      <c r="L47" s="334" t="str">
        <f aca="false">IF((E47="e"),G47," ")</f>
        <v> </v>
      </c>
      <c r="M47" s="334" t="str">
        <f aca="false">IF((E47="p"),G47," ")</f>
        <v> </v>
      </c>
      <c r="N47" s="334" t="str">
        <f aca="false">IF((E47="r"),G47," ")</f>
        <v> </v>
      </c>
      <c r="O47" s="334" t="str">
        <f aca="false">IF((E47="g"),G47," ")</f>
        <v> </v>
      </c>
      <c r="P47" s="334" t="str">
        <f aca="false">IF((E47="m"),G47," ")</f>
        <v> </v>
      </c>
      <c r="Q47" s="334" t="str">
        <f aca="false">IF((E47="t"),G47," ")</f>
        <v> </v>
      </c>
      <c r="R47" s="334" t="str">
        <f aca="false">IF((E47="a"),G47," ")</f>
        <v> </v>
      </c>
      <c r="S47" s="334" t="str">
        <f aca="false">IF((E47="l"),G47," ")</f>
        <v> </v>
      </c>
      <c r="T47" s="334" t="str">
        <f aca="false">IF((E47="b"),G47," ")</f>
        <v> </v>
      </c>
      <c r="U47" s="334" t="str">
        <f aca="false">IF((E47="i"),G47," ")</f>
        <v> </v>
      </c>
      <c r="V47" s="334" t="str">
        <f aca="false">IF((E47="o"),G47," ")</f>
        <v> </v>
      </c>
      <c r="W47" s="334" t="str">
        <f aca="false">IF((E47="f"),G47," ")</f>
        <v> </v>
      </c>
    </row>
    <row r="48" customFormat="false" ht="12.75" hidden="false" customHeight="false" outlineLevel="0" collapsed="false">
      <c r="A48" s="355"/>
      <c r="H48" s="338" t="str">
        <f aca="false">IF((G48&lt;&gt;0),IF((D48&gt;0)," ",G48)," ")</f>
        <v> </v>
      </c>
      <c r="I48" s="367" t="str">
        <f aca="false">IF((G48&lt;&gt;0),IF((D48&gt;0)," ",(I$1-A48))," ")</f>
        <v> </v>
      </c>
      <c r="J48" s="334" t="str">
        <f aca="false">IF((E48="s"),G48," ")</f>
        <v> </v>
      </c>
      <c r="K48" s="334" t="str">
        <f aca="false">IF((E48="d"),G48," ")</f>
        <v> </v>
      </c>
      <c r="L48" s="334" t="str">
        <f aca="false">IF((E48="e"),G48," ")</f>
        <v> </v>
      </c>
      <c r="M48" s="334" t="str">
        <f aca="false">IF((E48="p"),G48," ")</f>
        <v> </v>
      </c>
      <c r="N48" s="334" t="str">
        <f aca="false">IF((E48="r"),G48," ")</f>
        <v> </v>
      </c>
      <c r="O48" s="334" t="str">
        <f aca="false">IF((E48="g"),G48," ")</f>
        <v> </v>
      </c>
      <c r="P48" s="334" t="str">
        <f aca="false">IF((E48="m"),G48," ")</f>
        <v> </v>
      </c>
      <c r="Q48" s="334" t="str">
        <f aca="false">IF((E48="t"),G48," ")</f>
        <v> </v>
      </c>
      <c r="R48" s="334" t="str">
        <f aca="false">IF((E48="a"),G48," ")</f>
        <v> </v>
      </c>
      <c r="S48" s="334" t="str">
        <f aca="false">IF((E48="l"),G48," ")</f>
        <v> </v>
      </c>
      <c r="T48" s="334" t="str">
        <f aca="false">IF((E48="b"),G48," ")</f>
        <v> </v>
      </c>
      <c r="U48" s="334" t="str">
        <f aca="false">IF((E48="i"),G48," ")</f>
        <v> </v>
      </c>
      <c r="V48" s="334" t="str">
        <f aca="false">IF((E48="o"),G48," ")</f>
        <v> </v>
      </c>
      <c r="W48" s="334" t="str">
        <f aca="false">IF((E48="f"),G48," ")</f>
        <v> </v>
      </c>
    </row>
    <row r="49" customFormat="false" ht="12.75" hidden="false" customHeight="false" outlineLevel="0" collapsed="false">
      <c r="A49" s="355"/>
      <c r="H49" s="338" t="str">
        <f aca="false">IF((G49&lt;&gt;0),IF((D49&gt;0)," ",G49)," ")</f>
        <v> </v>
      </c>
      <c r="I49" s="367" t="str">
        <f aca="false">IF((G49&lt;&gt;0),IF((D49&gt;0)," ",(I$1-A49))," ")</f>
        <v> </v>
      </c>
      <c r="J49" s="334" t="str">
        <f aca="false">IF((E49="s"),G49," ")</f>
        <v> </v>
      </c>
      <c r="K49" s="334" t="str">
        <f aca="false">IF((E49="d"),G49," ")</f>
        <v> </v>
      </c>
      <c r="L49" s="334" t="str">
        <f aca="false">IF((E49="e"),G49," ")</f>
        <v> </v>
      </c>
      <c r="M49" s="334" t="str">
        <f aca="false">IF((E49="p"),G49," ")</f>
        <v> </v>
      </c>
      <c r="N49" s="334" t="str">
        <f aca="false">IF((E49="r"),G49," ")</f>
        <v> </v>
      </c>
      <c r="O49" s="334" t="str">
        <f aca="false">IF((E49="g"),G49," ")</f>
        <v> </v>
      </c>
      <c r="P49" s="334" t="str">
        <f aca="false">IF((E49="m"),G49," ")</f>
        <v> </v>
      </c>
      <c r="Q49" s="334" t="str">
        <f aca="false">IF((E49="t"),G49," ")</f>
        <v> </v>
      </c>
      <c r="R49" s="334" t="str">
        <f aca="false">IF((E49="a"),G49," ")</f>
        <v> </v>
      </c>
      <c r="S49" s="334" t="str">
        <f aca="false">IF((E49="l"),G49," ")</f>
        <v> </v>
      </c>
      <c r="T49" s="334" t="str">
        <f aca="false">IF((E49="b"),G49," ")</f>
        <v> </v>
      </c>
      <c r="U49" s="334" t="str">
        <f aca="false">IF((E49="i"),G49," ")</f>
        <v> </v>
      </c>
      <c r="V49" s="334" t="str">
        <f aca="false">IF((E49="o"),G49," ")</f>
        <v> </v>
      </c>
      <c r="W49" s="334" t="str">
        <f aca="false">IF((E49="f"),G49," ")</f>
        <v> </v>
      </c>
    </row>
    <row r="50" customFormat="false" ht="12.75" hidden="false" customHeight="false" outlineLevel="0" collapsed="false">
      <c r="A50" s="355"/>
      <c r="H50" s="338" t="str">
        <f aca="false">IF((G50&lt;&gt;0),IF((D50&gt;0)," ",G50)," ")</f>
        <v> </v>
      </c>
      <c r="I50" s="367" t="str">
        <f aca="false">IF((G50&lt;&gt;0),IF((D50&gt;0)," ",(I$1-A50))," ")</f>
        <v> </v>
      </c>
      <c r="J50" s="334" t="str">
        <f aca="false">IF((E50="s"),G50," ")</f>
        <v> </v>
      </c>
      <c r="K50" s="334" t="str">
        <f aca="false">IF((E50="d"),G50," ")</f>
        <v> </v>
      </c>
      <c r="L50" s="334" t="str">
        <f aca="false">IF((E50="e"),G50," ")</f>
        <v> </v>
      </c>
      <c r="M50" s="334" t="str">
        <f aca="false">IF((E50="p"),G50," ")</f>
        <v> </v>
      </c>
      <c r="N50" s="334" t="str">
        <f aca="false">IF((E50="r"),G50," ")</f>
        <v> </v>
      </c>
      <c r="O50" s="334" t="str">
        <f aca="false">IF((E50="g"),G50," ")</f>
        <v> </v>
      </c>
      <c r="P50" s="334" t="str">
        <f aca="false">IF((E50="m"),G50," ")</f>
        <v> </v>
      </c>
      <c r="Q50" s="334" t="str">
        <f aca="false">IF((E50="t"),G50," ")</f>
        <v> </v>
      </c>
      <c r="R50" s="334" t="str">
        <f aca="false">IF((E50="a"),G50," ")</f>
        <v> </v>
      </c>
      <c r="S50" s="334" t="str">
        <f aca="false">IF((E50="l"),G50," ")</f>
        <v> </v>
      </c>
      <c r="T50" s="334" t="str">
        <f aca="false">IF((E50="b"),G50," ")</f>
        <v> </v>
      </c>
      <c r="U50" s="334" t="str">
        <f aca="false">IF((E50="i"),G50," ")</f>
        <v> </v>
      </c>
      <c r="V50" s="334" t="str">
        <f aca="false">IF((E50="o"),G50," ")</f>
        <v> </v>
      </c>
      <c r="W50" s="334" t="str">
        <f aca="false">IF((E50="f"),G50," ")</f>
        <v> </v>
      </c>
    </row>
    <row r="51" customFormat="false" ht="12.75" hidden="false" customHeight="false" outlineLevel="0" collapsed="false">
      <c r="A51" s="355"/>
      <c r="H51" s="338" t="str">
        <f aca="false">IF((G51&lt;&gt;0),IF((D51&gt;0)," ",G51)," ")</f>
        <v> </v>
      </c>
      <c r="I51" s="367" t="str">
        <f aca="false">IF((G51&lt;&gt;0),IF((D51&gt;0)," ",(I$1-A51))," ")</f>
        <v> </v>
      </c>
      <c r="J51" s="334" t="str">
        <f aca="false">IF((E51="s"),G51," ")</f>
        <v> </v>
      </c>
      <c r="K51" s="334" t="str">
        <f aca="false">IF((E51="d"),G51," ")</f>
        <v> </v>
      </c>
      <c r="L51" s="334" t="str">
        <f aca="false">IF((E51="e"),G51," ")</f>
        <v> </v>
      </c>
      <c r="M51" s="334" t="str">
        <f aca="false">IF((E51="p"),G51," ")</f>
        <v> </v>
      </c>
      <c r="N51" s="334" t="str">
        <f aca="false">IF((E51="r"),G51," ")</f>
        <v> </v>
      </c>
      <c r="O51" s="334" t="str">
        <f aca="false">IF((E51="g"),G51," ")</f>
        <v> </v>
      </c>
      <c r="P51" s="334" t="str">
        <f aca="false">IF((E51="m"),G51," ")</f>
        <v> </v>
      </c>
      <c r="Q51" s="334" t="str">
        <f aca="false">IF((E51="t"),G51," ")</f>
        <v> </v>
      </c>
      <c r="R51" s="334" t="str">
        <f aca="false">IF((E51="a"),G51," ")</f>
        <v> </v>
      </c>
      <c r="S51" s="334" t="str">
        <f aca="false">IF((E51="l"),G51," ")</f>
        <v> </v>
      </c>
      <c r="T51" s="334" t="str">
        <f aca="false">IF((E51="b"),G51," ")</f>
        <v> </v>
      </c>
      <c r="U51" s="334" t="str">
        <f aca="false">IF((E51="i"),G51," ")</f>
        <v> </v>
      </c>
      <c r="V51" s="334" t="str">
        <f aca="false">IF((E51="o"),G51," ")</f>
        <v> </v>
      </c>
      <c r="W51" s="334" t="str">
        <f aca="false">IF((E51="f"),G51," ")</f>
        <v> </v>
      </c>
    </row>
    <row r="52" customFormat="false" ht="12.75" hidden="false" customHeight="false" outlineLevel="0" collapsed="false">
      <c r="A52" s="355"/>
      <c r="H52" s="338" t="str">
        <f aca="false">IF((G52&lt;&gt;0),IF((D52&gt;0)," ",G52)," ")</f>
        <v> </v>
      </c>
      <c r="I52" s="367" t="str">
        <f aca="false">IF((G52&lt;&gt;0),IF((D52&gt;0)," ",(I$1-A52))," ")</f>
        <v> </v>
      </c>
      <c r="J52" s="334" t="str">
        <f aca="false">IF((E52="s"),G52," ")</f>
        <v> </v>
      </c>
      <c r="K52" s="334" t="str">
        <f aca="false">IF((E52="d"),G52," ")</f>
        <v> </v>
      </c>
      <c r="L52" s="334" t="str">
        <f aca="false">IF((E52="e"),G52," ")</f>
        <v> </v>
      </c>
      <c r="M52" s="334" t="str">
        <f aca="false">IF((E52="p"),G52," ")</f>
        <v> </v>
      </c>
      <c r="N52" s="334" t="str">
        <f aca="false">IF((E52="r"),G52," ")</f>
        <v> </v>
      </c>
      <c r="O52" s="334" t="str">
        <f aca="false">IF((E52="g"),G52," ")</f>
        <v> </v>
      </c>
      <c r="P52" s="334" t="str">
        <f aca="false">IF((E52="m"),G52," ")</f>
        <v> </v>
      </c>
      <c r="Q52" s="334" t="str">
        <f aca="false">IF((E52="t"),G52," ")</f>
        <v> </v>
      </c>
      <c r="R52" s="334" t="str">
        <f aca="false">IF((E52="a"),G52," ")</f>
        <v> </v>
      </c>
      <c r="S52" s="334" t="str">
        <f aca="false">IF((E52="l"),G52," ")</f>
        <v> </v>
      </c>
      <c r="T52" s="334" t="str">
        <f aca="false">IF((E52="b"),G52," ")</f>
        <v> </v>
      </c>
      <c r="U52" s="334" t="str">
        <f aca="false">IF((E52="i"),G52," ")</f>
        <v> </v>
      </c>
      <c r="V52" s="334" t="str">
        <f aca="false">IF((E52="o"),G52," ")</f>
        <v> </v>
      </c>
      <c r="W52" s="334" t="str">
        <f aca="false">IF((E52="f"),G52," ")</f>
        <v> </v>
      </c>
    </row>
    <row r="53" customFormat="false" ht="12.75" hidden="false" customHeight="false" outlineLevel="0" collapsed="false">
      <c r="A53" s="355"/>
      <c r="H53" s="338" t="str">
        <f aca="false">IF((G53&lt;&gt;0),IF((D53&gt;0)," ",G53)," ")</f>
        <v> </v>
      </c>
      <c r="I53" s="367" t="str">
        <f aca="false">IF((G53&lt;&gt;0),IF((D53&gt;0)," ",(I$1-A53))," ")</f>
        <v> </v>
      </c>
      <c r="J53" s="334" t="str">
        <f aca="false">IF((E53="s"),G53," ")</f>
        <v> </v>
      </c>
      <c r="K53" s="334" t="str">
        <f aca="false">IF((E53="d"),G53," ")</f>
        <v> </v>
      </c>
      <c r="L53" s="334" t="str">
        <f aca="false">IF((E53="e"),G53," ")</f>
        <v> </v>
      </c>
      <c r="M53" s="334" t="str">
        <f aca="false">IF((E53="p"),G53," ")</f>
        <v> </v>
      </c>
      <c r="N53" s="334" t="str">
        <f aca="false">IF((E53="r"),G53," ")</f>
        <v> </v>
      </c>
      <c r="O53" s="334" t="str">
        <f aca="false">IF((E53="g"),G53," ")</f>
        <v> </v>
      </c>
      <c r="P53" s="334" t="str">
        <f aca="false">IF((E53="m"),G53," ")</f>
        <v> </v>
      </c>
      <c r="Q53" s="334" t="str">
        <f aca="false">IF((E53="t"),G53," ")</f>
        <v> </v>
      </c>
      <c r="R53" s="334" t="str">
        <f aca="false">IF((E53="a"),G53," ")</f>
        <v> </v>
      </c>
      <c r="S53" s="334" t="str">
        <f aca="false">IF((E53="l"),G53," ")</f>
        <v> </v>
      </c>
      <c r="T53" s="334" t="str">
        <f aca="false">IF((E53="b"),G53," ")</f>
        <v> </v>
      </c>
      <c r="U53" s="334" t="str">
        <f aca="false">IF((E53="i"),G53," ")</f>
        <v> </v>
      </c>
      <c r="V53" s="334" t="str">
        <f aca="false">IF((E53="o"),G53," ")</f>
        <v> </v>
      </c>
      <c r="W53" s="334" t="str">
        <f aca="false">IF((E53="f"),G53," ")</f>
        <v> </v>
      </c>
    </row>
    <row r="54" customFormat="false" ht="12.75" hidden="false" customHeight="false" outlineLevel="0" collapsed="false">
      <c r="A54" s="355"/>
      <c r="H54" s="338" t="str">
        <f aca="false">IF((G54&lt;&gt;0),IF((D54&gt;0)," ",G54)," ")</f>
        <v> </v>
      </c>
      <c r="I54" s="367" t="str">
        <f aca="false">IF((G54&lt;&gt;0),IF((D54&gt;0)," ",(I$1-A54))," ")</f>
        <v> </v>
      </c>
      <c r="J54" s="334" t="str">
        <f aca="false">IF((E54="s"),G54," ")</f>
        <v> </v>
      </c>
      <c r="K54" s="334" t="str">
        <f aca="false">IF((E54="d"),G54," ")</f>
        <v> </v>
      </c>
      <c r="L54" s="334" t="str">
        <f aca="false">IF((E54="e"),G54," ")</f>
        <v> </v>
      </c>
      <c r="M54" s="334" t="str">
        <f aca="false">IF((E54="p"),G54," ")</f>
        <v> </v>
      </c>
      <c r="N54" s="334" t="str">
        <f aca="false">IF((E54="r"),G54," ")</f>
        <v> </v>
      </c>
      <c r="O54" s="334" t="str">
        <f aca="false">IF((E54="g"),G54," ")</f>
        <v> </v>
      </c>
      <c r="P54" s="334" t="str">
        <f aca="false">IF((E54="m"),G54," ")</f>
        <v> </v>
      </c>
      <c r="Q54" s="334" t="str">
        <f aca="false">IF((E54="t"),G54," ")</f>
        <v> </v>
      </c>
      <c r="R54" s="334" t="str">
        <f aca="false">IF((E54="a"),G54," ")</f>
        <v> </v>
      </c>
      <c r="S54" s="334" t="str">
        <f aca="false">IF((E54="l"),G54," ")</f>
        <v> </v>
      </c>
      <c r="T54" s="334" t="str">
        <f aca="false">IF((E54="b"),G54," ")</f>
        <v> </v>
      </c>
      <c r="U54" s="334" t="str">
        <f aca="false">IF((E54="i"),G54," ")</f>
        <v> </v>
      </c>
      <c r="V54" s="334" t="str">
        <f aca="false">IF((E54="o"),G54," ")</f>
        <v> </v>
      </c>
      <c r="W54" s="334" t="str">
        <f aca="false">IF((E54="f"),G54," ")</f>
        <v> </v>
      </c>
    </row>
    <row r="55" customFormat="false" ht="12.75" hidden="false" customHeight="false" outlineLevel="0" collapsed="false">
      <c r="A55" s="355"/>
      <c r="H55" s="338" t="str">
        <f aca="false">IF((G55&lt;&gt;0),IF((D55&gt;0)," ",G55)," ")</f>
        <v> </v>
      </c>
      <c r="I55" s="367" t="str">
        <f aca="false">IF((G55&lt;&gt;0),IF((D55&gt;0)," ",(I$1-A55))," ")</f>
        <v> </v>
      </c>
      <c r="J55" s="334" t="str">
        <f aca="false">IF((E55="s"),G55," ")</f>
        <v> </v>
      </c>
      <c r="K55" s="334" t="str">
        <f aca="false">IF((E55="d"),G55," ")</f>
        <v> </v>
      </c>
      <c r="L55" s="334" t="str">
        <f aca="false">IF((E55="e"),G55," ")</f>
        <v> </v>
      </c>
      <c r="M55" s="334" t="str">
        <f aca="false">IF((E55="p"),G55," ")</f>
        <v> </v>
      </c>
      <c r="N55" s="334" t="str">
        <f aca="false">IF((E55="r"),G55," ")</f>
        <v> </v>
      </c>
      <c r="O55" s="334" t="str">
        <f aca="false">IF((E55="g"),G55," ")</f>
        <v> </v>
      </c>
      <c r="P55" s="334" t="str">
        <f aca="false">IF((E55="m"),G55," ")</f>
        <v> </v>
      </c>
      <c r="Q55" s="334" t="str">
        <f aca="false">IF((E55="t"),G55," ")</f>
        <v> </v>
      </c>
      <c r="R55" s="334" t="str">
        <f aca="false">IF((E55="a"),G55," ")</f>
        <v> </v>
      </c>
      <c r="S55" s="334" t="str">
        <f aca="false">IF((E55="l"),G55," ")</f>
        <v> </v>
      </c>
      <c r="T55" s="334" t="str">
        <f aca="false">IF((E55="b"),G55," ")</f>
        <v> </v>
      </c>
      <c r="U55" s="334" t="str">
        <f aca="false">IF((E55="i"),G55," ")</f>
        <v> </v>
      </c>
      <c r="V55" s="334" t="str">
        <f aca="false">IF((E55="o"),G55," ")</f>
        <v> </v>
      </c>
      <c r="W55" s="334" t="str">
        <f aca="false">IF((E55="f"),G55," ")</f>
        <v> </v>
      </c>
    </row>
    <row r="56" customFormat="false" ht="12.75" hidden="false" customHeight="false" outlineLevel="0" collapsed="false">
      <c r="A56" s="355"/>
      <c r="H56" s="338" t="str">
        <f aca="false">IF((G56&lt;&gt;0),IF((D56&gt;0)," ",G56)," ")</f>
        <v> </v>
      </c>
      <c r="I56" s="367" t="str">
        <f aca="false">IF((G56&lt;&gt;0),IF((D56&gt;0)," ",(I$1-A56))," ")</f>
        <v> </v>
      </c>
      <c r="J56" s="334" t="str">
        <f aca="false">IF((E56="s"),G56," ")</f>
        <v> </v>
      </c>
      <c r="K56" s="334" t="str">
        <f aca="false">IF((E56="d"),G56," ")</f>
        <v> </v>
      </c>
      <c r="L56" s="334" t="str">
        <f aca="false">IF((E56="e"),G56," ")</f>
        <v> </v>
      </c>
      <c r="M56" s="334" t="str">
        <f aca="false">IF((E56="p"),G56," ")</f>
        <v> </v>
      </c>
      <c r="N56" s="334" t="str">
        <f aca="false">IF((E56="r"),G56," ")</f>
        <v> </v>
      </c>
      <c r="O56" s="334" t="str">
        <f aca="false">IF((E56="g"),G56," ")</f>
        <v> </v>
      </c>
      <c r="P56" s="334" t="str">
        <f aca="false">IF((E56="m"),G56," ")</f>
        <v> </v>
      </c>
      <c r="Q56" s="334" t="str">
        <f aca="false">IF((E56="t"),G56," ")</f>
        <v> </v>
      </c>
      <c r="R56" s="334" t="str">
        <f aca="false">IF((E56="a"),G56," ")</f>
        <v> </v>
      </c>
      <c r="S56" s="334" t="str">
        <f aca="false">IF((E56="l"),G56," ")</f>
        <v> </v>
      </c>
      <c r="T56" s="334" t="str">
        <f aca="false">IF((E56="b"),G56," ")</f>
        <v> </v>
      </c>
      <c r="U56" s="334" t="str">
        <f aca="false">IF((E56="i"),G56," ")</f>
        <v> </v>
      </c>
      <c r="V56" s="334" t="str">
        <f aca="false">IF((E56="o"),G56," ")</f>
        <v> </v>
      </c>
      <c r="W56" s="334" t="str">
        <f aca="false">IF((E56="f"),G56," ")</f>
        <v> </v>
      </c>
    </row>
    <row r="57" customFormat="false" ht="12.75" hidden="false" customHeight="false" outlineLevel="0" collapsed="false">
      <c r="A57" s="355"/>
      <c r="H57" s="338" t="str">
        <f aca="false">IF((G57&lt;&gt;0),IF((D57&gt;0)," ",G57)," ")</f>
        <v> </v>
      </c>
      <c r="I57" s="367" t="str">
        <f aca="false">IF((G57&lt;&gt;0),IF((D57&gt;0)," ",(I$1-A57))," ")</f>
        <v> </v>
      </c>
      <c r="J57" s="334" t="str">
        <f aca="false">IF((E57="s"),G57," ")</f>
        <v> </v>
      </c>
      <c r="K57" s="334" t="str">
        <f aca="false">IF((E57="d"),G57," ")</f>
        <v> </v>
      </c>
      <c r="L57" s="334" t="str">
        <f aca="false">IF((E57="e"),G57," ")</f>
        <v> </v>
      </c>
      <c r="M57" s="334" t="str">
        <f aca="false">IF((E57="p"),G57," ")</f>
        <v> </v>
      </c>
      <c r="N57" s="334" t="str">
        <f aca="false">IF((E57="r"),G57," ")</f>
        <v> </v>
      </c>
      <c r="O57" s="334" t="str">
        <f aca="false">IF((E57="g"),G57," ")</f>
        <v> </v>
      </c>
      <c r="P57" s="334" t="str">
        <f aca="false">IF((E57="m"),G57," ")</f>
        <v> </v>
      </c>
      <c r="Q57" s="334" t="str">
        <f aca="false">IF((E57="t"),G57," ")</f>
        <v> </v>
      </c>
      <c r="R57" s="334" t="str">
        <f aca="false">IF((E57="a"),G57," ")</f>
        <v> </v>
      </c>
      <c r="S57" s="334" t="str">
        <f aca="false">IF((E57="l"),G57," ")</f>
        <v> </v>
      </c>
      <c r="T57" s="334" t="str">
        <f aca="false">IF((E57="b"),G57," ")</f>
        <v> </v>
      </c>
      <c r="U57" s="334" t="str">
        <f aca="false">IF((E57="i"),G57," ")</f>
        <v> </v>
      </c>
      <c r="V57" s="334" t="str">
        <f aca="false">IF((E57="o"),G57," ")</f>
        <v> </v>
      </c>
      <c r="W57" s="334" t="str">
        <f aca="false">IF((E57="f"),G57," ")</f>
        <v> </v>
      </c>
    </row>
    <row r="58" customFormat="false" ht="12.75" hidden="false" customHeight="false" outlineLevel="0" collapsed="false">
      <c r="A58" s="355"/>
      <c r="H58" s="338" t="str">
        <f aca="false">IF((G58&lt;&gt;0),IF((D58&gt;0)," ",G58)," ")</f>
        <v> </v>
      </c>
      <c r="I58" s="367" t="str">
        <f aca="false">IF((G58&lt;&gt;0),IF((D58&gt;0)," ",(I$1-A58))," ")</f>
        <v> </v>
      </c>
      <c r="J58" s="334" t="str">
        <f aca="false">IF((E58="s"),G58," ")</f>
        <v> </v>
      </c>
      <c r="K58" s="334" t="str">
        <f aca="false">IF((E58="d"),G58," ")</f>
        <v> </v>
      </c>
      <c r="L58" s="334" t="str">
        <f aca="false">IF((E58="e"),G58," ")</f>
        <v> </v>
      </c>
      <c r="M58" s="334" t="str">
        <f aca="false">IF((E58="p"),G58," ")</f>
        <v> </v>
      </c>
      <c r="N58" s="334" t="str">
        <f aca="false">IF((E58="r"),G58," ")</f>
        <v> </v>
      </c>
      <c r="O58" s="334" t="str">
        <f aca="false">IF((E58="g"),G58," ")</f>
        <v> </v>
      </c>
      <c r="P58" s="334" t="str">
        <f aca="false">IF((E58="m"),G58," ")</f>
        <v> </v>
      </c>
      <c r="Q58" s="334" t="str">
        <f aca="false">IF((E58="t"),G58," ")</f>
        <v> </v>
      </c>
      <c r="R58" s="334" t="str">
        <f aca="false">IF((E58="a"),G58," ")</f>
        <v> </v>
      </c>
      <c r="S58" s="334" t="str">
        <f aca="false">IF((E58="l"),G58," ")</f>
        <v> </v>
      </c>
      <c r="T58" s="334" t="str">
        <f aca="false">IF((E58="b"),G58," ")</f>
        <v> </v>
      </c>
      <c r="U58" s="334" t="str">
        <f aca="false">IF((E58="i"),G58," ")</f>
        <v> </v>
      </c>
      <c r="V58" s="334" t="str">
        <f aca="false">IF((E58="o"),G58," ")</f>
        <v> </v>
      </c>
      <c r="W58" s="334" t="str">
        <f aca="false">IF((E58="f"),G58," ")</f>
        <v> </v>
      </c>
    </row>
    <row r="59" customFormat="false" ht="12.75" hidden="false" customHeight="false" outlineLevel="0" collapsed="false">
      <c r="A59" s="355"/>
      <c r="H59" s="338" t="str">
        <f aca="false">IF((G59&lt;&gt;0),IF((D59&gt;0)," ",G59)," ")</f>
        <v> </v>
      </c>
      <c r="I59" s="367" t="str">
        <f aca="false">IF((G59&lt;&gt;0),IF((D59&gt;0)," ",(I$1-A59))," ")</f>
        <v> </v>
      </c>
      <c r="J59" s="334" t="str">
        <f aca="false">IF((E59="s"),G59," ")</f>
        <v> </v>
      </c>
      <c r="K59" s="334" t="str">
        <f aca="false">IF((E59="d"),G59," ")</f>
        <v> </v>
      </c>
      <c r="L59" s="334" t="str">
        <f aca="false">IF((E59="e"),G59," ")</f>
        <v> </v>
      </c>
      <c r="M59" s="334" t="str">
        <f aca="false">IF((E59="p"),G59," ")</f>
        <v> </v>
      </c>
      <c r="N59" s="334" t="str">
        <f aca="false">IF((E59="r"),G59," ")</f>
        <v> </v>
      </c>
      <c r="O59" s="334" t="str">
        <f aca="false">IF((E59="g"),G59," ")</f>
        <v> </v>
      </c>
      <c r="P59" s="334" t="str">
        <f aca="false">IF((E59="m"),G59," ")</f>
        <v> </v>
      </c>
      <c r="Q59" s="334" t="str">
        <f aca="false">IF((E59="t"),G59," ")</f>
        <v> </v>
      </c>
      <c r="R59" s="334" t="str">
        <f aca="false">IF((E59="a"),G59," ")</f>
        <v> </v>
      </c>
      <c r="S59" s="334" t="str">
        <f aca="false">IF((E59="l"),G59," ")</f>
        <v> </v>
      </c>
      <c r="T59" s="334" t="str">
        <f aca="false">IF((E59="b"),G59," ")</f>
        <v> </v>
      </c>
      <c r="U59" s="334" t="str">
        <f aca="false">IF((E59="i"),G59," ")</f>
        <v> </v>
      </c>
      <c r="V59" s="334" t="str">
        <f aca="false">IF((E59="o"),G59," ")</f>
        <v> </v>
      </c>
      <c r="W59" s="334" t="str">
        <f aca="false">IF((E59="f"),G59," ")</f>
        <v> </v>
      </c>
    </row>
    <row r="60" customFormat="false" ht="12.75" hidden="false" customHeight="false" outlineLevel="0" collapsed="false">
      <c r="A60" s="355"/>
      <c r="H60" s="338" t="str">
        <f aca="false">IF((G60&lt;&gt;0),IF((D60&gt;0)," ",G60)," ")</f>
        <v> </v>
      </c>
      <c r="I60" s="367" t="str">
        <f aca="false">IF((G60&lt;&gt;0),IF((D60&gt;0)," ",(I$1-A60))," ")</f>
        <v> </v>
      </c>
      <c r="J60" s="334" t="str">
        <f aca="false">IF((E60="s"),G60," ")</f>
        <v> </v>
      </c>
      <c r="K60" s="334" t="str">
        <f aca="false">IF((E60="d"),G60," ")</f>
        <v> </v>
      </c>
      <c r="L60" s="334" t="str">
        <f aca="false">IF((E60="e"),G60," ")</f>
        <v> </v>
      </c>
      <c r="M60" s="334" t="str">
        <f aca="false">IF((E60="p"),G60," ")</f>
        <v> </v>
      </c>
      <c r="N60" s="334" t="str">
        <f aca="false">IF((E60="r"),G60," ")</f>
        <v> </v>
      </c>
      <c r="O60" s="334" t="str">
        <f aca="false">IF((E60="g"),G60," ")</f>
        <v> </v>
      </c>
      <c r="P60" s="334" t="str">
        <f aca="false">IF((E60="m"),G60," ")</f>
        <v> </v>
      </c>
      <c r="Q60" s="334" t="str">
        <f aca="false">IF((E60="t"),G60," ")</f>
        <v> </v>
      </c>
      <c r="R60" s="334" t="str">
        <f aca="false">IF((E60="a"),G60," ")</f>
        <v> </v>
      </c>
      <c r="S60" s="334" t="str">
        <f aca="false">IF((E60="l"),G60," ")</f>
        <v> </v>
      </c>
      <c r="T60" s="334" t="str">
        <f aca="false">IF((E60="b"),G60," ")</f>
        <v> </v>
      </c>
      <c r="U60" s="334" t="str">
        <f aca="false">IF((E60="i"),G60," ")</f>
        <v> </v>
      </c>
      <c r="V60" s="334" t="str">
        <f aca="false">IF((E60="o"),G60," ")</f>
        <v> </v>
      </c>
      <c r="W60" s="334" t="str">
        <f aca="false">IF((E60="f"),G60," ")</f>
        <v> </v>
      </c>
    </row>
    <row r="61" customFormat="false" ht="12.75" hidden="false" customHeight="false" outlineLevel="0" collapsed="false">
      <c r="A61" s="355"/>
      <c r="H61" s="338" t="str">
        <f aca="false">IF((G61&lt;&gt;0),IF((D61&gt;0)," ",G61)," ")</f>
        <v> </v>
      </c>
      <c r="I61" s="367" t="str">
        <f aca="false">IF((G61&lt;&gt;0),IF((D61&gt;0)," ",(I$1-A61))," ")</f>
        <v> </v>
      </c>
      <c r="J61" s="334" t="str">
        <f aca="false">IF((E61="s"),G61," ")</f>
        <v> </v>
      </c>
      <c r="K61" s="334" t="str">
        <f aca="false">IF((E61="d"),G61," ")</f>
        <v> </v>
      </c>
      <c r="L61" s="334" t="str">
        <f aca="false">IF((E61="e"),G61," ")</f>
        <v> </v>
      </c>
      <c r="M61" s="334" t="str">
        <f aca="false">IF((E61="p"),G61," ")</f>
        <v> </v>
      </c>
      <c r="N61" s="334" t="str">
        <f aca="false">IF((E61="r"),G61," ")</f>
        <v> </v>
      </c>
      <c r="O61" s="334" t="str">
        <f aca="false">IF((E61="g"),G61," ")</f>
        <v> </v>
      </c>
      <c r="P61" s="334" t="str">
        <f aca="false">IF((E61="m"),G61," ")</f>
        <v> </v>
      </c>
      <c r="Q61" s="334" t="str">
        <f aca="false">IF((E61="t"),G61," ")</f>
        <v> </v>
      </c>
      <c r="R61" s="334" t="str">
        <f aca="false">IF((E61="a"),G61," ")</f>
        <v> </v>
      </c>
      <c r="S61" s="334" t="str">
        <f aca="false">IF((E61="l"),G61," ")</f>
        <v> </v>
      </c>
      <c r="T61" s="334" t="str">
        <f aca="false">IF((E61="b"),G61," ")</f>
        <v> </v>
      </c>
      <c r="U61" s="334" t="str">
        <f aca="false">IF((E61="i"),G61," ")</f>
        <v> </v>
      </c>
      <c r="V61" s="334" t="str">
        <f aca="false">IF((E61="o"),G61," ")</f>
        <v> </v>
      </c>
      <c r="W61" s="334" t="str">
        <f aca="false">IF((E61="f"),G61," ")</f>
        <v> </v>
      </c>
    </row>
    <row r="62" customFormat="false" ht="12.75" hidden="false" customHeight="false" outlineLevel="0" collapsed="false">
      <c r="A62" s="355"/>
      <c r="H62" s="338" t="str">
        <f aca="false">IF((G62&lt;&gt;0),IF((D62&gt;0)," ",G62)," ")</f>
        <v> </v>
      </c>
      <c r="I62" s="367" t="str">
        <f aca="false">IF((G62&lt;&gt;0),IF((D62&gt;0)," ",(I$1-A62))," ")</f>
        <v> </v>
      </c>
      <c r="J62" s="334" t="str">
        <f aca="false">IF((E62="s"),G62," ")</f>
        <v> </v>
      </c>
      <c r="K62" s="334" t="str">
        <f aca="false">IF((E62="d"),G62," ")</f>
        <v> </v>
      </c>
      <c r="L62" s="334" t="str">
        <f aca="false">IF((E62="e"),G62," ")</f>
        <v> </v>
      </c>
      <c r="M62" s="334" t="str">
        <f aca="false">IF((E62="p"),G62," ")</f>
        <v> </v>
      </c>
      <c r="N62" s="334" t="str">
        <f aca="false">IF((E62="r"),G62," ")</f>
        <v> </v>
      </c>
      <c r="O62" s="334" t="str">
        <f aca="false">IF((E62="g"),G62," ")</f>
        <v> </v>
      </c>
      <c r="P62" s="334" t="str">
        <f aca="false">IF((E62="m"),G62," ")</f>
        <v> </v>
      </c>
      <c r="Q62" s="334" t="str">
        <f aca="false">IF((E62="t"),G62," ")</f>
        <v> </v>
      </c>
      <c r="R62" s="334" t="str">
        <f aca="false">IF((E62="a"),G62," ")</f>
        <v> </v>
      </c>
      <c r="S62" s="334" t="str">
        <f aca="false">IF((E62="l"),G62," ")</f>
        <v> </v>
      </c>
      <c r="T62" s="334" t="str">
        <f aca="false">IF((E62="b"),G62," ")</f>
        <v> </v>
      </c>
      <c r="U62" s="334" t="str">
        <f aca="false">IF((E62="i"),G62," ")</f>
        <v> </v>
      </c>
      <c r="V62" s="334" t="str">
        <f aca="false">IF((E62="o"),G62," ")</f>
        <v> </v>
      </c>
      <c r="W62" s="334" t="str">
        <f aca="false">IF((E62="f"),G62," ")</f>
        <v> </v>
      </c>
    </row>
    <row r="63" customFormat="false" ht="12.75" hidden="false" customHeight="false" outlineLevel="0" collapsed="false">
      <c r="A63" s="355"/>
      <c r="H63" s="338" t="str">
        <f aca="false">IF((G63&lt;&gt;0),IF((D63&gt;0)," ",G63)," ")</f>
        <v> </v>
      </c>
      <c r="I63" s="367" t="str">
        <f aca="false">IF((G63&lt;&gt;0),IF((D63&gt;0)," ",(I$1-A63))," ")</f>
        <v> </v>
      </c>
      <c r="J63" s="334" t="str">
        <f aca="false">IF((E63="s"),G63," ")</f>
        <v> </v>
      </c>
      <c r="K63" s="334" t="str">
        <f aca="false">IF((E63="d"),G63," ")</f>
        <v> </v>
      </c>
      <c r="L63" s="334" t="str">
        <f aca="false">IF((E63="e"),G63," ")</f>
        <v> </v>
      </c>
      <c r="M63" s="334" t="str">
        <f aca="false">IF((E63="p"),G63," ")</f>
        <v> </v>
      </c>
      <c r="N63" s="334" t="str">
        <f aca="false">IF((E63="r"),G63," ")</f>
        <v> </v>
      </c>
      <c r="O63" s="334" t="str">
        <f aca="false">IF((E63="g"),G63," ")</f>
        <v> </v>
      </c>
      <c r="P63" s="334" t="str">
        <f aca="false">IF((E63="m"),G63," ")</f>
        <v> </v>
      </c>
      <c r="Q63" s="334" t="str">
        <f aca="false">IF((E63="t"),G63," ")</f>
        <v> </v>
      </c>
      <c r="R63" s="334" t="str">
        <f aca="false">IF((E63="a"),G63," ")</f>
        <v> </v>
      </c>
      <c r="S63" s="334" t="str">
        <f aca="false">IF((E63="l"),G63," ")</f>
        <v> </v>
      </c>
      <c r="T63" s="334" t="str">
        <f aca="false">IF((E63="b"),G63," ")</f>
        <v> </v>
      </c>
      <c r="U63" s="334" t="str">
        <f aca="false">IF((E63="i"),G63," ")</f>
        <v> </v>
      </c>
      <c r="V63" s="334" t="str">
        <f aca="false">IF((E63="o"),G63," ")</f>
        <v> </v>
      </c>
      <c r="W63" s="334" t="str">
        <f aca="false">IF((E63="f"),G63," ")</f>
        <v> </v>
      </c>
    </row>
    <row r="64" customFormat="false" ht="12.75" hidden="false" customHeight="false" outlineLevel="0" collapsed="false">
      <c r="A64" s="355"/>
      <c r="H64" s="338" t="str">
        <f aca="false">IF((G64&lt;&gt;0),IF((D64&gt;0)," ",G64)," ")</f>
        <v> </v>
      </c>
      <c r="I64" s="367" t="str">
        <f aca="false">IF((G64&lt;&gt;0),IF((D64&gt;0)," ",(I$1-A64))," ")</f>
        <v> </v>
      </c>
      <c r="J64" s="334" t="str">
        <f aca="false">IF((E64="s"),G64," ")</f>
        <v> </v>
      </c>
      <c r="K64" s="334" t="str">
        <f aca="false">IF((E64="d"),G64," ")</f>
        <v> </v>
      </c>
      <c r="L64" s="334" t="str">
        <f aca="false">IF((E64="e"),G64," ")</f>
        <v> </v>
      </c>
      <c r="M64" s="334" t="str">
        <f aca="false">IF((E64="p"),G64," ")</f>
        <v> </v>
      </c>
      <c r="N64" s="334" t="str">
        <f aca="false">IF((E64="r"),G64," ")</f>
        <v> </v>
      </c>
      <c r="O64" s="334" t="str">
        <f aca="false">IF((E64="g"),G64," ")</f>
        <v> </v>
      </c>
      <c r="P64" s="334" t="str">
        <f aca="false">IF((E64="m"),G64," ")</f>
        <v> </v>
      </c>
      <c r="Q64" s="334" t="str">
        <f aca="false">IF((E64="t"),G64," ")</f>
        <v> </v>
      </c>
      <c r="R64" s="334" t="str">
        <f aca="false">IF((E64="a"),G64," ")</f>
        <v> </v>
      </c>
      <c r="S64" s="334" t="str">
        <f aca="false">IF((E64="l"),G64," ")</f>
        <v> </v>
      </c>
      <c r="T64" s="334" t="str">
        <f aca="false">IF((E64="b"),G64," ")</f>
        <v> </v>
      </c>
      <c r="U64" s="334" t="str">
        <f aca="false">IF((E64="i"),G64," ")</f>
        <v> </v>
      </c>
      <c r="V64" s="334" t="str">
        <f aca="false">IF((E64="o"),G64," ")</f>
        <v> </v>
      </c>
      <c r="W64" s="334" t="str">
        <f aca="false">IF((E64="f"),G64," ")</f>
        <v> </v>
      </c>
    </row>
    <row r="65" customFormat="false" ht="12.75" hidden="false" customHeight="false" outlineLevel="0" collapsed="false">
      <c r="A65" s="355"/>
      <c r="H65" s="338" t="str">
        <f aca="false">IF((G65&lt;&gt;0),IF((D65&gt;0)," ",G65)," ")</f>
        <v> </v>
      </c>
      <c r="I65" s="367" t="str">
        <f aca="false">IF((G65&lt;&gt;0),IF((D65&gt;0)," ",(I$1-A65))," ")</f>
        <v> </v>
      </c>
      <c r="J65" s="334" t="str">
        <f aca="false">IF((E65="s"),G65," ")</f>
        <v> </v>
      </c>
      <c r="K65" s="334" t="str">
        <f aca="false">IF((E65="d"),G65," ")</f>
        <v> </v>
      </c>
      <c r="L65" s="334" t="str">
        <f aca="false">IF((E65="e"),G65," ")</f>
        <v> </v>
      </c>
      <c r="M65" s="334" t="str">
        <f aca="false">IF((E65="p"),G65," ")</f>
        <v> </v>
      </c>
      <c r="N65" s="334" t="str">
        <f aca="false">IF((E65="r"),G65," ")</f>
        <v> </v>
      </c>
      <c r="O65" s="334" t="str">
        <f aca="false">IF((E65="g"),G65," ")</f>
        <v> </v>
      </c>
      <c r="P65" s="334" t="str">
        <f aca="false">IF((E65="m"),G65," ")</f>
        <v> </v>
      </c>
      <c r="Q65" s="334" t="str">
        <f aca="false">IF((E65="t"),G65," ")</f>
        <v> </v>
      </c>
      <c r="R65" s="334" t="str">
        <f aca="false">IF((E65="a"),G65," ")</f>
        <v> </v>
      </c>
      <c r="S65" s="334" t="str">
        <f aca="false">IF((E65="l"),G65," ")</f>
        <v> </v>
      </c>
      <c r="T65" s="334" t="str">
        <f aca="false">IF((E65="b"),G65," ")</f>
        <v> </v>
      </c>
      <c r="U65" s="334" t="str">
        <f aca="false">IF((E65="i"),G65," ")</f>
        <v> </v>
      </c>
      <c r="V65" s="334" t="str">
        <f aca="false">IF((E65="o"),G65," ")</f>
        <v> </v>
      </c>
      <c r="W65" s="334" t="str">
        <f aca="false">IF((E65="f"),G65," ")</f>
        <v> </v>
      </c>
    </row>
    <row r="66" customFormat="false" ht="12.75" hidden="false" customHeight="false" outlineLevel="0" collapsed="false">
      <c r="A66" s="355"/>
      <c r="H66" s="338" t="str">
        <f aca="false">IF((G66&lt;&gt;0),IF((D66&gt;0)," ",G66)," ")</f>
        <v> </v>
      </c>
      <c r="I66" s="367" t="str">
        <f aca="false">IF((G66&lt;&gt;0),IF((D66&gt;0)," ",(I$1-A66))," ")</f>
        <v> </v>
      </c>
      <c r="J66" s="334" t="str">
        <f aca="false">IF((E66="s"),G66," ")</f>
        <v> </v>
      </c>
      <c r="K66" s="334" t="str">
        <f aca="false">IF((E66="d"),G66," ")</f>
        <v> </v>
      </c>
      <c r="L66" s="334" t="str">
        <f aca="false">IF((E66="e"),G66," ")</f>
        <v> </v>
      </c>
      <c r="M66" s="334" t="str">
        <f aca="false">IF((E66="p"),G66," ")</f>
        <v> </v>
      </c>
      <c r="N66" s="334" t="str">
        <f aca="false">IF((E66="r"),G66," ")</f>
        <v> </v>
      </c>
      <c r="O66" s="334" t="str">
        <f aca="false">IF((E66="g"),G66," ")</f>
        <v> </v>
      </c>
      <c r="P66" s="334" t="str">
        <f aca="false">IF((E66="m"),G66," ")</f>
        <v> </v>
      </c>
      <c r="Q66" s="334" t="str">
        <f aca="false">IF((E66="t"),G66," ")</f>
        <v> </v>
      </c>
      <c r="R66" s="334" t="str">
        <f aca="false">IF((E66="a"),G66," ")</f>
        <v> </v>
      </c>
      <c r="S66" s="334" t="str">
        <f aca="false">IF((E66="l"),G66," ")</f>
        <v> </v>
      </c>
      <c r="T66" s="334" t="str">
        <f aca="false">IF((E66="b"),G66," ")</f>
        <v> </v>
      </c>
      <c r="U66" s="334" t="str">
        <f aca="false">IF((E66="i"),G66," ")</f>
        <v> </v>
      </c>
      <c r="V66" s="334" t="str">
        <f aca="false">IF((E66="o"),G66," ")</f>
        <v> </v>
      </c>
      <c r="W66" s="334" t="str">
        <f aca="false">IF((E66="f"),G66," ")</f>
        <v> </v>
      </c>
    </row>
    <row r="67" customFormat="false" ht="12.75" hidden="false" customHeight="false" outlineLevel="0" collapsed="false">
      <c r="A67" s="355"/>
      <c r="H67" s="338" t="str">
        <f aca="false">IF((G67&lt;&gt;0),IF((D67&gt;0)," ",G67)," ")</f>
        <v> </v>
      </c>
      <c r="I67" s="367" t="str">
        <f aca="false">IF((G67&lt;&gt;0),IF((D67&gt;0)," ",(I$1-A67))," ")</f>
        <v> </v>
      </c>
      <c r="J67" s="334" t="str">
        <f aca="false">IF((E67="s"),G67," ")</f>
        <v> </v>
      </c>
      <c r="K67" s="334" t="str">
        <f aca="false">IF((E67="d"),G67," ")</f>
        <v> </v>
      </c>
      <c r="L67" s="334" t="str">
        <f aca="false">IF((E67="e"),G67," ")</f>
        <v> </v>
      </c>
      <c r="M67" s="334" t="str">
        <f aca="false">IF((E67="p"),G67," ")</f>
        <v> </v>
      </c>
      <c r="N67" s="334" t="str">
        <f aca="false">IF((E67="r"),G67," ")</f>
        <v> </v>
      </c>
      <c r="O67" s="334" t="str">
        <f aca="false">IF((E67="g"),G67," ")</f>
        <v> </v>
      </c>
      <c r="P67" s="334" t="str">
        <f aca="false">IF((E67="m"),G67," ")</f>
        <v> </v>
      </c>
      <c r="Q67" s="334" t="str">
        <f aca="false">IF((E67="t"),G67," ")</f>
        <v> </v>
      </c>
      <c r="R67" s="334" t="str">
        <f aca="false">IF((E67="a"),G67," ")</f>
        <v> </v>
      </c>
      <c r="S67" s="334" t="str">
        <f aca="false">IF((E67="l"),G67," ")</f>
        <v> </v>
      </c>
      <c r="T67" s="334" t="str">
        <f aca="false">IF((E67="b"),G67," ")</f>
        <v> </v>
      </c>
      <c r="U67" s="334" t="str">
        <f aca="false">IF((E67="i"),G67," ")</f>
        <v> </v>
      </c>
      <c r="V67" s="334" t="str">
        <f aca="false">IF((E67="o"),G67," ")</f>
        <v> </v>
      </c>
      <c r="W67" s="334" t="str">
        <f aca="false">IF((E67="f"),G67," ")</f>
        <v> </v>
      </c>
    </row>
    <row r="68" customFormat="false" ht="12.75" hidden="false" customHeight="false" outlineLevel="0" collapsed="false">
      <c r="A68" s="355"/>
      <c r="H68" s="338" t="str">
        <f aca="false">IF((G68&lt;&gt;0),IF((D68&gt;0)," ",G68)," ")</f>
        <v> </v>
      </c>
      <c r="I68" s="367" t="str">
        <f aca="false">IF((G68&lt;&gt;0),IF((D68&gt;0)," ",(I$1-A68))," ")</f>
        <v> </v>
      </c>
      <c r="J68" s="334" t="str">
        <f aca="false">IF((E68="s"),G68," ")</f>
        <v> </v>
      </c>
      <c r="K68" s="334" t="str">
        <f aca="false">IF((E68="d"),G68," ")</f>
        <v> </v>
      </c>
      <c r="L68" s="334" t="str">
        <f aca="false">IF((E68="e"),G68," ")</f>
        <v> </v>
      </c>
      <c r="M68" s="334" t="str">
        <f aca="false">IF((E68="p"),G68," ")</f>
        <v> </v>
      </c>
      <c r="N68" s="334" t="str">
        <f aca="false">IF((E68="r"),G68," ")</f>
        <v> </v>
      </c>
      <c r="O68" s="334" t="str">
        <f aca="false">IF((E68="g"),G68," ")</f>
        <v> </v>
      </c>
      <c r="P68" s="334" t="str">
        <f aca="false">IF((E68="m"),G68," ")</f>
        <v> </v>
      </c>
      <c r="Q68" s="334" t="str">
        <f aca="false">IF((E68="t"),G68," ")</f>
        <v> </v>
      </c>
      <c r="R68" s="334" t="str">
        <f aca="false">IF((E68="a"),G68," ")</f>
        <v> </v>
      </c>
      <c r="S68" s="334" t="str">
        <f aca="false">IF((E68="l"),G68," ")</f>
        <v> </v>
      </c>
      <c r="T68" s="334" t="str">
        <f aca="false">IF((E68="b"),G68," ")</f>
        <v> </v>
      </c>
      <c r="U68" s="334" t="str">
        <f aca="false">IF((E68="i"),G68," ")</f>
        <v> </v>
      </c>
      <c r="V68" s="334" t="str">
        <f aca="false">IF((E68="o"),G68," ")</f>
        <v> </v>
      </c>
      <c r="W68" s="334" t="str">
        <f aca="false">IF((E68="f"),G68," ")</f>
        <v> </v>
      </c>
    </row>
    <row r="69" customFormat="false" ht="12.75" hidden="false" customHeight="false" outlineLevel="0" collapsed="false">
      <c r="A69" s="355"/>
      <c r="E69" s="365" t="str">
        <f aca="false">IF((G69&lt;&gt;0),"Enter Letter"," ")</f>
        <v> </v>
      </c>
      <c r="H69" s="338" t="str">
        <f aca="false">IF((G69&lt;&gt;0),IF((D69&gt;0)," ",G69)," ")</f>
        <v> </v>
      </c>
      <c r="I69" s="367" t="str">
        <f aca="false">IF((G69&lt;&gt;0),IF((D69&gt;0)," ",(I$1-A69))," ")</f>
        <v> </v>
      </c>
      <c r="J69" s="334" t="str">
        <f aca="false">IF((E69="s"),G69," ")</f>
        <v> </v>
      </c>
      <c r="K69" s="334" t="str">
        <f aca="false">IF((E69="d"),G69," ")</f>
        <v> </v>
      </c>
      <c r="L69" s="334" t="str">
        <f aca="false">IF((E69="e"),G69," ")</f>
        <v> </v>
      </c>
      <c r="M69" s="334" t="str">
        <f aca="false">IF((E69="p"),G69," ")</f>
        <v> </v>
      </c>
      <c r="N69" s="334" t="str">
        <f aca="false">IF((E69="r"),G69," ")</f>
        <v> </v>
      </c>
      <c r="O69" s="334" t="str">
        <f aca="false">IF((E69="g"),G69," ")</f>
        <v> </v>
      </c>
      <c r="P69" s="334" t="str">
        <f aca="false">IF((E69="m"),G69," ")</f>
        <v> </v>
      </c>
      <c r="Q69" s="334" t="str">
        <f aca="false">IF((E69="t"),G69," ")</f>
        <v> </v>
      </c>
      <c r="R69" s="334" t="str">
        <f aca="false">IF((E69="a"),G69," ")</f>
        <v> </v>
      </c>
      <c r="S69" s="334" t="str">
        <f aca="false">IF((E69="l"),G69," ")</f>
        <v> </v>
      </c>
      <c r="T69" s="334" t="str">
        <f aca="false">IF((E69="b"),G69," ")</f>
        <v> </v>
      </c>
      <c r="U69" s="334" t="str">
        <f aca="false">IF((E69="i"),G69," ")</f>
        <v> </v>
      </c>
      <c r="V69" s="334" t="str">
        <f aca="false">IF((E69="o"),G69," ")</f>
        <v> </v>
      </c>
      <c r="W69" s="334" t="str">
        <f aca="false">IF((E69="f"),G69," ")</f>
        <v> </v>
      </c>
    </row>
    <row r="70" customFormat="false" ht="12.75" hidden="false" customHeight="false" outlineLevel="0" collapsed="false">
      <c r="A70" s="355"/>
      <c r="E70" s="365" t="str">
        <f aca="false">IF((G70&lt;&gt;0),"Enter Letter"," ")</f>
        <v> </v>
      </c>
      <c r="H70" s="338" t="str">
        <f aca="false">IF((G70&lt;&gt;0),IF((D70&gt;0)," ",G70)," ")</f>
        <v> </v>
      </c>
      <c r="I70" s="367" t="str">
        <f aca="false">IF((G70&lt;&gt;0),IF((D70&gt;0)," ",(I$1-A70))," ")</f>
        <v> </v>
      </c>
      <c r="J70" s="334" t="str">
        <f aca="false">IF((E70="s"),G70," ")</f>
        <v> </v>
      </c>
      <c r="K70" s="334" t="str">
        <f aca="false">IF((E70="d"),G70," ")</f>
        <v> </v>
      </c>
      <c r="L70" s="334" t="str">
        <f aca="false">IF((E70="e"),G70," ")</f>
        <v> </v>
      </c>
      <c r="M70" s="334" t="str">
        <f aca="false">IF((E70="p"),G70," ")</f>
        <v> </v>
      </c>
      <c r="N70" s="334" t="str">
        <f aca="false">IF((E70="r"),G70," ")</f>
        <v> </v>
      </c>
      <c r="O70" s="334" t="str">
        <f aca="false">IF((E70="g"),G70," ")</f>
        <v> </v>
      </c>
      <c r="P70" s="334" t="str">
        <f aca="false">IF((E70="m"),G70," ")</f>
        <v> </v>
      </c>
      <c r="Q70" s="334" t="str">
        <f aca="false">IF((E70="t"),G70," ")</f>
        <v> </v>
      </c>
      <c r="R70" s="334" t="str">
        <f aca="false">IF((E70="a"),G70," ")</f>
        <v> </v>
      </c>
      <c r="S70" s="334" t="str">
        <f aca="false">IF((E70="l"),G70," ")</f>
        <v> </v>
      </c>
      <c r="T70" s="334" t="str">
        <f aca="false">IF((E70="b"),G70," ")</f>
        <v> </v>
      </c>
      <c r="U70" s="334" t="str">
        <f aca="false">IF((E70="i"),G70," ")</f>
        <v> </v>
      </c>
      <c r="V70" s="334" t="str">
        <f aca="false">IF((E70="o"),G70," ")</f>
        <v> </v>
      </c>
      <c r="W70" s="334" t="str">
        <f aca="false">IF((E70="f"),G70," ")</f>
        <v> </v>
      </c>
    </row>
    <row r="71" customFormat="false" ht="12.75" hidden="false" customHeight="false" outlineLevel="0" collapsed="false">
      <c r="A71" s="355"/>
      <c r="E71" s="365" t="str">
        <f aca="false">IF((G71&lt;&gt;0),"Enter Letter"," ")</f>
        <v> </v>
      </c>
      <c r="H71" s="338" t="str">
        <f aca="false">IF((G71&lt;&gt;0),IF((D71&gt;0)," ",G71)," ")</f>
        <v> </v>
      </c>
      <c r="I71" s="367" t="str">
        <f aca="false">IF((G71&lt;&gt;0),IF((D71&gt;0)," ",(I$1-A71))," ")</f>
        <v> </v>
      </c>
      <c r="J71" s="334" t="str">
        <f aca="false">IF((E71="s"),G71," ")</f>
        <v> </v>
      </c>
      <c r="K71" s="334" t="str">
        <f aca="false">IF((E71="d"),G71," ")</f>
        <v> </v>
      </c>
      <c r="L71" s="334" t="str">
        <f aca="false">IF((E71="e"),G71," ")</f>
        <v> </v>
      </c>
      <c r="M71" s="334" t="str">
        <f aca="false">IF((E71="p"),G71," ")</f>
        <v> </v>
      </c>
      <c r="N71" s="334" t="str">
        <f aca="false">IF((E71="r"),G71," ")</f>
        <v> </v>
      </c>
      <c r="O71" s="334" t="str">
        <f aca="false">IF((E71="g"),G71," ")</f>
        <v> </v>
      </c>
      <c r="P71" s="334" t="str">
        <f aca="false">IF((E71="m"),G71," ")</f>
        <v> </v>
      </c>
      <c r="Q71" s="334" t="str">
        <f aca="false">IF((E71="t"),G71," ")</f>
        <v> </v>
      </c>
      <c r="R71" s="334" t="str">
        <f aca="false">IF((E71="a"),G71," ")</f>
        <v> </v>
      </c>
      <c r="S71" s="334" t="str">
        <f aca="false">IF((E71="l"),G71," ")</f>
        <v> </v>
      </c>
      <c r="T71" s="334" t="str">
        <f aca="false">IF((E71="b"),G71," ")</f>
        <v> </v>
      </c>
      <c r="U71" s="334" t="str">
        <f aca="false">IF((E71="i"),G71," ")</f>
        <v> </v>
      </c>
      <c r="V71" s="334" t="str">
        <f aca="false">IF((E71="o"),G71," ")</f>
        <v> </v>
      </c>
      <c r="W71" s="334" t="str">
        <f aca="false">IF((E71="f"),G71," ")</f>
        <v> </v>
      </c>
    </row>
    <row r="72" customFormat="false" ht="12.75" hidden="false" customHeight="false" outlineLevel="0" collapsed="false">
      <c r="A72" s="355"/>
      <c r="E72" s="365" t="str">
        <f aca="false">IF((G72&lt;&gt;0),"Enter Letter"," ")</f>
        <v> </v>
      </c>
      <c r="H72" s="338" t="str">
        <f aca="false">IF((G72&lt;&gt;0),IF((D72&gt;0)," ",G72)," ")</f>
        <v> </v>
      </c>
      <c r="I72" s="367" t="str">
        <f aca="false">IF((G72&lt;&gt;0),IF((D72&gt;0)," ",(I$1-A72))," ")</f>
        <v> </v>
      </c>
      <c r="J72" s="334" t="str">
        <f aca="false">IF((E72="s"),G72," ")</f>
        <v> </v>
      </c>
      <c r="K72" s="334" t="str">
        <f aca="false">IF((E72="d"),G72," ")</f>
        <v> </v>
      </c>
      <c r="L72" s="334" t="str">
        <f aca="false">IF((E72="e"),G72," ")</f>
        <v> </v>
      </c>
      <c r="M72" s="334" t="str">
        <f aca="false">IF((E72="p"),G72," ")</f>
        <v> </v>
      </c>
      <c r="N72" s="334" t="str">
        <f aca="false">IF((E72="r"),G72," ")</f>
        <v> </v>
      </c>
      <c r="O72" s="334" t="str">
        <f aca="false">IF((E72="g"),G72," ")</f>
        <v> </v>
      </c>
      <c r="P72" s="334" t="str">
        <f aca="false">IF((E72="m"),G72," ")</f>
        <v> </v>
      </c>
      <c r="Q72" s="334" t="str">
        <f aca="false">IF((E72="t"),G72," ")</f>
        <v> </v>
      </c>
      <c r="R72" s="334" t="str">
        <f aca="false">IF((E72="a"),G72," ")</f>
        <v> </v>
      </c>
      <c r="S72" s="334" t="str">
        <f aca="false">IF((E72="l"),G72," ")</f>
        <v> </v>
      </c>
      <c r="T72" s="334" t="str">
        <f aca="false">IF((E72="b"),G72," ")</f>
        <v> </v>
      </c>
      <c r="U72" s="334" t="str">
        <f aca="false">IF((E72="i"),G72," ")</f>
        <v> </v>
      </c>
      <c r="V72" s="334" t="str">
        <f aca="false">IF((E72="o"),G72," ")</f>
        <v> </v>
      </c>
      <c r="W72" s="334" t="str">
        <f aca="false">IF((E72="f"),G72," ")</f>
        <v> </v>
      </c>
    </row>
    <row r="73" customFormat="false" ht="12.75" hidden="false" customHeight="false" outlineLevel="0" collapsed="false">
      <c r="A73" s="355"/>
      <c r="E73" s="365" t="str">
        <f aca="false">IF((G73&lt;&gt;0),"Enter Letter"," ")</f>
        <v> </v>
      </c>
      <c r="H73" s="338" t="str">
        <f aca="false">IF((G73&lt;&gt;0),IF((D73&gt;0)," ",G73)," ")</f>
        <v> </v>
      </c>
      <c r="I73" s="367" t="str">
        <f aca="false">IF((G73&lt;&gt;0),IF((D73&gt;0)," ",(I$1-A73))," ")</f>
        <v> </v>
      </c>
      <c r="J73" s="334" t="str">
        <f aca="false">IF((E73="s"),G73," ")</f>
        <v> </v>
      </c>
      <c r="K73" s="334" t="str">
        <f aca="false">IF((E73="d"),G73," ")</f>
        <v> </v>
      </c>
      <c r="L73" s="334" t="str">
        <f aca="false">IF((E73="e"),G73," ")</f>
        <v> </v>
      </c>
      <c r="M73" s="334" t="str">
        <f aca="false">IF((E73="p"),G73," ")</f>
        <v> </v>
      </c>
      <c r="N73" s="334" t="str">
        <f aca="false">IF((E73="r"),G73," ")</f>
        <v> </v>
      </c>
      <c r="O73" s="334" t="str">
        <f aca="false">IF((E73="g"),G73," ")</f>
        <v> </v>
      </c>
      <c r="P73" s="334" t="str">
        <f aca="false">IF((E73="m"),G73," ")</f>
        <v> </v>
      </c>
      <c r="Q73" s="334" t="str">
        <f aca="false">IF((E73="t"),G73," ")</f>
        <v> </v>
      </c>
      <c r="R73" s="334" t="str">
        <f aca="false">IF((E73="a"),G73," ")</f>
        <v> </v>
      </c>
      <c r="S73" s="334" t="str">
        <f aca="false">IF((E73="l"),G73," ")</f>
        <v> </v>
      </c>
      <c r="T73" s="334" t="str">
        <f aca="false">IF((E73="b"),G73," ")</f>
        <v> </v>
      </c>
      <c r="U73" s="334" t="str">
        <f aca="false">IF((E73="i"),G73," ")</f>
        <v> </v>
      </c>
      <c r="V73" s="334" t="str">
        <f aca="false">IF((E73="o"),G73," ")</f>
        <v> </v>
      </c>
      <c r="W73" s="334" t="str">
        <f aca="false">IF((E73="f"),G73," ")</f>
        <v> </v>
      </c>
    </row>
    <row r="74" customFormat="false" ht="12.75" hidden="false" customHeight="false" outlineLevel="0" collapsed="false">
      <c r="A74" s="355"/>
      <c r="E74" s="365" t="str">
        <f aca="false">IF((G74&lt;&gt;0),"Enter Letter"," ")</f>
        <v> </v>
      </c>
      <c r="H74" s="338" t="str">
        <f aca="false">IF((G74&lt;&gt;0),IF((D74&gt;0)," ",G74)," ")</f>
        <v> </v>
      </c>
      <c r="I74" s="367" t="str">
        <f aca="false">IF((G74&lt;&gt;0),IF((D74&gt;0)," ",(I$1-A74))," ")</f>
        <v> </v>
      </c>
      <c r="J74" s="334" t="str">
        <f aca="false">IF((E74="s"),G74," ")</f>
        <v> </v>
      </c>
      <c r="K74" s="334" t="str">
        <f aca="false">IF((E74="d"),G74," ")</f>
        <v> </v>
      </c>
      <c r="L74" s="334" t="str">
        <f aca="false">IF((E74="e"),G74," ")</f>
        <v> </v>
      </c>
      <c r="M74" s="334" t="str">
        <f aca="false">IF((E74="p"),G74," ")</f>
        <v> </v>
      </c>
      <c r="N74" s="334" t="str">
        <f aca="false">IF((E74="r"),G74," ")</f>
        <v> </v>
      </c>
      <c r="O74" s="334" t="str">
        <f aca="false">IF((E74="g"),G74," ")</f>
        <v> </v>
      </c>
      <c r="P74" s="334" t="str">
        <f aca="false">IF((E74="m"),G74," ")</f>
        <v> </v>
      </c>
      <c r="Q74" s="334" t="str">
        <f aca="false">IF((E74="t"),G74," ")</f>
        <v> </v>
      </c>
      <c r="R74" s="334" t="str">
        <f aca="false">IF((E74="a"),G74," ")</f>
        <v> </v>
      </c>
      <c r="S74" s="334" t="str">
        <f aca="false">IF((E74="l"),G74," ")</f>
        <v> </v>
      </c>
      <c r="T74" s="334" t="str">
        <f aca="false">IF((E74="b"),G74," ")</f>
        <v> </v>
      </c>
      <c r="U74" s="334" t="str">
        <f aca="false">IF((E74="i"),G74," ")</f>
        <v> </v>
      </c>
      <c r="V74" s="334" t="str">
        <f aca="false">IF((E74="o"),G74," ")</f>
        <v> </v>
      </c>
      <c r="W74" s="334" t="str">
        <f aca="false">IF((E74="f"),G74," ")</f>
        <v> </v>
      </c>
    </row>
    <row r="75" customFormat="false" ht="12.75" hidden="false" customHeight="false" outlineLevel="0" collapsed="false">
      <c r="A75" s="355"/>
      <c r="E75" s="365" t="str">
        <f aca="false">IF((G75&lt;&gt;0),"Enter Letter"," ")</f>
        <v> </v>
      </c>
      <c r="H75" s="338" t="str">
        <f aca="false">IF((G75&lt;&gt;0),IF((D75&gt;0)," ",G75)," ")</f>
        <v> </v>
      </c>
      <c r="I75" s="367" t="str">
        <f aca="false">IF((G75&lt;&gt;0),IF((D75&gt;0)," ",(I$1-A75))," ")</f>
        <v> </v>
      </c>
      <c r="J75" s="334" t="str">
        <f aca="false">IF((E75="s"),G75," ")</f>
        <v> </v>
      </c>
      <c r="K75" s="334" t="str">
        <f aca="false">IF((E75="d"),G75," ")</f>
        <v> </v>
      </c>
      <c r="L75" s="334" t="str">
        <f aca="false">IF((E75="e"),G75," ")</f>
        <v> </v>
      </c>
      <c r="M75" s="334" t="str">
        <f aca="false">IF((E75="p"),G75," ")</f>
        <v> </v>
      </c>
      <c r="N75" s="334" t="str">
        <f aca="false">IF((E75="r"),G75," ")</f>
        <v> </v>
      </c>
      <c r="O75" s="334" t="str">
        <f aca="false">IF((E75="g"),G75," ")</f>
        <v> </v>
      </c>
      <c r="P75" s="334" t="str">
        <f aca="false">IF((E75="m"),G75," ")</f>
        <v> </v>
      </c>
      <c r="Q75" s="334" t="str">
        <f aca="false">IF((E75="t"),G75," ")</f>
        <v> </v>
      </c>
      <c r="R75" s="334" t="str">
        <f aca="false">IF((E75="a"),G75," ")</f>
        <v> </v>
      </c>
      <c r="S75" s="334" t="str">
        <f aca="false">IF((E75="l"),G75," ")</f>
        <v> </v>
      </c>
      <c r="T75" s="334" t="str">
        <f aca="false">IF((E75="b"),G75," ")</f>
        <v> </v>
      </c>
      <c r="U75" s="334" t="str">
        <f aca="false">IF((E75="i"),G75," ")</f>
        <v> </v>
      </c>
      <c r="V75" s="334" t="str">
        <f aca="false">IF((E75="o"),G75," ")</f>
        <v> </v>
      </c>
      <c r="W75" s="334" t="str">
        <f aca="false">IF((E75="f"),G75," ")</f>
        <v> </v>
      </c>
    </row>
    <row r="76" customFormat="false" ht="12.75" hidden="false" customHeight="false" outlineLevel="0" collapsed="false">
      <c r="A76" s="355"/>
      <c r="E76" s="365" t="str">
        <f aca="false">IF((G76&lt;&gt;0),"Enter Letter"," ")</f>
        <v> </v>
      </c>
      <c r="H76" s="338" t="str">
        <f aca="false">IF((G76&lt;&gt;0),IF((D76&gt;0)," ",G76)," ")</f>
        <v> </v>
      </c>
      <c r="I76" s="367" t="str">
        <f aca="false">IF((G76&lt;&gt;0),IF((D76&gt;0)," ",(I$1-A76))," ")</f>
        <v> </v>
      </c>
      <c r="J76" s="334" t="str">
        <f aca="false">IF((E76="s"),G76," ")</f>
        <v> </v>
      </c>
      <c r="K76" s="334" t="str">
        <f aca="false">IF((E76="d"),G76," ")</f>
        <v> </v>
      </c>
      <c r="L76" s="334" t="str">
        <f aca="false">IF((E76="e"),G76," ")</f>
        <v> </v>
      </c>
      <c r="M76" s="334" t="str">
        <f aca="false">IF((E76="p"),G76," ")</f>
        <v> </v>
      </c>
      <c r="N76" s="334" t="str">
        <f aca="false">IF((E76="r"),G76," ")</f>
        <v> </v>
      </c>
      <c r="O76" s="334" t="str">
        <f aca="false">IF((E76="g"),G76," ")</f>
        <v> </v>
      </c>
      <c r="P76" s="334" t="str">
        <f aca="false">IF((E76="m"),G76," ")</f>
        <v> </v>
      </c>
      <c r="Q76" s="334" t="str">
        <f aca="false">IF((E76="t"),G76," ")</f>
        <v> </v>
      </c>
      <c r="R76" s="334" t="str">
        <f aca="false">IF((E76="a"),G76," ")</f>
        <v> </v>
      </c>
      <c r="S76" s="334" t="str">
        <f aca="false">IF((E76="l"),G76," ")</f>
        <v> </v>
      </c>
      <c r="T76" s="334" t="str">
        <f aca="false">IF((E76="b"),G76," ")</f>
        <v> </v>
      </c>
      <c r="U76" s="334" t="str">
        <f aca="false">IF((E76="i"),G76," ")</f>
        <v> </v>
      </c>
      <c r="V76" s="334" t="str">
        <f aca="false">IF((E76="o"),G76," ")</f>
        <v> </v>
      </c>
      <c r="W76" s="334" t="str">
        <f aca="false">IF((E76="f"),G76," ")</f>
        <v> </v>
      </c>
    </row>
    <row r="77" customFormat="false" ht="12.75" hidden="false" customHeight="false" outlineLevel="0" collapsed="false">
      <c r="A77" s="355"/>
      <c r="E77" s="365" t="str">
        <f aca="false">IF((G77&lt;&gt;0),"Enter Letter"," ")</f>
        <v> </v>
      </c>
      <c r="H77" s="338" t="str">
        <f aca="false">IF((G77&lt;&gt;0),IF((D77&gt;0)," ",G77)," ")</f>
        <v> </v>
      </c>
      <c r="I77" s="367" t="str">
        <f aca="false">IF((G77&lt;&gt;0),IF((D77&gt;0)," ",(I$1-A77))," ")</f>
        <v> </v>
      </c>
      <c r="J77" s="334" t="str">
        <f aca="false">IF((E77="s"),G77," ")</f>
        <v> </v>
      </c>
      <c r="K77" s="334" t="str">
        <f aca="false">IF((E77="d"),G77," ")</f>
        <v> </v>
      </c>
      <c r="L77" s="334" t="str">
        <f aca="false">IF((E77="e"),G77," ")</f>
        <v> </v>
      </c>
      <c r="M77" s="334" t="str">
        <f aca="false">IF((E77="p"),G77," ")</f>
        <v> </v>
      </c>
      <c r="N77" s="334" t="str">
        <f aca="false">IF((E77="r"),G77," ")</f>
        <v> </v>
      </c>
      <c r="O77" s="334" t="str">
        <f aca="false">IF((E77="g"),G77," ")</f>
        <v> </v>
      </c>
      <c r="P77" s="334" t="str">
        <f aca="false">IF((E77="m"),G77," ")</f>
        <v> </v>
      </c>
      <c r="Q77" s="334" t="str">
        <f aca="false">IF((E77="t"),G77," ")</f>
        <v> </v>
      </c>
      <c r="R77" s="334" t="str">
        <f aca="false">IF((E77="a"),G77," ")</f>
        <v> </v>
      </c>
      <c r="S77" s="334" t="str">
        <f aca="false">IF((E77="l"),G77," ")</f>
        <v> </v>
      </c>
      <c r="T77" s="334" t="str">
        <f aca="false">IF((E77="b"),G77," ")</f>
        <v> </v>
      </c>
      <c r="U77" s="334" t="str">
        <f aca="false">IF((E77="i"),G77," ")</f>
        <v> </v>
      </c>
      <c r="V77" s="334" t="str">
        <f aca="false">IF((E77="o"),G77," ")</f>
        <v> </v>
      </c>
      <c r="W77" s="334" t="str">
        <f aca="false">IF((E77="f"),G77," ")</f>
        <v> </v>
      </c>
    </row>
    <row r="78" customFormat="false" ht="12.75" hidden="false" customHeight="false" outlineLevel="0" collapsed="false">
      <c r="A78" s="355"/>
      <c r="E78" s="365" t="str">
        <f aca="false">IF((G78&lt;&gt;0),"Enter Letter"," ")</f>
        <v> </v>
      </c>
      <c r="H78" s="338" t="str">
        <f aca="false">IF((G78&lt;&gt;0),IF((D78&gt;0)," ",G78)," ")</f>
        <v> </v>
      </c>
      <c r="I78" s="367" t="str">
        <f aca="false">IF((G78&lt;&gt;0),IF((D78&gt;0)," ",(I$1-A78))," ")</f>
        <v> </v>
      </c>
      <c r="J78" s="334" t="str">
        <f aca="false">IF((E78="s"),G78," ")</f>
        <v> </v>
      </c>
      <c r="K78" s="334" t="str">
        <f aca="false">IF((E78="d"),G78," ")</f>
        <v> </v>
      </c>
      <c r="L78" s="334" t="str">
        <f aca="false">IF((E78="e"),G78," ")</f>
        <v> </v>
      </c>
      <c r="M78" s="334" t="str">
        <f aca="false">IF((E78="p"),G78," ")</f>
        <v> </v>
      </c>
      <c r="N78" s="334" t="str">
        <f aca="false">IF((E78="r"),G78," ")</f>
        <v> </v>
      </c>
      <c r="O78" s="334" t="str">
        <f aca="false">IF((E78="g"),G78," ")</f>
        <v> </v>
      </c>
      <c r="P78" s="334" t="str">
        <f aca="false">IF((E78="m"),G78," ")</f>
        <v> </v>
      </c>
      <c r="Q78" s="334" t="str">
        <f aca="false">IF((E78="t"),G78," ")</f>
        <v> </v>
      </c>
      <c r="R78" s="334" t="str">
        <f aca="false">IF((E78="a"),G78," ")</f>
        <v> </v>
      </c>
      <c r="S78" s="334" t="str">
        <f aca="false">IF((E78="l"),G78," ")</f>
        <v> </v>
      </c>
      <c r="T78" s="334" t="str">
        <f aca="false">IF((E78="b"),G78," ")</f>
        <v> </v>
      </c>
      <c r="U78" s="334" t="str">
        <f aca="false">IF((E78="i"),G78," ")</f>
        <v> </v>
      </c>
      <c r="V78" s="334" t="str">
        <f aca="false">IF((E78="o"),G78," ")</f>
        <v> </v>
      </c>
      <c r="W78" s="334" t="str">
        <f aca="false">IF((E78="f"),G78," ")</f>
        <v> </v>
      </c>
    </row>
    <row r="79" customFormat="false" ht="12.75" hidden="false" customHeight="false" outlineLevel="0" collapsed="false">
      <c r="A79" s="355"/>
      <c r="E79" s="365" t="str">
        <f aca="false">IF((G79&lt;&gt;0),"Enter Letter"," ")</f>
        <v> </v>
      </c>
      <c r="H79" s="338" t="str">
        <f aca="false">IF((G79&lt;&gt;0),IF((D79&gt;0)," ",G79)," ")</f>
        <v> </v>
      </c>
      <c r="I79" s="367" t="str">
        <f aca="false">IF((G79&lt;&gt;0),IF((D79&gt;0)," ",(I$1-A79))," ")</f>
        <v> </v>
      </c>
      <c r="J79" s="334" t="str">
        <f aca="false">IF((E79="s"),G79," ")</f>
        <v> </v>
      </c>
      <c r="K79" s="334" t="str">
        <f aca="false">IF((E79="d"),G79," ")</f>
        <v> </v>
      </c>
      <c r="L79" s="334" t="str">
        <f aca="false">IF((E79="e"),G79," ")</f>
        <v> </v>
      </c>
      <c r="M79" s="334" t="str">
        <f aca="false">IF((E79="p"),G79," ")</f>
        <v> </v>
      </c>
      <c r="N79" s="334" t="str">
        <f aca="false">IF((E79="r"),G79," ")</f>
        <v> </v>
      </c>
      <c r="O79" s="334" t="str">
        <f aca="false">IF((E79="g"),G79," ")</f>
        <v> </v>
      </c>
      <c r="P79" s="334" t="str">
        <f aca="false">IF((E79="m"),G79," ")</f>
        <v> </v>
      </c>
      <c r="Q79" s="334" t="str">
        <f aca="false">IF((E79="t"),G79," ")</f>
        <v> </v>
      </c>
      <c r="R79" s="334" t="str">
        <f aca="false">IF((E79="a"),G79," ")</f>
        <v> </v>
      </c>
      <c r="S79" s="334" t="str">
        <f aca="false">IF((E79="l"),G79," ")</f>
        <v> </v>
      </c>
      <c r="T79" s="334" t="str">
        <f aca="false">IF((E79="b"),G79," ")</f>
        <v> </v>
      </c>
      <c r="U79" s="334" t="str">
        <f aca="false">IF((E79="i"),G79," ")</f>
        <v> </v>
      </c>
      <c r="V79" s="334" t="str">
        <f aca="false">IF((E79="o"),G79," ")</f>
        <v> </v>
      </c>
      <c r="W79" s="334" t="str">
        <f aca="false">IF((E79="f"),G79," ")</f>
        <v> </v>
      </c>
    </row>
    <row r="80" customFormat="false" ht="12.75" hidden="false" customHeight="false" outlineLevel="0" collapsed="false">
      <c r="A80" s="355"/>
      <c r="E80" s="365" t="str">
        <f aca="false">IF((G80&lt;&gt;0),"Enter Letter"," ")</f>
        <v> </v>
      </c>
      <c r="H80" s="338" t="str">
        <f aca="false">IF((G80&lt;&gt;0),IF((D80&gt;0)," ",G80)," ")</f>
        <v> </v>
      </c>
      <c r="I80" s="367" t="str">
        <f aca="false">IF((G80&lt;&gt;0),IF((D80&gt;0)," ",(I$1-A80))," ")</f>
        <v> </v>
      </c>
      <c r="J80" s="334" t="str">
        <f aca="false">IF((E80="s"),G80," ")</f>
        <v> </v>
      </c>
      <c r="K80" s="334" t="str">
        <f aca="false">IF((E80="d"),G80," ")</f>
        <v> </v>
      </c>
      <c r="L80" s="334" t="str">
        <f aca="false">IF((E80="e"),G80," ")</f>
        <v> </v>
      </c>
      <c r="M80" s="334" t="str">
        <f aca="false">IF((E80="p"),G80," ")</f>
        <v> </v>
      </c>
      <c r="N80" s="334" t="str">
        <f aca="false">IF((E80="r"),G80," ")</f>
        <v> </v>
      </c>
      <c r="O80" s="334" t="str">
        <f aca="false">IF((E80="g"),G80," ")</f>
        <v> </v>
      </c>
      <c r="P80" s="334" t="str">
        <f aca="false">IF((E80="m"),G80," ")</f>
        <v> </v>
      </c>
      <c r="Q80" s="334" t="str">
        <f aca="false">IF((E80="t"),G80," ")</f>
        <v> </v>
      </c>
      <c r="R80" s="334" t="str">
        <f aca="false">IF((E80="a"),G80," ")</f>
        <v> </v>
      </c>
      <c r="S80" s="334" t="str">
        <f aca="false">IF((E80="l"),G80," ")</f>
        <v> </v>
      </c>
      <c r="T80" s="334" t="str">
        <f aca="false">IF((E80="b"),G80," ")</f>
        <v> </v>
      </c>
      <c r="U80" s="334" t="str">
        <f aca="false">IF((E80="i"),G80," ")</f>
        <v> </v>
      </c>
      <c r="V80" s="334" t="str">
        <f aca="false">IF((E80="o"),G80," ")</f>
        <v> </v>
      </c>
      <c r="W80" s="334" t="str">
        <f aca="false">IF((E80="f"),G80," ")</f>
        <v> </v>
      </c>
    </row>
    <row r="81" customFormat="false" ht="12.75" hidden="false" customHeight="false" outlineLevel="0" collapsed="false">
      <c r="A81" s="355"/>
      <c r="E81" s="365" t="str">
        <f aca="false">IF((G81&lt;&gt;0),"Enter Letter"," ")</f>
        <v> </v>
      </c>
      <c r="H81" s="338" t="str">
        <f aca="false">IF((G81&lt;&gt;0),IF((D81&gt;0)," ",G81)," ")</f>
        <v> </v>
      </c>
      <c r="I81" s="367" t="str">
        <f aca="false">IF((G81&lt;&gt;0),IF((D81&gt;0)," ",(I$1-A81))," ")</f>
        <v> </v>
      </c>
      <c r="J81" s="334" t="str">
        <f aca="false">IF((E81="s"),G81," ")</f>
        <v> </v>
      </c>
      <c r="K81" s="334" t="str">
        <f aca="false">IF((E81="d"),G81," ")</f>
        <v> </v>
      </c>
      <c r="L81" s="334" t="str">
        <f aca="false">IF((E81="e"),G81," ")</f>
        <v> </v>
      </c>
      <c r="M81" s="334" t="str">
        <f aca="false">IF((E81="p"),G81," ")</f>
        <v> </v>
      </c>
      <c r="N81" s="334" t="str">
        <f aca="false">IF((E81="r"),G81," ")</f>
        <v> </v>
      </c>
      <c r="O81" s="334" t="str">
        <f aca="false">IF((E81="g"),G81," ")</f>
        <v> </v>
      </c>
      <c r="P81" s="334" t="str">
        <f aca="false">IF((E81="m"),G81," ")</f>
        <v> </v>
      </c>
      <c r="Q81" s="334" t="str">
        <f aca="false">IF((E81="t"),G81," ")</f>
        <v> </v>
      </c>
      <c r="R81" s="334" t="str">
        <f aca="false">IF((E81="a"),G81," ")</f>
        <v> </v>
      </c>
      <c r="S81" s="334" t="str">
        <f aca="false">IF((E81="l"),G81," ")</f>
        <v> </v>
      </c>
      <c r="T81" s="334" t="str">
        <f aca="false">IF((E81="b"),G81," ")</f>
        <v> </v>
      </c>
      <c r="U81" s="334" t="str">
        <f aca="false">IF((E81="i"),G81," ")</f>
        <v> </v>
      </c>
      <c r="V81" s="334" t="str">
        <f aca="false">IF((E81="o"),G81," ")</f>
        <v> </v>
      </c>
      <c r="W81" s="334" t="str">
        <f aca="false">IF((E81="f"),G81," ")</f>
        <v> </v>
      </c>
    </row>
    <row r="82" customFormat="false" ht="12.75" hidden="false" customHeight="false" outlineLevel="0" collapsed="false">
      <c r="A82" s="355"/>
      <c r="E82" s="365" t="str">
        <f aca="false">IF((G82&lt;&gt;0),"Enter Letter"," ")</f>
        <v> </v>
      </c>
      <c r="H82" s="338" t="str">
        <f aca="false">IF((G82&lt;&gt;0),IF((D82&gt;0)," ",G82)," ")</f>
        <v> </v>
      </c>
      <c r="I82" s="367" t="str">
        <f aca="false">IF((G82&lt;&gt;0),IF((D82&gt;0)," ",(I$1-A82))," ")</f>
        <v> </v>
      </c>
      <c r="J82" s="334" t="str">
        <f aca="false">IF((E82="s"),G82," ")</f>
        <v> </v>
      </c>
      <c r="K82" s="334" t="str">
        <f aca="false">IF((E82="d"),G82," ")</f>
        <v> </v>
      </c>
      <c r="L82" s="334" t="str">
        <f aca="false">IF((E82="e"),G82," ")</f>
        <v> </v>
      </c>
      <c r="M82" s="334" t="str">
        <f aca="false">IF((E82="p"),G82," ")</f>
        <v> </v>
      </c>
      <c r="N82" s="334" t="str">
        <f aca="false">IF((E82="r"),G82," ")</f>
        <v> </v>
      </c>
      <c r="O82" s="334" t="str">
        <f aca="false">IF((E82="g"),G82," ")</f>
        <v> </v>
      </c>
      <c r="P82" s="334" t="str">
        <f aca="false">IF((E82="m"),G82," ")</f>
        <v> </v>
      </c>
      <c r="Q82" s="334" t="str">
        <f aca="false">IF((E82="t"),G82," ")</f>
        <v> </v>
      </c>
      <c r="R82" s="334" t="str">
        <f aca="false">IF((E82="a"),G82," ")</f>
        <v> </v>
      </c>
      <c r="S82" s="334" t="str">
        <f aca="false">IF((E82="l"),G82," ")</f>
        <v> </v>
      </c>
      <c r="T82" s="334" t="str">
        <f aca="false">IF((E82="b"),G82," ")</f>
        <v> </v>
      </c>
      <c r="U82" s="334" t="str">
        <f aca="false">IF((E82="i"),G82," ")</f>
        <v> </v>
      </c>
      <c r="V82" s="334" t="str">
        <f aca="false">IF((E82="o"),G82," ")</f>
        <v> </v>
      </c>
      <c r="W82" s="334" t="str">
        <f aca="false">IF((E82="f"),G82," ")</f>
        <v> </v>
      </c>
    </row>
    <row r="83" customFormat="false" ht="12.75" hidden="false" customHeight="false" outlineLevel="0" collapsed="false">
      <c r="A83" s="355"/>
      <c r="E83" s="365" t="str">
        <f aca="false">IF((G83&lt;&gt;0),"Enter Letter"," ")</f>
        <v> </v>
      </c>
      <c r="H83" s="338" t="str">
        <f aca="false">IF((G83&lt;&gt;0),IF((D83&gt;0)," ",G83)," ")</f>
        <v> </v>
      </c>
      <c r="I83" s="367" t="str">
        <f aca="false">IF((G83&lt;&gt;0),IF((D83&gt;0)," ",(I$1-A83))," ")</f>
        <v> </v>
      </c>
      <c r="J83" s="334" t="str">
        <f aca="false">IF((E83="s"),G83," ")</f>
        <v> </v>
      </c>
      <c r="K83" s="334" t="str">
        <f aca="false">IF((E83="d"),G83," ")</f>
        <v> </v>
      </c>
      <c r="L83" s="334" t="str">
        <f aca="false">IF((E83="e"),G83," ")</f>
        <v> </v>
      </c>
      <c r="M83" s="334" t="str">
        <f aca="false">IF((E83="p"),G83," ")</f>
        <v> </v>
      </c>
      <c r="N83" s="334" t="str">
        <f aca="false">IF((E83="r"),G83," ")</f>
        <v> </v>
      </c>
      <c r="O83" s="334" t="str">
        <f aca="false">IF((E83="g"),G83," ")</f>
        <v> </v>
      </c>
      <c r="P83" s="334" t="str">
        <f aca="false">IF((E83="m"),G83," ")</f>
        <v> </v>
      </c>
      <c r="Q83" s="334" t="str">
        <f aca="false">IF((E83="t"),G83," ")</f>
        <v> </v>
      </c>
      <c r="R83" s="334" t="str">
        <f aca="false">IF((E83="a"),G83," ")</f>
        <v> </v>
      </c>
      <c r="S83" s="334" t="str">
        <f aca="false">IF((E83="l"),G83," ")</f>
        <v> </v>
      </c>
      <c r="T83" s="334" t="str">
        <f aca="false">IF((E83="b"),G83," ")</f>
        <v> </v>
      </c>
      <c r="U83" s="334" t="str">
        <f aca="false">IF((E83="i"),G83," ")</f>
        <v> </v>
      </c>
      <c r="V83" s="334" t="str">
        <f aca="false">IF((E83="o"),G83," ")</f>
        <v> </v>
      </c>
      <c r="W83" s="334" t="str">
        <f aca="false">IF((E83="f"),G83," ")</f>
        <v> </v>
      </c>
    </row>
    <row r="84" customFormat="false" ht="12.75" hidden="false" customHeight="false" outlineLevel="0" collapsed="false">
      <c r="A84" s="355"/>
      <c r="E84" s="365" t="str">
        <f aca="false">IF((G84&lt;&gt;0),"Enter Letter"," ")</f>
        <v> </v>
      </c>
      <c r="H84" s="338" t="str">
        <f aca="false">IF((G84&lt;&gt;0),IF((D84&gt;0)," ",G84)," ")</f>
        <v> </v>
      </c>
      <c r="I84" s="367" t="str">
        <f aca="false">IF((G84&lt;&gt;0),IF((D84&gt;0)," ",(I$1-A84))," ")</f>
        <v> </v>
      </c>
      <c r="J84" s="334" t="str">
        <f aca="false">IF((E84="s"),G84," ")</f>
        <v> </v>
      </c>
      <c r="K84" s="334" t="str">
        <f aca="false">IF((E84="d"),G84," ")</f>
        <v> </v>
      </c>
      <c r="L84" s="334" t="str">
        <f aca="false">IF((E84="e"),G84," ")</f>
        <v> </v>
      </c>
      <c r="M84" s="334" t="str">
        <f aca="false">IF((E84="p"),G84," ")</f>
        <v> </v>
      </c>
      <c r="N84" s="334" t="str">
        <f aca="false">IF((E84="r"),G84," ")</f>
        <v> </v>
      </c>
      <c r="O84" s="334" t="str">
        <f aca="false">IF((E84="g"),G84," ")</f>
        <v> </v>
      </c>
      <c r="P84" s="334" t="str">
        <f aca="false">IF((E84="m"),G84," ")</f>
        <v> </v>
      </c>
      <c r="Q84" s="334" t="str">
        <f aca="false">IF((E84="t"),G84," ")</f>
        <v> </v>
      </c>
      <c r="R84" s="334" t="str">
        <f aca="false">IF((E84="a"),G84," ")</f>
        <v> </v>
      </c>
      <c r="S84" s="334" t="str">
        <f aca="false">IF((E84="l"),G84," ")</f>
        <v> </v>
      </c>
      <c r="T84" s="334" t="str">
        <f aca="false">IF((E84="b"),G84," ")</f>
        <v> </v>
      </c>
      <c r="U84" s="334" t="str">
        <f aca="false">IF((E84="i"),G84," ")</f>
        <v> </v>
      </c>
      <c r="V84" s="334" t="str">
        <f aca="false">IF((E84="o"),G84," ")</f>
        <v> </v>
      </c>
      <c r="W84" s="334" t="str">
        <f aca="false">IF((E84="f"),G84," ")</f>
        <v> </v>
      </c>
    </row>
    <row r="85" customFormat="false" ht="12.75" hidden="false" customHeight="false" outlineLevel="0" collapsed="false">
      <c r="A85" s="355"/>
      <c r="E85" s="365" t="str">
        <f aca="false">IF((G85&lt;&gt;0),"Enter Letter"," ")</f>
        <v> </v>
      </c>
      <c r="H85" s="338" t="str">
        <f aca="false">IF((G85&lt;&gt;0),IF((D85&gt;0)," ",G85)," ")</f>
        <v> </v>
      </c>
      <c r="I85" s="367" t="str">
        <f aca="false">IF((G85&lt;&gt;0),IF((D85&gt;0)," ",(I$1-A85))," ")</f>
        <v> </v>
      </c>
      <c r="J85" s="334" t="str">
        <f aca="false">IF((E85="s"),G85," ")</f>
        <v> </v>
      </c>
      <c r="K85" s="334" t="str">
        <f aca="false">IF((E85="d"),G85," ")</f>
        <v> </v>
      </c>
      <c r="L85" s="334" t="str">
        <f aca="false">IF((E85="e"),G85," ")</f>
        <v> </v>
      </c>
      <c r="M85" s="334" t="str">
        <f aca="false">IF((E85="p"),G85," ")</f>
        <v> </v>
      </c>
      <c r="N85" s="334" t="str">
        <f aca="false">IF((E85="r"),G85," ")</f>
        <v> </v>
      </c>
      <c r="O85" s="334" t="str">
        <f aca="false">IF((E85="g"),G85," ")</f>
        <v> </v>
      </c>
      <c r="P85" s="334" t="str">
        <f aca="false">IF((E85="m"),G85," ")</f>
        <v> </v>
      </c>
      <c r="Q85" s="334" t="str">
        <f aca="false">IF((E85="t"),G85," ")</f>
        <v> </v>
      </c>
      <c r="R85" s="334" t="str">
        <f aca="false">IF((E85="a"),G85," ")</f>
        <v> </v>
      </c>
      <c r="S85" s="334" t="str">
        <f aca="false">IF((E85="l"),G85," ")</f>
        <v> </v>
      </c>
      <c r="T85" s="334" t="str">
        <f aca="false">IF((E85="b"),G85," ")</f>
        <v> </v>
      </c>
      <c r="U85" s="334" t="str">
        <f aca="false">IF((E85="i"),G85," ")</f>
        <v> </v>
      </c>
      <c r="V85" s="334" t="str">
        <f aca="false">IF((E85="o"),G85," ")</f>
        <v> </v>
      </c>
      <c r="W85" s="334" t="str">
        <f aca="false">IF((E85="f"),G85," ")</f>
        <v> </v>
      </c>
    </row>
    <row r="86" customFormat="false" ht="12.75" hidden="false" customHeight="false" outlineLevel="0" collapsed="false">
      <c r="A86" s="355"/>
      <c r="E86" s="365" t="str">
        <f aca="false">IF((G86&lt;&gt;0),"Enter Letter"," ")</f>
        <v> </v>
      </c>
      <c r="H86" s="338" t="str">
        <f aca="false">IF((G86&lt;&gt;0),IF((D86&gt;0)," ",G86)," ")</f>
        <v> </v>
      </c>
      <c r="I86" s="367" t="str">
        <f aca="false">IF((G86&lt;&gt;0),IF((D86&gt;0)," ",(I$1-A86))," ")</f>
        <v> </v>
      </c>
      <c r="J86" s="334" t="str">
        <f aca="false">IF((E86="s"),G86," ")</f>
        <v> </v>
      </c>
      <c r="K86" s="334" t="str">
        <f aca="false">IF((E86="d"),G86," ")</f>
        <v> </v>
      </c>
      <c r="L86" s="334" t="str">
        <f aca="false">IF((E86="e"),G86," ")</f>
        <v> </v>
      </c>
      <c r="M86" s="334" t="str">
        <f aca="false">IF((E86="p"),G86," ")</f>
        <v> </v>
      </c>
      <c r="N86" s="334" t="str">
        <f aca="false">IF((E86="r"),G86," ")</f>
        <v> </v>
      </c>
      <c r="O86" s="334" t="str">
        <f aca="false">IF((E86="g"),G86," ")</f>
        <v> </v>
      </c>
      <c r="P86" s="334" t="str">
        <f aca="false">IF((E86="m"),G86," ")</f>
        <v> </v>
      </c>
      <c r="Q86" s="334" t="str">
        <f aca="false">IF((E86="t"),G86," ")</f>
        <v> </v>
      </c>
      <c r="R86" s="334" t="str">
        <f aca="false">IF((E86="a"),G86," ")</f>
        <v> </v>
      </c>
      <c r="S86" s="334" t="str">
        <f aca="false">IF((E86="l"),G86," ")</f>
        <v> </v>
      </c>
      <c r="T86" s="334" t="str">
        <f aca="false">IF((E86="b"),G86," ")</f>
        <v> </v>
      </c>
      <c r="U86" s="334" t="str">
        <f aca="false">IF((E86="i"),G86," ")</f>
        <v> </v>
      </c>
      <c r="V86" s="334" t="str">
        <f aca="false">IF((E86="o"),G86," ")</f>
        <v> </v>
      </c>
      <c r="W86" s="334" t="str">
        <f aca="false">IF((E86="f"),G86," ")</f>
        <v> </v>
      </c>
    </row>
    <row r="87" customFormat="false" ht="12.75" hidden="false" customHeight="false" outlineLevel="0" collapsed="false">
      <c r="A87" s="355"/>
      <c r="E87" s="365" t="str">
        <f aca="false">IF((G87&lt;&gt;0),"Enter Letter"," ")</f>
        <v> </v>
      </c>
      <c r="H87" s="338" t="str">
        <f aca="false">IF((G87&lt;&gt;0),IF((D87&gt;0)," ",G87)," ")</f>
        <v> </v>
      </c>
      <c r="I87" s="367" t="str">
        <f aca="false">IF((G87&lt;&gt;0),IF((D87&gt;0)," ",(I$1-A87))," ")</f>
        <v> </v>
      </c>
      <c r="J87" s="334" t="str">
        <f aca="false">IF((E87="s"),G87," ")</f>
        <v> </v>
      </c>
      <c r="K87" s="334" t="str">
        <f aca="false">IF((E87="d"),G87," ")</f>
        <v> </v>
      </c>
      <c r="L87" s="334" t="str">
        <f aca="false">IF((E87="e"),G87," ")</f>
        <v> </v>
      </c>
      <c r="M87" s="334" t="str">
        <f aca="false">IF((E87="p"),G87," ")</f>
        <v> </v>
      </c>
      <c r="N87" s="334" t="str">
        <f aca="false">IF((E87="r"),G87," ")</f>
        <v> </v>
      </c>
      <c r="O87" s="334" t="str">
        <f aca="false">IF((E87="g"),G87," ")</f>
        <v> </v>
      </c>
      <c r="P87" s="334" t="str">
        <f aca="false">IF((E87="m"),G87," ")</f>
        <v> </v>
      </c>
      <c r="Q87" s="334" t="str">
        <f aca="false">IF((E87="t"),G87," ")</f>
        <v> </v>
      </c>
      <c r="R87" s="334" t="str">
        <f aca="false">IF((E87="a"),G87," ")</f>
        <v> </v>
      </c>
      <c r="S87" s="334" t="str">
        <f aca="false">IF((E87="l"),G87," ")</f>
        <v> </v>
      </c>
      <c r="T87" s="334" t="str">
        <f aca="false">IF((E87="b"),G87," ")</f>
        <v> </v>
      </c>
      <c r="U87" s="334" t="str">
        <f aca="false">IF((E87="i"),G87," ")</f>
        <v> </v>
      </c>
      <c r="V87" s="334" t="str">
        <f aca="false">IF((E87="o"),G87," ")</f>
        <v> </v>
      </c>
      <c r="W87" s="334" t="str">
        <f aca="false">IF((E87="f"),G87," ")</f>
        <v> </v>
      </c>
    </row>
    <row r="88" customFormat="false" ht="12.75" hidden="false" customHeight="false" outlineLevel="0" collapsed="false">
      <c r="A88" s="355"/>
      <c r="E88" s="365" t="str">
        <f aca="false">IF((G88&lt;&gt;0),"Enter Letter"," ")</f>
        <v> </v>
      </c>
      <c r="H88" s="338" t="str">
        <f aca="false">IF((G88&lt;&gt;0),IF((D88&gt;0)," ",G88)," ")</f>
        <v> </v>
      </c>
      <c r="I88" s="367" t="str">
        <f aca="false">IF((G88&lt;&gt;0),IF((D88&gt;0)," ",(I$1-A88))," ")</f>
        <v> </v>
      </c>
      <c r="J88" s="334" t="str">
        <f aca="false">IF((E88="s"),G88," ")</f>
        <v> </v>
      </c>
      <c r="K88" s="334" t="str">
        <f aca="false">IF((E88="d"),G88," ")</f>
        <v> </v>
      </c>
      <c r="L88" s="334" t="str">
        <f aca="false">IF((E88="e"),G88," ")</f>
        <v> </v>
      </c>
      <c r="M88" s="334" t="str">
        <f aca="false">IF((E88="p"),G88," ")</f>
        <v> </v>
      </c>
      <c r="N88" s="334" t="str">
        <f aca="false">IF((E88="r"),G88," ")</f>
        <v> </v>
      </c>
      <c r="O88" s="334" t="str">
        <f aca="false">IF((E88="g"),G88," ")</f>
        <v> </v>
      </c>
      <c r="P88" s="334" t="str">
        <f aca="false">IF((E88="m"),G88," ")</f>
        <v> </v>
      </c>
      <c r="Q88" s="334" t="str">
        <f aca="false">IF((E88="t"),G88," ")</f>
        <v> </v>
      </c>
      <c r="R88" s="334" t="str">
        <f aca="false">IF((E88="a"),G88," ")</f>
        <v> </v>
      </c>
      <c r="S88" s="334" t="str">
        <f aca="false">IF((E88="l"),G88," ")</f>
        <v> </v>
      </c>
      <c r="T88" s="334" t="str">
        <f aca="false">IF((E88="b"),G88," ")</f>
        <v> </v>
      </c>
      <c r="U88" s="334" t="str">
        <f aca="false">IF((E88="i"),G88," ")</f>
        <v> </v>
      </c>
      <c r="V88" s="334" t="str">
        <f aca="false">IF((E88="o"),G88," ")</f>
        <v> </v>
      </c>
      <c r="W88" s="334" t="str">
        <f aca="false">IF((E88="f"),G88," ")</f>
        <v> </v>
      </c>
    </row>
    <row r="89" customFormat="false" ht="12.75" hidden="false" customHeight="false" outlineLevel="0" collapsed="false">
      <c r="A89" s="355"/>
      <c r="E89" s="365" t="str">
        <f aca="false">IF((G89&lt;&gt;0),"Enter Letter"," ")</f>
        <v> </v>
      </c>
      <c r="H89" s="338" t="str">
        <f aca="false">IF((G89&lt;&gt;0),IF((D89&gt;0)," ",G89)," ")</f>
        <v> </v>
      </c>
      <c r="I89" s="367" t="str">
        <f aca="false">IF((G89&lt;&gt;0),IF((D89&gt;0)," ",(I$1-A89))," ")</f>
        <v> </v>
      </c>
      <c r="J89" s="334" t="str">
        <f aca="false">IF((E89="s"),G89," ")</f>
        <v> </v>
      </c>
      <c r="K89" s="334" t="str">
        <f aca="false">IF((E89="d"),G89," ")</f>
        <v> </v>
      </c>
      <c r="L89" s="334" t="str">
        <f aca="false">IF((E89="e"),G89," ")</f>
        <v> </v>
      </c>
      <c r="M89" s="334" t="str">
        <f aca="false">IF((E89="p"),G89," ")</f>
        <v> </v>
      </c>
      <c r="N89" s="334" t="str">
        <f aca="false">IF((E89="r"),G89," ")</f>
        <v> </v>
      </c>
      <c r="O89" s="334" t="str">
        <f aca="false">IF((E89="g"),G89," ")</f>
        <v> </v>
      </c>
      <c r="P89" s="334" t="str">
        <f aca="false">IF((E89="m"),G89," ")</f>
        <v> </v>
      </c>
      <c r="Q89" s="334" t="str">
        <f aca="false">IF((E89="t"),G89," ")</f>
        <v> </v>
      </c>
      <c r="R89" s="334" t="str">
        <f aca="false">IF((E89="a"),G89," ")</f>
        <v> </v>
      </c>
      <c r="S89" s="334" t="str">
        <f aca="false">IF((E89="l"),G89," ")</f>
        <v> </v>
      </c>
      <c r="T89" s="334" t="str">
        <f aca="false">IF((E89="b"),G89," ")</f>
        <v> </v>
      </c>
      <c r="U89" s="334" t="str">
        <f aca="false">IF((E89="i"),G89," ")</f>
        <v> </v>
      </c>
      <c r="V89" s="334" t="str">
        <f aca="false">IF((E89="o"),G89," ")</f>
        <v> </v>
      </c>
      <c r="W89" s="334" t="str">
        <f aca="false">IF((E89="f"),G89," ")</f>
        <v> </v>
      </c>
    </row>
    <row r="90" customFormat="false" ht="12.75" hidden="false" customHeight="false" outlineLevel="0" collapsed="false">
      <c r="A90" s="355"/>
      <c r="E90" s="365" t="str">
        <f aca="false">IF((G90&lt;&gt;0),"Enter Letter"," ")</f>
        <v> </v>
      </c>
      <c r="H90" s="338" t="str">
        <f aca="false">IF((G90&lt;&gt;0),IF((D90&gt;0)," ",G90)," ")</f>
        <v> </v>
      </c>
      <c r="I90" s="367" t="str">
        <f aca="false">IF((G90&lt;&gt;0),IF((D90&gt;0)," ",(I$1-A90))," ")</f>
        <v> </v>
      </c>
      <c r="J90" s="334" t="str">
        <f aca="false">IF((E90="s"),G90," ")</f>
        <v> </v>
      </c>
      <c r="K90" s="334" t="str">
        <f aca="false">IF((E90="d"),G90," ")</f>
        <v> </v>
      </c>
      <c r="L90" s="334" t="str">
        <f aca="false">IF((E90="e"),G90," ")</f>
        <v> </v>
      </c>
      <c r="M90" s="334" t="str">
        <f aca="false">IF((E90="p"),G90," ")</f>
        <v> </v>
      </c>
      <c r="N90" s="334" t="str">
        <f aca="false">IF((E90="r"),G90," ")</f>
        <v> </v>
      </c>
      <c r="O90" s="334" t="str">
        <f aca="false">IF((E90="g"),G90," ")</f>
        <v> </v>
      </c>
      <c r="P90" s="334" t="str">
        <f aca="false">IF((E90="m"),G90," ")</f>
        <v> </v>
      </c>
      <c r="Q90" s="334" t="str">
        <f aca="false">IF((E90="t"),G90," ")</f>
        <v> </v>
      </c>
      <c r="R90" s="334" t="str">
        <f aca="false">IF((E90="a"),G90," ")</f>
        <v> </v>
      </c>
      <c r="S90" s="334" t="str">
        <f aca="false">IF((E90="l"),G90," ")</f>
        <v> </v>
      </c>
      <c r="T90" s="334" t="str">
        <f aca="false">IF((E90="b"),G90," ")</f>
        <v> </v>
      </c>
      <c r="U90" s="334" t="str">
        <f aca="false">IF((E90="i"),G90," ")</f>
        <v> </v>
      </c>
      <c r="V90" s="334" t="str">
        <f aca="false">IF((E90="o"),G90," ")</f>
        <v> </v>
      </c>
      <c r="W90" s="334" t="str">
        <f aca="false">IF((E90="f"),G90," ")</f>
        <v> </v>
      </c>
    </row>
    <row r="91" customFormat="false" ht="12.75" hidden="false" customHeight="false" outlineLevel="0" collapsed="false">
      <c r="A91" s="355"/>
      <c r="E91" s="365" t="str">
        <f aca="false">IF((G91&lt;&gt;0),"Enter Letter"," ")</f>
        <v> </v>
      </c>
      <c r="H91" s="338" t="str">
        <f aca="false">IF((G91&lt;&gt;0),IF((D91&gt;0)," ",G91)," ")</f>
        <v> </v>
      </c>
      <c r="I91" s="367" t="str">
        <f aca="false">IF((G91&lt;&gt;0),IF((D91&gt;0)," ",(I$1-A91))," ")</f>
        <v> </v>
      </c>
      <c r="J91" s="334" t="str">
        <f aca="false">IF((E91="s"),G91," ")</f>
        <v> </v>
      </c>
      <c r="K91" s="334" t="str">
        <f aca="false">IF((E91="d"),G91," ")</f>
        <v> </v>
      </c>
      <c r="L91" s="334" t="str">
        <f aca="false">IF((E91="e"),G91," ")</f>
        <v> </v>
      </c>
      <c r="M91" s="334" t="str">
        <f aca="false">IF((E91="p"),G91," ")</f>
        <v> </v>
      </c>
      <c r="N91" s="334" t="str">
        <f aca="false">IF((E91="r"),G91," ")</f>
        <v> </v>
      </c>
      <c r="O91" s="334" t="str">
        <f aca="false">IF((E91="g"),G91," ")</f>
        <v> </v>
      </c>
      <c r="P91" s="334" t="str">
        <f aca="false">IF((E91="m"),G91," ")</f>
        <v> </v>
      </c>
      <c r="Q91" s="334" t="str">
        <f aca="false">IF((E91="t"),G91," ")</f>
        <v> </v>
      </c>
      <c r="R91" s="334" t="str">
        <f aca="false">IF((E91="a"),G91," ")</f>
        <v> </v>
      </c>
      <c r="S91" s="334" t="str">
        <f aca="false">IF((E91="l"),G91," ")</f>
        <v> </v>
      </c>
      <c r="T91" s="334" t="str">
        <f aca="false">IF((E91="b"),G91," ")</f>
        <v> </v>
      </c>
      <c r="U91" s="334" t="str">
        <f aca="false">IF((E91="i"),G91," ")</f>
        <v> </v>
      </c>
      <c r="V91" s="334" t="str">
        <f aca="false">IF((E91="o"),G91," ")</f>
        <v> </v>
      </c>
      <c r="W91" s="334" t="str">
        <f aca="false">IF((E91="f"),G91," ")</f>
        <v> </v>
      </c>
    </row>
    <row r="92" customFormat="false" ht="12.75" hidden="false" customHeight="false" outlineLevel="0" collapsed="false">
      <c r="A92" s="355"/>
      <c r="E92" s="365" t="str">
        <f aca="false">IF((G92&lt;&gt;0),"Enter Letter"," ")</f>
        <v> </v>
      </c>
      <c r="H92" s="338" t="str">
        <f aca="false">IF((G92&lt;&gt;0),IF((D92&gt;0)," ",G92)," ")</f>
        <v> </v>
      </c>
      <c r="I92" s="367" t="str">
        <f aca="false">IF((G92&lt;&gt;0),IF((D92&gt;0)," ",(I$1-A92))," ")</f>
        <v> </v>
      </c>
      <c r="J92" s="334" t="str">
        <f aca="false">IF((E92="s"),G92," ")</f>
        <v> </v>
      </c>
      <c r="K92" s="334" t="str">
        <f aca="false">IF((E92="d"),G92," ")</f>
        <v> </v>
      </c>
      <c r="L92" s="334" t="str">
        <f aca="false">IF((E92="e"),G92," ")</f>
        <v> </v>
      </c>
      <c r="M92" s="334" t="str">
        <f aca="false">IF((E92="p"),G92," ")</f>
        <v> </v>
      </c>
      <c r="N92" s="334" t="str">
        <f aca="false">IF((E92="r"),G92," ")</f>
        <v> </v>
      </c>
      <c r="O92" s="334" t="str">
        <f aca="false">IF((E92="g"),G92," ")</f>
        <v> </v>
      </c>
      <c r="P92" s="334" t="str">
        <f aca="false">IF((E92="m"),G92," ")</f>
        <v> </v>
      </c>
      <c r="Q92" s="334" t="str">
        <f aca="false">IF((E92="t"),G92," ")</f>
        <v> </v>
      </c>
      <c r="R92" s="334" t="str">
        <f aca="false">IF((E92="a"),G92," ")</f>
        <v> </v>
      </c>
      <c r="S92" s="334" t="str">
        <f aca="false">IF((E92="l"),G92," ")</f>
        <v> </v>
      </c>
      <c r="T92" s="334" t="str">
        <f aca="false">IF((E92="b"),G92," ")</f>
        <v> </v>
      </c>
      <c r="U92" s="334" t="str">
        <f aca="false">IF((E92="i"),G92," ")</f>
        <v> </v>
      </c>
      <c r="V92" s="334" t="str">
        <f aca="false">IF((E92="o"),G92," ")</f>
        <v> </v>
      </c>
      <c r="W92" s="334" t="str">
        <f aca="false">IF((E92="f"),G92," ")</f>
        <v> </v>
      </c>
    </row>
    <row r="93" customFormat="false" ht="12.75" hidden="false" customHeight="false" outlineLevel="0" collapsed="false">
      <c r="A93" s="355"/>
      <c r="E93" s="365" t="str">
        <f aca="false">IF((G93&lt;&gt;0),"Enter Letter"," ")</f>
        <v> </v>
      </c>
      <c r="H93" s="338" t="str">
        <f aca="false">IF((G93&lt;&gt;0),IF((D93&gt;0)," ",G93)," ")</f>
        <v> </v>
      </c>
      <c r="I93" s="367" t="str">
        <f aca="false">IF((G93&lt;&gt;0),IF((D93&gt;0)," ",(I$1-A93))," ")</f>
        <v> </v>
      </c>
      <c r="J93" s="334" t="str">
        <f aca="false">IF((E93="s"),G93," ")</f>
        <v> </v>
      </c>
      <c r="K93" s="334" t="str">
        <f aca="false">IF((E93="d"),G93," ")</f>
        <v> </v>
      </c>
      <c r="L93" s="334" t="str">
        <f aca="false">IF((E93="e"),G93," ")</f>
        <v> </v>
      </c>
      <c r="M93" s="334" t="str">
        <f aca="false">IF((E93="p"),G93," ")</f>
        <v> </v>
      </c>
      <c r="N93" s="334" t="str">
        <f aca="false">IF((E93="r"),G93," ")</f>
        <v> </v>
      </c>
      <c r="O93" s="334" t="str">
        <f aca="false">IF((E93="g"),G93," ")</f>
        <v> </v>
      </c>
      <c r="P93" s="334" t="str">
        <f aca="false">IF((E93="m"),G93," ")</f>
        <v> </v>
      </c>
      <c r="Q93" s="334" t="str">
        <f aca="false">IF((E93="t"),G93," ")</f>
        <v> </v>
      </c>
      <c r="R93" s="334" t="str">
        <f aca="false">IF((E93="a"),G93," ")</f>
        <v> </v>
      </c>
      <c r="S93" s="334" t="str">
        <f aca="false">IF((E93="l"),G93," ")</f>
        <v> </v>
      </c>
      <c r="T93" s="334" t="str">
        <f aca="false">IF((E93="b"),G93," ")</f>
        <v> </v>
      </c>
      <c r="U93" s="334" t="str">
        <f aca="false">IF((E93="i"),G93," ")</f>
        <v> </v>
      </c>
      <c r="V93" s="334" t="str">
        <f aca="false">IF((E93="o"),G93," ")</f>
        <v> </v>
      </c>
      <c r="W93" s="334" t="str">
        <f aca="false">IF((E93="f"),G93," ")</f>
        <v> </v>
      </c>
    </row>
    <row r="94" customFormat="false" ht="12.75" hidden="false" customHeight="false" outlineLevel="0" collapsed="false">
      <c r="A94" s="355"/>
      <c r="E94" s="365" t="str">
        <f aca="false">IF((G94&lt;&gt;0),"Enter Letter"," ")</f>
        <v> </v>
      </c>
      <c r="H94" s="338" t="str">
        <f aca="false">IF((G94&lt;&gt;0),IF((D94&gt;0)," ",G94)," ")</f>
        <v> </v>
      </c>
      <c r="I94" s="367" t="str">
        <f aca="false">IF((G94&lt;&gt;0),IF((D94&gt;0)," ",(I$1-A94))," ")</f>
        <v> </v>
      </c>
      <c r="J94" s="334" t="str">
        <f aca="false">IF((E94="s"),G94," ")</f>
        <v> </v>
      </c>
      <c r="K94" s="334" t="str">
        <f aca="false">IF((E94="d"),G94," ")</f>
        <v> </v>
      </c>
      <c r="L94" s="334" t="str">
        <f aca="false">IF((E94="e"),G94," ")</f>
        <v> </v>
      </c>
      <c r="M94" s="334" t="str">
        <f aca="false">IF((E94="p"),G94," ")</f>
        <v> </v>
      </c>
      <c r="N94" s="334" t="str">
        <f aca="false">IF((E94="r"),G94," ")</f>
        <v> </v>
      </c>
      <c r="O94" s="334" t="str">
        <f aca="false">IF((E94="g"),G94," ")</f>
        <v> </v>
      </c>
      <c r="P94" s="334" t="str">
        <f aca="false">IF((E94="m"),G94," ")</f>
        <v> </v>
      </c>
      <c r="Q94" s="334" t="str">
        <f aca="false">IF((E94="t"),G94," ")</f>
        <v> </v>
      </c>
      <c r="R94" s="334" t="str">
        <f aca="false">IF((E94="a"),G94," ")</f>
        <v> </v>
      </c>
      <c r="S94" s="334" t="str">
        <f aca="false">IF((E94="l"),G94," ")</f>
        <v> </v>
      </c>
      <c r="T94" s="334" t="str">
        <f aca="false">IF((E94="b"),G94," ")</f>
        <v> </v>
      </c>
      <c r="U94" s="334" t="str">
        <f aca="false">IF((E94="i"),G94," ")</f>
        <v> </v>
      </c>
      <c r="V94" s="334" t="str">
        <f aca="false">IF((E94="o"),G94," ")</f>
        <v> </v>
      </c>
      <c r="W94" s="334" t="str">
        <f aca="false">IF((E94="f"),G94," ")</f>
        <v> </v>
      </c>
    </row>
    <row r="95" customFormat="false" ht="12.75" hidden="false" customHeight="false" outlineLevel="0" collapsed="false">
      <c r="A95" s="355"/>
      <c r="E95" s="365" t="str">
        <f aca="false">IF((G95&lt;&gt;0),"Enter Letter"," ")</f>
        <v> </v>
      </c>
      <c r="H95" s="338" t="str">
        <f aca="false">IF((G95&lt;&gt;0),IF((D95&gt;0)," ",G95)," ")</f>
        <v> </v>
      </c>
      <c r="I95" s="367" t="str">
        <f aca="false">IF((G95&lt;&gt;0),IF((D95&gt;0)," ",(I$1-A95))," ")</f>
        <v> </v>
      </c>
      <c r="J95" s="334" t="str">
        <f aca="false">IF((E95="s"),G95," ")</f>
        <v> </v>
      </c>
      <c r="K95" s="334" t="str">
        <f aca="false">IF((E95="d"),G95," ")</f>
        <v> </v>
      </c>
      <c r="L95" s="334" t="str">
        <f aca="false">IF((E95="e"),G95," ")</f>
        <v> </v>
      </c>
      <c r="M95" s="334" t="str">
        <f aca="false">IF((E95="p"),G95," ")</f>
        <v> </v>
      </c>
      <c r="N95" s="334" t="str">
        <f aca="false">IF((E95="r"),G95," ")</f>
        <v> </v>
      </c>
      <c r="O95" s="334" t="str">
        <f aca="false">IF((E95="g"),G95," ")</f>
        <v> </v>
      </c>
      <c r="P95" s="334" t="str">
        <f aca="false">IF((E95="m"),G95," ")</f>
        <v> </v>
      </c>
      <c r="Q95" s="334" t="str">
        <f aca="false">IF((E95="t"),G95," ")</f>
        <v> </v>
      </c>
      <c r="R95" s="334" t="str">
        <f aca="false">IF((E95="a"),G95," ")</f>
        <v> </v>
      </c>
      <c r="S95" s="334" t="str">
        <f aca="false">IF((E95="l"),G95," ")</f>
        <v> </v>
      </c>
      <c r="T95" s="334" t="str">
        <f aca="false">IF((E95="b"),G95," ")</f>
        <v> </v>
      </c>
      <c r="U95" s="334" t="str">
        <f aca="false">IF((E95="i"),G95," ")</f>
        <v> </v>
      </c>
      <c r="V95" s="334" t="str">
        <f aca="false">IF((E95="o"),G95," ")</f>
        <v> </v>
      </c>
      <c r="W95" s="334" t="str">
        <f aca="false">IF((E95="f"),G95," ")</f>
        <v> </v>
      </c>
    </row>
    <row r="96" customFormat="false" ht="12.75" hidden="false" customHeight="false" outlineLevel="0" collapsed="false">
      <c r="A96" s="355"/>
      <c r="E96" s="365" t="str">
        <f aca="false">IF((G96&lt;&gt;0),"Enter Letter"," ")</f>
        <v> </v>
      </c>
      <c r="H96" s="338" t="str">
        <f aca="false">IF((G96&lt;&gt;0),IF((D96&gt;0)," ",G96)," ")</f>
        <v> </v>
      </c>
      <c r="I96" s="367" t="str">
        <f aca="false">IF((G96&lt;&gt;0),IF((D96&gt;0)," ",(I$1-A96))," ")</f>
        <v> </v>
      </c>
      <c r="J96" s="334" t="str">
        <f aca="false">IF((E96="s"),G96," ")</f>
        <v> </v>
      </c>
      <c r="K96" s="334" t="str">
        <f aca="false">IF((E96="d"),G96," ")</f>
        <v> </v>
      </c>
      <c r="L96" s="334" t="str">
        <f aca="false">IF((E96="e"),G96," ")</f>
        <v> </v>
      </c>
      <c r="M96" s="334" t="str">
        <f aca="false">IF((E96="p"),G96," ")</f>
        <v> </v>
      </c>
      <c r="N96" s="334" t="str">
        <f aca="false">IF((E96="r"),G96," ")</f>
        <v> </v>
      </c>
      <c r="O96" s="334" t="str">
        <f aca="false">IF((E96="g"),G96," ")</f>
        <v> </v>
      </c>
      <c r="P96" s="334" t="str">
        <f aca="false">IF((E96="m"),G96," ")</f>
        <v> </v>
      </c>
      <c r="Q96" s="334" t="str">
        <f aca="false">IF((E96="t"),G96," ")</f>
        <v> </v>
      </c>
      <c r="R96" s="334" t="str">
        <f aca="false">IF((E96="a"),G96," ")</f>
        <v> </v>
      </c>
      <c r="S96" s="334" t="str">
        <f aca="false">IF((E96="l"),G96," ")</f>
        <v> </v>
      </c>
      <c r="T96" s="334" t="str">
        <f aca="false">IF((E96="b"),G96," ")</f>
        <v> </v>
      </c>
      <c r="U96" s="334" t="str">
        <f aca="false">IF((E96="i"),G96," ")</f>
        <v> </v>
      </c>
      <c r="V96" s="334" t="str">
        <f aca="false">IF((E96="o"),G96," ")</f>
        <v> </v>
      </c>
      <c r="W96" s="334" t="str">
        <f aca="false">IF((E96="f"),G96," ")</f>
        <v> </v>
      </c>
    </row>
    <row r="97" customFormat="false" ht="12.75" hidden="false" customHeight="false" outlineLevel="0" collapsed="false">
      <c r="A97" s="355"/>
      <c r="E97" s="365" t="str">
        <f aca="false">IF((G97&lt;&gt;0),"Enter Letter"," ")</f>
        <v> </v>
      </c>
      <c r="H97" s="338" t="str">
        <f aca="false">IF((G97&lt;&gt;0),IF((D97&gt;0)," ",G97)," ")</f>
        <v> </v>
      </c>
      <c r="I97" s="367" t="str">
        <f aca="false">IF((G97&lt;&gt;0),IF((D97&gt;0)," ",(I$1-A97))," ")</f>
        <v> </v>
      </c>
      <c r="J97" s="334" t="str">
        <f aca="false">IF((E97="s"),G97," ")</f>
        <v> </v>
      </c>
      <c r="K97" s="334" t="str">
        <f aca="false">IF((E97="d"),G97," ")</f>
        <v> </v>
      </c>
      <c r="L97" s="334" t="str">
        <f aca="false">IF((E97="e"),G97," ")</f>
        <v> </v>
      </c>
      <c r="M97" s="334" t="str">
        <f aca="false">IF((E97="p"),G97," ")</f>
        <v> </v>
      </c>
      <c r="N97" s="334" t="str">
        <f aca="false">IF((E97="r"),G97," ")</f>
        <v> </v>
      </c>
      <c r="O97" s="334" t="str">
        <f aca="false">IF((E97="g"),G97," ")</f>
        <v> </v>
      </c>
      <c r="P97" s="334" t="str">
        <f aca="false">IF((E97="m"),G97," ")</f>
        <v> </v>
      </c>
      <c r="Q97" s="334" t="str">
        <f aca="false">IF((E97="t"),G97," ")</f>
        <v> </v>
      </c>
      <c r="R97" s="334" t="str">
        <f aca="false">IF((E97="a"),G97," ")</f>
        <v> </v>
      </c>
      <c r="S97" s="334" t="str">
        <f aca="false">IF((E97="l"),G97," ")</f>
        <v> </v>
      </c>
      <c r="T97" s="334" t="str">
        <f aca="false">IF((E97="b"),G97," ")</f>
        <v> </v>
      </c>
      <c r="U97" s="334" t="str">
        <f aca="false">IF((E97="i"),G97," ")</f>
        <v> </v>
      </c>
      <c r="V97" s="334" t="str">
        <f aca="false">IF((E97="o"),G97," ")</f>
        <v> </v>
      </c>
      <c r="W97" s="334" t="str">
        <f aca="false">IF((E97="f"),G97," ")</f>
        <v> </v>
      </c>
    </row>
    <row r="98" customFormat="false" ht="12.75" hidden="false" customHeight="false" outlineLevel="0" collapsed="false">
      <c r="A98" s="355"/>
      <c r="E98" s="365" t="str">
        <f aca="false">IF((G98&lt;&gt;0),"Enter Letter"," ")</f>
        <v> </v>
      </c>
      <c r="H98" s="338" t="str">
        <f aca="false">IF((G98&lt;&gt;0),IF((D98&gt;0)," ",G98)," ")</f>
        <v> </v>
      </c>
      <c r="I98" s="367" t="str">
        <f aca="false">IF((G98&lt;&gt;0),IF((D98&gt;0)," ",(I$1-A98))," ")</f>
        <v> </v>
      </c>
      <c r="J98" s="334" t="str">
        <f aca="false">IF((E98="s"),G98," ")</f>
        <v> </v>
      </c>
      <c r="K98" s="334" t="str">
        <f aca="false">IF((E98="d"),G98," ")</f>
        <v> </v>
      </c>
      <c r="L98" s="334" t="str">
        <f aca="false">IF((E98="e"),G98," ")</f>
        <v> </v>
      </c>
      <c r="M98" s="334" t="str">
        <f aca="false">IF((E98="p"),G98," ")</f>
        <v> </v>
      </c>
      <c r="N98" s="334" t="str">
        <f aca="false">IF((E98="r"),G98," ")</f>
        <v> </v>
      </c>
      <c r="O98" s="334" t="str">
        <f aca="false">IF((E98="g"),G98," ")</f>
        <v> </v>
      </c>
      <c r="P98" s="334" t="str">
        <f aca="false">IF((E98="m"),G98," ")</f>
        <v> </v>
      </c>
      <c r="Q98" s="334" t="str">
        <f aca="false">IF((E98="t"),G98," ")</f>
        <v> </v>
      </c>
      <c r="R98" s="334" t="str">
        <f aca="false">IF((E98="a"),G98," ")</f>
        <v> </v>
      </c>
      <c r="S98" s="334" t="str">
        <f aca="false">IF((E98="l"),G98," ")</f>
        <v> </v>
      </c>
      <c r="T98" s="334" t="str">
        <f aca="false">IF((E98="b"),G98," ")</f>
        <v> </v>
      </c>
      <c r="U98" s="334" t="str">
        <f aca="false">IF((E98="i"),G98," ")</f>
        <v> </v>
      </c>
      <c r="V98" s="334" t="str">
        <f aca="false">IF((E98="o"),G98," ")</f>
        <v> </v>
      </c>
      <c r="W98" s="334" t="str">
        <f aca="false">IF((E98="f"),G98," ")</f>
        <v> </v>
      </c>
    </row>
    <row r="99" customFormat="false" ht="12.75" hidden="false" customHeight="false" outlineLevel="0" collapsed="false">
      <c r="A99" s="355"/>
      <c r="E99" s="365" t="str">
        <f aca="false">IF((G99&lt;&gt;0),"Enter Letter"," ")</f>
        <v> </v>
      </c>
      <c r="H99" s="338" t="str">
        <f aca="false">IF((G99&lt;&gt;0),IF((D99&gt;0)," ",G99)," ")</f>
        <v> </v>
      </c>
      <c r="I99" s="367" t="str">
        <f aca="false">IF((G99&lt;&gt;0),IF((D99&gt;0)," ",(I$1-A99))," ")</f>
        <v> </v>
      </c>
      <c r="J99" s="334" t="str">
        <f aca="false">IF((E99="s"),G99," ")</f>
        <v> </v>
      </c>
      <c r="K99" s="334" t="str">
        <f aca="false">IF((E99="d"),G99," ")</f>
        <v> </v>
      </c>
      <c r="L99" s="334" t="str">
        <f aca="false">IF((E99="e"),G99," ")</f>
        <v> </v>
      </c>
      <c r="M99" s="334" t="str">
        <f aca="false">IF((E99="p"),G99," ")</f>
        <v> </v>
      </c>
      <c r="N99" s="334" t="str">
        <f aca="false">IF((E99="r"),G99," ")</f>
        <v> </v>
      </c>
      <c r="O99" s="334" t="str">
        <f aca="false">IF((E99="g"),G99," ")</f>
        <v> </v>
      </c>
      <c r="P99" s="334" t="str">
        <f aca="false">IF((E99="m"),G99," ")</f>
        <v> </v>
      </c>
      <c r="Q99" s="334" t="str">
        <f aca="false">IF((E99="t"),G99," ")</f>
        <v> </v>
      </c>
      <c r="R99" s="334" t="str">
        <f aca="false">IF((E99="a"),G99," ")</f>
        <v> </v>
      </c>
      <c r="S99" s="334" t="str">
        <f aca="false">IF((E99="l"),G99," ")</f>
        <v> </v>
      </c>
      <c r="T99" s="334" t="str">
        <f aca="false">IF((E99="b"),G99," ")</f>
        <v> </v>
      </c>
      <c r="U99" s="334" t="str">
        <f aca="false">IF((E99="i"),G99," ")</f>
        <v> </v>
      </c>
      <c r="V99" s="334" t="str">
        <f aca="false">IF((E99="o"),G99," ")</f>
        <v> </v>
      </c>
      <c r="W99" s="334" t="str">
        <f aca="false">IF((E99="f"),G99," ")</f>
        <v> </v>
      </c>
    </row>
    <row r="100" customFormat="false" ht="12.75" hidden="false" customHeight="false" outlineLevel="0" collapsed="false">
      <c r="A100" s="355"/>
      <c r="E100" s="365" t="str">
        <f aca="false">IF((G100&lt;&gt;0),"Enter Letter"," ")</f>
        <v> </v>
      </c>
      <c r="H100" s="338" t="str">
        <f aca="false">IF((G100&lt;&gt;0),IF((D100&gt;0)," ",G100)," ")</f>
        <v> </v>
      </c>
      <c r="I100" s="367" t="str">
        <f aca="false">IF((G100&lt;&gt;0),IF((D100&gt;0)," ",(I$1-A100))," ")</f>
        <v> </v>
      </c>
      <c r="J100" s="334" t="str">
        <f aca="false">IF((E100="s"),G100," ")</f>
        <v> </v>
      </c>
      <c r="K100" s="334" t="str">
        <f aca="false">IF((E100="d"),G100," ")</f>
        <v> </v>
      </c>
      <c r="L100" s="334" t="str">
        <f aca="false">IF((E100="e"),G100," ")</f>
        <v> </v>
      </c>
      <c r="M100" s="334" t="str">
        <f aca="false">IF((E100="p"),G100," ")</f>
        <v> </v>
      </c>
      <c r="N100" s="334" t="str">
        <f aca="false">IF((E100="r"),G100," ")</f>
        <v> </v>
      </c>
      <c r="O100" s="334" t="str">
        <f aca="false">IF((E100="g"),G100," ")</f>
        <v> </v>
      </c>
      <c r="P100" s="334" t="str">
        <f aca="false">IF((E100="m"),G100," ")</f>
        <v> </v>
      </c>
      <c r="Q100" s="334" t="str">
        <f aca="false">IF((E100="t"),G100," ")</f>
        <v> </v>
      </c>
      <c r="R100" s="334" t="str">
        <f aca="false">IF((E100="a"),G100," ")</f>
        <v> </v>
      </c>
      <c r="S100" s="334" t="str">
        <f aca="false">IF((E100="l"),G100," ")</f>
        <v> </v>
      </c>
      <c r="T100" s="334" t="str">
        <f aca="false">IF((E100="b"),G100," ")</f>
        <v> </v>
      </c>
      <c r="U100" s="334" t="str">
        <f aca="false">IF((E100="i"),G100," ")</f>
        <v> </v>
      </c>
      <c r="V100" s="334" t="str">
        <f aca="false">IF((E100="o"),G100," ")</f>
        <v> </v>
      </c>
      <c r="W100" s="334" t="str">
        <f aca="false">IF((E100="f"),G100," ")</f>
        <v> </v>
      </c>
    </row>
    <row r="101" customFormat="false" ht="12.75" hidden="false" customHeight="false" outlineLevel="0" collapsed="false">
      <c r="A101" s="355"/>
      <c r="E101" s="365" t="str">
        <f aca="false">IF((G101&lt;&gt;0),"Enter Letter"," ")</f>
        <v> </v>
      </c>
      <c r="H101" s="338" t="str">
        <f aca="false">IF((G101&lt;&gt;0),IF((D101&gt;0)," ",G101)," ")</f>
        <v> </v>
      </c>
      <c r="I101" s="367" t="str">
        <f aca="false">IF((G101&lt;&gt;0),IF((D101&gt;0)," ",(I$1-A101))," ")</f>
        <v> </v>
      </c>
      <c r="J101" s="334" t="str">
        <f aca="false">IF((E101="s"),G101," ")</f>
        <v> </v>
      </c>
      <c r="K101" s="334" t="str">
        <f aca="false">IF((E101="d"),G101," ")</f>
        <v> </v>
      </c>
      <c r="L101" s="334" t="str">
        <f aca="false">IF((E101="e"),G101," ")</f>
        <v> </v>
      </c>
      <c r="M101" s="334" t="str">
        <f aca="false">IF((E101="p"),G101," ")</f>
        <v> </v>
      </c>
      <c r="N101" s="334" t="str">
        <f aca="false">IF((E101="r"),G101," ")</f>
        <v> </v>
      </c>
      <c r="O101" s="334" t="str">
        <f aca="false">IF((E101="g"),G101," ")</f>
        <v> </v>
      </c>
      <c r="P101" s="334" t="str">
        <f aca="false">IF((E101="m"),G101," ")</f>
        <v> </v>
      </c>
      <c r="Q101" s="334" t="str">
        <f aca="false">IF((E101="t"),G101," ")</f>
        <v> </v>
      </c>
      <c r="R101" s="334" t="str">
        <f aca="false">IF((E101="a"),G101," ")</f>
        <v> </v>
      </c>
      <c r="S101" s="334" t="str">
        <f aca="false">IF((E101="l"),G101," ")</f>
        <v> </v>
      </c>
      <c r="T101" s="334" t="str">
        <f aca="false">IF((E101="b"),G101," ")</f>
        <v> </v>
      </c>
      <c r="U101" s="334" t="str">
        <f aca="false">IF((E101="i"),G101," ")</f>
        <v> </v>
      </c>
      <c r="V101" s="334" t="str">
        <f aca="false">IF((E101="o"),G101," ")</f>
        <v> </v>
      </c>
      <c r="W101" s="334" t="str">
        <f aca="false">IF((E101="f"),G101," ")</f>
        <v> </v>
      </c>
    </row>
    <row r="102" customFormat="false" ht="12.75" hidden="false" customHeight="false" outlineLevel="0" collapsed="false">
      <c r="A102" s="355"/>
      <c r="E102" s="365" t="str">
        <f aca="false">IF((G102&lt;&gt;0),"Enter Letter"," ")</f>
        <v> </v>
      </c>
      <c r="H102" s="338" t="str">
        <f aca="false">IF((G102&lt;&gt;0),IF((D102&gt;0)," ",G102)," ")</f>
        <v> </v>
      </c>
      <c r="I102" s="367" t="str">
        <f aca="false">IF((G102&lt;&gt;0),IF((D102&gt;0)," ",(I$1-A102))," ")</f>
        <v> </v>
      </c>
      <c r="J102" s="334" t="str">
        <f aca="false">IF((E102="s"),G102," ")</f>
        <v> </v>
      </c>
      <c r="K102" s="334" t="str">
        <f aca="false">IF((E102="d"),G102," ")</f>
        <v> </v>
      </c>
      <c r="L102" s="334" t="str">
        <f aca="false">IF((E102="e"),G102," ")</f>
        <v> </v>
      </c>
      <c r="M102" s="334" t="str">
        <f aca="false">IF((E102="p"),G102," ")</f>
        <v> </v>
      </c>
      <c r="N102" s="334" t="str">
        <f aca="false">IF((E102="r"),G102," ")</f>
        <v> </v>
      </c>
      <c r="O102" s="334" t="str">
        <f aca="false">IF((E102="g"),G102," ")</f>
        <v> </v>
      </c>
      <c r="P102" s="334" t="str">
        <f aca="false">IF((E102="m"),G102," ")</f>
        <v> </v>
      </c>
      <c r="Q102" s="334" t="str">
        <f aca="false">IF((E102="t"),G102," ")</f>
        <v> </v>
      </c>
      <c r="R102" s="334" t="str">
        <f aca="false">IF((E102="a"),G102," ")</f>
        <v> </v>
      </c>
      <c r="S102" s="334" t="str">
        <f aca="false">IF((E102="l"),G102," ")</f>
        <v> </v>
      </c>
      <c r="T102" s="334" t="str">
        <f aca="false">IF((E102="b"),G102," ")</f>
        <v> </v>
      </c>
      <c r="U102" s="334" t="str">
        <f aca="false">IF((E102="i"),G102," ")</f>
        <v> </v>
      </c>
      <c r="V102" s="334" t="str">
        <f aca="false">IF((E102="o"),G102," ")</f>
        <v> </v>
      </c>
      <c r="W102" s="334" t="str">
        <f aca="false">IF((E102="f"),G102," ")</f>
        <v> </v>
      </c>
    </row>
    <row r="103" customFormat="false" ht="12.75" hidden="false" customHeight="false" outlineLevel="0" collapsed="false">
      <c r="A103" s="355"/>
      <c r="E103" s="365" t="str">
        <f aca="false">IF((G103&lt;&gt;0),"Enter Letter"," ")</f>
        <v> </v>
      </c>
      <c r="H103" s="338" t="str">
        <f aca="false">IF((G103&lt;&gt;0),IF((D103&gt;0)," ",G103)," ")</f>
        <v> </v>
      </c>
      <c r="I103" s="367" t="str">
        <f aca="false">IF((G103&lt;&gt;0),IF((D103&gt;0)," ",(I$1-A103))," ")</f>
        <v> </v>
      </c>
      <c r="J103" s="334" t="str">
        <f aca="false">IF((E103="s"),G103," ")</f>
        <v> </v>
      </c>
      <c r="K103" s="334" t="str">
        <f aca="false">IF((E103="d"),G103," ")</f>
        <v> </v>
      </c>
      <c r="L103" s="334" t="str">
        <f aca="false">IF((E103="e"),G103," ")</f>
        <v> </v>
      </c>
      <c r="M103" s="334" t="str">
        <f aca="false">IF((E103="p"),G103," ")</f>
        <v> </v>
      </c>
      <c r="N103" s="334" t="str">
        <f aca="false">IF((E103="r"),G103," ")</f>
        <v> </v>
      </c>
      <c r="O103" s="334" t="str">
        <f aca="false">IF((E103="g"),G103," ")</f>
        <v> </v>
      </c>
      <c r="P103" s="334" t="str">
        <f aca="false">IF((E103="m"),G103," ")</f>
        <v> </v>
      </c>
      <c r="Q103" s="334" t="str">
        <f aca="false">IF((E103="t"),G103," ")</f>
        <v> </v>
      </c>
      <c r="R103" s="334" t="str">
        <f aca="false">IF((E103="a"),G103," ")</f>
        <v> </v>
      </c>
      <c r="S103" s="334" t="str">
        <f aca="false">IF((E103="l"),G103," ")</f>
        <v> </v>
      </c>
      <c r="T103" s="334" t="str">
        <f aca="false">IF((E103="b"),G103," ")</f>
        <v> </v>
      </c>
      <c r="U103" s="334" t="str">
        <f aca="false">IF((E103="i"),G103," ")</f>
        <v> </v>
      </c>
      <c r="V103" s="334" t="str">
        <f aca="false">IF((E103="o"),G103," ")</f>
        <v> </v>
      </c>
      <c r="W103" s="334" t="str">
        <f aca="false">IF((E103="f"),G103," ")</f>
        <v> </v>
      </c>
    </row>
    <row r="104" customFormat="false" ht="12.75" hidden="false" customHeight="false" outlineLevel="0" collapsed="false">
      <c r="A104" s="355"/>
      <c r="E104" s="365" t="str">
        <f aca="false">IF((G104&lt;&gt;0),"Enter Letter"," ")</f>
        <v> </v>
      </c>
      <c r="H104" s="338" t="str">
        <f aca="false">IF((G104&lt;&gt;0),IF((D104&gt;0)," ",G104)," ")</f>
        <v> </v>
      </c>
      <c r="I104" s="367" t="str">
        <f aca="false">IF((G104&lt;&gt;0),IF((D104&gt;0)," ",(I$1-A104))," ")</f>
        <v> </v>
      </c>
      <c r="J104" s="334" t="str">
        <f aca="false">IF((E104="s"),G104," ")</f>
        <v> </v>
      </c>
      <c r="K104" s="334" t="str">
        <f aca="false">IF((E104="d"),G104," ")</f>
        <v> </v>
      </c>
      <c r="L104" s="334" t="str">
        <f aca="false">IF((E104="e"),G104," ")</f>
        <v> </v>
      </c>
      <c r="M104" s="334" t="str">
        <f aca="false">IF((E104="p"),G104," ")</f>
        <v> </v>
      </c>
      <c r="N104" s="334" t="str">
        <f aca="false">IF((E104="r"),G104," ")</f>
        <v> </v>
      </c>
      <c r="O104" s="334" t="str">
        <f aca="false">IF((E104="g"),G104," ")</f>
        <v> </v>
      </c>
      <c r="P104" s="334" t="str">
        <f aca="false">IF((E104="m"),G104," ")</f>
        <v> </v>
      </c>
      <c r="Q104" s="334" t="str">
        <f aca="false">IF((E104="t"),G104," ")</f>
        <v> </v>
      </c>
      <c r="R104" s="334" t="str">
        <f aca="false">IF((E104="a"),G104," ")</f>
        <v> </v>
      </c>
      <c r="S104" s="334" t="str">
        <f aca="false">IF((E104="l"),G104," ")</f>
        <v> </v>
      </c>
      <c r="T104" s="334" t="str">
        <f aca="false">IF((E104="b"),G104," ")</f>
        <v> </v>
      </c>
      <c r="U104" s="334" t="str">
        <f aca="false">IF((E104="i"),G104," ")</f>
        <v> </v>
      </c>
      <c r="V104" s="334" t="str">
        <f aca="false">IF((E104="o"),G104," ")</f>
        <v> </v>
      </c>
      <c r="W104" s="334" t="str">
        <f aca="false">IF((E104="f"),G104," ")</f>
        <v> </v>
      </c>
    </row>
    <row r="105" customFormat="false" ht="12.75" hidden="false" customHeight="false" outlineLevel="0" collapsed="false">
      <c r="A105" s="355"/>
      <c r="E105" s="365" t="str">
        <f aca="false">IF((G105&lt;&gt;0),"Enter Letter"," ")</f>
        <v> </v>
      </c>
      <c r="H105" s="338" t="str">
        <f aca="false">IF((G105&lt;&gt;0),IF((D105&gt;0)," ",G105)," ")</f>
        <v> </v>
      </c>
      <c r="I105" s="367" t="str">
        <f aca="false">IF((G105&lt;&gt;0),IF((D105&gt;0)," ",(I$1-A105))," ")</f>
        <v> </v>
      </c>
      <c r="J105" s="334" t="str">
        <f aca="false">IF((E105="s"),G105," ")</f>
        <v> </v>
      </c>
      <c r="K105" s="334" t="str">
        <f aca="false">IF((E105="d"),G105," ")</f>
        <v> </v>
      </c>
      <c r="L105" s="334" t="str">
        <f aca="false">IF((E105="e"),G105," ")</f>
        <v> </v>
      </c>
      <c r="M105" s="334" t="str">
        <f aca="false">IF((E105="p"),G105," ")</f>
        <v> </v>
      </c>
      <c r="N105" s="334" t="str">
        <f aca="false">IF((E105="r"),G105," ")</f>
        <v> </v>
      </c>
      <c r="O105" s="334" t="str">
        <f aca="false">IF((E105="g"),G105," ")</f>
        <v> </v>
      </c>
      <c r="P105" s="334" t="str">
        <f aca="false">IF((E105="m"),G105," ")</f>
        <v> </v>
      </c>
      <c r="Q105" s="334" t="str">
        <f aca="false">IF((E105="t"),G105," ")</f>
        <v> </v>
      </c>
      <c r="R105" s="334" t="str">
        <f aca="false">IF((E105="a"),G105," ")</f>
        <v> </v>
      </c>
      <c r="S105" s="334" t="str">
        <f aca="false">IF((E105="l"),G105," ")</f>
        <v> </v>
      </c>
      <c r="T105" s="334" t="str">
        <f aca="false">IF((E105="b"),G105," ")</f>
        <v> </v>
      </c>
      <c r="U105" s="334" t="str">
        <f aca="false">IF((E105="i"),G105," ")</f>
        <v> </v>
      </c>
      <c r="V105" s="334" t="str">
        <f aca="false">IF((E105="o"),G105," ")</f>
        <v> </v>
      </c>
      <c r="W105" s="334" t="str">
        <f aca="false">IF((E105="f"),G105," ")</f>
        <v> </v>
      </c>
    </row>
    <row r="106" customFormat="false" ht="12.75" hidden="false" customHeight="false" outlineLevel="0" collapsed="false">
      <c r="A106" s="355"/>
      <c r="E106" s="365" t="str">
        <f aca="false">IF((G106&lt;&gt;0),"Enter Letter"," ")</f>
        <v> </v>
      </c>
      <c r="H106" s="338" t="str">
        <f aca="false">IF((G106&lt;&gt;0),IF((D106&gt;0)," ",G106)," ")</f>
        <v> </v>
      </c>
      <c r="I106" s="367" t="str">
        <f aca="false">IF((G106&lt;&gt;0),IF((D106&gt;0)," ",(I$1-A106))," ")</f>
        <v> </v>
      </c>
      <c r="J106" s="334" t="str">
        <f aca="false">IF((E106="s"),G106," ")</f>
        <v> </v>
      </c>
      <c r="K106" s="334" t="str">
        <f aca="false">IF((E106="d"),G106," ")</f>
        <v> </v>
      </c>
      <c r="L106" s="334" t="str">
        <f aca="false">IF((E106="e"),G106," ")</f>
        <v> </v>
      </c>
      <c r="M106" s="334" t="str">
        <f aca="false">IF((E106="p"),G106," ")</f>
        <v> </v>
      </c>
      <c r="N106" s="334" t="str">
        <f aca="false">IF((E106="r"),G106," ")</f>
        <v> </v>
      </c>
      <c r="O106" s="334" t="str">
        <f aca="false">IF((E106="g"),G106," ")</f>
        <v> </v>
      </c>
      <c r="P106" s="334" t="str">
        <f aca="false">IF((E106="m"),G106," ")</f>
        <v> </v>
      </c>
      <c r="Q106" s="334" t="str">
        <f aca="false">IF((E106="t"),G106," ")</f>
        <v> </v>
      </c>
      <c r="R106" s="334" t="str">
        <f aca="false">IF((E106="a"),G106," ")</f>
        <v> </v>
      </c>
      <c r="S106" s="334" t="str">
        <f aca="false">IF((E106="l"),G106," ")</f>
        <v> </v>
      </c>
      <c r="T106" s="334" t="str">
        <f aca="false">IF((E106="b"),G106," ")</f>
        <v> </v>
      </c>
      <c r="U106" s="334" t="str">
        <f aca="false">IF((E106="i"),G106," ")</f>
        <v> </v>
      </c>
      <c r="V106" s="334" t="str">
        <f aca="false">IF((E106="o"),G106," ")</f>
        <v> </v>
      </c>
      <c r="W106" s="334" t="str">
        <f aca="false">IF((E106="f"),G106," ")</f>
        <v> </v>
      </c>
    </row>
    <row r="107" customFormat="false" ht="12.75" hidden="false" customHeight="false" outlineLevel="0" collapsed="false">
      <c r="A107" s="355"/>
      <c r="E107" s="365" t="str">
        <f aca="false">IF((G107&lt;&gt;0),"Enter Letter"," ")</f>
        <v> </v>
      </c>
      <c r="H107" s="338" t="str">
        <f aca="false">IF((G107&lt;&gt;0),IF((D107&gt;0)," ",G107)," ")</f>
        <v> </v>
      </c>
      <c r="I107" s="367" t="str">
        <f aca="false">IF((G107&lt;&gt;0),IF((D107&gt;0)," ",(I$1-A107))," ")</f>
        <v> </v>
      </c>
      <c r="J107" s="334" t="str">
        <f aca="false">IF((E107="s"),G107," ")</f>
        <v> </v>
      </c>
      <c r="K107" s="334" t="str">
        <f aca="false">IF((E107="d"),G107," ")</f>
        <v> </v>
      </c>
      <c r="L107" s="334" t="str">
        <f aca="false">IF((E107="e"),G107," ")</f>
        <v> </v>
      </c>
      <c r="M107" s="334" t="str">
        <f aca="false">IF((E107="p"),G107," ")</f>
        <v> </v>
      </c>
      <c r="N107" s="334" t="str">
        <f aca="false">IF((E107="r"),G107," ")</f>
        <v> </v>
      </c>
      <c r="O107" s="334" t="str">
        <f aca="false">IF((E107="g"),G107," ")</f>
        <v> </v>
      </c>
      <c r="P107" s="334" t="str">
        <f aca="false">IF((E107="m"),G107," ")</f>
        <v> </v>
      </c>
      <c r="Q107" s="334" t="str">
        <f aca="false">IF((E107="t"),G107," ")</f>
        <v> </v>
      </c>
      <c r="R107" s="334" t="str">
        <f aca="false">IF((E107="a"),G107," ")</f>
        <v> </v>
      </c>
      <c r="S107" s="334" t="str">
        <f aca="false">IF((E107="l"),G107," ")</f>
        <v> </v>
      </c>
      <c r="T107" s="334" t="str">
        <f aca="false">IF((E107="b"),G107," ")</f>
        <v> </v>
      </c>
      <c r="U107" s="334" t="str">
        <f aca="false">IF((E107="i"),G107," ")</f>
        <v> </v>
      </c>
      <c r="V107" s="334" t="str">
        <f aca="false">IF((E107="o"),G107," ")</f>
        <v> </v>
      </c>
      <c r="W107" s="334" t="str">
        <f aca="false">IF((E107="f"),G107," ")</f>
        <v> </v>
      </c>
    </row>
    <row r="108" customFormat="false" ht="12.75" hidden="false" customHeight="false" outlineLevel="0" collapsed="false">
      <c r="A108" s="355"/>
      <c r="E108" s="365" t="str">
        <f aca="false">IF((G108&lt;&gt;0),"Enter Letter"," ")</f>
        <v> </v>
      </c>
      <c r="H108" s="338" t="str">
        <f aca="false">IF((G108&lt;&gt;0),IF((D108&gt;0)," ",G108)," ")</f>
        <v> </v>
      </c>
      <c r="I108" s="367" t="str">
        <f aca="false">IF((G108&lt;&gt;0),IF((D108&gt;0)," ",(I$1-A108))," ")</f>
        <v> </v>
      </c>
      <c r="J108" s="334" t="str">
        <f aca="false">IF((E108="s"),G108," ")</f>
        <v> </v>
      </c>
      <c r="K108" s="334" t="str">
        <f aca="false">IF((E108="d"),G108," ")</f>
        <v> </v>
      </c>
      <c r="L108" s="334" t="str">
        <f aca="false">IF((E108="e"),G108," ")</f>
        <v> </v>
      </c>
      <c r="M108" s="334" t="str">
        <f aca="false">IF((E108="p"),G108," ")</f>
        <v> </v>
      </c>
      <c r="N108" s="334" t="str">
        <f aca="false">IF((E108="r"),G108," ")</f>
        <v> </v>
      </c>
      <c r="O108" s="334" t="str">
        <f aca="false">IF((E108="g"),G108," ")</f>
        <v> </v>
      </c>
      <c r="P108" s="334" t="str">
        <f aca="false">IF((E108="m"),G108," ")</f>
        <v> </v>
      </c>
      <c r="Q108" s="334" t="str">
        <f aca="false">IF((E108="t"),G108," ")</f>
        <v> </v>
      </c>
      <c r="R108" s="334" t="str">
        <f aca="false">IF((E108="a"),G108," ")</f>
        <v> </v>
      </c>
      <c r="S108" s="334" t="str">
        <f aca="false">IF((E108="l"),G108," ")</f>
        <v> </v>
      </c>
      <c r="T108" s="334" t="str">
        <f aca="false">IF((E108="b"),G108," ")</f>
        <v> </v>
      </c>
      <c r="U108" s="334" t="str">
        <f aca="false">IF((E108="i"),G108," ")</f>
        <v> </v>
      </c>
      <c r="V108" s="334" t="str">
        <f aca="false">IF((E108="o"),G108," ")</f>
        <v> </v>
      </c>
      <c r="W108" s="334" t="str">
        <f aca="false">IF((E108="f"),G108," ")</f>
        <v> </v>
      </c>
    </row>
    <row r="109" customFormat="false" ht="12.75" hidden="false" customHeight="false" outlineLevel="0" collapsed="false">
      <c r="A109" s="355"/>
      <c r="E109" s="365" t="str">
        <f aca="false">IF((G109&lt;&gt;0),"Enter Letter"," ")</f>
        <v> </v>
      </c>
      <c r="H109" s="338" t="str">
        <f aca="false">IF((G109&lt;&gt;0),IF((D109&gt;0)," ",G109)," ")</f>
        <v> </v>
      </c>
      <c r="I109" s="367" t="str">
        <f aca="false">IF((G109&lt;&gt;0),IF((D109&gt;0)," ",(I$1-A109))," ")</f>
        <v> </v>
      </c>
      <c r="J109" s="334" t="str">
        <f aca="false">IF((E109="s"),G109," ")</f>
        <v> </v>
      </c>
      <c r="K109" s="334" t="str">
        <f aca="false">IF((E109="d"),G109," ")</f>
        <v> </v>
      </c>
      <c r="L109" s="334" t="str">
        <f aca="false">IF((E109="e"),G109," ")</f>
        <v> </v>
      </c>
      <c r="M109" s="334" t="str">
        <f aca="false">IF((E109="p"),G109," ")</f>
        <v> </v>
      </c>
      <c r="N109" s="334" t="str">
        <f aca="false">IF((E109="r"),G109," ")</f>
        <v> </v>
      </c>
      <c r="O109" s="334" t="str">
        <f aca="false">IF((E109="g"),G109," ")</f>
        <v> </v>
      </c>
      <c r="P109" s="334" t="str">
        <f aca="false">IF((E109="m"),G109," ")</f>
        <v> </v>
      </c>
      <c r="Q109" s="334" t="str">
        <f aca="false">IF((E109="t"),G109," ")</f>
        <v> </v>
      </c>
      <c r="R109" s="334" t="str">
        <f aca="false">IF((E109="a"),G109," ")</f>
        <v> </v>
      </c>
      <c r="S109" s="334" t="str">
        <f aca="false">IF((E109="l"),G109," ")</f>
        <v> </v>
      </c>
      <c r="T109" s="334" t="str">
        <f aca="false">IF((E109="b"),G109," ")</f>
        <v> </v>
      </c>
      <c r="U109" s="334" t="str">
        <f aca="false">IF((E109="i"),G109," ")</f>
        <v> </v>
      </c>
      <c r="V109" s="334" t="str">
        <f aca="false">IF((E109="o"),G109," ")</f>
        <v> </v>
      </c>
      <c r="W109" s="334" t="str">
        <f aca="false">IF((E109="f"),G109," ")</f>
        <v> </v>
      </c>
    </row>
    <row r="110" customFormat="false" ht="12.75" hidden="false" customHeight="false" outlineLevel="0" collapsed="false">
      <c r="A110" s="355"/>
      <c r="E110" s="365" t="str">
        <f aca="false">IF((G110&lt;&gt;0),"Enter Letter"," ")</f>
        <v> </v>
      </c>
      <c r="H110" s="338" t="str">
        <f aca="false">IF((G110&lt;&gt;0),IF((D110&gt;0)," ",G110)," ")</f>
        <v> </v>
      </c>
      <c r="I110" s="367" t="str">
        <f aca="false">IF((G110&lt;&gt;0),IF((D110&gt;0)," ",(I$1-A110))," ")</f>
        <v> </v>
      </c>
      <c r="J110" s="334" t="str">
        <f aca="false">IF((E110="s"),G110," ")</f>
        <v> </v>
      </c>
      <c r="K110" s="334" t="str">
        <f aca="false">IF((E110="d"),G110," ")</f>
        <v> </v>
      </c>
      <c r="L110" s="334" t="str">
        <f aca="false">IF((E110="e"),G110," ")</f>
        <v> </v>
      </c>
      <c r="M110" s="334" t="str">
        <f aca="false">IF((E110="p"),G110," ")</f>
        <v> </v>
      </c>
      <c r="N110" s="334" t="str">
        <f aca="false">IF((E110="r"),G110," ")</f>
        <v> </v>
      </c>
      <c r="O110" s="334" t="str">
        <f aca="false">IF((E110="g"),G110," ")</f>
        <v> </v>
      </c>
      <c r="P110" s="334" t="str">
        <f aca="false">IF((E110="m"),G110," ")</f>
        <v> </v>
      </c>
      <c r="Q110" s="334" t="str">
        <f aca="false">IF((E110="t"),G110," ")</f>
        <v> </v>
      </c>
      <c r="R110" s="334" t="str">
        <f aca="false">IF((E110="a"),G110," ")</f>
        <v> </v>
      </c>
      <c r="S110" s="334" t="str">
        <f aca="false">IF((E110="l"),G110," ")</f>
        <v> </v>
      </c>
      <c r="T110" s="334" t="str">
        <f aca="false">IF((E110="b"),G110," ")</f>
        <v> </v>
      </c>
      <c r="U110" s="334" t="str">
        <f aca="false">IF((E110="i"),G110," ")</f>
        <v> </v>
      </c>
      <c r="V110" s="334" t="str">
        <f aca="false">IF((E110="o"),G110," ")</f>
        <v> </v>
      </c>
      <c r="W110" s="334" t="str">
        <f aca="false">IF((E110="f"),G110," ")</f>
        <v> </v>
      </c>
    </row>
    <row r="111" customFormat="false" ht="12.75" hidden="false" customHeight="false" outlineLevel="0" collapsed="false">
      <c r="A111" s="355"/>
      <c r="E111" s="365" t="str">
        <f aca="false">IF((G111&lt;&gt;0),"Enter Letter"," ")</f>
        <v> </v>
      </c>
      <c r="H111" s="338" t="str">
        <f aca="false">IF((G111&lt;&gt;0),IF((D111&gt;0)," ",G111)," ")</f>
        <v> </v>
      </c>
      <c r="I111" s="367" t="str">
        <f aca="false">IF((G111&lt;&gt;0),IF((D111&gt;0)," ",(I$1-A111))," ")</f>
        <v> </v>
      </c>
      <c r="J111" s="334" t="str">
        <f aca="false">IF((E111="s"),G111," ")</f>
        <v> </v>
      </c>
      <c r="K111" s="334" t="str">
        <f aca="false">IF((E111="d"),G111," ")</f>
        <v> </v>
      </c>
      <c r="L111" s="334" t="str">
        <f aca="false">IF((E111="e"),G111," ")</f>
        <v> </v>
      </c>
      <c r="M111" s="334" t="str">
        <f aca="false">IF((E111="p"),G111," ")</f>
        <v> </v>
      </c>
      <c r="N111" s="334" t="str">
        <f aca="false">IF((E111="r"),G111," ")</f>
        <v> </v>
      </c>
      <c r="O111" s="334" t="str">
        <f aca="false">IF((E111="g"),G111," ")</f>
        <v> </v>
      </c>
      <c r="P111" s="334" t="str">
        <f aca="false">IF((E111="m"),G111," ")</f>
        <v> </v>
      </c>
      <c r="Q111" s="334" t="str">
        <f aca="false">IF((E111="t"),G111," ")</f>
        <v> </v>
      </c>
      <c r="R111" s="334" t="str">
        <f aca="false">IF((E111="a"),G111," ")</f>
        <v> </v>
      </c>
      <c r="S111" s="334" t="str">
        <f aca="false">IF((E111="l"),G111," ")</f>
        <v> </v>
      </c>
      <c r="T111" s="334" t="str">
        <f aca="false">IF((E111="b"),G111," ")</f>
        <v> </v>
      </c>
      <c r="U111" s="334" t="str">
        <f aca="false">IF((E111="i"),G111," ")</f>
        <v> </v>
      </c>
      <c r="V111" s="334" t="str">
        <f aca="false">IF((E111="o"),G111," ")</f>
        <v> </v>
      </c>
      <c r="W111" s="334" t="str">
        <f aca="false">IF((E111="f"),G111," ")</f>
        <v> </v>
      </c>
    </row>
    <row r="112" customFormat="false" ht="12.75" hidden="false" customHeight="false" outlineLevel="0" collapsed="false">
      <c r="A112" s="355"/>
      <c r="E112" s="365" t="str">
        <f aca="false">IF((G112&lt;&gt;0),"Enter Letter"," ")</f>
        <v> </v>
      </c>
      <c r="H112" s="338" t="str">
        <f aca="false">IF((G112&lt;&gt;0),IF((D112&gt;0)," ",G112)," ")</f>
        <v> </v>
      </c>
      <c r="I112" s="367" t="str">
        <f aca="false">IF((G112&lt;&gt;0),IF((D112&gt;0)," ",(I$1-A112))," ")</f>
        <v> </v>
      </c>
      <c r="J112" s="334" t="str">
        <f aca="false">IF((E112="s"),G112," ")</f>
        <v> </v>
      </c>
      <c r="K112" s="334" t="str">
        <f aca="false">IF((E112="d"),G112," ")</f>
        <v> </v>
      </c>
      <c r="L112" s="334" t="str">
        <f aca="false">IF((E112="e"),G112," ")</f>
        <v> </v>
      </c>
      <c r="M112" s="334" t="str">
        <f aca="false">IF((E112="p"),G112," ")</f>
        <v> </v>
      </c>
      <c r="N112" s="334" t="str">
        <f aca="false">IF((E112="r"),G112," ")</f>
        <v> </v>
      </c>
      <c r="O112" s="334" t="str">
        <f aca="false">IF((E112="g"),G112," ")</f>
        <v> </v>
      </c>
      <c r="P112" s="334" t="str">
        <f aca="false">IF((E112="m"),G112," ")</f>
        <v> </v>
      </c>
      <c r="Q112" s="334" t="str">
        <f aca="false">IF((E112="t"),G112," ")</f>
        <v> </v>
      </c>
      <c r="R112" s="334" t="str">
        <f aca="false">IF((E112="a"),G112," ")</f>
        <v> </v>
      </c>
      <c r="S112" s="334" t="str">
        <f aca="false">IF((E112="l"),G112," ")</f>
        <v> </v>
      </c>
      <c r="T112" s="334" t="str">
        <f aca="false">IF((E112="b"),G112," ")</f>
        <v> </v>
      </c>
      <c r="U112" s="334" t="str">
        <f aca="false">IF((E112="i"),G112," ")</f>
        <v> </v>
      </c>
      <c r="V112" s="334" t="str">
        <f aca="false">IF((E112="o"),G112," ")</f>
        <v> </v>
      </c>
      <c r="W112" s="334" t="str">
        <f aca="false">IF((E112="f"),G112," ")</f>
        <v> </v>
      </c>
    </row>
    <row r="113" customFormat="false" ht="12.75" hidden="false" customHeight="false" outlineLevel="0" collapsed="false">
      <c r="A113" s="355"/>
      <c r="E113" s="365" t="str">
        <f aca="false">IF((G113&lt;&gt;0),"Enter Letter"," ")</f>
        <v> </v>
      </c>
      <c r="H113" s="338" t="str">
        <f aca="false">IF((G113&lt;&gt;0),IF((D113&gt;0)," ",G113)," ")</f>
        <v> </v>
      </c>
      <c r="I113" s="367" t="str">
        <f aca="false">IF((G113&lt;&gt;0),IF((D113&gt;0)," ",(I$1-A113))," ")</f>
        <v> </v>
      </c>
      <c r="J113" s="334" t="str">
        <f aca="false">IF((E113="s"),G113," ")</f>
        <v> </v>
      </c>
      <c r="K113" s="334" t="str">
        <f aca="false">IF((E113="d"),G113," ")</f>
        <v> </v>
      </c>
      <c r="L113" s="334" t="str">
        <f aca="false">IF((E113="e"),G113," ")</f>
        <v> </v>
      </c>
      <c r="M113" s="334" t="str">
        <f aca="false">IF((E113="p"),G113," ")</f>
        <v> </v>
      </c>
      <c r="N113" s="334" t="str">
        <f aca="false">IF((E113="r"),G113," ")</f>
        <v> </v>
      </c>
      <c r="O113" s="334" t="str">
        <f aca="false">IF((E113="g"),G113," ")</f>
        <v> </v>
      </c>
      <c r="P113" s="334" t="str">
        <f aca="false">IF((E113="m"),G113," ")</f>
        <v> </v>
      </c>
      <c r="Q113" s="334" t="str">
        <f aca="false">IF((E113="t"),G113," ")</f>
        <v> </v>
      </c>
      <c r="R113" s="334" t="str">
        <f aca="false">IF((E113="a"),G113," ")</f>
        <v> </v>
      </c>
      <c r="S113" s="334" t="str">
        <f aca="false">IF((E113="l"),G113," ")</f>
        <v> </v>
      </c>
      <c r="T113" s="334" t="str">
        <f aca="false">IF((E113="b"),G113," ")</f>
        <v> </v>
      </c>
      <c r="U113" s="334" t="str">
        <f aca="false">IF((E113="i"),G113," ")</f>
        <v> </v>
      </c>
      <c r="V113" s="334" t="str">
        <f aca="false">IF((E113="o"),G113," ")</f>
        <v> </v>
      </c>
      <c r="W113" s="334" t="str">
        <f aca="false">IF((E113="f"),G113," ")</f>
        <v> </v>
      </c>
    </row>
    <row r="114" customFormat="false" ht="12.75" hidden="false" customHeight="false" outlineLevel="0" collapsed="false">
      <c r="A114" s="355"/>
      <c r="E114" s="365" t="str">
        <f aca="false">IF((G114&lt;&gt;0),"Enter Letter"," ")</f>
        <v> </v>
      </c>
      <c r="H114" s="338" t="str">
        <f aca="false">IF((G114&lt;&gt;0),IF((D114&gt;0)," ",G114)," ")</f>
        <v> </v>
      </c>
      <c r="I114" s="367" t="str">
        <f aca="false">IF((G114&lt;&gt;0),IF((D114&gt;0)," ",(I$1-A114))," ")</f>
        <v> </v>
      </c>
      <c r="J114" s="334" t="str">
        <f aca="false">IF((E114="s"),G114," ")</f>
        <v> </v>
      </c>
      <c r="K114" s="334" t="str">
        <f aca="false">IF((E114="d"),G114," ")</f>
        <v> </v>
      </c>
      <c r="L114" s="334" t="str">
        <f aca="false">IF((E114="e"),G114," ")</f>
        <v> </v>
      </c>
      <c r="M114" s="334" t="str">
        <f aca="false">IF((E114="p"),G114," ")</f>
        <v> </v>
      </c>
      <c r="N114" s="334" t="str">
        <f aca="false">IF((E114="r"),G114," ")</f>
        <v> </v>
      </c>
      <c r="O114" s="334" t="str">
        <f aca="false">IF((E114="g"),G114," ")</f>
        <v> </v>
      </c>
      <c r="P114" s="334" t="str">
        <f aca="false">IF((E114="m"),G114," ")</f>
        <v> </v>
      </c>
      <c r="Q114" s="334" t="str">
        <f aca="false">IF((E114="t"),G114," ")</f>
        <v> </v>
      </c>
      <c r="R114" s="334" t="str">
        <f aca="false">IF((E114="a"),G114," ")</f>
        <v> </v>
      </c>
      <c r="S114" s="334" t="str">
        <f aca="false">IF((E114="l"),G114," ")</f>
        <v> </v>
      </c>
      <c r="T114" s="334" t="str">
        <f aca="false">IF((E114="b"),G114," ")</f>
        <v> </v>
      </c>
      <c r="U114" s="334" t="str">
        <f aca="false">IF((E114="i"),G114," ")</f>
        <v> </v>
      </c>
      <c r="V114" s="334" t="str">
        <f aca="false">IF((E114="o"),G114," ")</f>
        <v> </v>
      </c>
      <c r="W114" s="334" t="str">
        <f aca="false">IF((E114="f"),G114," ")</f>
        <v> </v>
      </c>
    </row>
    <row r="115" customFormat="false" ht="12.75" hidden="false" customHeight="false" outlineLevel="0" collapsed="false">
      <c r="A115" s="355"/>
      <c r="E115" s="365" t="str">
        <f aca="false">IF((G115&lt;&gt;0),"Enter Letter"," ")</f>
        <v> </v>
      </c>
      <c r="H115" s="338" t="str">
        <f aca="false">IF((G115&lt;&gt;0),IF((D115&gt;0)," ",G115)," ")</f>
        <v> </v>
      </c>
      <c r="I115" s="367" t="str">
        <f aca="false">IF((G115&lt;&gt;0),IF((D115&gt;0)," ",(I$1-A115))," ")</f>
        <v> </v>
      </c>
      <c r="J115" s="334" t="str">
        <f aca="false">IF((E115="s"),G115," ")</f>
        <v> </v>
      </c>
      <c r="K115" s="334" t="str">
        <f aca="false">IF((E115="d"),G115," ")</f>
        <v> </v>
      </c>
      <c r="L115" s="334" t="str">
        <f aca="false">IF((E115="e"),G115," ")</f>
        <v> </v>
      </c>
      <c r="M115" s="334" t="str">
        <f aca="false">IF((E115="p"),G115," ")</f>
        <v> </v>
      </c>
      <c r="N115" s="334" t="str">
        <f aca="false">IF((E115="r"),G115," ")</f>
        <v> </v>
      </c>
      <c r="O115" s="334" t="str">
        <f aca="false">IF((E115="g"),G115," ")</f>
        <v> </v>
      </c>
      <c r="P115" s="334" t="str">
        <f aca="false">IF((E115="m"),G115," ")</f>
        <v> </v>
      </c>
      <c r="Q115" s="334" t="str">
        <f aca="false">IF((E115="t"),G115," ")</f>
        <v> </v>
      </c>
      <c r="R115" s="334" t="str">
        <f aca="false">IF((E115="a"),G115," ")</f>
        <v> </v>
      </c>
      <c r="S115" s="334" t="str">
        <f aca="false">IF((E115="l"),G115," ")</f>
        <v> </v>
      </c>
      <c r="T115" s="334" t="str">
        <f aca="false">IF((E115="b"),G115," ")</f>
        <v> </v>
      </c>
      <c r="U115" s="334" t="str">
        <f aca="false">IF((E115="i"),G115," ")</f>
        <v> </v>
      </c>
      <c r="V115" s="334" t="str">
        <f aca="false">IF((E115="o"),G115," ")</f>
        <v> </v>
      </c>
      <c r="W115" s="334" t="str">
        <f aca="false">IF((E115="f"),G115," ")</f>
        <v> </v>
      </c>
    </row>
    <row r="116" customFormat="false" ht="12.75" hidden="false" customHeight="false" outlineLevel="0" collapsed="false">
      <c r="A116" s="355"/>
      <c r="E116" s="365" t="str">
        <f aca="false">IF((G116&lt;&gt;0),"Enter Letter"," ")</f>
        <v> </v>
      </c>
      <c r="H116" s="338" t="str">
        <f aca="false">IF((G116&lt;&gt;0),IF((D116&gt;0)," ",G116)," ")</f>
        <v> </v>
      </c>
      <c r="I116" s="367" t="str">
        <f aca="false">IF((G116&lt;&gt;0),IF((D116&gt;0)," ",(I$1-A116))," ")</f>
        <v> </v>
      </c>
      <c r="J116" s="334" t="str">
        <f aca="false">IF((E116="s"),G116," ")</f>
        <v> </v>
      </c>
      <c r="K116" s="334" t="str">
        <f aca="false">IF((E116="d"),G116," ")</f>
        <v> </v>
      </c>
      <c r="L116" s="334" t="str">
        <f aca="false">IF((E116="e"),G116," ")</f>
        <v> </v>
      </c>
      <c r="M116" s="334" t="str">
        <f aca="false">IF((E116="p"),G116," ")</f>
        <v> </v>
      </c>
      <c r="N116" s="334" t="str">
        <f aca="false">IF((E116="r"),G116," ")</f>
        <v> </v>
      </c>
      <c r="O116" s="334" t="str">
        <f aca="false">IF((E116="g"),G116," ")</f>
        <v> </v>
      </c>
      <c r="P116" s="334" t="str">
        <f aca="false">IF((E116="m"),G116," ")</f>
        <v> </v>
      </c>
      <c r="Q116" s="334" t="str">
        <f aca="false">IF((E116="t"),G116," ")</f>
        <v> </v>
      </c>
      <c r="R116" s="334" t="str">
        <f aca="false">IF((E116="a"),G116," ")</f>
        <v> </v>
      </c>
      <c r="S116" s="334" t="str">
        <f aca="false">IF((E116="l"),G116," ")</f>
        <v> </v>
      </c>
      <c r="T116" s="334" t="str">
        <f aca="false">IF((E116="b"),G116," ")</f>
        <v> </v>
      </c>
      <c r="U116" s="334" t="str">
        <f aca="false">IF((E116="i"),G116," ")</f>
        <v> </v>
      </c>
      <c r="V116" s="334" t="str">
        <f aca="false">IF((E116="o"),G116," ")</f>
        <v> </v>
      </c>
      <c r="W116" s="334" t="str">
        <f aca="false">IF((E116="f"),G116," ")</f>
        <v> </v>
      </c>
    </row>
    <row r="117" customFormat="false" ht="12.75" hidden="false" customHeight="false" outlineLevel="0" collapsed="false">
      <c r="A117" s="355"/>
      <c r="E117" s="365" t="str">
        <f aca="false">IF((G117&lt;&gt;0),"Enter Letter"," ")</f>
        <v> </v>
      </c>
      <c r="H117" s="338" t="str">
        <f aca="false">IF((G117&lt;&gt;0),IF((D117&gt;0)," ",G117)," ")</f>
        <v> </v>
      </c>
      <c r="I117" s="367" t="str">
        <f aca="false">IF((G117&lt;&gt;0),IF((D117&gt;0)," ",(I$1-A117))," ")</f>
        <v> </v>
      </c>
      <c r="J117" s="334" t="str">
        <f aca="false">IF((E117="s"),G117," ")</f>
        <v> </v>
      </c>
      <c r="K117" s="334" t="str">
        <f aca="false">IF((E117="d"),G117," ")</f>
        <v> </v>
      </c>
      <c r="L117" s="334" t="str">
        <f aca="false">IF((E117="e"),G117," ")</f>
        <v> </v>
      </c>
      <c r="M117" s="334" t="str">
        <f aca="false">IF((E117="p"),G117," ")</f>
        <v> </v>
      </c>
      <c r="N117" s="334" t="str">
        <f aca="false">IF((E117="r"),G117," ")</f>
        <v> </v>
      </c>
      <c r="O117" s="334" t="str">
        <f aca="false">IF((E117="g"),G117," ")</f>
        <v> </v>
      </c>
      <c r="P117" s="334" t="str">
        <f aca="false">IF((E117="m"),G117," ")</f>
        <v> </v>
      </c>
      <c r="Q117" s="334" t="str">
        <f aca="false">IF((E117="t"),G117," ")</f>
        <v> </v>
      </c>
      <c r="R117" s="334" t="str">
        <f aca="false">IF((E117="a"),G117," ")</f>
        <v> </v>
      </c>
      <c r="S117" s="334" t="str">
        <f aca="false">IF((E117="l"),G117," ")</f>
        <v> </v>
      </c>
      <c r="T117" s="334" t="str">
        <f aca="false">IF((E117="b"),G117," ")</f>
        <v> </v>
      </c>
      <c r="U117" s="334" t="str">
        <f aca="false">IF((E117="i"),G117," ")</f>
        <v> </v>
      </c>
      <c r="V117" s="334" t="str">
        <f aca="false">IF((E117="o"),G117," ")</f>
        <v> </v>
      </c>
      <c r="W117" s="334" t="str">
        <f aca="false">IF((E117="f"),G117," ")</f>
        <v> </v>
      </c>
    </row>
    <row r="118" customFormat="false" ht="12.75" hidden="false" customHeight="false" outlineLevel="0" collapsed="false">
      <c r="A118" s="355"/>
      <c r="E118" s="365" t="str">
        <f aca="false">IF((G118&lt;&gt;0),"Enter Letter"," ")</f>
        <v> </v>
      </c>
      <c r="H118" s="338" t="str">
        <f aca="false">IF((G118&lt;&gt;0),IF((D118&gt;0)," ",G118)," ")</f>
        <v> </v>
      </c>
      <c r="I118" s="367" t="str">
        <f aca="false">IF((G118&lt;&gt;0),IF((D118&gt;0)," ",(I$1-A118))," ")</f>
        <v> </v>
      </c>
      <c r="J118" s="334" t="str">
        <f aca="false">IF((E118="s"),G118," ")</f>
        <v> </v>
      </c>
      <c r="K118" s="334" t="str">
        <f aca="false">IF((E118="d"),G118," ")</f>
        <v> </v>
      </c>
      <c r="L118" s="334" t="str">
        <f aca="false">IF((E118="e"),G118," ")</f>
        <v> </v>
      </c>
      <c r="M118" s="334" t="str">
        <f aca="false">IF((E118="p"),G118," ")</f>
        <v> </v>
      </c>
      <c r="N118" s="334" t="str">
        <f aca="false">IF((E118="r"),G118," ")</f>
        <v> </v>
      </c>
      <c r="O118" s="334" t="str">
        <f aca="false">IF((E118="g"),G118," ")</f>
        <v> </v>
      </c>
      <c r="P118" s="334" t="str">
        <f aca="false">IF((E118="m"),G118," ")</f>
        <v> </v>
      </c>
      <c r="Q118" s="334" t="str">
        <f aca="false">IF((E118="t"),G118," ")</f>
        <v> </v>
      </c>
      <c r="R118" s="334" t="str">
        <f aca="false">IF((E118="a"),G118," ")</f>
        <v> </v>
      </c>
      <c r="S118" s="334" t="str">
        <f aca="false">IF((E118="l"),G118," ")</f>
        <v> </v>
      </c>
      <c r="T118" s="334" t="str">
        <f aca="false">IF((E118="b"),G118," ")</f>
        <v> </v>
      </c>
      <c r="U118" s="334" t="str">
        <f aca="false">IF((E118="i"),G118," ")</f>
        <v> </v>
      </c>
      <c r="V118" s="334" t="str">
        <f aca="false">IF((E118="o"),G118," ")</f>
        <v> </v>
      </c>
      <c r="W118" s="334" t="str">
        <f aca="false">IF((E118="f"),G118," ")</f>
        <v> </v>
      </c>
    </row>
    <row r="119" customFormat="false" ht="12.75" hidden="false" customHeight="false" outlineLevel="0" collapsed="false">
      <c r="A119" s="355"/>
      <c r="E119" s="365" t="str">
        <f aca="false">IF((G119&lt;&gt;0),"Enter Letter"," ")</f>
        <v> </v>
      </c>
      <c r="H119" s="338" t="str">
        <f aca="false">IF((G119&lt;&gt;0),IF((D119&gt;0)," ",G119)," ")</f>
        <v> </v>
      </c>
      <c r="I119" s="367" t="str">
        <f aca="false">IF((G119&lt;&gt;0),IF((D119&gt;0)," ",(I$1-A119))," ")</f>
        <v> </v>
      </c>
      <c r="J119" s="334" t="str">
        <f aca="false">IF((E119="s"),G119," ")</f>
        <v> </v>
      </c>
      <c r="K119" s="334" t="str">
        <f aca="false">IF((E119="d"),G119," ")</f>
        <v> </v>
      </c>
      <c r="L119" s="334" t="str">
        <f aca="false">IF((E119="e"),G119," ")</f>
        <v> </v>
      </c>
      <c r="M119" s="334" t="str">
        <f aca="false">IF((E119="p"),G119," ")</f>
        <v> </v>
      </c>
      <c r="N119" s="334" t="str">
        <f aca="false">IF((E119="r"),G119," ")</f>
        <v> </v>
      </c>
      <c r="O119" s="334" t="str">
        <f aca="false">IF((E119="g"),G119," ")</f>
        <v> </v>
      </c>
      <c r="P119" s="334" t="str">
        <f aca="false">IF((E119="m"),G119," ")</f>
        <v> </v>
      </c>
      <c r="Q119" s="334" t="str">
        <f aca="false">IF((E119="t"),G119," ")</f>
        <v> </v>
      </c>
      <c r="R119" s="334" t="str">
        <f aca="false">IF((E119="a"),G119," ")</f>
        <v> </v>
      </c>
      <c r="S119" s="334" t="str">
        <f aca="false">IF((E119="l"),G119," ")</f>
        <v> </v>
      </c>
      <c r="T119" s="334" t="str">
        <f aca="false">IF((E119="b"),G119," ")</f>
        <v> </v>
      </c>
      <c r="U119" s="334" t="str">
        <f aca="false">IF((E119="i"),G119," ")</f>
        <v> </v>
      </c>
      <c r="V119" s="334" t="str">
        <f aca="false">IF((E119="o"),G119," ")</f>
        <v> </v>
      </c>
      <c r="W119" s="334" t="str">
        <f aca="false">IF((E119="f"),G119," ")</f>
        <v> </v>
      </c>
    </row>
    <row r="120" customFormat="false" ht="12.75" hidden="false" customHeight="false" outlineLevel="0" collapsed="false">
      <c r="A120" s="355"/>
      <c r="E120" s="365" t="str">
        <f aca="false">IF((G120&lt;&gt;0),"Enter Letter"," ")</f>
        <v> </v>
      </c>
      <c r="H120" s="338" t="str">
        <f aca="false">IF((G120&lt;&gt;0),IF((D120&gt;0)," ",G120)," ")</f>
        <v> </v>
      </c>
      <c r="I120" s="367" t="str">
        <f aca="false">IF((G120&lt;&gt;0),IF((D120&gt;0)," ",(I$1-A120))," ")</f>
        <v> </v>
      </c>
      <c r="J120" s="334" t="str">
        <f aca="false">IF((E120="s"),G120," ")</f>
        <v> </v>
      </c>
      <c r="K120" s="334" t="str">
        <f aca="false">IF((E120="d"),G120," ")</f>
        <v> </v>
      </c>
      <c r="L120" s="334" t="str">
        <f aca="false">IF((E120="e"),G120," ")</f>
        <v> </v>
      </c>
      <c r="M120" s="334" t="str">
        <f aca="false">IF((E120="p"),G120," ")</f>
        <v> </v>
      </c>
      <c r="N120" s="334" t="str">
        <f aca="false">IF((E120="r"),G120," ")</f>
        <v> </v>
      </c>
      <c r="O120" s="334" t="str">
        <f aca="false">IF((E120="g"),G120," ")</f>
        <v> </v>
      </c>
      <c r="P120" s="334" t="str">
        <f aca="false">IF((E120="m"),G120," ")</f>
        <v> </v>
      </c>
      <c r="Q120" s="334" t="str">
        <f aca="false">IF((E120="t"),G120," ")</f>
        <v> </v>
      </c>
      <c r="R120" s="334" t="str">
        <f aca="false">IF((E120="a"),G120," ")</f>
        <v> </v>
      </c>
      <c r="S120" s="334" t="str">
        <f aca="false">IF((E120="l"),G120," ")</f>
        <v> </v>
      </c>
      <c r="T120" s="334" t="str">
        <f aca="false">IF((E120="b"),G120," ")</f>
        <v> </v>
      </c>
      <c r="U120" s="334" t="str">
        <f aca="false">IF((E120="i"),G120," ")</f>
        <v> </v>
      </c>
      <c r="V120" s="334" t="str">
        <f aca="false">IF((E120="o"),G120," ")</f>
        <v> </v>
      </c>
      <c r="W120" s="334" t="str">
        <f aca="false">IF((E120="f"),G120," ")</f>
        <v> </v>
      </c>
    </row>
    <row r="121" customFormat="false" ht="12.75" hidden="false" customHeight="false" outlineLevel="0" collapsed="false">
      <c r="A121" s="355"/>
      <c r="E121" s="365" t="str">
        <f aca="false">IF((G121&lt;&gt;0),"Enter Letter"," ")</f>
        <v> </v>
      </c>
      <c r="H121" s="338" t="str">
        <f aca="false">IF((G121&lt;&gt;0),IF((D121&gt;0)," ",G121)," ")</f>
        <v> </v>
      </c>
      <c r="I121" s="367" t="str">
        <f aca="false">IF((G121&lt;&gt;0),IF((D121&gt;0)," ",(I$1-A121))," ")</f>
        <v> </v>
      </c>
      <c r="J121" s="334" t="str">
        <f aca="false">IF((E121="s"),G121," ")</f>
        <v> </v>
      </c>
      <c r="K121" s="334" t="str">
        <f aca="false">IF((E121="d"),G121," ")</f>
        <v> </v>
      </c>
      <c r="L121" s="334" t="str">
        <f aca="false">IF((E121="e"),G121," ")</f>
        <v> </v>
      </c>
      <c r="M121" s="334" t="str">
        <f aca="false">IF((E121="p"),G121," ")</f>
        <v> </v>
      </c>
      <c r="N121" s="334" t="str">
        <f aca="false">IF((E121="r"),G121," ")</f>
        <v> </v>
      </c>
      <c r="O121" s="334" t="str">
        <f aca="false">IF((E121="g"),G121," ")</f>
        <v> </v>
      </c>
      <c r="P121" s="334" t="str">
        <f aca="false">IF((E121="m"),G121," ")</f>
        <v> </v>
      </c>
      <c r="Q121" s="334" t="str">
        <f aca="false">IF((E121="t"),G121," ")</f>
        <v> </v>
      </c>
      <c r="R121" s="334" t="str">
        <f aca="false">IF((E121="a"),G121," ")</f>
        <v> </v>
      </c>
      <c r="S121" s="334" t="str">
        <f aca="false">IF((E121="l"),G121," ")</f>
        <v> </v>
      </c>
      <c r="T121" s="334" t="str">
        <f aca="false">IF((E121="b"),G121," ")</f>
        <v> </v>
      </c>
      <c r="U121" s="334" t="str">
        <f aca="false">IF((E121="i"),G121," ")</f>
        <v> </v>
      </c>
      <c r="V121" s="334" t="str">
        <f aca="false">IF((E121="o"),G121," ")</f>
        <v> </v>
      </c>
      <c r="W121" s="334" t="str">
        <f aca="false">IF((E121="f"),G121," ")</f>
        <v> </v>
      </c>
    </row>
    <row r="122" customFormat="false" ht="12.75" hidden="false" customHeight="false" outlineLevel="0" collapsed="false">
      <c r="A122" s="355"/>
      <c r="E122" s="365" t="str">
        <f aca="false">IF((G122&lt;&gt;0),"Enter Letter"," ")</f>
        <v> </v>
      </c>
      <c r="H122" s="338" t="str">
        <f aca="false">IF((G122&lt;&gt;0),IF((D122&gt;0)," ",G122)," ")</f>
        <v> </v>
      </c>
      <c r="I122" s="367" t="str">
        <f aca="false">IF((G122&lt;&gt;0),IF((D122&gt;0)," ",(I$1-A122))," ")</f>
        <v> </v>
      </c>
      <c r="J122" s="334" t="str">
        <f aca="false">IF((E122="s"),G122," ")</f>
        <v> </v>
      </c>
      <c r="K122" s="334" t="str">
        <f aca="false">IF((E122="d"),G122," ")</f>
        <v> </v>
      </c>
      <c r="L122" s="334" t="str">
        <f aca="false">IF((E122="e"),G122," ")</f>
        <v> </v>
      </c>
      <c r="M122" s="334" t="str">
        <f aca="false">IF((E122="p"),G122," ")</f>
        <v> </v>
      </c>
      <c r="N122" s="334" t="str">
        <f aca="false">IF((E122="r"),G122," ")</f>
        <v> </v>
      </c>
      <c r="O122" s="334" t="str">
        <f aca="false">IF((E122="g"),G122," ")</f>
        <v> </v>
      </c>
      <c r="P122" s="334" t="str">
        <f aca="false">IF((E122="m"),G122," ")</f>
        <v> </v>
      </c>
      <c r="Q122" s="334" t="str">
        <f aca="false">IF((E122="t"),G122," ")</f>
        <v> </v>
      </c>
      <c r="R122" s="334" t="str">
        <f aca="false">IF((E122="a"),G122," ")</f>
        <v> </v>
      </c>
      <c r="S122" s="334" t="str">
        <f aca="false">IF((E122="l"),G122," ")</f>
        <v> </v>
      </c>
      <c r="T122" s="334" t="str">
        <f aca="false">IF((E122="b"),G122," ")</f>
        <v> </v>
      </c>
      <c r="U122" s="334" t="str">
        <f aca="false">IF((E122="i"),G122," ")</f>
        <v> </v>
      </c>
      <c r="V122" s="334" t="str">
        <f aca="false">IF((E122="o"),G122," ")</f>
        <v> </v>
      </c>
      <c r="W122" s="334" t="str">
        <f aca="false">IF((E122="f"),G122," ")</f>
        <v> </v>
      </c>
    </row>
    <row r="123" customFormat="false" ht="12.75" hidden="false" customHeight="false" outlineLevel="0" collapsed="false">
      <c r="A123" s="355"/>
      <c r="E123" s="365" t="str">
        <f aca="false">IF((G123&lt;&gt;0),"Enter Letter"," ")</f>
        <v> </v>
      </c>
      <c r="H123" s="338" t="str">
        <f aca="false">IF((G123&lt;&gt;0),IF((D123&gt;0)," ",G123)," ")</f>
        <v> </v>
      </c>
      <c r="I123" s="367" t="str">
        <f aca="false">IF((G123&lt;&gt;0),IF((D123&gt;0)," ",(I$1-A123))," ")</f>
        <v> </v>
      </c>
      <c r="J123" s="334" t="str">
        <f aca="false">IF((E123="s"),G123," ")</f>
        <v> </v>
      </c>
      <c r="K123" s="334" t="str">
        <f aca="false">IF((E123="d"),G123," ")</f>
        <v> </v>
      </c>
      <c r="L123" s="334" t="str">
        <f aca="false">IF((E123="e"),G123," ")</f>
        <v> </v>
      </c>
      <c r="M123" s="334" t="str">
        <f aca="false">IF((E123="p"),G123," ")</f>
        <v> </v>
      </c>
      <c r="N123" s="334" t="str">
        <f aca="false">IF((E123="r"),G123," ")</f>
        <v> </v>
      </c>
      <c r="O123" s="334" t="str">
        <f aca="false">IF((E123="g"),G123," ")</f>
        <v> </v>
      </c>
      <c r="P123" s="334" t="str">
        <f aca="false">IF((E123="m"),G123," ")</f>
        <v> </v>
      </c>
      <c r="Q123" s="334" t="str">
        <f aca="false">IF((E123="t"),G123," ")</f>
        <v> </v>
      </c>
      <c r="R123" s="334" t="str">
        <f aca="false">IF((E123="a"),G123," ")</f>
        <v> </v>
      </c>
      <c r="S123" s="334" t="str">
        <f aca="false">IF((E123="l"),G123," ")</f>
        <v> </v>
      </c>
      <c r="T123" s="334" t="str">
        <f aca="false">IF((E123="b"),G123," ")</f>
        <v> </v>
      </c>
      <c r="U123" s="334" t="str">
        <f aca="false">IF((E123="i"),G123," ")</f>
        <v> </v>
      </c>
      <c r="V123" s="334" t="str">
        <f aca="false">IF((E123="o"),G123," ")</f>
        <v> </v>
      </c>
      <c r="W123" s="334" t="str">
        <f aca="false">IF((E123="f"),G123," ")</f>
        <v> </v>
      </c>
    </row>
    <row r="124" customFormat="false" ht="12.75" hidden="false" customHeight="false" outlineLevel="0" collapsed="false">
      <c r="A124" s="355"/>
      <c r="E124" s="365" t="str">
        <f aca="false">IF((G124&lt;&gt;0),"Enter Letter"," ")</f>
        <v> </v>
      </c>
      <c r="H124" s="338" t="str">
        <f aca="false">IF((G124&lt;&gt;0),IF((D124&gt;0)," ",G124)," ")</f>
        <v> </v>
      </c>
      <c r="I124" s="367" t="str">
        <f aca="false">IF((G124&lt;&gt;0),IF((D124&gt;0)," ",(I$1-A124))," ")</f>
        <v> </v>
      </c>
      <c r="J124" s="334" t="str">
        <f aca="false">IF((E124="s"),G124," ")</f>
        <v> </v>
      </c>
      <c r="K124" s="334" t="str">
        <f aca="false">IF((E124="d"),G124," ")</f>
        <v> </v>
      </c>
      <c r="L124" s="334" t="str">
        <f aca="false">IF((E124="e"),G124," ")</f>
        <v> </v>
      </c>
      <c r="M124" s="334" t="str">
        <f aca="false">IF((E124="p"),G124," ")</f>
        <v> </v>
      </c>
      <c r="N124" s="334" t="str">
        <f aca="false">IF((E124="r"),G124," ")</f>
        <v> </v>
      </c>
      <c r="O124" s="334" t="str">
        <f aca="false">IF((E124="g"),G124," ")</f>
        <v> </v>
      </c>
      <c r="P124" s="334" t="str">
        <f aca="false">IF((E124="m"),G124," ")</f>
        <v> </v>
      </c>
      <c r="Q124" s="334" t="str">
        <f aca="false">IF((E124="t"),G124," ")</f>
        <v> </v>
      </c>
      <c r="R124" s="334" t="str">
        <f aca="false">IF((E124="a"),G124," ")</f>
        <v> </v>
      </c>
      <c r="S124" s="334" t="str">
        <f aca="false">IF((E124="l"),G124," ")</f>
        <v> </v>
      </c>
      <c r="T124" s="334" t="str">
        <f aca="false">IF((E124="b"),G124," ")</f>
        <v> </v>
      </c>
      <c r="U124" s="334" t="str">
        <f aca="false">IF((E124="i"),G124," ")</f>
        <v> </v>
      </c>
      <c r="V124" s="334" t="str">
        <f aca="false">IF((E124="o"),G124," ")</f>
        <v> </v>
      </c>
      <c r="W124" s="334" t="str">
        <f aca="false">IF((E124="f"),G124," ")</f>
        <v> </v>
      </c>
    </row>
    <row r="125" customFormat="false" ht="12.75" hidden="false" customHeight="false" outlineLevel="0" collapsed="false">
      <c r="A125" s="355"/>
      <c r="E125" s="365" t="str">
        <f aca="false">IF((G125&lt;&gt;0),"Enter Letter"," ")</f>
        <v> </v>
      </c>
      <c r="H125" s="338" t="str">
        <f aca="false">IF((G125&lt;&gt;0),IF((D125&gt;0)," ",G125)," ")</f>
        <v> </v>
      </c>
      <c r="I125" s="367" t="str">
        <f aca="false">IF((G125&lt;&gt;0),IF((D125&gt;0)," ",(I$1-A125))," ")</f>
        <v> </v>
      </c>
      <c r="J125" s="334" t="str">
        <f aca="false">IF((E125="s"),G125," ")</f>
        <v> </v>
      </c>
      <c r="K125" s="334" t="str">
        <f aca="false">IF((E125="d"),G125," ")</f>
        <v> </v>
      </c>
      <c r="L125" s="334" t="str">
        <f aca="false">IF((E125="e"),G125," ")</f>
        <v> </v>
      </c>
      <c r="M125" s="334" t="str">
        <f aca="false">IF((E125="p"),G125," ")</f>
        <v> </v>
      </c>
      <c r="N125" s="334" t="str">
        <f aca="false">IF((E125="r"),G125," ")</f>
        <v> </v>
      </c>
      <c r="O125" s="334" t="str">
        <f aca="false">IF((E125="g"),G125," ")</f>
        <v> </v>
      </c>
      <c r="P125" s="334" t="str">
        <f aca="false">IF((E125="m"),G125," ")</f>
        <v> </v>
      </c>
      <c r="Q125" s="334" t="str">
        <f aca="false">IF((E125="t"),G125," ")</f>
        <v> </v>
      </c>
      <c r="R125" s="334" t="str">
        <f aca="false">IF((E125="a"),G125," ")</f>
        <v> </v>
      </c>
      <c r="S125" s="334" t="str">
        <f aca="false">IF((E125="l"),G125," ")</f>
        <v> </v>
      </c>
      <c r="T125" s="334" t="str">
        <f aca="false">IF((E125="b"),G125," ")</f>
        <v> </v>
      </c>
      <c r="U125" s="334" t="str">
        <f aca="false">IF((E125="i"),G125," ")</f>
        <v> </v>
      </c>
      <c r="V125" s="334" t="str">
        <f aca="false">IF((E125="o"),G125," ")</f>
        <v> </v>
      </c>
      <c r="W125" s="334" t="str">
        <f aca="false">IF((E125="f"),G125," ")</f>
        <v> </v>
      </c>
    </row>
    <row r="126" customFormat="false" ht="12.75" hidden="false" customHeight="false" outlineLevel="0" collapsed="false">
      <c r="A126" s="355"/>
      <c r="E126" s="365" t="str">
        <f aca="false">IF((G126&lt;&gt;0),"Enter Letter"," ")</f>
        <v> </v>
      </c>
      <c r="H126" s="338" t="str">
        <f aca="false">IF((G126&lt;&gt;0),IF((D126&gt;0)," ",G126)," ")</f>
        <v> </v>
      </c>
      <c r="I126" s="367" t="str">
        <f aca="false">IF((G126&lt;&gt;0),IF((D126&gt;0)," ",(I$1-A126))," ")</f>
        <v> </v>
      </c>
      <c r="J126" s="334" t="str">
        <f aca="false">IF((E126="s"),G126," ")</f>
        <v> </v>
      </c>
      <c r="K126" s="334" t="str">
        <f aca="false">IF((E126="d"),G126," ")</f>
        <v> </v>
      </c>
      <c r="L126" s="334" t="str">
        <f aca="false">IF((E126="e"),G126," ")</f>
        <v> </v>
      </c>
      <c r="M126" s="334" t="str">
        <f aca="false">IF((E126="p"),G126," ")</f>
        <v> </v>
      </c>
      <c r="N126" s="334" t="str">
        <f aca="false">IF((E126="r"),G126," ")</f>
        <v> </v>
      </c>
      <c r="O126" s="334" t="str">
        <f aca="false">IF((E126="g"),G126," ")</f>
        <v> </v>
      </c>
      <c r="P126" s="334" t="str">
        <f aca="false">IF((E126="m"),G126," ")</f>
        <v> </v>
      </c>
      <c r="Q126" s="334" t="str">
        <f aca="false">IF((E126="t"),G126," ")</f>
        <v> </v>
      </c>
      <c r="R126" s="334" t="str">
        <f aca="false">IF((E126="a"),G126," ")</f>
        <v> </v>
      </c>
      <c r="S126" s="334" t="str">
        <f aca="false">IF((E126="l"),G126," ")</f>
        <v> </v>
      </c>
      <c r="T126" s="334" t="str">
        <f aca="false">IF((E126="b"),G126," ")</f>
        <v> </v>
      </c>
      <c r="U126" s="334" t="str">
        <f aca="false">IF((E126="i"),G126," ")</f>
        <v> </v>
      </c>
      <c r="V126" s="334" t="str">
        <f aca="false">IF((E126="o"),G126," ")</f>
        <v> </v>
      </c>
      <c r="W126" s="334" t="str">
        <f aca="false">IF((E126="f"),G126," ")</f>
        <v> </v>
      </c>
    </row>
    <row r="127" customFormat="false" ht="12.75" hidden="false" customHeight="false" outlineLevel="0" collapsed="false">
      <c r="A127" s="355"/>
      <c r="E127" s="365" t="str">
        <f aca="false">IF((G127&lt;&gt;0),"Enter Letter"," ")</f>
        <v> </v>
      </c>
      <c r="H127" s="338" t="str">
        <f aca="false">IF((G127&lt;&gt;0),IF((D127&gt;0)," ",G127)," ")</f>
        <v> </v>
      </c>
      <c r="I127" s="367" t="str">
        <f aca="false">IF((G127&lt;&gt;0),IF((D127&gt;0)," ",(I$1-A127))," ")</f>
        <v> </v>
      </c>
      <c r="J127" s="334" t="str">
        <f aca="false">IF((E127="s"),G127," ")</f>
        <v> </v>
      </c>
      <c r="K127" s="334" t="str">
        <f aca="false">IF((E127="d"),G127," ")</f>
        <v> </v>
      </c>
      <c r="L127" s="334" t="str">
        <f aca="false">IF((E127="e"),G127," ")</f>
        <v> </v>
      </c>
      <c r="M127" s="334" t="str">
        <f aca="false">IF((E127="p"),G127," ")</f>
        <v> </v>
      </c>
      <c r="N127" s="334" t="str">
        <f aca="false">IF((E127="r"),G127," ")</f>
        <v> </v>
      </c>
      <c r="O127" s="334" t="str">
        <f aca="false">IF((E127="g"),G127," ")</f>
        <v> </v>
      </c>
      <c r="P127" s="334" t="str">
        <f aca="false">IF((E127="m"),G127," ")</f>
        <v> </v>
      </c>
      <c r="Q127" s="334" t="str">
        <f aca="false">IF((E127="t"),G127," ")</f>
        <v> </v>
      </c>
      <c r="R127" s="334" t="str">
        <f aca="false">IF((E127="a"),G127," ")</f>
        <v> </v>
      </c>
      <c r="S127" s="334" t="str">
        <f aca="false">IF((E127="l"),G127," ")</f>
        <v> </v>
      </c>
      <c r="T127" s="334" t="str">
        <f aca="false">IF((E127="b"),G127," ")</f>
        <v> </v>
      </c>
      <c r="U127" s="334" t="str">
        <f aca="false">IF((E127="i"),G127," ")</f>
        <v> </v>
      </c>
      <c r="V127" s="334" t="str">
        <f aca="false">IF((E127="o"),G127," ")</f>
        <v> </v>
      </c>
      <c r="W127" s="334" t="str">
        <f aca="false">IF((E127="f"),G127," ")</f>
        <v> </v>
      </c>
    </row>
    <row r="128" customFormat="false" ht="12.75" hidden="false" customHeight="false" outlineLevel="0" collapsed="false">
      <c r="A128" s="355"/>
      <c r="E128" s="365" t="str">
        <f aca="false">IF((G128&lt;&gt;0),"Enter Letter"," ")</f>
        <v> </v>
      </c>
      <c r="H128" s="338" t="str">
        <f aca="false">IF((G128&lt;&gt;0),IF((D128&gt;0)," ",G128)," ")</f>
        <v> </v>
      </c>
      <c r="I128" s="367" t="str">
        <f aca="false">IF((G128&lt;&gt;0),IF((D128&gt;0)," ",(I$1-A128))," ")</f>
        <v> </v>
      </c>
      <c r="J128" s="334" t="str">
        <f aca="false">IF((E128="s"),G128," ")</f>
        <v> </v>
      </c>
      <c r="K128" s="334" t="str">
        <f aca="false">IF((E128="d"),G128," ")</f>
        <v> </v>
      </c>
      <c r="L128" s="334" t="str">
        <f aca="false">IF((E128="e"),G128," ")</f>
        <v> </v>
      </c>
      <c r="M128" s="334" t="str">
        <f aca="false">IF((E128="p"),G128," ")</f>
        <v> </v>
      </c>
      <c r="N128" s="334" t="str">
        <f aca="false">IF((E128="r"),G128," ")</f>
        <v> </v>
      </c>
      <c r="O128" s="334" t="str">
        <f aca="false">IF((E128="g"),G128," ")</f>
        <v> </v>
      </c>
      <c r="P128" s="334" t="str">
        <f aca="false">IF((E128="m"),G128," ")</f>
        <v> </v>
      </c>
      <c r="Q128" s="334" t="str">
        <f aca="false">IF((E128="t"),G128," ")</f>
        <v> </v>
      </c>
      <c r="R128" s="334" t="str">
        <f aca="false">IF((E128="a"),G128," ")</f>
        <v> </v>
      </c>
      <c r="S128" s="334" t="str">
        <f aca="false">IF((E128="l"),G128," ")</f>
        <v> </v>
      </c>
      <c r="T128" s="334" t="str">
        <f aca="false">IF((E128="b"),G128," ")</f>
        <v> </v>
      </c>
      <c r="U128" s="334" t="str">
        <f aca="false">IF((E128="i"),G128," ")</f>
        <v> </v>
      </c>
      <c r="V128" s="334" t="str">
        <f aca="false">IF((E128="o"),G128," ")</f>
        <v> </v>
      </c>
      <c r="W128" s="334" t="str">
        <f aca="false">IF((E128="f"),G128," ")</f>
        <v> </v>
      </c>
    </row>
    <row r="129" customFormat="false" ht="12.75" hidden="false" customHeight="false" outlineLevel="0" collapsed="false">
      <c r="A129" s="355"/>
      <c r="E129" s="365" t="str">
        <f aca="false">IF((G129&lt;&gt;0),"Enter Letter"," ")</f>
        <v> </v>
      </c>
      <c r="H129" s="338" t="str">
        <f aca="false">IF((G129&lt;&gt;0),IF((D129&gt;0)," ",G129)," ")</f>
        <v> </v>
      </c>
      <c r="I129" s="367" t="str">
        <f aca="false">IF((G129&lt;&gt;0),IF((D129&gt;0)," ",(I$1-A129))," ")</f>
        <v> </v>
      </c>
      <c r="J129" s="334" t="str">
        <f aca="false">IF((E129="s"),G129," ")</f>
        <v> </v>
      </c>
      <c r="K129" s="334" t="str">
        <f aca="false">IF((E129="d"),G129," ")</f>
        <v> </v>
      </c>
      <c r="L129" s="334" t="str">
        <f aca="false">IF((E129="e"),G129," ")</f>
        <v> </v>
      </c>
      <c r="M129" s="334" t="str">
        <f aca="false">IF((E129="p"),G129," ")</f>
        <v> </v>
      </c>
      <c r="N129" s="334" t="str">
        <f aca="false">IF((E129="r"),G129," ")</f>
        <v> </v>
      </c>
      <c r="O129" s="334" t="str">
        <f aca="false">IF((E129="g"),G129," ")</f>
        <v> </v>
      </c>
      <c r="P129" s="334" t="str">
        <f aca="false">IF((E129="m"),G129," ")</f>
        <v> </v>
      </c>
      <c r="Q129" s="334" t="str">
        <f aca="false">IF((E129="t"),G129," ")</f>
        <v> </v>
      </c>
      <c r="R129" s="334" t="str">
        <f aca="false">IF((E129="a"),G129," ")</f>
        <v> </v>
      </c>
      <c r="S129" s="334" t="str">
        <f aca="false">IF((E129="l"),G129," ")</f>
        <v> </v>
      </c>
      <c r="T129" s="334" t="str">
        <f aca="false">IF((E129="b"),G129," ")</f>
        <v> </v>
      </c>
      <c r="U129" s="334" t="str">
        <f aca="false">IF((E129="i"),G129," ")</f>
        <v> </v>
      </c>
      <c r="V129" s="334" t="str">
        <f aca="false">IF((E129="o"),G129," ")</f>
        <v> </v>
      </c>
      <c r="W129" s="334" t="str">
        <f aca="false">IF((E129="f"),G129," ")</f>
        <v> </v>
      </c>
    </row>
    <row r="130" customFormat="false" ht="12.75" hidden="false" customHeight="false" outlineLevel="0" collapsed="false">
      <c r="A130" s="355"/>
      <c r="E130" s="365" t="str">
        <f aca="false">IF((G130&lt;&gt;0),"Enter Letter"," ")</f>
        <v> </v>
      </c>
      <c r="H130" s="338" t="str">
        <f aca="false">IF((G130&lt;&gt;0),IF((D130&gt;0)," ",G130)," ")</f>
        <v> </v>
      </c>
      <c r="I130" s="367" t="str">
        <f aca="false">IF((G130&lt;&gt;0),IF((D130&gt;0)," ",(I$1-A130))," ")</f>
        <v> </v>
      </c>
      <c r="J130" s="334" t="str">
        <f aca="false">IF((E130="s"),G130," ")</f>
        <v> </v>
      </c>
      <c r="K130" s="334" t="str">
        <f aca="false">IF((E130="d"),G130," ")</f>
        <v> </v>
      </c>
      <c r="L130" s="334" t="str">
        <f aca="false">IF((E130="e"),G130," ")</f>
        <v> </v>
      </c>
      <c r="M130" s="334" t="str">
        <f aca="false">IF((E130="p"),G130," ")</f>
        <v> </v>
      </c>
      <c r="N130" s="334" t="str">
        <f aca="false">IF((E130="r"),G130," ")</f>
        <v> </v>
      </c>
      <c r="O130" s="334" t="str">
        <f aca="false">IF((E130="g"),G130," ")</f>
        <v> </v>
      </c>
      <c r="P130" s="334" t="str">
        <f aca="false">IF((E130="m"),G130," ")</f>
        <v> </v>
      </c>
      <c r="Q130" s="334" t="str">
        <f aca="false">IF((E130="t"),G130," ")</f>
        <v> </v>
      </c>
      <c r="R130" s="334" t="str">
        <f aca="false">IF((E130="a"),G130," ")</f>
        <v> </v>
      </c>
      <c r="S130" s="334" t="str">
        <f aca="false">IF((E130="l"),G130," ")</f>
        <v> </v>
      </c>
      <c r="T130" s="334" t="str">
        <f aca="false">IF((E130="b"),G130," ")</f>
        <v> </v>
      </c>
      <c r="U130" s="334" t="str">
        <f aca="false">IF((E130="i"),G130," ")</f>
        <v> </v>
      </c>
      <c r="V130" s="334" t="str">
        <f aca="false">IF((E130="o"),G130," ")</f>
        <v> </v>
      </c>
      <c r="W130" s="334" t="str">
        <f aca="false">IF((E130="f"),G130," ")</f>
        <v> </v>
      </c>
    </row>
    <row r="131" customFormat="false" ht="12.75" hidden="false" customHeight="false" outlineLevel="0" collapsed="false">
      <c r="A131" s="355"/>
      <c r="E131" s="365" t="str">
        <f aca="false">IF((G131&lt;&gt;0),"Enter Letter"," ")</f>
        <v> </v>
      </c>
      <c r="H131" s="338" t="str">
        <f aca="false">IF((G131&lt;&gt;0),IF((D131&gt;0)," ",G131)," ")</f>
        <v> </v>
      </c>
      <c r="I131" s="367" t="str">
        <f aca="false">IF((G131&lt;&gt;0),IF((D131&gt;0)," ",(I$1-A131))," ")</f>
        <v> </v>
      </c>
      <c r="J131" s="334" t="str">
        <f aca="false">IF((E131="s"),G131," ")</f>
        <v> </v>
      </c>
      <c r="K131" s="334" t="str">
        <f aca="false">IF((E131="d"),G131," ")</f>
        <v> </v>
      </c>
      <c r="L131" s="334" t="str">
        <f aca="false">IF((E131="e"),G131," ")</f>
        <v> </v>
      </c>
      <c r="M131" s="334" t="str">
        <f aca="false">IF((E131="p"),G131," ")</f>
        <v> </v>
      </c>
      <c r="N131" s="334" t="str">
        <f aca="false">IF((E131="r"),G131," ")</f>
        <v> </v>
      </c>
      <c r="O131" s="334" t="str">
        <f aca="false">IF((E131="g"),G131," ")</f>
        <v> </v>
      </c>
      <c r="P131" s="334" t="str">
        <f aca="false">IF((E131="m"),G131," ")</f>
        <v> </v>
      </c>
      <c r="Q131" s="334" t="str">
        <f aca="false">IF((E131="t"),G131," ")</f>
        <v> </v>
      </c>
      <c r="R131" s="334" t="str">
        <f aca="false">IF((E131="a"),G131," ")</f>
        <v> </v>
      </c>
      <c r="S131" s="334" t="str">
        <f aca="false">IF((E131="l"),G131," ")</f>
        <v> </v>
      </c>
      <c r="T131" s="334" t="str">
        <f aca="false">IF((E131="b"),G131," ")</f>
        <v> </v>
      </c>
      <c r="U131" s="334" t="str">
        <f aca="false">IF((E131="i"),G131," ")</f>
        <v> </v>
      </c>
      <c r="V131" s="334" t="str">
        <f aca="false">IF((E131="o"),G131," ")</f>
        <v> </v>
      </c>
      <c r="W131" s="334" t="str">
        <f aca="false">IF((E131="f"),G131," ")</f>
        <v> </v>
      </c>
    </row>
    <row r="132" customFormat="false" ht="12.75" hidden="false" customHeight="false" outlineLevel="0" collapsed="false">
      <c r="A132" s="355"/>
      <c r="E132" s="365" t="str">
        <f aca="false">IF((G132&lt;&gt;0),"Enter Letter"," ")</f>
        <v> </v>
      </c>
      <c r="H132" s="338" t="str">
        <f aca="false">IF((G132&lt;&gt;0),IF((D132&gt;0)," ",G132)," ")</f>
        <v> </v>
      </c>
      <c r="I132" s="367" t="str">
        <f aca="false">IF((G132&lt;&gt;0),IF((D132&gt;0)," ",(I$1-A132))," ")</f>
        <v> </v>
      </c>
      <c r="J132" s="334" t="str">
        <f aca="false">IF((E132="s"),G132," ")</f>
        <v> </v>
      </c>
      <c r="K132" s="334" t="str">
        <f aca="false">IF((E132="d"),G132," ")</f>
        <v> </v>
      </c>
      <c r="L132" s="334" t="str">
        <f aca="false">IF((E132="e"),G132," ")</f>
        <v> </v>
      </c>
      <c r="M132" s="334" t="str">
        <f aca="false">IF((E132="p"),G132," ")</f>
        <v> </v>
      </c>
      <c r="N132" s="334" t="str">
        <f aca="false">IF((E132="r"),G132," ")</f>
        <v> </v>
      </c>
      <c r="O132" s="334" t="str">
        <f aca="false">IF((E132="g"),G132," ")</f>
        <v> </v>
      </c>
      <c r="P132" s="334" t="str">
        <f aca="false">IF((E132="m"),G132," ")</f>
        <v> </v>
      </c>
      <c r="Q132" s="334" t="str">
        <f aca="false">IF((E132="t"),G132," ")</f>
        <v> </v>
      </c>
      <c r="R132" s="334" t="str">
        <f aca="false">IF((E132="a"),G132," ")</f>
        <v> </v>
      </c>
      <c r="S132" s="334" t="str">
        <f aca="false">IF((E132="l"),G132," ")</f>
        <v> </v>
      </c>
      <c r="T132" s="334" t="str">
        <f aca="false">IF((E132="b"),G132," ")</f>
        <v> </v>
      </c>
      <c r="U132" s="334" t="str">
        <f aca="false">IF((E132="i"),G132," ")</f>
        <v> </v>
      </c>
      <c r="V132" s="334" t="str">
        <f aca="false">IF((E132="o"),G132," ")</f>
        <v> </v>
      </c>
      <c r="W132" s="334" t="str">
        <f aca="false">IF((E132="f"),G132," ")</f>
        <v> </v>
      </c>
    </row>
    <row r="133" customFormat="false" ht="12.75" hidden="false" customHeight="false" outlineLevel="0" collapsed="false">
      <c r="A133" s="355"/>
      <c r="E133" s="365" t="str">
        <f aca="false">IF((G133&lt;&gt;0),"Enter Letter"," ")</f>
        <v> </v>
      </c>
      <c r="H133" s="338" t="str">
        <f aca="false">IF((G133&lt;&gt;0),IF((D133&gt;0)," ",G133)," ")</f>
        <v> </v>
      </c>
      <c r="I133" s="367" t="str">
        <f aca="false">IF((G133&lt;&gt;0),IF((D133&gt;0)," ",(I$1-A133))," ")</f>
        <v> </v>
      </c>
      <c r="J133" s="334" t="str">
        <f aca="false">IF((E133="s"),G133," ")</f>
        <v> </v>
      </c>
      <c r="K133" s="334" t="str">
        <f aca="false">IF((E133="d"),G133," ")</f>
        <v> </v>
      </c>
      <c r="L133" s="334" t="str">
        <f aca="false">IF((E133="e"),G133," ")</f>
        <v> </v>
      </c>
      <c r="M133" s="334" t="str">
        <f aca="false">IF((E133="p"),G133," ")</f>
        <v> </v>
      </c>
      <c r="N133" s="334" t="str">
        <f aca="false">IF((E133="r"),G133," ")</f>
        <v> </v>
      </c>
      <c r="O133" s="334" t="str">
        <f aca="false">IF((E133="g"),G133," ")</f>
        <v> </v>
      </c>
      <c r="P133" s="334" t="str">
        <f aca="false">IF((E133="m"),G133," ")</f>
        <v> </v>
      </c>
      <c r="Q133" s="334" t="str">
        <f aca="false">IF((E133="t"),G133," ")</f>
        <v> </v>
      </c>
      <c r="R133" s="334" t="str">
        <f aca="false">IF((E133="a"),G133," ")</f>
        <v> </v>
      </c>
      <c r="S133" s="334" t="str">
        <f aca="false">IF((E133="l"),G133," ")</f>
        <v> </v>
      </c>
      <c r="T133" s="334" t="str">
        <f aca="false">IF((E133="b"),G133," ")</f>
        <v> </v>
      </c>
      <c r="U133" s="334" t="str">
        <f aca="false">IF((E133="i"),G133," ")</f>
        <v> </v>
      </c>
      <c r="V133" s="334" t="str">
        <f aca="false">IF((E133="o"),G133," ")</f>
        <v> </v>
      </c>
      <c r="W133" s="334" t="str">
        <f aca="false">IF((E133="f"),G133," ")</f>
        <v> </v>
      </c>
    </row>
    <row r="134" customFormat="false" ht="12.75" hidden="false" customHeight="false" outlineLevel="0" collapsed="false">
      <c r="A134" s="355"/>
      <c r="E134" s="365" t="str">
        <f aca="false">IF((G134&lt;&gt;0),"Enter Letter"," ")</f>
        <v> </v>
      </c>
      <c r="H134" s="338" t="str">
        <f aca="false">IF((G134&lt;&gt;0),IF((D134&gt;0)," ",G134)," ")</f>
        <v> </v>
      </c>
      <c r="I134" s="367" t="str">
        <f aca="false">IF((G134&lt;&gt;0),IF((D134&gt;0)," ",(I$1-A134))," ")</f>
        <v> </v>
      </c>
      <c r="J134" s="334" t="str">
        <f aca="false">IF((E134="s"),G134," ")</f>
        <v> </v>
      </c>
      <c r="K134" s="334" t="str">
        <f aca="false">IF((E134="d"),G134," ")</f>
        <v> </v>
      </c>
      <c r="L134" s="334" t="str">
        <f aca="false">IF((E134="e"),G134," ")</f>
        <v> </v>
      </c>
      <c r="M134" s="334" t="str">
        <f aca="false">IF((E134="p"),G134," ")</f>
        <v> </v>
      </c>
      <c r="N134" s="334" t="str">
        <f aca="false">IF((E134="r"),G134," ")</f>
        <v> </v>
      </c>
      <c r="O134" s="334" t="str">
        <f aca="false">IF((E134="g"),G134," ")</f>
        <v> </v>
      </c>
      <c r="P134" s="334" t="str">
        <f aca="false">IF((E134="m"),G134," ")</f>
        <v> </v>
      </c>
      <c r="Q134" s="334" t="str">
        <f aca="false">IF((E134="t"),G134," ")</f>
        <v> </v>
      </c>
      <c r="R134" s="334" t="str">
        <f aca="false">IF((E134="a"),G134," ")</f>
        <v> </v>
      </c>
      <c r="S134" s="334" t="str">
        <f aca="false">IF((E134="l"),G134," ")</f>
        <v> </v>
      </c>
      <c r="T134" s="334" t="str">
        <f aca="false">IF((E134="b"),G134," ")</f>
        <v> </v>
      </c>
      <c r="U134" s="334" t="str">
        <f aca="false">IF((E134="i"),G134," ")</f>
        <v> </v>
      </c>
      <c r="V134" s="334" t="str">
        <f aca="false">IF((E134="o"),G134," ")</f>
        <v> </v>
      </c>
      <c r="W134" s="334" t="str">
        <f aca="false">IF((E134="f"),G134," ")</f>
        <v> </v>
      </c>
    </row>
    <row r="135" customFormat="false" ht="12.75" hidden="false" customHeight="false" outlineLevel="0" collapsed="false">
      <c r="A135" s="355"/>
      <c r="E135" s="365" t="str">
        <f aca="false">IF((G135&lt;&gt;0),"Enter Letter"," ")</f>
        <v> </v>
      </c>
      <c r="H135" s="338" t="str">
        <f aca="false">IF((G135&lt;&gt;0),IF((D135&gt;0)," ",G135)," ")</f>
        <v> </v>
      </c>
      <c r="I135" s="367" t="str">
        <f aca="false">IF((G135&lt;&gt;0),IF((D135&gt;0)," ",(I$1-A135))," ")</f>
        <v> </v>
      </c>
      <c r="J135" s="334" t="str">
        <f aca="false">IF((E135="s"),G135," ")</f>
        <v> </v>
      </c>
      <c r="K135" s="334" t="str">
        <f aca="false">IF((E135="d"),G135," ")</f>
        <v> </v>
      </c>
      <c r="L135" s="334" t="str">
        <f aca="false">IF((E135="e"),G135," ")</f>
        <v> </v>
      </c>
      <c r="M135" s="334" t="str">
        <f aca="false">IF((E135="p"),G135," ")</f>
        <v> </v>
      </c>
      <c r="N135" s="334" t="str">
        <f aca="false">IF((E135="r"),G135," ")</f>
        <v> </v>
      </c>
      <c r="O135" s="334" t="str">
        <f aca="false">IF((E135="g"),G135," ")</f>
        <v> </v>
      </c>
      <c r="P135" s="334" t="str">
        <f aca="false">IF((E135="m"),G135," ")</f>
        <v> </v>
      </c>
      <c r="Q135" s="334" t="str">
        <f aca="false">IF((E135="t"),G135," ")</f>
        <v> </v>
      </c>
      <c r="R135" s="334" t="str">
        <f aca="false">IF((E135="a"),G135," ")</f>
        <v> </v>
      </c>
      <c r="S135" s="334" t="str">
        <f aca="false">IF((E135="l"),G135," ")</f>
        <v> </v>
      </c>
      <c r="T135" s="334" t="str">
        <f aca="false">IF((E135="b"),G135," ")</f>
        <v> </v>
      </c>
      <c r="U135" s="334" t="str">
        <f aca="false">IF((E135="i"),G135," ")</f>
        <v> </v>
      </c>
      <c r="V135" s="334" t="str">
        <f aca="false">IF((E135="o"),G135," ")</f>
        <v> </v>
      </c>
      <c r="W135" s="334" t="str">
        <f aca="false">IF((E135="f"),G135," ")</f>
        <v> </v>
      </c>
    </row>
    <row r="136" customFormat="false" ht="12.75" hidden="false" customHeight="false" outlineLevel="0" collapsed="false">
      <c r="A136" s="355"/>
      <c r="E136" s="365" t="str">
        <f aca="false">IF((G136&lt;&gt;0),"Enter Letter"," ")</f>
        <v> </v>
      </c>
      <c r="H136" s="338" t="str">
        <f aca="false">IF((G136&lt;&gt;0),IF((D136&gt;0)," ",G136)," ")</f>
        <v> </v>
      </c>
      <c r="I136" s="367" t="str">
        <f aca="false">IF((G136&lt;&gt;0),IF((D136&gt;0)," ",(I$1-A136))," ")</f>
        <v> </v>
      </c>
      <c r="J136" s="334" t="str">
        <f aca="false">IF((E136="s"),G136," ")</f>
        <v> </v>
      </c>
      <c r="K136" s="334" t="str">
        <f aca="false">IF((E136="d"),G136," ")</f>
        <v> </v>
      </c>
      <c r="L136" s="334" t="str">
        <f aca="false">IF((E136="e"),G136," ")</f>
        <v> </v>
      </c>
      <c r="M136" s="334" t="str">
        <f aca="false">IF((E136="p"),G136," ")</f>
        <v> </v>
      </c>
      <c r="N136" s="334" t="str">
        <f aca="false">IF((E136="r"),G136," ")</f>
        <v> </v>
      </c>
      <c r="O136" s="334" t="str">
        <f aca="false">IF((E136="g"),G136," ")</f>
        <v> </v>
      </c>
      <c r="P136" s="334" t="str">
        <f aca="false">IF((E136="m"),G136," ")</f>
        <v> </v>
      </c>
      <c r="Q136" s="334" t="str">
        <f aca="false">IF((E136="t"),G136," ")</f>
        <v> </v>
      </c>
      <c r="R136" s="334" t="str">
        <f aca="false">IF((E136="a"),G136," ")</f>
        <v> </v>
      </c>
      <c r="S136" s="334" t="str">
        <f aca="false">IF((E136="l"),G136," ")</f>
        <v> </v>
      </c>
      <c r="T136" s="334" t="str">
        <f aca="false">IF((E136="b"),G136," ")</f>
        <v> </v>
      </c>
      <c r="U136" s="334" t="str">
        <f aca="false">IF((E136="i"),G136," ")</f>
        <v> </v>
      </c>
      <c r="V136" s="334" t="str">
        <f aca="false">IF((E136="o"),G136," ")</f>
        <v> </v>
      </c>
      <c r="W136" s="334" t="str">
        <f aca="false">IF((E136="f"),G136," ")</f>
        <v> </v>
      </c>
    </row>
    <row r="137" customFormat="false" ht="12.75" hidden="false" customHeight="false" outlineLevel="0" collapsed="false">
      <c r="A137" s="355"/>
      <c r="E137" s="365" t="str">
        <f aca="false">IF((G137&lt;&gt;0),"Enter Letter"," ")</f>
        <v> </v>
      </c>
      <c r="H137" s="338" t="str">
        <f aca="false">IF((G137&lt;&gt;0),IF((D137&gt;0)," ",G137)," ")</f>
        <v> </v>
      </c>
      <c r="I137" s="367" t="str">
        <f aca="false">IF((G137&lt;&gt;0),IF((D137&gt;0)," ",(I$1-A137))," ")</f>
        <v> </v>
      </c>
      <c r="J137" s="334" t="str">
        <f aca="false">IF((E137="s"),G137," ")</f>
        <v> </v>
      </c>
      <c r="K137" s="334" t="str">
        <f aca="false">IF((E137="d"),G137," ")</f>
        <v> </v>
      </c>
      <c r="L137" s="334" t="str">
        <f aca="false">IF((E137="e"),G137," ")</f>
        <v> </v>
      </c>
      <c r="M137" s="334" t="str">
        <f aca="false">IF((E137="p"),G137," ")</f>
        <v> </v>
      </c>
      <c r="N137" s="334" t="str">
        <f aca="false">IF((E137="r"),G137," ")</f>
        <v> </v>
      </c>
      <c r="O137" s="334" t="str">
        <f aca="false">IF((E137="g"),G137," ")</f>
        <v> </v>
      </c>
      <c r="P137" s="334" t="str">
        <f aca="false">IF((E137="m"),G137," ")</f>
        <v> </v>
      </c>
      <c r="Q137" s="334" t="str">
        <f aca="false">IF((E137="t"),G137," ")</f>
        <v> </v>
      </c>
      <c r="R137" s="334" t="str">
        <f aca="false">IF((E137="a"),G137," ")</f>
        <v> </v>
      </c>
      <c r="S137" s="334" t="str">
        <f aca="false">IF((E137="l"),G137," ")</f>
        <v> </v>
      </c>
      <c r="T137" s="334" t="str">
        <f aca="false">IF((E137="b"),G137," ")</f>
        <v> </v>
      </c>
      <c r="U137" s="334" t="str">
        <f aca="false">IF((E137="i"),G137," ")</f>
        <v> </v>
      </c>
      <c r="V137" s="334" t="str">
        <f aca="false">IF((E137="o"),G137," ")</f>
        <v> </v>
      </c>
      <c r="W137" s="334" t="str">
        <f aca="false">IF((E137="f"),G137," ")</f>
        <v> </v>
      </c>
    </row>
    <row r="138" customFormat="false" ht="12.75" hidden="false" customHeight="false" outlineLevel="0" collapsed="false">
      <c r="A138" s="355"/>
      <c r="E138" s="365" t="str">
        <f aca="false">IF((G138&lt;&gt;0),"Enter Letter"," ")</f>
        <v> </v>
      </c>
      <c r="H138" s="338" t="str">
        <f aca="false">IF((G138&lt;&gt;0),IF((D138&gt;0)," ",G138)," ")</f>
        <v> </v>
      </c>
      <c r="I138" s="367" t="str">
        <f aca="false">IF((G138&lt;&gt;0),IF((D138&gt;0)," ",(I$1-A138))," ")</f>
        <v> </v>
      </c>
      <c r="J138" s="334" t="str">
        <f aca="false">IF((E138="s"),G138," ")</f>
        <v> </v>
      </c>
      <c r="K138" s="334" t="str">
        <f aca="false">IF((E138="d"),G138," ")</f>
        <v> </v>
      </c>
      <c r="L138" s="334" t="str">
        <f aca="false">IF((E138="e"),G138," ")</f>
        <v> </v>
      </c>
      <c r="M138" s="334" t="str">
        <f aca="false">IF((E138="p"),G138," ")</f>
        <v> </v>
      </c>
      <c r="N138" s="334" t="str">
        <f aca="false">IF((E138="r"),G138," ")</f>
        <v> </v>
      </c>
      <c r="O138" s="334" t="str">
        <f aca="false">IF((E138="g"),G138," ")</f>
        <v> </v>
      </c>
      <c r="P138" s="334" t="str">
        <f aca="false">IF((E138="m"),G138," ")</f>
        <v> </v>
      </c>
      <c r="Q138" s="334" t="str">
        <f aca="false">IF((E138="t"),G138," ")</f>
        <v> </v>
      </c>
      <c r="R138" s="334" t="str">
        <f aca="false">IF((E138="a"),G138," ")</f>
        <v> </v>
      </c>
      <c r="S138" s="334" t="str">
        <f aca="false">IF((E138="l"),G138," ")</f>
        <v> </v>
      </c>
      <c r="T138" s="334" t="str">
        <f aca="false">IF((E138="b"),G138," ")</f>
        <v> </v>
      </c>
      <c r="U138" s="334" t="str">
        <f aca="false">IF((E138="i"),G138," ")</f>
        <v> </v>
      </c>
      <c r="V138" s="334" t="str">
        <f aca="false">IF((E138="o"),G138," ")</f>
        <v> </v>
      </c>
      <c r="W138" s="334" t="str">
        <f aca="false">IF((E138="f"),G138," ")</f>
        <v> </v>
      </c>
    </row>
    <row r="139" customFormat="false" ht="12.75" hidden="false" customHeight="false" outlineLevel="0" collapsed="false">
      <c r="A139" s="355"/>
      <c r="E139" s="365" t="str">
        <f aca="false">IF((G139&lt;&gt;0),"Enter Letter"," ")</f>
        <v> </v>
      </c>
      <c r="H139" s="338" t="str">
        <f aca="false">IF((G139&lt;&gt;0),IF((D139&gt;0)," ",G139)," ")</f>
        <v> </v>
      </c>
      <c r="I139" s="367" t="str">
        <f aca="false">IF((G139&lt;&gt;0),IF((D139&gt;0)," ",(I$1-A139))," ")</f>
        <v> </v>
      </c>
      <c r="J139" s="334" t="str">
        <f aca="false">IF((E139="s"),G139," ")</f>
        <v> </v>
      </c>
      <c r="K139" s="334" t="str">
        <f aca="false">IF((E139="d"),G139," ")</f>
        <v> </v>
      </c>
      <c r="L139" s="334" t="str">
        <f aca="false">IF((E139="e"),G139," ")</f>
        <v> </v>
      </c>
      <c r="M139" s="334" t="str">
        <f aca="false">IF((E139="p"),G139," ")</f>
        <v> </v>
      </c>
      <c r="N139" s="334" t="str">
        <f aca="false">IF((E139="r"),G139," ")</f>
        <v> </v>
      </c>
      <c r="O139" s="334" t="str">
        <f aca="false">IF((E139="g"),G139," ")</f>
        <v> </v>
      </c>
      <c r="P139" s="334" t="str">
        <f aca="false">IF((E139="m"),G139," ")</f>
        <v> </v>
      </c>
      <c r="Q139" s="334" t="str">
        <f aca="false">IF((E139="t"),G139," ")</f>
        <v> </v>
      </c>
      <c r="R139" s="334" t="str">
        <f aca="false">IF((E139="a"),G139," ")</f>
        <v> </v>
      </c>
      <c r="S139" s="334" t="str">
        <f aca="false">IF((E139="l"),G139," ")</f>
        <v> </v>
      </c>
      <c r="T139" s="334" t="str">
        <f aca="false">IF((E139="b"),G139," ")</f>
        <v> </v>
      </c>
      <c r="U139" s="334" t="str">
        <f aca="false">IF((E139="i"),G139," ")</f>
        <v> </v>
      </c>
      <c r="V139" s="334" t="str">
        <f aca="false">IF((E139="o"),G139," ")</f>
        <v> </v>
      </c>
      <c r="W139" s="334" t="str">
        <f aca="false">IF((E139="f"),G139," ")</f>
        <v> </v>
      </c>
    </row>
    <row r="140" customFormat="false" ht="12.75" hidden="false" customHeight="false" outlineLevel="0" collapsed="false">
      <c r="A140" s="355"/>
      <c r="E140" s="365" t="str">
        <f aca="false">IF((G140&lt;&gt;0),"Enter Letter"," ")</f>
        <v> </v>
      </c>
      <c r="H140" s="338" t="str">
        <f aca="false">IF((G140&lt;&gt;0),IF((D140&gt;0)," ",G140)," ")</f>
        <v> </v>
      </c>
      <c r="I140" s="367" t="str">
        <f aca="false">IF((G140&lt;&gt;0),IF((D140&gt;0)," ",(I$1-A140))," ")</f>
        <v> </v>
      </c>
      <c r="J140" s="334" t="str">
        <f aca="false">IF((E140="s"),G140," ")</f>
        <v> </v>
      </c>
      <c r="K140" s="334" t="str">
        <f aca="false">IF((E140="d"),G140," ")</f>
        <v> </v>
      </c>
      <c r="L140" s="334" t="str">
        <f aca="false">IF((E140="e"),G140," ")</f>
        <v> </v>
      </c>
      <c r="M140" s="334" t="str">
        <f aca="false">IF((E140="p"),G140," ")</f>
        <v> </v>
      </c>
      <c r="N140" s="334" t="str">
        <f aca="false">IF((E140="r"),G140," ")</f>
        <v> </v>
      </c>
      <c r="O140" s="334" t="str">
        <f aca="false">IF((E140="g"),G140," ")</f>
        <v> </v>
      </c>
      <c r="P140" s="334" t="str">
        <f aca="false">IF((E140="m"),G140," ")</f>
        <v> </v>
      </c>
      <c r="Q140" s="334" t="str">
        <f aca="false">IF((E140="t"),G140," ")</f>
        <v> </v>
      </c>
      <c r="R140" s="334" t="str">
        <f aca="false">IF((E140="a"),G140," ")</f>
        <v> </v>
      </c>
      <c r="S140" s="334" t="str">
        <f aca="false">IF((E140="l"),G140," ")</f>
        <v> </v>
      </c>
      <c r="T140" s="334" t="str">
        <f aca="false">IF((E140="b"),G140," ")</f>
        <v> </v>
      </c>
      <c r="U140" s="334" t="str">
        <f aca="false">IF((E140="i"),G140," ")</f>
        <v> </v>
      </c>
      <c r="V140" s="334" t="str">
        <f aca="false">IF((E140="o"),G140," ")</f>
        <v> </v>
      </c>
      <c r="W140" s="334" t="str">
        <f aca="false">IF((E140="f"),G140," ")</f>
        <v> </v>
      </c>
    </row>
    <row r="141" customFormat="false" ht="12.75" hidden="false" customHeight="false" outlineLevel="0" collapsed="false">
      <c r="A141" s="355"/>
      <c r="E141" s="365" t="str">
        <f aca="false">IF((G141&lt;&gt;0),"Enter Letter"," ")</f>
        <v> </v>
      </c>
      <c r="H141" s="338" t="str">
        <f aca="false">IF((G141&lt;&gt;0),IF((D141&gt;0)," ",G141)," ")</f>
        <v> </v>
      </c>
      <c r="I141" s="367" t="str">
        <f aca="false">IF((G141&lt;&gt;0),IF((D141&gt;0)," ",(I$1-A141))," ")</f>
        <v> </v>
      </c>
      <c r="J141" s="334" t="str">
        <f aca="false">IF((E141="s"),G141," ")</f>
        <v> </v>
      </c>
      <c r="K141" s="334" t="str">
        <f aca="false">IF((E141="d"),G141," ")</f>
        <v> </v>
      </c>
      <c r="L141" s="334" t="str">
        <f aca="false">IF((E141="e"),G141," ")</f>
        <v> </v>
      </c>
      <c r="M141" s="334" t="str">
        <f aca="false">IF((E141="p"),G141," ")</f>
        <v> </v>
      </c>
      <c r="N141" s="334" t="str">
        <f aca="false">IF((E141="r"),G141," ")</f>
        <v> </v>
      </c>
      <c r="O141" s="334" t="str">
        <f aca="false">IF((E141="g"),G141," ")</f>
        <v> </v>
      </c>
      <c r="P141" s="334" t="str">
        <f aca="false">IF((E141="m"),G141," ")</f>
        <v> </v>
      </c>
      <c r="Q141" s="334" t="str">
        <f aca="false">IF((E141="t"),G141," ")</f>
        <v> </v>
      </c>
      <c r="R141" s="334" t="str">
        <f aca="false">IF((E141="a"),G141," ")</f>
        <v> </v>
      </c>
      <c r="S141" s="334" t="str">
        <f aca="false">IF((E141="l"),G141," ")</f>
        <v> </v>
      </c>
      <c r="T141" s="334" t="str">
        <f aca="false">IF((E141="b"),G141," ")</f>
        <v> </v>
      </c>
      <c r="U141" s="334" t="str">
        <f aca="false">IF((E141="i"),G141," ")</f>
        <v> </v>
      </c>
      <c r="V141" s="334" t="str">
        <f aca="false">IF((E141="o"),G141," ")</f>
        <v> </v>
      </c>
      <c r="W141" s="334" t="str">
        <f aca="false">IF((E141="f"),G141," ")</f>
        <v> </v>
      </c>
    </row>
    <row r="142" customFormat="false" ht="12.75" hidden="false" customHeight="false" outlineLevel="0" collapsed="false">
      <c r="A142" s="355"/>
      <c r="E142" s="365" t="str">
        <f aca="false">IF((G142&lt;&gt;0),"Enter Letter"," ")</f>
        <v> </v>
      </c>
      <c r="H142" s="338" t="str">
        <f aca="false">IF((G142&lt;&gt;0),IF((D142&gt;0)," ",G142)," ")</f>
        <v> </v>
      </c>
      <c r="I142" s="367" t="str">
        <f aca="false">IF((G142&lt;&gt;0),IF((D142&gt;0)," ",(I$1-A142))," ")</f>
        <v> </v>
      </c>
      <c r="J142" s="334" t="str">
        <f aca="false">IF((E142="s"),G142," ")</f>
        <v> </v>
      </c>
      <c r="K142" s="334" t="str">
        <f aca="false">IF((E142="d"),G142," ")</f>
        <v> </v>
      </c>
      <c r="L142" s="334" t="str">
        <f aca="false">IF((E142="e"),G142," ")</f>
        <v> </v>
      </c>
      <c r="M142" s="334" t="str">
        <f aca="false">IF((E142="p"),G142," ")</f>
        <v> </v>
      </c>
      <c r="N142" s="334" t="str">
        <f aca="false">IF((E142="r"),G142," ")</f>
        <v> </v>
      </c>
      <c r="O142" s="334" t="str">
        <f aca="false">IF((E142="g"),G142," ")</f>
        <v> </v>
      </c>
      <c r="P142" s="334" t="str">
        <f aca="false">IF((E142="m"),G142," ")</f>
        <v> </v>
      </c>
      <c r="Q142" s="334" t="str">
        <f aca="false">IF((E142="t"),G142," ")</f>
        <v> </v>
      </c>
      <c r="R142" s="334" t="str">
        <f aca="false">IF((E142="a"),G142," ")</f>
        <v> </v>
      </c>
      <c r="S142" s="334" t="str">
        <f aca="false">IF((E142="l"),G142," ")</f>
        <v> </v>
      </c>
      <c r="T142" s="334" t="str">
        <f aca="false">IF((E142="b"),G142," ")</f>
        <v> </v>
      </c>
      <c r="U142" s="334" t="str">
        <f aca="false">IF((E142="i"),G142," ")</f>
        <v> </v>
      </c>
      <c r="V142" s="334" t="str">
        <f aca="false">IF((E142="o"),G142," ")</f>
        <v> </v>
      </c>
      <c r="W142" s="334" t="str">
        <f aca="false">IF((E142="f"),G142," ")</f>
        <v> </v>
      </c>
    </row>
    <row r="143" customFormat="false" ht="12.75" hidden="false" customHeight="false" outlineLevel="0" collapsed="false">
      <c r="A143" s="355"/>
      <c r="E143" s="365" t="str">
        <f aca="false">IF((G143&lt;&gt;0),"Enter Letter"," ")</f>
        <v> </v>
      </c>
      <c r="H143" s="338" t="str">
        <f aca="false">IF((G143&lt;&gt;0),IF((D143&gt;0)," ",G143)," ")</f>
        <v> </v>
      </c>
      <c r="I143" s="367" t="str">
        <f aca="false">IF((G143&lt;&gt;0),IF((D143&gt;0)," ",(I$1-A143))," ")</f>
        <v> </v>
      </c>
      <c r="J143" s="334" t="str">
        <f aca="false">IF((E143="s"),G143," ")</f>
        <v> </v>
      </c>
      <c r="K143" s="334" t="str">
        <f aca="false">IF((E143="d"),G143," ")</f>
        <v> </v>
      </c>
      <c r="L143" s="334" t="str">
        <f aca="false">IF((E143="e"),G143," ")</f>
        <v> </v>
      </c>
      <c r="M143" s="334" t="str">
        <f aca="false">IF((E143="p"),G143," ")</f>
        <v> </v>
      </c>
      <c r="N143" s="334" t="str">
        <f aca="false">IF((E143="r"),G143," ")</f>
        <v> </v>
      </c>
      <c r="O143" s="334" t="str">
        <f aca="false">IF((E143="g"),G143," ")</f>
        <v> </v>
      </c>
      <c r="P143" s="334" t="str">
        <f aca="false">IF((E143="m"),G143," ")</f>
        <v> </v>
      </c>
      <c r="Q143" s="334" t="str">
        <f aca="false">IF((E143="t"),G143," ")</f>
        <v> </v>
      </c>
      <c r="R143" s="334" t="str">
        <f aca="false">IF((E143="a"),G143," ")</f>
        <v> </v>
      </c>
      <c r="S143" s="334" t="str">
        <f aca="false">IF((E143="l"),G143," ")</f>
        <v> </v>
      </c>
      <c r="T143" s="334" t="str">
        <f aca="false">IF((E143="b"),G143," ")</f>
        <v> </v>
      </c>
      <c r="U143" s="334" t="str">
        <f aca="false">IF((E143="i"),G143," ")</f>
        <v> </v>
      </c>
      <c r="V143" s="334" t="str">
        <f aca="false">IF((E143="o"),G143," ")</f>
        <v> </v>
      </c>
      <c r="W143" s="334" t="str">
        <f aca="false">IF((E143="f"),G143," ")</f>
        <v> </v>
      </c>
    </row>
    <row r="144" customFormat="false" ht="12.75" hidden="false" customHeight="false" outlineLevel="0" collapsed="false">
      <c r="A144" s="355"/>
      <c r="E144" s="365" t="str">
        <f aca="false">IF((G144&lt;&gt;0),"Enter Letter"," ")</f>
        <v> </v>
      </c>
      <c r="H144" s="338" t="str">
        <f aca="false">IF((G144&lt;&gt;0),IF((D144&gt;0)," ",G144)," ")</f>
        <v> </v>
      </c>
      <c r="I144" s="367" t="str">
        <f aca="false">IF((G144&lt;&gt;0),IF((D144&gt;0)," ",(I$1-A144))," ")</f>
        <v> </v>
      </c>
      <c r="J144" s="334" t="str">
        <f aca="false">IF((E144="s"),G144," ")</f>
        <v> </v>
      </c>
      <c r="K144" s="334" t="str">
        <f aca="false">IF((E144="d"),G144," ")</f>
        <v> </v>
      </c>
      <c r="L144" s="334" t="str">
        <f aca="false">IF((E144="e"),G144," ")</f>
        <v> </v>
      </c>
      <c r="M144" s="334" t="str">
        <f aca="false">IF((E144="p"),G144," ")</f>
        <v> </v>
      </c>
      <c r="N144" s="334" t="str">
        <f aca="false">IF((E144="r"),G144," ")</f>
        <v> </v>
      </c>
      <c r="O144" s="334" t="str">
        <f aca="false">IF((E144="g"),G144," ")</f>
        <v> </v>
      </c>
      <c r="P144" s="334" t="str">
        <f aca="false">IF((E144="m"),G144," ")</f>
        <v> </v>
      </c>
      <c r="Q144" s="334" t="str">
        <f aca="false">IF((E144="t"),G144," ")</f>
        <v> </v>
      </c>
      <c r="R144" s="334" t="str">
        <f aca="false">IF((E144="a"),G144," ")</f>
        <v> </v>
      </c>
      <c r="S144" s="334" t="str">
        <f aca="false">IF((E144="l"),G144," ")</f>
        <v> </v>
      </c>
      <c r="T144" s="334" t="str">
        <f aca="false">IF((E144="b"),G144," ")</f>
        <v> </v>
      </c>
      <c r="U144" s="334" t="str">
        <f aca="false">IF((E144="i"),G144," ")</f>
        <v> </v>
      </c>
      <c r="V144" s="334" t="str">
        <f aca="false">IF((E144="o"),G144," ")</f>
        <v> </v>
      </c>
      <c r="W144" s="334" t="str">
        <f aca="false">IF((E144="f"),G144," ")</f>
        <v> </v>
      </c>
    </row>
    <row r="145" customFormat="false" ht="12.75" hidden="false" customHeight="false" outlineLevel="0" collapsed="false">
      <c r="A145" s="355"/>
      <c r="E145" s="365" t="str">
        <f aca="false">IF((G145&lt;&gt;0),"Enter Letter"," ")</f>
        <v> </v>
      </c>
      <c r="H145" s="338" t="str">
        <f aca="false">IF((G145&lt;&gt;0),IF((D145&gt;0)," ",G145)," ")</f>
        <v> </v>
      </c>
      <c r="I145" s="367" t="str">
        <f aca="false">IF((G145&lt;&gt;0),IF((D145&gt;0)," ",(I$1-A145))," ")</f>
        <v> </v>
      </c>
      <c r="J145" s="334" t="str">
        <f aca="false">IF((E145="s"),G145," ")</f>
        <v> </v>
      </c>
      <c r="K145" s="334" t="str">
        <f aca="false">IF((E145="d"),G145," ")</f>
        <v> </v>
      </c>
      <c r="L145" s="334" t="str">
        <f aca="false">IF((E145="e"),G145," ")</f>
        <v> </v>
      </c>
      <c r="M145" s="334" t="str">
        <f aca="false">IF((E145="p"),G145," ")</f>
        <v> </v>
      </c>
      <c r="N145" s="334" t="str">
        <f aca="false">IF((E145="r"),G145," ")</f>
        <v> </v>
      </c>
      <c r="O145" s="334" t="str">
        <f aca="false">IF((E145="g"),G145," ")</f>
        <v> </v>
      </c>
      <c r="P145" s="334" t="str">
        <f aca="false">IF((E145="m"),G145," ")</f>
        <v> </v>
      </c>
      <c r="Q145" s="334" t="str">
        <f aca="false">IF((E145="t"),G145," ")</f>
        <v> </v>
      </c>
      <c r="R145" s="334" t="str">
        <f aca="false">IF((E145="a"),G145," ")</f>
        <v> </v>
      </c>
      <c r="S145" s="334" t="str">
        <f aca="false">IF((E145="l"),G145," ")</f>
        <v> </v>
      </c>
      <c r="T145" s="334" t="str">
        <f aca="false">IF((E145="b"),G145," ")</f>
        <v> </v>
      </c>
      <c r="U145" s="334" t="str">
        <f aca="false">IF((E145="i"),G145," ")</f>
        <v> </v>
      </c>
      <c r="V145" s="334" t="str">
        <f aca="false">IF((E145="o"),G145," ")</f>
        <v> </v>
      </c>
      <c r="W145" s="334" t="str">
        <f aca="false">IF((E145="f"),G145," ")</f>
        <v> </v>
      </c>
    </row>
    <row r="146" customFormat="false" ht="12.75" hidden="false" customHeight="false" outlineLevel="0" collapsed="false">
      <c r="A146" s="355"/>
      <c r="E146" s="365" t="str">
        <f aca="false">IF((G146&lt;&gt;0),"Enter Letter"," ")</f>
        <v> </v>
      </c>
      <c r="H146" s="338" t="str">
        <f aca="false">IF((G146&lt;&gt;0),IF((D146&gt;0)," ",G146)," ")</f>
        <v> </v>
      </c>
      <c r="I146" s="367" t="str">
        <f aca="false">IF((G146&lt;&gt;0),IF((D146&gt;0)," ",(I$1-A146))," ")</f>
        <v> </v>
      </c>
      <c r="J146" s="334" t="str">
        <f aca="false">IF((E146="s"),G146," ")</f>
        <v> </v>
      </c>
      <c r="K146" s="334" t="str">
        <f aca="false">IF((E146="d"),G146," ")</f>
        <v> </v>
      </c>
      <c r="L146" s="334" t="str">
        <f aca="false">IF((E146="e"),G146," ")</f>
        <v> </v>
      </c>
      <c r="M146" s="334" t="str">
        <f aca="false">IF((E146="p"),G146," ")</f>
        <v> </v>
      </c>
      <c r="N146" s="334" t="str">
        <f aca="false">IF((E146="r"),G146," ")</f>
        <v> </v>
      </c>
      <c r="O146" s="334" t="str">
        <f aca="false">IF((E146="g"),G146," ")</f>
        <v> </v>
      </c>
      <c r="P146" s="334" t="str">
        <f aca="false">IF((E146="m"),G146," ")</f>
        <v> </v>
      </c>
      <c r="Q146" s="334" t="str">
        <f aca="false">IF((E146="t"),G146," ")</f>
        <v> </v>
      </c>
      <c r="R146" s="334" t="str">
        <f aca="false">IF((E146="a"),G146," ")</f>
        <v> </v>
      </c>
      <c r="S146" s="334" t="str">
        <f aca="false">IF((E146="l"),G146," ")</f>
        <v> </v>
      </c>
      <c r="T146" s="334" t="str">
        <f aca="false">IF((E146="b"),G146," ")</f>
        <v> </v>
      </c>
      <c r="U146" s="334" t="str">
        <f aca="false">IF((E146="i"),G146," ")</f>
        <v> </v>
      </c>
      <c r="V146" s="334" t="str">
        <f aca="false">IF((E146="o"),G146," ")</f>
        <v> </v>
      </c>
      <c r="W146" s="334" t="str">
        <f aca="false">IF((E146="f"),G146," ")</f>
        <v> </v>
      </c>
    </row>
    <row r="147" customFormat="false" ht="12.75" hidden="false" customHeight="false" outlineLevel="0" collapsed="false">
      <c r="A147" s="355"/>
      <c r="E147" s="365" t="str">
        <f aca="false">IF((G147&lt;&gt;0),"Enter Letter"," ")</f>
        <v> </v>
      </c>
      <c r="H147" s="338" t="str">
        <f aca="false">IF((G147&lt;&gt;0),IF((D147&gt;0)," ",G147)," ")</f>
        <v> </v>
      </c>
      <c r="I147" s="367" t="str">
        <f aca="false">IF((G147&lt;&gt;0),IF((D147&gt;0)," ",(I$1-A147))," ")</f>
        <v> </v>
      </c>
      <c r="J147" s="334" t="str">
        <f aca="false">IF((E147="s"),G147," ")</f>
        <v> </v>
      </c>
      <c r="K147" s="334" t="str">
        <f aca="false">IF((E147="d"),G147," ")</f>
        <v> </v>
      </c>
      <c r="L147" s="334" t="str">
        <f aca="false">IF((E147="e"),G147," ")</f>
        <v> </v>
      </c>
      <c r="M147" s="334" t="str">
        <f aca="false">IF((E147="p"),G147," ")</f>
        <v> </v>
      </c>
      <c r="N147" s="334" t="str">
        <f aca="false">IF((E147="r"),G147," ")</f>
        <v> </v>
      </c>
      <c r="O147" s="334" t="str">
        <f aca="false">IF((E147="g"),G147," ")</f>
        <v> </v>
      </c>
      <c r="P147" s="334" t="str">
        <f aca="false">IF((E147="m"),G147," ")</f>
        <v> </v>
      </c>
      <c r="Q147" s="334" t="str">
        <f aca="false">IF((E147="t"),G147," ")</f>
        <v> </v>
      </c>
      <c r="R147" s="334" t="str">
        <f aca="false">IF((E147="a"),G147," ")</f>
        <v> </v>
      </c>
      <c r="S147" s="334" t="str">
        <f aca="false">IF((E147="l"),G147," ")</f>
        <v> </v>
      </c>
      <c r="T147" s="334" t="str">
        <f aca="false">IF((E147="b"),G147," ")</f>
        <v> </v>
      </c>
      <c r="U147" s="334" t="str">
        <f aca="false">IF((E147="i"),G147," ")</f>
        <v> </v>
      </c>
      <c r="V147" s="334" t="str">
        <f aca="false">IF((E147="o"),G147," ")</f>
        <v> </v>
      </c>
      <c r="W147" s="334" t="str">
        <f aca="false">IF((E147="f"),G147," ")</f>
        <v> </v>
      </c>
    </row>
    <row r="148" customFormat="false" ht="12.75" hidden="false" customHeight="false" outlineLevel="0" collapsed="false">
      <c r="A148" s="355"/>
      <c r="E148" s="365" t="str">
        <f aca="false">IF((G148&lt;&gt;0),"Enter Letter"," ")</f>
        <v> </v>
      </c>
      <c r="H148" s="338" t="str">
        <f aca="false">IF((G148&lt;&gt;0),IF((D148&gt;0)," ",G148)," ")</f>
        <v> </v>
      </c>
      <c r="I148" s="367" t="str">
        <f aca="false">IF((G148&lt;&gt;0),IF((D148&gt;0)," ",(I$1-A148))," ")</f>
        <v> </v>
      </c>
      <c r="J148" s="334" t="str">
        <f aca="false">IF((E148="s"),G148," ")</f>
        <v> </v>
      </c>
      <c r="K148" s="334" t="str">
        <f aca="false">IF((E148="d"),G148," ")</f>
        <v> </v>
      </c>
      <c r="L148" s="334" t="str">
        <f aca="false">IF((E148="e"),G148," ")</f>
        <v> </v>
      </c>
      <c r="M148" s="334" t="str">
        <f aca="false">IF((E148="p"),G148," ")</f>
        <v> </v>
      </c>
      <c r="N148" s="334" t="str">
        <f aca="false">IF((E148="r"),G148," ")</f>
        <v> </v>
      </c>
      <c r="O148" s="334" t="str">
        <f aca="false">IF((E148="g"),G148," ")</f>
        <v> </v>
      </c>
      <c r="P148" s="334" t="str">
        <f aca="false">IF((E148="m"),G148," ")</f>
        <v> </v>
      </c>
      <c r="Q148" s="334" t="str">
        <f aca="false">IF((E148="t"),G148," ")</f>
        <v> </v>
      </c>
      <c r="R148" s="334" t="str">
        <f aca="false">IF((E148="a"),G148," ")</f>
        <v> </v>
      </c>
      <c r="S148" s="334" t="str">
        <f aca="false">IF((E148="l"),G148," ")</f>
        <v> </v>
      </c>
      <c r="T148" s="334" t="str">
        <f aca="false">IF((E148="b"),G148," ")</f>
        <v> </v>
      </c>
      <c r="U148" s="334" t="str">
        <f aca="false">IF((E148="i"),G148," ")</f>
        <v> </v>
      </c>
      <c r="V148" s="334" t="str">
        <f aca="false">IF((E148="o"),G148," ")</f>
        <v> </v>
      </c>
      <c r="W148" s="334" t="str">
        <f aca="false">IF((E148="f"),G148," ")</f>
        <v> </v>
      </c>
    </row>
    <row r="149" customFormat="false" ht="12.75" hidden="false" customHeight="false" outlineLevel="0" collapsed="false">
      <c r="A149" s="355"/>
      <c r="E149" s="365" t="str">
        <f aca="false">IF((G149&lt;&gt;0),"Enter Letter"," ")</f>
        <v> </v>
      </c>
      <c r="H149" s="338" t="str">
        <f aca="false">IF((G149&lt;&gt;0),IF((D149&gt;0)," ",G149)," ")</f>
        <v> </v>
      </c>
      <c r="I149" s="367" t="str">
        <f aca="false">IF((G149&lt;&gt;0),IF((D149&gt;0)," ",(I$1-A149))," ")</f>
        <v> </v>
      </c>
      <c r="J149" s="334" t="str">
        <f aca="false">IF((E149="s"),G149," ")</f>
        <v> </v>
      </c>
      <c r="K149" s="334" t="str">
        <f aca="false">IF((E149="d"),G149," ")</f>
        <v> </v>
      </c>
      <c r="L149" s="334" t="str">
        <f aca="false">IF((E149="e"),G149," ")</f>
        <v> </v>
      </c>
      <c r="M149" s="334" t="str">
        <f aca="false">IF((E149="p"),G149," ")</f>
        <v> </v>
      </c>
      <c r="N149" s="334" t="str">
        <f aca="false">IF((E149="r"),G149," ")</f>
        <v> </v>
      </c>
      <c r="O149" s="334" t="str">
        <f aca="false">IF((E149="g"),G149," ")</f>
        <v> </v>
      </c>
      <c r="P149" s="334" t="str">
        <f aca="false">IF((E149="m"),G149," ")</f>
        <v> </v>
      </c>
      <c r="Q149" s="334" t="str">
        <f aca="false">IF((E149="t"),G149," ")</f>
        <v> </v>
      </c>
      <c r="R149" s="334" t="str">
        <f aca="false">IF((E149="a"),G149," ")</f>
        <v> </v>
      </c>
      <c r="S149" s="334" t="str">
        <f aca="false">IF((E149="l"),G149," ")</f>
        <v> </v>
      </c>
      <c r="T149" s="334" t="str">
        <f aca="false">IF((E149="b"),G149," ")</f>
        <v> </v>
      </c>
      <c r="U149" s="334" t="str">
        <f aca="false">IF((E149="i"),G149," ")</f>
        <v> </v>
      </c>
      <c r="V149" s="334" t="str">
        <f aca="false">IF((E149="o"),G149," ")</f>
        <v> </v>
      </c>
      <c r="W149" s="334" t="str">
        <f aca="false">IF((E149="f"),G149," ")</f>
        <v> </v>
      </c>
    </row>
    <row r="150" customFormat="false" ht="12.75" hidden="false" customHeight="false" outlineLevel="0" collapsed="false">
      <c r="A150" s="355"/>
      <c r="E150" s="365" t="str">
        <f aca="false">IF((G150&lt;&gt;0),"Enter Letter"," ")</f>
        <v> </v>
      </c>
      <c r="H150" s="338" t="str">
        <f aca="false">IF((G150&lt;&gt;0),IF((D150&gt;0)," ",G150)," ")</f>
        <v> </v>
      </c>
      <c r="I150" s="367" t="str">
        <f aca="false">IF((G150&lt;&gt;0),IF((D150&gt;0)," ",(I$1-A150))," ")</f>
        <v> </v>
      </c>
      <c r="J150" s="334" t="str">
        <f aca="false">IF((E150="s"),G150," ")</f>
        <v> </v>
      </c>
      <c r="K150" s="334" t="str">
        <f aca="false">IF((E150="d"),G150," ")</f>
        <v> </v>
      </c>
      <c r="L150" s="334" t="str">
        <f aca="false">IF((E150="e"),G150," ")</f>
        <v> </v>
      </c>
      <c r="M150" s="334" t="str">
        <f aca="false">IF((E150="p"),G150," ")</f>
        <v> </v>
      </c>
      <c r="N150" s="334" t="str">
        <f aca="false">IF((E150="r"),G150," ")</f>
        <v> </v>
      </c>
      <c r="O150" s="334" t="str">
        <f aca="false">IF((E150="g"),G150," ")</f>
        <v> </v>
      </c>
      <c r="P150" s="334" t="str">
        <f aca="false">IF((E150="m"),G150," ")</f>
        <v> </v>
      </c>
      <c r="Q150" s="334" t="str">
        <f aca="false">IF((E150="t"),G150," ")</f>
        <v> </v>
      </c>
      <c r="R150" s="334" t="str">
        <f aca="false">IF((E150="a"),G150," ")</f>
        <v> </v>
      </c>
      <c r="S150" s="334" t="str">
        <f aca="false">IF((E150="l"),G150," ")</f>
        <v> </v>
      </c>
      <c r="T150" s="334" t="str">
        <f aca="false">IF((E150="b"),G150," ")</f>
        <v> </v>
      </c>
      <c r="U150" s="334" t="str">
        <f aca="false">IF((E150="i"),G150," ")</f>
        <v> </v>
      </c>
      <c r="V150" s="334" t="str">
        <f aca="false">IF((E150="o"),G150," ")</f>
        <v> </v>
      </c>
      <c r="W150" s="334" t="str">
        <f aca="false">IF((E150="f"),G150," ")</f>
        <v> </v>
      </c>
    </row>
    <row r="151" customFormat="false" ht="12.75" hidden="false" customHeight="false" outlineLevel="0" collapsed="false">
      <c r="A151" s="355"/>
      <c r="E151" s="365" t="str">
        <f aca="false">IF((G151&lt;&gt;0),"Enter Letter"," ")</f>
        <v> </v>
      </c>
      <c r="H151" s="338" t="str">
        <f aca="false">IF((G151&lt;&gt;0),IF((D151&gt;0)," ",G151)," ")</f>
        <v> </v>
      </c>
      <c r="I151" s="367" t="str">
        <f aca="false">IF((G151&lt;&gt;0),IF((D151&gt;0)," ",(I$1-A151))," ")</f>
        <v> </v>
      </c>
      <c r="J151" s="334" t="str">
        <f aca="false">IF((E151="s"),G151," ")</f>
        <v> </v>
      </c>
      <c r="K151" s="334" t="str">
        <f aca="false">IF((E151="d"),G151," ")</f>
        <v> </v>
      </c>
      <c r="L151" s="334" t="str">
        <f aca="false">IF((E151="e"),G151," ")</f>
        <v> </v>
      </c>
      <c r="M151" s="334" t="str">
        <f aca="false">IF((E151="p"),G151," ")</f>
        <v> </v>
      </c>
      <c r="N151" s="334" t="str">
        <f aca="false">IF((E151="r"),G151," ")</f>
        <v> </v>
      </c>
      <c r="O151" s="334" t="str">
        <f aca="false">IF((E151="g"),G151," ")</f>
        <v> </v>
      </c>
      <c r="P151" s="334" t="str">
        <f aca="false">IF((E151="m"),G151," ")</f>
        <v> </v>
      </c>
      <c r="Q151" s="334" t="str">
        <f aca="false">IF((E151="t"),G151," ")</f>
        <v> </v>
      </c>
      <c r="R151" s="334" t="str">
        <f aca="false">IF((E151="a"),G151," ")</f>
        <v> </v>
      </c>
      <c r="S151" s="334" t="str">
        <f aca="false">IF((E151="l"),G151," ")</f>
        <v> </v>
      </c>
      <c r="T151" s="334" t="str">
        <f aca="false">IF((E151="b"),G151," ")</f>
        <v> </v>
      </c>
      <c r="U151" s="334" t="str">
        <f aca="false">IF((E151="i"),G151," ")</f>
        <v> </v>
      </c>
      <c r="V151" s="334" t="str">
        <f aca="false">IF((E151="o"),G151," ")</f>
        <v> </v>
      </c>
      <c r="W151" s="334" t="str">
        <f aca="false">IF((E151="f"),G151," ")</f>
        <v> </v>
      </c>
    </row>
    <row r="152" customFormat="false" ht="12.75" hidden="false" customHeight="false" outlineLevel="0" collapsed="false">
      <c r="A152" s="355"/>
      <c r="E152" s="365" t="str">
        <f aca="false">IF((G152&lt;&gt;0),"Enter Letter"," ")</f>
        <v> </v>
      </c>
      <c r="H152" s="338" t="str">
        <f aca="false">IF((G152&lt;&gt;0),IF((D152&gt;0)," ",G152)," ")</f>
        <v> </v>
      </c>
      <c r="I152" s="367" t="str">
        <f aca="false">IF((G152&lt;&gt;0),IF((D152&gt;0)," ",(I$1-A152))," ")</f>
        <v> </v>
      </c>
      <c r="J152" s="334" t="str">
        <f aca="false">IF((E152="s"),G152," ")</f>
        <v> </v>
      </c>
      <c r="K152" s="334" t="str">
        <f aca="false">IF((E152="d"),G152," ")</f>
        <v> </v>
      </c>
      <c r="L152" s="334" t="str">
        <f aca="false">IF((E152="e"),G152," ")</f>
        <v> </v>
      </c>
      <c r="M152" s="334" t="str">
        <f aca="false">IF((E152="p"),G152," ")</f>
        <v> </v>
      </c>
      <c r="N152" s="334" t="str">
        <f aca="false">IF((E152="r"),G152," ")</f>
        <v> </v>
      </c>
      <c r="O152" s="334" t="str">
        <f aca="false">IF((E152="g"),G152," ")</f>
        <v> </v>
      </c>
      <c r="P152" s="334" t="str">
        <f aca="false">IF((E152="m"),G152," ")</f>
        <v> </v>
      </c>
      <c r="Q152" s="334" t="str">
        <f aca="false">IF((E152="t"),G152," ")</f>
        <v> </v>
      </c>
      <c r="R152" s="334" t="str">
        <f aca="false">IF((E152="a"),G152," ")</f>
        <v> </v>
      </c>
      <c r="S152" s="334" t="str">
        <f aca="false">IF((E152="l"),G152," ")</f>
        <v> </v>
      </c>
      <c r="T152" s="334" t="str">
        <f aca="false">IF((E152="b"),G152," ")</f>
        <v> </v>
      </c>
      <c r="U152" s="334" t="str">
        <f aca="false">IF((E152="i"),G152," ")</f>
        <v> </v>
      </c>
      <c r="V152" s="334" t="str">
        <f aca="false">IF((E152="o"),G152," ")</f>
        <v> </v>
      </c>
      <c r="W152" s="334" t="str">
        <f aca="false">IF((E152="f"),G152," ")</f>
        <v> </v>
      </c>
    </row>
    <row r="153" customFormat="false" ht="12.75" hidden="false" customHeight="false" outlineLevel="0" collapsed="false">
      <c r="A153" s="355"/>
      <c r="E153" s="365" t="str">
        <f aca="false">IF((G153&lt;&gt;0),"Enter Letter"," ")</f>
        <v> </v>
      </c>
      <c r="H153" s="338" t="str">
        <f aca="false">IF((G153&lt;&gt;0),IF((D153&gt;0)," ",G153)," ")</f>
        <v> </v>
      </c>
      <c r="I153" s="367" t="str">
        <f aca="false">IF((G153&lt;&gt;0),IF((D153&gt;0)," ",(I$1-A153))," ")</f>
        <v> </v>
      </c>
      <c r="J153" s="334" t="str">
        <f aca="false">IF((E153="s"),G153," ")</f>
        <v> </v>
      </c>
      <c r="K153" s="334" t="str">
        <f aca="false">IF((E153="d"),G153," ")</f>
        <v> </v>
      </c>
      <c r="L153" s="334" t="str">
        <f aca="false">IF((E153="e"),G153," ")</f>
        <v> </v>
      </c>
      <c r="M153" s="334" t="str">
        <f aca="false">IF((E153="p"),G153," ")</f>
        <v> </v>
      </c>
      <c r="N153" s="334" t="str">
        <f aca="false">IF((E153="r"),G153," ")</f>
        <v> </v>
      </c>
      <c r="O153" s="334" t="str">
        <f aca="false">IF((E153="g"),G153," ")</f>
        <v> </v>
      </c>
      <c r="P153" s="334" t="str">
        <f aca="false">IF((E153="m"),G153," ")</f>
        <v> </v>
      </c>
      <c r="Q153" s="334" t="str">
        <f aca="false">IF((E153="t"),G153," ")</f>
        <v> </v>
      </c>
      <c r="R153" s="334" t="str">
        <f aca="false">IF((E153="a"),G153," ")</f>
        <v> </v>
      </c>
      <c r="S153" s="334" t="str">
        <f aca="false">IF((E153="l"),G153," ")</f>
        <v> </v>
      </c>
      <c r="T153" s="334" t="str">
        <f aca="false">IF((E153="b"),G153," ")</f>
        <v> </v>
      </c>
      <c r="U153" s="334" t="str">
        <f aca="false">IF((E153="i"),G153," ")</f>
        <v> </v>
      </c>
      <c r="V153" s="334" t="str">
        <f aca="false">IF((E153="o"),G153," ")</f>
        <v> </v>
      </c>
      <c r="W153" s="334" t="str">
        <f aca="false">IF((E153="f"),G153," ")</f>
        <v> </v>
      </c>
    </row>
    <row r="154" customFormat="false" ht="12.75" hidden="false" customHeight="false" outlineLevel="0" collapsed="false">
      <c r="A154" s="355"/>
      <c r="E154" s="365" t="str">
        <f aca="false">IF((G154&lt;&gt;0),"Enter Letter"," ")</f>
        <v> </v>
      </c>
      <c r="H154" s="338" t="str">
        <f aca="false">IF((G154&lt;&gt;0),IF((D154&gt;0)," ",G154)," ")</f>
        <v> </v>
      </c>
      <c r="I154" s="367" t="str">
        <f aca="false">IF((G154&lt;&gt;0),IF((D154&gt;0)," ",(I$1-A154))," ")</f>
        <v> </v>
      </c>
      <c r="J154" s="334" t="str">
        <f aca="false">IF((E154="s"),G154," ")</f>
        <v> </v>
      </c>
      <c r="K154" s="334" t="str">
        <f aca="false">IF((E154="d"),G154," ")</f>
        <v> </v>
      </c>
      <c r="L154" s="334" t="str">
        <f aca="false">IF((E154="e"),G154," ")</f>
        <v> </v>
      </c>
      <c r="M154" s="334" t="str">
        <f aca="false">IF((E154="p"),G154," ")</f>
        <v> </v>
      </c>
      <c r="N154" s="334" t="str">
        <f aca="false">IF((E154="r"),G154," ")</f>
        <v> </v>
      </c>
      <c r="O154" s="334" t="str">
        <f aca="false">IF((E154="g"),G154," ")</f>
        <v> </v>
      </c>
      <c r="P154" s="334" t="str">
        <f aca="false">IF((E154="m"),G154," ")</f>
        <v> </v>
      </c>
      <c r="Q154" s="334" t="str">
        <f aca="false">IF((E154="t"),G154," ")</f>
        <v> </v>
      </c>
      <c r="R154" s="334" t="str">
        <f aca="false">IF((E154="a"),G154," ")</f>
        <v> </v>
      </c>
      <c r="S154" s="334" t="str">
        <f aca="false">IF((E154="l"),G154," ")</f>
        <v> </v>
      </c>
      <c r="T154" s="334" t="str">
        <f aca="false">IF((E154="b"),G154," ")</f>
        <v> </v>
      </c>
      <c r="U154" s="334" t="str">
        <f aca="false">IF((E154="i"),G154," ")</f>
        <v> </v>
      </c>
      <c r="V154" s="334" t="str">
        <f aca="false">IF((E154="o"),G154," ")</f>
        <v> </v>
      </c>
      <c r="W154" s="334" t="str">
        <f aca="false">IF((E154="f"),G154," ")</f>
        <v> </v>
      </c>
    </row>
    <row r="155" customFormat="false" ht="12.75" hidden="false" customHeight="false" outlineLevel="0" collapsed="false">
      <c r="A155" s="355"/>
      <c r="E155" s="365" t="str">
        <f aca="false">IF((G155&lt;&gt;0),"Enter Letter"," ")</f>
        <v> </v>
      </c>
      <c r="H155" s="338" t="str">
        <f aca="false">IF((G155&lt;&gt;0),IF((D155&gt;0)," ",G155)," ")</f>
        <v> </v>
      </c>
      <c r="I155" s="367" t="str">
        <f aca="false">IF((G155&lt;&gt;0),IF((D155&gt;0)," ",(I$1-A155))," ")</f>
        <v> </v>
      </c>
      <c r="J155" s="334" t="str">
        <f aca="false">IF((E155="s"),G155," ")</f>
        <v> </v>
      </c>
      <c r="K155" s="334" t="str">
        <f aca="false">IF((E155="d"),G155," ")</f>
        <v> </v>
      </c>
      <c r="L155" s="334" t="str">
        <f aca="false">IF((E155="e"),G155," ")</f>
        <v> </v>
      </c>
      <c r="M155" s="334" t="str">
        <f aca="false">IF((E155="p"),G155," ")</f>
        <v> </v>
      </c>
      <c r="N155" s="334" t="str">
        <f aca="false">IF((E155="r"),G155," ")</f>
        <v> </v>
      </c>
      <c r="O155" s="334" t="str">
        <f aca="false">IF((E155="g"),G155," ")</f>
        <v> </v>
      </c>
      <c r="P155" s="334" t="str">
        <f aca="false">IF((E155="m"),G155," ")</f>
        <v> </v>
      </c>
      <c r="Q155" s="334" t="str">
        <f aca="false">IF((E155="t"),G155," ")</f>
        <v> </v>
      </c>
      <c r="R155" s="334" t="str">
        <f aca="false">IF((E155="a"),G155," ")</f>
        <v> </v>
      </c>
      <c r="S155" s="334" t="str">
        <f aca="false">IF((E155="l"),G155," ")</f>
        <v> </v>
      </c>
      <c r="T155" s="334" t="str">
        <f aca="false">IF((E155="b"),G155," ")</f>
        <v> </v>
      </c>
      <c r="U155" s="334" t="str">
        <f aca="false">IF((E155="i"),G155," ")</f>
        <v> </v>
      </c>
      <c r="V155" s="334" t="str">
        <f aca="false">IF((E155="o"),G155," ")</f>
        <v> </v>
      </c>
      <c r="W155" s="334" t="str">
        <f aca="false">IF((E155="f"),G155," ")</f>
        <v> </v>
      </c>
    </row>
    <row r="156" customFormat="false" ht="12.75" hidden="false" customHeight="false" outlineLevel="0" collapsed="false">
      <c r="A156" s="355"/>
      <c r="E156" s="365" t="str">
        <f aca="false">IF((G156&lt;&gt;0),"Enter Letter"," ")</f>
        <v> </v>
      </c>
      <c r="H156" s="338" t="str">
        <f aca="false">IF((G156&lt;&gt;0),IF((D156&gt;0)," ",G156)," ")</f>
        <v> </v>
      </c>
      <c r="I156" s="367" t="str">
        <f aca="false">IF((G156&lt;&gt;0),IF((D156&gt;0)," ",(I$1-A156))," ")</f>
        <v> </v>
      </c>
      <c r="J156" s="334" t="str">
        <f aca="false">IF((E156="s"),G156," ")</f>
        <v> </v>
      </c>
      <c r="K156" s="334" t="str">
        <f aca="false">IF((E156="d"),G156," ")</f>
        <v> </v>
      </c>
      <c r="L156" s="334" t="str">
        <f aca="false">IF((E156="e"),G156," ")</f>
        <v> </v>
      </c>
      <c r="M156" s="334" t="str">
        <f aca="false">IF((E156="p"),G156," ")</f>
        <v> </v>
      </c>
      <c r="N156" s="334" t="str">
        <f aca="false">IF((E156="r"),G156," ")</f>
        <v> </v>
      </c>
      <c r="O156" s="334" t="str">
        <f aca="false">IF((E156="g"),G156," ")</f>
        <v> </v>
      </c>
      <c r="P156" s="334" t="str">
        <f aca="false">IF((E156="m"),G156," ")</f>
        <v> </v>
      </c>
      <c r="Q156" s="334" t="str">
        <f aca="false">IF((E156="t"),G156," ")</f>
        <v> </v>
      </c>
      <c r="R156" s="334" t="str">
        <f aca="false">IF((E156="a"),G156," ")</f>
        <v> </v>
      </c>
      <c r="S156" s="334" t="str">
        <f aca="false">IF((E156="l"),G156," ")</f>
        <v> </v>
      </c>
      <c r="T156" s="334" t="str">
        <f aca="false">IF((E156="b"),G156," ")</f>
        <v> </v>
      </c>
      <c r="U156" s="334" t="str">
        <f aca="false">IF((E156="i"),G156," ")</f>
        <v> </v>
      </c>
      <c r="V156" s="334" t="str">
        <f aca="false">IF((E156="o"),G156," ")</f>
        <v> </v>
      </c>
      <c r="W156" s="334" t="str">
        <f aca="false">IF((E156="f"),G156," ")</f>
        <v> </v>
      </c>
    </row>
    <row r="157" customFormat="false" ht="12.75" hidden="false" customHeight="false" outlineLevel="0" collapsed="false">
      <c r="A157" s="355"/>
      <c r="E157" s="365" t="str">
        <f aca="false">IF((G157&lt;&gt;0),"Enter Letter"," ")</f>
        <v> </v>
      </c>
      <c r="H157" s="338" t="str">
        <f aca="false">IF((G157&lt;&gt;0),IF((D157&gt;0)," ",G157)," ")</f>
        <v> </v>
      </c>
      <c r="I157" s="367" t="str">
        <f aca="false">IF((G157&lt;&gt;0),IF((D157&gt;0)," ",(I$1-A157))," ")</f>
        <v> </v>
      </c>
      <c r="J157" s="334" t="str">
        <f aca="false">IF((E157="s"),G157," ")</f>
        <v> </v>
      </c>
      <c r="K157" s="334" t="str">
        <f aca="false">IF((E157="d"),G157," ")</f>
        <v> </v>
      </c>
      <c r="L157" s="334" t="str">
        <f aca="false">IF((E157="e"),G157," ")</f>
        <v> </v>
      </c>
      <c r="M157" s="334" t="str">
        <f aca="false">IF((E157="p"),G157," ")</f>
        <v> </v>
      </c>
      <c r="N157" s="334" t="str">
        <f aca="false">IF((E157="r"),G157," ")</f>
        <v> </v>
      </c>
      <c r="O157" s="334" t="str">
        <f aca="false">IF((E157="g"),G157," ")</f>
        <v> </v>
      </c>
      <c r="P157" s="334" t="str">
        <f aca="false">IF((E157="m"),G157," ")</f>
        <v> </v>
      </c>
      <c r="Q157" s="334" t="str">
        <f aca="false">IF((E157="t"),G157," ")</f>
        <v> </v>
      </c>
      <c r="R157" s="334" t="str">
        <f aca="false">IF((E157="a"),G157," ")</f>
        <v> </v>
      </c>
      <c r="S157" s="334" t="str">
        <f aca="false">IF((E157="l"),G157," ")</f>
        <v> </v>
      </c>
      <c r="T157" s="334" t="str">
        <f aca="false">IF((E157="b"),G157," ")</f>
        <v> </v>
      </c>
      <c r="U157" s="334" t="str">
        <f aca="false">IF((E157="i"),G157," ")</f>
        <v> </v>
      </c>
      <c r="V157" s="334" t="str">
        <f aca="false">IF((E157="o"),G157," ")</f>
        <v> </v>
      </c>
      <c r="W157" s="334" t="str">
        <f aca="false">IF((E157="f"),G157," ")</f>
        <v> </v>
      </c>
    </row>
    <row r="158" customFormat="false" ht="12.75" hidden="false" customHeight="false" outlineLevel="0" collapsed="false">
      <c r="A158" s="355"/>
      <c r="E158" s="365" t="str">
        <f aca="false">IF((G158&lt;&gt;0),"Enter Letter"," ")</f>
        <v> </v>
      </c>
      <c r="H158" s="338" t="str">
        <f aca="false">IF((G158&lt;&gt;0),IF((D158&gt;0)," ",G158)," ")</f>
        <v> </v>
      </c>
      <c r="I158" s="367" t="str">
        <f aca="false">IF((G158&lt;&gt;0),IF((D158&gt;0)," ",(I$1-A158))," ")</f>
        <v> </v>
      </c>
      <c r="J158" s="334" t="str">
        <f aca="false">IF((E158="s"),G158," ")</f>
        <v> </v>
      </c>
      <c r="K158" s="334" t="str">
        <f aca="false">IF((E158="d"),G158," ")</f>
        <v> </v>
      </c>
      <c r="L158" s="334" t="str">
        <f aca="false">IF((E158="e"),G158," ")</f>
        <v> </v>
      </c>
      <c r="M158" s="334" t="str">
        <f aca="false">IF((E158="p"),G158," ")</f>
        <v> </v>
      </c>
      <c r="N158" s="334" t="str">
        <f aca="false">IF((E158="r"),G158," ")</f>
        <v> </v>
      </c>
      <c r="O158" s="334" t="str">
        <f aca="false">IF((E158="g"),G158," ")</f>
        <v> </v>
      </c>
      <c r="P158" s="334" t="str">
        <f aca="false">IF((E158="m"),G158," ")</f>
        <v> </v>
      </c>
      <c r="Q158" s="334" t="str">
        <f aca="false">IF((E158="t"),G158," ")</f>
        <v> </v>
      </c>
      <c r="R158" s="334" t="str">
        <f aca="false">IF((E158="a"),G158," ")</f>
        <v> </v>
      </c>
      <c r="S158" s="334" t="str">
        <f aca="false">IF((E158="l"),G158," ")</f>
        <v> </v>
      </c>
      <c r="T158" s="334" t="str">
        <f aca="false">IF((E158="b"),G158," ")</f>
        <v> </v>
      </c>
      <c r="U158" s="334" t="str">
        <f aca="false">IF((E158="i"),G158," ")</f>
        <v> </v>
      </c>
      <c r="V158" s="334" t="str">
        <f aca="false">IF((E158="o"),G158," ")</f>
        <v> </v>
      </c>
      <c r="W158" s="334" t="str">
        <f aca="false">IF((E158="f"),G158," ")</f>
        <v> </v>
      </c>
    </row>
    <row r="159" customFormat="false" ht="12.75" hidden="false" customHeight="false" outlineLevel="0" collapsed="false">
      <c r="A159" s="355"/>
      <c r="E159" s="365" t="str">
        <f aca="false">IF((G159&lt;&gt;0),"Enter Letter"," ")</f>
        <v> </v>
      </c>
      <c r="H159" s="338" t="str">
        <f aca="false">IF((G159&lt;&gt;0),IF((D159&gt;0)," ",G159)," ")</f>
        <v> </v>
      </c>
      <c r="I159" s="367" t="str">
        <f aca="false">IF((G159&lt;&gt;0),IF((D159&gt;0)," ",(I$1-A159))," ")</f>
        <v> </v>
      </c>
      <c r="J159" s="334" t="str">
        <f aca="false">IF((E159="s"),G159," ")</f>
        <v> </v>
      </c>
      <c r="K159" s="334" t="str">
        <f aca="false">IF((E159="d"),G159," ")</f>
        <v> </v>
      </c>
      <c r="L159" s="334" t="str">
        <f aca="false">IF((E159="e"),G159," ")</f>
        <v> </v>
      </c>
      <c r="M159" s="334" t="str">
        <f aca="false">IF((E159="p"),G159," ")</f>
        <v> </v>
      </c>
      <c r="N159" s="334" t="str">
        <f aca="false">IF((E159="r"),G159," ")</f>
        <v> </v>
      </c>
      <c r="O159" s="334" t="str">
        <f aca="false">IF((E159="g"),G159," ")</f>
        <v> </v>
      </c>
      <c r="P159" s="334" t="str">
        <f aca="false">IF((E159="m"),G159," ")</f>
        <v> </v>
      </c>
      <c r="Q159" s="334" t="str">
        <f aca="false">IF((E159="t"),G159," ")</f>
        <v> </v>
      </c>
      <c r="R159" s="334" t="str">
        <f aca="false">IF((E159="a"),G159," ")</f>
        <v> </v>
      </c>
      <c r="S159" s="334" t="str">
        <f aca="false">IF((E159="l"),G159," ")</f>
        <v> </v>
      </c>
      <c r="T159" s="334" t="str">
        <f aca="false">IF((E159="b"),G159," ")</f>
        <v> </v>
      </c>
      <c r="U159" s="334" t="str">
        <f aca="false">IF((E159="i"),G159," ")</f>
        <v> </v>
      </c>
      <c r="V159" s="334" t="str">
        <f aca="false">IF((E159="o"),G159," ")</f>
        <v> </v>
      </c>
      <c r="W159" s="334" t="str">
        <f aca="false">IF((E159="f"),G159," ")</f>
        <v> </v>
      </c>
    </row>
    <row r="160" customFormat="false" ht="12.75" hidden="false" customHeight="false" outlineLevel="0" collapsed="false">
      <c r="A160" s="355"/>
      <c r="E160" s="365" t="str">
        <f aca="false">IF((G160&lt;&gt;0),"Enter Letter"," ")</f>
        <v> </v>
      </c>
      <c r="H160" s="338" t="str">
        <f aca="false">IF((G160&lt;&gt;0),IF((D160&gt;0)," ",G160)," ")</f>
        <v> </v>
      </c>
      <c r="I160" s="367" t="str">
        <f aca="false">IF((G160&lt;&gt;0),IF((D160&gt;0)," ",(I$1-A160))," ")</f>
        <v> </v>
      </c>
      <c r="J160" s="334" t="str">
        <f aca="false">IF((E160="s"),G160," ")</f>
        <v> </v>
      </c>
      <c r="K160" s="334" t="str">
        <f aca="false">IF((E160="d"),G160," ")</f>
        <v> </v>
      </c>
      <c r="L160" s="334" t="str">
        <f aca="false">IF((E160="e"),G160," ")</f>
        <v> </v>
      </c>
      <c r="M160" s="334" t="str">
        <f aca="false">IF((E160="p"),G160," ")</f>
        <v> </v>
      </c>
      <c r="N160" s="334" t="str">
        <f aca="false">IF((E160="r"),G160," ")</f>
        <v> </v>
      </c>
      <c r="O160" s="334" t="str">
        <f aca="false">IF((E160="g"),G160," ")</f>
        <v> </v>
      </c>
      <c r="P160" s="334" t="str">
        <f aca="false">IF((E160="m"),G160," ")</f>
        <v> </v>
      </c>
      <c r="Q160" s="334" t="str">
        <f aca="false">IF((E160="t"),G160," ")</f>
        <v> </v>
      </c>
      <c r="R160" s="334" t="str">
        <f aca="false">IF((E160="a"),G160," ")</f>
        <v> </v>
      </c>
      <c r="S160" s="334" t="str">
        <f aca="false">IF((E160="l"),G160," ")</f>
        <v> </v>
      </c>
      <c r="T160" s="334" t="str">
        <f aca="false">IF((E160="b"),G160," ")</f>
        <v> </v>
      </c>
      <c r="U160" s="334" t="str">
        <f aca="false">IF((E160="i"),G160," ")</f>
        <v> </v>
      </c>
      <c r="V160" s="334" t="str">
        <f aca="false">IF((E160="o"),G160," ")</f>
        <v> </v>
      </c>
      <c r="W160" s="334" t="str">
        <f aca="false">IF((E160="f"),G160," ")</f>
        <v> </v>
      </c>
    </row>
    <row r="161" customFormat="false" ht="12.75" hidden="false" customHeight="false" outlineLevel="0" collapsed="false">
      <c r="A161" s="355"/>
      <c r="E161" s="365" t="str">
        <f aca="false">IF((G161&lt;&gt;0),"Enter Letter"," ")</f>
        <v> </v>
      </c>
      <c r="H161" s="338" t="str">
        <f aca="false">IF((G161&lt;&gt;0),IF((D161&gt;0)," ",G161)," ")</f>
        <v> </v>
      </c>
      <c r="I161" s="367" t="str">
        <f aca="false">IF((G161&lt;&gt;0),IF((D161&gt;0)," ",(I$1-A161))," ")</f>
        <v> </v>
      </c>
      <c r="J161" s="334" t="str">
        <f aca="false">IF((E161="s"),G161," ")</f>
        <v> </v>
      </c>
      <c r="K161" s="334" t="str">
        <f aca="false">IF((E161="d"),G161," ")</f>
        <v> </v>
      </c>
      <c r="L161" s="334" t="str">
        <f aca="false">IF((E161="e"),G161," ")</f>
        <v> </v>
      </c>
      <c r="M161" s="334" t="str">
        <f aca="false">IF((E161="p"),G161," ")</f>
        <v> </v>
      </c>
      <c r="N161" s="334" t="str">
        <f aca="false">IF((E161="r"),G161," ")</f>
        <v> </v>
      </c>
      <c r="O161" s="334" t="str">
        <f aca="false">IF((E161="g"),G161," ")</f>
        <v> </v>
      </c>
      <c r="P161" s="334" t="str">
        <f aca="false">IF((E161="m"),G161," ")</f>
        <v> </v>
      </c>
      <c r="Q161" s="334" t="str">
        <f aca="false">IF((E161="t"),G161," ")</f>
        <v> </v>
      </c>
      <c r="R161" s="334" t="str">
        <f aca="false">IF((E161="a"),G161," ")</f>
        <v> </v>
      </c>
      <c r="S161" s="334" t="str">
        <f aca="false">IF((E161="l"),G161," ")</f>
        <v> </v>
      </c>
      <c r="T161" s="334" t="str">
        <f aca="false">IF((E161="b"),G161," ")</f>
        <v> </v>
      </c>
      <c r="U161" s="334" t="str">
        <f aca="false">IF((E161="i"),G161," ")</f>
        <v> </v>
      </c>
      <c r="V161" s="334" t="str">
        <f aca="false">IF((E161="o"),G161," ")</f>
        <v> </v>
      </c>
      <c r="W161" s="334" t="str">
        <f aca="false">IF((E161="f"),G161," ")</f>
        <v> </v>
      </c>
    </row>
    <row r="162" customFormat="false" ht="12.75" hidden="false" customHeight="false" outlineLevel="0" collapsed="false">
      <c r="A162" s="355"/>
      <c r="E162" s="365" t="str">
        <f aca="false">IF((G162&lt;&gt;0),"Enter Letter"," ")</f>
        <v> </v>
      </c>
      <c r="H162" s="338" t="str">
        <f aca="false">IF((G162&lt;&gt;0),IF((D162&gt;0)," ",G162)," ")</f>
        <v> </v>
      </c>
      <c r="I162" s="367" t="str">
        <f aca="false">IF((G162&lt;&gt;0),IF((D162&gt;0)," ",(I$1-A162))," ")</f>
        <v> </v>
      </c>
      <c r="J162" s="334" t="str">
        <f aca="false">IF((E162="s"),G162," ")</f>
        <v> </v>
      </c>
      <c r="K162" s="334" t="str">
        <f aca="false">IF((E162="d"),G162," ")</f>
        <v> </v>
      </c>
      <c r="L162" s="334" t="str">
        <f aca="false">IF((E162="e"),G162," ")</f>
        <v> </v>
      </c>
      <c r="M162" s="334" t="str">
        <f aca="false">IF((E162="p"),G162," ")</f>
        <v> </v>
      </c>
      <c r="N162" s="334" t="str">
        <f aca="false">IF((E162="r"),G162," ")</f>
        <v> </v>
      </c>
      <c r="O162" s="334" t="str">
        <f aca="false">IF((E162="g"),G162," ")</f>
        <v> </v>
      </c>
      <c r="P162" s="334" t="str">
        <f aca="false">IF((E162="m"),G162," ")</f>
        <v> </v>
      </c>
      <c r="Q162" s="334" t="str">
        <f aca="false">IF((E162="t"),G162," ")</f>
        <v> </v>
      </c>
      <c r="R162" s="334" t="str">
        <f aca="false">IF((E162="a"),G162," ")</f>
        <v> </v>
      </c>
      <c r="S162" s="334" t="str">
        <f aca="false">IF((E162="l"),G162," ")</f>
        <v> </v>
      </c>
      <c r="T162" s="334" t="str">
        <f aca="false">IF((E162="b"),G162," ")</f>
        <v> </v>
      </c>
      <c r="U162" s="334" t="str">
        <f aca="false">IF((E162="i"),G162," ")</f>
        <v> </v>
      </c>
      <c r="V162" s="334" t="str">
        <f aca="false">IF((E162="o"),G162," ")</f>
        <v> </v>
      </c>
      <c r="W162" s="334" t="str">
        <f aca="false">IF((E162="f"),G162," ")</f>
        <v> </v>
      </c>
    </row>
    <row r="163" customFormat="false" ht="12.75" hidden="false" customHeight="false" outlineLevel="0" collapsed="false">
      <c r="A163" s="355"/>
      <c r="E163" s="365" t="str">
        <f aca="false">IF((G163&lt;&gt;0),"Enter Letter"," ")</f>
        <v> </v>
      </c>
      <c r="H163" s="338" t="str">
        <f aca="false">IF((G163&lt;&gt;0),IF((D163&gt;0)," ",G163)," ")</f>
        <v> </v>
      </c>
      <c r="I163" s="367" t="str">
        <f aca="false">IF((G163&lt;&gt;0),IF((D163&gt;0)," ",(I$1-A163))," ")</f>
        <v> </v>
      </c>
      <c r="J163" s="334" t="str">
        <f aca="false">IF((E163="s"),G163," ")</f>
        <v> </v>
      </c>
      <c r="K163" s="334" t="str">
        <f aca="false">IF((E163="d"),G163," ")</f>
        <v> </v>
      </c>
      <c r="L163" s="334" t="str">
        <f aca="false">IF((E163="e"),G163," ")</f>
        <v> </v>
      </c>
      <c r="M163" s="334" t="str">
        <f aca="false">IF((E163="p"),G163," ")</f>
        <v> </v>
      </c>
      <c r="N163" s="334" t="str">
        <f aca="false">IF((E163="r"),G163," ")</f>
        <v> </v>
      </c>
      <c r="O163" s="334" t="str">
        <f aca="false">IF((E163="g"),G163," ")</f>
        <v> </v>
      </c>
      <c r="P163" s="334" t="str">
        <f aca="false">IF((E163="m"),G163," ")</f>
        <v> </v>
      </c>
      <c r="Q163" s="334" t="str">
        <f aca="false">IF((E163="t"),G163," ")</f>
        <v> </v>
      </c>
      <c r="R163" s="334" t="str">
        <f aca="false">IF((E163="a"),G163," ")</f>
        <v> </v>
      </c>
      <c r="S163" s="334" t="str">
        <f aca="false">IF((E163="l"),G163," ")</f>
        <v> </v>
      </c>
      <c r="T163" s="334" t="str">
        <f aca="false">IF((E163="b"),G163," ")</f>
        <v> </v>
      </c>
      <c r="U163" s="334" t="str">
        <f aca="false">IF((E163="i"),G163," ")</f>
        <v> </v>
      </c>
      <c r="V163" s="334" t="str">
        <f aca="false">IF((E163="o"),G163," ")</f>
        <v> </v>
      </c>
      <c r="W163" s="334" t="str">
        <f aca="false">IF((E163="f"),G163," ")</f>
        <v> </v>
      </c>
    </row>
    <row r="164" customFormat="false" ht="12.75" hidden="false" customHeight="false" outlineLevel="0" collapsed="false">
      <c r="A164" s="355"/>
      <c r="E164" s="365" t="str">
        <f aca="false">IF((G164&lt;&gt;0),"Enter Letter"," ")</f>
        <v> </v>
      </c>
      <c r="H164" s="338" t="str">
        <f aca="false">IF((G164&lt;&gt;0),IF((D164&gt;0)," ",G164)," ")</f>
        <v> </v>
      </c>
      <c r="I164" s="367" t="str">
        <f aca="false">IF((G164&lt;&gt;0),IF((D164&gt;0)," ",(I$1-A164))," ")</f>
        <v> </v>
      </c>
      <c r="J164" s="334" t="str">
        <f aca="false">IF((E164="s"),G164," ")</f>
        <v> </v>
      </c>
      <c r="K164" s="334" t="str">
        <f aca="false">IF((E164="d"),G164," ")</f>
        <v> </v>
      </c>
      <c r="L164" s="334" t="str">
        <f aca="false">IF((E164="e"),G164," ")</f>
        <v> </v>
      </c>
      <c r="M164" s="334" t="str">
        <f aca="false">IF((E164="p"),G164," ")</f>
        <v> </v>
      </c>
      <c r="N164" s="334" t="str">
        <f aca="false">IF((E164="r"),G164," ")</f>
        <v> </v>
      </c>
      <c r="O164" s="334" t="str">
        <f aca="false">IF((E164="g"),G164," ")</f>
        <v> </v>
      </c>
      <c r="P164" s="334" t="str">
        <f aca="false">IF((E164="m"),G164," ")</f>
        <v> </v>
      </c>
      <c r="Q164" s="334" t="str">
        <f aca="false">IF((E164="t"),G164," ")</f>
        <v> </v>
      </c>
      <c r="R164" s="334" t="str">
        <f aca="false">IF((E164="a"),G164," ")</f>
        <v> </v>
      </c>
      <c r="S164" s="334" t="str">
        <f aca="false">IF((E164="l"),G164," ")</f>
        <v> </v>
      </c>
      <c r="T164" s="334" t="str">
        <f aca="false">IF((E164="b"),G164," ")</f>
        <v> </v>
      </c>
      <c r="U164" s="334" t="str">
        <f aca="false">IF((E164="i"),G164," ")</f>
        <v> </v>
      </c>
      <c r="V164" s="334" t="str">
        <f aca="false">IF((E164="o"),G164," ")</f>
        <v> </v>
      </c>
      <c r="W164" s="334" t="str">
        <f aca="false">IF((E164="f"),G164," ")</f>
        <v> </v>
      </c>
    </row>
    <row r="165" customFormat="false" ht="12.75" hidden="false" customHeight="false" outlineLevel="0" collapsed="false">
      <c r="A165" s="355"/>
      <c r="E165" s="365" t="str">
        <f aca="false">IF((G165&lt;&gt;0),"Enter Letter"," ")</f>
        <v> </v>
      </c>
      <c r="H165" s="338" t="str">
        <f aca="false">IF((G165&lt;&gt;0),IF((D165&gt;0)," ",G165)," ")</f>
        <v> </v>
      </c>
      <c r="I165" s="367" t="str">
        <f aca="false">IF((G165&lt;&gt;0),IF((D165&gt;0)," ",(I$1-A165))," ")</f>
        <v> </v>
      </c>
      <c r="J165" s="334" t="str">
        <f aca="false">IF((E165="s"),G165," ")</f>
        <v> </v>
      </c>
      <c r="K165" s="334" t="str">
        <f aca="false">IF((E165="d"),G165," ")</f>
        <v> </v>
      </c>
      <c r="L165" s="334" t="str">
        <f aca="false">IF((E165="e"),G165," ")</f>
        <v> </v>
      </c>
      <c r="M165" s="334" t="str">
        <f aca="false">IF((E165="p"),G165," ")</f>
        <v> </v>
      </c>
      <c r="N165" s="334" t="str">
        <f aca="false">IF((E165="r"),G165," ")</f>
        <v> </v>
      </c>
      <c r="O165" s="334" t="str">
        <f aca="false">IF((E165="g"),G165," ")</f>
        <v> </v>
      </c>
      <c r="P165" s="334" t="str">
        <f aca="false">IF((E165="m"),G165," ")</f>
        <v> </v>
      </c>
      <c r="Q165" s="334" t="str">
        <f aca="false">IF((E165="t"),G165," ")</f>
        <v> </v>
      </c>
      <c r="R165" s="334" t="str">
        <f aca="false">IF((E165="a"),G165," ")</f>
        <v> </v>
      </c>
      <c r="S165" s="334" t="str">
        <f aca="false">IF((E165="l"),G165," ")</f>
        <v> </v>
      </c>
      <c r="T165" s="334" t="str">
        <f aca="false">IF((E165="b"),G165," ")</f>
        <v> </v>
      </c>
      <c r="U165" s="334" t="str">
        <f aca="false">IF((E165="i"),G165," ")</f>
        <v> </v>
      </c>
      <c r="V165" s="334" t="str">
        <f aca="false">IF((E165="o"),G165," ")</f>
        <v> </v>
      </c>
      <c r="W165" s="334" t="str">
        <f aca="false">IF((E165="f"),G165," ")</f>
        <v> </v>
      </c>
    </row>
    <row r="166" customFormat="false" ht="12.75" hidden="false" customHeight="false" outlineLevel="0" collapsed="false">
      <c r="A166" s="355"/>
      <c r="E166" s="365" t="str">
        <f aca="false">IF((G166&lt;&gt;0),"Enter Letter"," ")</f>
        <v> </v>
      </c>
      <c r="H166" s="338" t="str">
        <f aca="false">IF((G166&lt;&gt;0),IF((D166&gt;0)," ",G166)," ")</f>
        <v> </v>
      </c>
      <c r="I166" s="367" t="str">
        <f aca="false">IF((G166&lt;&gt;0),IF((D166&gt;0)," ",(I$1-A166))," ")</f>
        <v> </v>
      </c>
      <c r="J166" s="334" t="str">
        <f aca="false">IF((E166="s"),G166," ")</f>
        <v> </v>
      </c>
      <c r="K166" s="334" t="str">
        <f aca="false">IF((E166="d"),G166," ")</f>
        <v> </v>
      </c>
      <c r="L166" s="334" t="str">
        <f aca="false">IF((E166="e"),G166," ")</f>
        <v> </v>
      </c>
      <c r="M166" s="334" t="str">
        <f aca="false">IF((E166="p"),G166," ")</f>
        <v> </v>
      </c>
      <c r="N166" s="334" t="str">
        <f aca="false">IF((E166="r"),G166," ")</f>
        <v> </v>
      </c>
      <c r="O166" s="334" t="str">
        <f aca="false">IF((E166="g"),G166," ")</f>
        <v> </v>
      </c>
      <c r="P166" s="334" t="str">
        <f aca="false">IF((E166="m"),G166," ")</f>
        <v> </v>
      </c>
      <c r="Q166" s="334" t="str">
        <f aca="false">IF((E166="t"),G166," ")</f>
        <v> </v>
      </c>
      <c r="R166" s="334" t="str">
        <f aca="false">IF((E166="a"),G166," ")</f>
        <v> </v>
      </c>
      <c r="S166" s="334" t="str">
        <f aca="false">IF((E166="l"),G166," ")</f>
        <v> </v>
      </c>
      <c r="T166" s="334" t="str">
        <f aca="false">IF((E166="b"),G166," ")</f>
        <v> </v>
      </c>
      <c r="U166" s="334" t="str">
        <f aca="false">IF((E166="i"),G166," ")</f>
        <v> </v>
      </c>
      <c r="V166" s="334" t="str">
        <f aca="false">IF((E166="o"),G166," ")</f>
        <v> </v>
      </c>
      <c r="W166" s="334" t="str">
        <f aca="false">IF((E166="f"),G166," ")</f>
        <v> </v>
      </c>
    </row>
    <row r="167" customFormat="false" ht="12.75" hidden="false" customHeight="false" outlineLevel="0" collapsed="false">
      <c r="A167" s="355"/>
      <c r="E167" s="365" t="str">
        <f aca="false">IF((G167&lt;&gt;0),"Enter Letter"," ")</f>
        <v> </v>
      </c>
      <c r="H167" s="338" t="str">
        <f aca="false">IF((G167&lt;&gt;0),IF((D167&gt;0)," ",G167)," ")</f>
        <v> </v>
      </c>
      <c r="I167" s="367" t="str">
        <f aca="false">IF((G167&lt;&gt;0),IF((D167&gt;0)," ",(I$1-A167))," ")</f>
        <v> </v>
      </c>
      <c r="J167" s="334" t="str">
        <f aca="false">IF((E167="s"),G167," ")</f>
        <v> </v>
      </c>
      <c r="K167" s="334" t="str">
        <f aca="false">IF((E167="d"),G167," ")</f>
        <v> </v>
      </c>
      <c r="L167" s="334" t="str">
        <f aca="false">IF((E167="e"),G167," ")</f>
        <v> </v>
      </c>
      <c r="M167" s="334" t="str">
        <f aca="false">IF((E167="p"),G167," ")</f>
        <v> </v>
      </c>
      <c r="N167" s="334" t="str">
        <f aca="false">IF((E167="r"),G167," ")</f>
        <v> </v>
      </c>
      <c r="O167" s="334" t="str">
        <f aca="false">IF((E167="g"),G167," ")</f>
        <v> </v>
      </c>
      <c r="P167" s="334" t="str">
        <f aca="false">IF((E167="m"),G167," ")</f>
        <v> </v>
      </c>
      <c r="Q167" s="334" t="str">
        <f aca="false">IF((E167="t"),G167," ")</f>
        <v> </v>
      </c>
      <c r="R167" s="334" t="str">
        <f aca="false">IF((E167="a"),G167," ")</f>
        <v> </v>
      </c>
      <c r="S167" s="334" t="str">
        <f aca="false">IF((E167="l"),G167," ")</f>
        <v> </v>
      </c>
      <c r="T167" s="334" t="str">
        <f aca="false">IF((E167="b"),G167," ")</f>
        <v> </v>
      </c>
      <c r="U167" s="334" t="str">
        <f aca="false">IF((E167="i"),G167," ")</f>
        <v> </v>
      </c>
      <c r="V167" s="334" t="str">
        <f aca="false">IF((E167="o"),G167," ")</f>
        <v> </v>
      </c>
      <c r="W167" s="334" t="str">
        <f aca="false">IF((E167="f"),G167," ")</f>
        <v> </v>
      </c>
    </row>
    <row r="168" customFormat="false" ht="12.75" hidden="false" customHeight="false" outlineLevel="0" collapsed="false">
      <c r="A168" s="355"/>
      <c r="E168" s="365" t="str">
        <f aca="false">IF((G168&lt;&gt;0),"Enter Letter"," ")</f>
        <v> </v>
      </c>
      <c r="H168" s="338" t="str">
        <f aca="false">IF((G168&lt;&gt;0),IF((D168&gt;0)," ",G168)," ")</f>
        <v> </v>
      </c>
      <c r="I168" s="367" t="str">
        <f aca="false">IF((G168&lt;&gt;0),IF((D168&gt;0)," ",(I$1-A168))," ")</f>
        <v> </v>
      </c>
      <c r="J168" s="334" t="str">
        <f aca="false">IF((E168="s"),G168," ")</f>
        <v> </v>
      </c>
      <c r="K168" s="334" t="str">
        <f aca="false">IF((E168="d"),G168," ")</f>
        <v> </v>
      </c>
      <c r="L168" s="334" t="str">
        <f aca="false">IF((E168="e"),G168," ")</f>
        <v> </v>
      </c>
      <c r="M168" s="334" t="str">
        <f aca="false">IF((E168="p"),G168," ")</f>
        <v> </v>
      </c>
      <c r="N168" s="334" t="str">
        <f aca="false">IF((E168="r"),G168," ")</f>
        <v> </v>
      </c>
      <c r="O168" s="334" t="str">
        <f aca="false">IF((E168="g"),G168," ")</f>
        <v> </v>
      </c>
      <c r="P168" s="334" t="str">
        <f aca="false">IF((E168="m"),G168," ")</f>
        <v> </v>
      </c>
      <c r="Q168" s="334" t="str">
        <f aca="false">IF((E168="t"),G168," ")</f>
        <v> </v>
      </c>
      <c r="R168" s="334" t="str">
        <f aca="false">IF((E168="a"),G168," ")</f>
        <v> </v>
      </c>
      <c r="S168" s="334" t="str">
        <f aca="false">IF((E168="l"),G168," ")</f>
        <v> </v>
      </c>
      <c r="T168" s="334" t="str">
        <f aca="false">IF((E168="b"),G168," ")</f>
        <v> </v>
      </c>
      <c r="U168" s="334" t="str">
        <f aca="false">IF((E168="i"),G168," ")</f>
        <v> </v>
      </c>
      <c r="V168" s="334" t="str">
        <f aca="false">IF((E168="o"),G168," ")</f>
        <v> </v>
      </c>
      <c r="W168" s="334" t="str">
        <f aca="false">IF((E168="f"),G168," ")</f>
        <v> </v>
      </c>
    </row>
    <row r="169" customFormat="false" ht="12.75" hidden="false" customHeight="false" outlineLevel="0" collapsed="false">
      <c r="A169" s="355"/>
      <c r="E169" s="365" t="str">
        <f aca="false">IF((G169&lt;&gt;0),"Enter Letter"," ")</f>
        <v> </v>
      </c>
      <c r="H169" s="338" t="str">
        <f aca="false">IF((G169&lt;&gt;0),IF((D169&gt;0)," ",G169)," ")</f>
        <v> </v>
      </c>
      <c r="I169" s="367" t="str">
        <f aca="false">IF((G169&lt;&gt;0),IF((D169&gt;0)," ",(I$1-A169))," ")</f>
        <v> </v>
      </c>
      <c r="J169" s="334" t="str">
        <f aca="false">IF((E169="s"),G169," ")</f>
        <v> </v>
      </c>
      <c r="K169" s="334" t="str">
        <f aca="false">IF((E169="d"),G169," ")</f>
        <v> </v>
      </c>
      <c r="L169" s="334" t="str">
        <f aca="false">IF((E169="e"),G169," ")</f>
        <v> </v>
      </c>
      <c r="M169" s="334" t="str">
        <f aca="false">IF((E169="p"),G169," ")</f>
        <v> </v>
      </c>
      <c r="N169" s="334" t="str">
        <f aca="false">IF((E169="r"),G169," ")</f>
        <v> </v>
      </c>
      <c r="O169" s="334" t="str">
        <f aca="false">IF((E169="g"),G169," ")</f>
        <v> </v>
      </c>
      <c r="P169" s="334" t="str">
        <f aca="false">IF((E169="m"),G169," ")</f>
        <v> </v>
      </c>
      <c r="Q169" s="334" t="str">
        <f aca="false">IF((E169="t"),G169," ")</f>
        <v> </v>
      </c>
      <c r="R169" s="334" t="str">
        <f aca="false">IF((E169="a"),G169," ")</f>
        <v> </v>
      </c>
      <c r="S169" s="334" t="str">
        <f aca="false">IF((E169="l"),G169," ")</f>
        <v> </v>
      </c>
      <c r="T169" s="334" t="str">
        <f aca="false">IF((E169="b"),G169," ")</f>
        <v> </v>
      </c>
      <c r="U169" s="334" t="str">
        <f aca="false">IF((E169="i"),G169," ")</f>
        <v> </v>
      </c>
      <c r="V169" s="334" t="str">
        <f aca="false">IF((E169="o"),G169," ")</f>
        <v> </v>
      </c>
      <c r="W169" s="334" t="str">
        <f aca="false">IF((E169="f"),G169," ")</f>
        <v> </v>
      </c>
    </row>
    <row r="170" customFormat="false" ht="12.75" hidden="false" customHeight="false" outlineLevel="0" collapsed="false">
      <c r="A170" s="355"/>
      <c r="E170" s="365" t="str">
        <f aca="false">IF((G170&lt;&gt;0),"Enter Letter"," ")</f>
        <v> </v>
      </c>
      <c r="H170" s="338" t="str">
        <f aca="false">IF((G170&lt;&gt;0),IF((D170&gt;0)," ",G170)," ")</f>
        <v> </v>
      </c>
      <c r="I170" s="367" t="str">
        <f aca="false">IF((G170&lt;&gt;0),IF((D170&gt;0)," ",(I$1-A170))," ")</f>
        <v> </v>
      </c>
      <c r="J170" s="334" t="str">
        <f aca="false">IF((E170="s"),G170," ")</f>
        <v> </v>
      </c>
      <c r="K170" s="334" t="str">
        <f aca="false">IF((E170="d"),G170," ")</f>
        <v> </v>
      </c>
      <c r="L170" s="334" t="str">
        <f aca="false">IF((E170="e"),G170," ")</f>
        <v> </v>
      </c>
      <c r="M170" s="334" t="str">
        <f aca="false">IF((E170="p"),G170," ")</f>
        <v> </v>
      </c>
      <c r="N170" s="334" t="str">
        <f aca="false">IF((E170="r"),G170," ")</f>
        <v> </v>
      </c>
      <c r="O170" s="334" t="str">
        <f aca="false">IF((E170="g"),G170," ")</f>
        <v> </v>
      </c>
      <c r="P170" s="334" t="str">
        <f aca="false">IF((E170="m"),G170," ")</f>
        <v> </v>
      </c>
      <c r="Q170" s="334" t="str">
        <f aca="false">IF((E170="t"),G170," ")</f>
        <v> </v>
      </c>
      <c r="R170" s="334" t="str">
        <f aca="false">IF((E170="a"),G170," ")</f>
        <v> </v>
      </c>
      <c r="S170" s="334" t="str">
        <f aca="false">IF((E170="l"),G170," ")</f>
        <v> </v>
      </c>
      <c r="T170" s="334" t="str">
        <f aca="false">IF((E170="b"),G170," ")</f>
        <v> </v>
      </c>
      <c r="U170" s="334" t="str">
        <f aca="false">IF((E170="i"),G170," ")</f>
        <v> </v>
      </c>
      <c r="V170" s="334" t="str">
        <f aca="false">IF((E170="o"),G170," ")</f>
        <v> </v>
      </c>
      <c r="W170" s="334" t="str">
        <f aca="false">IF((E170="f"),G170," ")</f>
        <v> </v>
      </c>
    </row>
    <row r="171" customFormat="false" ht="12.75" hidden="false" customHeight="false" outlineLevel="0" collapsed="false">
      <c r="A171" s="355"/>
      <c r="E171" s="365" t="str">
        <f aca="false">IF((G171&lt;&gt;0),"Enter Letter"," ")</f>
        <v> </v>
      </c>
      <c r="H171" s="338" t="str">
        <f aca="false">IF((G171&lt;&gt;0),IF((D171&gt;0)," ",G171)," ")</f>
        <v> </v>
      </c>
      <c r="I171" s="367" t="str">
        <f aca="false">IF((G171&lt;&gt;0),IF((D171&gt;0)," ",(I$1-A171))," ")</f>
        <v> </v>
      </c>
      <c r="J171" s="334" t="str">
        <f aca="false">IF((E171="s"),G171," ")</f>
        <v> </v>
      </c>
      <c r="K171" s="334" t="str">
        <f aca="false">IF((E171="d"),G171," ")</f>
        <v> </v>
      </c>
      <c r="L171" s="334" t="str">
        <f aca="false">IF((E171="e"),G171," ")</f>
        <v> </v>
      </c>
      <c r="M171" s="334" t="str">
        <f aca="false">IF((E171="p"),G171," ")</f>
        <v> </v>
      </c>
      <c r="N171" s="334" t="str">
        <f aca="false">IF((E171="r"),G171," ")</f>
        <v> </v>
      </c>
      <c r="O171" s="334" t="str">
        <f aca="false">IF((E171="g"),G171," ")</f>
        <v> </v>
      </c>
      <c r="P171" s="334" t="str">
        <f aca="false">IF((E171="m"),G171," ")</f>
        <v> </v>
      </c>
      <c r="Q171" s="334" t="str">
        <f aca="false">IF((E171="t"),G171," ")</f>
        <v> </v>
      </c>
      <c r="R171" s="334" t="str">
        <f aca="false">IF((E171="a"),G171," ")</f>
        <v> </v>
      </c>
      <c r="S171" s="334" t="str">
        <f aca="false">IF((E171="l"),G171," ")</f>
        <v> </v>
      </c>
      <c r="T171" s="334" t="str">
        <f aca="false">IF((E171="b"),G171," ")</f>
        <v> </v>
      </c>
      <c r="U171" s="334" t="str">
        <f aca="false">IF((E171="i"),G171," ")</f>
        <v> </v>
      </c>
      <c r="V171" s="334" t="str">
        <f aca="false">IF((E171="o"),G171," ")</f>
        <v> </v>
      </c>
      <c r="W171" s="334" t="str">
        <f aca="false">IF((E171="f"),G171," ")</f>
        <v> </v>
      </c>
    </row>
    <row r="172" customFormat="false" ht="12.75" hidden="false" customHeight="false" outlineLevel="0" collapsed="false">
      <c r="A172" s="355"/>
      <c r="E172" s="365" t="str">
        <f aca="false">IF((G172&lt;&gt;0),"Enter Letter"," ")</f>
        <v> </v>
      </c>
      <c r="H172" s="338" t="str">
        <f aca="false">IF((G172&lt;&gt;0),IF((D172&gt;0)," ",G172)," ")</f>
        <v> </v>
      </c>
      <c r="I172" s="367" t="str">
        <f aca="false">IF((G172&lt;&gt;0),IF((D172&gt;0)," ",(I$1-A172))," ")</f>
        <v> </v>
      </c>
      <c r="J172" s="334" t="str">
        <f aca="false">IF((E172="s"),G172," ")</f>
        <v> </v>
      </c>
      <c r="K172" s="334" t="str">
        <f aca="false">IF((E172="d"),G172," ")</f>
        <v> </v>
      </c>
      <c r="L172" s="334" t="str">
        <f aca="false">IF((E172="e"),G172," ")</f>
        <v> </v>
      </c>
      <c r="M172" s="334" t="str">
        <f aca="false">IF((E172="p"),G172," ")</f>
        <v> </v>
      </c>
      <c r="N172" s="334" t="str">
        <f aca="false">IF((E172="r"),G172," ")</f>
        <v> </v>
      </c>
      <c r="O172" s="334" t="str">
        <f aca="false">IF((E172="g"),G172," ")</f>
        <v> </v>
      </c>
      <c r="P172" s="334" t="str">
        <f aca="false">IF((E172="m"),G172," ")</f>
        <v> </v>
      </c>
      <c r="Q172" s="334" t="str">
        <f aca="false">IF((E172="t"),G172," ")</f>
        <v> </v>
      </c>
      <c r="R172" s="334" t="str">
        <f aca="false">IF((E172="a"),G172," ")</f>
        <v> </v>
      </c>
      <c r="S172" s="334" t="str">
        <f aca="false">IF((E172="l"),G172," ")</f>
        <v> </v>
      </c>
      <c r="T172" s="334" t="str">
        <f aca="false">IF((E172="b"),G172," ")</f>
        <v> </v>
      </c>
      <c r="U172" s="334" t="str">
        <f aca="false">IF((E172="i"),G172," ")</f>
        <v> </v>
      </c>
      <c r="V172" s="334" t="str">
        <f aca="false">IF((E172="o"),G172," ")</f>
        <v> </v>
      </c>
      <c r="W172" s="334" t="str">
        <f aca="false">IF((E172="f"),G172," ")</f>
        <v> </v>
      </c>
    </row>
    <row r="173" customFormat="false" ht="12.75" hidden="false" customHeight="false" outlineLevel="0" collapsed="false">
      <c r="A173" s="355"/>
      <c r="E173" s="365" t="str">
        <f aca="false">IF((G173&lt;&gt;0),"Enter Letter"," ")</f>
        <v> </v>
      </c>
      <c r="H173" s="338" t="str">
        <f aca="false">IF((G173&lt;&gt;0),IF((D173&gt;0)," ",G173)," ")</f>
        <v> </v>
      </c>
      <c r="I173" s="367" t="str">
        <f aca="false">IF((G173&lt;&gt;0),IF((D173&gt;0)," ",(I$1-A173))," ")</f>
        <v> </v>
      </c>
      <c r="J173" s="334" t="str">
        <f aca="false">IF((E173="s"),G173," ")</f>
        <v> </v>
      </c>
      <c r="K173" s="334" t="str">
        <f aca="false">IF((E173="d"),G173," ")</f>
        <v> </v>
      </c>
      <c r="L173" s="334" t="str">
        <f aca="false">IF((E173="e"),G173," ")</f>
        <v> </v>
      </c>
      <c r="M173" s="334" t="str">
        <f aca="false">IF((E173="p"),G173," ")</f>
        <v> </v>
      </c>
      <c r="N173" s="334" t="str">
        <f aca="false">IF((E173="r"),G173," ")</f>
        <v> </v>
      </c>
      <c r="O173" s="334" t="str">
        <f aca="false">IF((E173="g"),G173," ")</f>
        <v> </v>
      </c>
      <c r="P173" s="334" t="str">
        <f aca="false">IF((E173="m"),G173," ")</f>
        <v> </v>
      </c>
      <c r="Q173" s="334" t="str">
        <f aca="false">IF((E173="t"),G173," ")</f>
        <v> </v>
      </c>
      <c r="R173" s="334" t="str">
        <f aca="false">IF((E173="a"),G173," ")</f>
        <v> </v>
      </c>
      <c r="S173" s="334" t="str">
        <f aca="false">IF((E173="l"),G173," ")</f>
        <v> </v>
      </c>
      <c r="T173" s="334" t="str">
        <f aca="false">IF((E173="b"),G173," ")</f>
        <v> </v>
      </c>
      <c r="U173" s="334" t="str">
        <f aca="false">IF((E173="i"),G173," ")</f>
        <v> </v>
      </c>
      <c r="V173" s="334" t="str">
        <f aca="false">IF((E173="o"),G173," ")</f>
        <v> </v>
      </c>
      <c r="W173" s="334" t="str">
        <f aca="false">IF((E173="f"),G173," ")</f>
        <v> </v>
      </c>
    </row>
    <row r="174" customFormat="false" ht="12.75" hidden="false" customHeight="false" outlineLevel="0" collapsed="false">
      <c r="A174" s="355"/>
      <c r="E174" s="365" t="str">
        <f aca="false">IF((G174&lt;&gt;0),"Enter Letter"," ")</f>
        <v> </v>
      </c>
      <c r="H174" s="338" t="str">
        <f aca="false">IF((G174&lt;&gt;0),IF((D174&gt;0)," ",G174)," ")</f>
        <v> </v>
      </c>
      <c r="I174" s="367" t="str">
        <f aca="false">IF((G174&lt;&gt;0),IF((D174&gt;0)," ",(I$1-A174))," ")</f>
        <v> </v>
      </c>
      <c r="J174" s="334" t="str">
        <f aca="false">IF((E174="s"),G174," ")</f>
        <v> </v>
      </c>
      <c r="K174" s="334" t="str">
        <f aca="false">IF((E174="d"),G174," ")</f>
        <v> </v>
      </c>
      <c r="L174" s="334" t="str">
        <f aca="false">IF((E174="e"),G174," ")</f>
        <v> </v>
      </c>
      <c r="M174" s="334" t="str">
        <f aca="false">IF((E174="p"),G174," ")</f>
        <v> </v>
      </c>
      <c r="N174" s="334" t="str">
        <f aca="false">IF((E174="r"),G174," ")</f>
        <v> </v>
      </c>
      <c r="O174" s="334" t="str">
        <f aca="false">IF((E174="g"),G174," ")</f>
        <v> </v>
      </c>
      <c r="P174" s="334" t="str">
        <f aca="false">IF((E174="m"),G174," ")</f>
        <v> </v>
      </c>
      <c r="Q174" s="334" t="str">
        <f aca="false">IF((E174="t"),G174," ")</f>
        <v> </v>
      </c>
      <c r="R174" s="334" t="str">
        <f aca="false">IF((E174="a"),G174," ")</f>
        <v> </v>
      </c>
      <c r="S174" s="334" t="str">
        <f aca="false">IF((E174="l"),G174," ")</f>
        <v> </v>
      </c>
      <c r="T174" s="334" t="str">
        <f aca="false">IF((E174="b"),G174," ")</f>
        <v> </v>
      </c>
      <c r="U174" s="334" t="str">
        <f aca="false">IF((E174="i"),G174," ")</f>
        <v> </v>
      </c>
      <c r="V174" s="334" t="str">
        <f aca="false">IF((E174="o"),G174," ")</f>
        <v> </v>
      </c>
      <c r="W174" s="334" t="str">
        <f aca="false">IF((E174="f"),G174," ")</f>
        <v> </v>
      </c>
    </row>
    <row r="175" customFormat="false" ht="12.75" hidden="false" customHeight="false" outlineLevel="0" collapsed="false">
      <c r="A175" s="355"/>
      <c r="E175" s="365" t="str">
        <f aca="false">IF((G175&lt;&gt;0),"Enter Letter"," ")</f>
        <v> </v>
      </c>
      <c r="H175" s="338" t="str">
        <f aca="false">IF((G175&lt;&gt;0),IF((D175&gt;0)," ",G175)," ")</f>
        <v> </v>
      </c>
      <c r="I175" s="367" t="str">
        <f aca="false">IF((G175&lt;&gt;0),IF((D175&gt;0)," ",(I$1-A175))," ")</f>
        <v> </v>
      </c>
      <c r="J175" s="334" t="str">
        <f aca="false">IF((E175="s"),G175," ")</f>
        <v> </v>
      </c>
      <c r="K175" s="334" t="str">
        <f aca="false">IF((E175="d"),G175," ")</f>
        <v> </v>
      </c>
      <c r="L175" s="334" t="str">
        <f aca="false">IF((E175="e"),G175," ")</f>
        <v> </v>
      </c>
      <c r="M175" s="334" t="str">
        <f aca="false">IF((E175="p"),G175," ")</f>
        <v> </v>
      </c>
      <c r="N175" s="334" t="str">
        <f aca="false">IF((E175="r"),G175," ")</f>
        <v> </v>
      </c>
      <c r="O175" s="334" t="str">
        <f aca="false">IF((E175="g"),G175," ")</f>
        <v> </v>
      </c>
      <c r="P175" s="334" t="str">
        <f aca="false">IF((E175="m"),G175," ")</f>
        <v> </v>
      </c>
      <c r="Q175" s="334" t="str">
        <f aca="false">IF((E175="t"),G175," ")</f>
        <v> </v>
      </c>
      <c r="R175" s="334" t="str">
        <f aca="false">IF((E175="a"),G175," ")</f>
        <v> </v>
      </c>
      <c r="S175" s="334" t="str">
        <f aca="false">IF((E175="l"),G175," ")</f>
        <v> </v>
      </c>
      <c r="T175" s="334" t="str">
        <f aca="false">IF((E175="b"),G175," ")</f>
        <v> </v>
      </c>
      <c r="U175" s="334" t="str">
        <f aca="false">IF((E175="i"),G175," ")</f>
        <v> </v>
      </c>
      <c r="V175" s="334" t="str">
        <f aca="false">IF((E175="o"),G175," ")</f>
        <v> </v>
      </c>
      <c r="W175" s="334" t="str">
        <f aca="false">IF((E175="f"),G175," ")</f>
        <v> </v>
      </c>
    </row>
    <row r="176" customFormat="false" ht="12.75" hidden="false" customHeight="false" outlineLevel="0" collapsed="false">
      <c r="A176" s="355"/>
      <c r="E176" s="365" t="str">
        <f aca="false">IF((G176&lt;&gt;0),"Enter Letter"," ")</f>
        <v> </v>
      </c>
      <c r="H176" s="338" t="str">
        <f aca="false">IF((G176&lt;&gt;0),IF((D176&gt;0)," ",G176)," ")</f>
        <v> </v>
      </c>
      <c r="I176" s="367" t="str">
        <f aca="false">IF((G176&lt;&gt;0),IF((D176&gt;0)," ",(I$1-A176))," ")</f>
        <v> </v>
      </c>
      <c r="J176" s="334" t="str">
        <f aca="false">IF((E176="s"),G176," ")</f>
        <v> </v>
      </c>
      <c r="K176" s="334" t="str">
        <f aca="false">IF((E176="d"),G176," ")</f>
        <v> </v>
      </c>
      <c r="L176" s="334" t="str">
        <f aca="false">IF((E176="e"),G176," ")</f>
        <v> </v>
      </c>
      <c r="M176" s="334" t="str">
        <f aca="false">IF((E176="p"),G176," ")</f>
        <v> </v>
      </c>
      <c r="N176" s="334" t="str">
        <f aca="false">IF((E176="r"),G176," ")</f>
        <v> </v>
      </c>
      <c r="O176" s="334" t="str">
        <f aca="false">IF((E176="g"),G176," ")</f>
        <v> </v>
      </c>
      <c r="P176" s="334" t="str">
        <f aca="false">IF((E176="m"),G176," ")</f>
        <v> </v>
      </c>
      <c r="Q176" s="334" t="str">
        <f aca="false">IF((E176="t"),G176," ")</f>
        <v> </v>
      </c>
      <c r="R176" s="334" t="str">
        <f aca="false">IF((E176="a"),G176," ")</f>
        <v> </v>
      </c>
      <c r="S176" s="334" t="str">
        <f aca="false">IF((E176="l"),G176," ")</f>
        <v> </v>
      </c>
      <c r="T176" s="334" t="str">
        <f aca="false">IF((E176="b"),G176," ")</f>
        <v> </v>
      </c>
      <c r="U176" s="334" t="str">
        <f aca="false">IF((E176="i"),G176," ")</f>
        <v> </v>
      </c>
      <c r="V176" s="334" t="str">
        <f aca="false">IF((E176="o"),G176," ")</f>
        <v> </v>
      </c>
      <c r="W176" s="334" t="str">
        <f aca="false">IF((E176="f"),G176," ")</f>
        <v> </v>
      </c>
    </row>
    <row r="177" customFormat="false" ht="12.75" hidden="false" customHeight="false" outlineLevel="0" collapsed="false">
      <c r="A177" s="355"/>
      <c r="E177" s="365" t="str">
        <f aca="false">IF((G177&lt;&gt;0),"Enter Letter"," ")</f>
        <v> </v>
      </c>
      <c r="H177" s="338" t="str">
        <f aca="false">IF((G177&lt;&gt;0),IF((D177&gt;0)," ",G177)," ")</f>
        <v> </v>
      </c>
      <c r="I177" s="367" t="str">
        <f aca="false">IF((G177&lt;&gt;0),IF((D177&gt;0)," ",(I$1-A177))," ")</f>
        <v> </v>
      </c>
      <c r="J177" s="334" t="str">
        <f aca="false">IF((E177="s"),G177," ")</f>
        <v> </v>
      </c>
      <c r="K177" s="334" t="str">
        <f aca="false">IF((E177="d"),G177," ")</f>
        <v> </v>
      </c>
      <c r="L177" s="334" t="str">
        <f aca="false">IF((E177="e"),G177," ")</f>
        <v> </v>
      </c>
      <c r="M177" s="334" t="str">
        <f aca="false">IF((E177="p"),G177," ")</f>
        <v> </v>
      </c>
      <c r="N177" s="334" t="str">
        <f aca="false">IF((E177="r"),G177," ")</f>
        <v> </v>
      </c>
      <c r="O177" s="334" t="str">
        <f aca="false">IF((E177="g"),G177," ")</f>
        <v> </v>
      </c>
      <c r="P177" s="334" t="str">
        <f aca="false">IF((E177="m"),G177," ")</f>
        <v> </v>
      </c>
      <c r="Q177" s="334" t="str">
        <f aca="false">IF((E177="t"),G177," ")</f>
        <v> </v>
      </c>
      <c r="R177" s="334" t="str">
        <f aca="false">IF((E177="a"),G177," ")</f>
        <v> </v>
      </c>
      <c r="S177" s="334" t="str">
        <f aca="false">IF((E177="l"),G177," ")</f>
        <v> </v>
      </c>
      <c r="T177" s="334" t="str">
        <f aca="false">IF((E177="b"),G177," ")</f>
        <v> </v>
      </c>
      <c r="U177" s="334" t="str">
        <f aca="false">IF((E177="i"),G177," ")</f>
        <v> </v>
      </c>
      <c r="V177" s="334" t="str">
        <f aca="false">IF((E177="o"),G177," ")</f>
        <v> </v>
      </c>
      <c r="W177" s="334" t="str">
        <f aca="false">IF((E177="f"),G177," ")</f>
        <v> </v>
      </c>
    </row>
    <row r="178" customFormat="false" ht="12.75" hidden="false" customHeight="false" outlineLevel="0" collapsed="false">
      <c r="A178" s="355"/>
      <c r="E178" s="365" t="str">
        <f aca="false">IF((G178&lt;&gt;0),"Enter Letter"," ")</f>
        <v> </v>
      </c>
      <c r="H178" s="338" t="str">
        <f aca="false">IF((G178&lt;&gt;0),IF((D178&gt;0)," ",G178)," ")</f>
        <v> </v>
      </c>
      <c r="I178" s="367" t="str">
        <f aca="false">IF((G178&lt;&gt;0),IF((D178&gt;0)," ",(I$1-A178))," ")</f>
        <v> </v>
      </c>
      <c r="J178" s="334" t="str">
        <f aca="false">IF((E178="s"),G178," ")</f>
        <v> </v>
      </c>
      <c r="K178" s="334" t="str">
        <f aca="false">IF((E178="d"),G178," ")</f>
        <v> </v>
      </c>
      <c r="L178" s="334" t="str">
        <f aca="false">IF((E178="e"),G178," ")</f>
        <v> </v>
      </c>
      <c r="M178" s="334" t="str">
        <f aca="false">IF((E178="p"),G178," ")</f>
        <v> </v>
      </c>
      <c r="N178" s="334" t="str">
        <f aca="false">IF((E178="r"),G178," ")</f>
        <v> </v>
      </c>
      <c r="O178" s="334" t="str">
        <f aca="false">IF((E178="g"),G178," ")</f>
        <v> </v>
      </c>
      <c r="P178" s="334" t="str">
        <f aca="false">IF((E178="m"),G178," ")</f>
        <v> </v>
      </c>
      <c r="Q178" s="334" t="str">
        <f aca="false">IF((E178="t"),G178," ")</f>
        <v> </v>
      </c>
      <c r="R178" s="334" t="str">
        <f aca="false">IF((E178="a"),G178," ")</f>
        <v> </v>
      </c>
      <c r="S178" s="334" t="str">
        <f aca="false">IF((E178="l"),G178," ")</f>
        <v> </v>
      </c>
      <c r="T178" s="334" t="str">
        <f aca="false">IF((E178="b"),G178," ")</f>
        <v> </v>
      </c>
      <c r="U178" s="334" t="str">
        <f aca="false">IF((E178="i"),G178," ")</f>
        <v> </v>
      </c>
      <c r="V178" s="334" t="str">
        <f aca="false">IF((E178="o"),G178," ")</f>
        <v> </v>
      </c>
      <c r="W178" s="334" t="str">
        <f aca="false">IF((E178="f"),G178," ")</f>
        <v> </v>
      </c>
    </row>
    <row r="179" customFormat="false" ht="12.75" hidden="false" customHeight="false" outlineLevel="0" collapsed="false">
      <c r="A179" s="355"/>
      <c r="E179" s="365" t="str">
        <f aca="false">IF((G179&lt;&gt;0),"Enter Letter"," ")</f>
        <v> </v>
      </c>
      <c r="H179" s="338" t="str">
        <f aca="false">IF((G179&lt;&gt;0),IF((D179&gt;0)," ",G179)," ")</f>
        <v> </v>
      </c>
      <c r="I179" s="367" t="str">
        <f aca="false">IF((G179&lt;&gt;0),IF((D179&gt;0)," ",(I$1-A179))," ")</f>
        <v> </v>
      </c>
      <c r="J179" s="334" t="str">
        <f aca="false">IF((E179="s"),G179," ")</f>
        <v> </v>
      </c>
      <c r="K179" s="334" t="str">
        <f aca="false">IF((E179="d"),G179," ")</f>
        <v> </v>
      </c>
      <c r="L179" s="334" t="str">
        <f aca="false">IF((E179="e"),G179," ")</f>
        <v> </v>
      </c>
      <c r="M179" s="334" t="str">
        <f aca="false">IF((E179="p"),G179," ")</f>
        <v> </v>
      </c>
      <c r="N179" s="334" t="str">
        <f aca="false">IF((E179="r"),G179," ")</f>
        <v> </v>
      </c>
      <c r="O179" s="334" t="str">
        <f aca="false">IF((E179="g"),G179," ")</f>
        <v> </v>
      </c>
      <c r="P179" s="334" t="str">
        <f aca="false">IF((E179="m"),G179," ")</f>
        <v> </v>
      </c>
      <c r="Q179" s="334" t="str">
        <f aca="false">IF((E179="t"),G179," ")</f>
        <v> </v>
      </c>
      <c r="R179" s="334" t="str">
        <f aca="false">IF((E179="a"),G179," ")</f>
        <v> </v>
      </c>
      <c r="S179" s="334" t="str">
        <f aca="false">IF((E179="l"),G179," ")</f>
        <v> </v>
      </c>
      <c r="T179" s="334" t="str">
        <f aca="false">IF((E179="b"),G179," ")</f>
        <v> </v>
      </c>
      <c r="U179" s="334" t="str">
        <f aca="false">IF((E179="i"),G179," ")</f>
        <v> </v>
      </c>
      <c r="V179" s="334" t="str">
        <f aca="false">IF((E179="o"),G179," ")</f>
        <v> </v>
      </c>
      <c r="W179" s="334" t="str">
        <f aca="false">IF((E179="f"),G179," ")</f>
        <v> </v>
      </c>
    </row>
    <row r="180" customFormat="false" ht="12.75" hidden="false" customHeight="false" outlineLevel="0" collapsed="false">
      <c r="A180" s="355"/>
      <c r="E180" s="365" t="str">
        <f aca="false">IF((G180&lt;&gt;0),"Enter Letter"," ")</f>
        <v> </v>
      </c>
      <c r="H180" s="338" t="str">
        <f aca="false">IF((G180&lt;&gt;0),IF((D180&gt;0)," ",G180)," ")</f>
        <v> </v>
      </c>
      <c r="I180" s="367" t="str">
        <f aca="false">IF((G180&lt;&gt;0),IF((D180&gt;0)," ",(I$1-A180))," ")</f>
        <v> </v>
      </c>
      <c r="J180" s="334" t="str">
        <f aca="false">IF((E180="s"),G180," ")</f>
        <v> </v>
      </c>
      <c r="K180" s="334" t="str">
        <f aca="false">IF((E180="d"),G180," ")</f>
        <v> </v>
      </c>
      <c r="L180" s="334" t="str">
        <f aca="false">IF((E180="e"),G180," ")</f>
        <v> </v>
      </c>
      <c r="M180" s="334" t="str">
        <f aca="false">IF((E180="p"),G180," ")</f>
        <v> </v>
      </c>
      <c r="N180" s="334" t="str">
        <f aca="false">IF((E180="r"),G180," ")</f>
        <v> </v>
      </c>
      <c r="O180" s="334" t="str">
        <f aca="false">IF((E180="g"),G180," ")</f>
        <v> </v>
      </c>
      <c r="P180" s="334" t="str">
        <f aca="false">IF((E180="m"),G180," ")</f>
        <v> </v>
      </c>
      <c r="Q180" s="334" t="str">
        <f aca="false">IF((E180="t"),G180," ")</f>
        <v> </v>
      </c>
      <c r="R180" s="334" t="str">
        <f aca="false">IF((E180="a"),G180," ")</f>
        <v> </v>
      </c>
      <c r="S180" s="334" t="str">
        <f aca="false">IF((E180="l"),G180," ")</f>
        <v> </v>
      </c>
      <c r="T180" s="334" t="str">
        <f aca="false">IF((E180="b"),G180," ")</f>
        <v> </v>
      </c>
      <c r="U180" s="334" t="str">
        <f aca="false">IF((E180="i"),G180," ")</f>
        <v> </v>
      </c>
      <c r="V180" s="334" t="str">
        <f aca="false">IF((E180="o"),G180," ")</f>
        <v> </v>
      </c>
      <c r="W180" s="334" t="str">
        <f aca="false">IF((E180="f"),G180," ")</f>
        <v> </v>
      </c>
    </row>
    <row r="181" customFormat="false" ht="12.75" hidden="false" customHeight="false" outlineLevel="0" collapsed="false">
      <c r="A181" s="355"/>
      <c r="E181" s="365" t="str">
        <f aca="false">IF((G181&lt;&gt;0),"Enter Letter"," ")</f>
        <v> </v>
      </c>
      <c r="H181" s="338" t="str">
        <f aca="false">IF((G181&lt;&gt;0),IF((D181&gt;0)," ",G181)," ")</f>
        <v> </v>
      </c>
      <c r="I181" s="367" t="str">
        <f aca="false">IF((G181&lt;&gt;0),IF((D181&gt;0)," ",(I$1-A181))," ")</f>
        <v> </v>
      </c>
      <c r="J181" s="334" t="str">
        <f aca="false">IF((E181="s"),G181," ")</f>
        <v> </v>
      </c>
      <c r="K181" s="334" t="str">
        <f aca="false">IF((E181="d"),G181," ")</f>
        <v> </v>
      </c>
      <c r="L181" s="334" t="str">
        <f aca="false">IF((E181="e"),G181," ")</f>
        <v> </v>
      </c>
      <c r="M181" s="334" t="str">
        <f aca="false">IF((E181="p"),G181," ")</f>
        <v> </v>
      </c>
      <c r="N181" s="334" t="str">
        <f aca="false">IF((E181="r"),G181," ")</f>
        <v> </v>
      </c>
      <c r="O181" s="334" t="str">
        <f aca="false">IF((E181="g"),G181," ")</f>
        <v> </v>
      </c>
      <c r="P181" s="334" t="str">
        <f aca="false">IF((E181="m"),G181," ")</f>
        <v> </v>
      </c>
      <c r="Q181" s="334" t="str">
        <f aca="false">IF((E181="t"),G181," ")</f>
        <v> </v>
      </c>
      <c r="R181" s="334" t="str">
        <f aca="false">IF((E181="a"),G181," ")</f>
        <v> </v>
      </c>
      <c r="S181" s="334" t="str">
        <f aca="false">IF((E181="l"),G181," ")</f>
        <v> </v>
      </c>
      <c r="T181" s="334" t="str">
        <f aca="false">IF((E181="b"),G181," ")</f>
        <v> </v>
      </c>
      <c r="U181" s="334" t="str">
        <f aca="false">IF((E181="i"),G181," ")</f>
        <v> </v>
      </c>
      <c r="V181" s="334" t="str">
        <f aca="false">IF((E181="o"),G181," ")</f>
        <v> </v>
      </c>
      <c r="W181" s="334" t="str">
        <f aca="false">IF((E181="f"),G181," ")</f>
        <v> </v>
      </c>
    </row>
    <row r="182" customFormat="false" ht="12.75" hidden="false" customHeight="false" outlineLevel="0" collapsed="false">
      <c r="A182" s="355"/>
      <c r="E182" s="365" t="str">
        <f aca="false">IF((G182&lt;&gt;0),"Enter Letter"," ")</f>
        <v> </v>
      </c>
      <c r="H182" s="338" t="str">
        <f aca="false">IF((G182&lt;&gt;0),IF((D182&gt;0)," ",G182)," ")</f>
        <v> </v>
      </c>
      <c r="I182" s="367" t="str">
        <f aca="false">IF((G182&lt;&gt;0),IF((D182&gt;0)," ",(I$1-A182))," ")</f>
        <v> </v>
      </c>
      <c r="J182" s="334" t="str">
        <f aca="false">IF((E182="s"),G182," ")</f>
        <v> </v>
      </c>
      <c r="K182" s="334" t="str">
        <f aca="false">IF((E182="d"),G182," ")</f>
        <v> </v>
      </c>
      <c r="L182" s="334" t="str">
        <f aca="false">IF((E182="e"),G182," ")</f>
        <v> </v>
      </c>
      <c r="M182" s="334" t="str">
        <f aca="false">IF((E182="p"),G182," ")</f>
        <v> </v>
      </c>
      <c r="N182" s="334" t="str">
        <f aca="false">IF((E182="r"),G182," ")</f>
        <v> </v>
      </c>
      <c r="O182" s="334" t="str">
        <f aca="false">IF((E182="g"),G182," ")</f>
        <v> </v>
      </c>
      <c r="P182" s="334" t="str">
        <f aca="false">IF((E182="m"),G182," ")</f>
        <v> </v>
      </c>
      <c r="Q182" s="334" t="str">
        <f aca="false">IF((E182="t"),G182," ")</f>
        <v> </v>
      </c>
      <c r="R182" s="334" t="str">
        <f aca="false">IF((E182="a"),G182," ")</f>
        <v> </v>
      </c>
      <c r="S182" s="334" t="str">
        <f aca="false">IF((E182="l"),G182," ")</f>
        <v> </v>
      </c>
      <c r="T182" s="334" t="str">
        <f aca="false">IF((E182="b"),G182," ")</f>
        <v> </v>
      </c>
      <c r="U182" s="334" t="str">
        <f aca="false">IF((E182="i"),G182," ")</f>
        <v> </v>
      </c>
      <c r="V182" s="334" t="str">
        <f aca="false">IF((E182="o"),G182," ")</f>
        <v> </v>
      </c>
      <c r="W182" s="334" t="str">
        <f aca="false">IF((E182="f"),G182," ")</f>
        <v> </v>
      </c>
    </row>
    <row r="183" customFormat="false" ht="12.75" hidden="false" customHeight="false" outlineLevel="0" collapsed="false">
      <c r="A183" s="355"/>
      <c r="E183" s="365" t="str">
        <f aca="false">IF((G183&lt;&gt;0),"Enter Letter"," ")</f>
        <v> </v>
      </c>
      <c r="H183" s="338" t="str">
        <f aca="false">IF((G183&lt;&gt;0),IF((D183&gt;0)," ",G183)," ")</f>
        <v> </v>
      </c>
      <c r="I183" s="367" t="str">
        <f aca="false">IF((G183&lt;&gt;0),IF((D183&gt;0)," ",(I$1-A183))," ")</f>
        <v> </v>
      </c>
      <c r="J183" s="334" t="str">
        <f aca="false">IF((E183="s"),G183," ")</f>
        <v> </v>
      </c>
      <c r="K183" s="334" t="str">
        <f aca="false">IF((E183="d"),G183," ")</f>
        <v> </v>
      </c>
      <c r="L183" s="334" t="str">
        <f aca="false">IF((E183="e"),G183," ")</f>
        <v> </v>
      </c>
      <c r="M183" s="334" t="str">
        <f aca="false">IF((E183="p"),G183," ")</f>
        <v> </v>
      </c>
      <c r="N183" s="334" t="str">
        <f aca="false">IF((E183="r"),G183," ")</f>
        <v> </v>
      </c>
      <c r="O183" s="334" t="str">
        <f aca="false">IF((E183="g"),G183," ")</f>
        <v> </v>
      </c>
      <c r="P183" s="334" t="str">
        <f aca="false">IF((E183="m"),G183," ")</f>
        <v> </v>
      </c>
      <c r="Q183" s="334" t="str">
        <f aca="false">IF((E183="t"),G183," ")</f>
        <v> </v>
      </c>
      <c r="R183" s="334" t="str">
        <f aca="false">IF((E183="a"),G183," ")</f>
        <v> </v>
      </c>
      <c r="S183" s="334" t="str">
        <f aca="false">IF((E183="l"),G183," ")</f>
        <v> </v>
      </c>
      <c r="T183" s="334" t="str">
        <f aca="false">IF((E183="b"),G183," ")</f>
        <v> </v>
      </c>
      <c r="U183" s="334" t="str">
        <f aca="false">IF((E183="i"),G183," ")</f>
        <v> </v>
      </c>
      <c r="V183" s="334" t="str">
        <f aca="false">IF((E183="o"),G183," ")</f>
        <v> </v>
      </c>
      <c r="W183" s="334" t="str">
        <f aca="false">IF((E183="f"),G183," ")</f>
        <v> </v>
      </c>
    </row>
    <row r="184" customFormat="false" ht="12.75" hidden="false" customHeight="false" outlineLevel="0" collapsed="false">
      <c r="A184" s="355"/>
      <c r="E184" s="365" t="str">
        <f aca="false">IF((G184&lt;&gt;0),"Enter Letter"," ")</f>
        <v> </v>
      </c>
      <c r="H184" s="338" t="str">
        <f aca="false">IF((G184&lt;&gt;0),IF((D184&gt;0)," ",G184)," ")</f>
        <v> </v>
      </c>
      <c r="I184" s="367" t="str">
        <f aca="false">IF((G184&lt;&gt;0),IF((D184&gt;0)," ",(I$1-A184))," ")</f>
        <v> </v>
      </c>
      <c r="J184" s="334" t="str">
        <f aca="false">IF((E184="s"),G184," ")</f>
        <v> </v>
      </c>
      <c r="K184" s="334" t="str">
        <f aca="false">IF((E184="d"),G184," ")</f>
        <v> </v>
      </c>
      <c r="L184" s="334" t="str">
        <f aca="false">IF((E184="e"),G184," ")</f>
        <v> </v>
      </c>
      <c r="M184" s="334" t="str">
        <f aca="false">IF((E184="p"),G184," ")</f>
        <v> </v>
      </c>
      <c r="N184" s="334" t="str">
        <f aca="false">IF((E184="r"),G184," ")</f>
        <v> </v>
      </c>
      <c r="O184" s="334" t="str">
        <f aca="false">IF((E184="g"),G184," ")</f>
        <v> </v>
      </c>
      <c r="P184" s="334" t="str">
        <f aca="false">IF((E184="m"),G184," ")</f>
        <v> </v>
      </c>
      <c r="Q184" s="334" t="str">
        <f aca="false">IF((E184="t"),G184," ")</f>
        <v> </v>
      </c>
      <c r="R184" s="334" t="str">
        <f aca="false">IF((E184="a"),G184," ")</f>
        <v> </v>
      </c>
      <c r="S184" s="334" t="str">
        <f aca="false">IF((E184="l"),G184," ")</f>
        <v> </v>
      </c>
      <c r="T184" s="334" t="str">
        <f aca="false">IF((E184="b"),G184," ")</f>
        <v> </v>
      </c>
      <c r="U184" s="334" t="str">
        <f aca="false">IF((E184="i"),G184," ")</f>
        <v> </v>
      </c>
      <c r="V184" s="334" t="str">
        <f aca="false">IF((E184="o"),G184," ")</f>
        <v> </v>
      </c>
      <c r="W184" s="334" t="str">
        <f aca="false">IF((E184="f"),G184," ")</f>
        <v> </v>
      </c>
    </row>
    <row r="185" customFormat="false" ht="12.75" hidden="false" customHeight="false" outlineLevel="0" collapsed="false">
      <c r="A185" s="355"/>
      <c r="E185" s="365" t="str">
        <f aca="false">IF((G185&lt;&gt;0),"Enter Letter"," ")</f>
        <v> </v>
      </c>
      <c r="H185" s="338" t="str">
        <f aca="false">IF((G185&lt;&gt;0),IF((D185&gt;0)," ",G185)," ")</f>
        <v> </v>
      </c>
      <c r="I185" s="367" t="str">
        <f aca="false">IF((G185&lt;&gt;0),IF((D185&gt;0)," ",(I$1-A185))," ")</f>
        <v> </v>
      </c>
      <c r="J185" s="334" t="str">
        <f aca="false">IF((E185="s"),G185," ")</f>
        <v> </v>
      </c>
      <c r="K185" s="334" t="str">
        <f aca="false">IF((E185="d"),G185," ")</f>
        <v> </v>
      </c>
      <c r="L185" s="334" t="str">
        <f aca="false">IF((E185="e"),G185," ")</f>
        <v> </v>
      </c>
      <c r="M185" s="334" t="str">
        <f aca="false">IF((E185="p"),G185," ")</f>
        <v> </v>
      </c>
      <c r="N185" s="334" t="str">
        <f aca="false">IF((E185="r"),G185," ")</f>
        <v> </v>
      </c>
      <c r="O185" s="334" t="str">
        <f aca="false">IF((E185="g"),G185," ")</f>
        <v> </v>
      </c>
      <c r="P185" s="334" t="str">
        <f aca="false">IF((E185="m"),G185," ")</f>
        <v> </v>
      </c>
      <c r="Q185" s="334" t="str">
        <f aca="false">IF((E185="t"),G185," ")</f>
        <v> </v>
      </c>
      <c r="R185" s="334" t="str">
        <f aca="false">IF((E185="a"),G185," ")</f>
        <v> </v>
      </c>
      <c r="S185" s="334" t="str">
        <f aca="false">IF((E185="l"),G185," ")</f>
        <v> </v>
      </c>
      <c r="T185" s="334" t="str">
        <f aca="false">IF((E185="b"),G185," ")</f>
        <v> </v>
      </c>
      <c r="U185" s="334" t="str">
        <f aca="false">IF((E185="i"),G185," ")</f>
        <v> </v>
      </c>
      <c r="V185" s="334" t="str">
        <f aca="false">IF((E185="o"),G185," ")</f>
        <v> </v>
      </c>
      <c r="W185" s="334" t="str">
        <f aca="false">IF((E185="f"),G185," ")</f>
        <v> </v>
      </c>
    </row>
    <row r="186" customFormat="false" ht="12.75" hidden="false" customHeight="false" outlineLevel="0" collapsed="false">
      <c r="A186" s="355"/>
      <c r="E186" s="365" t="str">
        <f aca="false">IF((G186&lt;&gt;0),"Enter Letter"," ")</f>
        <v> </v>
      </c>
      <c r="H186" s="338" t="str">
        <f aca="false">IF((G186&lt;&gt;0),IF((D186&gt;0)," ",G186)," ")</f>
        <v> </v>
      </c>
      <c r="I186" s="367" t="str">
        <f aca="false">IF((G186&lt;&gt;0),IF((D186&gt;0)," ",(I$1-A186))," ")</f>
        <v> </v>
      </c>
      <c r="J186" s="334" t="str">
        <f aca="false">IF((E186="s"),G186," ")</f>
        <v> </v>
      </c>
      <c r="K186" s="334" t="str">
        <f aca="false">IF((E186="d"),G186," ")</f>
        <v> </v>
      </c>
      <c r="L186" s="334" t="str">
        <f aca="false">IF((E186="e"),G186," ")</f>
        <v> </v>
      </c>
      <c r="M186" s="334" t="str">
        <f aca="false">IF((E186="p"),G186," ")</f>
        <v> </v>
      </c>
      <c r="N186" s="334" t="str">
        <f aca="false">IF((E186="r"),G186," ")</f>
        <v> </v>
      </c>
      <c r="O186" s="334" t="str">
        <f aca="false">IF((E186="g"),G186," ")</f>
        <v> </v>
      </c>
      <c r="P186" s="334" t="str">
        <f aca="false">IF((E186="m"),G186," ")</f>
        <v> </v>
      </c>
      <c r="Q186" s="334" t="str">
        <f aca="false">IF((E186="t"),G186," ")</f>
        <v> </v>
      </c>
      <c r="R186" s="334" t="str">
        <f aca="false">IF((E186="a"),G186," ")</f>
        <v> </v>
      </c>
      <c r="S186" s="334" t="str">
        <f aca="false">IF((E186="l"),G186," ")</f>
        <v> </v>
      </c>
      <c r="T186" s="334" t="str">
        <f aca="false">IF((E186="b"),G186," ")</f>
        <v> </v>
      </c>
      <c r="U186" s="334" t="str">
        <f aca="false">IF((E186="i"),G186," ")</f>
        <v> </v>
      </c>
      <c r="V186" s="334" t="str">
        <f aca="false">IF((E186="o"),G186," ")</f>
        <v> </v>
      </c>
      <c r="W186" s="334" t="str">
        <f aca="false">IF((E186="f"),G186," ")</f>
        <v> </v>
      </c>
    </row>
    <row r="187" customFormat="false" ht="12.75" hidden="false" customHeight="false" outlineLevel="0" collapsed="false">
      <c r="A187" s="355"/>
      <c r="E187" s="365" t="str">
        <f aca="false">IF((G187&lt;&gt;0),"Enter Letter"," ")</f>
        <v> </v>
      </c>
      <c r="H187" s="338" t="str">
        <f aca="false">IF((G187&lt;&gt;0),IF((D187&gt;0)," ",G187)," ")</f>
        <v> </v>
      </c>
      <c r="I187" s="367" t="str">
        <f aca="false">IF((G187&lt;&gt;0),IF((D187&gt;0)," ",(I$1-A187))," ")</f>
        <v> </v>
      </c>
      <c r="J187" s="334" t="str">
        <f aca="false">IF((E187="s"),G187," ")</f>
        <v> </v>
      </c>
      <c r="K187" s="334" t="str">
        <f aca="false">IF((E187="d"),G187," ")</f>
        <v> </v>
      </c>
      <c r="L187" s="334" t="str">
        <f aca="false">IF((E187="e"),G187," ")</f>
        <v> </v>
      </c>
      <c r="M187" s="334" t="str">
        <f aca="false">IF((E187="p"),G187," ")</f>
        <v> </v>
      </c>
      <c r="N187" s="334" t="str">
        <f aca="false">IF((E187="r"),G187," ")</f>
        <v> </v>
      </c>
      <c r="O187" s="334" t="str">
        <f aca="false">IF((E187="g"),G187," ")</f>
        <v> </v>
      </c>
      <c r="P187" s="334" t="str">
        <f aca="false">IF((E187="m"),G187," ")</f>
        <v> </v>
      </c>
      <c r="Q187" s="334" t="str">
        <f aca="false">IF((E187="t"),G187," ")</f>
        <v> </v>
      </c>
      <c r="R187" s="334" t="str">
        <f aca="false">IF((E187="a"),G187," ")</f>
        <v> </v>
      </c>
      <c r="S187" s="334" t="str">
        <f aca="false">IF((E187="l"),G187," ")</f>
        <v> </v>
      </c>
      <c r="T187" s="334" t="str">
        <f aca="false">IF((E187="b"),G187," ")</f>
        <v> </v>
      </c>
      <c r="U187" s="334" t="str">
        <f aca="false">IF((E187="i"),G187," ")</f>
        <v> </v>
      </c>
      <c r="V187" s="334" t="str">
        <f aca="false">IF((E187="o"),G187," ")</f>
        <v> </v>
      </c>
      <c r="W187" s="334" t="str">
        <f aca="false">IF((E187="f"),G187," ")</f>
        <v> </v>
      </c>
    </row>
    <row r="188" customFormat="false" ht="12.75" hidden="false" customHeight="false" outlineLevel="0" collapsed="false">
      <c r="A188" s="355"/>
      <c r="E188" s="365" t="str">
        <f aca="false">IF((G188&lt;&gt;0),"Enter Letter"," ")</f>
        <v> </v>
      </c>
      <c r="H188" s="338" t="str">
        <f aca="false">IF((G188&lt;&gt;0),IF((D188&gt;0)," ",G188)," ")</f>
        <v> </v>
      </c>
      <c r="I188" s="367" t="str">
        <f aca="false">IF((G188&lt;&gt;0),IF((D188&gt;0)," ",(I$1-A188))," ")</f>
        <v> </v>
      </c>
      <c r="J188" s="334" t="str">
        <f aca="false">IF((E188="s"),G188," ")</f>
        <v> </v>
      </c>
      <c r="K188" s="334" t="str">
        <f aca="false">IF((E188="d"),G188," ")</f>
        <v> </v>
      </c>
      <c r="L188" s="334" t="str">
        <f aca="false">IF((E188="e"),G188," ")</f>
        <v> </v>
      </c>
      <c r="M188" s="334" t="str">
        <f aca="false">IF((E188="p"),G188," ")</f>
        <v> </v>
      </c>
      <c r="N188" s="334" t="str">
        <f aca="false">IF((E188="r"),G188," ")</f>
        <v> </v>
      </c>
      <c r="O188" s="334" t="str">
        <f aca="false">IF((E188="g"),G188," ")</f>
        <v> </v>
      </c>
      <c r="P188" s="334" t="str">
        <f aca="false">IF((E188="m"),G188," ")</f>
        <v> </v>
      </c>
      <c r="Q188" s="334" t="str">
        <f aca="false">IF((E188="t"),G188," ")</f>
        <v> </v>
      </c>
      <c r="R188" s="334" t="str">
        <f aca="false">IF((E188="a"),G188," ")</f>
        <v> </v>
      </c>
      <c r="S188" s="334" t="str">
        <f aca="false">IF((E188="l"),G188," ")</f>
        <v> </v>
      </c>
      <c r="T188" s="334" t="str">
        <f aca="false">IF((E188="b"),G188," ")</f>
        <v> </v>
      </c>
      <c r="U188" s="334" t="str">
        <f aca="false">IF((E188="i"),G188," ")</f>
        <v> </v>
      </c>
      <c r="V188" s="334" t="str">
        <f aca="false">IF((E188="o"),G188," ")</f>
        <v> </v>
      </c>
      <c r="W188" s="334" t="str">
        <f aca="false">IF((E188="f"),G188," ")</f>
        <v> </v>
      </c>
    </row>
    <row r="189" customFormat="false" ht="12.75" hidden="false" customHeight="false" outlineLevel="0" collapsed="false">
      <c r="A189" s="355"/>
      <c r="E189" s="365" t="str">
        <f aca="false">IF((G189&lt;&gt;0),"Enter Letter"," ")</f>
        <v> </v>
      </c>
      <c r="H189" s="338" t="str">
        <f aca="false">IF((G189&lt;&gt;0),IF((D189&gt;0)," ",G189)," ")</f>
        <v> </v>
      </c>
      <c r="I189" s="367" t="str">
        <f aca="false">IF((G189&lt;&gt;0),IF((D189&gt;0)," ",(I$1-A189))," ")</f>
        <v> </v>
      </c>
      <c r="J189" s="334" t="str">
        <f aca="false">IF((E189="s"),G189," ")</f>
        <v> </v>
      </c>
      <c r="K189" s="334" t="str">
        <f aca="false">IF((E189="d"),G189," ")</f>
        <v> </v>
      </c>
      <c r="L189" s="334" t="str">
        <f aca="false">IF((E189="e"),G189," ")</f>
        <v> </v>
      </c>
      <c r="M189" s="334" t="str">
        <f aca="false">IF((E189="p"),G189," ")</f>
        <v> </v>
      </c>
      <c r="N189" s="334" t="str">
        <f aca="false">IF((E189="r"),G189," ")</f>
        <v> </v>
      </c>
      <c r="O189" s="334" t="str">
        <f aca="false">IF((E189="g"),G189," ")</f>
        <v> </v>
      </c>
      <c r="P189" s="334" t="str">
        <f aca="false">IF((E189="m"),G189," ")</f>
        <v> </v>
      </c>
      <c r="Q189" s="334" t="str">
        <f aca="false">IF((E189="t"),G189," ")</f>
        <v> </v>
      </c>
      <c r="R189" s="334" t="str">
        <f aca="false">IF((E189="a"),G189," ")</f>
        <v> </v>
      </c>
      <c r="S189" s="334" t="str">
        <f aca="false">IF((E189="l"),G189," ")</f>
        <v> </v>
      </c>
      <c r="T189" s="334" t="str">
        <f aca="false">IF((E189="b"),G189," ")</f>
        <v> </v>
      </c>
      <c r="U189" s="334" t="str">
        <f aca="false">IF((E189="i"),G189," ")</f>
        <v> </v>
      </c>
      <c r="V189" s="334" t="str">
        <f aca="false">IF((E189="o"),G189," ")</f>
        <v> </v>
      </c>
      <c r="W189" s="334" t="str">
        <f aca="false">IF((E189="f"),G189," ")</f>
        <v> </v>
      </c>
    </row>
    <row r="190" customFormat="false" ht="12.75" hidden="false" customHeight="false" outlineLevel="0" collapsed="false">
      <c r="A190" s="355"/>
      <c r="E190" s="365" t="str">
        <f aca="false">IF((G190&lt;&gt;0),"Enter Letter"," ")</f>
        <v> </v>
      </c>
      <c r="H190" s="338" t="str">
        <f aca="false">IF((G190&lt;&gt;0),IF((D190&gt;0)," ",G190)," ")</f>
        <v> </v>
      </c>
      <c r="I190" s="367" t="str">
        <f aca="false">IF((G190&lt;&gt;0),IF((D190&gt;0)," ",(I$1-A190))," ")</f>
        <v> </v>
      </c>
      <c r="J190" s="334" t="str">
        <f aca="false">IF((E190="s"),G190," ")</f>
        <v> </v>
      </c>
      <c r="K190" s="334" t="str">
        <f aca="false">IF((E190="d"),G190," ")</f>
        <v> </v>
      </c>
      <c r="L190" s="334" t="str">
        <f aca="false">IF((E190="e"),G190," ")</f>
        <v> </v>
      </c>
      <c r="M190" s="334" t="str">
        <f aca="false">IF((E190="p"),G190," ")</f>
        <v> </v>
      </c>
      <c r="N190" s="334" t="str">
        <f aca="false">IF((E190="r"),G190," ")</f>
        <v> </v>
      </c>
      <c r="O190" s="334" t="str">
        <f aca="false">IF((E190="g"),G190," ")</f>
        <v> </v>
      </c>
      <c r="P190" s="334" t="str">
        <f aca="false">IF((E190="m"),G190," ")</f>
        <v> </v>
      </c>
      <c r="Q190" s="334" t="str">
        <f aca="false">IF((E190="t"),G190," ")</f>
        <v> </v>
      </c>
      <c r="R190" s="334" t="str">
        <f aca="false">IF((E190="a"),G190," ")</f>
        <v> </v>
      </c>
      <c r="S190" s="334" t="str">
        <f aca="false">IF((E190="l"),G190," ")</f>
        <v> </v>
      </c>
      <c r="T190" s="334" t="str">
        <f aca="false">IF((E190="b"),G190," ")</f>
        <v> </v>
      </c>
      <c r="U190" s="334" t="str">
        <f aca="false">IF((E190="i"),G190," ")</f>
        <v> </v>
      </c>
      <c r="V190" s="334" t="str">
        <f aca="false">IF((E190="o"),G190," ")</f>
        <v> </v>
      </c>
      <c r="W190" s="334" t="str">
        <f aca="false">IF((E190="f"),G190," ")</f>
        <v> </v>
      </c>
    </row>
    <row r="191" customFormat="false" ht="12.75" hidden="false" customHeight="false" outlineLevel="0" collapsed="false">
      <c r="A191" s="355"/>
      <c r="E191" s="365" t="str">
        <f aca="false">IF((G191&lt;&gt;0),"Enter Letter"," ")</f>
        <v> </v>
      </c>
      <c r="H191" s="338" t="str">
        <f aca="false">IF((G191&lt;&gt;0),IF((D191&gt;0)," ",G191)," ")</f>
        <v> </v>
      </c>
      <c r="I191" s="367" t="str">
        <f aca="false">IF((G191&lt;&gt;0),IF((D191&gt;0)," ",(I$1-A191))," ")</f>
        <v> </v>
      </c>
      <c r="J191" s="334" t="str">
        <f aca="false">IF((E191="s"),G191," ")</f>
        <v> </v>
      </c>
      <c r="K191" s="334" t="str">
        <f aca="false">IF((E191="d"),G191," ")</f>
        <v> </v>
      </c>
      <c r="L191" s="334" t="str">
        <f aca="false">IF((E191="e"),G191," ")</f>
        <v> </v>
      </c>
      <c r="M191" s="334" t="str">
        <f aca="false">IF((E191="p"),G191," ")</f>
        <v> </v>
      </c>
      <c r="N191" s="334" t="str">
        <f aca="false">IF((E191="r"),G191," ")</f>
        <v> </v>
      </c>
      <c r="O191" s="334" t="str">
        <f aca="false">IF((E191="g"),G191," ")</f>
        <v> </v>
      </c>
      <c r="P191" s="334" t="str">
        <f aca="false">IF((E191="m"),G191," ")</f>
        <v> </v>
      </c>
      <c r="Q191" s="334" t="str">
        <f aca="false">IF((E191="t"),G191," ")</f>
        <v> </v>
      </c>
      <c r="R191" s="334" t="str">
        <f aca="false">IF((E191="a"),G191," ")</f>
        <v> </v>
      </c>
      <c r="S191" s="334" t="str">
        <f aca="false">IF((E191="l"),G191," ")</f>
        <v> </v>
      </c>
      <c r="T191" s="334" t="str">
        <f aca="false">IF((E191="b"),G191," ")</f>
        <v> </v>
      </c>
      <c r="U191" s="334" t="str">
        <f aca="false">IF((E191="i"),G191," ")</f>
        <v> </v>
      </c>
      <c r="V191" s="334" t="str">
        <f aca="false">IF((E191="o"),G191," ")</f>
        <v> </v>
      </c>
      <c r="W191" s="334" t="str">
        <f aca="false">IF((E191="f"),G191," ")</f>
        <v> </v>
      </c>
    </row>
    <row r="192" customFormat="false" ht="12.75" hidden="false" customHeight="false" outlineLevel="0" collapsed="false">
      <c r="A192" s="355"/>
      <c r="E192" s="365" t="str">
        <f aca="false">IF((G192&lt;&gt;0),"Enter Letter"," ")</f>
        <v> </v>
      </c>
      <c r="H192" s="338" t="str">
        <f aca="false">IF((G192&lt;&gt;0),IF((D192&gt;0)," ",G192)," ")</f>
        <v> </v>
      </c>
      <c r="I192" s="367" t="str">
        <f aca="false">IF((G192&lt;&gt;0),IF((D192&gt;0)," ",(I$1-A192))," ")</f>
        <v> </v>
      </c>
      <c r="J192" s="334" t="str">
        <f aca="false">IF((E192="s"),G192," ")</f>
        <v> </v>
      </c>
      <c r="K192" s="334" t="str">
        <f aca="false">IF((E192="d"),G192," ")</f>
        <v> </v>
      </c>
      <c r="L192" s="334" t="str">
        <f aca="false">IF((E192="e"),G192," ")</f>
        <v> </v>
      </c>
      <c r="M192" s="334" t="str">
        <f aca="false">IF((E192="p"),G192," ")</f>
        <v> </v>
      </c>
      <c r="N192" s="334" t="str">
        <f aca="false">IF((E192="r"),G192," ")</f>
        <v> </v>
      </c>
      <c r="O192" s="334" t="str">
        <f aca="false">IF((E192="g"),G192," ")</f>
        <v> </v>
      </c>
      <c r="P192" s="334" t="str">
        <f aca="false">IF((E192="m"),G192," ")</f>
        <v> </v>
      </c>
      <c r="Q192" s="334" t="str">
        <f aca="false">IF((E192="t"),G192," ")</f>
        <v> </v>
      </c>
      <c r="R192" s="334" t="str">
        <f aca="false">IF((E192="a"),G192," ")</f>
        <v> </v>
      </c>
      <c r="S192" s="334" t="str">
        <f aca="false">IF((E192="l"),G192," ")</f>
        <v> </v>
      </c>
      <c r="T192" s="334" t="str">
        <f aca="false">IF((E192="b"),G192," ")</f>
        <v> </v>
      </c>
      <c r="U192" s="334" t="str">
        <f aca="false">IF((E192="i"),G192," ")</f>
        <v> </v>
      </c>
      <c r="V192" s="334" t="str">
        <f aca="false">IF((E192="o"),G192," ")</f>
        <v> </v>
      </c>
      <c r="W192" s="334" t="str">
        <f aca="false">IF((E192="f"),G192," ")</f>
        <v> </v>
      </c>
    </row>
    <row r="193" customFormat="false" ht="12.75" hidden="false" customHeight="false" outlineLevel="0" collapsed="false">
      <c r="A193" s="355"/>
      <c r="E193" s="365" t="str">
        <f aca="false">IF((G193&lt;&gt;0),"Enter Letter"," ")</f>
        <v> </v>
      </c>
      <c r="H193" s="338" t="str">
        <f aca="false">IF((G193&lt;&gt;0),IF((D193&gt;0)," ",G193)," ")</f>
        <v> </v>
      </c>
      <c r="I193" s="367" t="str">
        <f aca="false">IF((G193&lt;&gt;0),IF((D193&gt;0)," ",(I$1-A193))," ")</f>
        <v> </v>
      </c>
      <c r="J193" s="334" t="str">
        <f aca="false">IF((E193="s"),G193," ")</f>
        <v> </v>
      </c>
      <c r="K193" s="334" t="str">
        <f aca="false">IF((E193="d"),G193," ")</f>
        <v> </v>
      </c>
      <c r="L193" s="334" t="str">
        <f aca="false">IF((E193="e"),G193," ")</f>
        <v> </v>
      </c>
      <c r="M193" s="334" t="str">
        <f aca="false">IF((E193="p"),G193," ")</f>
        <v> </v>
      </c>
      <c r="N193" s="334" t="str">
        <f aca="false">IF((E193="r"),G193," ")</f>
        <v> </v>
      </c>
      <c r="O193" s="334" t="str">
        <f aca="false">IF((E193="g"),G193," ")</f>
        <v> </v>
      </c>
      <c r="P193" s="334" t="str">
        <f aca="false">IF((E193="m"),G193," ")</f>
        <v> </v>
      </c>
      <c r="Q193" s="334" t="str">
        <f aca="false">IF((E193="t"),G193," ")</f>
        <v> </v>
      </c>
      <c r="R193" s="334" t="str">
        <f aca="false">IF((E193="a"),G193," ")</f>
        <v> </v>
      </c>
      <c r="S193" s="334" t="str">
        <f aca="false">IF((E193="l"),G193," ")</f>
        <v> </v>
      </c>
      <c r="T193" s="334" t="str">
        <f aca="false">IF((E193="b"),G193," ")</f>
        <v> </v>
      </c>
      <c r="U193" s="334" t="str">
        <f aca="false">IF((E193="i"),G193," ")</f>
        <v> </v>
      </c>
      <c r="V193" s="334" t="str">
        <f aca="false">IF((E193="o"),G193," ")</f>
        <v> </v>
      </c>
      <c r="W193" s="334" t="str">
        <f aca="false">IF((E193="f"),G193," ")</f>
        <v> </v>
      </c>
    </row>
    <row r="194" customFormat="false" ht="12.75" hidden="false" customHeight="false" outlineLevel="0" collapsed="false">
      <c r="A194" s="355"/>
      <c r="E194" s="365" t="str">
        <f aca="false">IF((G194&lt;&gt;0),"Enter Letter"," ")</f>
        <v> </v>
      </c>
      <c r="H194" s="338" t="str">
        <f aca="false">IF((G194&lt;&gt;0),IF((D194&gt;0)," ",G194)," ")</f>
        <v> </v>
      </c>
      <c r="I194" s="367" t="str">
        <f aca="false">IF((G194&lt;&gt;0),IF((D194&gt;0)," ",(I$1-A194))," ")</f>
        <v> </v>
      </c>
      <c r="J194" s="334" t="str">
        <f aca="false">IF((E194="s"),G194," ")</f>
        <v> </v>
      </c>
      <c r="K194" s="334" t="str">
        <f aca="false">IF((E194="d"),G194," ")</f>
        <v> </v>
      </c>
      <c r="L194" s="334" t="str">
        <f aca="false">IF((E194="e"),G194," ")</f>
        <v> </v>
      </c>
      <c r="M194" s="334" t="str">
        <f aca="false">IF((E194="p"),G194," ")</f>
        <v> </v>
      </c>
      <c r="N194" s="334" t="str">
        <f aca="false">IF((E194="r"),G194," ")</f>
        <v> </v>
      </c>
      <c r="O194" s="334" t="str">
        <f aca="false">IF((E194="g"),G194," ")</f>
        <v> </v>
      </c>
      <c r="P194" s="334" t="str">
        <f aca="false">IF((E194="m"),G194," ")</f>
        <v> </v>
      </c>
      <c r="Q194" s="334" t="str">
        <f aca="false">IF((E194="t"),G194," ")</f>
        <v> </v>
      </c>
      <c r="R194" s="334" t="str">
        <f aca="false">IF((E194="a"),G194," ")</f>
        <v> </v>
      </c>
      <c r="S194" s="334" t="str">
        <f aca="false">IF((E194="l"),G194," ")</f>
        <v> </v>
      </c>
      <c r="T194" s="334" t="str">
        <f aca="false">IF((E194="b"),G194," ")</f>
        <v> </v>
      </c>
      <c r="U194" s="334" t="str">
        <f aca="false">IF((E194="i"),G194," ")</f>
        <v> </v>
      </c>
      <c r="V194" s="334" t="str">
        <f aca="false">IF((E194="o"),G194," ")</f>
        <v> </v>
      </c>
      <c r="W194" s="334" t="str">
        <f aca="false">IF((E194="f"),G194," ")</f>
        <v> </v>
      </c>
    </row>
    <row r="195" customFormat="false" ht="12.75" hidden="false" customHeight="false" outlineLevel="0" collapsed="false">
      <c r="A195" s="355"/>
      <c r="E195" s="365" t="str">
        <f aca="false">IF((G195&lt;&gt;0),"Enter Letter"," ")</f>
        <v> </v>
      </c>
      <c r="H195" s="338" t="str">
        <f aca="false">IF((G195&lt;&gt;0),IF((D195&gt;0)," ",G195)," ")</f>
        <v> </v>
      </c>
      <c r="I195" s="367" t="str">
        <f aca="false">IF((G195&lt;&gt;0),IF((D195&gt;0)," ",(I$1-A195))," ")</f>
        <v> </v>
      </c>
      <c r="J195" s="334" t="str">
        <f aca="false">IF((E195="s"),G195," ")</f>
        <v> </v>
      </c>
      <c r="K195" s="334" t="str">
        <f aca="false">IF((E195="d"),G195," ")</f>
        <v> </v>
      </c>
      <c r="L195" s="334" t="str">
        <f aca="false">IF((E195="e"),G195," ")</f>
        <v> </v>
      </c>
      <c r="M195" s="334" t="str">
        <f aca="false">IF((E195="p"),G195," ")</f>
        <v> </v>
      </c>
      <c r="N195" s="334" t="str">
        <f aca="false">IF((E195="r"),G195," ")</f>
        <v> </v>
      </c>
      <c r="O195" s="334" t="str">
        <f aca="false">IF((E195="g"),G195," ")</f>
        <v> </v>
      </c>
      <c r="P195" s="334" t="str">
        <f aca="false">IF((E195="m"),G195," ")</f>
        <v> </v>
      </c>
      <c r="Q195" s="334" t="str">
        <f aca="false">IF((E195="t"),G195," ")</f>
        <v> </v>
      </c>
      <c r="R195" s="334" t="str">
        <f aca="false">IF((E195="a"),G195," ")</f>
        <v> </v>
      </c>
      <c r="S195" s="334" t="str">
        <f aca="false">IF((E195="l"),G195," ")</f>
        <v> </v>
      </c>
      <c r="T195" s="334" t="str">
        <f aca="false">IF((E195="b"),G195," ")</f>
        <v> </v>
      </c>
      <c r="U195" s="334" t="str">
        <f aca="false">IF((E195="i"),G195," ")</f>
        <v> </v>
      </c>
      <c r="V195" s="334" t="str">
        <f aca="false">IF((E195="o"),G195," ")</f>
        <v> </v>
      </c>
      <c r="W195" s="334" t="str">
        <f aca="false">IF((E195="f"),G195," ")</f>
        <v> </v>
      </c>
    </row>
    <row r="196" customFormat="false" ht="12.75" hidden="false" customHeight="false" outlineLevel="0" collapsed="false">
      <c r="A196" s="355"/>
      <c r="E196" s="365" t="str">
        <f aca="false">IF((G196&lt;&gt;0),"Enter Letter"," ")</f>
        <v> </v>
      </c>
      <c r="H196" s="338" t="str">
        <f aca="false">IF((G196&lt;&gt;0),IF((D196&gt;0)," ",G196)," ")</f>
        <v> </v>
      </c>
      <c r="I196" s="367" t="str">
        <f aca="false">IF((G196&lt;&gt;0),IF((D196&gt;0)," ",(I$1-A196))," ")</f>
        <v> </v>
      </c>
      <c r="J196" s="334" t="str">
        <f aca="false">IF((E196="s"),G196," ")</f>
        <v> </v>
      </c>
      <c r="K196" s="334" t="str">
        <f aca="false">IF((E196="d"),G196," ")</f>
        <v> </v>
      </c>
      <c r="L196" s="334" t="str">
        <f aca="false">IF((E196="e"),G196," ")</f>
        <v> </v>
      </c>
      <c r="M196" s="334" t="str">
        <f aca="false">IF((E196="p"),G196," ")</f>
        <v> </v>
      </c>
      <c r="N196" s="334" t="str">
        <f aca="false">IF((E196="r"),G196," ")</f>
        <v> </v>
      </c>
      <c r="O196" s="334" t="str">
        <f aca="false">IF((E196="g"),G196," ")</f>
        <v> </v>
      </c>
      <c r="P196" s="334" t="str">
        <f aca="false">IF((E196="m"),G196," ")</f>
        <v> </v>
      </c>
      <c r="Q196" s="334" t="str">
        <f aca="false">IF((E196="t"),G196," ")</f>
        <v> </v>
      </c>
      <c r="R196" s="334" t="str">
        <f aca="false">IF((E196="a"),G196," ")</f>
        <v> </v>
      </c>
      <c r="S196" s="334" t="str">
        <f aca="false">IF((E196="l"),G196," ")</f>
        <v> </v>
      </c>
      <c r="T196" s="334" t="str">
        <f aca="false">IF((E196="b"),G196," ")</f>
        <v> </v>
      </c>
      <c r="U196" s="334" t="str">
        <f aca="false">IF((E196="i"),G196," ")</f>
        <v> </v>
      </c>
      <c r="V196" s="334" t="str">
        <f aca="false">IF((E196="o"),G196," ")</f>
        <v> </v>
      </c>
      <c r="W196" s="334" t="str">
        <f aca="false">IF((E196="f"),G196," ")</f>
        <v> </v>
      </c>
    </row>
    <row r="197" customFormat="false" ht="12.75" hidden="false" customHeight="false" outlineLevel="0" collapsed="false">
      <c r="A197" s="355"/>
      <c r="E197" s="365" t="str">
        <f aca="false">IF((G197&lt;&gt;0),"Enter Letter"," ")</f>
        <v> </v>
      </c>
      <c r="H197" s="338" t="str">
        <f aca="false">IF((G197&lt;&gt;0),IF((D197&gt;0)," ",G197)," ")</f>
        <v> </v>
      </c>
      <c r="I197" s="367" t="str">
        <f aca="false">IF((G197&lt;&gt;0),IF((D197&gt;0)," ",(I$1-A197))," ")</f>
        <v> </v>
      </c>
      <c r="J197" s="334" t="str">
        <f aca="false">IF((E197="s"),G197," ")</f>
        <v> </v>
      </c>
      <c r="K197" s="334" t="str">
        <f aca="false">IF((E197="d"),G197," ")</f>
        <v> </v>
      </c>
      <c r="L197" s="334" t="str">
        <f aca="false">IF((E197="e"),G197," ")</f>
        <v> </v>
      </c>
      <c r="M197" s="334" t="str">
        <f aca="false">IF((E197="p"),G197," ")</f>
        <v> </v>
      </c>
      <c r="N197" s="334" t="str">
        <f aca="false">IF((E197="r"),G197," ")</f>
        <v> </v>
      </c>
      <c r="O197" s="334" t="str">
        <f aca="false">IF((E197="g"),G197," ")</f>
        <v> </v>
      </c>
      <c r="P197" s="334" t="str">
        <f aca="false">IF((E197="m"),G197," ")</f>
        <v> </v>
      </c>
      <c r="Q197" s="334" t="str">
        <f aca="false">IF((E197="t"),G197," ")</f>
        <v> </v>
      </c>
      <c r="R197" s="334" t="str">
        <f aca="false">IF((E197="a"),G197," ")</f>
        <v> </v>
      </c>
      <c r="S197" s="334" t="str">
        <f aca="false">IF((E197="l"),G197," ")</f>
        <v> </v>
      </c>
      <c r="T197" s="334" t="str">
        <f aca="false">IF((E197="b"),G197," ")</f>
        <v> </v>
      </c>
      <c r="U197" s="334" t="str">
        <f aca="false">IF((E197="i"),G197," ")</f>
        <v> </v>
      </c>
      <c r="V197" s="334" t="str">
        <f aca="false">IF((E197="o"),G197," ")</f>
        <v> </v>
      </c>
      <c r="W197" s="334" t="str">
        <f aca="false">IF((E197="f"),G197," ")</f>
        <v> </v>
      </c>
    </row>
    <row r="198" customFormat="false" ht="12.75" hidden="false" customHeight="false" outlineLevel="0" collapsed="false">
      <c r="A198" s="355"/>
      <c r="E198" s="365" t="str">
        <f aca="false">IF((G198&lt;&gt;0),"Enter Letter"," ")</f>
        <v> </v>
      </c>
      <c r="H198" s="338" t="str">
        <f aca="false">IF((G198&lt;&gt;0),IF((D198&gt;0)," ",G198)," ")</f>
        <v> </v>
      </c>
      <c r="I198" s="367" t="str">
        <f aca="false">IF((G198&lt;&gt;0),IF((D198&gt;0)," ",(I$1-A198))," ")</f>
        <v> </v>
      </c>
      <c r="J198" s="334" t="str">
        <f aca="false">IF((E198="s"),G198," ")</f>
        <v> </v>
      </c>
      <c r="K198" s="334" t="str">
        <f aca="false">IF((E198="d"),G198," ")</f>
        <v> </v>
      </c>
      <c r="L198" s="334" t="str">
        <f aca="false">IF((E198="e"),G198," ")</f>
        <v> </v>
      </c>
      <c r="M198" s="334" t="str">
        <f aca="false">IF((E198="p"),G198," ")</f>
        <v> </v>
      </c>
      <c r="N198" s="334" t="str">
        <f aca="false">IF((E198="r"),G198," ")</f>
        <v> </v>
      </c>
      <c r="O198" s="334" t="str">
        <f aca="false">IF((E198="g"),G198," ")</f>
        <v> </v>
      </c>
      <c r="P198" s="334" t="str">
        <f aca="false">IF((E198="m"),G198," ")</f>
        <v> </v>
      </c>
      <c r="Q198" s="334" t="str">
        <f aca="false">IF((E198="t"),G198," ")</f>
        <v> </v>
      </c>
      <c r="R198" s="334" t="str">
        <f aca="false">IF((E198="a"),G198," ")</f>
        <v> </v>
      </c>
      <c r="S198" s="334" t="str">
        <f aca="false">IF((E198="l"),G198," ")</f>
        <v> </v>
      </c>
      <c r="T198" s="334" t="str">
        <f aca="false">IF((E198="b"),G198," ")</f>
        <v> </v>
      </c>
      <c r="U198" s="334" t="str">
        <f aca="false">IF((E198="i"),G198," ")</f>
        <v> </v>
      </c>
      <c r="V198" s="334" t="str">
        <f aca="false">IF((E198="o"),G198," ")</f>
        <v> </v>
      </c>
      <c r="W198" s="334" t="str">
        <f aca="false">IF((E198="f"),G198," ")</f>
        <v> </v>
      </c>
    </row>
    <row r="199" customFormat="false" ht="12.75" hidden="false" customHeight="false" outlineLevel="0" collapsed="false">
      <c r="A199" s="355"/>
      <c r="E199" s="365" t="str">
        <f aca="false">IF((G199&lt;&gt;0),"Enter Letter"," ")</f>
        <v> </v>
      </c>
      <c r="H199" s="338" t="str">
        <f aca="false">IF((G199&lt;&gt;0),IF((D199&gt;0)," ",G199)," ")</f>
        <v> </v>
      </c>
      <c r="I199" s="367" t="str">
        <f aca="false">IF((G199&lt;&gt;0),IF((D199&gt;0)," ",(I$1-A199))," ")</f>
        <v> </v>
      </c>
      <c r="J199" s="334" t="str">
        <f aca="false">IF((E199="s"),G199," ")</f>
        <v> </v>
      </c>
      <c r="K199" s="334" t="str">
        <f aca="false">IF((E199="d"),G199," ")</f>
        <v> </v>
      </c>
      <c r="L199" s="334" t="str">
        <f aca="false">IF((E199="e"),G199," ")</f>
        <v> </v>
      </c>
      <c r="M199" s="334" t="str">
        <f aca="false">IF((E199="p"),G199," ")</f>
        <v> </v>
      </c>
      <c r="N199" s="334" t="str">
        <f aca="false">IF((E199="r"),G199," ")</f>
        <v> </v>
      </c>
      <c r="O199" s="334" t="str">
        <f aca="false">IF((E199="g"),G199," ")</f>
        <v> </v>
      </c>
      <c r="P199" s="334" t="str">
        <f aca="false">IF((E199="m"),G199," ")</f>
        <v> </v>
      </c>
      <c r="Q199" s="334" t="str">
        <f aca="false">IF((E199="t"),G199," ")</f>
        <v> </v>
      </c>
      <c r="R199" s="334" t="str">
        <f aca="false">IF((E199="a"),G199," ")</f>
        <v> </v>
      </c>
      <c r="S199" s="334" t="str">
        <f aca="false">IF((E199="l"),G199," ")</f>
        <v> </v>
      </c>
      <c r="T199" s="334" t="str">
        <f aca="false">IF((E199="b"),G199," ")</f>
        <v> </v>
      </c>
      <c r="U199" s="334" t="str">
        <f aca="false">IF((E199="i"),G199," ")</f>
        <v> </v>
      </c>
      <c r="V199" s="334" t="str">
        <f aca="false">IF((E199="o"),G199," ")</f>
        <v> </v>
      </c>
      <c r="W199" s="334" t="str">
        <f aca="false">IF((E199="f"),G199," ")</f>
        <v> </v>
      </c>
    </row>
    <row r="200" customFormat="false" ht="12.75" hidden="false" customHeight="false" outlineLevel="0" collapsed="false">
      <c r="A200" s="355"/>
      <c r="E200" s="365" t="str">
        <f aca="false">IF((G200&lt;&gt;0),"Enter Letter"," ")</f>
        <v> </v>
      </c>
      <c r="H200" s="338" t="str">
        <f aca="false">IF((G200&lt;&gt;0),IF((D200&gt;0)," ",G200)," ")</f>
        <v> </v>
      </c>
      <c r="I200" s="367" t="str">
        <f aca="false">IF((G200&lt;&gt;0),IF((D200&gt;0)," ",(I$1-A200))," ")</f>
        <v> </v>
      </c>
      <c r="J200" s="334" t="str">
        <f aca="false">IF((E200="s"),G200," ")</f>
        <v> </v>
      </c>
      <c r="K200" s="334" t="str">
        <f aca="false">IF((E200="d"),G200," ")</f>
        <v> </v>
      </c>
      <c r="L200" s="334" t="str">
        <f aca="false">IF((E200="e"),G200," ")</f>
        <v> </v>
      </c>
      <c r="M200" s="334" t="str">
        <f aca="false">IF((E200="p"),G200," ")</f>
        <v> </v>
      </c>
      <c r="N200" s="334" t="str">
        <f aca="false">IF((E200="r"),G200," ")</f>
        <v> </v>
      </c>
      <c r="O200" s="334" t="str">
        <f aca="false">IF((E200="g"),G200," ")</f>
        <v> </v>
      </c>
      <c r="P200" s="334" t="str">
        <f aca="false">IF((E200="m"),G200," ")</f>
        <v> </v>
      </c>
      <c r="Q200" s="334" t="str">
        <f aca="false">IF((E200="t"),G200," ")</f>
        <v> </v>
      </c>
      <c r="R200" s="334" t="str">
        <f aca="false">IF((E200="a"),G200," ")</f>
        <v> </v>
      </c>
      <c r="S200" s="334" t="str">
        <f aca="false">IF((E200="l"),G200," ")</f>
        <v> </v>
      </c>
      <c r="T200" s="334" t="str">
        <f aca="false">IF((E200="b"),G200," ")</f>
        <v> </v>
      </c>
      <c r="U200" s="334" t="str">
        <f aca="false">IF((E200="i"),G200," ")</f>
        <v> </v>
      </c>
      <c r="V200" s="334" t="str">
        <f aca="false">IF((E200="o"),G200," ")</f>
        <v> </v>
      </c>
      <c r="W200" s="334" t="str">
        <f aca="false">IF((E200="f"),G200," ")</f>
        <v> </v>
      </c>
      <c r="Y200" s="399"/>
      <c r="Z200" s="399"/>
    </row>
    <row r="201" customFormat="false" ht="12.75" hidden="false" customHeight="false" outlineLevel="0" collapsed="false">
      <c r="A201" s="355"/>
      <c r="E201" s="365" t="str">
        <f aca="false">IF((G201&lt;&gt;0),"Enter Letter"," ")</f>
        <v> </v>
      </c>
      <c r="H201" s="338" t="str">
        <f aca="false">IF((G201&lt;&gt;0),IF((D201&gt;0)," ",G201)," ")</f>
        <v> </v>
      </c>
      <c r="I201" s="367" t="str">
        <f aca="false">IF((G201&lt;&gt;0),IF((D201&gt;0)," ",(I$1-A201))," ")</f>
        <v> </v>
      </c>
      <c r="J201" s="334" t="str">
        <f aca="false">IF((E201="s"),G201," ")</f>
        <v> </v>
      </c>
      <c r="K201" s="334" t="str">
        <f aca="false">IF((E201="d"),G201," ")</f>
        <v> </v>
      </c>
      <c r="L201" s="334" t="str">
        <f aca="false">IF((E201="e"),G201," ")</f>
        <v> </v>
      </c>
      <c r="M201" s="334" t="str">
        <f aca="false">IF((E201="p"),G201," ")</f>
        <v> </v>
      </c>
      <c r="N201" s="334" t="str">
        <f aca="false">IF((E201="r"),G201," ")</f>
        <v> </v>
      </c>
      <c r="O201" s="334" t="str">
        <f aca="false">IF((E201="g"),G201," ")</f>
        <v> </v>
      </c>
      <c r="P201" s="334" t="str">
        <f aca="false">IF((E201="m"),G201," ")</f>
        <v> </v>
      </c>
      <c r="Q201" s="334" t="str">
        <f aca="false">IF((E201="t"),G201," ")</f>
        <v> </v>
      </c>
      <c r="R201" s="334" t="str">
        <f aca="false">IF((E201="a"),G201," ")</f>
        <v> </v>
      </c>
      <c r="S201" s="334" t="str">
        <f aca="false">IF((E201="l"),G201," ")</f>
        <v> </v>
      </c>
      <c r="T201" s="334" t="str">
        <f aca="false">IF((E201="b"),G201," ")</f>
        <v> </v>
      </c>
      <c r="U201" s="334" t="str">
        <f aca="false">IF((E201="i"),G201," ")</f>
        <v> </v>
      </c>
      <c r="V201" s="334" t="str">
        <f aca="false">IF((E201="o"),G201," ")</f>
        <v> </v>
      </c>
      <c r="W201" s="334" t="str">
        <f aca="false">IF((E201="f"),G201," ")</f>
        <v> </v>
      </c>
    </row>
    <row r="202" customFormat="false" ht="12.75" hidden="false" customHeight="false" outlineLevel="0" collapsed="false">
      <c r="A202" s="355"/>
      <c r="E202" s="365" t="str">
        <f aca="false">IF((G202&lt;&gt;0),"Enter Letter"," ")</f>
        <v> </v>
      </c>
      <c r="H202" s="338" t="str">
        <f aca="false">IF((G202&lt;&gt;0),IF((D202&gt;0)," ",G202)," ")</f>
        <v> </v>
      </c>
      <c r="I202" s="367" t="str">
        <f aca="false">IF((G202&lt;&gt;0),IF((D202&gt;0)," ",(I$1-A202))," ")</f>
        <v> </v>
      </c>
      <c r="J202" s="334" t="str">
        <f aca="false">IF((E202="s"),G202," ")</f>
        <v> </v>
      </c>
      <c r="K202" s="334" t="str">
        <f aca="false">IF((E202="d"),G202," ")</f>
        <v> </v>
      </c>
      <c r="L202" s="334" t="str">
        <f aca="false">IF((E202="e"),G202," ")</f>
        <v> </v>
      </c>
      <c r="M202" s="334" t="str">
        <f aca="false">IF((E202="p"),G202," ")</f>
        <v> </v>
      </c>
      <c r="N202" s="334" t="str">
        <f aca="false">IF((E202="r"),G202," ")</f>
        <v> </v>
      </c>
      <c r="O202" s="334" t="str">
        <f aca="false">IF((E202="g"),G202," ")</f>
        <v> </v>
      </c>
      <c r="P202" s="334" t="str">
        <f aca="false">IF((E202="m"),G202," ")</f>
        <v> </v>
      </c>
      <c r="Q202" s="334" t="str">
        <f aca="false">IF((E202="t"),G202," ")</f>
        <v> </v>
      </c>
      <c r="R202" s="334" t="str">
        <f aca="false">IF((E202="a"),G202," ")</f>
        <v> </v>
      </c>
      <c r="S202" s="334" t="str">
        <f aca="false">IF((E202="l"),G202," ")</f>
        <v> </v>
      </c>
      <c r="T202" s="334" t="str">
        <f aca="false">IF((E202="b"),G202," ")</f>
        <v> </v>
      </c>
      <c r="U202" s="334" t="str">
        <f aca="false">IF((E202="i"),G202," ")</f>
        <v> </v>
      </c>
      <c r="V202" s="334" t="str">
        <f aca="false">IF((E202="o"),G202," ")</f>
        <v> </v>
      </c>
      <c r="W202" s="334" t="str">
        <f aca="false">IF((E202="f"),G202," ")</f>
        <v> </v>
      </c>
    </row>
    <row r="203" customFormat="false" ht="12.75" hidden="false" customHeight="false" outlineLevel="0" collapsed="false">
      <c r="A203" s="355"/>
      <c r="E203" s="365" t="str">
        <f aca="false">IF((G203&lt;&gt;0),"Enter Letter"," ")</f>
        <v> </v>
      </c>
      <c r="H203" s="338" t="str">
        <f aca="false">IF((G203&lt;&gt;0),IF((D203&gt;0)," ",G203)," ")</f>
        <v> </v>
      </c>
      <c r="I203" s="367" t="str">
        <f aca="false">IF((G203&lt;&gt;0),IF((D203&gt;0)," ",(I$1-A203))," ")</f>
        <v> </v>
      </c>
      <c r="J203" s="334" t="str">
        <f aca="false">IF((E203="s"),G203," ")</f>
        <v> </v>
      </c>
      <c r="K203" s="334" t="str">
        <f aca="false">IF((E203="d"),G203," ")</f>
        <v> </v>
      </c>
      <c r="L203" s="334" t="str">
        <f aca="false">IF((E203="e"),G203," ")</f>
        <v> </v>
      </c>
      <c r="M203" s="334" t="str">
        <f aca="false">IF((E203="p"),G203," ")</f>
        <v> </v>
      </c>
      <c r="N203" s="334" t="str">
        <f aca="false">IF((E203="r"),G203," ")</f>
        <v> </v>
      </c>
      <c r="O203" s="334" t="str">
        <f aca="false">IF((E203="g"),G203," ")</f>
        <v> </v>
      </c>
      <c r="P203" s="334" t="str">
        <f aca="false">IF((E203="m"),G203," ")</f>
        <v> </v>
      </c>
      <c r="Q203" s="334" t="str">
        <f aca="false">IF((E203="t"),G203," ")</f>
        <v> </v>
      </c>
      <c r="R203" s="334" t="str">
        <f aca="false">IF((E203="a"),G203," ")</f>
        <v> </v>
      </c>
      <c r="S203" s="334" t="str">
        <f aca="false">IF((E203="l"),G203," ")</f>
        <v> </v>
      </c>
      <c r="T203" s="334" t="str">
        <f aca="false">IF((E203="b"),G203," ")</f>
        <v> </v>
      </c>
      <c r="U203" s="334" t="str">
        <f aca="false">IF((E203="i"),G203," ")</f>
        <v> </v>
      </c>
      <c r="V203" s="334" t="str">
        <f aca="false">IF((E203="o"),G203," ")</f>
        <v> </v>
      </c>
      <c r="W203" s="334" t="str">
        <f aca="false">IF((E203="f"),G203," ")</f>
        <v> </v>
      </c>
    </row>
    <row r="204" customFormat="false" ht="12.75" hidden="false" customHeight="false" outlineLevel="0" collapsed="false">
      <c r="A204" s="355"/>
      <c r="E204" s="365" t="str">
        <f aca="false">IF((G204&lt;&gt;0),"Enter Letter"," ")</f>
        <v> </v>
      </c>
      <c r="H204" s="338" t="str">
        <f aca="false">IF((G204&lt;&gt;0),IF((D204&gt;0)," ",G204)," ")</f>
        <v> </v>
      </c>
      <c r="I204" s="367" t="str">
        <f aca="false">IF((G204&lt;&gt;0),IF((D204&gt;0)," ",(I$1-A204))," ")</f>
        <v> </v>
      </c>
      <c r="J204" s="334" t="str">
        <f aca="false">IF((E204="s"),G204," ")</f>
        <v> </v>
      </c>
      <c r="K204" s="334" t="str">
        <f aca="false">IF((E204="d"),G204," ")</f>
        <v> </v>
      </c>
      <c r="L204" s="334" t="str">
        <f aca="false">IF((E204="e"),G204," ")</f>
        <v> </v>
      </c>
      <c r="M204" s="334" t="str">
        <f aca="false">IF((E204="p"),G204," ")</f>
        <v> </v>
      </c>
      <c r="N204" s="334" t="str">
        <f aca="false">IF((E204="r"),G204," ")</f>
        <v> </v>
      </c>
      <c r="O204" s="334" t="str">
        <f aca="false">IF((E204="g"),G204," ")</f>
        <v> </v>
      </c>
      <c r="P204" s="334" t="str">
        <f aca="false">IF((E204="m"),G204," ")</f>
        <v> </v>
      </c>
      <c r="Q204" s="334" t="str">
        <f aca="false">IF((E204="t"),G204," ")</f>
        <v> </v>
      </c>
      <c r="R204" s="334" t="str">
        <f aca="false">IF((E204="a"),G204," ")</f>
        <v> </v>
      </c>
      <c r="S204" s="334" t="str">
        <f aca="false">IF((E204="l"),G204," ")</f>
        <v> </v>
      </c>
      <c r="T204" s="334" t="str">
        <f aca="false">IF((E204="b"),G204," ")</f>
        <v> </v>
      </c>
      <c r="U204" s="334" t="str">
        <f aca="false">IF((E204="i"),G204," ")</f>
        <v> </v>
      </c>
      <c r="V204" s="334" t="str">
        <f aca="false">IF((E204="o"),G204," ")</f>
        <v> </v>
      </c>
      <c r="W204" s="334" t="str">
        <f aca="false">IF((E204="f"),G204," ")</f>
        <v> </v>
      </c>
    </row>
    <row r="205" customFormat="false" ht="12.75" hidden="false" customHeight="false" outlineLevel="0" collapsed="false">
      <c r="A205" s="355"/>
      <c r="E205" s="365" t="str">
        <f aca="false">IF((G205&lt;&gt;0),"Enter Letter"," ")</f>
        <v> </v>
      </c>
      <c r="J205" s="334" t="str">
        <f aca="false">IF((E205="s"),G205," ")</f>
        <v> </v>
      </c>
      <c r="K205" s="334" t="str">
        <f aca="false">IF((E205="d"),G205," ")</f>
        <v> </v>
      </c>
      <c r="L205" s="334" t="str">
        <f aca="false">IF((E205="e"),G205," ")</f>
        <v> </v>
      </c>
      <c r="M205" s="334" t="str">
        <f aca="false">IF((E205="p"),G205," ")</f>
        <v> </v>
      </c>
      <c r="N205" s="334" t="str">
        <f aca="false">IF((E205="r"),G205," ")</f>
        <v> </v>
      </c>
      <c r="O205" s="334" t="str">
        <f aca="false">IF((E205="g"),G205," ")</f>
        <v> </v>
      </c>
      <c r="P205" s="334" t="str">
        <f aca="false">IF((E205="m"),G205," ")</f>
        <v> </v>
      </c>
      <c r="Q205" s="334" t="str">
        <f aca="false">IF((E205="t"),G205," ")</f>
        <v> </v>
      </c>
      <c r="R205" s="334" t="str">
        <f aca="false">IF((E205="a"),G205," ")</f>
        <v> </v>
      </c>
      <c r="S205" s="334" t="str">
        <f aca="false">IF((E205="l"),G205," ")</f>
        <v> </v>
      </c>
      <c r="T205" s="334" t="str">
        <f aca="false">IF((E205="b"),G205," ")</f>
        <v> </v>
      </c>
      <c r="U205" s="334" t="str">
        <f aca="false">IF((E205="i"),G205," ")</f>
        <v> </v>
      </c>
      <c r="V205" s="334" t="str">
        <f aca="false">IF((E205="o"),G205," ")</f>
        <v> </v>
      </c>
      <c r="W205" s="334" t="str">
        <f aca="false">IF((E205="f"),G205," ")</f>
        <v> </v>
      </c>
    </row>
    <row r="206" customFormat="false" ht="12.75" hidden="false" customHeight="false" outlineLevel="0" collapsed="false">
      <c r="A206" s="355"/>
      <c r="E206" s="365" t="str">
        <f aca="false">IF((G206&lt;&gt;0),"Enter Letter"," ")</f>
        <v> </v>
      </c>
      <c r="J206" s="334" t="str">
        <f aca="false">IF((E206="s"),G206," ")</f>
        <v> </v>
      </c>
      <c r="K206" s="334" t="str">
        <f aca="false">IF((E206="d"),G206," ")</f>
        <v> </v>
      </c>
      <c r="L206" s="334" t="str">
        <f aca="false">IF((E206="e"),G206," ")</f>
        <v> </v>
      </c>
      <c r="M206" s="334" t="str">
        <f aca="false">IF((E206="p"),G206," ")</f>
        <v> </v>
      </c>
      <c r="N206" s="334" t="str">
        <f aca="false">IF((E206="r"),G206," ")</f>
        <v> </v>
      </c>
      <c r="O206" s="334" t="str">
        <f aca="false">IF((E206="g"),G206," ")</f>
        <v> </v>
      </c>
      <c r="P206" s="334" t="str">
        <f aca="false">IF((E206="m"),G206," ")</f>
        <v> </v>
      </c>
      <c r="Q206" s="334" t="str">
        <f aca="false">IF((E206="t"),G206," ")</f>
        <v> </v>
      </c>
      <c r="R206" s="334" t="str">
        <f aca="false">IF((E206="a"),G206," ")</f>
        <v> </v>
      </c>
      <c r="S206" s="334" t="str">
        <f aca="false">IF((E206="l"),G206," ")</f>
        <v> </v>
      </c>
      <c r="T206" s="334" t="str">
        <f aca="false">IF((E206="b"),G206," ")</f>
        <v> </v>
      </c>
      <c r="U206" s="334" t="str">
        <f aca="false">IF((E206="i"),G206," ")</f>
        <v> </v>
      </c>
      <c r="V206" s="334" t="str">
        <f aca="false">IF((E206="o"),G206," ")</f>
        <v> </v>
      </c>
      <c r="W206" s="334" t="str">
        <f aca="false">IF((E206="f"),G206," ")</f>
        <v> </v>
      </c>
    </row>
    <row r="207" customFormat="false" ht="12.75" hidden="false" customHeight="false" outlineLevel="0" collapsed="false">
      <c r="A207" s="355"/>
      <c r="E207" s="365" t="str">
        <f aca="false">IF((G207&lt;&gt;0),"Enter Letter"," ")</f>
        <v> </v>
      </c>
      <c r="J207" s="334" t="str">
        <f aca="false">IF((E207="s"),G207," ")</f>
        <v> </v>
      </c>
      <c r="K207" s="334" t="str">
        <f aca="false">IF((E207="d"),G207," ")</f>
        <v> </v>
      </c>
      <c r="L207" s="334" t="str">
        <f aca="false">IF((E207="e"),G207," ")</f>
        <v> </v>
      </c>
      <c r="M207" s="334" t="str">
        <f aca="false">IF((E207="p"),G207," ")</f>
        <v> </v>
      </c>
      <c r="N207" s="334" t="str">
        <f aca="false">IF((E207="r"),G207," ")</f>
        <v> </v>
      </c>
      <c r="O207" s="334" t="str">
        <f aca="false">IF((E207="g"),G207," ")</f>
        <v> </v>
      </c>
      <c r="P207" s="334" t="str">
        <f aca="false">IF((E207="m"),G207," ")</f>
        <v> </v>
      </c>
      <c r="Q207" s="334" t="str">
        <f aca="false">IF((E207="t"),G207," ")</f>
        <v> </v>
      </c>
      <c r="R207" s="334" t="str">
        <f aca="false">IF((E207="a"),G207," ")</f>
        <v> </v>
      </c>
      <c r="S207" s="334" t="str">
        <f aca="false">IF((E207="l"),G207," ")</f>
        <v> </v>
      </c>
      <c r="T207" s="334" t="str">
        <f aca="false">IF((E207="b"),G207," ")</f>
        <v> </v>
      </c>
      <c r="U207" s="334" t="str">
        <f aca="false">IF((E207="i"),G207," ")</f>
        <v> </v>
      </c>
      <c r="V207" s="334" t="str">
        <f aca="false">IF((E207="o"),G207," ")</f>
        <v> </v>
      </c>
      <c r="W207" s="334" t="str">
        <f aca="false">IF((E207="f"),G207," ")</f>
        <v> </v>
      </c>
    </row>
    <row r="208" customFormat="false" ht="12.75" hidden="false" customHeight="false" outlineLevel="0" collapsed="false">
      <c r="A208" s="355"/>
      <c r="E208" s="365" t="str">
        <f aca="false">IF((G208&lt;&gt;0),"Enter Letter"," ")</f>
        <v> </v>
      </c>
      <c r="J208" s="334" t="str">
        <f aca="false">IF((E208="s"),G208," ")</f>
        <v> </v>
      </c>
      <c r="K208" s="334" t="str">
        <f aca="false">IF((E208="d"),G208," ")</f>
        <v> </v>
      </c>
      <c r="L208" s="334" t="str">
        <f aca="false">IF((E208="e"),G208," ")</f>
        <v> </v>
      </c>
      <c r="M208" s="334" t="str">
        <f aca="false">IF((E208="p"),G208," ")</f>
        <v> </v>
      </c>
      <c r="N208" s="334" t="str">
        <f aca="false">IF((E208="r"),G208," ")</f>
        <v> </v>
      </c>
      <c r="O208" s="334" t="str">
        <f aca="false">IF((E208="g"),G208," ")</f>
        <v> </v>
      </c>
      <c r="P208" s="334" t="str">
        <f aca="false">IF((E208="m"),G208," ")</f>
        <v> </v>
      </c>
      <c r="Q208" s="334" t="str">
        <f aca="false">IF((E208="t"),G208," ")</f>
        <v> </v>
      </c>
      <c r="R208" s="334" t="str">
        <f aca="false">IF((E208="a"),G208," ")</f>
        <v> </v>
      </c>
      <c r="S208" s="334" t="str">
        <f aca="false">IF((E208="l"),G208," ")</f>
        <v> </v>
      </c>
      <c r="T208" s="334" t="str">
        <f aca="false">IF((E208="b"),G208," ")</f>
        <v> </v>
      </c>
      <c r="U208" s="334" t="str">
        <f aca="false">IF((E208="i"),G208," ")</f>
        <v> </v>
      </c>
      <c r="V208" s="334" t="str">
        <f aca="false">IF((E208="o"),G208," ")</f>
        <v> </v>
      </c>
      <c r="W208" s="334" t="str">
        <f aca="false">IF((E208="f"),G208," ")</f>
        <v> </v>
      </c>
    </row>
    <row r="209" customFormat="false" ht="12.75" hidden="false" customHeight="false" outlineLevel="0" collapsed="false">
      <c r="A209" s="355"/>
      <c r="E209" s="365" t="str">
        <f aca="false">IF((G209&lt;&gt;0),"Enter Letter"," ")</f>
        <v> </v>
      </c>
      <c r="J209" s="334" t="str">
        <f aca="false">IF((E209="s"),G209," ")</f>
        <v> </v>
      </c>
      <c r="K209" s="334" t="str">
        <f aca="false">IF((E209="d"),G209," ")</f>
        <v> </v>
      </c>
      <c r="L209" s="334" t="str">
        <f aca="false">IF((E209="e"),G209," ")</f>
        <v> </v>
      </c>
      <c r="M209" s="334" t="str">
        <f aca="false">IF((E209="p"),G209," ")</f>
        <v> </v>
      </c>
      <c r="N209" s="334" t="str">
        <f aca="false">IF((E209="r"),G209," ")</f>
        <v> </v>
      </c>
      <c r="O209" s="334" t="str">
        <f aca="false">IF((E209="g"),G209," ")</f>
        <v> </v>
      </c>
      <c r="P209" s="334" t="str">
        <f aca="false">IF((E209="m"),G209," ")</f>
        <v> </v>
      </c>
      <c r="Q209" s="334" t="str">
        <f aca="false">IF((E209="t"),G209," ")</f>
        <v> </v>
      </c>
      <c r="R209" s="334" t="str">
        <f aca="false">IF((E209="a"),G209," ")</f>
        <v> </v>
      </c>
      <c r="S209" s="334" t="str">
        <f aca="false">IF((E209="l"),G209," ")</f>
        <v> </v>
      </c>
      <c r="T209" s="334" t="str">
        <f aca="false">IF((E209="b"),G209," ")</f>
        <v> </v>
      </c>
      <c r="U209" s="334" t="str">
        <f aca="false">IF((E209="i"),G209," ")</f>
        <v> </v>
      </c>
      <c r="V209" s="334" t="str">
        <f aca="false">IF((E209="o"),G209," ")</f>
        <v> </v>
      </c>
      <c r="W209" s="334" t="str">
        <f aca="false">IF((E209="f"),G209," ")</f>
        <v> </v>
      </c>
    </row>
    <row r="210" customFormat="false" ht="12.75" hidden="false" customHeight="false" outlineLevel="0" collapsed="false">
      <c r="A210" s="355"/>
      <c r="E210" s="365" t="str">
        <f aca="false">IF((G210&lt;&gt;0),"Enter Letter"," ")</f>
        <v> </v>
      </c>
      <c r="J210" s="334" t="str">
        <f aca="false">IF((E210="s"),G210," ")</f>
        <v> </v>
      </c>
      <c r="K210" s="334" t="str">
        <f aca="false">IF((E210="d"),G210," ")</f>
        <v> </v>
      </c>
      <c r="L210" s="334" t="str">
        <f aca="false">IF((E210="e"),G210," ")</f>
        <v> </v>
      </c>
      <c r="M210" s="334" t="str">
        <f aca="false">IF((E210="p"),G210," ")</f>
        <v> </v>
      </c>
      <c r="N210" s="334" t="str">
        <f aca="false">IF((E210="r"),G210," ")</f>
        <v> </v>
      </c>
      <c r="O210" s="334" t="str">
        <f aca="false">IF((E210="g"),G210," ")</f>
        <v> </v>
      </c>
      <c r="P210" s="334" t="str">
        <f aca="false">IF((E210="m"),G210," ")</f>
        <v> </v>
      </c>
      <c r="Q210" s="334" t="str">
        <f aca="false">IF((E210="t"),G210," ")</f>
        <v> </v>
      </c>
      <c r="R210" s="334" t="str">
        <f aca="false">IF((E210="a"),G210," ")</f>
        <v> </v>
      </c>
      <c r="S210" s="334" t="str">
        <f aca="false">IF((E210="l"),G210," ")</f>
        <v> </v>
      </c>
      <c r="T210" s="334" t="str">
        <f aca="false">IF((E210="b"),G210," ")</f>
        <v> </v>
      </c>
      <c r="U210" s="334" t="str">
        <f aca="false">IF((E210="i"),G210," ")</f>
        <v> </v>
      </c>
      <c r="V210" s="334" t="str">
        <f aca="false">IF((E210="o"),G210," ")</f>
        <v> </v>
      </c>
      <c r="W210" s="334" t="str">
        <f aca="false">IF((E210="f"),G210," ")</f>
        <v> </v>
      </c>
    </row>
    <row r="211" customFormat="false" ht="12.75" hidden="false" customHeight="false" outlineLevel="0" collapsed="false">
      <c r="A211" s="355"/>
      <c r="E211" s="365" t="str">
        <f aca="false">IF((G211&lt;&gt;0),"Enter Letter"," ")</f>
        <v> </v>
      </c>
      <c r="J211" s="334" t="str">
        <f aca="false">IF((E211="s"),G211," ")</f>
        <v> </v>
      </c>
      <c r="K211" s="334" t="str">
        <f aca="false">IF((E211="d"),G211," ")</f>
        <v> </v>
      </c>
      <c r="L211" s="334" t="str">
        <f aca="false">IF((E211="e"),G211," ")</f>
        <v> </v>
      </c>
      <c r="M211" s="334" t="str">
        <f aca="false">IF((E211="p"),G211," ")</f>
        <v> </v>
      </c>
      <c r="N211" s="334" t="str">
        <f aca="false">IF((E211="r"),G211," ")</f>
        <v> </v>
      </c>
      <c r="O211" s="334" t="str">
        <f aca="false">IF((E211="g"),G211," ")</f>
        <v> </v>
      </c>
      <c r="P211" s="334" t="str">
        <f aca="false">IF((E211="m"),G211," ")</f>
        <v> </v>
      </c>
      <c r="Q211" s="334" t="str">
        <f aca="false">IF((E211="t"),G211," ")</f>
        <v> </v>
      </c>
      <c r="R211" s="334" t="str">
        <f aca="false">IF((E211="a"),G211," ")</f>
        <v> </v>
      </c>
      <c r="S211" s="334" t="str">
        <f aca="false">IF((E211="l"),G211," ")</f>
        <v> </v>
      </c>
      <c r="T211" s="334" t="str">
        <f aca="false">IF((E211="b"),G211," ")</f>
        <v> </v>
      </c>
      <c r="U211" s="334" t="str">
        <f aca="false">IF((E211="i"),G211," ")</f>
        <v> </v>
      </c>
      <c r="V211" s="334" t="str">
        <f aca="false">IF((E211="o"),G211," ")</f>
        <v> </v>
      </c>
      <c r="W211" s="334" t="str">
        <f aca="false">IF((E211="f"),G211," ")</f>
        <v> </v>
      </c>
    </row>
    <row r="212" customFormat="false" ht="12.75" hidden="false" customHeight="false" outlineLevel="0" collapsed="false">
      <c r="A212" s="355"/>
      <c r="E212" s="365" t="str">
        <f aca="false">IF((G212&lt;&gt;0),"Enter Letter"," ")</f>
        <v> </v>
      </c>
      <c r="J212" s="334" t="str">
        <f aca="false">IF((E212="s"),G212," ")</f>
        <v> </v>
      </c>
      <c r="K212" s="334" t="str">
        <f aca="false">IF((E212="d"),G212," ")</f>
        <v> </v>
      </c>
      <c r="L212" s="334" t="str">
        <f aca="false">IF((E212="e"),G212," ")</f>
        <v> </v>
      </c>
      <c r="M212" s="334" t="str">
        <f aca="false">IF((E212="p"),G212," ")</f>
        <v> </v>
      </c>
      <c r="N212" s="334" t="str">
        <f aca="false">IF((E212="r"),G212," ")</f>
        <v> </v>
      </c>
      <c r="O212" s="334" t="str">
        <f aca="false">IF((E212="g"),G212," ")</f>
        <v> </v>
      </c>
      <c r="P212" s="334" t="str">
        <f aca="false">IF((E212="m"),G212," ")</f>
        <v> </v>
      </c>
      <c r="Q212" s="334" t="str">
        <f aca="false">IF((E212="t"),G212," ")</f>
        <v> </v>
      </c>
      <c r="R212" s="334" t="str">
        <f aca="false">IF((E212="a"),G212," ")</f>
        <v> </v>
      </c>
      <c r="S212" s="334" t="str">
        <f aca="false">IF((E212="l"),G212," ")</f>
        <v> </v>
      </c>
      <c r="T212" s="334" t="str">
        <f aca="false">IF((E212="b"),G212," ")</f>
        <v> </v>
      </c>
      <c r="U212" s="334" t="str">
        <f aca="false">IF((E212="i"),G212," ")</f>
        <v> </v>
      </c>
      <c r="V212" s="334" t="str">
        <f aca="false">IF((E212="o"),G212," ")</f>
        <v> </v>
      </c>
      <c r="W212" s="334" t="str">
        <f aca="false">IF((E212="f"),G212," ")</f>
        <v> </v>
      </c>
    </row>
    <row r="213" customFormat="false" ht="12.75" hidden="false" customHeight="false" outlineLevel="0" collapsed="false">
      <c r="A213" s="355"/>
      <c r="E213" s="365" t="str">
        <f aca="false">IF((G213&lt;&gt;0),"Enter Letter"," ")</f>
        <v> </v>
      </c>
      <c r="J213" s="334" t="str">
        <f aca="false">IF((E213="s"),G213," ")</f>
        <v> </v>
      </c>
      <c r="K213" s="334" t="str">
        <f aca="false">IF((E213="d"),G213," ")</f>
        <v> </v>
      </c>
      <c r="L213" s="334" t="str">
        <f aca="false">IF((E213="e"),G213," ")</f>
        <v> </v>
      </c>
      <c r="M213" s="334" t="str">
        <f aca="false">IF((E213="p"),G213," ")</f>
        <v> </v>
      </c>
      <c r="N213" s="334" t="str">
        <f aca="false">IF((E213="r"),G213," ")</f>
        <v> </v>
      </c>
      <c r="O213" s="334" t="str">
        <f aca="false">IF((E213="g"),G213," ")</f>
        <v> </v>
      </c>
      <c r="P213" s="334" t="str">
        <f aca="false">IF((E213="m"),G213," ")</f>
        <v> </v>
      </c>
      <c r="Q213" s="334" t="str">
        <f aca="false">IF((E213="t"),G213," ")</f>
        <v> </v>
      </c>
      <c r="R213" s="334" t="str">
        <f aca="false">IF((E213="a"),G213," ")</f>
        <v> </v>
      </c>
      <c r="S213" s="334" t="str">
        <f aca="false">IF((E213="l"),G213," ")</f>
        <v> </v>
      </c>
      <c r="T213" s="334" t="str">
        <f aca="false">IF((E213="b"),G213," ")</f>
        <v> </v>
      </c>
      <c r="U213" s="334" t="str">
        <f aca="false">IF((E213="i"),G213," ")</f>
        <v> </v>
      </c>
      <c r="V213" s="334" t="str">
        <f aca="false">IF((E213="o"),G213," ")</f>
        <v> </v>
      </c>
      <c r="W213" s="334" t="str">
        <f aca="false">IF((E213="f"),G213," ")</f>
        <v> </v>
      </c>
    </row>
    <row r="214" customFormat="false" ht="12.75" hidden="false" customHeight="false" outlineLevel="0" collapsed="false">
      <c r="A214" s="355"/>
      <c r="E214" s="365" t="str">
        <f aca="false">IF((G214&lt;&gt;0),"Enter Letter"," ")</f>
        <v> </v>
      </c>
      <c r="J214" s="334" t="str">
        <f aca="false">IF((E214="s"),G214," ")</f>
        <v> </v>
      </c>
      <c r="K214" s="334" t="str">
        <f aca="false">IF((E214="d"),G214," ")</f>
        <v> </v>
      </c>
      <c r="L214" s="334" t="str">
        <f aca="false">IF((E214="e"),G214," ")</f>
        <v> </v>
      </c>
      <c r="M214" s="334" t="str">
        <f aca="false">IF((E214="p"),G214," ")</f>
        <v> </v>
      </c>
      <c r="N214" s="334" t="str">
        <f aca="false">IF((E214="r"),G214," ")</f>
        <v> </v>
      </c>
      <c r="O214" s="334" t="str">
        <f aca="false">IF((E214="g"),G214," ")</f>
        <v> </v>
      </c>
      <c r="P214" s="334" t="str">
        <f aca="false">IF((E214="m"),G214," ")</f>
        <v> </v>
      </c>
      <c r="Q214" s="334" t="str">
        <f aca="false">IF((E214="t"),G214," ")</f>
        <v> </v>
      </c>
      <c r="R214" s="334" t="str">
        <f aca="false">IF((E214="a"),G214," ")</f>
        <v> </v>
      </c>
      <c r="S214" s="334" t="str">
        <f aca="false">IF((E214="l"),G214," ")</f>
        <v> </v>
      </c>
      <c r="T214" s="334" t="str">
        <f aca="false">IF((E214="b"),G214," ")</f>
        <v> </v>
      </c>
      <c r="U214" s="334" t="str">
        <f aca="false">IF((E214="i"),G214," ")</f>
        <v> </v>
      </c>
      <c r="V214" s="334" t="str">
        <f aca="false">IF((E214="o"),G214," ")</f>
        <v> </v>
      </c>
      <c r="W214" s="334" t="str">
        <f aca="false">IF((E214="f"),G214," ")</f>
        <v> </v>
      </c>
    </row>
    <row r="215" customFormat="false" ht="12.75" hidden="false" customHeight="false" outlineLevel="0" collapsed="false">
      <c r="A215" s="355"/>
      <c r="E215" s="365" t="str">
        <f aca="false">IF((G215&lt;&gt;0),"Enter Letter"," ")</f>
        <v> </v>
      </c>
      <c r="J215" s="334" t="str">
        <f aca="false">IF((E215="s"),G215," ")</f>
        <v> </v>
      </c>
      <c r="K215" s="334" t="str">
        <f aca="false">IF((E215="d"),G215," ")</f>
        <v> </v>
      </c>
      <c r="L215" s="334" t="str">
        <f aca="false">IF((E215="e"),G215," ")</f>
        <v> </v>
      </c>
      <c r="M215" s="334" t="str">
        <f aca="false">IF((E215="p"),G215," ")</f>
        <v> </v>
      </c>
      <c r="N215" s="334" t="str">
        <f aca="false">IF((E215="r"),G215," ")</f>
        <v> </v>
      </c>
      <c r="O215" s="334" t="str">
        <f aca="false">IF((E215="g"),G215," ")</f>
        <v> </v>
      </c>
      <c r="P215" s="334" t="str">
        <f aca="false">IF((E215="m"),G215," ")</f>
        <v> </v>
      </c>
      <c r="Q215" s="334" t="str">
        <f aca="false">IF((E215="t"),G215," ")</f>
        <v> </v>
      </c>
      <c r="R215" s="334" t="str">
        <f aca="false">IF((E215="a"),G215," ")</f>
        <v> </v>
      </c>
      <c r="S215" s="334" t="str">
        <f aca="false">IF((E215="l"),G215," ")</f>
        <v> </v>
      </c>
      <c r="T215" s="334" t="str">
        <f aca="false">IF((E215="b"),G215," ")</f>
        <v> </v>
      </c>
      <c r="U215" s="334" t="str">
        <f aca="false">IF((E215="i"),G215," ")</f>
        <v> </v>
      </c>
      <c r="V215" s="334" t="str">
        <f aca="false">IF((E215="o"),G215," ")</f>
        <v> </v>
      </c>
      <c r="W215" s="334" t="str">
        <f aca="false">IF((E215="f"),G215," ")</f>
        <v> </v>
      </c>
    </row>
    <row r="216" customFormat="false" ht="12.75" hidden="false" customHeight="false" outlineLevel="0" collapsed="false">
      <c r="A216" s="355"/>
      <c r="E216" s="365" t="str">
        <f aca="false">IF((G216&lt;&gt;0),"Enter Letter"," ")</f>
        <v> </v>
      </c>
      <c r="J216" s="334" t="str">
        <f aca="false">IF((E216="s"),G216," ")</f>
        <v> </v>
      </c>
      <c r="K216" s="334" t="str">
        <f aca="false">IF((E216="d"),G216," ")</f>
        <v> </v>
      </c>
      <c r="L216" s="334" t="str">
        <f aca="false">IF((E216="e"),G216," ")</f>
        <v> </v>
      </c>
      <c r="M216" s="334" t="str">
        <f aca="false">IF((E216="p"),G216," ")</f>
        <v> </v>
      </c>
      <c r="N216" s="334" t="str">
        <f aca="false">IF((E216="r"),G216," ")</f>
        <v> </v>
      </c>
      <c r="O216" s="334" t="str">
        <f aca="false">IF((E216="g"),G216," ")</f>
        <v> </v>
      </c>
      <c r="P216" s="334" t="str">
        <f aca="false">IF((E216="m"),G216," ")</f>
        <v> </v>
      </c>
      <c r="Q216" s="334" t="str">
        <f aca="false">IF((E216="t"),G216," ")</f>
        <v> </v>
      </c>
      <c r="R216" s="334" t="str">
        <f aca="false">IF((E216="a"),G216," ")</f>
        <v> </v>
      </c>
      <c r="S216" s="334" t="str">
        <f aca="false">IF((E216="l"),G216," ")</f>
        <v> </v>
      </c>
      <c r="T216" s="334" t="str">
        <f aca="false">IF((E216="b"),G216," ")</f>
        <v> </v>
      </c>
      <c r="U216" s="334" t="str">
        <f aca="false">IF((E216="i"),G216," ")</f>
        <v> </v>
      </c>
      <c r="V216" s="334" t="str">
        <f aca="false">IF((E216="o"),G216," ")</f>
        <v> </v>
      </c>
      <c r="W216" s="334" t="str">
        <f aca="false">IF((E216="f"),G216," ")</f>
        <v> </v>
      </c>
    </row>
    <row r="217" customFormat="false" ht="12.75" hidden="false" customHeight="false" outlineLevel="0" collapsed="false">
      <c r="A217" s="355"/>
      <c r="E217" s="365" t="str">
        <f aca="false">IF((G217&lt;&gt;0),"Enter Letter"," ")</f>
        <v> </v>
      </c>
      <c r="J217" s="334" t="str">
        <f aca="false">IF((E217="s"),G217," ")</f>
        <v> </v>
      </c>
      <c r="K217" s="334" t="str">
        <f aca="false">IF((E217="d"),G217," ")</f>
        <v> </v>
      </c>
      <c r="L217" s="334" t="str">
        <f aca="false">IF((E217="e"),G217," ")</f>
        <v> </v>
      </c>
      <c r="M217" s="334" t="str">
        <f aca="false">IF((E217="p"),G217," ")</f>
        <v> </v>
      </c>
      <c r="N217" s="334" t="str">
        <f aca="false">IF((E217="r"),G217," ")</f>
        <v> </v>
      </c>
      <c r="O217" s="334" t="str">
        <f aca="false">IF((E217="g"),G217," ")</f>
        <v> </v>
      </c>
      <c r="P217" s="334" t="str">
        <f aca="false">IF((E217="m"),G217," ")</f>
        <v> </v>
      </c>
      <c r="Q217" s="334" t="str">
        <f aca="false">IF((E217="t"),G217," ")</f>
        <v> </v>
      </c>
      <c r="R217" s="334" t="str">
        <f aca="false">IF((E217="a"),G217," ")</f>
        <v> </v>
      </c>
      <c r="S217" s="334" t="str">
        <f aca="false">IF((E217="l"),G217," ")</f>
        <v> </v>
      </c>
      <c r="T217" s="334" t="str">
        <f aca="false">IF((E217="b"),G217," ")</f>
        <v> </v>
      </c>
      <c r="U217" s="334" t="str">
        <f aca="false">IF((E217="i"),G217," ")</f>
        <v> </v>
      </c>
      <c r="V217" s="334" t="str">
        <f aca="false">IF((E217="o"),G217," ")</f>
        <v> </v>
      </c>
      <c r="W217" s="334" t="str">
        <f aca="false">IF((E217="f"),G217," ")</f>
        <v> </v>
      </c>
    </row>
    <row r="218" customFormat="false" ht="12.75" hidden="false" customHeight="false" outlineLevel="0" collapsed="false">
      <c r="A218" s="355"/>
      <c r="E218" s="365" t="str">
        <f aca="false">IF((G218&lt;&gt;0),"Enter Letter"," ")</f>
        <v> </v>
      </c>
      <c r="J218" s="334" t="str">
        <f aca="false">IF((E218="s"),G218," ")</f>
        <v> </v>
      </c>
      <c r="K218" s="334" t="str">
        <f aca="false">IF((E218="d"),G218," ")</f>
        <v> </v>
      </c>
      <c r="L218" s="334" t="str">
        <f aca="false">IF((E218="e"),G218," ")</f>
        <v> </v>
      </c>
      <c r="M218" s="334" t="str">
        <f aca="false">IF((E218="p"),G218," ")</f>
        <v> </v>
      </c>
      <c r="N218" s="334" t="str">
        <f aca="false">IF((E218="r"),G218," ")</f>
        <v> </v>
      </c>
      <c r="O218" s="334" t="str">
        <f aca="false">IF((E218="g"),G218," ")</f>
        <v> </v>
      </c>
      <c r="P218" s="334" t="str">
        <f aca="false">IF((E218="m"),G218," ")</f>
        <v> </v>
      </c>
      <c r="Q218" s="334" t="str">
        <f aca="false">IF((E218="t"),G218," ")</f>
        <v> </v>
      </c>
      <c r="R218" s="334" t="str">
        <f aca="false">IF((E218="a"),G218," ")</f>
        <v> </v>
      </c>
      <c r="S218" s="334" t="str">
        <f aca="false">IF((E218="l"),G218," ")</f>
        <v> </v>
      </c>
      <c r="T218" s="334" t="str">
        <f aca="false">IF((E218="b"),G218," ")</f>
        <v> </v>
      </c>
      <c r="U218" s="334" t="str">
        <f aca="false">IF((E218="i"),G218," ")</f>
        <v> </v>
      </c>
      <c r="V218" s="334" t="str">
        <f aca="false">IF((E218="o"),G218," ")</f>
        <v> </v>
      </c>
      <c r="W218" s="334" t="str">
        <f aca="false">IF((E218="f"),G218," ")</f>
        <v> </v>
      </c>
    </row>
    <row r="219" customFormat="false" ht="12.75" hidden="false" customHeight="false" outlineLevel="0" collapsed="false">
      <c r="A219" s="355"/>
      <c r="E219" s="365" t="str">
        <f aca="false">IF((G219&lt;&gt;0),"Enter Letter"," ")</f>
        <v> </v>
      </c>
      <c r="J219" s="334" t="str">
        <f aca="false">IF((E219="s"),G219," ")</f>
        <v> </v>
      </c>
      <c r="K219" s="334" t="str">
        <f aca="false">IF((E219="d"),G219," ")</f>
        <v> </v>
      </c>
      <c r="L219" s="334" t="str">
        <f aca="false">IF((E219="e"),G219," ")</f>
        <v> </v>
      </c>
      <c r="M219" s="334" t="str">
        <f aca="false">IF((E219="p"),G219," ")</f>
        <v> </v>
      </c>
      <c r="N219" s="334" t="str">
        <f aca="false">IF((E219="r"),G219," ")</f>
        <v> </v>
      </c>
      <c r="O219" s="334" t="str">
        <f aca="false">IF((E219="g"),G219," ")</f>
        <v> </v>
      </c>
      <c r="P219" s="334" t="str">
        <f aca="false">IF((E219="m"),G219," ")</f>
        <v> </v>
      </c>
      <c r="Q219" s="334" t="str">
        <f aca="false">IF((E219="t"),G219," ")</f>
        <v> </v>
      </c>
      <c r="R219" s="334" t="str">
        <f aca="false">IF((E219="a"),G219," ")</f>
        <v> </v>
      </c>
      <c r="S219" s="334" t="str">
        <f aca="false">IF((E219="l"),G219," ")</f>
        <v> </v>
      </c>
      <c r="T219" s="334" t="str">
        <f aca="false">IF((E219="b"),G219," ")</f>
        <v> </v>
      </c>
      <c r="U219" s="334" t="str">
        <f aca="false">IF((E219="i"),G219," ")</f>
        <v> </v>
      </c>
      <c r="V219" s="334" t="str">
        <f aca="false">IF((E219="o"),G219," ")</f>
        <v> </v>
      </c>
      <c r="W219" s="334" t="str">
        <f aca="false">IF((E219="f"),G219," ")</f>
        <v> </v>
      </c>
    </row>
    <row r="220" customFormat="false" ht="12.75" hidden="false" customHeight="false" outlineLevel="0" collapsed="false">
      <c r="A220" s="355"/>
      <c r="E220" s="365" t="str">
        <f aca="false">IF((G220&lt;&gt;0),"Enter Letter"," ")</f>
        <v> </v>
      </c>
      <c r="J220" s="334" t="str">
        <f aca="false">IF((E220="s"),G220," ")</f>
        <v> </v>
      </c>
      <c r="K220" s="334" t="str">
        <f aca="false">IF((E220="d"),G220," ")</f>
        <v> </v>
      </c>
      <c r="L220" s="334" t="str">
        <f aca="false">IF((E220="e"),G220," ")</f>
        <v> </v>
      </c>
      <c r="M220" s="334" t="str">
        <f aca="false">IF((E220="p"),G220," ")</f>
        <v> </v>
      </c>
      <c r="N220" s="334" t="str">
        <f aca="false">IF((E220="r"),G220," ")</f>
        <v> </v>
      </c>
      <c r="O220" s="334" t="str">
        <f aca="false">IF((E220="g"),G220," ")</f>
        <v> </v>
      </c>
      <c r="P220" s="334" t="str">
        <f aca="false">IF((E220="m"),G220," ")</f>
        <v> </v>
      </c>
      <c r="Q220" s="334" t="str">
        <f aca="false">IF((E220="t"),G220," ")</f>
        <v> </v>
      </c>
      <c r="R220" s="334" t="str">
        <f aca="false">IF((E220="a"),G220," ")</f>
        <v> </v>
      </c>
      <c r="S220" s="334" t="str">
        <f aca="false">IF((E220="l"),G220," ")</f>
        <v> </v>
      </c>
      <c r="T220" s="334" t="str">
        <f aca="false">IF((E220="b"),G220," ")</f>
        <v> </v>
      </c>
      <c r="U220" s="334" t="str">
        <f aca="false">IF((E220="i"),G220," ")</f>
        <v> </v>
      </c>
      <c r="V220" s="334" t="str">
        <f aca="false">IF((E220="o"),G220," ")</f>
        <v> </v>
      </c>
      <c r="W220" s="334" t="str">
        <f aca="false">IF((E220="f"),G220," ")</f>
        <v> </v>
      </c>
    </row>
    <row r="221" customFormat="false" ht="12.75" hidden="false" customHeight="false" outlineLevel="0" collapsed="false">
      <c r="A221" s="355"/>
      <c r="E221" s="365" t="str">
        <f aca="false">IF((G221&lt;&gt;0),"Enter Letter"," ")</f>
        <v> </v>
      </c>
      <c r="J221" s="334" t="str">
        <f aca="false">IF((E221="s"),G221," ")</f>
        <v> </v>
      </c>
      <c r="K221" s="334" t="str">
        <f aca="false">IF((E221="d"),G221," ")</f>
        <v> </v>
      </c>
      <c r="L221" s="334" t="str">
        <f aca="false">IF((E221="e"),G221," ")</f>
        <v> </v>
      </c>
      <c r="M221" s="334" t="str">
        <f aca="false">IF((E221="p"),G221," ")</f>
        <v> </v>
      </c>
      <c r="N221" s="334" t="str">
        <f aca="false">IF((E221="r"),G221," ")</f>
        <v> </v>
      </c>
      <c r="O221" s="334" t="str">
        <f aca="false">IF((E221="g"),G221," ")</f>
        <v> </v>
      </c>
      <c r="P221" s="334" t="str">
        <f aca="false">IF((E221="m"),G221," ")</f>
        <v> </v>
      </c>
      <c r="Q221" s="334" t="str">
        <f aca="false">IF((E221="t"),G221," ")</f>
        <v> </v>
      </c>
      <c r="R221" s="334" t="str">
        <f aca="false">IF((E221="a"),G221," ")</f>
        <v> </v>
      </c>
      <c r="S221" s="334" t="str">
        <f aca="false">IF((E221="l"),G221," ")</f>
        <v> </v>
      </c>
      <c r="T221" s="334" t="str">
        <f aca="false">IF((E221="b"),G221," ")</f>
        <v> </v>
      </c>
      <c r="U221" s="334" t="str">
        <f aca="false">IF((E221="i"),G221," ")</f>
        <v> </v>
      </c>
      <c r="V221" s="334" t="str">
        <f aca="false">IF((E221="o"),G221," ")</f>
        <v> </v>
      </c>
      <c r="W221" s="334" t="str">
        <f aca="false">IF((E221="f"),G221," ")</f>
        <v> </v>
      </c>
    </row>
    <row r="222" customFormat="false" ht="12.75" hidden="false" customHeight="false" outlineLevel="0" collapsed="false">
      <c r="A222" s="355"/>
      <c r="E222" s="365" t="str">
        <f aca="false">IF((G222&lt;&gt;0),"Enter Letter"," ")</f>
        <v> </v>
      </c>
      <c r="J222" s="334" t="str">
        <f aca="false">IF((E222="s"),G222," ")</f>
        <v> </v>
      </c>
      <c r="K222" s="334" t="str">
        <f aca="false">IF((E222="d"),G222," ")</f>
        <v> </v>
      </c>
      <c r="L222" s="334" t="str">
        <f aca="false">IF((E222="e"),G222," ")</f>
        <v> </v>
      </c>
      <c r="M222" s="334" t="str">
        <f aca="false">IF((E222="p"),G222," ")</f>
        <v> </v>
      </c>
      <c r="N222" s="334" t="str">
        <f aca="false">IF((E222="r"),G222," ")</f>
        <v> </v>
      </c>
      <c r="O222" s="334" t="str">
        <f aca="false">IF((E222="g"),G222," ")</f>
        <v> </v>
      </c>
      <c r="P222" s="334" t="str">
        <f aca="false">IF((E222="m"),G222," ")</f>
        <v> </v>
      </c>
      <c r="Q222" s="334" t="str">
        <f aca="false">IF((E222="t"),G222," ")</f>
        <v> </v>
      </c>
      <c r="R222" s="334" t="str">
        <f aca="false">IF((E222="a"),G222," ")</f>
        <v> </v>
      </c>
      <c r="S222" s="334" t="str">
        <f aca="false">IF((E222="l"),G222," ")</f>
        <v> </v>
      </c>
      <c r="T222" s="334" t="str">
        <f aca="false">IF((E222="b"),G222," ")</f>
        <v> </v>
      </c>
      <c r="U222" s="334" t="str">
        <f aca="false">IF((E222="i"),G222," ")</f>
        <v> </v>
      </c>
      <c r="V222" s="334" t="str">
        <f aca="false">IF((E222="o"),G222," ")</f>
        <v> </v>
      </c>
      <c r="W222" s="334" t="str">
        <f aca="false">IF((E222="f"),G222," ")</f>
        <v> </v>
      </c>
    </row>
    <row r="223" customFormat="false" ht="12.75" hidden="false" customHeight="false" outlineLevel="0" collapsed="false">
      <c r="A223" s="355"/>
      <c r="E223" s="365" t="str">
        <f aca="false">IF((G223&lt;&gt;0),"Enter Letter"," ")</f>
        <v> </v>
      </c>
      <c r="J223" s="334" t="str">
        <f aca="false">IF((E223="s"),G223," ")</f>
        <v> </v>
      </c>
      <c r="K223" s="334" t="str">
        <f aca="false">IF((E223="d"),G223," ")</f>
        <v> </v>
      </c>
      <c r="L223" s="334" t="str">
        <f aca="false">IF((E223="e"),G223," ")</f>
        <v> </v>
      </c>
      <c r="M223" s="334" t="str">
        <f aca="false">IF((E223="p"),G223," ")</f>
        <v> </v>
      </c>
      <c r="N223" s="334" t="str">
        <f aca="false">IF((E223="r"),G223," ")</f>
        <v> </v>
      </c>
      <c r="O223" s="334" t="str">
        <f aca="false">IF((E223="g"),G223," ")</f>
        <v> </v>
      </c>
      <c r="P223" s="334" t="str">
        <f aca="false">IF((E223="m"),G223," ")</f>
        <v> </v>
      </c>
      <c r="Q223" s="334" t="str">
        <f aca="false">IF((E223="t"),G223," ")</f>
        <v> </v>
      </c>
      <c r="R223" s="334" t="str">
        <f aca="false">IF((E223="a"),G223," ")</f>
        <v> </v>
      </c>
      <c r="S223" s="334" t="str">
        <f aca="false">IF((E223="l"),G223," ")</f>
        <v> </v>
      </c>
      <c r="T223" s="334" t="str">
        <f aca="false">IF((E223="b"),G223," ")</f>
        <v> </v>
      </c>
      <c r="U223" s="334" t="str">
        <f aca="false">IF((E223="i"),G223," ")</f>
        <v> </v>
      </c>
      <c r="V223" s="334" t="str">
        <f aca="false">IF((E223="o"),G223," ")</f>
        <v> </v>
      </c>
      <c r="W223" s="334" t="str">
        <f aca="false">IF((E223="f"),G223," ")</f>
        <v> </v>
      </c>
    </row>
    <row r="224" customFormat="false" ht="12.75" hidden="false" customHeight="false" outlineLevel="0" collapsed="false">
      <c r="A224" s="355"/>
      <c r="E224" s="365" t="str">
        <f aca="false">IF((G224&lt;&gt;0),"Enter Letter"," ")</f>
        <v> </v>
      </c>
      <c r="J224" s="334" t="str">
        <f aca="false">IF((E224="s"),G224," ")</f>
        <v> </v>
      </c>
      <c r="K224" s="334" t="str">
        <f aca="false">IF((E224="d"),G224," ")</f>
        <v> </v>
      </c>
      <c r="L224" s="334" t="str">
        <f aca="false">IF((E224="e"),G224," ")</f>
        <v> </v>
      </c>
      <c r="M224" s="334" t="str">
        <f aca="false">IF((E224="p"),G224," ")</f>
        <v> </v>
      </c>
      <c r="N224" s="334" t="str">
        <f aca="false">IF((E224="r"),G224," ")</f>
        <v> </v>
      </c>
      <c r="O224" s="334" t="str">
        <f aca="false">IF((E224="g"),G224," ")</f>
        <v> </v>
      </c>
      <c r="P224" s="334" t="str">
        <f aca="false">IF((E224="m"),G224," ")</f>
        <v> </v>
      </c>
      <c r="Q224" s="334" t="str">
        <f aca="false">IF((E224="t"),G224," ")</f>
        <v> </v>
      </c>
      <c r="R224" s="334" t="str">
        <f aca="false">IF((E224="a"),G224," ")</f>
        <v> </v>
      </c>
      <c r="S224" s="334" t="str">
        <f aca="false">IF((E224="l"),G224," ")</f>
        <v> </v>
      </c>
      <c r="T224" s="334" t="str">
        <f aca="false">IF((E224="b"),G224," ")</f>
        <v> </v>
      </c>
      <c r="U224" s="334" t="str">
        <f aca="false">IF((E224="i"),G224," ")</f>
        <v> </v>
      </c>
      <c r="V224" s="334" t="str">
        <f aca="false">IF((E224="o"),G224," ")</f>
        <v> </v>
      </c>
      <c r="W224" s="334" t="str">
        <f aca="false">IF((E224="f"),G224," ")</f>
        <v> </v>
      </c>
    </row>
    <row r="225" customFormat="false" ht="12.75" hidden="false" customHeight="false" outlineLevel="0" collapsed="false">
      <c r="A225" s="355"/>
      <c r="E225" s="365" t="str">
        <f aca="false">IF((G225&lt;&gt;0),"Enter Letter"," ")</f>
        <v> </v>
      </c>
      <c r="J225" s="334" t="str">
        <f aca="false">IF((E225="s"),G225," ")</f>
        <v> </v>
      </c>
      <c r="K225" s="334" t="str">
        <f aca="false">IF((E225="d"),G225," ")</f>
        <v> </v>
      </c>
      <c r="L225" s="334" t="str">
        <f aca="false">IF((E225="e"),G225," ")</f>
        <v> </v>
      </c>
      <c r="M225" s="334" t="str">
        <f aca="false">IF((E225="p"),G225," ")</f>
        <v> </v>
      </c>
      <c r="N225" s="334" t="str">
        <f aca="false">IF((E225="r"),G225," ")</f>
        <v> </v>
      </c>
      <c r="O225" s="334" t="str">
        <f aca="false">IF((E225="g"),G225," ")</f>
        <v> </v>
      </c>
      <c r="P225" s="334" t="str">
        <f aca="false">IF((E225="m"),G225," ")</f>
        <v> </v>
      </c>
      <c r="Q225" s="334" t="str">
        <f aca="false">IF((E225="t"),G225," ")</f>
        <v> </v>
      </c>
      <c r="R225" s="334" t="str">
        <f aca="false">IF((E225="a"),G225," ")</f>
        <v> </v>
      </c>
      <c r="S225" s="334" t="str">
        <f aca="false">IF((E225="l"),G225," ")</f>
        <v> </v>
      </c>
      <c r="T225" s="334" t="str">
        <f aca="false">IF((E225="b"),G225," ")</f>
        <v> </v>
      </c>
      <c r="U225" s="334" t="str">
        <f aca="false">IF((E225="i"),G225," ")</f>
        <v> </v>
      </c>
      <c r="V225" s="334" t="str">
        <f aca="false">IF((E225="o"),G225," ")</f>
        <v> </v>
      </c>
      <c r="W225" s="334" t="str">
        <f aca="false">IF((E225="f"),G225," ")</f>
        <v> </v>
      </c>
    </row>
    <row r="226" customFormat="false" ht="12.75" hidden="false" customHeight="false" outlineLevel="0" collapsed="false">
      <c r="A226" s="355"/>
      <c r="E226" s="365" t="str">
        <f aca="false">IF((G226&lt;&gt;0),"Enter Letter"," ")</f>
        <v> </v>
      </c>
      <c r="J226" s="334" t="str">
        <f aca="false">IF((E226="s"),G226," ")</f>
        <v> </v>
      </c>
      <c r="K226" s="334" t="str">
        <f aca="false">IF((E226="d"),G226," ")</f>
        <v> </v>
      </c>
      <c r="L226" s="334" t="str">
        <f aca="false">IF((E226="e"),G226," ")</f>
        <v> </v>
      </c>
      <c r="M226" s="334" t="str">
        <f aca="false">IF((E226="p"),G226," ")</f>
        <v> </v>
      </c>
      <c r="N226" s="334" t="str">
        <f aca="false">IF((E226="r"),G226," ")</f>
        <v> </v>
      </c>
      <c r="O226" s="334" t="str">
        <f aca="false">IF((E226="g"),G226," ")</f>
        <v> </v>
      </c>
      <c r="P226" s="334" t="str">
        <f aca="false">IF((E226="m"),G226," ")</f>
        <v> </v>
      </c>
      <c r="Q226" s="334" t="str">
        <f aca="false">IF((E226="t"),G226," ")</f>
        <v> </v>
      </c>
      <c r="R226" s="334" t="str">
        <f aca="false">IF((E226="a"),G226," ")</f>
        <v> </v>
      </c>
      <c r="S226" s="334" t="str">
        <f aca="false">IF((E226="l"),G226," ")</f>
        <v> </v>
      </c>
      <c r="T226" s="334" t="str">
        <f aca="false">IF((E226="b"),G226," ")</f>
        <v> </v>
      </c>
      <c r="U226" s="334" t="str">
        <f aca="false">IF((E226="i"),G226," ")</f>
        <v> </v>
      </c>
      <c r="V226" s="334" t="str">
        <f aca="false">IF((E226="o"),G226," ")</f>
        <v> </v>
      </c>
      <c r="W226" s="334" t="str">
        <f aca="false">IF((E226="f"),G226," ")</f>
        <v> </v>
      </c>
    </row>
    <row r="227" customFormat="false" ht="12.75" hidden="false" customHeight="false" outlineLevel="0" collapsed="false">
      <c r="A227" s="355"/>
      <c r="E227" s="365" t="str">
        <f aca="false">IF((G227&lt;&gt;0),"Enter Letter"," ")</f>
        <v> </v>
      </c>
      <c r="J227" s="334" t="str">
        <f aca="false">IF((E227="s"),G227," ")</f>
        <v> </v>
      </c>
      <c r="K227" s="334" t="str">
        <f aca="false">IF((E227="d"),G227," ")</f>
        <v> </v>
      </c>
      <c r="L227" s="334" t="str">
        <f aca="false">IF((E227="e"),G227," ")</f>
        <v> </v>
      </c>
      <c r="M227" s="334" t="str">
        <f aca="false">IF((E227="p"),G227," ")</f>
        <v> </v>
      </c>
      <c r="N227" s="334" t="str">
        <f aca="false">IF((E227="r"),G227," ")</f>
        <v> </v>
      </c>
      <c r="O227" s="334" t="str">
        <f aca="false">IF((E227="g"),G227," ")</f>
        <v> </v>
      </c>
      <c r="P227" s="334" t="str">
        <f aca="false">IF((E227="m"),G227," ")</f>
        <v> </v>
      </c>
      <c r="Q227" s="334" t="str">
        <f aca="false">IF((E227="t"),G227," ")</f>
        <v> </v>
      </c>
      <c r="R227" s="334" t="str">
        <f aca="false">IF((E227="a"),G227," ")</f>
        <v> </v>
      </c>
      <c r="S227" s="334" t="str">
        <f aca="false">IF((E227="l"),G227," ")</f>
        <v> </v>
      </c>
      <c r="T227" s="334" t="str">
        <f aca="false">IF((E227="b"),G227," ")</f>
        <v> </v>
      </c>
      <c r="U227" s="334" t="str">
        <f aca="false">IF((E227="i"),G227," ")</f>
        <v> </v>
      </c>
      <c r="V227" s="334" t="str">
        <f aca="false">IF((E227="o"),G227," ")</f>
        <v> </v>
      </c>
      <c r="W227" s="334" t="str">
        <f aca="false">IF((E227="f"),G227," ")</f>
        <v> </v>
      </c>
    </row>
    <row r="228" customFormat="false" ht="12.75" hidden="false" customHeight="false" outlineLevel="0" collapsed="false">
      <c r="A228" s="355"/>
      <c r="E228" s="365" t="str">
        <f aca="false">IF((G228&lt;&gt;0),"Enter Letter"," ")</f>
        <v> </v>
      </c>
      <c r="J228" s="334" t="str">
        <f aca="false">IF((E228="s"),G228," ")</f>
        <v> </v>
      </c>
      <c r="K228" s="334" t="str">
        <f aca="false">IF((E228="d"),G228," ")</f>
        <v> </v>
      </c>
      <c r="L228" s="334" t="str">
        <f aca="false">IF((E228="e"),G228," ")</f>
        <v> </v>
      </c>
      <c r="M228" s="334" t="str">
        <f aca="false">IF((E228="p"),G228," ")</f>
        <v> </v>
      </c>
      <c r="N228" s="334" t="str">
        <f aca="false">IF((E228="r"),G228," ")</f>
        <v> </v>
      </c>
      <c r="O228" s="334" t="str">
        <f aca="false">IF((E228="g"),G228," ")</f>
        <v> </v>
      </c>
      <c r="P228" s="334" t="str">
        <f aca="false">IF((E228="m"),G228," ")</f>
        <v> </v>
      </c>
      <c r="Q228" s="334" t="str">
        <f aca="false">IF((E228="t"),G228," ")</f>
        <v> </v>
      </c>
      <c r="R228" s="334" t="str">
        <f aca="false">IF((E228="a"),G228," ")</f>
        <v> </v>
      </c>
      <c r="S228" s="334" t="str">
        <f aca="false">IF((E228="l"),G228," ")</f>
        <v> </v>
      </c>
      <c r="T228" s="334" t="str">
        <f aca="false">IF((E228="b"),G228," ")</f>
        <v> </v>
      </c>
      <c r="U228" s="334" t="str">
        <f aca="false">IF((E228="i"),G228," ")</f>
        <v> </v>
      </c>
      <c r="V228" s="334" t="str">
        <f aca="false">IF((E228="o"),G228," ")</f>
        <v> </v>
      </c>
      <c r="W228" s="334" t="str">
        <f aca="false">IF((E228="f"),G228," ")</f>
        <v> </v>
      </c>
    </row>
    <row r="229" customFormat="false" ht="12.75" hidden="false" customHeight="false" outlineLevel="0" collapsed="false">
      <c r="A229" s="355"/>
      <c r="E229" s="365" t="str">
        <f aca="false">IF((G229&lt;&gt;0),"Enter Letter"," ")</f>
        <v> </v>
      </c>
      <c r="J229" s="334" t="str">
        <f aca="false">IF((E229="s"),G229," ")</f>
        <v> </v>
      </c>
      <c r="K229" s="334" t="str">
        <f aca="false">IF((E229="d"),G229," ")</f>
        <v> </v>
      </c>
      <c r="L229" s="334" t="str">
        <f aca="false">IF((E229="e"),G229," ")</f>
        <v> </v>
      </c>
      <c r="M229" s="334" t="str">
        <f aca="false">IF((E229="p"),G229," ")</f>
        <v> </v>
      </c>
      <c r="N229" s="334" t="str">
        <f aca="false">IF((E229="r"),G229," ")</f>
        <v> </v>
      </c>
      <c r="O229" s="334" t="str">
        <f aca="false">IF((E229="g"),G229," ")</f>
        <v> </v>
      </c>
      <c r="P229" s="334" t="str">
        <f aca="false">IF((E229="m"),G229," ")</f>
        <v> </v>
      </c>
      <c r="Q229" s="334" t="str">
        <f aca="false">IF((E229="t"),G229," ")</f>
        <v> </v>
      </c>
      <c r="R229" s="334" t="str">
        <f aca="false">IF((E229="a"),G229," ")</f>
        <v> </v>
      </c>
      <c r="S229" s="334" t="str">
        <f aca="false">IF((E229="l"),G229," ")</f>
        <v> </v>
      </c>
      <c r="T229" s="334" t="str">
        <f aca="false">IF((E229="b"),G229," ")</f>
        <v> </v>
      </c>
      <c r="U229" s="334" t="str">
        <f aca="false">IF((E229="i"),G229," ")</f>
        <v> </v>
      </c>
      <c r="V229" s="334" t="str">
        <f aca="false">IF((E229="o"),G229," ")</f>
        <v> </v>
      </c>
      <c r="W229" s="334" t="str">
        <f aca="false">IF((E229="f"),G229," ")</f>
        <v> </v>
      </c>
    </row>
    <row r="230" customFormat="false" ht="12.75" hidden="false" customHeight="false" outlineLevel="0" collapsed="false">
      <c r="A230" s="355"/>
      <c r="E230" s="365" t="str">
        <f aca="false">IF((G230&lt;&gt;0),"Enter Letter"," ")</f>
        <v> </v>
      </c>
      <c r="J230" s="334" t="str">
        <f aca="false">IF((E230="s"),G230," ")</f>
        <v> </v>
      </c>
      <c r="K230" s="334" t="str">
        <f aca="false">IF((E230="d"),G230," ")</f>
        <v> </v>
      </c>
      <c r="L230" s="334" t="str">
        <f aca="false">IF((E230="e"),G230," ")</f>
        <v> </v>
      </c>
      <c r="M230" s="334" t="str">
        <f aca="false">IF((E230="p"),G230," ")</f>
        <v> </v>
      </c>
      <c r="N230" s="334" t="str">
        <f aca="false">IF((E230="r"),G230," ")</f>
        <v> </v>
      </c>
      <c r="O230" s="334" t="str">
        <f aca="false">IF((E230="g"),G230," ")</f>
        <v> </v>
      </c>
      <c r="P230" s="334" t="str">
        <f aca="false">IF((E230="m"),G230," ")</f>
        <v> </v>
      </c>
      <c r="Q230" s="334" t="str">
        <f aca="false">IF((E230="t"),G230," ")</f>
        <v> </v>
      </c>
      <c r="R230" s="334" t="str">
        <f aca="false">IF((E230="a"),G230," ")</f>
        <v> </v>
      </c>
      <c r="S230" s="334" t="str">
        <f aca="false">IF((E230="l"),G230," ")</f>
        <v> </v>
      </c>
      <c r="T230" s="334" t="str">
        <f aca="false">IF((E230="b"),G230," ")</f>
        <v> </v>
      </c>
      <c r="U230" s="334" t="str">
        <f aca="false">IF((E230="i"),G230," ")</f>
        <v> </v>
      </c>
      <c r="V230" s="334" t="str">
        <f aca="false">IF((E230="o"),G230," ")</f>
        <v> </v>
      </c>
      <c r="W230" s="334" t="str">
        <f aca="false">IF((E230="f"),G230," ")</f>
        <v> </v>
      </c>
    </row>
    <row r="231" customFormat="false" ht="12.75" hidden="false" customHeight="false" outlineLevel="0" collapsed="false">
      <c r="A231" s="355"/>
      <c r="E231" s="365" t="str">
        <f aca="false">IF((G231&lt;&gt;0),"Enter Letter"," ")</f>
        <v> </v>
      </c>
      <c r="J231" s="334" t="str">
        <f aca="false">IF((E231="s"),G231," ")</f>
        <v> </v>
      </c>
      <c r="K231" s="334" t="str">
        <f aca="false">IF((E231="d"),G231," ")</f>
        <v> </v>
      </c>
      <c r="L231" s="334" t="str">
        <f aca="false">IF((E231="e"),G231," ")</f>
        <v> </v>
      </c>
      <c r="M231" s="334" t="str">
        <f aca="false">IF((E231="p"),G231," ")</f>
        <v> </v>
      </c>
      <c r="N231" s="334" t="str">
        <f aca="false">IF((E231="r"),G231," ")</f>
        <v> </v>
      </c>
      <c r="O231" s="334" t="str">
        <f aca="false">IF((E231="g"),G231," ")</f>
        <v> </v>
      </c>
      <c r="P231" s="334" t="str">
        <f aca="false">IF((E231="m"),G231," ")</f>
        <v> </v>
      </c>
      <c r="Q231" s="334" t="str">
        <f aca="false">IF((E231="t"),G231," ")</f>
        <v> </v>
      </c>
      <c r="R231" s="334" t="str">
        <f aca="false">IF((E231="a"),G231," ")</f>
        <v> </v>
      </c>
      <c r="S231" s="334" t="str">
        <f aca="false">IF((E231="l"),G231," ")</f>
        <v> </v>
      </c>
      <c r="T231" s="334" t="str">
        <f aca="false">IF((E231="b"),G231," ")</f>
        <v> </v>
      </c>
      <c r="U231" s="334" t="str">
        <f aca="false">IF((E231="i"),G231," ")</f>
        <v> </v>
      </c>
      <c r="V231" s="334" t="str">
        <f aca="false">IF((E231="o"),G231," ")</f>
        <v> </v>
      </c>
      <c r="W231" s="334" t="str">
        <f aca="false">IF((E231="f"),G231," ")</f>
        <v> </v>
      </c>
    </row>
    <row r="232" customFormat="false" ht="12.75" hidden="false" customHeight="false" outlineLevel="0" collapsed="false">
      <c r="A232" s="355"/>
      <c r="E232" s="365" t="str">
        <f aca="false">IF((G232&lt;&gt;0),"Enter Letter"," ")</f>
        <v> </v>
      </c>
      <c r="J232" s="334" t="str">
        <f aca="false">IF((E232="s"),G232," ")</f>
        <v> </v>
      </c>
      <c r="K232" s="334" t="str">
        <f aca="false">IF((E232="d"),G232," ")</f>
        <v> </v>
      </c>
      <c r="L232" s="334" t="str">
        <f aca="false">IF((E232="e"),G232," ")</f>
        <v> </v>
      </c>
      <c r="M232" s="334" t="str">
        <f aca="false">IF((E232="p"),G232," ")</f>
        <v> </v>
      </c>
      <c r="N232" s="334" t="str">
        <f aca="false">IF((E232="r"),G232," ")</f>
        <v> </v>
      </c>
      <c r="O232" s="334" t="str">
        <f aca="false">IF((E232="g"),G232," ")</f>
        <v> </v>
      </c>
      <c r="P232" s="334" t="str">
        <f aca="false">IF((E232="m"),G232," ")</f>
        <v> </v>
      </c>
      <c r="Q232" s="334" t="str">
        <f aca="false">IF((E232="t"),G232," ")</f>
        <v> </v>
      </c>
      <c r="R232" s="334" t="str">
        <f aca="false">IF((E232="a"),G232," ")</f>
        <v> </v>
      </c>
      <c r="S232" s="334" t="str">
        <f aca="false">IF((E232="l"),G232," ")</f>
        <v> </v>
      </c>
      <c r="T232" s="334" t="str">
        <f aca="false">IF((E232="b"),G232," ")</f>
        <v> </v>
      </c>
      <c r="U232" s="334" t="str">
        <f aca="false">IF((E232="i"),G232," ")</f>
        <v> </v>
      </c>
      <c r="V232" s="334" t="str">
        <f aca="false">IF((E232="o"),G232," ")</f>
        <v> </v>
      </c>
      <c r="W232" s="334" t="str">
        <f aca="false">IF((E232="f"),G232," ")</f>
        <v> </v>
      </c>
    </row>
    <row r="233" customFormat="false" ht="12.75" hidden="false" customHeight="false" outlineLevel="0" collapsed="false">
      <c r="A233" s="355"/>
      <c r="E233" s="365" t="str">
        <f aca="false">IF((G233&lt;&gt;0),"Enter Letter"," ")</f>
        <v> </v>
      </c>
      <c r="J233" s="334" t="str">
        <f aca="false">IF((E233="s"),G233," ")</f>
        <v> </v>
      </c>
      <c r="K233" s="334" t="str">
        <f aca="false">IF((E233="d"),G233," ")</f>
        <v> </v>
      </c>
      <c r="L233" s="334" t="str">
        <f aca="false">IF((E233="e"),G233," ")</f>
        <v> </v>
      </c>
      <c r="M233" s="334" t="str">
        <f aca="false">IF((E233="p"),G233," ")</f>
        <v> </v>
      </c>
      <c r="N233" s="334" t="str">
        <f aca="false">IF((E233="r"),G233," ")</f>
        <v> </v>
      </c>
      <c r="O233" s="334" t="str">
        <f aca="false">IF((E233="g"),G233," ")</f>
        <v> </v>
      </c>
      <c r="P233" s="334" t="str">
        <f aca="false">IF((E233="m"),G233," ")</f>
        <v> </v>
      </c>
      <c r="Q233" s="334" t="str">
        <f aca="false">IF((E233="t"),G233," ")</f>
        <v> </v>
      </c>
      <c r="R233" s="334" t="str">
        <f aca="false">IF((E233="a"),G233," ")</f>
        <v> </v>
      </c>
      <c r="S233" s="334" t="str">
        <f aca="false">IF((E233="l"),G233," ")</f>
        <v> </v>
      </c>
      <c r="T233" s="334" t="str">
        <f aca="false">IF((E233="b"),G233," ")</f>
        <v> </v>
      </c>
      <c r="U233" s="334" t="str">
        <f aca="false">IF((E233="i"),G233," ")</f>
        <v> </v>
      </c>
      <c r="V233" s="334" t="str">
        <f aca="false">IF((E233="o"),G233," ")</f>
        <v> </v>
      </c>
      <c r="W233" s="334" t="str">
        <f aca="false">IF((E233="f"),G233," ")</f>
        <v> </v>
      </c>
    </row>
    <row r="234" customFormat="false" ht="12.75" hidden="false" customHeight="false" outlineLevel="0" collapsed="false">
      <c r="A234" s="355"/>
      <c r="E234" s="365" t="str">
        <f aca="false">IF((G234&lt;&gt;0),"Enter Letter"," ")</f>
        <v> </v>
      </c>
      <c r="J234" s="334" t="str">
        <f aca="false">IF((E234="s"),G234," ")</f>
        <v> </v>
      </c>
      <c r="K234" s="334" t="str">
        <f aca="false">IF((E234="d"),G234," ")</f>
        <v> </v>
      </c>
      <c r="L234" s="334" t="str">
        <f aca="false">IF((E234="e"),G234," ")</f>
        <v> </v>
      </c>
      <c r="M234" s="334" t="str">
        <f aca="false">IF((E234="p"),G234," ")</f>
        <v> </v>
      </c>
      <c r="N234" s="334" t="str">
        <f aca="false">IF((E234="r"),G234," ")</f>
        <v> </v>
      </c>
      <c r="O234" s="334" t="str">
        <f aca="false">IF((E234="g"),G234," ")</f>
        <v> </v>
      </c>
      <c r="P234" s="334" t="str">
        <f aca="false">IF((E234="m"),G234," ")</f>
        <v> </v>
      </c>
      <c r="Q234" s="334" t="str">
        <f aca="false">IF((E234="t"),G234," ")</f>
        <v> </v>
      </c>
      <c r="R234" s="334" t="str">
        <f aca="false">IF((E234="a"),G234," ")</f>
        <v> </v>
      </c>
      <c r="S234" s="334" t="str">
        <f aca="false">IF((E234="l"),G234," ")</f>
        <v> </v>
      </c>
      <c r="T234" s="334" t="str">
        <f aca="false">IF((E234="b"),G234," ")</f>
        <v> </v>
      </c>
      <c r="U234" s="334" t="str">
        <f aca="false">IF((E234="i"),G234," ")</f>
        <v> </v>
      </c>
      <c r="V234" s="334" t="str">
        <f aca="false">IF((E234="o"),G234," ")</f>
        <v> </v>
      </c>
      <c r="W234" s="334" t="str">
        <f aca="false">IF((E234="f"),G234," ")</f>
        <v> </v>
      </c>
    </row>
    <row r="235" customFormat="false" ht="12.75" hidden="false" customHeight="false" outlineLevel="0" collapsed="false">
      <c r="A235" s="355"/>
      <c r="E235" s="365" t="str">
        <f aca="false">IF((G235&lt;&gt;0),"Enter Letter"," ")</f>
        <v> </v>
      </c>
      <c r="J235" s="334" t="str">
        <f aca="false">IF((E235="s"),G235," ")</f>
        <v> </v>
      </c>
      <c r="K235" s="334" t="str">
        <f aca="false">IF((E235="d"),G235," ")</f>
        <v> </v>
      </c>
      <c r="L235" s="334" t="str">
        <f aca="false">IF((E235="e"),G235," ")</f>
        <v> </v>
      </c>
      <c r="M235" s="334" t="str">
        <f aca="false">IF((E235="p"),G235," ")</f>
        <v> </v>
      </c>
      <c r="N235" s="334" t="str">
        <f aca="false">IF((E235="r"),G235," ")</f>
        <v> </v>
      </c>
      <c r="O235" s="334" t="str">
        <f aca="false">IF((E235="g"),G235," ")</f>
        <v> </v>
      </c>
      <c r="P235" s="334" t="str">
        <f aca="false">IF((E235="m"),G235," ")</f>
        <v> </v>
      </c>
      <c r="Q235" s="334" t="str">
        <f aca="false">IF((E235="t"),G235," ")</f>
        <v> </v>
      </c>
      <c r="R235" s="334" t="str">
        <f aca="false">IF((E235="a"),G235," ")</f>
        <v> </v>
      </c>
      <c r="S235" s="334" t="str">
        <f aca="false">IF((E235="l"),G235," ")</f>
        <v> </v>
      </c>
      <c r="T235" s="334" t="str">
        <f aca="false">IF((E235="b"),G235," ")</f>
        <v> </v>
      </c>
      <c r="U235" s="334" t="str">
        <f aca="false">IF((E235="i"),G235," ")</f>
        <v> </v>
      </c>
      <c r="V235" s="334" t="str">
        <f aca="false">IF((E235="o"),G235," ")</f>
        <v> </v>
      </c>
      <c r="W235" s="334" t="str">
        <f aca="false">IF((E235="f"),G235," ")</f>
        <v> </v>
      </c>
    </row>
    <row r="236" customFormat="false" ht="12.75" hidden="false" customHeight="false" outlineLevel="0" collapsed="false">
      <c r="A236" s="355"/>
      <c r="E236" s="365" t="str">
        <f aca="false">IF((G236&lt;&gt;0),"Enter Letter"," ")</f>
        <v> </v>
      </c>
      <c r="J236" s="334" t="str">
        <f aca="false">IF((E236="s"),G236," ")</f>
        <v> </v>
      </c>
      <c r="K236" s="334" t="str">
        <f aca="false">IF((E236="d"),G236," ")</f>
        <v> </v>
      </c>
      <c r="L236" s="334" t="str">
        <f aca="false">IF((E236="e"),G236," ")</f>
        <v> </v>
      </c>
      <c r="M236" s="334" t="str">
        <f aca="false">IF((E236="p"),G236," ")</f>
        <v> </v>
      </c>
      <c r="N236" s="334" t="str">
        <f aca="false">IF((E236="r"),G236," ")</f>
        <v> </v>
      </c>
      <c r="O236" s="334" t="str">
        <f aca="false">IF((E236="g"),G236," ")</f>
        <v> </v>
      </c>
      <c r="P236" s="334" t="str">
        <f aca="false">IF((E236="m"),G236," ")</f>
        <v> </v>
      </c>
      <c r="Q236" s="334" t="str">
        <f aca="false">IF((E236="t"),G236," ")</f>
        <v> </v>
      </c>
      <c r="R236" s="334" t="str">
        <f aca="false">IF((E236="a"),G236," ")</f>
        <v> </v>
      </c>
      <c r="S236" s="334" t="str">
        <f aca="false">IF((E236="l"),G236," ")</f>
        <v> </v>
      </c>
      <c r="T236" s="334" t="str">
        <f aca="false">IF((E236="b"),G236," ")</f>
        <v> </v>
      </c>
      <c r="U236" s="334" t="str">
        <f aca="false">IF((E236="i"),G236," ")</f>
        <v> </v>
      </c>
      <c r="V236" s="334" t="str">
        <f aca="false">IF((E236="o"),G236," ")</f>
        <v> </v>
      </c>
      <c r="W236" s="334" t="str">
        <f aca="false">IF((E236="f"),G236," ")</f>
        <v> </v>
      </c>
    </row>
    <row r="237" customFormat="false" ht="12.75" hidden="false" customHeight="false" outlineLevel="0" collapsed="false">
      <c r="A237" s="355"/>
      <c r="E237" s="365" t="str">
        <f aca="false">IF((G237&lt;&gt;0),"Enter Letter"," ")</f>
        <v> </v>
      </c>
      <c r="J237" s="334" t="str">
        <f aca="false">IF((E237="s"),G237," ")</f>
        <v> </v>
      </c>
      <c r="K237" s="334" t="str">
        <f aca="false">IF((E237="d"),G237," ")</f>
        <v> </v>
      </c>
      <c r="L237" s="334" t="str">
        <f aca="false">IF((E237="e"),G237," ")</f>
        <v> </v>
      </c>
      <c r="M237" s="334" t="str">
        <f aca="false">IF((E237="p"),G237," ")</f>
        <v> </v>
      </c>
      <c r="N237" s="334" t="str">
        <f aca="false">IF((E237="r"),G237," ")</f>
        <v> </v>
      </c>
      <c r="O237" s="334" t="str">
        <f aca="false">IF((E237="g"),G237," ")</f>
        <v> </v>
      </c>
      <c r="P237" s="334" t="str">
        <f aca="false">IF((E237="m"),G237," ")</f>
        <v> </v>
      </c>
      <c r="Q237" s="334" t="str">
        <f aca="false">IF((E237="t"),G237," ")</f>
        <v> </v>
      </c>
      <c r="R237" s="334" t="str">
        <f aca="false">IF((E237="a"),G237," ")</f>
        <v> </v>
      </c>
      <c r="S237" s="334" t="str">
        <f aca="false">IF((E237="l"),G237," ")</f>
        <v> </v>
      </c>
      <c r="T237" s="334" t="str">
        <f aca="false">IF((E237="b"),G237," ")</f>
        <v> </v>
      </c>
      <c r="U237" s="334" t="str">
        <f aca="false">IF((E237="i"),G237," ")</f>
        <v> </v>
      </c>
      <c r="V237" s="334" t="str">
        <f aca="false">IF((E237="o"),G237," ")</f>
        <v> </v>
      </c>
      <c r="W237" s="334" t="str">
        <f aca="false">IF((E237="f"),G237," ")</f>
        <v> </v>
      </c>
    </row>
    <row r="238" customFormat="false" ht="12.75" hidden="false" customHeight="false" outlineLevel="0" collapsed="false">
      <c r="A238" s="355"/>
      <c r="E238" s="365" t="str">
        <f aca="false">IF((G238&lt;&gt;0),"Enter Letter"," ")</f>
        <v> </v>
      </c>
      <c r="J238" s="334" t="str">
        <f aca="false">IF((E238="s"),G238," ")</f>
        <v> </v>
      </c>
      <c r="K238" s="334" t="str">
        <f aca="false">IF((E238="d"),G238," ")</f>
        <v> </v>
      </c>
      <c r="L238" s="334" t="str">
        <f aca="false">IF((E238="e"),G238," ")</f>
        <v> </v>
      </c>
      <c r="M238" s="334" t="str">
        <f aca="false">IF((E238="p"),G238," ")</f>
        <v> </v>
      </c>
      <c r="N238" s="334" t="str">
        <f aca="false">IF((E238="r"),G238," ")</f>
        <v> </v>
      </c>
      <c r="O238" s="334" t="str">
        <f aca="false">IF((E238="g"),G238," ")</f>
        <v> </v>
      </c>
      <c r="P238" s="334" t="str">
        <f aca="false">IF((E238="m"),G238," ")</f>
        <v> </v>
      </c>
      <c r="Q238" s="334" t="str">
        <f aca="false">IF((E238="t"),G238," ")</f>
        <v> </v>
      </c>
      <c r="R238" s="334" t="str">
        <f aca="false">IF((E238="a"),G238," ")</f>
        <v> </v>
      </c>
      <c r="S238" s="334" t="str">
        <f aca="false">IF((E238="l"),G238," ")</f>
        <v> </v>
      </c>
      <c r="T238" s="334" t="str">
        <f aca="false">IF((E238="b"),G238," ")</f>
        <v> </v>
      </c>
      <c r="U238" s="334" t="str">
        <f aca="false">IF((E238="i"),G238," ")</f>
        <v> </v>
      </c>
      <c r="V238" s="334" t="str">
        <f aca="false">IF((E238="o"),G238," ")</f>
        <v> </v>
      </c>
      <c r="W238" s="334" t="str">
        <f aca="false">IF((E238="f"),G238," ")</f>
        <v> </v>
      </c>
    </row>
    <row r="239" customFormat="false" ht="12.75" hidden="false" customHeight="false" outlineLevel="0" collapsed="false">
      <c r="A239" s="355"/>
      <c r="E239" s="365" t="str">
        <f aca="false">IF((G239&lt;&gt;0),"Enter Letter"," ")</f>
        <v> </v>
      </c>
      <c r="J239" s="334" t="str">
        <f aca="false">IF((E239="s"),G239," ")</f>
        <v> </v>
      </c>
      <c r="K239" s="334" t="str">
        <f aca="false">IF((E239="d"),G239," ")</f>
        <v> </v>
      </c>
      <c r="L239" s="334" t="str">
        <f aca="false">IF((E239="e"),G239," ")</f>
        <v> </v>
      </c>
      <c r="M239" s="334" t="str">
        <f aca="false">IF((E239="p"),G239," ")</f>
        <v> </v>
      </c>
      <c r="N239" s="334" t="str">
        <f aca="false">IF((E239="r"),G239," ")</f>
        <v> </v>
      </c>
      <c r="O239" s="334" t="str">
        <f aca="false">IF((E239="g"),G239," ")</f>
        <v> </v>
      </c>
      <c r="P239" s="334" t="str">
        <f aca="false">IF((E239="m"),G239," ")</f>
        <v> </v>
      </c>
      <c r="Q239" s="334" t="str">
        <f aca="false">IF((E239="t"),G239," ")</f>
        <v> </v>
      </c>
      <c r="R239" s="334" t="str">
        <f aca="false">IF((E239="a"),G239," ")</f>
        <v> </v>
      </c>
      <c r="S239" s="334" t="str">
        <f aca="false">IF((E239="l"),G239," ")</f>
        <v> </v>
      </c>
      <c r="T239" s="334" t="str">
        <f aca="false">IF((E239="b"),G239," ")</f>
        <v> </v>
      </c>
      <c r="U239" s="334" t="str">
        <f aca="false">IF((E239="i"),G239," ")</f>
        <v> </v>
      </c>
      <c r="V239" s="334" t="str">
        <f aca="false">IF((E239="o"),G239," ")</f>
        <v> </v>
      </c>
      <c r="W239" s="334" t="str">
        <f aca="false">IF((E239="f"),G239," ")</f>
        <v> </v>
      </c>
    </row>
    <row r="240" customFormat="false" ht="12.75" hidden="false" customHeight="false" outlineLevel="0" collapsed="false">
      <c r="A240" s="355"/>
      <c r="E240" s="365" t="str">
        <f aca="false">IF((G240&lt;&gt;0),"Enter Letter"," ")</f>
        <v> </v>
      </c>
      <c r="J240" s="334" t="str">
        <f aca="false">IF((E240="s"),G240," ")</f>
        <v> </v>
      </c>
      <c r="K240" s="334" t="str">
        <f aca="false">IF((E240="d"),G240," ")</f>
        <v> </v>
      </c>
      <c r="L240" s="334" t="str">
        <f aca="false">IF((E240="e"),G240," ")</f>
        <v> </v>
      </c>
      <c r="M240" s="334" t="str">
        <f aca="false">IF((E240="p"),G240," ")</f>
        <v> </v>
      </c>
      <c r="N240" s="334" t="str">
        <f aca="false">IF((E240="r"),G240," ")</f>
        <v> </v>
      </c>
      <c r="O240" s="334" t="str">
        <f aca="false">IF((E240="g"),G240," ")</f>
        <v> </v>
      </c>
      <c r="P240" s="334" t="str">
        <f aca="false">IF((E240="m"),G240," ")</f>
        <v> </v>
      </c>
      <c r="Q240" s="334" t="str">
        <f aca="false">IF((E240="t"),G240," ")</f>
        <v> </v>
      </c>
      <c r="R240" s="334" t="str">
        <f aca="false">IF((E240="a"),G240," ")</f>
        <v> </v>
      </c>
      <c r="S240" s="334" t="str">
        <f aca="false">IF((E240="l"),G240," ")</f>
        <v> </v>
      </c>
      <c r="T240" s="334" t="str">
        <f aca="false">IF((E240="b"),G240," ")</f>
        <v> </v>
      </c>
      <c r="U240" s="334" t="str">
        <f aca="false">IF((E240="i"),G240," ")</f>
        <v> </v>
      </c>
      <c r="V240" s="334" t="str">
        <f aca="false">IF((E240="o"),G240," ")</f>
        <v> </v>
      </c>
      <c r="W240" s="334" t="str">
        <f aca="false">IF((E240="f"),G240," ")</f>
        <v> </v>
      </c>
    </row>
    <row r="241" customFormat="false" ht="12.75" hidden="false" customHeight="false" outlineLevel="0" collapsed="false">
      <c r="A241" s="355"/>
      <c r="E241" s="365" t="str">
        <f aca="false">IF((G241&lt;&gt;0),"Enter Letter"," ")</f>
        <v> </v>
      </c>
      <c r="J241" s="334" t="str">
        <f aca="false">IF((E241="s"),G241," ")</f>
        <v> </v>
      </c>
      <c r="K241" s="334" t="str">
        <f aca="false">IF((E241="d"),G241," ")</f>
        <v> </v>
      </c>
      <c r="L241" s="334" t="str">
        <f aca="false">IF((E241="e"),G241," ")</f>
        <v> </v>
      </c>
      <c r="M241" s="334" t="str">
        <f aca="false">IF((E241="p"),G241," ")</f>
        <v> </v>
      </c>
      <c r="N241" s="334" t="str">
        <f aca="false">IF((E241="r"),G241," ")</f>
        <v> </v>
      </c>
      <c r="O241" s="334" t="str">
        <f aca="false">IF((E241="g"),G241," ")</f>
        <v> </v>
      </c>
      <c r="P241" s="334" t="str">
        <f aca="false">IF((E241="m"),G241," ")</f>
        <v> </v>
      </c>
      <c r="Q241" s="334" t="str">
        <f aca="false">IF((E241="t"),G241," ")</f>
        <v> </v>
      </c>
      <c r="R241" s="334" t="str">
        <f aca="false">IF((E241="a"),G241," ")</f>
        <v> </v>
      </c>
      <c r="S241" s="334" t="str">
        <f aca="false">IF((E241="l"),G241," ")</f>
        <v> </v>
      </c>
      <c r="T241" s="334" t="str">
        <f aca="false">IF((E241="b"),G241," ")</f>
        <v> </v>
      </c>
      <c r="U241" s="334" t="str">
        <f aca="false">IF((E241="i"),G241," ")</f>
        <v> </v>
      </c>
      <c r="V241" s="334" t="str">
        <f aca="false">IF((E241="o"),G241," ")</f>
        <v> </v>
      </c>
      <c r="W241" s="334" t="str">
        <f aca="false">IF((E241="f"),G241," ")</f>
        <v> </v>
      </c>
    </row>
    <row r="242" customFormat="false" ht="12.75" hidden="false" customHeight="false" outlineLevel="0" collapsed="false">
      <c r="A242" s="355"/>
      <c r="E242" s="365" t="str">
        <f aca="false">IF((G242&lt;&gt;0),"Enter Letter"," ")</f>
        <v> </v>
      </c>
      <c r="J242" s="334" t="str">
        <f aca="false">IF((E242="s"),G242," ")</f>
        <v> </v>
      </c>
      <c r="K242" s="334" t="str">
        <f aca="false">IF((E242="d"),G242," ")</f>
        <v> </v>
      </c>
      <c r="L242" s="334" t="str">
        <f aca="false">IF((E242="e"),G242," ")</f>
        <v> </v>
      </c>
      <c r="M242" s="334" t="str">
        <f aca="false">IF((E242="p"),G242," ")</f>
        <v> </v>
      </c>
      <c r="N242" s="334" t="str">
        <f aca="false">IF((E242="r"),G242," ")</f>
        <v> </v>
      </c>
      <c r="O242" s="334" t="str">
        <f aca="false">IF((E242="g"),G242," ")</f>
        <v> </v>
      </c>
      <c r="P242" s="334" t="str">
        <f aca="false">IF((E242="m"),G242," ")</f>
        <v> </v>
      </c>
      <c r="Q242" s="334" t="str">
        <f aca="false">IF((E242="t"),G242," ")</f>
        <v> </v>
      </c>
      <c r="R242" s="334" t="str">
        <f aca="false">IF((E242="a"),G242," ")</f>
        <v> </v>
      </c>
      <c r="S242" s="334" t="str">
        <f aca="false">IF((E242="l"),G242," ")</f>
        <v> </v>
      </c>
      <c r="T242" s="334" t="str">
        <f aca="false">IF((E242="b"),G242," ")</f>
        <v> </v>
      </c>
      <c r="U242" s="334" t="str">
        <f aca="false">IF((E242="i"),G242," ")</f>
        <v> </v>
      </c>
      <c r="V242" s="334" t="str">
        <f aca="false">IF((E242="o"),G242," ")</f>
        <v> </v>
      </c>
      <c r="W242" s="334" t="str">
        <f aca="false">IF((E242="f"),G242," ")</f>
        <v> </v>
      </c>
    </row>
    <row r="243" customFormat="false" ht="12.75" hidden="false" customHeight="false" outlineLevel="0" collapsed="false">
      <c r="A243" s="355"/>
      <c r="E243" s="365" t="str">
        <f aca="false">IF((G243&lt;&gt;0),"Enter Letter"," ")</f>
        <v> </v>
      </c>
      <c r="J243" s="334" t="str">
        <f aca="false">IF((E243="s"),G243," ")</f>
        <v> </v>
      </c>
      <c r="K243" s="334" t="str">
        <f aca="false">IF((E243="d"),G243," ")</f>
        <v> </v>
      </c>
      <c r="L243" s="334" t="str">
        <f aca="false">IF((E243="e"),G243," ")</f>
        <v> </v>
      </c>
      <c r="M243" s="334" t="str">
        <f aca="false">IF((E243="p"),G243," ")</f>
        <v> </v>
      </c>
      <c r="N243" s="334" t="str">
        <f aca="false">IF((E243="r"),G243," ")</f>
        <v> </v>
      </c>
      <c r="O243" s="334" t="str">
        <f aca="false">IF((E243="g"),G243," ")</f>
        <v> </v>
      </c>
      <c r="P243" s="334" t="str">
        <f aca="false">IF((E243="m"),G243," ")</f>
        <v> </v>
      </c>
      <c r="Q243" s="334" t="str">
        <f aca="false">IF((E243="t"),G243," ")</f>
        <v> </v>
      </c>
      <c r="R243" s="334" t="str">
        <f aca="false">IF((E243="a"),G243," ")</f>
        <v> </v>
      </c>
      <c r="S243" s="334" t="str">
        <f aca="false">IF((E243="l"),G243," ")</f>
        <v> </v>
      </c>
      <c r="T243" s="334" t="str">
        <f aca="false">IF((E243="b"),G243," ")</f>
        <v> </v>
      </c>
      <c r="U243" s="334" t="str">
        <f aca="false">IF((E243="i"),G243," ")</f>
        <v> </v>
      </c>
      <c r="V243" s="334" t="str">
        <f aca="false">IF((E243="o"),G243," ")</f>
        <v> </v>
      </c>
      <c r="W243" s="334" t="str">
        <f aca="false">IF((E243="f"),G243," ")</f>
        <v> </v>
      </c>
    </row>
    <row r="244" customFormat="false" ht="12.75" hidden="false" customHeight="false" outlineLevel="0" collapsed="false">
      <c r="A244" s="355"/>
      <c r="E244" s="365" t="str">
        <f aca="false">IF((G244&lt;&gt;0),"Enter Letter"," ")</f>
        <v> </v>
      </c>
      <c r="J244" s="334" t="str">
        <f aca="false">IF((E244="s"),G244," ")</f>
        <v> </v>
      </c>
      <c r="K244" s="334" t="str">
        <f aca="false">IF((E244="d"),G244," ")</f>
        <v> </v>
      </c>
      <c r="L244" s="334" t="str">
        <f aca="false">IF((E244="e"),G244," ")</f>
        <v> </v>
      </c>
      <c r="M244" s="334" t="str">
        <f aca="false">IF((E244="p"),G244," ")</f>
        <v> </v>
      </c>
      <c r="N244" s="334" t="str">
        <f aca="false">IF((E244="r"),G244," ")</f>
        <v> </v>
      </c>
      <c r="O244" s="334" t="str">
        <f aca="false">IF((E244="g"),G244," ")</f>
        <v> </v>
      </c>
      <c r="P244" s="334" t="str">
        <f aca="false">IF((E244="m"),G244," ")</f>
        <v> </v>
      </c>
      <c r="Q244" s="334" t="str">
        <f aca="false">IF((E244="t"),G244," ")</f>
        <v> </v>
      </c>
      <c r="R244" s="334" t="str">
        <f aca="false">IF((E244="a"),G244," ")</f>
        <v> </v>
      </c>
      <c r="S244" s="334" t="str">
        <f aca="false">IF((E244="l"),G244," ")</f>
        <v> </v>
      </c>
      <c r="T244" s="334" t="str">
        <f aca="false">IF((E244="b"),G244," ")</f>
        <v> </v>
      </c>
      <c r="U244" s="334" t="str">
        <f aca="false">IF((E244="i"),G244," ")</f>
        <v> </v>
      </c>
      <c r="V244" s="334" t="str">
        <f aca="false">IF((E244="o"),G244," ")</f>
        <v> </v>
      </c>
      <c r="W244" s="334" t="str">
        <f aca="false">IF((E244="f"),G244," ")</f>
        <v> </v>
      </c>
    </row>
    <row r="245" customFormat="false" ht="12.75" hidden="false" customHeight="false" outlineLevel="0" collapsed="false">
      <c r="A245" s="355"/>
      <c r="E245" s="365" t="str">
        <f aca="false">IF((G245&lt;&gt;0),"Enter Letter"," ")</f>
        <v> </v>
      </c>
      <c r="J245" s="334" t="str">
        <f aca="false">IF((E245="s"),G245," ")</f>
        <v> </v>
      </c>
      <c r="K245" s="334" t="str">
        <f aca="false">IF((E245="d"),G245," ")</f>
        <v> </v>
      </c>
      <c r="L245" s="334" t="str">
        <f aca="false">IF((E245="e"),G245," ")</f>
        <v> </v>
      </c>
      <c r="M245" s="334" t="str">
        <f aca="false">IF((E245="p"),G245," ")</f>
        <v> </v>
      </c>
      <c r="N245" s="334" t="str">
        <f aca="false">IF((E245="r"),G245," ")</f>
        <v> </v>
      </c>
      <c r="O245" s="334" t="str">
        <f aca="false">IF((E245="g"),G245," ")</f>
        <v> </v>
      </c>
      <c r="P245" s="334" t="str">
        <f aca="false">IF((E245="m"),G245," ")</f>
        <v> </v>
      </c>
      <c r="Q245" s="334" t="str">
        <f aca="false">IF((E245="t"),G245," ")</f>
        <v> </v>
      </c>
      <c r="R245" s="334" t="str">
        <f aca="false">IF((E245="a"),G245," ")</f>
        <v> </v>
      </c>
      <c r="S245" s="334" t="str">
        <f aca="false">IF((E245="l"),G245," ")</f>
        <v> </v>
      </c>
      <c r="T245" s="334" t="str">
        <f aca="false">IF((E245="b"),G245," ")</f>
        <v> </v>
      </c>
      <c r="U245" s="334" t="str">
        <f aca="false">IF((E245="i"),G245," ")</f>
        <v> </v>
      </c>
      <c r="V245" s="334" t="str">
        <f aca="false">IF((E245="o"),G245," ")</f>
        <v> </v>
      </c>
      <c r="W245" s="334" t="str">
        <f aca="false">IF((E245="f"),G245," ")</f>
        <v> </v>
      </c>
    </row>
    <row r="246" customFormat="false" ht="12.75" hidden="false" customHeight="false" outlineLevel="0" collapsed="false">
      <c r="A246" s="355"/>
      <c r="E246" s="365" t="str">
        <f aca="false">IF((G246&lt;&gt;0),"Enter Letter"," ")</f>
        <v> </v>
      </c>
      <c r="J246" s="334" t="str">
        <f aca="false">IF((E246="s"),G246," ")</f>
        <v> </v>
      </c>
      <c r="K246" s="334" t="str">
        <f aca="false">IF((E246="d"),G246," ")</f>
        <v> </v>
      </c>
      <c r="L246" s="334" t="str">
        <f aca="false">IF((E246="e"),G246," ")</f>
        <v> </v>
      </c>
      <c r="M246" s="334" t="str">
        <f aca="false">IF((E246="p"),G246," ")</f>
        <v> </v>
      </c>
      <c r="N246" s="334" t="str">
        <f aca="false">IF((E246="r"),G246," ")</f>
        <v> </v>
      </c>
      <c r="O246" s="334" t="str">
        <f aca="false">IF((E246="g"),G246," ")</f>
        <v> </v>
      </c>
      <c r="P246" s="334" t="str">
        <f aca="false">IF((E246="m"),G246," ")</f>
        <v> </v>
      </c>
      <c r="Q246" s="334" t="str">
        <f aca="false">IF((E246="t"),G246," ")</f>
        <v> </v>
      </c>
      <c r="R246" s="334" t="str">
        <f aca="false">IF((E246="a"),G246," ")</f>
        <v> </v>
      </c>
      <c r="S246" s="334" t="str">
        <f aca="false">IF((E246="l"),G246," ")</f>
        <v> </v>
      </c>
      <c r="T246" s="334" t="str">
        <f aca="false">IF((E246="b"),G246," ")</f>
        <v> </v>
      </c>
      <c r="U246" s="334" t="str">
        <f aca="false">IF((E246="i"),G246," ")</f>
        <v> </v>
      </c>
      <c r="V246" s="334" t="str">
        <f aca="false">IF((E246="o"),G246," ")</f>
        <v> </v>
      </c>
      <c r="W246" s="334" t="str">
        <f aca="false">IF((E246="f"),G246," ")</f>
        <v> </v>
      </c>
    </row>
    <row r="247" customFormat="false" ht="12.75" hidden="false" customHeight="false" outlineLevel="0" collapsed="false">
      <c r="A247" s="355"/>
      <c r="E247" s="365" t="str">
        <f aca="false">IF((G247&lt;&gt;0),"Enter Letter"," ")</f>
        <v> </v>
      </c>
      <c r="J247" s="334" t="str">
        <f aca="false">IF((E247="s"),G247," ")</f>
        <v> </v>
      </c>
      <c r="K247" s="334" t="str">
        <f aca="false">IF((E247="d"),G247," ")</f>
        <v> </v>
      </c>
      <c r="L247" s="334" t="str">
        <f aca="false">IF((E247="e"),G247," ")</f>
        <v> </v>
      </c>
      <c r="M247" s="334" t="str">
        <f aca="false">IF((E247="p"),G247," ")</f>
        <v> </v>
      </c>
      <c r="N247" s="334" t="str">
        <f aca="false">IF((E247="r"),G247," ")</f>
        <v> </v>
      </c>
      <c r="O247" s="334" t="str">
        <f aca="false">IF((E247="g"),G247," ")</f>
        <v> </v>
      </c>
      <c r="P247" s="334" t="str">
        <f aca="false">IF((E247="m"),G247," ")</f>
        <v> </v>
      </c>
      <c r="Q247" s="334" t="str">
        <f aca="false">IF((E247="t"),G247," ")</f>
        <v> </v>
      </c>
      <c r="R247" s="334" t="str">
        <f aca="false">IF((E247="a"),G247," ")</f>
        <v> </v>
      </c>
      <c r="S247" s="334" t="str">
        <f aca="false">IF((E247="l"),G247," ")</f>
        <v> </v>
      </c>
      <c r="T247" s="334" t="str">
        <f aca="false">IF((E247="b"),G247," ")</f>
        <v> </v>
      </c>
      <c r="U247" s="334" t="str">
        <f aca="false">IF((E247="i"),G247," ")</f>
        <v> </v>
      </c>
      <c r="V247" s="334" t="str">
        <f aca="false">IF((E247="o"),G247," ")</f>
        <v> </v>
      </c>
      <c r="W247" s="334" t="str">
        <f aca="false">IF((E247="f"),G247," ")</f>
        <v> </v>
      </c>
    </row>
    <row r="248" customFormat="false" ht="12.75" hidden="false" customHeight="false" outlineLevel="0" collapsed="false">
      <c r="A248" s="355"/>
      <c r="E248" s="365" t="str">
        <f aca="false">IF((G248&lt;&gt;0),"Enter Letter"," ")</f>
        <v> </v>
      </c>
      <c r="J248" s="334" t="str">
        <f aca="false">IF((E248="s"),G248," ")</f>
        <v> </v>
      </c>
      <c r="K248" s="334" t="str">
        <f aca="false">IF((E248="d"),G248," ")</f>
        <v> </v>
      </c>
      <c r="L248" s="334" t="str">
        <f aca="false">IF((E248="e"),G248," ")</f>
        <v> </v>
      </c>
      <c r="M248" s="334" t="str">
        <f aca="false">IF((E248="p"),G248," ")</f>
        <v> </v>
      </c>
      <c r="N248" s="334" t="str">
        <f aca="false">IF((E248="r"),G248," ")</f>
        <v> </v>
      </c>
      <c r="O248" s="334" t="str">
        <f aca="false">IF((E248="g"),G248," ")</f>
        <v> </v>
      </c>
      <c r="P248" s="334" t="str">
        <f aca="false">IF((E248="m"),G248," ")</f>
        <v> </v>
      </c>
      <c r="Q248" s="334" t="str">
        <f aca="false">IF((E248="t"),G248," ")</f>
        <v> </v>
      </c>
      <c r="R248" s="334" t="str">
        <f aca="false">IF((E248="a"),G248," ")</f>
        <v> </v>
      </c>
      <c r="S248" s="334" t="str">
        <f aca="false">IF((E248="l"),G248," ")</f>
        <v> </v>
      </c>
      <c r="T248" s="334" t="str">
        <f aca="false">IF((E248="b"),G248," ")</f>
        <v> </v>
      </c>
      <c r="U248" s="334" t="str">
        <f aca="false">IF((E248="i"),G248," ")</f>
        <v> </v>
      </c>
      <c r="V248" s="334" t="str">
        <f aca="false">IF((E248="o"),G248," ")</f>
        <v> </v>
      </c>
      <c r="W248" s="334" t="str">
        <f aca="false">IF((E248="f"),G248," ")</f>
        <v> </v>
      </c>
    </row>
    <row r="249" customFormat="false" ht="12.75" hidden="false" customHeight="false" outlineLevel="0" collapsed="false">
      <c r="A249" s="355"/>
      <c r="E249" s="365" t="str">
        <f aca="false">IF((G249&lt;&gt;0),"Enter Letter"," ")</f>
        <v> </v>
      </c>
      <c r="J249" s="334" t="str">
        <f aca="false">IF((E249="s"),G249," ")</f>
        <v> </v>
      </c>
      <c r="K249" s="334" t="str">
        <f aca="false">IF((E249="d"),G249," ")</f>
        <v> </v>
      </c>
      <c r="L249" s="334" t="str">
        <f aca="false">IF((E249="e"),G249," ")</f>
        <v> </v>
      </c>
      <c r="M249" s="334" t="str">
        <f aca="false">IF((E249="p"),G249," ")</f>
        <v> </v>
      </c>
      <c r="N249" s="334" t="str">
        <f aca="false">IF((E249="r"),G249," ")</f>
        <v> </v>
      </c>
      <c r="O249" s="334" t="str">
        <f aca="false">IF((E249="g"),G249," ")</f>
        <v> </v>
      </c>
      <c r="P249" s="334" t="str">
        <f aca="false">IF((E249="m"),G249," ")</f>
        <v> </v>
      </c>
      <c r="Q249" s="334" t="str">
        <f aca="false">IF((E249="t"),G249," ")</f>
        <v> </v>
      </c>
      <c r="R249" s="334" t="str">
        <f aca="false">IF((E249="a"),G249," ")</f>
        <v> </v>
      </c>
      <c r="S249" s="334" t="str">
        <f aca="false">IF((E249="l"),G249," ")</f>
        <v> </v>
      </c>
      <c r="T249" s="334" t="str">
        <f aca="false">IF((E249="b"),G249," ")</f>
        <v> </v>
      </c>
      <c r="U249" s="334" t="str">
        <f aca="false">IF((E249="i"),G249," ")</f>
        <v> </v>
      </c>
      <c r="V249" s="334" t="str">
        <f aca="false">IF((E249="o"),G249," ")</f>
        <v> </v>
      </c>
      <c r="W249" s="334" t="str">
        <f aca="false">IF((E249="f"),G249," ")</f>
        <v> </v>
      </c>
    </row>
    <row r="250" customFormat="false" ht="12.75" hidden="false" customHeight="false" outlineLevel="0" collapsed="false">
      <c r="A250" s="355"/>
      <c r="E250" s="365" t="str">
        <f aca="false">IF((G250&lt;&gt;0),"Enter Letter"," ")</f>
        <v> </v>
      </c>
      <c r="J250" s="334" t="str">
        <f aca="false">IF((E250="s"),G250," ")</f>
        <v> </v>
      </c>
      <c r="K250" s="334" t="str">
        <f aca="false">IF((E250="d"),G250," ")</f>
        <v> </v>
      </c>
      <c r="L250" s="334" t="str">
        <f aca="false">IF((E250="e"),G250," ")</f>
        <v> </v>
      </c>
      <c r="M250" s="334" t="str">
        <f aca="false">IF((E250="p"),G250," ")</f>
        <v> </v>
      </c>
      <c r="N250" s="334" t="str">
        <f aca="false">IF((E250="r"),G250," ")</f>
        <v> </v>
      </c>
      <c r="O250" s="334" t="str">
        <f aca="false">IF((E250="g"),G250," ")</f>
        <v> </v>
      </c>
      <c r="P250" s="334" t="str">
        <f aca="false">IF((E250="m"),G250," ")</f>
        <v> </v>
      </c>
      <c r="Q250" s="334" t="str">
        <f aca="false">IF((E250="t"),G250," ")</f>
        <v> </v>
      </c>
      <c r="R250" s="334" t="str">
        <f aca="false">IF((E250="a"),G250," ")</f>
        <v> </v>
      </c>
      <c r="S250" s="334" t="str">
        <f aca="false">IF((E250="l"),G250," ")</f>
        <v> </v>
      </c>
      <c r="T250" s="334" t="str">
        <f aca="false">IF((E250="b"),G250," ")</f>
        <v> </v>
      </c>
      <c r="U250" s="334" t="str">
        <f aca="false">IF((E250="i"),G250," ")</f>
        <v> </v>
      </c>
      <c r="V250" s="334" t="str">
        <f aca="false">IF((E250="o"),G250," ")</f>
        <v> </v>
      </c>
      <c r="W250" s="334" t="str">
        <f aca="false">IF((E250="f"),G250," ")</f>
        <v> </v>
      </c>
    </row>
    <row r="251" customFormat="false" ht="12.75" hidden="false" customHeight="false" outlineLevel="0" collapsed="false">
      <c r="A251" s="355"/>
      <c r="E251" s="365" t="str">
        <f aca="false">IF((G251&lt;&gt;0),"Enter Letter"," ")</f>
        <v> </v>
      </c>
      <c r="J251" s="334" t="str">
        <f aca="false">IF((E251="s"),G251," ")</f>
        <v> </v>
      </c>
      <c r="K251" s="334" t="str">
        <f aca="false">IF((E251="d"),G251," ")</f>
        <v> </v>
      </c>
      <c r="L251" s="334" t="str">
        <f aca="false">IF((E251="e"),G251," ")</f>
        <v> </v>
      </c>
      <c r="M251" s="334" t="str">
        <f aca="false">IF((E251="p"),G251," ")</f>
        <v> </v>
      </c>
      <c r="N251" s="334" t="str">
        <f aca="false">IF((E251="r"),G251," ")</f>
        <v> </v>
      </c>
      <c r="O251" s="334" t="str">
        <f aca="false">IF((E251="g"),G251," ")</f>
        <v> </v>
      </c>
      <c r="P251" s="334" t="str">
        <f aca="false">IF((E251="m"),G251," ")</f>
        <v> </v>
      </c>
      <c r="Q251" s="334" t="str">
        <f aca="false">IF((E251="t"),G251," ")</f>
        <v> </v>
      </c>
      <c r="R251" s="334" t="str">
        <f aca="false">IF((E251="a"),G251," ")</f>
        <v> </v>
      </c>
      <c r="S251" s="334" t="str">
        <f aca="false">IF((E251="l"),G251," ")</f>
        <v> </v>
      </c>
      <c r="T251" s="334" t="str">
        <f aca="false">IF((E251="b"),G251," ")</f>
        <v> </v>
      </c>
      <c r="U251" s="334" t="str">
        <f aca="false">IF((E251="i"),G251," ")</f>
        <v> </v>
      </c>
      <c r="V251" s="334" t="str">
        <f aca="false">IF((E251="o"),G251," ")</f>
        <v> </v>
      </c>
      <c r="W251" s="334" t="str">
        <f aca="false">IF((E251="f"),G251," ")</f>
        <v> </v>
      </c>
    </row>
    <row r="252" customFormat="false" ht="12.75" hidden="false" customHeight="false" outlineLevel="0" collapsed="false">
      <c r="A252" s="355"/>
      <c r="E252" s="365" t="str">
        <f aca="false">IF((G252&lt;&gt;0),"Enter Letter"," ")</f>
        <v> </v>
      </c>
      <c r="J252" s="334" t="str">
        <f aca="false">IF((E252="s"),G252," ")</f>
        <v> </v>
      </c>
      <c r="K252" s="334" t="str">
        <f aca="false">IF((E252="d"),G252," ")</f>
        <v> </v>
      </c>
      <c r="L252" s="334" t="str">
        <f aca="false">IF((E252="e"),G252," ")</f>
        <v> </v>
      </c>
      <c r="M252" s="334" t="str">
        <f aca="false">IF((E252="p"),G252," ")</f>
        <v> </v>
      </c>
      <c r="N252" s="334" t="str">
        <f aca="false">IF((E252="r"),G252," ")</f>
        <v> </v>
      </c>
      <c r="O252" s="334" t="str">
        <f aca="false">IF((E252="g"),G252," ")</f>
        <v> </v>
      </c>
      <c r="P252" s="334" t="str">
        <f aca="false">IF((E252="m"),G252," ")</f>
        <v> </v>
      </c>
      <c r="Q252" s="334" t="str">
        <f aca="false">IF((E252="t"),G252," ")</f>
        <v> </v>
      </c>
      <c r="R252" s="334" t="str">
        <f aca="false">IF((E252="a"),G252," ")</f>
        <v> </v>
      </c>
      <c r="S252" s="334" t="str">
        <f aca="false">IF((E252="l"),G252," ")</f>
        <v> </v>
      </c>
      <c r="T252" s="334" t="str">
        <f aca="false">IF((E252="b"),G252," ")</f>
        <v> </v>
      </c>
      <c r="U252" s="334" t="str">
        <f aca="false">IF((E252="i"),G252," ")</f>
        <v> </v>
      </c>
      <c r="V252" s="334" t="str">
        <f aca="false">IF((E252="o"),G252," ")</f>
        <v> </v>
      </c>
      <c r="W252" s="334" t="str">
        <f aca="false">IF((E252="f"),G252," ")</f>
        <v> </v>
      </c>
    </row>
    <row r="253" customFormat="false" ht="12.75" hidden="false" customHeight="false" outlineLevel="0" collapsed="false">
      <c r="A253" s="355"/>
      <c r="E253" s="365" t="str">
        <f aca="false">IF((G253&lt;&gt;0),"Enter Letter"," ")</f>
        <v> </v>
      </c>
      <c r="J253" s="334" t="str">
        <f aca="false">IF((E253="s"),G253," ")</f>
        <v> </v>
      </c>
      <c r="K253" s="334" t="str">
        <f aca="false">IF((E253="d"),G253," ")</f>
        <v> </v>
      </c>
      <c r="L253" s="334" t="str">
        <f aca="false">IF((E253="e"),G253," ")</f>
        <v> </v>
      </c>
      <c r="M253" s="334" t="str">
        <f aca="false">IF((E253="p"),G253," ")</f>
        <v> </v>
      </c>
      <c r="N253" s="334" t="str">
        <f aca="false">IF((E253="r"),G253," ")</f>
        <v> </v>
      </c>
      <c r="O253" s="334" t="str">
        <f aca="false">IF((E253="g"),G253," ")</f>
        <v> </v>
      </c>
      <c r="P253" s="334" t="str">
        <f aca="false">IF((E253="m"),G253," ")</f>
        <v> </v>
      </c>
      <c r="Q253" s="334" t="str">
        <f aca="false">IF((E253="t"),G253," ")</f>
        <v> </v>
      </c>
      <c r="R253" s="334" t="str">
        <f aca="false">IF((E253="a"),G253," ")</f>
        <v> </v>
      </c>
      <c r="S253" s="334" t="str">
        <f aca="false">IF((E253="l"),G253," ")</f>
        <v> </v>
      </c>
      <c r="T253" s="334" t="str">
        <f aca="false">IF((E253="b"),G253," ")</f>
        <v> </v>
      </c>
      <c r="U253" s="334" t="str">
        <f aca="false">IF((E253="i"),G253," ")</f>
        <v> </v>
      </c>
      <c r="V253" s="334" t="str">
        <f aca="false">IF((E253="o"),G253," ")</f>
        <v> </v>
      </c>
      <c r="W253" s="334" t="str">
        <f aca="false">IF((E253="f"),G253," ")</f>
        <v> </v>
      </c>
    </row>
    <row r="254" customFormat="false" ht="12.75" hidden="false" customHeight="false" outlineLevel="0" collapsed="false">
      <c r="A254" s="355"/>
      <c r="E254" s="365" t="str">
        <f aca="false">IF((G254&lt;&gt;0),"Enter Letter"," ")</f>
        <v> </v>
      </c>
      <c r="J254" s="334" t="str">
        <f aca="false">IF((E254="s"),G254," ")</f>
        <v> </v>
      </c>
      <c r="K254" s="334" t="str">
        <f aca="false">IF((E254="d"),G254," ")</f>
        <v> </v>
      </c>
      <c r="L254" s="334" t="str">
        <f aca="false">IF((E254="e"),G254," ")</f>
        <v> </v>
      </c>
      <c r="M254" s="334" t="str">
        <f aca="false">IF((E254="p"),G254," ")</f>
        <v> </v>
      </c>
      <c r="N254" s="334" t="str">
        <f aca="false">IF((E254="r"),G254," ")</f>
        <v> </v>
      </c>
      <c r="O254" s="334" t="str">
        <f aca="false">IF((E254="g"),G254," ")</f>
        <v> </v>
      </c>
      <c r="P254" s="334" t="str">
        <f aca="false">IF((E254="m"),G254," ")</f>
        <v> </v>
      </c>
      <c r="Q254" s="334" t="str">
        <f aca="false">IF((E254="t"),G254," ")</f>
        <v> </v>
      </c>
      <c r="R254" s="334" t="str">
        <f aca="false">IF((E254="a"),G254," ")</f>
        <v> </v>
      </c>
      <c r="S254" s="334" t="str">
        <f aca="false">IF((E254="l"),G254," ")</f>
        <v> </v>
      </c>
      <c r="T254" s="334" t="str">
        <f aca="false">IF((E254="b"),G254," ")</f>
        <v> </v>
      </c>
      <c r="U254" s="334" t="str">
        <f aca="false">IF((E254="i"),G254," ")</f>
        <v> </v>
      </c>
      <c r="V254" s="334" t="str">
        <f aca="false">IF((E254="o"),G254," ")</f>
        <v> </v>
      </c>
      <c r="W254" s="334" t="str">
        <f aca="false">IF((E254="f"),G254," ")</f>
        <v> </v>
      </c>
    </row>
    <row r="255" customFormat="false" ht="12.75" hidden="false" customHeight="false" outlineLevel="0" collapsed="false">
      <c r="A255" s="355"/>
      <c r="E255" s="365" t="str">
        <f aca="false">IF((G255&lt;&gt;0),"Enter Letter"," ")</f>
        <v> </v>
      </c>
      <c r="J255" s="334" t="str">
        <f aca="false">IF((E255="s"),G255," ")</f>
        <v> </v>
      </c>
      <c r="K255" s="334" t="str">
        <f aca="false">IF((E255="d"),G255," ")</f>
        <v> </v>
      </c>
      <c r="L255" s="334" t="str">
        <f aca="false">IF((E255="e"),G255," ")</f>
        <v> </v>
      </c>
      <c r="M255" s="334" t="str">
        <f aca="false">IF((E255="p"),G255," ")</f>
        <v> </v>
      </c>
      <c r="N255" s="334" t="str">
        <f aca="false">IF((E255="r"),G255," ")</f>
        <v> </v>
      </c>
      <c r="O255" s="334" t="str">
        <f aca="false">IF((E255="g"),G255," ")</f>
        <v> </v>
      </c>
      <c r="P255" s="334" t="str">
        <f aca="false">IF((E255="m"),G255," ")</f>
        <v> </v>
      </c>
      <c r="Q255" s="334" t="str">
        <f aca="false">IF((E255="t"),G255," ")</f>
        <v> </v>
      </c>
      <c r="R255" s="334" t="str">
        <f aca="false">IF((E255="a"),G255," ")</f>
        <v> </v>
      </c>
      <c r="S255" s="334" t="str">
        <f aca="false">IF((E255="l"),G255," ")</f>
        <v> </v>
      </c>
      <c r="T255" s="334" t="str">
        <f aca="false">IF((E255="b"),G255," ")</f>
        <v> </v>
      </c>
      <c r="U255" s="334" t="str">
        <f aca="false">IF((E255="i"),G255," ")</f>
        <v> </v>
      </c>
      <c r="V255" s="334" t="str">
        <f aca="false">IF((E255="o"),G255," ")</f>
        <v> </v>
      </c>
      <c r="W255" s="334" t="str">
        <f aca="false">IF((E255="f"),G255," ")</f>
        <v> </v>
      </c>
    </row>
    <row r="256" customFormat="false" ht="12.75" hidden="false" customHeight="false" outlineLevel="0" collapsed="false">
      <c r="A256" s="355"/>
      <c r="E256" s="365" t="str">
        <f aca="false">IF((G256&lt;&gt;0),"Enter Letter"," ")</f>
        <v> </v>
      </c>
      <c r="J256" s="334" t="str">
        <f aca="false">IF((E256="s"),G256," ")</f>
        <v> </v>
      </c>
      <c r="K256" s="334" t="str">
        <f aca="false">IF((E256="d"),G256," ")</f>
        <v> </v>
      </c>
      <c r="L256" s="334" t="str">
        <f aca="false">IF((E256="e"),G256," ")</f>
        <v> </v>
      </c>
      <c r="M256" s="334" t="str">
        <f aca="false">IF((E256="p"),G256," ")</f>
        <v> </v>
      </c>
      <c r="N256" s="334" t="str">
        <f aca="false">IF((E256="r"),G256," ")</f>
        <v> </v>
      </c>
      <c r="O256" s="334" t="str">
        <f aca="false">IF((E256="g"),G256," ")</f>
        <v> </v>
      </c>
      <c r="P256" s="334" t="str">
        <f aca="false">IF((E256="m"),G256," ")</f>
        <v> </v>
      </c>
      <c r="Q256" s="334" t="str">
        <f aca="false">IF((E256="t"),G256," ")</f>
        <v> </v>
      </c>
      <c r="R256" s="334" t="str">
        <f aca="false">IF((E256="a"),G256," ")</f>
        <v> </v>
      </c>
      <c r="S256" s="334" t="str">
        <f aca="false">IF((E256="l"),G256," ")</f>
        <v> </v>
      </c>
      <c r="T256" s="334" t="str">
        <f aca="false">IF((E256="b"),G256," ")</f>
        <v> </v>
      </c>
      <c r="U256" s="334" t="str">
        <f aca="false">IF((E256="i"),G256," ")</f>
        <v> </v>
      </c>
      <c r="V256" s="334" t="str">
        <f aca="false">IF((E256="o"),G256," ")</f>
        <v> </v>
      </c>
      <c r="W256" s="334" t="str">
        <f aca="false">IF((E256="f"),G256," ")</f>
        <v> </v>
      </c>
    </row>
    <row r="257" customFormat="false" ht="12.75" hidden="false" customHeight="false" outlineLevel="0" collapsed="false">
      <c r="A257" s="355"/>
      <c r="E257" s="365" t="str">
        <f aca="false">IF((G257&lt;&gt;0),"Enter Letter"," ")</f>
        <v> </v>
      </c>
      <c r="J257" s="334" t="str">
        <f aca="false">IF((E257="s"),G257," ")</f>
        <v> </v>
      </c>
      <c r="K257" s="334" t="str">
        <f aca="false">IF((E257="d"),G257," ")</f>
        <v> </v>
      </c>
      <c r="L257" s="334" t="str">
        <f aca="false">IF((E257="e"),G257," ")</f>
        <v> </v>
      </c>
      <c r="M257" s="334" t="str">
        <f aca="false">IF((E257="p"),G257," ")</f>
        <v> </v>
      </c>
      <c r="N257" s="334" t="str">
        <f aca="false">IF((E257="r"),G257," ")</f>
        <v> </v>
      </c>
      <c r="O257" s="334" t="str">
        <f aca="false">IF((E257="g"),G257," ")</f>
        <v> </v>
      </c>
      <c r="P257" s="334" t="str">
        <f aca="false">IF((E257="m"),G257," ")</f>
        <v> </v>
      </c>
      <c r="Q257" s="334" t="str">
        <f aca="false">IF((E257="t"),G257," ")</f>
        <v> </v>
      </c>
      <c r="R257" s="334" t="str">
        <f aca="false">IF((E257="a"),G257," ")</f>
        <v> </v>
      </c>
      <c r="S257" s="334" t="str">
        <f aca="false">IF((E257="l"),G257," ")</f>
        <v> </v>
      </c>
      <c r="T257" s="334" t="str">
        <f aca="false">IF((E257="b"),G257," ")</f>
        <v> </v>
      </c>
      <c r="U257" s="334" t="str">
        <f aca="false">IF((E257="i"),G257," ")</f>
        <v> </v>
      </c>
      <c r="V257" s="334" t="str">
        <f aca="false">IF((E257="o"),G257," ")</f>
        <v> </v>
      </c>
      <c r="W257" s="334" t="str">
        <f aca="false">IF((E257="f"),G257," ")</f>
        <v> </v>
      </c>
    </row>
    <row r="258" customFormat="false" ht="12.75" hidden="false" customHeight="false" outlineLevel="0" collapsed="false">
      <c r="A258" s="355"/>
      <c r="E258" s="365" t="str">
        <f aca="false">IF((G258&lt;&gt;0),"Enter Letter"," ")</f>
        <v> </v>
      </c>
      <c r="J258" s="334" t="str">
        <f aca="false">IF((E258="s"),G258," ")</f>
        <v> </v>
      </c>
      <c r="K258" s="334" t="str">
        <f aca="false">IF((E258="d"),G258," ")</f>
        <v> </v>
      </c>
      <c r="L258" s="334" t="str">
        <f aca="false">IF((E258="e"),G258," ")</f>
        <v> </v>
      </c>
      <c r="M258" s="334" t="str">
        <f aca="false">IF((E258="p"),G258," ")</f>
        <v> </v>
      </c>
      <c r="N258" s="334" t="str">
        <f aca="false">IF((E258="r"),G258," ")</f>
        <v> </v>
      </c>
      <c r="O258" s="334" t="str">
        <f aca="false">IF((E258="g"),G258," ")</f>
        <v> </v>
      </c>
      <c r="P258" s="334" t="str">
        <f aca="false">IF((E258="m"),G258," ")</f>
        <v> </v>
      </c>
      <c r="Q258" s="334" t="str">
        <f aca="false">IF((E258="t"),G258," ")</f>
        <v> </v>
      </c>
      <c r="R258" s="334" t="str">
        <f aca="false">IF((E258="a"),G258," ")</f>
        <v> </v>
      </c>
      <c r="S258" s="334" t="str">
        <f aca="false">IF((E258="l"),G258," ")</f>
        <v> </v>
      </c>
      <c r="T258" s="334" t="str">
        <f aca="false">IF((E258="b"),G258," ")</f>
        <v> </v>
      </c>
      <c r="U258" s="334" t="str">
        <f aca="false">IF((E258="i"),G258," ")</f>
        <v> </v>
      </c>
      <c r="V258" s="334" t="str">
        <f aca="false">IF((E258="o"),G258," ")</f>
        <v> </v>
      </c>
      <c r="W258" s="334" t="str">
        <f aca="false">IF((E258="f"),G258," ")</f>
        <v> </v>
      </c>
    </row>
    <row r="259" customFormat="false" ht="12.75" hidden="false" customHeight="false" outlineLevel="0" collapsed="false">
      <c r="A259" s="355"/>
      <c r="E259" s="365" t="str">
        <f aca="false">IF((G259&lt;&gt;0),"Enter Letter"," ")</f>
        <v> </v>
      </c>
      <c r="J259" s="334" t="str">
        <f aca="false">IF((E259="s"),G259," ")</f>
        <v> </v>
      </c>
      <c r="K259" s="334" t="str">
        <f aca="false">IF((E259="d"),G259," ")</f>
        <v> </v>
      </c>
      <c r="L259" s="334" t="str">
        <f aca="false">IF((E259="e"),G259," ")</f>
        <v> </v>
      </c>
      <c r="M259" s="334" t="str">
        <f aca="false">IF((E259="p"),G259," ")</f>
        <v> </v>
      </c>
      <c r="N259" s="334" t="str">
        <f aca="false">IF((E259="r"),G259," ")</f>
        <v> </v>
      </c>
      <c r="O259" s="334" t="str">
        <f aca="false">IF((E259="g"),G259," ")</f>
        <v> </v>
      </c>
      <c r="P259" s="334" t="str">
        <f aca="false">IF((E259="m"),G259," ")</f>
        <v> </v>
      </c>
      <c r="Q259" s="334" t="str">
        <f aca="false">IF((E259="t"),G259," ")</f>
        <v> </v>
      </c>
      <c r="R259" s="334" t="str">
        <f aca="false">IF((E259="a"),G259," ")</f>
        <v> </v>
      </c>
      <c r="S259" s="334" t="str">
        <f aca="false">IF((E259="l"),G259," ")</f>
        <v> </v>
      </c>
      <c r="T259" s="334" t="str">
        <f aca="false">IF((E259="b"),G259," ")</f>
        <v> </v>
      </c>
      <c r="U259" s="334" t="str">
        <f aca="false">IF((E259="i"),G259," ")</f>
        <v> </v>
      </c>
      <c r="V259" s="334" t="str">
        <f aca="false">IF((E259="o"),G259," ")</f>
        <v> </v>
      </c>
      <c r="W259" s="334" t="str">
        <f aca="false">IF((E259="f"),G259," ")</f>
        <v> </v>
      </c>
    </row>
    <row r="260" customFormat="false" ht="12.75" hidden="false" customHeight="false" outlineLevel="0" collapsed="false">
      <c r="A260" s="355"/>
      <c r="E260" s="365" t="str">
        <f aca="false">IF((G260&lt;&gt;0),"Enter Letter"," ")</f>
        <v> </v>
      </c>
      <c r="J260" s="334" t="str">
        <f aca="false">IF((E260="s"),G260," ")</f>
        <v> </v>
      </c>
      <c r="K260" s="334" t="str">
        <f aca="false">IF((E260="d"),G260," ")</f>
        <v> </v>
      </c>
      <c r="L260" s="334" t="str">
        <f aca="false">IF((E260="e"),G260," ")</f>
        <v> </v>
      </c>
      <c r="M260" s="334" t="str">
        <f aca="false">IF((E260="p"),G260," ")</f>
        <v> </v>
      </c>
      <c r="N260" s="334" t="str">
        <f aca="false">IF((E260="r"),G260," ")</f>
        <v> </v>
      </c>
      <c r="O260" s="334" t="str">
        <f aca="false">IF((E260="g"),G260," ")</f>
        <v> </v>
      </c>
      <c r="P260" s="334" t="str">
        <f aca="false">IF((E260="m"),G260," ")</f>
        <v> </v>
      </c>
      <c r="Q260" s="334" t="str">
        <f aca="false">IF((E260="t"),G260," ")</f>
        <v> </v>
      </c>
      <c r="R260" s="334" t="str">
        <f aca="false">IF((E260="a"),G260," ")</f>
        <v> </v>
      </c>
      <c r="S260" s="334" t="str">
        <f aca="false">IF((E260="l"),G260," ")</f>
        <v> </v>
      </c>
      <c r="T260" s="334" t="str">
        <f aca="false">IF((E260="b"),G260," ")</f>
        <v> </v>
      </c>
      <c r="U260" s="334" t="str">
        <f aca="false">IF((E260="i"),G260," ")</f>
        <v> </v>
      </c>
      <c r="V260" s="334" t="str">
        <f aca="false">IF((E260="o"),G260," ")</f>
        <v> </v>
      </c>
      <c r="W260" s="334" t="str">
        <f aca="false">IF((E260="f"),G260," ")</f>
        <v> </v>
      </c>
    </row>
    <row r="261" customFormat="false" ht="12.75" hidden="false" customHeight="false" outlineLevel="0" collapsed="false">
      <c r="A261" s="355"/>
      <c r="E261" s="365" t="str">
        <f aca="false">IF((G261&lt;&gt;0),"Enter Letter"," ")</f>
        <v> </v>
      </c>
      <c r="J261" s="334" t="str">
        <f aca="false">IF((E261="s"),G261," ")</f>
        <v> </v>
      </c>
      <c r="K261" s="334" t="str">
        <f aca="false">IF((E261="d"),G261," ")</f>
        <v> </v>
      </c>
      <c r="L261" s="334" t="str">
        <f aca="false">IF((E261="e"),G261," ")</f>
        <v> </v>
      </c>
      <c r="M261" s="334" t="str">
        <f aca="false">IF((E261="p"),G261," ")</f>
        <v> </v>
      </c>
      <c r="N261" s="334" t="str">
        <f aca="false">IF((E261="r"),G261," ")</f>
        <v> </v>
      </c>
      <c r="O261" s="334" t="str">
        <f aca="false">IF((E261="g"),G261," ")</f>
        <v> </v>
      </c>
      <c r="P261" s="334" t="str">
        <f aca="false">IF((E261="m"),G261," ")</f>
        <v> </v>
      </c>
      <c r="Q261" s="334" t="str">
        <f aca="false">IF((E261="t"),G261," ")</f>
        <v> </v>
      </c>
      <c r="R261" s="334" t="str">
        <f aca="false">IF((E261="a"),G261," ")</f>
        <v> </v>
      </c>
      <c r="S261" s="334" t="str">
        <f aca="false">IF((E261="l"),G261," ")</f>
        <v> </v>
      </c>
      <c r="T261" s="334" t="str">
        <f aca="false">IF((E261="b"),G261," ")</f>
        <v> </v>
      </c>
      <c r="U261" s="334" t="str">
        <f aca="false">IF((E261="i"),G261," ")</f>
        <v> </v>
      </c>
      <c r="V261" s="334" t="str">
        <f aca="false">IF((E261="o"),G261," ")</f>
        <v> </v>
      </c>
      <c r="W261" s="334" t="str">
        <f aca="false">IF((E261="f"),G261," ")</f>
        <v> </v>
      </c>
    </row>
    <row r="262" customFormat="false" ht="12.75" hidden="false" customHeight="false" outlineLevel="0" collapsed="false">
      <c r="A262" s="355"/>
      <c r="E262" s="365" t="str">
        <f aca="false">IF((G262&lt;&gt;0),"Enter Letter"," ")</f>
        <v> </v>
      </c>
      <c r="J262" s="334" t="str">
        <f aca="false">IF((E262="s"),G262," ")</f>
        <v> </v>
      </c>
      <c r="K262" s="334" t="str">
        <f aca="false">IF((E262="d"),G262," ")</f>
        <v> </v>
      </c>
      <c r="L262" s="334" t="str">
        <f aca="false">IF((E262="e"),G262," ")</f>
        <v> </v>
      </c>
      <c r="M262" s="334" t="str">
        <f aca="false">IF((E262="p"),G262," ")</f>
        <v> </v>
      </c>
      <c r="N262" s="334" t="str">
        <f aca="false">IF((E262="r"),G262," ")</f>
        <v> </v>
      </c>
      <c r="O262" s="334" t="str">
        <f aca="false">IF((E262="g"),G262," ")</f>
        <v> </v>
      </c>
      <c r="P262" s="334" t="str">
        <f aca="false">IF((E262="m"),G262," ")</f>
        <v> </v>
      </c>
      <c r="Q262" s="334" t="str">
        <f aca="false">IF((E262="t"),G262," ")</f>
        <v> </v>
      </c>
      <c r="R262" s="334" t="str">
        <f aca="false">IF((E262="a"),G262," ")</f>
        <v> </v>
      </c>
      <c r="S262" s="334" t="str">
        <f aca="false">IF((E262="l"),G262," ")</f>
        <v> </v>
      </c>
      <c r="T262" s="334" t="str">
        <f aca="false">IF((E262="b"),G262," ")</f>
        <v> </v>
      </c>
      <c r="U262" s="334" t="str">
        <f aca="false">IF((E262="i"),G262," ")</f>
        <v> </v>
      </c>
      <c r="V262" s="334" t="str">
        <f aca="false">IF((E262="o"),G262," ")</f>
        <v> </v>
      </c>
      <c r="W262" s="334" t="str">
        <f aca="false">IF((E262="f"),G262," ")</f>
        <v> </v>
      </c>
    </row>
    <row r="263" customFormat="false" ht="12.75" hidden="false" customHeight="false" outlineLevel="0" collapsed="false">
      <c r="A263" s="355"/>
      <c r="E263" s="365" t="str">
        <f aca="false">IF((G263&lt;&gt;0),"Enter Letter"," ")</f>
        <v> </v>
      </c>
      <c r="J263" s="334" t="str">
        <f aca="false">IF((E263="s"),G263," ")</f>
        <v> </v>
      </c>
      <c r="K263" s="334" t="str">
        <f aca="false">IF((E263="d"),G263," ")</f>
        <v> </v>
      </c>
      <c r="L263" s="334" t="str">
        <f aca="false">IF((E263="e"),G263," ")</f>
        <v> </v>
      </c>
      <c r="M263" s="334" t="str">
        <f aca="false">IF((E263="p"),G263," ")</f>
        <v> </v>
      </c>
      <c r="N263" s="334" t="str">
        <f aca="false">IF((E263="r"),G263," ")</f>
        <v> </v>
      </c>
      <c r="O263" s="334" t="str">
        <f aca="false">IF((E263="g"),G263," ")</f>
        <v> </v>
      </c>
      <c r="P263" s="334" t="str">
        <f aca="false">IF((E263="m"),G263," ")</f>
        <v> </v>
      </c>
      <c r="Q263" s="334" t="str">
        <f aca="false">IF((E263="t"),G263," ")</f>
        <v> </v>
      </c>
      <c r="R263" s="334" t="str">
        <f aca="false">IF((E263="a"),G263," ")</f>
        <v> </v>
      </c>
      <c r="S263" s="334" t="str">
        <f aca="false">IF((E263="l"),G263," ")</f>
        <v> </v>
      </c>
      <c r="T263" s="334" t="str">
        <f aca="false">IF((E263="b"),G263," ")</f>
        <v> </v>
      </c>
      <c r="U263" s="334" t="str">
        <f aca="false">IF((E263="i"),G263," ")</f>
        <v> </v>
      </c>
      <c r="V263" s="334" t="str">
        <f aca="false">IF((E263="o"),G263," ")</f>
        <v> </v>
      </c>
      <c r="W263" s="334" t="str">
        <f aca="false">IF((E263="f"),G263," ")</f>
        <v> </v>
      </c>
    </row>
    <row r="264" customFormat="false" ht="12.75" hidden="false" customHeight="false" outlineLevel="0" collapsed="false">
      <c r="A264" s="355"/>
      <c r="E264" s="365" t="str">
        <f aca="false">IF((G264&lt;&gt;0),"Enter Letter"," ")</f>
        <v> </v>
      </c>
      <c r="J264" s="334" t="str">
        <f aca="false">IF((E264="s"),G264," ")</f>
        <v> </v>
      </c>
      <c r="K264" s="334" t="str">
        <f aca="false">IF((E264="d"),G264," ")</f>
        <v> </v>
      </c>
      <c r="L264" s="334" t="str">
        <f aca="false">IF((E264="e"),G264," ")</f>
        <v> </v>
      </c>
      <c r="M264" s="334" t="str">
        <f aca="false">IF((E264="p"),G264," ")</f>
        <v> </v>
      </c>
      <c r="N264" s="334" t="str">
        <f aca="false">IF((E264="r"),G264," ")</f>
        <v> </v>
      </c>
      <c r="O264" s="334" t="str">
        <f aca="false">IF((E264="g"),G264," ")</f>
        <v> </v>
      </c>
      <c r="P264" s="334" t="str">
        <f aca="false">IF((E264="m"),G264," ")</f>
        <v> </v>
      </c>
      <c r="Q264" s="334" t="str">
        <f aca="false">IF((E264="t"),G264," ")</f>
        <v> </v>
      </c>
      <c r="R264" s="334" t="str">
        <f aca="false">IF((E264="a"),G264," ")</f>
        <v> </v>
      </c>
      <c r="S264" s="334" t="str">
        <f aca="false">IF((E264="l"),G264," ")</f>
        <v> </v>
      </c>
      <c r="T264" s="334" t="str">
        <f aca="false">IF((E264="b"),G264," ")</f>
        <v> </v>
      </c>
      <c r="U264" s="334" t="str">
        <f aca="false">IF((E264="i"),G264," ")</f>
        <v> </v>
      </c>
      <c r="V264" s="334" t="str">
        <f aca="false">IF((E264="o"),G264," ")</f>
        <v> </v>
      </c>
      <c r="W264" s="334" t="str">
        <f aca="false">IF((E264="f"),G264," ")</f>
        <v> </v>
      </c>
    </row>
    <row r="265" customFormat="false" ht="12.75" hidden="false" customHeight="false" outlineLevel="0" collapsed="false">
      <c r="A265" s="355"/>
      <c r="E265" s="365" t="str">
        <f aca="false">IF((G265&lt;&gt;0),"Enter Letter"," ")</f>
        <v> </v>
      </c>
      <c r="J265" s="334" t="str">
        <f aca="false">IF((E265="s"),G265," ")</f>
        <v> </v>
      </c>
      <c r="K265" s="334" t="str">
        <f aca="false">IF((E265="d"),G265," ")</f>
        <v> </v>
      </c>
      <c r="L265" s="334" t="str">
        <f aca="false">IF((E265="e"),G265," ")</f>
        <v> </v>
      </c>
      <c r="M265" s="334" t="str">
        <f aca="false">IF((E265="p"),G265," ")</f>
        <v> </v>
      </c>
      <c r="N265" s="334" t="str">
        <f aca="false">IF((E265="r"),G265," ")</f>
        <v> </v>
      </c>
      <c r="O265" s="334" t="str">
        <f aca="false">IF((E265="g"),G265," ")</f>
        <v> </v>
      </c>
      <c r="P265" s="334" t="str">
        <f aca="false">IF((E265="m"),G265," ")</f>
        <v> </v>
      </c>
      <c r="Q265" s="334" t="str">
        <f aca="false">IF((E265="t"),G265," ")</f>
        <v> </v>
      </c>
      <c r="R265" s="334" t="str">
        <f aca="false">IF((E265="a"),G265," ")</f>
        <v> </v>
      </c>
      <c r="S265" s="334" t="str">
        <f aca="false">IF((E265="l"),G265," ")</f>
        <v> </v>
      </c>
      <c r="T265" s="334" t="str">
        <f aca="false">IF((E265="b"),G265," ")</f>
        <v> </v>
      </c>
      <c r="U265" s="334" t="str">
        <f aca="false">IF((E265="i"),G265," ")</f>
        <v> </v>
      </c>
      <c r="V265" s="334" t="str">
        <f aca="false">IF((E265="o"),G265," ")</f>
        <v> </v>
      </c>
      <c r="W265" s="334" t="str">
        <f aca="false">IF((E265="f"),G265," ")</f>
        <v> </v>
      </c>
    </row>
    <row r="266" customFormat="false" ht="12.75" hidden="false" customHeight="false" outlineLevel="0" collapsed="false">
      <c r="A266" s="355"/>
      <c r="E266" s="365" t="str">
        <f aca="false">IF((G266&lt;&gt;0),"Enter Letter"," ")</f>
        <v> </v>
      </c>
      <c r="J266" s="334" t="str">
        <f aca="false">IF((E266="s"),G266," ")</f>
        <v> </v>
      </c>
      <c r="K266" s="334" t="str">
        <f aca="false">IF((E266="d"),G266," ")</f>
        <v> </v>
      </c>
      <c r="L266" s="334" t="str">
        <f aca="false">IF((E266="e"),G266," ")</f>
        <v> </v>
      </c>
      <c r="M266" s="334" t="str">
        <f aca="false">IF((E266="p"),G266," ")</f>
        <v> </v>
      </c>
      <c r="N266" s="334" t="str">
        <f aca="false">IF((E266="r"),G266," ")</f>
        <v> </v>
      </c>
      <c r="O266" s="334" t="str">
        <f aca="false">IF((E266="g"),G266," ")</f>
        <v> </v>
      </c>
      <c r="P266" s="334" t="str">
        <f aca="false">IF((E266="m"),G266," ")</f>
        <v> </v>
      </c>
      <c r="Q266" s="334" t="str">
        <f aca="false">IF((E266="t"),G266," ")</f>
        <v> </v>
      </c>
      <c r="R266" s="334" t="str">
        <f aca="false">IF((E266="a"),G266," ")</f>
        <v> </v>
      </c>
      <c r="S266" s="334" t="str">
        <f aca="false">IF((E266="l"),G266," ")</f>
        <v> </v>
      </c>
      <c r="T266" s="334" t="str">
        <f aca="false">IF((E266="b"),G266," ")</f>
        <v> </v>
      </c>
      <c r="U266" s="334" t="str">
        <f aca="false">IF((E266="i"),G266," ")</f>
        <v> </v>
      </c>
      <c r="V266" s="334" t="str">
        <f aca="false">IF((E266="o"),G266," ")</f>
        <v> </v>
      </c>
      <c r="W266" s="334" t="str">
        <f aca="false">IF((E266="f"),G266," ")</f>
        <v> </v>
      </c>
    </row>
    <row r="267" customFormat="false" ht="12.75" hidden="false" customHeight="false" outlineLevel="0" collapsed="false">
      <c r="A267" s="355"/>
      <c r="E267" s="365" t="str">
        <f aca="false">IF((G267&lt;&gt;0),"Enter Letter"," ")</f>
        <v> </v>
      </c>
      <c r="J267" s="334" t="str">
        <f aca="false">IF((E267="s"),G267," ")</f>
        <v> </v>
      </c>
      <c r="K267" s="334" t="str">
        <f aca="false">IF((E267="d"),G267," ")</f>
        <v> </v>
      </c>
      <c r="L267" s="334" t="str">
        <f aca="false">IF((E267="e"),G267," ")</f>
        <v> </v>
      </c>
      <c r="M267" s="334" t="str">
        <f aca="false">IF((E267="p"),G267," ")</f>
        <v> </v>
      </c>
      <c r="N267" s="334" t="str">
        <f aca="false">IF((E267="r"),G267," ")</f>
        <v> </v>
      </c>
      <c r="O267" s="334" t="str">
        <f aca="false">IF((E267="g"),G267," ")</f>
        <v> </v>
      </c>
      <c r="P267" s="334" t="str">
        <f aca="false">IF((E267="m"),G267," ")</f>
        <v> </v>
      </c>
      <c r="Q267" s="334" t="str">
        <f aca="false">IF((E267="t"),G267," ")</f>
        <v> </v>
      </c>
      <c r="R267" s="334" t="str">
        <f aca="false">IF((E267="a"),G267," ")</f>
        <v> </v>
      </c>
      <c r="S267" s="334" t="str">
        <f aca="false">IF((E267="l"),G267," ")</f>
        <v> </v>
      </c>
      <c r="T267" s="334" t="str">
        <f aca="false">IF((E267="b"),G267," ")</f>
        <v> </v>
      </c>
      <c r="U267" s="334" t="str">
        <f aca="false">IF((E267="i"),G267," ")</f>
        <v> </v>
      </c>
      <c r="V267" s="334" t="str">
        <f aca="false">IF((E267="o"),G267," ")</f>
        <v> </v>
      </c>
      <c r="W267" s="334" t="str">
        <f aca="false">IF((E267="f"),G267," ")</f>
        <v> </v>
      </c>
    </row>
    <row r="268" customFormat="false" ht="12.75" hidden="false" customHeight="false" outlineLevel="0" collapsed="false">
      <c r="A268" s="355"/>
      <c r="E268" s="365" t="str">
        <f aca="false">IF((G268&lt;&gt;0),"Enter Letter"," ")</f>
        <v> </v>
      </c>
      <c r="J268" s="334" t="str">
        <f aca="false">IF((E268="s"),G268," ")</f>
        <v> </v>
      </c>
      <c r="K268" s="334" t="str">
        <f aca="false">IF((E268="d"),G268," ")</f>
        <v> </v>
      </c>
      <c r="L268" s="334" t="str">
        <f aca="false">IF((E268="e"),G268," ")</f>
        <v> </v>
      </c>
      <c r="M268" s="334" t="str">
        <f aca="false">IF((E268="p"),G268," ")</f>
        <v> </v>
      </c>
      <c r="N268" s="334" t="str">
        <f aca="false">IF((E268="r"),G268," ")</f>
        <v> </v>
      </c>
      <c r="O268" s="334" t="str">
        <f aca="false">IF((E268="g"),G268," ")</f>
        <v> </v>
      </c>
      <c r="P268" s="334" t="str">
        <f aca="false">IF((E268="m"),G268," ")</f>
        <v> </v>
      </c>
      <c r="Q268" s="334" t="str">
        <f aca="false">IF((E268="t"),G268," ")</f>
        <v> </v>
      </c>
      <c r="R268" s="334" t="str">
        <f aca="false">IF((E268="a"),G268," ")</f>
        <v> </v>
      </c>
      <c r="S268" s="334" t="str">
        <f aca="false">IF((E268="l"),G268," ")</f>
        <v> </v>
      </c>
      <c r="T268" s="334" t="str">
        <f aca="false">IF((E268="b"),G268," ")</f>
        <v> </v>
      </c>
      <c r="U268" s="334" t="str">
        <f aca="false">IF((E268="i"),G268," ")</f>
        <v> </v>
      </c>
      <c r="V268" s="334" t="str">
        <f aca="false">IF((E268="o"),G268," ")</f>
        <v> </v>
      </c>
      <c r="W268" s="334" t="str">
        <f aca="false">IF((E268="f"),G268," ")</f>
        <v> </v>
      </c>
    </row>
    <row r="269" customFormat="false" ht="12.75" hidden="false" customHeight="false" outlineLevel="0" collapsed="false">
      <c r="A269" s="355"/>
      <c r="E269" s="365" t="str">
        <f aca="false">IF((G269&lt;&gt;0),"Enter Letter"," ")</f>
        <v> </v>
      </c>
      <c r="J269" s="334" t="str">
        <f aca="false">IF((E269="s"),G269," ")</f>
        <v> </v>
      </c>
      <c r="K269" s="334" t="str">
        <f aca="false">IF((E269="d"),G269," ")</f>
        <v> </v>
      </c>
      <c r="L269" s="334" t="str">
        <f aca="false">IF((E269="e"),G269," ")</f>
        <v> </v>
      </c>
      <c r="M269" s="334" t="str">
        <f aca="false">IF((E269="p"),G269," ")</f>
        <v> </v>
      </c>
      <c r="N269" s="334" t="str">
        <f aca="false">IF((E269="r"),G269," ")</f>
        <v> </v>
      </c>
      <c r="O269" s="334" t="str">
        <f aca="false">IF((E269="g"),G269," ")</f>
        <v> </v>
      </c>
      <c r="P269" s="334" t="str">
        <f aca="false">IF((E269="m"),G269," ")</f>
        <v> </v>
      </c>
      <c r="Q269" s="334" t="str">
        <f aca="false">IF((E269="t"),G269," ")</f>
        <v> </v>
      </c>
      <c r="R269" s="334" t="str">
        <f aca="false">IF((E269="a"),G269," ")</f>
        <v> </v>
      </c>
      <c r="S269" s="334" t="str">
        <f aca="false">IF((E269="l"),G269," ")</f>
        <v> </v>
      </c>
      <c r="T269" s="334" t="str">
        <f aca="false">IF((E269="b"),G269," ")</f>
        <v> </v>
      </c>
      <c r="U269" s="334" t="str">
        <f aca="false">IF((E269="i"),G269," ")</f>
        <v> </v>
      </c>
      <c r="V269" s="334" t="str">
        <f aca="false">IF((E269="o"),G269," ")</f>
        <v> </v>
      </c>
      <c r="W269" s="334" t="str">
        <f aca="false">IF((E269="f"),G269," ")</f>
        <v> </v>
      </c>
    </row>
    <row r="270" customFormat="false" ht="12.75" hidden="false" customHeight="false" outlineLevel="0" collapsed="false">
      <c r="A270" s="355"/>
      <c r="E270" s="365" t="str">
        <f aca="false">IF((G270&lt;&gt;0),"Enter Letter"," ")</f>
        <v> </v>
      </c>
      <c r="J270" s="334" t="str">
        <f aca="false">IF((E270="s"),G270," ")</f>
        <v> </v>
      </c>
      <c r="K270" s="334" t="str">
        <f aca="false">IF((E270="d"),G270," ")</f>
        <v> </v>
      </c>
      <c r="L270" s="334" t="str">
        <f aca="false">IF((E270="e"),G270," ")</f>
        <v> </v>
      </c>
      <c r="M270" s="334" t="str">
        <f aca="false">IF((E270="p"),G270," ")</f>
        <v> </v>
      </c>
      <c r="N270" s="334" t="str">
        <f aca="false">IF((E270="r"),G270," ")</f>
        <v> </v>
      </c>
      <c r="O270" s="334" t="str">
        <f aca="false">IF((E270="g"),G270," ")</f>
        <v> </v>
      </c>
      <c r="P270" s="334" t="str">
        <f aca="false">IF((E270="m"),G270," ")</f>
        <v> </v>
      </c>
      <c r="Q270" s="334" t="str">
        <f aca="false">IF((E270="t"),G270," ")</f>
        <v> </v>
      </c>
      <c r="R270" s="334" t="str">
        <f aca="false">IF((E270="a"),G270," ")</f>
        <v> </v>
      </c>
      <c r="S270" s="334" t="str">
        <f aca="false">IF((E270="l"),G270," ")</f>
        <v> </v>
      </c>
      <c r="T270" s="334" t="str">
        <f aca="false">IF((E270="b"),G270," ")</f>
        <v> </v>
      </c>
      <c r="U270" s="334" t="str">
        <f aca="false">IF((E270="i"),G270," ")</f>
        <v> </v>
      </c>
      <c r="V270" s="334" t="str">
        <f aca="false">IF((E270="o"),G270," ")</f>
        <v> </v>
      </c>
      <c r="W270" s="334" t="str">
        <f aca="false">IF((E270="f"),G270," ")</f>
        <v> </v>
      </c>
    </row>
    <row r="271" customFormat="false" ht="12.75" hidden="false" customHeight="false" outlineLevel="0" collapsed="false">
      <c r="A271" s="355"/>
      <c r="E271" s="365" t="str">
        <f aca="false">IF((G271&lt;&gt;0),"Enter Letter"," ")</f>
        <v> </v>
      </c>
      <c r="J271" s="334" t="str">
        <f aca="false">IF((E271="s"),G271," ")</f>
        <v> </v>
      </c>
      <c r="K271" s="334" t="str">
        <f aca="false">IF((E271="d"),G271," ")</f>
        <v> </v>
      </c>
      <c r="L271" s="334" t="str">
        <f aca="false">IF((E271="e"),G271," ")</f>
        <v> </v>
      </c>
      <c r="M271" s="334" t="str">
        <f aca="false">IF((E271="p"),G271," ")</f>
        <v> </v>
      </c>
      <c r="N271" s="334" t="str">
        <f aca="false">IF((E271="r"),G271," ")</f>
        <v> </v>
      </c>
      <c r="O271" s="334" t="str">
        <f aca="false">IF((E271="g"),G271," ")</f>
        <v> </v>
      </c>
      <c r="P271" s="334" t="str">
        <f aca="false">IF((E271="m"),G271," ")</f>
        <v> </v>
      </c>
      <c r="Q271" s="334" t="str">
        <f aca="false">IF((E271="t"),G271," ")</f>
        <v> </v>
      </c>
      <c r="R271" s="334" t="str">
        <f aca="false">IF((E271="a"),G271," ")</f>
        <v> </v>
      </c>
      <c r="S271" s="334" t="str">
        <f aca="false">IF((E271="l"),G271," ")</f>
        <v> </v>
      </c>
      <c r="T271" s="334" t="str">
        <f aca="false">IF((E271="b"),G271," ")</f>
        <v> </v>
      </c>
      <c r="U271" s="334" t="str">
        <f aca="false">IF((E271="i"),G271," ")</f>
        <v> </v>
      </c>
      <c r="V271" s="334" t="str">
        <f aca="false">IF((E271="o"),G271," ")</f>
        <v> </v>
      </c>
      <c r="W271" s="334" t="str">
        <f aca="false">IF((E271="f"),G271," ")</f>
        <v> </v>
      </c>
    </row>
    <row r="272" customFormat="false" ht="12.75" hidden="false" customHeight="false" outlineLevel="0" collapsed="false">
      <c r="A272" s="355"/>
      <c r="E272" s="365" t="str">
        <f aca="false">IF((G272&lt;&gt;0),"Enter Letter"," ")</f>
        <v> </v>
      </c>
      <c r="J272" s="334" t="str">
        <f aca="false">IF((E272="s"),G272," ")</f>
        <v> </v>
      </c>
      <c r="K272" s="334" t="str">
        <f aca="false">IF((E272="d"),G272," ")</f>
        <v> </v>
      </c>
      <c r="L272" s="334" t="str">
        <f aca="false">IF((E272="e"),G272," ")</f>
        <v> </v>
      </c>
      <c r="M272" s="334" t="str">
        <f aca="false">IF((E272="p"),G272," ")</f>
        <v> </v>
      </c>
      <c r="N272" s="334" t="str">
        <f aca="false">IF((E272="r"),G272," ")</f>
        <v> </v>
      </c>
      <c r="O272" s="334" t="str">
        <f aca="false">IF((E272="g"),G272," ")</f>
        <v> </v>
      </c>
      <c r="P272" s="334" t="str">
        <f aca="false">IF((E272="m"),G272," ")</f>
        <v> </v>
      </c>
      <c r="Q272" s="334" t="str">
        <f aca="false">IF((E272="t"),G272," ")</f>
        <v> </v>
      </c>
      <c r="R272" s="334" t="str">
        <f aca="false">IF((E272="a"),G272," ")</f>
        <v> </v>
      </c>
      <c r="S272" s="334" t="str">
        <f aca="false">IF((E272="l"),G272," ")</f>
        <v> </v>
      </c>
      <c r="T272" s="334" t="str">
        <f aca="false">IF((E272="b"),G272," ")</f>
        <v> </v>
      </c>
      <c r="U272" s="334" t="str">
        <f aca="false">IF((E272="i"),G272," ")</f>
        <v> </v>
      </c>
      <c r="V272" s="334" t="str">
        <f aca="false">IF((E272="o"),G272," ")</f>
        <v> </v>
      </c>
      <c r="W272" s="334" t="str">
        <f aca="false">IF((E272="f"),G272," ")</f>
        <v> </v>
      </c>
    </row>
    <row r="273" customFormat="false" ht="12.75" hidden="false" customHeight="false" outlineLevel="0" collapsed="false">
      <c r="A273" s="355"/>
      <c r="E273" s="365" t="str">
        <f aca="false">IF((G273&lt;&gt;0),"Enter Letter"," ")</f>
        <v> </v>
      </c>
      <c r="J273" s="334" t="str">
        <f aca="false">IF((E273="s"),G273," ")</f>
        <v> </v>
      </c>
      <c r="K273" s="334" t="str">
        <f aca="false">IF((E273="d"),G273," ")</f>
        <v> </v>
      </c>
      <c r="L273" s="334" t="str">
        <f aca="false">IF((E273="e"),G273," ")</f>
        <v> </v>
      </c>
      <c r="M273" s="334" t="str">
        <f aca="false">IF((E273="p"),G273," ")</f>
        <v> </v>
      </c>
      <c r="N273" s="334" t="str">
        <f aca="false">IF((E273="r"),G273," ")</f>
        <v> </v>
      </c>
      <c r="O273" s="334" t="str">
        <f aca="false">IF((E273="g"),G273," ")</f>
        <v> </v>
      </c>
      <c r="P273" s="334" t="str">
        <f aca="false">IF((E273="m"),G273," ")</f>
        <v> </v>
      </c>
      <c r="Q273" s="334" t="str">
        <f aca="false">IF((E273="t"),G273," ")</f>
        <v> </v>
      </c>
      <c r="R273" s="334" t="str">
        <f aca="false">IF((E273="a"),G273," ")</f>
        <v> </v>
      </c>
      <c r="S273" s="334" t="str">
        <f aca="false">IF((E273="l"),G273," ")</f>
        <v> </v>
      </c>
      <c r="T273" s="334" t="str">
        <f aca="false">IF((E273="b"),G273," ")</f>
        <v> </v>
      </c>
      <c r="U273" s="334" t="str">
        <f aca="false">IF((E273="i"),G273," ")</f>
        <v> </v>
      </c>
      <c r="V273" s="334" t="str">
        <f aca="false">IF((E273="o"),G273," ")</f>
        <v> </v>
      </c>
      <c r="W273" s="334" t="str">
        <f aca="false">IF((E273="f"),G273," ")</f>
        <v> </v>
      </c>
    </row>
    <row r="274" customFormat="false" ht="12.75" hidden="false" customHeight="false" outlineLevel="0" collapsed="false">
      <c r="A274" s="355"/>
      <c r="E274" s="365" t="str">
        <f aca="false">IF((G274&lt;&gt;0),"Enter Letter"," ")</f>
        <v> </v>
      </c>
      <c r="J274" s="334" t="str">
        <f aca="false">IF((E274="s"),G274," ")</f>
        <v> </v>
      </c>
      <c r="K274" s="334" t="str">
        <f aca="false">IF((E274="d"),G274," ")</f>
        <v> </v>
      </c>
      <c r="L274" s="334" t="str">
        <f aca="false">IF((E274="e"),G274," ")</f>
        <v> </v>
      </c>
      <c r="M274" s="334" t="str">
        <f aca="false">IF((E274="p"),G274," ")</f>
        <v> </v>
      </c>
      <c r="N274" s="334" t="str">
        <f aca="false">IF((E274="r"),G274," ")</f>
        <v> </v>
      </c>
      <c r="O274" s="334" t="str">
        <f aca="false">IF((E274="g"),G274," ")</f>
        <v> </v>
      </c>
      <c r="P274" s="334" t="str">
        <f aca="false">IF((E274="m"),G274," ")</f>
        <v> </v>
      </c>
      <c r="Q274" s="334" t="str">
        <f aca="false">IF((E274="t"),G274," ")</f>
        <v> </v>
      </c>
      <c r="R274" s="334" t="str">
        <f aca="false">IF((E274="a"),G274," ")</f>
        <v> </v>
      </c>
      <c r="S274" s="334" t="str">
        <f aca="false">IF((E274="l"),G274," ")</f>
        <v> </v>
      </c>
      <c r="T274" s="334" t="str">
        <f aca="false">IF((E274="b"),G274," ")</f>
        <v> </v>
      </c>
      <c r="U274" s="334" t="str">
        <f aca="false">IF((E274="i"),G274," ")</f>
        <v> </v>
      </c>
      <c r="V274" s="334" t="str">
        <f aca="false">IF((E274="o"),G274," ")</f>
        <v> </v>
      </c>
      <c r="W274" s="334" t="str">
        <f aca="false">IF((E274="f"),G274," ")</f>
        <v> </v>
      </c>
    </row>
    <row r="275" customFormat="false" ht="12.75" hidden="false" customHeight="false" outlineLevel="0" collapsed="false">
      <c r="A275" s="355"/>
      <c r="E275" s="365" t="str">
        <f aca="false">IF((G275&lt;&gt;0),"Enter Letter"," ")</f>
        <v> </v>
      </c>
      <c r="J275" s="334" t="str">
        <f aca="false">IF((E275="s"),G275," ")</f>
        <v> </v>
      </c>
      <c r="K275" s="334" t="str">
        <f aca="false">IF((E275="d"),G275," ")</f>
        <v> </v>
      </c>
      <c r="L275" s="334" t="str">
        <f aca="false">IF((E275="e"),G275," ")</f>
        <v> </v>
      </c>
      <c r="M275" s="334" t="str">
        <f aca="false">IF((E275="p"),G275," ")</f>
        <v> </v>
      </c>
      <c r="N275" s="334" t="str">
        <f aca="false">IF((E275="r"),G275," ")</f>
        <v> </v>
      </c>
      <c r="O275" s="334" t="str">
        <f aca="false">IF((E275="g"),G275," ")</f>
        <v> </v>
      </c>
      <c r="P275" s="334" t="str">
        <f aca="false">IF((E275="m"),G275," ")</f>
        <v> </v>
      </c>
      <c r="Q275" s="334" t="str">
        <f aca="false">IF((E275="t"),G275," ")</f>
        <v> </v>
      </c>
      <c r="R275" s="334" t="str">
        <f aca="false">IF((E275="a"),G275," ")</f>
        <v> </v>
      </c>
      <c r="S275" s="334" t="str">
        <f aca="false">IF((E275="l"),G275," ")</f>
        <v> </v>
      </c>
      <c r="T275" s="334" t="str">
        <f aca="false">IF((E275="b"),G275," ")</f>
        <v> </v>
      </c>
      <c r="U275" s="334" t="str">
        <f aca="false">IF((E275="i"),G275," ")</f>
        <v> </v>
      </c>
      <c r="V275" s="334" t="str">
        <f aca="false">IF((E275="o"),G275," ")</f>
        <v> </v>
      </c>
      <c r="W275" s="334" t="str">
        <f aca="false">IF((E275="f"),G275," ")</f>
        <v> </v>
      </c>
    </row>
    <row r="276" customFormat="false" ht="12.75" hidden="false" customHeight="false" outlineLevel="0" collapsed="false">
      <c r="A276" s="355"/>
      <c r="E276" s="365" t="str">
        <f aca="false">IF((G276&lt;&gt;0),"Enter Letter"," ")</f>
        <v> </v>
      </c>
      <c r="J276" s="334" t="str">
        <f aca="false">IF((E276="s"),G276," ")</f>
        <v> </v>
      </c>
      <c r="K276" s="334" t="str">
        <f aca="false">IF((E276="d"),G276," ")</f>
        <v> </v>
      </c>
      <c r="L276" s="334" t="str">
        <f aca="false">IF((E276="e"),G276," ")</f>
        <v> </v>
      </c>
      <c r="M276" s="334" t="str">
        <f aca="false">IF((E276="p"),G276," ")</f>
        <v> </v>
      </c>
      <c r="N276" s="334" t="str">
        <f aca="false">IF((E276="r"),G276," ")</f>
        <v> </v>
      </c>
      <c r="O276" s="334" t="str">
        <f aca="false">IF((E276="g"),G276," ")</f>
        <v> </v>
      </c>
      <c r="P276" s="334" t="str">
        <f aca="false">IF((E276="m"),G276," ")</f>
        <v> </v>
      </c>
      <c r="Q276" s="334" t="str">
        <f aca="false">IF((E276="t"),G276," ")</f>
        <v> </v>
      </c>
      <c r="R276" s="334" t="str">
        <f aca="false">IF((E276="a"),G276," ")</f>
        <v> </v>
      </c>
      <c r="S276" s="334" t="str">
        <f aca="false">IF((E276="l"),G276," ")</f>
        <v> </v>
      </c>
      <c r="T276" s="334" t="str">
        <f aca="false">IF((E276="b"),G276," ")</f>
        <v> </v>
      </c>
      <c r="U276" s="334" t="str">
        <f aca="false">IF((E276="i"),G276," ")</f>
        <v> </v>
      </c>
      <c r="V276" s="334" t="str">
        <f aca="false">IF((E276="o"),G276," ")</f>
        <v> </v>
      </c>
      <c r="W276" s="334" t="str">
        <f aca="false">IF((E276="f"),G276," ")</f>
        <v> </v>
      </c>
    </row>
    <row r="277" customFormat="false" ht="12.75" hidden="false" customHeight="false" outlineLevel="0" collapsed="false">
      <c r="A277" s="355"/>
      <c r="E277" s="365" t="str">
        <f aca="false">IF((G277&lt;&gt;0),"Enter Letter"," ")</f>
        <v> </v>
      </c>
      <c r="J277" s="334" t="str">
        <f aca="false">IF((E277="s"),G277," ")</f>
        <v> </v>
      </c>
      <c r="K277" s="334" t="str">
        <f aca="false">IF((E277="d"),G277," ")</f>
        <v> </v>
      </c>
      <c r="L277" s="334" t="str">
        <f aca="false">IF((E277="e"),G277," ")</f>
        <v> </v>
      </c>
      <c r="M277" s="334" t="str">
        <f aca="false">IF((E277="p"),G277," ")</f>
        <v> </v>
      </c>
      <c r="N277" s="334" t="str">
        <f aca="false">IF((E277="r"),G277," ")</f>
        <v> </v>
      </c>
      <c r="O277" s="334" t="str">
        <f aca="false">IF((E277="g"),G277," ")</f>
        <v> </v>
      </c>
      <c r="P277" s="334" t="str">
        <f aca="false">IF((E277="m"),G277," ")</f>
        <v> </v>
      </c>
      <c r="Q277" s="334" t="str">
        <f aca="false">IF((E277="t"),G277," ")</f>
        <v> </v>
      </c>
      <c r="R277" s="334" t="str">
        <f aca="false">IF((E277="a"),G277," ")</f>
        <v> </v>
      </c>
      <c r="S277" s="334" t="str">
        <f aca="false">IF((E277="l"),G277," ")</f>
        <v> </v>
      </c>
      <c r="T277" s="334" t="str">
        <f aca="false">IF((E277="b"),G277," ")</f>
        <v> </v>
      </c>
      <c r="U277" s="334" t="str">
        <f aca="false">IF((E277="i"),G277," ")</f>
        <v> </v>
      </c>
      <c r="V277" s="334" t="str">
        <f aca="false">IF((E277="o"),G277," ")</f>
        <v> </v>
      </c>
      <c r="W277" s="334" t="str">
        <f aca="false">IF((E277="f"),G277," ")</f>
        <v> </v>
      </c>
    </row>
    <row r="278" customFormat="false" ht="12.75" hidden="false" customHeight="false" outlineLevel="0" collapsed="false">
      <c r="A278" s="355"/>
      <c r="E278" s="365" t="str">
        <f aca="false">IF((G278&lt;&gt;0),"Enter Letter"," ")</f>
        <v> </v>
      </c>
      <c r="J278" s="334" t="str">
        <f aca="false">IF((E278="s"),G278," ")</f>
        <v> </v>
      </c>
      <c r="K278" s="334" t="str">
        <f aca="false">IF((E278="d"),G278," ")</f>
        <v> </v>
      </c>
      <c r="L278" s="334" t="str">
        <f aca="false">IF((E278="e"),G278," ")</f>
        <v> </v>
      </c>
      <c r="M278" s="334" t="str">
        <f aca="false">IF((E278="p"),G278," ")</f>
        <v> </v>
      </c>
      <c r="N278" s="334" t="str">
        <f aca="false">IF((E278="r"),G278," ")</f>
        <v> </v>
      </c>
      <c r="O278" s="334" t="str">
        <f aca="false">IF((E278="g"),G278," ")</f>
        <v> </v>
      </c>
      <c r="P278" s="334" t="str">
        <f aca="false">IF((E278="m"),G278," ")</f>
        <v> </v>
      </c>
      <c r="Q278" s="334" t="str">
        <f aca="false">IF((E278="t"),G278," ")</f>
        <v> </v>
      </c>
      <c r="R278" s="334" t="str">
        <f aca="false">IF((E278="a"),G278," ")</f>
        <v> </v>
      </c>
      <c r="S278" s="334" t="str">
        <f aca="false">IF((E278="l"),G278," ")</f>
        <v> </v>
      </c>
      <c r="T278" s="334" t="str">
        <f aca="false">IF((E278="b"),G278," ")</f>
        <v> </v>
      </c>
      <c r="U278" s="334" t="str">
        <f aca="false">IF((E278="i"),G278," ")</f>
        <v> </v>
      </c>
      <c r="V278" s="334" t="str">
        <f aca="false">IF((E278="o"),G278," ")</f>
        <v> </v>
      </c>
      <c r="W278" s="334" t="str">
        <f aca="false">IF((E278="f"),G278," ")</f>
        <v> </v>
      </c>
    </row>
    <row r="279" customFormat="false" ht="12.75" hidden="false" customHeight="false" outlineLevel="0" collapsed="false">
      <c r="A279" s="355"/>
      <c r="E279" s="365" t="str">
        <f aca="false">IF((G279&lt;&gt;0),"Enter Letter"," ")</f>
        <v> </v>
      </c>
      <c r="J279" s="334" t="str">
        <f aca="false">IF((E279="s"),G279," ")</f>
        <v> </v>
      </c>
      <c r="K279" s="334" t="str">
        <f aca="false">IF((E279="d"),G279," ")</f>
        <v> </v>
      </c>
      <c r="L279" s="334" t="str">
        <f aca="false">IF((E279="e"),G279," ")</f>
        <v> </v>
      </c>
      <c r="M279" s="334" t="str">
        <f aca="false">IF((E279="p"),G279," ")</f>
        <v> </v>
      </c>
      <c r="N279" s="334" t="str">
        <f aca="false">IF((E279="r"),G279," ")</f>
        <v> </v>
      </c>
      <c r="O279" s="334" t="str">
        <f aca="false">IF((E279="g"),G279," ")</f>
        <v> </v>
      </c>
      <c r="P279" s="334" t="str">
        <f aca="false">IF((E279="m"),G279," ")</f>
        <v> </v>
      </c>
      <c r="Q279" s="334" t="str">
        <f aca="false">IF((E279="t"),G279," ")</f>
        <v> </v>
      </c>
      <c r="R279" s="334" t="str">
        <f aca="false">IF((E279="a"),G279," ")</f>
        <v> </v>
      </c>
      <c r="S279" s="334" t="str">
        <f aca="false">IF((E279="l"),G279," ")</f>
        <v> </v>
      </c>
      <c r="T279" s="334" t="str">
        <f aca="false">IF((E279="b"),G279," ")</f>
        <v> </v>
      </c>
      <c r="U279" s="334" t="str">
        <f aca="false">IF((E279="i"),G279," ")</f>
        <v> </v>
      </c>
      <c r="V279" s="334" t="str">
        <f aca="false">IF((E279="o"),G279," ")</f>
        <v> </v>
      </c>
      <c r="W279" s="334" t="str">
        <f aca="false">IF((E279="f"),G279," ")</f>
        <v> </v>
      </c>
    </row>
    <row r="280" customFormat="false" ht="12.75" hidden="false" customHeight="false" outlineLevel="0" collapsed="false">
      <c r="A280" s="355"/>
      <c r="E280" s="365" t="str">
        <f aca="false">IF((G280&lt;&gt;0),"Enter Letter"," ")</f>
        <v> </v>
      </c>
      <c r="J280" s="334" t="str">
        <f aca="false">IF((E280="s"),G280," ")</f>
        <v> </v>
      </c>
      <c r="K280" s="334" t="str">
        <f aca="false">IF((E280="d"),G280," ")</f>
        <v> </v>
      </c>
      <c r="L280" s="334" t="str">
        <f aca="false">IF((E280="e"),G280," ")</f>
        <v> </v>
      </c>
      <c r="M280" s="334" t="str">
        <f aca="false">IF((E280="p"),G280," ")</f>
        <v> </v>
      </c>
      <c r="N280" s="334" t="str">
        <f aca="false">IF((E280="r"),G280," ")</f>
        <v> </v>
      </c>
      <c r="O280" s="334" t="str">
        <f aca="false">IF((E280="g"),G280," ")</f>
        <v> </v>
      </c>
      <c r="P280" s="334" t="str">
        <f aca="false">IF((E280="m"),G280," ")</f>
        <v> </v>
      </c>
      <c r="Q280" s="334" t="str">
        <f aca="false">IF((E280="t"),G280," ")</f>
        <v> </v>
      </c>
      <c r="R280" s="334" t="str">
        <f aca="false">IF((E280="a"),G280," ")</f>
        <v> </v>
      </c>
      <c r="S280" s="334" t="str">
        <f aca="false">IF((E280="l"),G280," ")</f>
        <v> </v>
      </c>
      <c r="T280" s="334" t="str">
        <f aca="false">IF((E280="b"),G280," ")</f>
        <v> </v>
      </c>
      <c r="U280" s="334" t="str">
        <f aca="false">IF((E280="i"),G280," ")</f>
        <v> </v>
      </c>
      <c r="V280" s="334" t="str">
        <f aca="false">IF((E280="o"),G280," ")</f>
        <v> </v>
      </c>
      <c r="W280" s="334" t="str">
        <f aca="false">IF((E280="f"),G280," ")</f>
        <v> </v>
      </c>
    </row>
    <row r="281" customFormat="false" ht="12.75" hidden="false" customHeight="false" outlineLevel="0" collapsed="false">
      <c r="A281" s="355"/>
      <c r="E281" s="365" t="str">
        <f aca="false">IF((G281&lt;&gt;0),"Enter Letter"," ")</f>
        <v> </v>
      </c>
      <c r="J281" s="334" t="str">
        <f aca="false">IF((E281="s"),G281," ")</f>
        <v> </v>
      </c>
      <c r="K281" s="334" t="str">
        <f aca="false">IF((E281="d"),G281," ")</f>
        <v> </v>
      </c>
      <c r="L281" s="334" t="str">
        <f aca="false">IF((E281="e"),G281," ")</f>
        <v> </v>
      </c>
      <c r="M281" s="334" t="str">
        <f aca="false">IF((E281="p"),G281," ")</f>
        <v> </v>
      </c>
      <c r="N281" s="334" t="str">
        <f aca="false">IF((E281="r"),G281," ")</f>
        <v> </v>
      </c>
      <c r="O281" s="334" t="str">
        <f aca="false">IF((E281="g"),G281," ")</f>
        <v> </v>
      </c>
      <c r="P281" s="334" t="str">
        <f aca="false">IF((E281="m"),G281," ")</f>
        <v> </v>
      </c>
      <c r="Q281" s="334" t="str">
        <f aca="false">IF((E281="t"),G281," ")</f>
        <v> </v>
      </c>
      <c r="R281" s="334" t="str">
        <f aca="false">IF((E281="a"),G281," ")</f>
        <v> </v>
      </c>
      <c r="S281" s="334" t="str">
        <f aca="false">IF((E281="l"),G281," ")</f>
        <v> </v>
      </c>
      <c r="T281" s="334" t="str">
        <f aca="false">IF((E281="b"),G281," ")</f>
        <v> </v>
      </c>
      <c r="U281" s="334" t="str">
        <f aca="false">IF((E281="i"),G281," ")</f>
        <v> </v>
      </c>
      <c r="V281" s="334" t="str">
        <f aca="false">IF((E281="o"),G281," ")</f>
        <v> </v>
      </c>
      <c r="W281" s="334" t="str">
        <f aca="false">IF((E281="f"),G281," ")</f>
        <v> </v>
      </c>
    </row>
    <row r="282" customFormat="false" ht="12.75" hidden="false" customHeight="false" outlineLevel="0" collapsed="false">
      <c r="A282" s="355"/>
      <c r="E282" s="365" t="str">
        <f aca="false">IF((G282&lt;&gt;0),"Enter Letter"," ")</f>
        <v> </v>
      </c>
      <c r="J282" s="334" t="str">
        <f aca="false">IF((E282="s"),G282," ")</f>
        <v> </v>
      </c>
      <c r="K282" s="334" t="str">
        <f aca="false">IF((E282="d"),G282," ")</f>
        <v> </v>
      </c>
      <c r="L282" s="334" t="str">
        <f aca="false">IF((E282="e"),G282," ")</f>
        <v> </v>
      </c>
      <c r="M282" s="334" t="str">
        <f aca="false">IF((E282="p"),G282," ")</f>
        <v> </v>
      </c>
      <c r="N282" s="334" t="str">
        <f aca="false">IF((E282="r"),G282," ")</f>
        <v> </v>
      </c>
      <c r="O282" s="334" t="str">
        <f aca="false">IF((E282="g"),G282," ")</f>
        <v> </v>
      </c>
      <c r="P282" s="334" t="str">
        <f aca="false">IF((E282="m"),G282," ")</f>
        <v> </v>
      </c>
      <c r="Q282" s="334" t="str">
        <f aca="false">IF((E282="t"),G282," ")</f>
        <v> </v>
      </c>
      <c r="R282" s="334" t="str">
        <f aca="false">IF((E282="a"),G282," ")</f>
        <v> </v>
      </c>
      <c r="S282" s="334" t="str">
        <f aca="false">IF((E282="l"),G282," ")</f>
        <v> </v>
      </c>
      <c r="T282" s="334" t="str">
        <f aca="false">IF((E282="b"),G282," ")</f>
        <v> </v>
      </c>
      <c r="U282" s="334" t="str">
        <f aca="false">IF((E282="i"),G282," ")</f>
        <v> </v>
      </c>
      <c r="V282" s="334" t="str">
        <f aca="false">IF((E282="o"),G282," ")</f>
        <v> </v>
      </c>
      <c r="W282" s="334" t="str">
        <f aca="false">IF((E282="f"),G282," ")</f>
        <v> </v>
      </c>
    </row>
    <row r="283" customFormat="false" ht="12.75" hidden="false" customHeight="false" outlineLevel="0" collapsed="false">
      <c r="A283" s="355"/>
      <c r="E283" s="365" t="str">
        <f aca="false">IF((G283&lt;&gt;0),"Enter Letter"," ")</f>
        <v> </v>
      </c>
      <c r="J283" s="334" t="str">
        <f aca="false">IF((E283="s"),G283," ")</f>
        <v> </v>
      </c>
      <c r="K283" s="334" t="str">
        <f aca="false">IF((E283="d"),G283," ")</f>
        <v> </v>
      </c>
      <c r="L283" s="334" t="str">
        <f aca="false">IF((E283="e"),G283," ")</f>
        <v> </v>
      </c>
      <c r="M283" s="334" t="str">
        <f aca="false">IF((E283="p"),G283," ")</f>
        <v> </v>
      </c>
      <c r="N283" s="334" t="str">
        <f aca="false">IF((E283="r"),G283," ")</f>
        <v> </v>
      </c>
      <c r="O283" s="334" t="str">
        <f aca="false">IF((E283="g"),G283," ")</f>
        <v> </v>
      </c>
      <c r="P283" s="334" t="str">
        <f aca="false">IF((E283="m"),G283," ")</f>
        <v> </v>
      </c>
      <c r="Q283" s="334" t="str">
        <f aca="false">IF((E283="t"),G283," ")</f>
        <v> </v>
      </c>
      <c r="R283" s="334" t="str">
        <f aca="false">IF((E283="a"),G283," ")</f>
        <v> </v>
      </c>
      <c r="S283" s="334" t="str">
        <f aca="false">IF((E283="l"),G283," ")</f>
        <v> </v>
      </c>
      <c r="T283" s="334" t="str">
        <f aca="false">IF((E283="b"),G283," ")</f>
        <v> </v>
      </c>
      <c r="U283" s="334" t="str">
        <f aca="false">IF((E283="i"),G283," ")</f>
        <v> </v>
      </c>
      <c r="V283" s="334" t="str">
        <f aca="false">IF((E283="o"),G283," ")</f>
        <v> </v>
      </c>
      <c r="W283" s="334" t="str">
        <f aca="false">IF((E283="f"),G283," ")</f>
        <v> </v>
      </c>
    </row>
    <row r="284" customFormat="false" ht="12.75" hidden="false" customHeight="false" outlineLevel="0" collapsed="false">
      <c r="A284" s="355"/>
      <c r="E284" s="365" t="str">
        <f aca="false">IF((G284&lt;&gt;0),"Enter Letter"," ")</f>
        <v> </v>
      </c>
      <c r="J284" s="334" t="str">
        <f aca="false">IF((E284="s"),G284," ")</f>
        <v> </v>
      </c>
      <c r="K284" s="334" t="str">
        <f aca="false">IF((E284="d"),G284," ")</f>
        <v> </v>
      </c>
      <c r="L284" s="334" t="str">
        <f aca="false">IF((E284="e"),G284," ")</f>
        <v> </v>
      </c>
      <c r="M284" s="334" t="str">
        <f aca="false">IF((E284="p"),G284," ")</f>
        <v> </v>
      </c>
      <c r="N284" s="334" t="str">
        <f aca="false">IF((E284="r"),G284," ")</f>
        <v> </v>
      </c>
      <c r="O284" s="334" t="str">
        <f aca="false">IF((E284="g"),G284," ")</f>
        <v> </v>
      </c>
      <c r="P284" s="334" t="str">
        <f aca="false">IF((E284="m"),G284," ")</f>
        <v> </v>
      </c>
      <c r="Q284" s="334" t="str">
        <f aca="false">IF((E284="t"),G284," ")</f>
        <v> </v>
      </c>
      <c r="R284" s="334" t="str">
        <f aca="false">IF((E284="a"),G284," ")</f>
        <v> </v>
      </c>
      <c r="S284" s="334" t="str">
        <f aca="false">IF((E284="l"),G284," ")</f>
        <v> </v>
      </c>
      <c r="T284" s="334" t="str">
        <f aca="false">IF((E284="b"),G284," ")</f>
        <v> </v>
      </c>
      <c r="U284" s="334" t="str">
        <f aca="false">IF((E284="i"),G284," ")</f>
        <v> </v>
      </c>
      <c r="V284" s="334" t="str">
        <f aca="false">IF((E284="o"),G284," ")</f>
        <v> </v>
      </c>
      <c r="W284" s="334" t="str">
        <f aca="false">IF((E284="f"),G284," ")</f>
        <v> </v>
      </c>
    </row>
    <row r="285" customFormat="false" ht="12.75" hidden="false" customHeight="false" outlineLevel="0" collapsed="false">
      <c r="A285" s="355"/>
      <c r="E285" s="365" t="str">
        <f aca="false">IF((G285&lt;&gt;0),"Enter Letter"," ")</f>
        <v> </v>
      </c>
      <c r="J285" s="334" t="str">
        <f aca="false">IF((E285="s"),G285," ")</f>
        <v> </v>
      </c>
      <c r="K285" s="334" t="str">
        <f aca="false">IF((E285="d"),G285," ")</f>
        <v> </v>
      </c>
      <c r="L285" s="334" t="str">
        <f aca="false">IF((E285="e"),G285," ")</f>
        <v> </v>
      </c>
      <c r="M285" s="334" t="str">
        <f aca="false">IF((E285="p"),G285," ")</f>
        <v> </v>
      </c>
      <c r="N285" s="334" t="str">
        <f aca="false">IF((E285="r"),G285," ")</f>
        <v> </v>
      </c>
      <c r="O285" s="334" t="str">
        <f aca="false">IF((E285="g"),G285," ")</f>
        <v> </v>
      </c>
      <c r="P285" s="334" t="str">
        <f aca="false">IF((E285="m"),G285," ")</f>
        <v> </v>
      </c>
      <c r="Q285" s="334" t="str">
        <f aca="false">IF((E285="t"),G285," ")</f>
        <v> </v>
      </c>
      <c r="R285" s="334" t="str">
        <f aca="false">IF((E285="a"),G285," ")</f>
        <v> </v>
      </c>
      <c r="S285" s="334" t="str">
        <f aca="false">IF((E285="l"),G285," ")</f>
        <v> </v>
      </c>
      <c r="T285" s="334" t="str">
        <f aca="false">IF((E285="b"),G285," ")</f>
        <v> </v>
      </c>
      <c r="U285" s="334" t="str">
        <f aca="false">IF((E285="i"),G285," ")</f>
        <v> </v>
      </c>
      <c r="V285" s="334" t="str">
        <f aca="false">IF((E285="o"),G285," ")</f>
        <v> </v>
      </c>
      <c r="W285" s="334" t="str">
        <f aca="false">IF((E285="f"),G285," ")</f>
        <v> </v>
      </c>
    </row>
    <row r="286" customFormat="false" ht="12.75" hidden="false" customHeight="false" outlineLevel="0" collapsed="false">
      <c r="A286" s="355"/>
      <c r="E286" s="365" t="str">
        <f aca="false">IF((G286&lt;&gt;0),"Enter Letter"," ")</f>
        <v> </v>
      </c>
      <c r="J286" s="334" t="str">
        <f aca="false">IF((E286="s"),G286," ")</f>
        <v> </v>
      </c>
      <c r="K286" s="334" t="str">
        <f aca="false">IF((E286="d"),G286," ")</f>
        <v> </v>
      </c>
      <c r="L286" s="334" t="str">
        <f aca="false">IF((E286="e"),G286," ")</f>
        <v> </v>
      </c>
      <c r="M286" s="334" t="str">
        <f aca="false">IF((E286="p"),G286," ")</f>
        <v> </v>
      </c>
      <c r="N286" s="334" t="str">
        <f aca="false">IF((E286="r"),G286," ")</f>
        <v> </v>
      </c>
      <c r="O286" s="334" t="str">
        <f aca="false">IF((E286="g"),G286," ")</f>
        <v> </v>
      </c>
      <c r="P286" s="334" t="str">
        <f aca="false">IF((E286="m"),G286," ")</f>
        <v> </v>
      </c>
      <c r="Q286" s="334" t="str">
        <f aca="false">IF((E286="t"),G286," ")</f>
        <v> </v>
      </c>
      <c r="R286" s="334" t="str">
        <f aca="false">IF((E286="a"),G286," ")</f>
        <v> </v>
      </c>
      <c r="S286" s="334" t="str">
        <f aca="false">IF((E286="l"),G286," ")</f>
        <v> </v>
      </c>
      <c r="T286" s="334" t="str">
        <f aca="false">IF((E286="b"),G286," ")</f>
        <v> </v>
      </c>
      <c r="U286" s="334" t="str">
        <f aca="false">IF((E286="i"),G286," ")</f>
        <v> </v>
      </c>
      <c r="V286" s="334" t="str">
        <f aca="false">IF((E286="o"),G286," ")</f>
        <v> </v>
      </c>
      <c r="W286" s="334" t="str">
        <f aca="false">IF((E286="f"),G286," ")</f>
        <v> </v>
      </c>
    </row>
    <row r="287" customFormat="false" ht="12.75" hidden="false" customHeight="false" outlineLevel="0" collapsed="false">
      <c r="A287" s="355"/>
      <c r="E287" s="365" t="str">
        <f aca="false">IF((G287&lt;&gt;0),"Enter Letter"," ")</f>
        <v> </v>
      </c>
      <c r="J287" s="334" t="str">
        <f aca="false">IF((E287="s"),G287," ")</f>
        <v> </v>
      </c>
      <c r="K287" s="334" t="str">
        <f aca="false">IF((E287="d"),G287," ")</f>
        <v> </v>
      </c>
      <c r="L287" s="334" t="str">
        <f aca="false">IF((E287="e"),G287," ")</f>
        <v> </v>
      </c>
      <c r="M287" s="334" t="str">
        <f aca="false">IF((E287="p"),G287," ")</f>
        <v> </v>
      </c>
      <c r="N287" s="334" t="str">
        <f aca="false">IF((E287="r"),G287," ")</f>
        <v> </v>
      </c>
      <c r="O287" s="334" t="str">
        <f aca="false">IF((E287="g"),G287," ")</f>
        <v> </v>
      </c>
      <c r="P287" s="334" t="str">
        <f aca="false">IF((E287="m"),G287," ")</f>
        <v> </v>
      </c>
      <c r="Q287" s="334" t="str">
        <f aca="false">IF((E287="t"),G287," ")</f>
        <v> </v>
      </c>
      <c r="R287" s="334" t="str">
        <f aca="false">IF((E287="a"),G287," ")</f>
        <v> </v>
      </c>
      <c r="S287" s="334" t="str">
        <f aca="false">IF((E287="l"),G287," ")</f>
        <v> </v>
      </c>
      <c r="T287" s="334" t="str">
        <f aca="false">IF((E287="b"),G287," ")</f>
        <v> </v>
      </c>
      <c r="U287" s="334" t="str">
        <f aca="false">IF((E287="i"),G287," ")</f>
        <v> </v>
      </c>
      <c r="V287" s="334" t="str">
        <f aca="false">IF((E287="o"),G287," ")</f>
        <v> </v>
      </c>
      <c r="W287" s="334" t="str">
        <f aca="false">IF((E287="f"),G287," ")</f>
        <v> </v>
      </c>
    </row>
    <row r="288" customFormat="false" ht="12.75" hidden="false" customHeight="false" outlineLevel="0" collapsed="false">
      <c r="A288" s="355"/>
      <c r="E288" s="365" t="str">
        <f aca="false">IF((G288&lt;&gt;0),"Enter Letter"," ")</f>
        <v> </v>
      </c>
      <c r="J288" s="334" t="str">
        <f aca="false">IF((E288="s"),G288," ")</f>
        <v> </v>
      </c>
      <c r="K288" s="334" t="str">
        <f aca="false">IF((E288="d"),G288," ")</f>
        <v> </v>
      </c>
      <c r="L288" s="334" t="str">
        <f aca="false">IF((E288="e"),G288," ")</f>
        <v> </v>
      </c>
      <c r="M288" s="334" t="str">
        <f aca="false">IF((E288="p"),G288," ")</f>
        <v> </v>
      </c>
      <c r="N288" s="334" t="str">
        <f aca="false">IF((E288="r"),G288," ")</f>
        <v> </v>
      </c>
      <c r="O288" s="334" t="str">
        <f aca="false">IF((E288="g"),G288," ")</f>
        <v> </v>
      </c>
      <c r="P288" s="334" t="str">
        <f aca="false">IF((E288="m"),G288," ")</f>
        <v> </v>
      </c>
      <c r="Q288" s="334" t="str">
        <f aca="false">IF((E288="t"),G288," ")</f>
        <v> </v>
      </c>
      <c r="R288" s="334" t="str">
        <f aca="false">IF((E288="a"),G288," ")</f>
        <v> </v>
      </c>
      <c r="S288" s="334" t="str">
        <f aca="false">IF((E288="l"),G288," ")</f>
        <v> </v>
      </c>
      <c r="T288" s="334" t="str">
        <f aca="false">IF((E288="b"),G288," ")</f>
        <v> </v>
      </c>
      <c r="U288" s="334" t="str">
        <f aca="false">IF((E288="i"),G288," ")</f>
        <v> </v>
      </c>
      <c r="V288" s="334" t="str">
        <f aca="false">IF((E288="o"),G288," ")</f>
        <v> </v>
      </c>
      <c r="W288" s="334" t="str">
        <f aca="false">IF((E288="f"),G288," ")</f>
        <v> </v>
      </c>
    </row>
    <row r="289" customFormat="false" ht="12.75" hidden="false" customHeight="false" outlineLevel="0" collapsed="false">
      <c r="A289" s="355"/>
      <c r="E289" s="365" t="str">
        <f aca="false">IF((G289&lt;&gt;0),"Enter Letter"," ")</f>
        <v> </v>
      </c>
      <c r="J289" s="334" t="str">
        <f aca="false">IF((E289="s"),G289," ")</f>
        <v> </v>
      </c>
      <c r="K289" s="334" t="str">
        <f aca="false">IF((E289="d"),G289," ")</f>
        <v> </v>
      </c>
      <c r="L289" s="334" t="str">
        <f aca="false">IF((E289="e"),G289," ")</f>
        <v> </v>
      </c>
      <c r="M289" s="334" t="str">
        <f aca="false">IF((E289="p"),G289," ")</f>
        <v> </v>
      </c>
      <c r="N289" s="334" t="str">
        <f aca="false">IF((E289="r"),G289," ")</f>
        <v> </v>
      </c>
      <c r="O289" s="334" t="str">
        <f aca="false">IF((E289="g"),G289," ")</f>
        <v> </v>
      </c>
      <c r="P289" s="334" t="str">
        <f aca="false">IF((E289="m"),G289," ")</f>
        <v> </v>
      </c>
      <c r="Q289" s="334" t="str">
        <f aca="false">IF((E289="t"),G289," ")</f>
        <v> </v>
      </c>
      <c r="R289" s="334" t="str">
        <f aca="false">IF((E289="a"),G289," ")</f>
        <v> </v>
      </c>
      <c r="S289" s="334" t="str">
        <f aca="false">IF((E289="l"),G289," ")</f>
        <v> </v>
      </c>
      <c r="T289" s="334" t="str">
        <f aca="false">IF((E289="b"),G289," ")</f>
        <v> </v>
      </c>
      <c r="U289" s="334" t="str">
        <f aca="false">IF((E289="i"),G289," ")</f>
        <v> </v>
      </c>
      <c r="V289" s="334" t="str">
        <f aca="false">IF((E289="o"),G289," ")</f>
        <v> </v>
      </c>
      <c r="W289" s="334" t="str">
        <f aca="false">IF((E289="f"),G289," ")</f>
        <v> </v>
      </c>
    </row>
    <row r="290" customFormat="false" ht="12.75" hidden="false" customHeight="false" outlineLevel="0" collapsed="false">
      <c r="A290" s="355"/>
      <c r="E290" s="365" t="str">
        <f aca="false">IF((G290&lt;&gt;0),"Enter Letter"," ")</f>
        <v> </v>
      </c>
      <c r="J290" s="334" t="str">
        <f aca="false">IF((E290="s"),G290," ")</f>
        <v> </v>
      </c>
      <c r="K290" s="334" t="str">
        <f aca="false">IF((E290="d"),G290," ")</f>
        <v> </v>
      </c>
      <c r="L290" s="334" t="str">
        <f aca="false">IF((E290="e"),G290," ")</f>
        <v> </v>
      </c>
      <c r="M290" s="334" t="str">
        <f aca="false">IF((E290="p"),G290," ")</f>
        <v> </v>
      </c>
      <c r="N290" s="334" t="str">
        <f aca="false">IF((E290="r"),G290," ")</f>
        <v> </v>
      </c>
      <c r="O290" s="334" t="str">
        <f aca="false">IF((E290="g"),G290," ")</f>
        <v> </v>
      </c>
      <c r="P290" s="334" t="str">
        <f aca="false">IF((E290="m"),G290," ")</f>
        <v> </v>
      </c>
      <c r="Q290" s="334" t="str">
        <f aca="false">IF((E290="t"),G290," ")</f>
        <v> </v>
      </c>
      <c r="R290" s="334" t="str">
        <f aca="false">IF((E290="a"),G290," ")</f>
        <v> </v>
      </c>
      <c r="S290" s="334" t="str">
        <f aca="false">IF((E290="l"),G290," ")</f>
        <v> </v>
      </c>
      <c r="T290" s="334" t="str">
        <f aca="false">IF((E290="b"),G290," ")</f>
        <v> </v>
      </c>
      <c r="U290" s="334" t="str">
        <f aca="false">IF((E290="i"),G290," ")</f>
        <v> </v>
      </c>
      <c r="V290" s="334" t="str">
        <f aca="false">IF((E290="o"),G290," ")</f>
        <v> </v>
      </c>
      <c r="W290" s="334" t="str">
        <f aca="false">IF((E290="f"),G290," ")</f>
        <v> </v>
      </c>
    </row>
    <row r="291" customFormat="false" ht="12.75" hidden="false" customHeight="false" outlineLevel="0" collapsed="false">
      <c r="A291" s="355"/>
      <c r="E291" s="365" t="str">
        <f aca="false">IF((G291&lt;&gt;0),"Enter Letter"," ")</f>
        <v> </v>
      </c>
      <c r="J291" s="334" t="str">
        <f aca="false">IF((E291="s"),G291," ")</f>
        <v> </v>
      </c>
      <c r="K291" s="334" t="str">
        <f aca="false">IF((E291="d"),G291," ")</f>
        <v> </v>
      </c>
      <c r="L291" s="334" t="str">
        <f aca="false">IF((E291="e"),G291," ")</f>
        <v> </v>
      </c>
      <c r="M291" s="334" t="str">
        <f aca="false">IF((E291="p"),G291," ")</f>
        <v> </v>
      </c>
      <c r="N291" s="334" t="str">
        <f aca="false">IF((E291="r"),G291," ")</f>
        <v> </v>
      </c>
      <c r="O291" s="334" t="str">
        <f aca="false">IF((E291="g"),G291," ")</f>
        <v> </v>
      </c>
      <c r="P291" s="334" t="str">
        <f aca="false">IF((E291="m"),G291," ")</f>
        <v> </v>
      </c>
      <c r="Q291" s="334" t="str">
        <f aca="false">IF((E291="t"),G291," ")</f>
        <v> </v>
      </c>
      <c r="R291" s="334" t="str">
        <f aca="false">IF((E291="a"),G291," ")</f>
        <v> </v>
      </c>
      <c r="S291" s="334" t="str">
        <f aca="false">IF((E291="l"),G291," ")</f>
        <v> </v>
      </c>
      <c r="T291" s="334" t="str">
        <f aca="false">IF((E291="b"),G291," ")</f>
        <v> </v>
      </c>
      <c r="U291" s="334" t="str">
        <f aca="false">IF((E291="i"),G291," ")</f>
        <v> </v>
      </c>
      <c r="V291" s="334" t="str">
        <f aca="false">IF((E291="o"),G291," ")</f>
        <v> </v>
      </c>
      <c r="W291" s="334" t="str">
        <f aca="false">IF((E291="f"),G291," ")</f>
        <v> </v>
      </c>
    </row>
    <row r="292" customFormat="false" ht="12.75" hidden="false" customHeight="false" outlineLevel="0" collapsed="false">
      <c r="A292" s="355"/>
      <c r="E292" s="365" t="str">
        <f aca="false">IF((G292&lt;&gt;0),"Enter Letter"," ")</f>
        <v> </v>
      </c>
      <c r="J292" s="334" t="str">
        <f aca="false">IF((E292="s"),G292," ")</f>
        <v> </v>
      </c>
      <c r="K292" s="334" t="str">
        <f aca="false">IF((E292="d"),G292," ")</f>
        <v> </v>
      </c>
      <c r="L292" s="334" t="str">
        <f aca="false">IF((E292="e"),G292," ")</f>
        <v> </v>
      </c>
      <c r="M292" s="334" t="str">
        <f aca="false">IF((E292="p"),G292," ")</f>
        <v> </v>
      </c>
      <c r="N292" s="334" t="str">
        <f aca="false">IF((E292="r"),G292," ")</f>
        <v> </v>
      </c>
      <c r="O292" s="334" t="str">
        <f aca="false">IF((E292="g"),G292," ")</f>
        <v> </v>
      </c>
      <c r="P292" s="334" t="str">
        <f aca="false">IF((E292="m"),G292," ")</f>
        <v> </v>
      </c>
      <c r="Q292" s="334" t="str">
        <f aca="false">IF((E292="t"),G292," ")</f>
        <v> </v>
      </c>
      <c r="R292" s="334" t="str">
        <f aca="false">IF((E292="a"),G292," ")</f>
        <v> </v>
      </c>
      <c r="S292" s="334" t="str">
        <f aca="false">IF((E292="l"),G292," ")</f>
        <v> </v>
      </c>
      <c r="T292" s="334" t="str">
        <f aca="false">IF((E292="b"),G292," ")</f>
        <v> </v>
      </c>
      <c r="U292" s="334" t="str">
        <f aca="false">IF((E292="i"),G292," ")</f>
        <v> </v>
      </c>
      <c r="V292" s="334" t="str">
        <f aca="false">IF((E292="o"),G292," ")</f>
        <v> </v>
      </c>
      <c r="W292" s="334" t="str">
        <f aca="false">IF((E292="f"),G292," ")</f>
        <v> </v>
      </c>
    </row>
    <row r="293" customFormat="false" ht="12.75" hidden="false" customHeight="false" outlineLevel="0" collapsed="false">
      <c r="A293" s="355"/>
      <c r="E293" s="365" t="str">
        <f aca="false">IF((G293&lt;&gt;0),"Enter Letter"," ")</f>
        <v> </v>
      </c>
      <c r="J293" s="334" t="str">
        <f aca="false">IF((E293="s"),G293," ")</f>
        <v> </v>
      </c>
      <c r="K293" s="334" t="str">
        <f aca="false">IF((E293="d"),G293," ")</f>
        <v> </v>
      </c>
      <c r="L293" s="334" t="str">
        <f aca="false">IF((E293="e"),G293," ")</f>
        <v> </v>
      </c>
      <c r="M293" s="334" t="str">
        <f aca="false">IF((E293="p"),G293," ")</f>
        <v> </v>
      </c>
      <c r="N293" s="334" t="str">
        <f aca="false">IF((E293="r"),G293," ")</f>
        <v> </v>
      </c>
      <c r="O293" s="334" t="str">
        <f aca="false">IF((E293="g"),G293," ")</f>
        <v> </v>
      </c>
      <c r="P293" s="334" t="str">
        <f aca="false">IF((E293="m"),G293," ")</f>
        <v> </v>
      </c>
      <c r="Q293" s="334" t="str">
        <f aca="false">IF((E293="t"),G293," ")</f>
        <v> </v>
      </c>
      <c r="R293" s="334" t="str">
        <f aca="false">IF((E293="a"),G293," ")</f>
        <v> </v>
      </c>
      <c r="S293" s="334" t="str">
        <f aca="false">IF((E293="l"),G293," ")</f>
        <v> </v>
      </c>
      <c r="T293" s="334" t="str">
        <f aca="false">IF((E293="b"),G293," ")</f>
        <v> </v>
      </c>
      <c r="U293" s="334" t="str">
        <f aca="false">IF((E293="i"),G293," ")</f>
        <v> </v>
      </c>
      <c r="V293" s="334" t="str">
        <f aca="false">IF((E293="o"),G293," ")</f>
        <v> </v>
      </c>
      <c r="W293" s="334" t="str">
        <f aca="false">IF((E293="f"),G293," ")</f>
        <v> </v>
      </c>
    </row>
    <row r="294" customFormat="false" ht="12.75" hidden="false" customHeight="false" outlineLevel="0" collapsed="false">
      <c r="A294" s="355"/>
      <c r="E294" s="365" t="str">
        <f aca="false">IF((G294&lt;&gt;0),"Enter Letter"," ")</f>
        <v> </v>
      </c>
      <c r="J294" s="334" t="str">
        <f aca="false">IF((E294="s"),G294," ")</f>
        <v> </v>
      </c>
      <c r="K294" s="334" t="str">
        <f aca="false">IF((E294="d"),G294," ")</f>
        <v> </v>
      </c>
      <c r="L294" s="334" t="str">
        <f aca="false">IF((E294="e"),G294," ")</f>
        <v> </v>
      </c>
      <c r="M294" s="334" t="str">
        <f aca="false">IF((E294="p"),G294," ")</f>
        <v> </v>
      </c>
      <c r="N294" s="334" t="str">
        <f aca="false">IF((E294="r"),G294," ")</f>
        <v> </v>
      </c>
      <c r="O294" s="334" t="str">
        <f aca="false">IF((E294="g"),G294," ")</f>
        <v> </v>
      </c>
      <c r="P294" s="334" t="str">
        <f aca="false">IF((E294="m"),G294," ")</f>
        <v> </v>
      </c>
      <c r="Q294" s="334" t="str">
        <f aca="false">IF((E294="t"),G294," ")</f>
        <v> </v>
      </c>
      <c r="R294" s="334" t="str">
        <f aca="false">IF((E294="a"),G294," ")</f>
        <v> </v>
      </c>
      <c r="S294" s="334" t="str">
        <f aca="false">IF((E294="l"),G294," ")</f>
        <v> </v>
      </c>
      <c r="T294" s="334" t="str">
        <f aca="false">IF((E294="b"),G294," ")</f>
        <v> </v>
      </c>
      <c r="U294" s="334" t="str">
        <f aca="false">IF((E294="i"),G294," ")</f>
        <v> </v>
      </c>
      <c r="V294" s="334" t="str">
        <f aca="false">IF((E294="o"),G294," ")</f>
        <v> </v>
      </c>
      <c r="W294" s="334" t="str">
        <f aca="false">IF((E294="f"),G294," ")</f>
        <v> </v>
      </c>
    </row>
    <row r="295" customFormat="false" ht="12.75" hidden="false" customHeight="false" outlineLevel="0" collapsed="false">
      <c r="A295" s="355"/>
      <c r="E295" s="365" t="str">
        <f aca="false">IF((G295&lt;&gt;0),"Enter Letter"," ")</f>
        <v> </v>
      </c>
      <c r="J295" s="334" t="str">
        <f aca="false">IF((E295="s"),G295," ")</f>
        <v> </v>
      </c>
      <c r="K295" s="334" t="str">
        <f aca="false">IF((E295="d"),G295," ")</f>
        <v> </v>
      </c>
      <c r="L295" s="334" t="str">
        <f aca="false">IF((E295="e"),G295," ")</f>
        <v> </v>
      </c>
      <c r="M295" s="334" t="str">
        <f aca="false">IF((E295="p"),G295," ")</f>
        <v> </v>
      </c>
      <c r="N295" s="334" t="str">
        <f aca="false">IF((E295="r"),G295," ")</f>
        <v> </v>
      </c>
      <c r="O295" s="334" t="str">
        <f aca="false">IF((E295="g"),G295," ")</f>
        <v> </v>
      </c>
      <c r="P295" s="334" t="str">
        <f aca="false">IF((E295="m"),G295," ")</f>
        <v> </v>
      </c>
      <c r="Q295" s="334" t="str">
        <f aca="false">IF((E295="t"),G295," ")</f>
        <v> </v>
      </c>
      <c r="R295" s="334" t="str">
        <f aca="false">IF((E295="a"),G295," ")</f>
        <v> </v>
      </c>
      <c r="S295" s="334" t="str">
        <f aca="false">IF((E295="l"),G295," ")</f>
        <v> </v>
      </c>
      <c r="T295" s="334" t="str">
        <f aca="false">IF((E295="b"),G295," ")</f>
        <v> </v>
      </c>
      <c r="U295" s="334" t="str">
        <f aca="false">IF((E295="i"),G295," ")</f>
        <v> </v>
      </c>
      <c r="V295" s="334" t="str">
        <f aca="false">IF((E295="o"),G295," ")</f>
        <v> </v>
      </c>
      <c r="W295" s="334" t="str">
        <f aca="false">IF((E295="f"),G295," ")</f>
        <v> </v>
      </c>
    </row>
    <row r="296" customFormat="false" ht="12.75" hidden="false" customHeight="false" outlineLevel="0" collapsed="false">
      <c r="A296" s="355"/>
      <c r="E296" s="365" t="str">
        <f aca="false">IF((G296&lt;&gt;0),"Enter Letter"," ")</f>
        <v> </v>
      </c>
      <c r="J296" s="334" t="str">
        <f aca="false">IF((E296="s"),G296," ")</f>
        <v> </v>
      </c>
      <c r="K296" s="334" t="str">
        <f aca="false">IF((E296="d"),G296," ")</f>
        <v> </v>
      </c>
      <c r="L296" s="334" t="str">
        <f aca="false">IF((E296="e"),G296," ")</f>
        <v> </v>
      </c>
      <c r="M296" s="334" t="str">
        <f aca="false">IF((E296="p"),G296," ")</f>
        <v> </v>
      </c>
      <c r="N296" s="334" t="str">
        <f aca="false">IF((E296="r"),G296," ")</f>
        <v> </v>
      </c>
      <c r="O296" s="334" t="str">
        <f aca="false">IF((E296="g"),G296," ")</f>
        <v> </v>
      </c>
      <c r="P296" s="334" t="str">
        <f aca="false">IF((E296="m"),G296," ")</f>
        <v> </v>
      </c>
      <c r="Q296" s="334" t="str">
        <f aca="false">IF((E296="t"),G296," ")</f>
        <v> </v>
      </c>
      <c r="R296" s="334" t="str">
        <f aca="false">IF((E296="a"),G296," ")</f>
        <v> </v>
      </c>
      <c r="S296" s="334" t="str">
        <f aca="false">IF((E296="l"),G296," ")</f>
        <v> </v>
      </c>
      <c r="T296" s="334" t="str">
        <f aca="false">IF((E296="b"),G296," ")</f>
        <v> </v>
      </c>
      <c r="U296" s="334" t="str">
        <f aca="false">IF((E296="i"),G296," ")</f>
        <v> </v>
      </c>
      <c r="V296" s="334" t="str">
        <f aca="false">IF((E296="o"),G296," ")</f>
        <v> </v>
      </c>
      <c r="W296" s="334" t="str">
        <f aca="false">IF((E296="f"),G296," ")</f>
        <v> </v>
      </c>
    </row>
    <row r="297" customFormat="false" ht="12.75" hidden="false" customHeight="false" outlineLevel="0" collapsed="false">
      <c r="A297" s="355"/>
      <c r="E297" s="365" t="str">
        <f aca="false">IF((G297&lt;&gt;0),"Enter Letter"," ")</f>
        <v> </v>
      </c>
      <c r="J297" s="334" t="str">
        <f aca="false">IF((E297="s"),G297," ")</f>
        <v> </v>
      </c>
      <c r="K297" s="334" t="str">
        <f aca="false">IF((E297="d"),G297," ")</f>
        <v> </v>
      </c>
      <c r="L297" s="334" t="str">
        <f aca="false">IF((E297="e"),G297," ")</f>
        <v> </v>
      </c>
      <c r="M297" s="334" t="str">
        <f aca="false">IF((E297="p"),G297," ")</f>
        <v> </v>
      </c>
      <c r="N297" s="334" t="str">
        <f aca="false">IF((E297="r"),G297," ")</f>
        <v> </v>
      </c>
      <c r="O297" s="334" t="str">
        <f aca="false">IF((E297="g"),G297," ")</f>
        <v> </v>
      </c>
      <c r="P297" s="334" t="str">
        <f aca="false">IF((E297="m"),G297," ")</f>
        <v> </v>
      </c>
      <c r="Q297" s="334" t="str">
        <f aca="false">IF((E297="t"),G297," ")</f>
        <v> </v>
      </c>
      <c r="R297" s="334" t="str">
        <f aca="false">IF((E297="a"),G297," ")</f>
        <v> </v>
      </c>
      <c r="S297" s="334" t="str">
        <f aca="false">IF((E297="l"),G297," ")</f>
        <v> </v>
      </c>
      <c r="T297" s="334" t="str">
        <f aca="false">IF((E297="b"),G297," ")</f>
        <v> </v>
      </c>
      <c r="U297" s="334" t="str">
        <f aca="false">IF((E297="i"),G297," ")</f>
        <v> </v>
      </c>
      <c r="V297" s="334" t="str">
        <f aca="false">IF((E297="o"),G297," ")</f>
        <v> </v>
      </c>
      <c r="W297" s="334" t="str">
        <f aca="false">IF((E297="f"),G297," ")</f>
        <v> </v>
      </c>
    </row>
    <row r="298" customFormat="false" ht="12.75" hidden="false" customHeight="false" outlineLevel="0" collapsed="false">
      <c r="A298" s="355"/>
      <c r="E298" s="365" t="str">
        <f aca="false">IF((G298&lt;&gt;0),"Enter Letter"," ")</f>
        <v> </v>
      </c>
      <c r="J298" s="334" t="str">
        <f aca="false">IF((E298="s"),G298," ")</f>
        <v> </v>
      </c>
      <c r="K298" s="334" t="str">
        <f aca="false">IF((E298="d"),G298," ")</f>
        <v> </v>
      </c>
      <c r="L298" s="334" t="str">
        <f aca="false">IF((E298="e"),G298," ")</f>
        <v> </v>
      </c>
      <c r="M298" s="334" t="str">
        <f aca="false">IF((E298="p"),G298," ")</f>
        <v> </v>
      </c>
      <c r="N298" s="334" t="str">
        <f aca="false">IF((E298="r"),G298," ")</f>
        <v> </v>
      </c>
      <c r="O298" s="334" t="str">
        <f aca="false">IF((E298="g"),G298," ")</f>
        <v> </v>
      </c>
      <c r="P298" s="334" t="str">
        <f aca="false">IF((E298="m"),G298," ")</f>
        <v> </v>
      </c>
      <c r="Q298" s="334" t="str">
        <f aca="false">IF((E298="t"),G298," ")</f>
        <v> </v>
      </c>
      <c r="R298" s="334" t="str">
        <f aca="false">IF((E298="a"),G298," ")</f>
        <v> </v>
      </c>
      <c r="S298" s="334" t="str">
        <f aca="false">IF((E298="l"),G298," ")</f>
        <v> </v>
      </c>
      <c r="T298" s="334" t="str">
        <f aca="false">IF((E298="b"),G298," ")</f>
        <v> </v>
      </c>
      <c r="U298" s="334" t="str">
        <f aca="false">IF((E298="i"),G298," ")</f>
        <v> </v>
      </c>
      <c r="V298" s="334" t="str">
        <f aca="false">IF((E298="o"),G298," ")</f>
        <v> </v>
      </c>
      <c r="W298" s="334" t="str">
        <f aca="false">IF((E298="f"),G298," ")</f>
        <v> </v>
      </c>
    </row>
    <row r="299" customFormat="false" ht="12.75" hidden="false" customHeight="false" outlineLevel="0" collapsed="false">
      <c r="A299" s="355"/>
      <c r="E299" s="365" t="str">
        <f aca="false">IF((G299&lt;&gt;0),"Enter Letter"," ")</f>
        <v> </v>
      </c>
      <c r="J299" s="334" t="str">
        <f aca="false">IF((E299="s"),G299," ")</f>
        <v> </v>
      </c>
      <c r="K299" s="334" t="str">
        <f aca="false">IF((E299="d"),G299," ")</f>
        <v> </v>
      </c>
      <c r="L299" s="334" t="str">
        <f aca="false">IF((E299="e"),G299," ")</f>
        <v> </v>
      </c>
      <c r="M299" s="334" t="str">
        <f aca="false">IF((E299="p"),G299," ")</f>
        <v> </v>
      </c>
      <c r="N299" s="334" t="str">
        <f aca="false">IF((E299="r"),G299," ")</f>
        <v> </v>
      </c>
      <c r="O299" s="334" t="str">
        <f aca="false">IF((E299="g"),G299," ")</f>
        <v> </v>
      </c>
      <c r="P299" s="334" t="str">
        <f aca="false">IF((E299="m"),G299," ")</f>
        <v> </v>
      </c>
      <c r="Q299" s="334" t="str">
        <f aca="false">IF((E299="t"),G299," ")</f>
        <v> </v>
      </c>
      <c r="R299" s="334" t="str">
        <f aca="false">IF((E299="a"),G299," ")</f>
        <v> </v>
      </c>
      <c r="S299" s="334" t="str">
        <f aca="false">IF((E299="l"),G299," ")</f>
        <v> </v>
      </c>
      <c r="T299" s="334" t="str">
        <f aca="false">IF((E299="b"),G299," ")</f>
        <v> </v>
      </c>
      <c r="U299" s="334" t="str">
        <f aca="false">IF((E299="i"),G299," ")</f>
        <v> </v>
      </c>
      <c r="V299" s="334" t="str">
        <f aca="false">IF((E299="o"),G299," ")</f>
        <v> </v>
      </c>
      <c r="W299" s="334" t="str">
        <f aca="false">IF((E299="f"),G299," ")</f>
        <v> </v>
      </c>
    </row>
    <row r="300" customFormat="false" ht="12.75" hidden="false" customHeight="false" outlineLevel="0" collapsed="false">
      <c r="A300" s="402"/>
      <c r="B300" s="393"/>
      <c r="C300" s="393"/>
      <c r="D300" s="394"/>
      <c r="E300" s="395" t="str">
        <f aca="false">IF((G300&lt;&gt;0),"Enter Letter"," ")</f>
        <v> </v>
      </c>
      <c r="F300" s="396"/>
      <c r="G300" s="397"/>
      <c r="H300" s="360"/>
      <c r="I300" s="398"/>
      <c r="J300" s="356" t="str">
        <f aca="false">IF((E300="s"),G300," ")</f>
        <v> </v>
      </c>
      <c r="K300" s="356" t="str">
        <f aca="false">IF((E300="d"),G300," ")</f>
        <v> </v>
      </c>
      <c r="L300" s="356" t="str">
        <f aca="false">IF((E300="e"),G300," ")</f>
        <v> </v>
      </c>
      <c r="M300" s="356" t="str">
        <f aca="false">IF((E300="p"),G300," ")</f>
        <v> </v>
      </c>
      <c r="N300" s="356" t="str">
        <f aca="false">IF((E300="r"),G300," ")</f>
        <v> </v>
      </c>
      <c r="O300" s="356" t="str">
        <f aca="false">IF((E300="g"),G300," ")</f>
        <v> </v>
      </c>
      <c r="P300" s="356" t="str">
        <f aca="false">IF((E300="m"),G300," ")</f>
        <v> </v>
      </c>
      <c r="Q300" s="356" t="str">
        <f aca="false">IF((E300="t"),G300," ")</f>
        <v> </v>
      </c>
      <c r="R300" s="356" t="str">
        <f aca="false">IF((E300="a"),G300," ")</f>
        <v> </v>
      </c>
      <c r="S300" s="356" t="str">
        <f aca="false">IF((E300="l"),G300," ")</f>
        <v> </v>
      </c>
      <c r="T300" s="356" t="str">
        <f aca="false">IF((E300="b"),G300," ")</f>
        <v> </v>
      </c>
      <c r="U300" s="356" t="str">
        <f aca="false">IF((E300="i"),G300," ")</f>
        <v> </v>
      </c>
      <c r="V300" s="356" t="str">
        <f aca="false">IF((E300="o"),G300," ")</f>
        <v> </v>
      </c>
      <c r="W300" s="356" t="str">
        <f aca="false">IF((E300="f"),G300," ")</f>
        <v> </v>
      </c>
    </row>
  </sheetData>
  <mergeCells count="25">
    <mergeCell ref="A2:A4"/>
    <mergeCell ref="B2:B4"/>
    <mergeCell ref="C2:C4"/>
    <mergeCell ref="D2:D4"/>
    <mergeCell ref="E2:E3"/>
    <mergeCell ref="F2:F4"/>
    <mergeCell ref="G2:G3"/>
    <mergeCell ref="H2:H4"/>
    <mergeCell ref="I2:I4"/>
    <mergeCell ref="J2:J3"/>
    <mergeCell ref="K2:K3"/>
    <mergeCell ref="L2:L3"/>
    <mergeCell ref="M2:M3"/>
    <mergeCell ref="N2:N3"/>
    <mergeCell ref="O2:O3"/>
    <mergeCell ref="Q2:Q3"/>
    <mergeCell ref="R2:R3"/>
    <mergeCell ref="S2:S3"/>
    <mergeCell ref="T2:T3"/>
    <mergeCell ref="U2:U3"/>
    <mergeCell ref="V2:V3"/>
    <mergeCell ref="W2:W3"/>
    <mergeCell ref="X2:X4"/>
    <mergeCell ref="Y2:Z2"/>
    <mergeCell ref="Y3:Z3"/>
  </mergeCells>
  <dataValidations count="3">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5:A300" type="date">
      <formula1>38353</formula1>
      <formula2>53327</formula2>
    </dataValidation>
    <dataValidation allowBlank="true" errorStyle="stop" operator="between" prompt="An amount in this cell shows the total purchases in cell G1 does not agree with the totals in the analysis columns cells J1 to W&#10;&#10;CHECK all expense code letters have been entered correctly or any manual entries in the analysis correct&#10;" promptTitle="ERROR ALERT" showDropDown="false" showErrorMessage="true" showInputMessage="true" sqref="E1" type="none">
      <formula1>0</formula1>
      <formula2>0</formula2>
    </dataValidation>
    <dataValidation allowBlank="true" errorStyle="stop" operator="between" showDropDown="false" showErrorMessage="true" showInputMessage="false" sqref="E5:E300" type="list">
      <formula1>$J$4:$W$4</formula1>
      <formula2>0</formula2>
    </dataValidation>
  </dataValidations>
  <printOptions headings="false" gridLines="true" gridLinesSet="true" horizontalCentered="false" verticalCentered="false"/>
  <pageMargins left="0.275694444444444" right="0.551388888888889"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2" manualBreakCount="2">
    <brk id="9" man="true" max="65535" min="0"/>
    <brk id="22" man="true" max="65535" min="0"/>
  </colBreaks>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 zeroHeight="false" outlineLevelRow="0" outlineLevelCol="0"/>
  <cols>
    <col collapsed="false" customWidth="true" hidden="false" outlineLevel="0" max="1" min="1" style="53" width="1.5"/>
    <col collapsed="false" customWidth="true" hidden="false" outlineLevel="0" max="2" min="2" style="403" width="10.15"/>
    <col collapsed="false" customWidth="true" hidden="false" outlineLevel="0" max="3" min="3" style="53" width="2.66"/>
    <col collapsed="false" customWidth="true" hidden="false" outlineLevel="0" max="5" min="4" style="53" width="11.15"/>
    <col collapsed="false" customWidth="true" hidden="false" outlineLevel="0" max="6" min="6" style="53" width="10.99"/>
    <col collapsed="false" customWidth="false" hidden="false" outlineLevel="0" max="7" min="7" style="404" width="9.15"/>
    <col collapsed="false" customWidth="true" hidden="false" outlineLevel="0" max="8" min="8" style="53" width="4.66"/>
    <col collapsed="false" customWidth="false" hidden="false" outlineLevel="0" max="12" min="9" style="53" width="9.15"/>
    <col collapsed="false" customWidth="true" hidden="false" outlineLevel="0" max="13" min="13" style="53" width="11.66"/>
    <col collapsed="false" customWidth="false" hidden="false" outlineLevel="0" max="14" min="14" style="53" width="9.15"/>
    <col collapsed="false" customWidth="true" hidden="false" outlineLevel="0" max="15" min="15" style="53" width="3.99"/>
    <col collapsed="false" customWidth="false" hidden="false" outlineLevel="0" max="257" min="16" style="53" width="9.15"/>
  </cols>
  <sheetData>
    <row r="1" customFormat="false" ht="12" hidden="false" customHeight="true" outlineLevel="0" collapsed="false">
      <c r="A1" s="66"/>
      <c r="B1" s="405" t="s">
        <v>388</v>
      </c>
      <c r="C1" s="66"/>
      <c r="D1" s="406"/>
      <c r="E1" s="406"/>
      <c r="F1" s="406"/>
      <c r="G1" s="160"/>
      <c r="H1" s="66"/>
      <c r="I1" s="66"/>
      <c r="J1" s="66"/>
      <c r="K1" s="66"/>
      <c r="L1" s="66"/>
      <c r="M1" s="66"/>
      <c r="N1" s="66"/>
      <c r="O1" s="66"/>
    </row>
    <row r="2" customFormat="false" ht="12" hidden="false" customHeight="true" outlineLevel="0" collapsed="false">
      <c r="A2" s="66"/>
      <c r="B2" s="407" t="n">
        <v>46081</v>
      </c>
      <c r="C2" s="66"/>
      <c r="D2" s="408" t="s">
        <v>389</v>
      </c>
      <c r="E2" s="408"/>
      <c r="F2" s="408"/>
      <c r="G2" s="409" t="str">
        <f aca="false">B23</f>
        <v>2026-27</v>
      </c>
      <c r="H2" s="66"/>
      <c r="I2" s="66"/>
      <c r="J2" s="410" t="s">
        <v>390</v>
      </c>
      <c r="K2" s="410"/>
      <c r="L2" s="411" t="str">
        <f aca="false">G2</f>
        <v>2026-27</v>
      </c>
      <c r="M2" s="66"/>
      <c r="N2" s="66"/>
      <c r="O2" s="66"/>
    </row>
    <row r="3" customFormat="false" ht="12" hidden="false" customHeight="true" outlineLevel="0" collapsed="false">
      <c r="A3" s="66"/>
      <c r="B3" s="407" t="n">
        <v>46112</v>
      </c>
      <c r="C3" s="66"/>
      <c r="D3" s="66"/>
      <c r="E3" s="66"/>
      <c r="F3" s="66"/>
      <c r="G3" s="412"/>
      <c r="H3" s="66"/>
      <c r="I3" s="66"/>
      <c r="J3" s="413"/>
      <c r="K3" s="413"/>
      <c r="L3" s="160"/>
      <c r="M3" s="66"/>
      <c r="N3" s="66"/>
      <c r="O3" s="66"/>
    </row>
    <row r="4" customFormat="false" ht="12" hidden="false" customHeight="true" outlineLevel="0" collapsed="false">
      <c r="A4" s="66"/>
      <c r="B4" s="414" t="n">
        <v>46118</v>
      </c>
      <c r="C4" s="66"/>
      <c r="D4" s="415" t="s">
        <v>70</v>
      </c>
      <c r="E4" s="415"/>
      <c r="F4" s="415"/>
      <c r="G4" s="416" t="n">
        <v>1</v>
      </c>
      <c r="H4" s="66"/>
      <c r="I4" s="415" t="s">
        <v>391</v>
      </c>
      <c r="J4" s="415"/>
      <c r="K4" s="415"/>
      <c r="L4" s="415"/>
      <c r="M4" s="415"/>
      <c r="N4" s="417" t="n">
        <v>12570</v>
      </c>
      <c r="O4" s="412" t="s">
        <v>29</v>
      </c>
    </row>
    <row r="5" customFormat="false" ht="12" hidden="false" customHeight="true" outlineLevel="0" collapsed="false">
      <c r="A5" s="66"/>
      <c r="B5" s="407" t="n">
        <v>46142</v>
      </c>
      <c r="C5" s="66"/>
      <c r="D5" s="415" t="s">
        <v>392</v>
      </c>
      <c r="E5" s="415"/>
      <c r="F5" s="415"/>
      <c r="G5" s="416" t="n">
        <v>0.14</v>
      </c>
      <c r="H5" s="66"/>
      <c r="I5" s="66"/>
      <c r="J5" s="66"/>
      <c r="K5" s="66"/>
      <c r="L5" s="66"/>
      <c r="M5" s="66"/>
      <c r="N5" s="412"/>
      <c r="O5" s="412"/>
    </row>
    <row r="6" customFormat="false" ht="12" hidden="false" customHeight="true" outlineLevel="0" collapsed="false">
      <c r="A6" s="66"/>
      <c r="B6" s="407" t="n">
        <v>46173</v>
      </c>
      <c r="C6" s="66"/>
      <c r="D6" s="66"/>
      <c r="E6" s="66"/>
      <c r="F6" s="66"/>
      <c r="G6" s="412"/>
      <c r="H6" s="66"/>
      <c r="I6" s="66" t="s">
        <v>393</v>
      </c>
      <c r="J6" s="66"/>
      <c r="K6" s="66"/>
      <c r="L6" s="66"/>
      <c r="M6" s="66"/>
      <c r="N6" s="416" t="n">
        <v>0</v>
      </c>
      <c r="O6" s="412" t="s">
        <v>394</v>
      </c>
    </row>
    <row r="7" customFormat="false" ht="12" hidden="false" customHeight="true" outlineLevel="0" collapsed="false">
      <c r="A7" s="66"/>
      <c r="B7" s="407" t="n">
        <v>46203</v>
      </c>
      <c r="C7" s="66"/>
      <c r="D7" s="415" t="s">
        <v>395</v>
      </c>
      <c r="E7" s="415"/>
      <c r="F7" s="415"/>
      <c r="G7" s="412"/>
      <c r="H7" s="66"/>
      <c r="I7" s="415" t="s">
        <v>396</v>
      </c>
      <c r="J7" s="415"/>
      <c r="K7" s="415"/>
      <c r="L7" s="415"/>
      <c r="M7" s="415"/>
      <c r="N7" s="416" t="n">
        <v>0.2</v>
      </c>
      <c r="O7" s="412" t="s">
        <v>394</v>
      </c>
    </row>
    <row r="8" customFormat="false" ht="12" hidden="false" customHeight="true" outlineLevel="0" collapsed="false">
      <c r="A8" s="66"/>
      <c r="B8" s="407" t="n">
        <v>46234</v>
      </c>
      <c r="C8" s="66"/>
      <c r="D8" s="66" t="s">
        <v>397</v>
      </c>
      <c r="E8" s="418" t="n">
        <v>12000</v>
      </c>
      <c r="F8" s="66" t="s">
        <v>398</v>
      </c>
      <c r="G8" s="418" t="n">
        <v>3000</v>
      </c>
      <c r="H8" s="66"/>
      <c r="I8" s="415" t="s">
        <v>399</v>
      </c>
      <c r="J8" s="415"/>
      <c r="K8" s="415"/>
      <c r="L8" s="415"/>
      <c r="M8" s="415"/>
      <c r="N8" s="416" t="n">
        <v>0.4</v>
      </c>
      <c r="O8" s="412" t="s">
        <v>394</v>
      </c>
    </row>
    <row r="9" customFormat="false" ht="12" hidden="false" customHeight="true" outlineLevel="0" collapsed="false">
      <c r="A9" s="66"/>
      <c r="B9" s="407" t="n">
        <v>46265</v>
      </c>
      <c r="C9" s="66"/>
      <c r="D9" s="66"/>
      <c r="E9" s="412"/>
      <c r="F9" s="66"/>
      <c r="G9" s="412"/>
      <c r="H9" s="66"/>
      <c r="I9" s="66"/>
      <c r="J9" s="66"/>
      <c r="K9" s="66"/>
      <c r="L9" s="66"/>
      <c r="M9" s="66"/>
      <c r="N9" s="412"/>
      <c r="O9" s="412"/>
    </row>
    <row r="10" customFormat="false" ht="12" hidden="false" customHeight="true" outlineLevel="0" collapsed="false">
      <c r="A10" s="66"/>
      <c r="B10" s="407" t="n">
        <v>46295</v>
      </c>
      <c r="C10" s="66"/>
      <c r="D10" s="66"/>
      <c r="E10" s="412"/>
      <c r="F10" s="66"/>
      <c r="G10" s="412"/>
      <c r="H10" s="66"/>
      <c r="I10" s="415" t="s">
        <v>400</v>
      </c>
      <c r="J10" s="415"/>
      <c r="K10" s="415"/>
      <c r="L10" s="419" t="s">
        <v>401</v>
      </c>
      <c r="M10" s="419" t="s">
        <v>402</v>
      </c>
      <c r="N10" s="420" t="s">
        <v>403</v>
      </c>
      <c r="O10" s="412"/>
    </row>
    <row r="11" customFormat="false" ht="12" hidden="false" customHeight="true" outlineLevel="0" collapsed="false">
      <c r="A11" s="66"/>
      <c r="B11" s="407" t="n">
        <v>46326</v>
      </c>
      <c r="C11" s="66"/>
      <c r="D11" s="408" t="s">
        <v>404</v>
      </c>
      <c r="E11" s="408"/>
      <c r="F11" s="408"/>
      <c r="G11" s="412" t="s">
        <v>394</v>
      </c>
      <c r="H11" s="66"/>
      <c r="I11" s="66" t="s">
        <v>405</v>
      </c>
      <c r="J11" s="66"/>
      <c r="K11" s="421" t="n">
        <f aca="false">N6</f>
        <v>0</v>
      </c>
      <c r="L11" s="412" t="n">
        <f aca="false">N11</f>
        <v>0</v>
      </c>
      <c r="M11" s="412" t="n">
        <v>0</v>
      </c>
      <c r="N11" s="418" t="n">
        <v>0</v>
      </c>
      <c r="O11" s="412"/>
    </row>
    <row r="12" customFormat="false" ht="12" hidden="false" customHeight="true" outlineLevel="0" collapsed="false">
      <c r="A12" s="66"/>
      <c r="B12" s="407" t="n">
        <v>46356</v>
      </c>
      <c r="C12" s="66"/>
      <c r="D12" s="66"/>
      <c r="E12" s="66"/>
      <c r="F12" s="66"/>
      <c r="G12" s="412"/>
      <c r="H12" s="66"/>
      <c r="I12" s="66" t="s">
        <v>406</v>
      </c>
      <c r="J12" s="66"/>
      <c r="K12" s="421" t="n">
        <f aca="false">N7</f>
        <v>0.2</v>
      </c>
      <c r="L12" s="412" t="n">
        <v>0</v>
      </c>
      <c r="M12" s="412" t="n">
        <v>37700</v>
      </c>
      <c r="N12" s="418" t="n">
        <v>0</v>
      </c>
      <c r="O12" s="412"/>
    </row>
    <row r="13" customFormat="false" ht="12" hidden="false" customHeight="true" outlineLevel="0" collapsed="false">
      <c r="A13" s="66"/>
      <c r="B13" s="407" t="n">
        <v>46387</v>
      </c>
      <c r="C13" s="66"/>
      <c r="D13" s="415" t="s">
        <v>208</v>
      </c>
      <c r="E13" s="415"/>
      <c r="F13" s="415"/>
      <c r="G13" s="416" t="n">
        <v>0</v>
      </c>
      <c r="H13" s="66"/>
      <c r="I13" s="66" t="s">
        <v>407</v>
      </c>
      <c r="J13" s="66"/>
      <c r="K13" s="421" t="n">
        <f aca="false">N8</f>
        <v>0.4</v>
      </c>
      <c r="L13" s="412" t="n">
        <v>37701</v>
      </c>
      <c r="M13" s="66"/>
      <c r="N13" s="418" t="n">
        <v>37701</v>
      </c>
      <c r="O13" s="412"/>
    </row>
    <row r="14" customFormat="false" ht="12" hidden="false" customHeight="true" outlineLevel="0" collapsed="false">
      <c r="A14" s="66"/>
      <c r="B14" s="407" t="n">
        <v>46418</v>
      </c>
      <c r="C14" s="66"/>
      <c r="D14" s="415" t="s">
        <v>210</v>
      </c>
      <c r="E14" s="415"/>
      <c r="F14" s="415"/>
      <c r="G14" s="416" t="n">
        <v>0.1</v>
      </c>
      <c r="H14" s="66"/>
      <c r="I14" s="66"/>
      <c r="J14" s="66"/>
      <c r="K14" s="66"/>
      <c r="L14" s="66"/>
      <c r="M14" s="66"/>
      <c r="N14" s="66"/>
      <c r="O14" s="66"/>
    </row>
    <row r="15" customFormat="false" ht="12" hidden="false" customHeight="true" outlineLevel="0" collapsed="false">
      <c r="A15" s="66"/>
      <c r="B15" s="407" t="n">
        <v>46446</v>
      </c>
      <c r="C15" s="66"/>
      <c r="D15" s="415" t="s">
        <v>212</v>
      </c>
      <c r="E15" s="415"/>
      <c r="F15" s="415"/>
      <c r="G15" s="416" t="n">
        <v>0.2</v>
      </c>
      <c r="H15" s="66"/>
      <c r="I15" s="408" t="s">
        <v>408</v>
      </c>
      <c r="J15" s="408"/>
      <c r="K15" s="408"/>
      <c r="L15" s="411" t="str">
        <f aca="false">G2</f>
        <v>2026-27</v>
      </c>
      <c r="M15" s="66"/>
      <c r="N15" s="66"/>
      <c r="O15" s="66"/>
    </row>
    <row r="16" customFormat="false" ht="12" hidden="false" customHeight="true" outlineLevel="0" collapsed="false">
      <c r="A16" s="66"/>
      <c r="B16" s="407" t="n">
        <v>46477</v>
      </c>
      <c r="C16" s="66"/>
      <c r="D16" s="415" t="s">
        <v>409</v>
      </c>
      <c r="E16" s="415"/>
      <c r="F16" s="415"/>
      <c r="G16" s="416" t="n">
        <v>0.33</v>
      </c>
      <c r="H16" s="66"/>
      <c r="I16" s="66"/>
      <c r="J16" s="66"/>
      <c r="K16" s="66"/>
      <c r="L16" s="66"/>
      <c r="M16" s="66"/>
      <c r="N16" s="66"/>
      <c r="O16" s="66"/>
    </row>
    <row r="17" customFormat="false" ht="12" hidden="false" customHeight="true" outlineLevel="0" collapsed="false">
      <c r="A17" s="66"/>
      <c r="B17" s="414" t="n">
        <v>46482</v>
      </c>
      <c r="C17" s="66"/>
      <c r="D17" s="415" t="s">
        <v>410</v>
      </c>
      <c r="E17" s="415"/>
      <c r="F17" s="415"/>
      <c r="G17" s="416" t="n">
        <v>0.25</v>
      </c>
      <c r="H17" s="66"/>
      <c r="I17" s="415" t="s">
        <v>411</v>
      </c>
      <c r="J17" s="415"/>
      <c r="K17" s="415"/>
      <c r="L17" s="422" t="n">
        <v>0</v>
      </c>
      <c r="M17" s="66" t="s">
        <v>412</v>
      </c>
      <c r="N17" s="66"/>
      <c r="O17" s="66"/>
    </row>
    <row r="18" customFormat="false" ht="12" hidden="false" customHeight="true" outlineLevel="0" collapsed="false">
      <c r="A18" s="66"/>
      <c r="B18" s="407" t="n">
        <v>46507</v>
      </c>
      <c r="C18" s="66"/>
      <c r="D18" s="66"/>
      <c r="E18" s="66"/>
      <c r="F18" s="66"/>
      <c r="G18" s="412"/>
      <c r="H18" s="66"/>
      <c r="I18" s="66"/>
      <c r="J18" s="66"/>
      <c r="K18" s="66"/>
      <c r="L18" s="66"/>
      <c r="M18" s="66"/>
      <c r="N18" s="66"/>
      <c r="O18" s="66"/>
    </row>
    <row r="19" customFormat="false" ht="12" hidden="false" customHeight="true" outlineLevel="0" collapsed="false">
      <c r="A19" s="66"/>
      <c r="B19" s="407" t="n">
        <v>46538</v>
      </c>
      <c r="C19" s="66"/>
      <c r="D19" s="408" t="s">
        <v>413</v>
      </c>
      <c r="E19" s="408"/>
      <c r="F19" s="412" t="s">
        <v>414</v>
      </c>
      <c r="G19" s="412" t="s">
        <v>415</v>
      </c>
      <c r="H19" s="66"/>
      <c r="I19" s="423" t="s">
        <v>416</v>
      </c>
      <c r="J19" s="423"/>
      <c r="K19" s="423"/>
      <c r="L19" s="66"/>
      <c r="M19" s="424" t="s">
        <v>417</v>
      </c>
      <c r="N19" s="66"/>
      <c r="O19" s="66"/>
    </row>
    <row r="20" customFormat="false" ht="12" hidden="false" customHeight="true" outlineLevel="0" collapsed="false">
      <c r="A20" s="66"/>
      <c r="B20" s="407" t="n">
        <v>46568</v>
      </c>
      <c r="C20" s="66"/>
      <c r="D20" s="160"/>
      <c r="E20" s="160"/>
      <c r="F20" s="412"/>
      <c r="G20" s="412"/>
      <c r="H20" s="66"/>
      <c r="I20" s="423"/>
      <c r="J20" s="423"/>
      <c r="K20" s="423"/>
      <c r="L20" s="425" t="n">
        <v>0.06</v>
      </c>
      <c r="M20" s="424"/>
      <c r="N20" s="418" t="n">
        <v>12570</v>
      </c>
      <c r="O20" s="412" t="s">
        <v>29</v>
      </c>
    </row>
    <row r="21" customFormat="false" ht="12" hidden="false" customHeight="true" outlineLevel="0" collapsed="false">
      <c r="A21" s="66"/>
      <c r="B21" s="407" t="n">
        <v>46783</v>
      </c>
      <c r="C21" s="66"/>
      <c r="D21" s="415" t="s">
        <v>418</v>
      </c>
      <c r="E21" s="415"/>
      <c r="F21" s="418" t="n">
        <v>10000</v>
      </c>
      <c r="G21" s="422" t="n">
        <v>0.45</v>
      </c>
      <c r="H21" s="66"/>
      <c r="I21" s="426"/>
      <c r="J21" s="426"/>
      <c r="K21" s="426"/>
      <c r="L21" s="421"/>
      <c r="M21" s="66"/>
      <c r="N21" s="66"/>
      <c r="O21" s="66"/>
    </row>
    <row r="22" customFormat="false" ht="12" hidden="false" customHeight="true" outlineLevel="0" collapsed="false">
      <c r="A22" s="66"/>
      <c r="B22" s="407" t="n">
        <v>46965</v>
      </c>
      <c r="C22" s="66"/>
      <c r="D22" s="66" t="s">
        <v>419</v>
      </c>
      <c r="E22" s="66"/>
      <c r="F22" s="418" t="n">
        <v>10001</v>
      </c>
      <c r="G22" s="422" t="n">
        <v>0.25</v>
      </c>
      <c r="H22" s="66"/>
      <c r="I22" s="423" t="s">
        <v>420</v>
      </c>
      <c r="J22" s="423"/>
      <c r="K22" s="423"/>
      <c r="L22" s="66"/>
      <c r="M22" s="424" t="s">
        <v>421</v>
      </c>
      <c r="N22" s="66"/>
      <c r="O22" s="66"/>
    </row>
    <row r="23" customFormat="false" ht="12" hidden="false" customHeight="true" outlineLevel="0" collapsed="false">
      <c r="A23" s="66"/>
      <c r="B23" s="414" t="s">
        <v>422</v>
      </c>
      <c r="C23" s="66"/>
      <c r="D23" s="66"/>
      <c r="E23" s="66"/>
      <c r="F23" s="412"/>
      <c r="G23" s="427"/>
      <c r="H23" s="66"/>
      <c r="I23" s="423"/>
      <c r="J23" s="423"/>
      <c r="K23" s="423"/>
      <c r="L23" s="425" t="n">
        <v>0.02</v>
      </c>
      <c r="M23" s="424"/>
      <c r="N23" s="418" t="n">
        <v>50270</v>
      </c>
      <c r="O23" s="412" t="s">
        <v>29</v>
      </c>
    </row>
    <row r="24" customFormat="false" ht="12" hidden="false" customHeight="true" outlineLevel="0" collapsed="false">
      <c r="A24" s="66"/>
      <c r="B24" s="414" t="s">
        <v>423</v>
      </c>
      <c r="C24" s="66"/>
      <c r="D24" s="408" t="s">
        <v>424</v>
      </c>
      <c r="E24" s="408"/>
      <c r="F24" s="66"/>
      <c r="G24" s="66"/>
      <c r="H24" s="66"/>
      <c r="I24" s="66"/>
      <c r="J24" s="66"/>
      <c r="K24" s="66"/>
      <c r="L24" s="66"/>
      <c r="M24" s="66"/>
      <c r="N24" s="66"/>
      <c r="O24" s="66"/>
    </row>
    <row r="25" customFormat="false" ht="12" hidden="false" customHeight="true" outlineLevel="0" collapsed="false">
      <c r="A25" s="66"/>
      <c r="B25" s="428"/>
      <c r="C25" s="66"/>
      <c r="D25" s="66"/>
      <c r="E25" s="66"/>
      <c r="F25" s="66"/>
      <c r="G25" s="66"/>
      <c r="H25" s="66"/>
      <c r="I25" s="66"/>
      <c r="J25" s="66"/>
      <c r="K25" s="66"/>
      <c r="L25" s="66"/>
      <c r="M25" s="66"/>
      <c r="N25" s="66"/>
      <c r="O25" s="66"/>
    </row>
    <row r="26" customFormat="false" ht="12" hidden="false" customHeight="true" outlineLevel="0" collapsed="false">
      <c r="A26" s="66"/>
      <c r="B26" s="428"/>
      <c r="C26" s="66"/>
      <c r="D26" s="66" t="s">
        <v>425</v>
      </c>
      <c r="E26" s="66"/>
      <c r="F26" s="418" t="n">
        <v>90000</v>
      </c>
      <c r="G26" s="66"/>
      <c r="H26" s="66"/>
      <c r="I26" s="66"/>
      <c r="J26" s="66"/>
      <c r="K26" s="66"/>
      <c r="L26" s="66"/>
      <c r="M26" s="66"/>
      <c r="N26" s="66"/>
      <c r="O26" s="66"/>
    </row>
    <row r="27" customFormat="false" ht="12" hidden="false" customHeight="false" outlineLevel="0" collapsed="false">
      <c r="A27" s="66"/>
      <c r="B27" s="428"/>
      <c r="C27" s="66"/>
      <c r="D27" s="66"/>
      <c r="E27" s="66"/>
      <c r="F27" s="66"/>
      <c r="G27" s="66"/>
      <c r="H27" s="66"/>
      <c r="I27" s="66"/>
      <c r="J27" s="66"/>
      <c r="K27" s="66"/>
      <c r="L27" s="66"/>
      <c r="M27" s="66"/>
      <c r="N27" s="66"/>
      <c r="O27" s="66"/>
    </row>
  </sheetData>
  <mergeCells count="25">
    <mergeCell ref="D1:F1"/>
    <mergeCell ref="D2:F2"/>
    <mergeCell ref="J2:K2"/>
    <mergeCell ref="D4:F4"/>
    <mergeCell ref="I4:M4"/>
    <mergeCell ref="D5:F5"/>
    <mergeCell ref="D7:F7"/>
    <mergeCell ref="I7:M7"/>
    <mergeCell ref="I8:M8"/>
    <mergeCell ref="I10:K10"/>
    <mergeCell ref="D11:F11"/>
    <mergeCell ref="D13:F13"/>
    <mergeCell ref="D14:F14"/>
    <mergeCell ref="D15:F15"/>
    <mergeCell ref="I15:K15"/>
    <mergeCell ref="D16:F16"/>
    <mergeCell ref="D17:F17"/>
    <mergeCell ref="I17:K17"/>
    <mergeCell ref="D19:E19"/>
    <mergeCell ref="I19:K20"/>
    <mergeCell ref="M19:M20"/>
    <mergeCell ref="D21:E21"/>
    <mergeCell ref="I22:K23"/>
    <mergeCell ref="M22:M23"/>
    <mergeCell ref="D24:E24"/>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Company>y</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2002-12-30T15:31:19Z</dcterms:created>
  <dc:creator>Terry Cartwright</dc:creator>
  <dc:description/>
  <dc:language>en-US</dc:language>
  <cp:lastModifiedBy>Cartwright, Antony</cp:lastModifiedBy>
  <cp:lastPrinted>2011-03-20T17:47:30Z</cp:lastPrinted>
  <dcterms:modified xsi:type="dcterms:W3CDTF">2025-04-03T22:36:27Z</dcterms:modified>
  <cp:revision>0</cp:revision>
  <dc:subject/>
  <dc:title>0607 Financial Accounts</dc:title>
</cp:coreProperties>
</file>

<file path=docProps/custom.xml><?xml version="1.0" encoding="utf-8"?>
<Properties xmlns="http://schemas.openxmlformats.org/officeDocument/2006/custom-properties" xmlns:vt="http://schemas.openxmlformats.org/officeDocument/2006/docPropsVTypes"/>
</file>