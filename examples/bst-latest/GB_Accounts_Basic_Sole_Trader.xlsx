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<sst xmlns="http://schemas.openxmlformats.org/spreadsheetml/2006/main" count="1991" uniqueCount="426">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</sst>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0" borderId="8"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9" xfId="0" applyFont="tru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9" xfId="0" applyFont="true" applyBorder="true" applyAlignment="true" applyProtection="false">
      <alignment horizontal="general" vertical="center" textRotation="0" wrapText="false" indent="0" shrinkToFit="false"/>
      <protection locked="true" hidden="false"/>
    </xf>
    <xf numFmtId="169" fontId="15" fillId="0" borderId="8" xfId="0" applyFont="true" applyBorder="true" applyAlignment="true" applyProtection="false">
      <alignment horizontal="center" vertical="center" textRotation="0" wrapText="false" indent="0" shrinkToFit="false"/>
      <protection locked="true" hidden="false"/>
    </xf>
    <xf numFmtId="164" fontId="10" fillId="0" borderId="8" xfId="0" applyFont="true" applyBorder="true" applyAlignment="true" applyProtection="false">
      <alignment horizontal="right" vertical="bottom" textRotation="0" wrapText="false" indent="0" shrinkToFit="false"/>
      <protection locked="true" hidden="false"/>
    </xf>
    <xf numFmtId="164" fontId="10" fillId="0" borderId="8"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0" borderId="8"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8" xfId="0" applyFont="true" applyBorder="true" applyAlignment="true" applyProtection="false">
      <alignment horizontal="center" vertical="center" textRotation="0" wrapText="false" indent="0" shrinkToFit="false"/>
      <protection locked="true" hidden="false"/>
    </xf>
    <xf numFmtId="170" fontId="15" fillId="0" borderId="8"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8"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5"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9"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5" fillId="3" borderId="8" xfId="0" applyFont="true" applyBorder="true" applyAlignment="true" applyProtection="false">
      <alignment horizontal="general" vertical="center"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3" borderId="13"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4"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general" vertical="center" textRotation="0" wrapText="false" indent="0" shrinkToFit="false"/>
      <protection locked="true" hidden="true"/>
    </xf>
    <xf numFmtId="166" fontId="11" fillId="0" borderId="8"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0" fillId="3" borderId="19" xfId="0" applyFont="true" applyBorder="true" applyAlignment="false" applyProtection="true">
      <alignment horizontal="general" vertical="bottom" textRotation="0" wrapText="false" indent="0" shrinkToFit="false"/>
      <protection locked="true" hidden="true"/>
    </xf>
    <xf numFmtId="164" fontId="13" fillId="0" borderId="8"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9" xfId="0" applyFont="true" applyBorder="true" applyAlignment="true" applyProtection="true">
      <alignment horizontal="general" vertical="center" textRotation="0" wrapText="false" indent="0" shrinkToFit="false"/>
      <protection locked="true" hidden="true"/>
    </xf>
    <xf numFmtId="169" fontId="15" fillId="0" borderId="8" xfId="0" applyFont="true" applyBorder="true" applyAlignment="true" applyProtection="true">
      <alignment horizontal="center" vertical="center" textRotation="0" wrapText="false" indent="0" shrinkToFit="false"/>
      <protection locked="true" hidden="true"/>
    </xf>
    <xf numFmtId="166" fontId="10" fillId="0" borderId="8"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8" xfId="0" applyFont="true" applyBorder="true" applyAlignment="true" applyProtection="true">
      <alignment horizontal="center" vertical="center" textRotation="0" wrapText="false" indent="0" shrinkToFit="false"/>
      <protection locked="true" hidden="true"/>
    </xf>
    <xf numFmtId="170" fontId="15" fillId="0" borderId="8"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8" xfId="0" applyFont="true" applyBorder="true" applyAlignment="true" applyProtection="true">
      <alignment horizontal="center" vertical="center" textRotation="0" wrapText="false" indent="0" shrinkToFit="false"/>
      <protection locked="true" hidden="true"/>
    </xf>
    <xf numFmtId="171" fontId="26" fillId="3" borderId="10"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10" xfId="0" applyFont="true" applyBorder="true" applyAlignment="false" applyProtection="true">
      <alignment horizontal="general" vertical="bottom" textRotation="0" wrapText="false" indent="0" shrinkToFit="false"/>
      <protection locked="true" hidden="true"/>
    </xf>
    <xf numFmtId="164" fontId="25" fillId="0" borderId="12" xfId="0" applyFont="true" applyBorder="true" applyAlignment="true" applyProtection="true">
      <alignment horizontal="general" vertical="center" textRotation="0" wrapText="false" indent="0" shrinkToFit="false"/>
      <protection locked="true" hidden="true"/>
    </xf>
    <xf numFmtId="164" fontId="10" fillId="3" borderId="9"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8" xfId="0" applyFont="true" applyBorder="true" applyAlignment="true" applyProtection="true">
      <alignment horizontal="general" vertical="center"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3" fillId="3" borderId="12"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2" xfId="0" applyFont="true" applyBorder="true" applyAlignment="true" applyProtection="true">
      <alignment horizontal="center" vertical="center" textRotation="0" wrapText="false" indent="0" shrinkToFit="false"/>
      <protection locked="true" hidden="true"/>
    </xf>
    <xf numFmtId="164" fontId="15" fillId="3" borderId="12" xfId="0" applyFont="true" applyBorder="true" applyAlignment="true" applyProtection="true">
      <alignment horizontal="general" vertical="center" textRotation="0" wrapText="false" indent="0" shrinkToFit="false"/>
      <protection locked="true" hidden="true"/>
    </xf>
    <xf numFmtId="164" fontId="19" fillId="3" borderId="12" xfId="0" applyFont="true" applyBorder="true" applyAlignment="true" applyProtection="true">
      <alignment horizontal="center" vertical="center" textRotation="0" wrapText="false" indent="0" shrinkToFit="false"/>
      <protection locked="true" hidden="true"/>
    </xf>
    <xf numFmtId="171" fontId="26" fillId="3" borderId="12"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true" indent="0" shrinkToFit="false"/>
      <protection locked="true" hidden="true"/>
    </xf>
    <xf numFmtId="167" fontId="28" fillId="3" borderId="20" xfId="0" applyFont="true" applyBorder="true" applyAlignment="true" applyProtection="true">
      <alignment horizontal="center" vertical="bottom" textRotation="0" wrapText="false" indent="0" shrinkToFit="false"/>
      <protection locked="true" hidden="true"/>
    </xf>
    <xf numFmtId="167" fontId="28" fillId="3" borderId="21"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false" indent="0" shrinkToFit="false"/>
      <protection locked="true" hidden="true"/>
    </xf>
    <xf numFmtId="173" fontId="28" fillId="3" borderId="20" xfId="0" applyFont="true" applyBorder="true" applyAlignment="true" applyProtection="true">
      <alignment horizontal="center" vertical="bottom" textRotation="0" wrapText="false" indent="0" shrinkToFit="false"/>
      <protection locked="true" hidden="true"/>
    </xf>
    <xf numFmtId="166" fontId="28" fillId="3" borderId="22"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20"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3" xfId="0" applyFont="true" applyBorder="true" applyAlignment="true" applyProtection="true">
      <alignment horizontal="right" vertical="bottom" textRotation="0" wrapText="false" indent="1" shrinkToFit="false"/>
      <protection locked="true" hidden="true"/>
    </xf>
    <xf numFmtId="174" fontId="27" fillId="0" borderId="24" xfId="0" applyFont="true" applyBorder="true" applyAlignment="true" applyProtection="true">
      <alignment horizontal="right" vertical="bottom" textRotation="0" wrapText="false" indent="1" shrinkToFit="false"/>
      <protection locked="true" hidden="true"/>
    </xf>
    <xf numFmtId="174" fontId="27" fillId="3" borderId="25" xfId="0" applyFont="true" applyBorder="true" applyAlignment="true" applyProtection="true">
      <alignment horizontal="right" vertical="bottom" textRotation="0" wrapText="false" indent="1"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7" xfId="0" applyFont="true" applyBorder="true" applyAlignment="true" applyProtection="true">
      <alignment horizontal="right" vertical="bottom" textRotation="0" wrapText="false" indent="1" shrinkToFit="false"/>
      <protection locked="true" hidden="true"/>
    </xf>
    <xf numFmtId="174" fontId="28" fillId="0" borderId="28" xfId="0" applyFont="true" applyBorder="true" applyAlignment="false" applyProtection="true">
      <alignment horizontal="general" vertical="bottom" textRotation="0" wrapText="false" indent="0" shrinkToFit="false"/>
      <protection locked="true" hidden="true"/>
    </xf>
    <xf numFmtId="164" fontId="27" fillId="3" borderId="28"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7"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20" xfId="0" applyFont="true" applyBorder="true" applyAlignment="true" applyProtection="true">
      <alignment horizontal="left" vertical="center" textRotation="0" wrapText="false" indent="1" shrinkToFit="false"/>
      <protection locked="true" hidden="true"/>
    </xf>
    <xf numFmtId="177" fontId="27" fillId="0" borderId="20"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7"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77" fontId="27" fillId="3" borderId="20"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7" xfId="0" applyFont="true" applyBorder="true" applyAlignment="true" applyProtection="true">
      <alignment horizontal="left" vertical="bottom" textRotation="0" wrapText="false" indent="1" shrinkToFit="false"/>
      <protection locked="true" hidden="true"/>
    </xf>
    <xf numFmtId="164" fontId="27" fillId="3" borderId="29" xfId="0" applyFont="true" applyBorder="true" applyAlignment="true" applyProtection="true">
      <alignment horizontal="left" vertical="center" textRotation="0" wrapText="false" indent="1" shrinkToFit="false"/>
      <protection locked="true" hidden="true"/>
    </xf>
    <xf numFmtId="174" fontId="27" fillId="3" borderId="27" xfId="0" applyFont="true" applyBorder="true" applyAlignment="true" applyProtection="true">
      <alignment horizontal="center" vertical="center" textRotation="0" wrapText="true" indent="0" shrinkToFit="false"/>
      <protection locked="true" hidden="true"/>
    </xf>
    <xf numFmtId="176" fontId="27" fillId="3" borderId="20" xfId="0" applyFont="true" applyBorder="true" applyAlignment="true" applyProtection="true">
      <alignment horizontal="center" vertical="bottom" textRotation="0" wrapText="true" indent="0" shrinkToFit="false"/>
      <protection locked="true" hidden="true"/>
    </xf>
    <xf numFmtId="177" fontId="27" fillId="3" borderId="20"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20" xfId="0" applyFont="true" applyBorder="true" applyAlignment="true" applyProtection="true">
      <alignment horizontal="center" vertical="bottom" textRotation="0" wrapText="false" indent="0" shrinkToFit="false"/>
      <protection locked="true" hidden="true"/>
    </xf>
    <xf numFmtId="172" fontId="27" fillId="3" borderId="20" xfId="0" applyFont="true" applyBorder="true" applyAlignment="true" applyProtection="true">
      <alignment horizontal="center" vertical="bottom" textRotation="0" wrapText="false" indent="0" shrinkToFit="false"/>
      <protection locked="true" hidden="true"/>
    </xf>
    <xf numFmtId="164" fontId="30" fillId="3" borderId="20"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20" xfId="0" applyFont="true" applyBorder="true" applyAlignment="false" applyProtection="false">
      <alignment horizontal="general" vertical="bottom" textRotation="0" wrapText="false" indent="0" shrinkToFit="false"/>
      <protection locked="true" hidden="false"/>
    </xf>
    <xf numFmtId="172" fontId="30" fillId="3" borderId="20" xfId="0" applyFont="true" applyBorder="true" applyAlignment="true" applyProtection="false">
      <alignment horizontal="center" vertical="center" textRotation="0" wrapText="true" indent="0" shrinkToFit="false"/>
      <protection locked="true" hidden="false"/>
    </xf>
    <xf numFmtId="164" fontId="34" fillId="3" borderId="20" xfId="0" applyFont="true" applyBorder="true" applyAlignment="true" applyProtection="false">
      <alignment horizontal="center" vertical="center" textRotation="0" wrapText="false" indent="0" shrinkToFit="false"/>
      <protection locked="true" hidden="false"/>
    </xf>
    <xf numFmtId="177" fontId="34" fillId="3" borderId="20" xfId="0" applyFont="true" applyBorder="true" applyAlignment="true" applyProtection="false">
      <alignment horizontal="center" vertical="bottom" textRotation="0" wrapText="fals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9" fontId="35" fillId="3" borderId="32" xfId="0" applyFont="true" applyBorder="true" applyAlignment="true" applyProtection="false">
      <alignment horizontal="center" vertical="center" textRotation="0" wrapText="true" indent="0" shrinkToFit="false"/>
      <protection locked="true" hidden="false"/>
    </xf>
    <xf numFmtId="171" fontId="30" fillId="3" borderId="33" xfId="0" applyFont="true" applyBorder="true" applyAlignment="true" applyProtection="false">
      <alignment horizontal="center" vertical="center" textRotation="0" wrapText="true" indent="0" shrinkToFit="false"/>
      <protection locked="true" hidden="false"/>
    </xf>
    <xf numFmtId="177" fontId="34" fillId="3" borderId="33" xfId="0" applyFont="true" applyBorder="true" applyAlignment="true" applyProtection="false">
      <alignment horizontal="center" vertical="bottom" textRotation="0" wrapText="false" indent="0" shrinkToFit="false"/>
      <protection locked="true" hidden="false"/>
    </xf>
    <xf numFmtId="172" fontId="30" fillId="3" borderId="32" xfId="0" applyFont="true" applyBorder="true" applyAlignment="true" applyProtection="false">
      <alignment horizontal="center" vertical="center" textRotation="0" wrapText="true" indent="0" shrinkToFit="false"/>
      <protection locked="true" hidden="false"/>
    </xf>
    <xf numFmtId="164" fontId="34" fillId="3" borderId="34"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20" xfId="0" applyFont="true" applyBorder="true" applyAlignment="true" applyProtection="false">
      <alignment horizontal="center" vertical="center" textRotation="0" wrapText="true" indent="0" shrinkToFit="false"/>
      <protection locked="true" hidden="false"/>
    </xf>
    <xf numFmtId="171" fontId="30" fillId="3" borderId="20" xfId="0" applyFont="true" applyBorder="true" applyAlignment="true" applyProtection="false">
      <alignment horizontal="center" vertical="center" textRotation="0" wrapText="true" indent="0" shrinkToFit="false"/>
      <protection locked="true" hidden="false"/>
    </xf>
    <xf numFmtId="177" fontId="30" fillId="3" borderId="20" xfId="0" applyFont="true" applyBorder="true" applyAlignment="true" applyProtection="false">
      <alignment horizontal="center" vertical="center" textRotation="0" wrapText="true" indent="0" shrinkToFit="false"/>
      <protection locked="true" hidden="false"/>
    </xf>
    <xf numFmtId="177" fontId="34" fillId="3" borderId="20" xfId="0" applyFont="true" applyBorder="true" applyAlignment="true" applyProtection="false">
      <alignment horizontal="center" vertical="center" textRotation="0" wrapText="tru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72" fontId="35" fillId="3" borderId="20" xfId="0" applyFont="true" applyBorder="true" applyAlignment="true" applyProtection="false">
      <alignment horizontal="center" vertical="center" textRotation="0" wrapText="true" indent="0" shrinkToFit="false"/>
      <protection locked="true" hidden="false"/>
    </xf>
    <xf numFmtId="179" fontId="36" fillId="3" borderId="22" xfId="0" applyFont="true" applyBorder="true" applyAlignment="true" applyProtection="false">
      <alignment horizontal="center" vertical="bottom" textRotation="0" wrapText="true" indent="0" shrinkToFit="false"/>
      <protection locked="true" hidden="false"/>
    </xf>
    <xf numFmtId="179" fontId="34" fillId="3" borderId="20" xfId="0" applyFont="true" applyBorder="true" applyAlignment="true" applyProtection="false">
      <alignment horizontal="center"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6"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6" xfId="0" applyFont="true" applyBorder="true" applyAlignment="false" applyProtection="false">
      <alignment horizontal="general" vertical="bottom" textRotation="0" wrapText="false" indent="0" shrinkToFit="false"/>
      <protection locked="true" hidden="false"/>
    </xf>
    <xf numFmtId="164" fontId="34" fillId="3" borderId="29" xfId="0" applyFont="true" applyBorder="true" applyAlignment="true" applyProtection="false">
      <alignment horizontal="right" vertical="center" textRotation="0" wrapText="false" indent="0" shrinkToFit="false"/>
      <protection locked="true" hidden="false"/>
    </xf>
    <xf numFmtId="168" fontId="36" fillId="3" borderId="30"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20" xfId="0" applyFont="true" applyBorder="true" applyAlignment="false" applyProtection="false">
      <alignment horizontal="general" vertical="bottom" textRotation="0" wrapText="false" indent="0" shrinkToFit="false"/>
      <protection locked="true" hidden="false"/>
    </xf>
    <xf numFmtId="164" fontId="35" fillId="0" borderId="20" xfId="0" applyFont="true" applyBorder="true" applyAlignment="false" applyProtection="false">
      <alignment horizontal="general" vertical="bottom" textRotation="0" wrapText="false" indent="0" shrinkToFit="false"/>
      <protection locked="true" hidden="false"/>
    </xf>
    <xf numFmtId="171" fontId="30" fillId="0" borderId="20" xfId="0" applyFont="true" applyBorder="true" applyAlignment="false" applyProtection="false">
      <alignment horizontal="general" vertical="bottom" textRotation="0" wrapText="fals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7" xfId="0" applyFont="true" applyBorder="true" applyAlignment="true" applyProtection="false">
      <alignment horizontal="left" vertical="bottom" textRotation="0" wrapText="true" indent="7" shrinkToFit="false"/>
      <protection locked="true" hidden="false"/>
    </xf>
    <xf numFmtId="177" fontId="30" fillId="3" borderId="22" xfId="0" applyFont="true" applyBorder="true" applyAlignment="false" applyProtection="false">
      <alignment horizontal="general" vertical="bottom" textRotation="0" wrapText="false" indent="0" shrinkToFit="false"/>
      <protection locked="true" hidden="false"/>
    </xf>
    <xf numFmtId="177" fontId="30" fillId="3" borderId="20"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20"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5"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20"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7"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20" xfId="0" applyFont="true" applyBorder="true" applyAlignment="false" applyProtection="false">
      <alignment horizontal="general" vertical="bottom" textRotation="0" wrapText="false" indent="0" shrinkToFit="false"/>
      <protection locked="true" hidden="false"/>
    </xf>
    <xf numFmtId="171" fontId="30" fillId="3" borderId="20" xfId="0" applyFont="true" applyBorder="true" applyAlignment="false" applyProtection="false">
      <alignment horizontal="general" vertical="bottom" textRotation="0" wrapText="false" indent="0" shrinkToFit="false"/>
      <protection locked="true" hidden="false"/>
    </xf>
    <xf numFmtId="166" fontId="34" fillId="3" borderId="28" xfId="0" applyFont="true" applyBorder="true" applyAlignment="true" applyProtection="false">
      <alignment horizontal="right" vertical="center" textRotation="0" wrapText="true" indent="0" shrinkToFit="false"/>
      <protection locked="true" hidden="false"/>
    </xf>
    <xf numFmtId="177" fontId="30" fillId="0" borderId="21" xfId="0" applyFont="true" applyBorder="true" applyAlignment="false" applyProtection="false">
      <alignment horizontal="general" vertical="bottom" textRotation="0" wrapText="false" indent="0" shrinkToFit="false"/>
      <protection locked="true" hidden="false"/>
    </xf>
    <xf numFmtId="164" fontId="30" fillId="3" borderId="38" xfId="0" applyFont="true" applyBorder="true" applyAlignment="false" applyProtection="false">
      <alignment horizontal="general" vertical="bottom" textRotation="0" wrapText="false" indent="0" shrinkToFit="false"/>
      <protection locked="true" hidden="false"/>
    </xf>
    <xf numFmtId="172" fontId="30" fillId="3" borderId="39" xfId="0" applyFont="true" applyBorder="true" applyAlignment="false" applyProtection="false">
      <alignment horizontal="general" vertical="bottom" textRotation="0" wrapText="false" indent="0" shrinkToFit="false"/>
      <protection locked="true" hidden="false"/>
    </xf>
    <xf numFmtId="164" fontId="35" fillId="3" borderId="39" xfId="0" applyFont="true" applyBorder="true" applyAlignment="false" applyProtection="false">
      <alignment horizontal="general" vertical="bottom" textRotation="0" wrapText="false" indent="0" shrinkToFit="false"/>
      <protection locked="true" hidden="false"/>
    </xf>
    <xf numFmtId="171" fontId="30" fillId="3" borderId="39" xfId="0" applyFont="true" applyBorder="true" applyAlignment="false" applyProtection="false">
      <alignment horizontal="general" vertical="bottom" textRotation="0" wrapText="false" indent="0" shrinkToFit="false"/>
      <protection locked="true" hidden="false"/>
    </xf>
    <xf numFmtId="177" fontId="30" fillId="3" borderId="39" xfId="0" applyFont="true" applyBorder="true" applyAlignment="false" applyProtection="false">
      <alignment horizontal="general" vertical="bottom" textRotation="0" wrapText="false" indent="0" shrinkToFit="false"/>
      <protection locked="true" hidden="false"/>
    </xf>
    <xf numFmtId="179" fontId="30" fillId="3" borderId="39" xfId="0" applyFont="true" applyBorder="true" applyAlignment="true" applyProtection="false">
      <alignment horizontal="center" vertical="bottom" textRotation="0" wrapText="false" indent="0" shrinkToFit="false"/>
      <protection locked="true" hidden="false"/>
    </xf>
    <xf numFmtId="177" fontId="30" fillId="3" borderId="39" xfId="0" applyFont="true" applyBorder="true" applyAlignment="true" applyProtection="false">
      <alignment horizontal="center" vertical="bottom" textRotation="0" wrapText="false" indent="0" shrinkToFit="false"/>
      <protection locked="true" hidden="false"/>
    </xf>
    <xf numFmtId="171" fontId="30" fillId="3" borderId="39" xfId="0" applyFont="true" applyBorder="true" applyAlignment="true" applyProtection="false">
      <alignment horizontal="center" vertical="bottom" textRotation="0" wrapText="false" indent="0" shrinkToFit="false"/>
      <protection locked="true" hidden="false"/>
    </xf>
    <xf numFmtId="164" fontId="30" fillId="3" borderId="40"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20"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20"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1" xfId="21" applyFont="true" applyBorder="true" applyAlignment="true" applyProtection="false">
      <alignment horizontal="center" vertical="bottom" textRotation="0" wrapText="false" indent="0" shrinkToFit="false"/>
      <protection locked="true" hidden="false"/>
    </xf>
    <xf numFmtId="172" fontId="11" fillId="3" borderId="42"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7" xfId="21" applyFont="true" applyBorder="tru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20" xfId="0" applyFont="true" applyBorder="true" applyAlignment="true" applyProtection="false">
      <alignment horizontal="center" vertical="center" textRotation="0" wrapText="true" indent="0" shrinkToFit="false"/>
      <protection locked="true" hidden="false"/>
    </xf>
    <xf numFmtId="177" fontId="27" fillId="3" borderId="20"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false">
      <alignment horizontal="general" vertical="bottom" textRotation="0" wrapText="false" indent="0" shrinkToFit="false"/>
      <protection locked="true" hidden="false"/>
    </xf>
    <xf numFmtId="167"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7"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4" fontId="28" fillId="3" borderId="20" xfId="21" applyFont="true" applyBorder="true" applyAlignment="true" applyProtection="false">
      <alignment horizontal="center" vertical="bottom" textRotation="0" wrapText="false" indent="0" shrinkToFit="false"/>
      <protection locked="true" hidden="false"/>
    </xf>
    <xf numFmtId="177" fontId="28" fillId="5" borderId="20" xfId="21" applyFont="true" applyBorder="true" applyAlignment="true" applyProtection="false">
      <alignment horizontal="center" vertical="bottom" textRotation="0" wrapText="false" indent="0" shrinkToFit="false"/>
      <protection locked="true" hidden="false"/>
    </xf>
    <xf numFmtId="172" fontId="28" fillId="5" borderId="20" xfId="21" applyFont="true" applyBorder="true" applyAlignment="true" applyProtection="false">
      <alignment horizontal="center" vertical="bottom" textRotation="0" wrapText="false" indent="0" shrinkToFit="false"/>
      <protection locked="true" hidden="false"/>
    </xf>
    <xf numFmtId="177" fontId="28" fillId="3" borderId="31"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2" xfId="21" applyFont="true" applyBorder="true" applyAlignment="true" applyProtection="false">
      <alignment horizontal="center" vertical="center" textRotation="0" wrapText="true" indent="0" shrinkToFit="false"/>
      <protection locked="true" hidden="false"/>
    </xf>
    <xf numFmtId="178" fontId="30" fillId="3" borderId="31" xfId="21" applyFont="true" applyBorder="true" applyAlignment="true" applyProtection="false">
      <alignment horizontal="center" vertical="center" textRotation="0" wrapText="true" indent="0" shrinkToFit="false"/>
      <protection locked="true" hidden="false"/>
    </xf>
    <xf numFmtId="174" fontId="27" fillId="3" borderId="20" xfId="21" applyFont="true" applyBorder="true" applyAlignment="true" applyProtection="false">
      <alignment horizontal="center" vertical="center" textRotation="0" wrapText="true" indent="0" shrinkToFit="false"/>
      <protection locked="true" hidden="false"/>
    </xf>
    <xf numFmtId="177" fontId="27" fillId="5" borderId="20" xfId="21" applyFont="true" applyBorder="true" applyAlignment="true" applyProtection="false">
      <alignment horizontal="center" vertical="center" textRotation="0" wrapText="true" indent="0" shrinkToFit="false"/>
      <protection locked="true" hidden="false"/>
    </xf>
    <xf numFmtId="171" fontId="27" fillId="5" borderId="20"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9" xfId="21" applyFont="true" applyBorder="true" applyAlignment="false" applyProtection="false">
      <alignment horizontal="general" vertical="bottom" textRotation="0" wrapText="false" indent="0" shrinkToFit="false"/>
      <protection locked="true" hidden="false"/>
    </xf>
    <xf numFmtId="171" fontId="27" fillId="0" borderId="39" xfId="21" applyFont="true" applyBorder="true" applyAlignment="false" applyProtection="false">
      <alignment horizontal="general" vertical="bottom" textRotation="0" wrapText="false" indent="0" shrinkToFit="false"/>
      <protection locked="true" hidden="false"/>
    </xf>
    <xf numFmtId="178" fontId="27" fillId="0" borderId="39" xfId="21" applyFont="true" applyBorder="true" applyAlignment="false" applyProtection="false">
      <alignment horizontal="general" vertical="bottom" textRotation="0" wrapText="false" indent="0" shrinkToFit="false"/>
      <protection locked="true" hidden="false"/>
    </xf>
    <xf numFmtId="174" fontId="27"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true" applyProtection="false">
      <alignment horizontal="center" vertical="bottom" textRotation="0" wrapText="false" indent="0" shrinkToFit="false"/>
      <protection locked="true" hidden="false"/>
    </xf>
    <xf numFmtId="171" fontId="29" fillId="0" borderId="39"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7" fontId="28" fillId="3" borderId="20" xfId="21" applyFont="true" applyBorder="true" applyAlignment="true" applyProtection="false">
      <alignment horizontal="center" vertical="center" textRotation="0" wrapText="false" indent="0" shrinkToFit="false"/>
      <protection locked="true" hidden="false"/>
    </xf>
    <xf numFmtId="177" fontId="29"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false" applyProtection="false">
      <alignment horizontal="general" vertical="bottom" textRotation="0" wrapText="false" indent="0" shrinkToFit="false"/>
      <protection locked="true" hidden="false"/>
    </xf>
    <xf numFmtId="177" fontId="34" fillId="3" borderId="20" xfId="21" applyFont="true" applyBorder="true" applyAlignment="true" applyProtection="false">
      <alignment horizontal="center" vertical="bottom" textRotation="0" wrapText="false" indent="0" shrinkToFit="false"/>
      <protection locked="true" hidden="false"/>
    </xf>
    <xf numFmtId="177" fontId="34" fillId="3" borderId="31" xfId="21" applyFont="true" applyBorder="true" applyAlignment="true" applyProtection="false">
      <alignment horizontal="center" vertical="bottom" textRotation="0" wrapText="false" indent="0" shrinkToFit="false"/>
      <protection locked="true" hidden="false"/>
    </xf>
    <xf numFmtId="172" fontId="30" fillId="3" borderId="20" xfId="21" applyFont="true" applyBorder="true" applyAlignment="true" applyProtection="false">
      <alignment horizontal="center" vertical="center" textRotation="0" wrapText="true" indent="0" shrinkToFit="false"/>
      <protection locked="true" hidden="false"/>
    </xf>
    <xf numFmtId="177" fontId="28" fillId="3" borderId="20" xfId="21" applyFont="true" applyBorder="true" applyAlignment="true" applyProtection="false">
      <alignment horizontal="center" vertical="center" textRotation="0" wrapText="true" indent="0" shrinkToFit="false"/>
      <protection locked="true" hidden="false"/>
    </xf>
    <xf numFmtId="164" fontId="30" fillId="3" borderId="20" xfId="21" applyFont="true" applyBorder="true" applyAlignment="true" applyProtection="false">
      <alignment horizontal="center" vertical="center" textRotation="0" wrapText="true" indent="0" shrinkToFit="false"/>
      <protection locked="true" hidden="false"/>
    </xf>
    <xf numFmtId="177" fontId="30" fillId="3" borderId="20" xfId="21" applyFont="true" applyBorder="true" applyAlignment="true" applyProtection="false">
      <alignment horizontal="center" vertical="center" textRotation="0" wrapText="true" indent="0" shrinkToFit="false"/>
      <protection locked="true" hidden="false"/>
    </xf>
    <xf numFmtId="177" fontId="30" fillId="5" borderId="20" xfId="21" applyFont="true" applyBorder="true" applyAlignment="true" applyProtection="false">
      <alignment horizontal="center" vertical="center" textRotation="0" wrapText="true" indent="0" shrinkToFit="false"/>
      <protection locked="true" hidden="false"/>
    </xf>
    <xf numFmtId="178" fontId="30" fillId="5" borderId="20" xfId="21" applyFont="true" applyBorder="true" applyAlignment="true" applyProtection="false">
      <alignment horizontal="center" vertical="center" textRotation="0" wrapText="true" indent="0" shrinkToFit="false"/>
      <protection locked="true" hidden="false"/>
    </xf>
    <xf numFmtId="166" fontId="30" fillId="5" borderId="20"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20"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right" vertical="bottom" textRotation="0" wrapText="false" indent="0" shrinkToFit="false"/>
      <protection locked="true" hidden="false"/>
    </xf>
    <xf numFmtId="177" fontId="34" fillId="3" borderId="31" xfId="21" applyFont="true" applyBorder="true" applyAlignment="true" applyProtection="false">
      <alignment horizontal="center" vertical="center" textRotation="0" wrapText="true" indent="0" shrinkToFit="false"/>
      <protection locked="true" hidden="false"/>
    </xf>
    <xf numFmtId="177" fontId="34" fillId="3" borderId="20"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20" xfId="21" applyFont="true" applyBorder="true" applyAlignment="true" applyProtection="false">
      <alignment horizontal="center" vertical="center" textRotation="0" wrapText="true" indent="0" shrinkToFit="false"/>
      <protection locked="true" hidden="false"/>
    </xf>
    <xf numFmtId="164" fontId="27" fillId="0" borderId="39" xfId="21" applyFont="true" applyBorder="true" applyAlignment="false" applyProtection="false">
      <alignment horizontal="general" vertical="bottom" textRotation="0" wrapText="false" indent="0" shrinkToFit="false"/>
      <protection locked="true" hidden="false"/>
    </xf>
    <xf numFmtId="164" fontId="27" fillId="0" borderId="39" xfId="21" applyFont="true" applyBorder="true" applyAlignment="true" applyProtection="false">
      <alignment horizontal="left" vertical="bottom" textRotation="0" wrapText="false" indent="0" shrinkToFit="false"/>
      <protection locked="true" hidden="false"/>
    </xf>
    <xf numFmtId="166" fontId="27" fillId="0" borderId="39" xfId="21" applyFont="true" applyBorder="true" applyAlignment="true" applyProtection="false">
      <alignment horizontal="center" vertical="bottom" textRotation="0" wrapText="false" indent="0" shrinkToFit="false"/>
      <protection locked="true" hidden="false"/>
    </xf>
    <xf numFmtId="164" fontId="27" fillId="0" borderId="39" xfId="21" applyFont="true" applyBorder="true" applyAlignment="true" applyProtection="false">
      <alignment horizontal="center" vertical="bottom" textRotation="0" wrapText="false" indent="0" shrinkToFit="false"/>
      <protection locked="true" hidden="false"/>
    </xf>
    <xf numFmtId="177" fontId="27" fillId="0" borderId="39" xfId="21" applyFont="true" applyBorder="true" applyAlignment="true" applyProtection="false">
      <alignment horizontal="right" vertical="bottom" textRotation="0" wrapText="false" indent="0" shrinkToFit="false"/>
      <protection locked="true" hidden="false"/>
    </xf>
    <xf numFmtId="178" fontId="29" fillId="0" borderId="39" xfId="21" applyFont="true" applyBorder="true" applyAlignment="true" applyProtection="false">
      <alignment horizontal="center" vertical="bottom" textRotation="0" wrapText="false" indent="0" shrinkToFit="false"/>
      <protection locked="true" hidden="false"/>
    </xf>
    <xf numFmtId="177" fontId="30" fillId="0" borderId="39"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20" xfId="21" applyFont="true" applyBorder="true" applyAlignment="true" applyProtection="false">
      <alignment horizontal="center" vertical="bottom" textRotation="0" wrapText="false" indent="0" shrinkToFit="false"/>
      <protection locked="true" hidden="false"/>
    </xf>
    <xf numFmtId="172" fontId="30" fillId="0" borderId="39"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9"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3"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bottom" textRotation="0" wrapText="false" indent="0" shrinkToFit="false"/>
      <protection locked="true" hidden="true"/>
    </xf>
    <xf numFmtId="172" fontId="11" fillId="0" borderId="20"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center" textRotation="0" wrapText="false" indent="0" shrinkToFit="false"/>
      <protection locked="true" hidden="true"/>
    </xf>
    <xf numFmtId="166" fontId="11"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7"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20" xfId="0" applyFont="true" applyBorder="true" applyAlignment="true" applyProtection="true">
      <alignment horizontal="center" vertical="bottom" textRotation="0" wrapText="false" indent="0" shrinkToFit="false"/>
      <protection locked="true" hidden="true"/>
    </xf>
    <xf numFmtId="171"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409900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333908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333908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333908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409900</v>
      </c>
      <c r="D4" s="123" t="n">
        <f aca="false">SalesApr!$F$1</f>
        <v>33400</v>
      </c>
      <c r="E4" s="123" t="n">
        <f aca="false">SalesMay!$F$1</f>
        <v>32920</v>
      </c>
      <c r="F4" s="123" t="n">
        <f aca="false">SalesJun!$F$1</f>
        <v>35200</v>
      </c>
      <c r="G4" s="123" t="n">
        <f aca="false">SalesJul!$F$1</f>
        <v>33760</v>
      </c>
      <c r="H4" s="123" t="n">
        <f aca="false">SalesAug!$F$1</f>
        <v>36020</v>
      </c>
      <c r="I4" s="123" t="n">
        <f aca="false">SalesSep!$F$1</f>
        <v>33760</v>
      </c>
      <c r="J4" s="123" t="n">
        <f aca="false">SalesOct!$F$1</f>
        <v>35560</v>
      </c>
      <c r="K4" s="123" t="n">
        <f aca="false">SalesNov!$F$1</f>
        <v>35320</v>
      </c>
      <c r="L4" s="123" t="n">
        <f aca="false">SalesDec!$F$1</f>
        <v>32800</v>
      </c>
      <c r="M4" s="123" t="n">
        <f aca="false">SalesJan!$F$1</f>
        <v>35440</v>
      </c>
      <c r="N4" s="123" t="n">
        <f aca="false">SalesFeb!$F$1</f>
        <v>34360</v>
      </c>
      <c r="O4" s="123" t="n">
        <f aca="false">SalesMar!$F$1</f>
        <v>31360</v>
      </c>
      <c r="P4" s="130"/>
      <c r="R4" s="130"/>
      <c r="S4" s="130" t="s">
        <v>118</v>
      </c>
      <c r="T4" s="141" t="n">
        <f aca="false">SUM(D4:F4)</f>
        <v>101520</v>
      </c>
      <c r="U4" s="141" t="n">
        <f aca="false">SUM(G4:I4)</f>
        <v>103540</v>
      </c>
      <c r="V4" s="141" t="n">
        <f aca="false">SUM(J4:L4)</f>
        <v>103680</v>
      </c>
      <c r="W4" s="141" t="n">
        <f aca="false">SUM(M4:O4)</f>
        <v>101160</v>
      </c>
      <c r="X4" s="142" t="n">
        <f aca="false">SUM(T4:W4)</f>
        <v>409900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391360</v>
      </c>
      <c r="D9" s="152" t="n">
        <f aca="false">D4-D6-D7</f>
        <v>32800</v>
      </c>
      <c r="E9" s="152" t="n">
        <f aca="false">E4-E6-E7</f>
        <v>32200</v>
      </c>
      <c r="F9" s="152" t="n">
        <f aca="false">F4-F6-F7</f>
        <v>29840</v>
      </c>
      <c r="G9" s="152" t="n">
        <f aca="false">G4-G6-G7</f>
        <v>33040</v>
      </c>
      <c r="H9" s="152" t="n">
        <f aca="false">H4-H6-H7</f>
        <v>35480</v>
      </c>
      <c r="I9" s="152" t="n">
        <f aca="false">I4-I6-I7</f>
        <v>33520</v>
      </c>
      <c r="J9" s="152" t="n">
        <f aca="false">J4-J6-J7</f>
        <v>35080</v>
      </c>
      <c r="K9" s="152" t="n">
        <f aca="false">K4-K6-K7</f>
        <v>31480</v>
      </c>
      <c r="L9" s="152" t="n">
        <f aca="false">L4-L6-L7</f>
        <v>32320</v>
      </c>
      <c r="M9" s="152" t="n">
        <f aca="false">M4-M6-M7</f>
        <v>34840</v>
      </c>
      <c r="N9" s="152" t="n">
        <f aca="false">N4-N6-N7</f>
        <v>33700</v>
      </c>
      <c r="O9" s="152" t="n">
        <f aca="false">O4-O6-O7</f>
        <v>27060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333908</v>
      </c>
      <c r="D24" s="158" t="n">
        <f aca="false">D9-D22</f>
        <v>28288.75</v>
      </c>
      <c r="E24" s="158" t="n">
        <f aca="false">E9-E22</f>
        <v>28345</v>
      </c>
      <c r="F24" s="158" t="n">
        <f aca="false">F9-F22</f>
        <v>26143</v>
      </c>
      <c r="G24" s="158" t="n">
        <f aca="false">G9-G22</f>
        <v>25900.75</v>
      </c>
      <c r="H24" s="158" t="n">
        <f aca="false">H9-H22</f>
        <v>31614.75</v>
      </c>
      <c r="I24" s="158" t="n">
        <f aca="false">I9-I22</f>
        <v>28785</v>
      </c>
      <c r="J24" s="158" t="n">
        <f aca="false">J9-J22</f>
        <v>28554.25</v>
      </c>
      <c r="K24" s="158" t="n">
        <f aca="false">K9-K22</f>
        <v>28402</v>
      </c>
      <c r="L24" s="158" t="n">
        <f aca="false">L9-L22</f>
        <v>23348.5</v>
      </c>
      <c r="M24" s="158" t="n">
        <f aca="false">M9-M22</f>
        <v>30928.75</v>
      </c>
      <c r="N24" s="158" t="n">
        <f aca="false">N9-N22</f>
        <v>29963.5</v>
      </c>
      <c r="O24" s="158" t="n">
        <f aca="false">O9-O22</f>
        <v>23633.5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333908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120995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7934.76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204978.24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333908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321338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113454.8</v>
      </c>
      <c r="F9" s="171"/>
      <c r="G9" s="146"/>
    </row>
    <row r="10" customFormat="false" ht="12.75" hidden="false" customHeight="false" outlineLevel="0" collapsed="false">
      <c r="A10" s="130"/>
      <c r="B10" s="183" t="s">
        <v>172</v>
      </c>
      <c r="C10" s="184"/>
      <c r="D10" s="185"/>
      <c r="E10" s="186" t="n">
        <f aca="false">SUM(E8:E9)</f>
        <v>120995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5672.76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128929.76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128929.76</v>
      </c>
      <c r="F25" s="171"/>
      <c r="G25" s="146"/>
    </row>
    <row r="26" customFormat="false" ht="12.75" hidden="false" customHeight="false" outlineLevel="0" collapsed="false">
      <c r="A26" s="130"/>
      <c r="B26" s="176" t="s">
        <v>184</v>
      </c>
      <c r="C26" s="176"/>
      <c r="D26" s="205" t="n">
        <f aca="false">Admin!B21</f>
        <v>46783</v>
      </c>
      <c r="E26" s="178" t="n">
        <f aca="false">E25/2</f>
        <v>64464.88</v>
      </c>
      <c r="F26" s="171"/>
      <c r="G26" s="146"/>
    </row>
    <row r="27" customFormat="false" ht="12.75" hidden="false" customHeight="false" outlineLevel="0" collapsed="false">
      <c r="A27" s="130"/>
      <c r="B27" s="176" t="s">
        <v>184</v>
      </c>
      <c r="C27" s="176"/>
      <c r="D27" s="205" t="n">
        <f aca="false">Admin!B22</f>
        <v>46965</v>
      </c>
      <c r="E27" s="178" t="n">
        <f aca="false">E25/2</f>
        <v>64464.88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33400</v>
      </c>
      <c r="G1" s="343" t="n">
        <f aca="false">SUM(G4:G300)</f>
        <v>0</v>
      </c>
      <c r="H1" s="345" t="n">
        <f aca="false">SUM(H4:H300)</f>
        <v>0</v>
      </c>
      <c r="I1" s="346" t="n">
        <f aca="true">TODAY()</f>
        <v>46132</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384</v>
      </c>
    </row>
    <row r="5" customFormat="false" ht="12.75" hidden="false" customHeight="false" outlineLevel="0" collapsed="false">
      <c r="A5" s="355" t="n">
        <v>45750</v>
      </c>
      <c r="B5" s="334" t="s">
        <v>259</v>
      </c>
      <c r="F5" s="334" t="n">
        <v>360</v>
      </c>
      <c r="I5" s="339" t="n">
        <f aca="false">IF((F5&lt;&gt;0),IF((D5&gt;0)," ",(I$1-A5))," ")</f>
        <v>382</v>
      </c>
    </row>
    <row r="6" customFormat="false" ht="12.75" hidden="false" customHeight="false" outlineLevel="0" collapsed="false">
      <c r="A6" s="355" t="n">
        <v>45752</v>
      </c>
      <c r="B6" s="334" t="s">
        <v>260</v>
      </c>
      <c r="F6" s="334" t="n">
        <v>600</v>
      </c>
      <c r="I6" s="339" t="n">
        <f aca="false">IF((F6&lt;&gt;0),IF((D6&gt;0)," ",(I$1-A6))," ")</f>
        <v>380</v>
      </c>
    </row>
    <row r="7" customFormat="false" ht="12.75" hidden="false" customHeight="false" outlineLevel="0" collapsed="false">
      <c r="A7" s="355" t="n">
        <v>45755</v>
      </c>
      <c r="B7" s="334" t="s">
        <v>261</v>
      </c>
      <c r="F7" s="334" t="n">
        <v>480</v>
      </c>
      <c r="I7" s="339" t="n">
        <f aca="false">IF((F7&lt;&gt;0),IF((D7&gt;0)," ",(I$1-A7))," ")</f>
        <v>377</v>
      </c>
    </row>
    <row r="8" customFormat="false" ht="12.75" hidden="false" customHeight="false" outlineLevel="0" collapsed="false">
      <c r="A8" s="355" t="n">
        <v>45757</v>
      </c>
      <c r="B8" s="334" t="s">
        <v>262</v>
      </c>
      <c r="F8" s="334" t="n">
        <v>720</v>
      </c>
      <c r="I8" s="339" t="n">
        <f aca="false">IF((F8&lt;&gt;0),IF((D8&gt;0)," ",(I$1-A8))," ")</f>
        <v>375</v>
      </c>
    </row>
    <row r="9" customFormat="false" ht="12.75" hidden="false" customHeight="false" outlineLevel="0" collapsed="false">
      <c r="A9" s="355" t="n">
        <v>45762</v>
      </c>
      <c r="B9" s="334" t="s">
        <v>235</v>
      </c>
      <c r="F9" s="334" t="n">
        <v>25000</v>
      </c>
      <c r="I9" s="339" t="n">
        <f aca="false">IF((F9&lt;&gt;0),IF((D9&gt;0)," ",(I$1-A9))," ")</f>
        <v>370</v>
      </c>
    </row>
    <row r="10" customFormat="false" ht="12.75" hidden="false" customHeight="false" outlineLevel="0" collapsed="false">
      <c r="A10" s="355" t="n">
        <v>45765</v>
      </c>
      <c r="B10" s="334" t="s">
        <v>237</v>
      </c>
      <c r="F10" s="334" t="n">
        <v>2400</v>
      </c>
      <c r="I10" s="339" t="n">
        <f aca="false">IF((F10&lt;&gt;0),IF((D10&gt;0)," ",(I$1-A10))," ")</f>
        <v>367</v>
      </c>
    </row>
    <row r="11" customFormat="false" ht="12.75" hidden="false" customHeight="false" outlineLevel="0" collapsed="false">
      <c r="A11" s="355" t="n">
        <v>45767</v>
      </c>
      <c r="B11" s="334" t="s">
        <v>263</v>
      </c>
      <c r="F11" s="334" t="n">
        <v>1800</v>
      </c>
      <c r="I11" s="339" t="n">
        <f aca="false">IF((F11&lt;&gt;0),IF((D11&gt;0)," ",(I$1-A11))," ")</f>
        <v>365</v>
      </c>
    </row>
    <row r="12" customFormat="false" ht="12.75" hidden="false" customHeight="false" outlineLevel="0" collapsed="false">
      <c r="A12" s="355" t="n">
        <v>45775</v>
      </c>
      <c r="B12" s="334" t="s">
        <v>264</v>
      </c>
      <c r="F12" s="334" t="n">
        <v>840</v>
      </c>
      <c r="I12" s="339" t="n">
        <f aca="false">IF((F12&lt;&gt;0),IF((D12&gt;0)," ",(I$1-A12))," ")</f>
        <v>357</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46132</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384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384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384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384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384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384</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384</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382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382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380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380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380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377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375</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375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375</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373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371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371</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371</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370</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370</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367</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365</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365</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364</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363</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360</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360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357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355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32920</v>
      </c>
      <c r="G1" s="343" t="n">
        <f aca="false">SUM(G4:G300)</f>
        <v>0</v>
      </c>
      <c r="H1" s="345" t="n">
        <f aca="false">SUM(H4:H300)</f>
        <v>0</v>
      </c>
      <c r="I1" s="346" t="n">
        <f aca="true">TODAY()</f>
        <v>46132</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352</v>
      </c>
    </row>
    <row r="5" customFormat="false" ht="12.75" hidden="false" customHeight="false" outlineLevel="0" collapsed="false">
      <c r="A5" s="355" t="n">
        <v>45782</v>
      </c>
      <c r="B5" s="334" t="s">
        <v>260</v>
      </c>
      <c r="F5" s="334" t="n">
        <v>600</v>
      </c>
      <c r="I5" s="339" t="n">
        <f aca="false">IF((F5&lt;&gt;0),IF((D5&gt;0)," ",(I$1-A5))," ")</f>
        <v>350</v>
      </c>
    </row>
    <row r="6" customFormat="false" ht="12.75" hidden="false" customHeight="false" outlineLevel="0" collapsed="false">
      <c r="A6" s="355" t="n">
        <v>45785</v>
      </c>
      <c r="B6" s="334" t="s">
        <v>261</v>
      </c>
      <c r="F6" s="334" t="n">
        <v>480</v>
      </c>
      <c r="I6" s="339" t="n">
        <f aca="false">IF((F6&lt;&gt;0),IF((D6&gt;0)," ",(I$1-A6))," ")</f>
        <v>347</v>
      </c>
    </row>
    <row r="7" customFormat="false" ht="12.75" hidden="false" customHeight="false" outlineLevel="0" collapsed="false">
      <c r="A7" s="355" t="n">
        <v>45787</v>
      </c>
      <c r="B7" s="334" t="s">
        <v>262</v>
      </c>
      <c r="F7" s="334" t="n">
        <v>720</v>
      </c>
      <c r="I7" s="339" t="n">
        <f aca="false">IF((F7&lt;&gt;0),IF((D7&gt;0)," ",(I$1-A7))," ")</f>
        <v>345</v>
      </c>
    </row>
    <row r="8" customFormat="false" ht="12.75" hidden="false" customHeight="false" outlineLevel="0" collapsed="false">
      <c r="A8" s="355" t="n">
        <v>45789</v>
      </c>
      <c r="B8" s="334" t="s">
        <v>341</v>
      </c>
      <c r="F8" s="334" t="n">
        <v>960</v>
      </c>
      <c r="I8" s="339" t="n">
        <f aca="false">IF((F8&lt;&gt;0),IF((D8&gt;0)," ",(I$1-A8))," ")</f>
        <v>343</v>
      </c>
    </row>
    <row r="9" customFormat="false" ht="12.75" hidden="false" customHeight="false" outlineLevel="0" collapsed="false">
      <c r="A9" s="355" t="n">
        <v>45792</v>
      </c>
      <c r="B9" s="334" t="s">
        <v>235</v>
      </c>
      <c r="F9" s="334" t="n">
        <v>25000</v>
      </c>
      <c r="I9" s="339" t="n">
        <f aca="false">IF((F9&lt;&gt;0),IF((D9&gt;0)," ",(I$1-A9))," ")</f>
        <v>340</v>
      </c>
    </row>
    <row r="10" customFormat="false" ht="12.75" hidden="false" customHeight="false" outlineLevel="0" collapsed="false">
      <c r="A10" s="355" t="n">
        <v>45793</v>
      </c>
      <c r="B10" s="334" t="s">
        <v>342</v>
      </c>
      <c r="F10" s="334" t="n">
        <v>1200</v>
      </c>
      <c r="I10" s="339" t="n">
        <f aca="false">IF((F10&lt;&gt;0),IF((D10&gt;0)," ",(I$1-A10))," ")</f>
        <v>339</v>
      </c>
    </row>
    <row r="11" customFormat="false" ht="12.75" hidden="false" customHeight="false" outlineLevel="0" collapsed="false">
      <c r="A11" s="355" t="n">
        <v>45795</v>
      </c>
      <c r="B11" s="334" t="s">
        <v>237</v>
      </c>
      <c r="F11" s="334" t="n">
        <v>2400</v>
      </c>
      <c r="I11" s="339" t="n">
        <f aca="false">IF((F11&lt;&gt;0),IF((D11&gt;0)," ",(I$1-A11))," ")</f>
        <v>337</v>
      </c>
    </row>
    <row r="12" customFormat="false" ht="12.75" hidden="false" customHeight="false" outlineLevel="0" collapsed="false">
      <c r="A12" s="355" t="n">
        <v>45802</v>
      </c>
      <c r="B12" s="334" t="s">
        <v>343</v>
      </c>
      <c r="F12" s="334" t="n">
        <v>1200</v>
      </c>
      <c r="I12" s="339" t="n">
        <f aca="false">IF((F12&lt;&gt;0),IF((D12&gt;0)," ",(I$1-A12))," ")</f>
        <v>330</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46132</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354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354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354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354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354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354</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352</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352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350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350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349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347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347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345</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345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343</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341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341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340</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340</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340</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340</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339</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337</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335</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335</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335</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334</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333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333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330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330</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327</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324</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35200</v>
      </c>
      <c r="G1" s="343" t="n">
        <f aca="false">SUM(G4:G300)</f>
        <v>0</v>
      </c>
      <c r="H1" s="345" t="n">
        <f aca="false">SUM(H4:H300)</f>
        <v>0</v>
      </c>
      <c r="I1" s="346" t="n">
        <f aca="true">TODAY()</f>
        <v>46132</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321</v>
      </c>
    </row>
    <row r="5" customFormat="false" ht="12.75" hidden="false" customHeight="false" outlineLevel="0" collapsed="false">
      <c r="A5" s="355" t="n">
        <v>45813</v>
      </c>
      <c r="B5" s="334" t="s">
        <v>260</v>
      </c>
      <c r="F5" s="334" t="n">
        <v>600</v>
      </c>
      <c r="I5" s="339" t="n">
        <f aca="false">IF((F5&lt;&gt;0),IF((D5&gt;0)," ",(I$1-A5))," ")</f>
        <v>319</v>
      </c>
    </row>
    <row r="6" customFormat="false" ht="12.75" hidden="false" customHeight="false" outlineLevel="0" collapsed="false">
      <c r="A6" s="355" t="n">
        <v>45816</v>
      </c>
      <c r="B6" s="334" t="s">
        <v>261</v>
      </c>
      <c r="F6" s="334" t="n">
        <v>480</v>
      </c>
      <c r="I6" s="339" t="n">
        <f aca="false">IF((F6&lt;&gt;0),IF((D6&gt;0)," ",(I$1-A6))," ")</f>
        <v>316</v>
      </c>
    </row>
    <row r="7" customFormat="false" ht="12.75" hidden="false" customHeight="false" outlineLevel="0" collapsed="false">
      <c r="A7" s="355" t="n">
        <v>45818</v>
      </c>
      <c r="B7" s="334" t="s">
        <v>262</v>
      </c>
      <c r="F7" s="334" t="n">
        <v>720</v>
      </c>
      <c r="I7" s="339" t="n">
        <f aca="false">IF((F7&lt;&gt;0),IF((D7&gt;0)," ",(I$1-A7))," ")</f>
        <v>314</v>
      </c>
    </row>
    <row r="8" customFormat="false" ht="12.75" hidden="false" customHeight="false" outlineLevel="0" collapsed="false">
      <c r="A8" s="355" t="n">
        <v>45823</v>
      </c>
      <c r="B8" s="334" t="s">
        <v>235</v>
      </c>
      <c r="F8" s="334" t="n">
        <v>25000</v>
      </c>
      <c r="I8" s="339" t="n">
        <f aca="false">IF((F8&lt;&gt;0),IF((D8&gt;0)," ",(I$1-A8))," ")</f>
        <v>309</v>
      </c>
    </row>
    <row r="9" customFormat="false" ht="12.75" hidden="false" customHeight="false" outlineLevel="0" collapsed="false">
      <c r="A9" s="355" t="n">
        <v>45826</v>
      </c>
      <c r="B9" s="334" t="s">
        <v>237</v>
      </c>
      <c r="F9" s="334" t="n">
        <v>2400</v>
      </c>
      <c r="I9" s="339" t="n">
        <f aca="false">IF((F9&lt;&gt;0),IF((D9&gt;0)," ",(I$1-A9))," ")</f>
        <v>306</v>
      </c>
    </row>
    <row r="10" customFormat="false" ht="12.75" hidden="false" customHeight="false" outlineLevel="0" collapsed="false">
      <c r="A10" s="355" t="n">
        <v>45828</v>
      </c>
      <c r="B10" s="334" t="s">
        <v>263</v>
      </c>
      <c r="F10" s="334" t="n">
        <v>1800</v>
      </c>
      <c r="I10" s="339" t="n">
        <f aca="false">IF((F10&lt;&gt;0),IF((D10&gt;0)," ",(I$1-A10))," ")</f>
        <v>304</v>
      </c>
    </row>
    <row r="11" customFormat="false" ht="12.75" hidden="false" customHeight="false" outlineLevel="0" collapsed="false">
      <c r="A11" s="355" t="n">
        <v>45828</v>
      </c>
      <c r="B11" s="334" t="s">
        <v>238</v>
      </c>
      <c r="F11" s="334" t="n">
        <v>2400</v>
      </c>
      <c r="I11" s="339" t="n">
        <f aca="false">IF((F11&lt;&gt;0),IF((D11&gt;0)," ",(I$1-A11))," ")</f>
        <v>304</v>
      </c>
    </row>
    <row r="12" customFormat="false" ht="12.75" hidden="false" customHeight="false" outlineLevel="0" collapsed="false">
      <c r="A12" s="355" t="n">
        <v>45830</v>
      </c>
      <c r="B12" s="334" t="s">
        <v>356</v>
      </c>
      <c r="F12" s="334" t="n">
        <v>1440</v>
      </c>
      <c r="I12" s="339" t="n">
        <f aca="false">IF((F12&lt;&gt;0),IF((D12&gt;0)," ",(I$1-A12))," ")</f>
        <v>302</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46132</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323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323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323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323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323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323</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321</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321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319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319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319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316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314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314</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312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310</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310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310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309</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309</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309</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306</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306</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306</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304</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303</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302</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299</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299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299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296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294</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294</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46132</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293</v>
      </c>
    </row>
    <row r="5" customFormat="false" ht="12.75" hidden="false" customHeight="false" outlineLevel="0" collapsed="false">
      <c r="A5" s="355" t="n">
        <v>45841</v>
      </c>
      <c r="B5" s="334" t="s">
        <v>259</v>
      </c>
      <c r="F5" s="334" t="n">
        <v>360</v>
      </c>
      <c r="I5" s="339" t="n">
        <f aca="false">IF((F5&lt;&gt;0),IF((D5&gt;0)," ",(I$1-A5))," ")</f>
        <v>291</v>
      </c>
    </row>
    <row r="6" customFormat="false" ht="12.75" hidden="false" customHeight="false" outlineLevel="0" collapsed="false">
      <c r="A6" s="355" t="n">
        <v>45843</v>
      </c>
      <c r="B6" s="334" t="s">
        <v>260</v>
      </c>
      <c r="F6" s="334" t="n">
        <v>600</v>
      </c>
      <c r="I6" s="339" t="n">
        <f aca="false">IF((F6&lt;&gt;0),IF((D6&gt;0)," ",(I$1-A6))," ")</f>
        <v>289</v>
      </c>
    </row>
    <row r="7" customFormat="false" ht="12.75" hidden="false" customHeight="false" outlineLevel="0" collapsed="false">
      <c r="A7" s="355" t="n">
        <v>45846</v>
      </c>
      <c r="B7" s="334" t="s">
        <v>261</v>
      </c>
      <c r="F7" s="334" t="n">
        <v>480</v>
      </c>
      <c r="I7" s="339" t="n">
        <f aca="false">IF((F7&lt;&gt;0),IF((D7&gt;0)," ",(I$1-A7))," ")</f>
        <v>286</v>
      </c>
    </row>
    <row r="8" customFormat="false" ht="12.75" hidden="false" customHeight="false" outlineLevel="0" collapsed="false">
      <c r="A8" s="355" t="n">
        <v>45848</v>
      </c>
      <c r="B8" s="334" t="s">
        <v>262</v>
      </c>
      <c r="F8" s="334" t="n">
        <v>720</v>
      </c>
      <c r="I8" s="339" t="n">
        <f aca="false">IF((F8&lt;&gt;0),IF((D8&gt;0)," ",(I$1-A8))," ")</f>
        <v>284</v>
      </c>
    </row>
    <row r="9" customFormat="false" ht="12.75" hidden="false" customHeight="false" outlineLevel="0" collapsed="false">
      <c r="A9" s="355" t="n">
        <v>45852</v>
      </c>
      <c r="B9" s="334" t="s">
        <v>365</v>
      </c>
      <c r="F9" s="334" t="n">
        <v>2160</v>
      </c>
      <c r="I9" s="339" t="n">
        <f aca="false">IF((F9&lt;&gt;0),IF((D9&gt;0)," ",(I$1-A9))," ")</f>
        <v>280</v>
      </c>
    </row>
    <row r="10" customFormat="false" ht="12.75" hidden="false" customHeight="false" outlineLevel="0" collapsed="false">
      <c r="A10" s="355" t="n">
        <v>45853</v>
      </c>
      <c r="B10" s="334" t="s">
        <v>235</v>
      </c>
      <c r="F10" s="334" t="n">
        <v>25000</v>
      </c>
      <c r="I10" s="339" t="n">
        <f aca="false">IF((F10&lt;&gt;0),IF((D10&gt;0)," ",(I$1-A10))," ")</f>
        <v>279</v>
      </c>
    </row>
    <row r="11" customFormat="false" ht="12.75" hidden="false" customHeight="false" outlineLevel="0" collapsed="false">
      <c r="A11" s="355" t="n">
        <v>45856</v>
      </c>
      <c r="B11" s="334" t="s">
        <v>237</v>
      </c>
      <c r="F11" s="334" t="n">
        <v>2400</v>
      </c>
      <c r="I11" s="339" t="n">
        <f aca="false">IF((F11&lt;&gt;0),IF((D11&gt;0)," ",(I$1-A11))," ")</f>
        <v>276</v>
      </c>
    </row>
    <row r="12" customFormat="false" ht="12.75" hidden="false" customHeight="false" outlineLevel="0" collapsed="false">
      <c r="A12" s="355" t="n">
        <v>45866</v>
      </c>
      <c r="B12" s="334" t="s">
        <v>264</v>
      </c>
      <c r="F12" s="334" t="n">
        <v>840</v>
      </c>
      <c r="I12" s="339" t="n">
        <f aca="false">IF((F12&lt;&gt;0),IF((D12&gt;0)," ",(I$1-A12))," ")</f>
        <v>266</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46132</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293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293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293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293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293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293</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293</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291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291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289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289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289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286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284</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284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284</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282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282</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280</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280</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279</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279</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279</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278</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276</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274</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274</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274</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273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272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269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269</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266</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263</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36020</v>
      </c>
      <c r="G1" s="343" t="n">
        <f aca="false">SUM(G4:G300)</f>
        <v>0</v>
      </c>
      <c r="H1" s="345" t="n">
        <f aca="false">SUM(H4:H300)</f>
        <v>0</v>
      </c>
      <c r="I1" s="346" t="n">
        <f aca="true">TODAY()</f>
        <v>46132</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262</v>
      </c>
    </row>
    <row r="5" customFormat="false" ht="12.75" hidden="false" customHeight="false" outlineLevel="0" collapsed="false">
      <c r="A5" s="355" t="n">
        <v>45872</v>
      </c>
      <c r="B5" s="334" t="s">
        <v>259</v>
      </c>
      <c r="F5" s="334" t="n">
        <v>360</v>
      </c>
      <c r="I5" s="339" t="n">
        <f aca="false">IF((F5&lt;&gt;0),IF((D5&gt;0)," ",(I$1-A5))," ")</f>
        <v>260</v>
      </c>
    </row>
    <row r="6" customFormat="false" ht="12.75" hidden="false" customHeight="false" outlineLevel="0" collapsed="false">
      <c r="A6" s="355" t="n">
        <v>45874</v>
      </c>
      <c r="B6" s="334" t="s">
        <v>260</v>
      </c>
      <c r="F6" s="334" t="n">
        <v>600</v>
      </c>
      <c r="I6" s="339" t="n">
        <f aca="false">IF((F6&lt;&gt;0),IF((D6&gt;0)," ",(I$1-A6))," ")</f>
        <v>258</v>
      </c>
    </row>
    <row r="7" customFormat="false" ht="12.75" hidden="false" customHeight="false" outlineLevel="0" collapsed="false">
      <c r="A7" s="355" t="n">
        <v>45877</v>
      </c>
      <c r="B7" s="334" t="s">
        <v>261</v>
      </c>
      <c r="F7" s="334" t="n">
        <v>480</v>
      </c>
      <c r="I7" s="339" t="n">
        <f aca="false">IF((F7&lt;&gt;0),IF((D7&gt;0)," ",(I$1-A7))," ")</f>
        <v>255</v>
      </c>
    </row>
    <row r="8" customFormat="false" ht="12.75" hidden="false" customHeight="false" outlineLevel="0" collapsed="false">
      <c r="A8" s="355" t="n">
        <v>45879</v>
      </c>
      <c r="B8" s="334" t="s">
        <v>262</v>
      </c>
      <c r="F8" s="334" t="n">
        <v>720</v>
      </c>
      <c r="I8" s="339" t="n">
        <f aca="false">IF((F8&lt;&gt;0),IF((D8&gt;0)," ",(I$1-A8))," ")</f>
        <v>253</v>
      </c>
    </row>
    <row r="9" customFormat="false" ht="12.75" hidden="false" customHeight="false" outlineLevel="0" collapsed="false">
      <c r="A9" s="355" t="n">
        <v>45881</v>
      </c>
      <c r="B9" s="334" t="s">
        <v>341</v>
      </c>
      <c r="F9" s="334" t="n">
        <v>960</v>
      </c>
      <c r="I9" s="339" t="n">
        <f aca="false">IF((F9&lt;&gt;0),IF((D9&gt;0)," ",(I$1-A9))," ")</f>
        <v>251</v>
      </c>
    </row>
    <row r="10" customFormat="false" ht="12.75" hidden="false" customHeight="false" outlineLevel="0" collapsed="false">
      <c r="A10" s="355" t="n">
        <v>45884</v>
      </c>
      <c r="B10" s="334" t="s">
        <v>235</v>
      </c>
      <c r="F10" s="334" t="n">
        <v>25000</v>
      </c>
      <c r="I10" s="339" t="n">
        <f aca="false">IF((F10&lt;&gt;0),IF((D10&gt;0)," ",(I$1-A10))," ")</f>
        <v>248</v>
      </c>
    </row>
    <row r="11" customFormat="false" ht="12.75" hidden="false" customHeight="false" outlineLevel="0" collapsed="false">
      <c r="A11" s="355" t="n">
        <v>45887</v>
      </c>
      <c r="B11" s="334" t="s">
        <v>237</v>
      </c>
      <c r="F11" s="334" t="n">
        <v>2400</v>
      </c>
      <c r="I11" s="339" t="n">
        <f aca="false">IF((F11&lt;&gt;0),IF((D11&gt;0)," ",(I$1-A11))," ")</f>
        <v>245</v>
      </c>
    </row>
    <row r="12" customFormat="false" ht="12.75" hidden="false" customHeight="false" outlineLevel="0" collapsed="false">
      <c r="A12" s="355" t="n">
        <v>45889</v>
      </c>
      <c r="B12" s="334" t="s">
        <v>263</v>
      </c>
      <c r="F12" s="334" t="n">
        <v>1800</v>
      </c>
      <c r="I12" s="339" t="n">
        <f aca="false">IF((F12&lt;&gt;0),IF((D12&gt;0)," ",(I$1-A12))," ")</f>
        <v>243</v>
      </c>
    </row>
    <row r="13" customFormat="false" ht="12.75" hidden="false" customHeight="false" outlineLevel="0" collapsed="false">
      <c r="A13" s="355" t="n">
        <v>45894</v>
      </c>
      <c r="B13" s="334" t="s">
        <v>343</v>
      </c>
      <c r="F13" s="334" t="n">
        <v>1200</v>
      </c>
      <c r="I13" s="339" t="n">
        <f aca="false">IF((F13&lt;&gt;0),IF((D13&gt;0)," ",(I$1-A13))," ")</f>
        <v>238</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46132</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262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262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262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262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262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262</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260</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260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258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258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258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257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255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253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251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249</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249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249</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248</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248</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248</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245</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245</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243</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243</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243</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242</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241</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238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238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235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232</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46132</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229</v>
      </c>
    </row>
    <row r="5" customFormat="false" ht="12.75" hidden="false" customHeight="false" outlineLevel="0" collapsed="false">
      <c r="A5" s="355" t="n">
        <v>45905</v>
      </c>
      <c r="B5" s="334" t="s">
        <v>260</v>
      </c>
      <c r="F5" s="334" t="n">
        <v>600</v>
      </c>
      <c r="I5" s="339" t="n">
        <f aca="false">IF((F5&lt;&gt;0),IF((D5&gt;0)," ",(I$1-A5))," ")</f>
        <v>227</v>
      </c>
    </row>
    <row r="6" customFormat="false" ht="12.75" hidden="false" customHeight="false" outlineLevel="0" collapsed="false">
      <c r="A6" s="355" t="n">
        <v>45908</v>
      </c>
      <c r="B6" s="334" t="s">
        <v>261</v>
      </c>
      <c r="F6" s="334" t="n">
        <v>480</v>
      </c>
      <c r="I6" s="339" t="n">
        <f aca="false">IF((F6&lt;&gt;0),IF((D6&gt;0)," ",(I$1-A6))," ")</f>
        <v>224</v>
      </c>
    </row>
    <row r="7" customFormat="false" ht="12.75" hidden="false" customHeight="false" outlineLevel="0" collapsed="false">
      <c r="A7" s="355" t="n">
        <v>45910</v>
      </c>
      <c r="B7" s="334" t="s">
        <v>262</v>
      </c>
      <c r="F7" s="334" t="n">
        <v>720</v>
      </c>
      <c r="I7" s="339" t="n">
        <f aca="false">IF((F7&lt;&gt;0),IF((D7&gt;0)," ",(I$1-A7))," ")</f>
        <v>222</v>
      </c>
    </row>
    <row r="8" customFormat="false" ht="12.75" hidden="false" customHeight="false" outlineLevel="0" collapsed="false">
      <c r="A8" s="355" t="n">
        <v>45915</v>
      </c>
      <c r="B8" s="334" t="s">
        <v>235</v>
      </c>
      <c r="F8" s="334" t="n">
        <v>25000</v>
      </c>
      <c r="I8" s="339" t="n">
        <f aca="false">IF((F8&lt;&gt;0),IF((D8&gt;0)," ",(I$1-A8))," ")</f>
        <v>217</v>
      </c>
    </row>
    <row r="9" customFormat="false" ht="12.75" hidden="false" customHeight="false" outlineLevel="0" collapsed="false">
      <c r="A9" s="355" t="n">
        <v>45916</v>
      </c>
      <c r="B9" s="334" t="s">
        <v>342</v>
      </c>
      <c r="F9" s="334" t="n">
        <v>1200</v>
      </c>
      <c r="I9" s="339" t="n">
        <f aca="false">IF((F9&lt;&gt;0),IF((D9&gt;0)," ",(I$1-A9))," ")</f>
        <v>216</v>
      </c>
    </row>
    <row r="10" customFormat="false" ht="12.75" hidden="false" customHeight="false" outlineLevel="0" collapsed="false">
      <c r="A10" s="355" t="n">
        <v>45918</v>
      </c>
      <c r="B10" s="334" t="s">
        <v>237</v>
      </c>
      <c r="F10" s="334" t="n">
        <v>2400</v>
      </c>
      <c r="I10" s="339" t="n">
        <f aca="false">IF((F10&lt;&gt;0),IF((D10&gt;0)," ",(I$1-A10))," ")</f>
        <v>214</v>
      </c>
    </row>
    <row r="11" customFormat="false" ht="12.75" hidden="false" customHeight="false" outlineLevel="0" collapsed="false">
      <c r="A11" s="355" t="n">
        <v>45920</v>
      </c>
      <c r="B11" s="334" t="s">
        <v>375</v>
      </c>
      <c r="F11" s="334" t="n">
        <v>960</v>
      </c>
      <c r="I11" s="339" t="n">
        <f aca="false">IF((F11&lt;&gt;0),IF((D11&gt;0)," ",(I$1-A11))," ")</f>
        <v>212</v>
      </c>
    </row>
    <row r="12" customFormat="false" ht="12.75" hidden="false" customHeight="false" outlineLevel="0" collapsed="false">
      <c r="A12" s="355" t="n">
        <v>45922</v>
      </c>
      <c r="B12" s="334" t="s">
        <v>356</v>
      </c>
      <c r="F12" s="334" t="n">
        <v>1440</v>
      </c>
      <c r="I12" s="339" t="n">
        <f aca="false">IF((F12&lt;&gt;0),IF((D12&gt;0)," ",(I$1-A12))," ")</f>
        <v>210</v>
      </c>
    </row>
    <row r="13" customFormat="false" ht="12.75" hidden="false" customHeight="false" outlineLevel="0" collapsed="false">
      <c r="A13" s="355" t="n">
        <v>45925</v>
      </c>
      <c r="B13" s="334" t="s">
        <v>376</v>
      </c>
      <c r="F13" s="334" t="n">
        <v>600</v>
      </c>
      <c r="I13" s="339" t="n">
        <f aca="false">IF((F13&lt;&gt;0),IF((D13&gt;0)," ",(I$1-A13))," ")</f>
        <v>207</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46132</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231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231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231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231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231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231</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229</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229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227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227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224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224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222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222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220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218</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218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217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217</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217</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216</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214</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214</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212</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211</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210</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210</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207</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207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207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204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202</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202</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35560</v>
      </c>
      <c r="G1" s="343" t="n">
        <f aca="false">SUM(G4:G300)</f>
        <v>0</v>
      </c>
      <c r="H1" s="345" t="n">
        <f aca="false">SUM(H4:H300)</f>
        <v>0</v>
      </c>
      <c r="I1" s="346" t="n">
        <f aca="true">TODAY()</f>
        <v>46132</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201</v>
      </c>
    </row>
    <row r="5" customFormat="false" ht="12.75" hidden="false" customHeight="false" outlineLevel="0" collapsed="false">
      <c r="A5" s="355" t="n">
        <v>45933</v>
      </c>
      <c r="B5" s="334" t="s">
        <v>259</v>
      </c>
      <c r="F5" s="334" t="n">
        <v>360</v>
      </c>
      <c r="I5" s="339" t="n">
        <f aca="false">IF((F5&lt;&gt;0),IF((D5&gt;0)," ",(I$1-A5))," ")</f>
        <v>199</v>
      </c>
    </row>
    <row r="6" customFormat="false" ht="12.75" hidden="false" customHeight="false" outlineLevel="0" collapsed="false">
      <c r="A6" s="355" t="n">
        <v>45935</v>
      </c>
      <c r="B6" s="334" t="s">
        <v>260</v>
      </c>
      <c r="F6" s="334" t="n">
        <v>600</v>
      </c>
      <c r="I6" s="339" t="n">
        <f aca="false">IF((F6&lt;&gt;0),IF((D6&gt;0)," ",(I$1-A6))," ")</f>
        <v>197</v>
      </c>
    </row>
    <row r="7" customFormat="false" ht="12.75" hidden="false" customHeight="false" outlineLevel="0" collapsed="false">
      <c r="A7" s="355" t="n">
        <v>45938</v>
      </c>
      <c r="B7" s="334" t="s">
        <v>261</v>
      </c>
      <c r="F7" s="334" t="n">
        <v>480</v>
      </c>
      <c r="I7" s="339" t="n">
        <f aca="false">IF((F7&lt;&gt;0),IF((D7&gt;0)," ",(I$1-A7))," ")</f>
        <v>194</v>
      </c>
    </row>
    <row r="8" customFormat="false" ht="12.75" hidden="false" customHeight="false" outlineLevel="0" collapsed="false">
      <c r="A8" s="355" t="n">
        <v>45940</v>
      </c>
      <c r="B8" s="334" t="s">
        <v>262</v>
      </c>
      <c r="F8" s="334" t="n">
        <v>720</v>
      </c>
      <c r="I8" s="339" t="n">
        <f aca="false">IF((F8&lt;&gt;0),IF((D8&gt;0)," ",(I$1-A8))," ")</f>
        <v>192</v>
      </c>
    </row>
    <row r="9" customFormat="false" ht="12.75" hidden="false" customHeight="false" outlineLevel="0" collapsed="false">
      <c r="A9" s="355" t="n">
        <v>45944</v>
      </c>
      <c r="B9" s="334" t="s">
        <v>365</v>
      </c>
      <c r="F9" s="334" t="n">
        <v>2160</v>
      </c>
      <c r="I9" s="339" t="n">
        <f aca="false">IF((F9&lt;&gt;0),IF((D9&gt;0)," ",(I$1-A9))," ")</f>
        <v>188</v>
      </c>
    </row>
    <row r="10" customFormat="false" ht="12.75" hidden="false" customHeight="false" outlineLevel="0" collapsed="false">
      <c r="A10" s="355" t="n">
        <v>45945</v>
      </c>
      <c r="B10" s="334" t="s">
        <v>235</v>
      </c>
      <c r="F10" s="334" t="n">
        <v>25000</v>
      </c>
      <c r="I10" s="339" t="n">
        <f aca="false">IF((F10&lt;&gt;0),IF((D10&gt;0)," ",(I$1-A10))," ")</f>
        <v>187</v>
      </c>
    </row>
    <row r="11" customFormat="false" ht="12.75" hidden="false" customHeight="false" outlineLevel="0" collapsed="false">
      <c r="A11" s="355" t="n">
        <v>45948</v>
      </c>
      <c r="B11" s="334" t="s">
        <v>237</v>
      </c>
      <c r="F11" s="334" t="n">
        <v>2400</v>
      </c>
      <c r="I11" s="339" t="n">
        <f aca="false">IF((F11&lt;&gt;0),IF((D11&gt;0)," ",(I$1-A11))," ")</f>
        <v>184</v>
      </c>
    </row>
    <row r="12" customFormat="false" ht="12.75" hidden="false" customHeight="false" outlineLevel="0" collapsed="false">
      <c r="A12" s="355" t="n">
        <v>45950</v>
      </c>
      <c r="B12" s="334" t="s">
        <v>263</v>
      </c>
      <c r="F12" s="334" t="n">
        <v>1800</v>
      </c>
      <c r="I12" s="339" t="n">
        <f aca="false">IF((F12&lt;&gt;0),IF((D12&gt;0)," ",(I$1-A12))," ")</f>
        <v>182</v>
      </c>
    </row>
    <row r="13" customFormat="false" ht="12.75" hidden="false" customHeight="false" outlineLevel="0" collapsed="false">
      <c r="A13" s="355" t="n">
        <v>45958</v>
      </c>
      <c r="B13" s="334" t="s">
        <v>264</v>
      </c>
      <c r="F13" s="334" t="n">
        <v>840</v>
      </c>
      <c r="I13" s="339" t="n">
        <f aca="false">IF((F13&lt;&gt;0),IF((D13&gt;0)," ",(I$1-A13))," ")</f>
        <v>174</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46132</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201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201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201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201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201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201</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201</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199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199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197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197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197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194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192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192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192</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192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190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188</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188</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188</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187</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187</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187</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184</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184</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182</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182</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181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180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177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177</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177</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174</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171</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35320</v>
      </c>
      <c r="G1" s="343" t="n">
        <f aca="false">SUM(G4:G300)</f>
        <v>0</v>
      </c>
      <c r="H1" s="345" t="n">
        <f aca="false">SUM(H4:H300)</f>
        <v>0</v>
      </c>
      <c r="I1" s="346" t="n">
        <f aca="true">TODAY()</f>
        <v>46132</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168</v>
      </c>
    </row>
    <row r="5" customFormat="false" ht="12.75" hidden="false" customHeight="false" outlineLevel="0" collapsed="false">
      <c r="A5" s="355" t="n">
        <v>45966</v>
      </c>
      <c r="B5" s="334" t="s">
        <v>260</v>
      </c>
      <c r="F5" s="334" t="n">
        <v>600</v>
      </c>
      <c r="I5" s="339" t="n">
        <f aca="false">IF((F5&lt;&gt;0),IF((D5&gt;0)," ",(I$1-A5))," ")</f>
        <v>166</v>
      </c>
    </row>
    <row r="6" customFormat="false" ht="12.75" hidden="false" customHeight="false" outlineLevel="0" collapsed="false">
      <c r="A6" s="355" t="n">
        <v>45969</v>
      </c>
      <c r="B6" s="334" t="s">
        <v>261</v>
      </c>
      <c r="F6" s="334" t="n">
        <v>480</v>
      </c>
      <c r="I6" s="339" t="n">
        <f aca="false">IF((F6&lt;&gt;0),IF((D6&gt;0)," ",(I$1-A6))," ")</f>
        <v>163</v>
      </c>
    </row>
    <row r="7" customFormat="false" ht="12.75" hidden="false" customHeight="false" outlineLevel="0" collapsed="false">
      <c r="A7" s="355" t="n">
        <v>45971</v>
      </c>
      <c r="B7" s="334" t="s">
        <v>262</v>
      </c>
      <c r="F7" s="334" t="n">
        <v>720</v>
      </c>
      <c r="I7" s="339" t="n">
        <f aca="false">IF((F7&lt;&gt;0),IF((D7&gt;0)," ",(I$1-A7))," ")</f>
        <v>161</v>
      </c>
    </row>
    <row r="8" customFormat="false" ht="12.75" hidden="false" customHeight="false" outlineLevel="0" collapsed="false">
      <c r="A8" s="355" t="n">
        <v>45973</v>
      </c>
      <c r="B8" s="334" t="s">
        <v>341</v>
      </c>
      <c r="F8" s="334" t="n">
        <v>960</v>
      </c>
      <c r="I8" s="339" t="n">
        <f aca="false">IF((F8&lt;&gt;0),IF((D8&gt;0)," ",(I$1-A8))," ")</f>
        <v>159</v>
      </c>
    </row>
    <row r="9" customFormat="false" ht="12.75" hidden="false" customHeight="false" outlineLevel="0" collapsed="false">
      <c r="A9" s="355" t="n">
        <v>45976</v>
      </c>
      <c r="B9" s="334" t="s">
        <v>235</v>
      </c>
      <c r="F9" s="334" t="n">
        <v>25000</v>
      </c>
      <c r="I9" s="339" t="n">
        <f aca="false">IF((F9&lt;&gt;0),IF((D9&gt;0)," ",(I$1-A9))," ")</f>
        <v>156</v>
      </c>
    </row>
    <row r="10" customFormat="false" ht="12.75" hidden="false" customHeight="false" outlineLevel="0" collapsed="false">
      <c r="A10" s="355" t="n">
        <v>45979</v>
      </c>
      <c r="B10" s="334" t="s">
        <v>237</v>
      </c>
      <c r="F10" s="334" t="n">
        <v>2400</v>
      </c>
      <c r="I10" s="339" t="n">
        <f aca="false">IF((F10&lt;&gt;0),IF((D10&gt;0)," ",(I$1-A10))," ")</f>
        <v>153</v>
      </c>
    </row>
    <row r="11" customFormat="false" ht="12.75" hidden="false" customHeight="false" outlineLevel="0" collapsed="false">
      <c r="A11" s="355" t="n">
        <v>45981</v>
      </c>
      <c r="B11" s="334" t="s">
        <v>381</v>
      </c>
      <c r="F11" s="334" t="n">
        <v>3600</v>
      </c>
      <c r="I11" s="339" t="n">
        <f aca="false">IF((F11&lt;&gt;0),IF((D11&gt;0)," ",(I$1-A11))," ")</f>
        <v>151</v>
      </c>
    </row>
    <row r="12" customFormat="false" ht="12.75" hidden="false" customHeight="false" outlineLevel="0" collapsed="false">
      <c r="A12" s="355" t="n">
        <v>45986</v>
      </c>
      <c r="B12" s="334" t="s">
        <v>343</v>
      </c>
      <c r="F12" s="334" t="n">
        <v>1200</v>
      </c>
      <c r="I12" s="339" t="n">
        <f aca="false">IF((F12&lt;&gt;0),IF((D12&gt;0)," ",(I$1-A12))," ")</f>
        <v>146</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46132</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170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170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170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170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170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170</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168</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168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166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166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165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163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161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159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157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157</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156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156</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156</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156</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155</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153</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151</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151</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151</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150</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149</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146</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146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143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141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32800</v>
      </c>
      <c r="G1" s="343" t="n">
        <f aca="false">SUM(G4:G300)</f>
        <v>0</v>
      </c>
      <c r="H1" s="345" t="n">
        <f aca="false">SUM(H4:H300)</f>
        <v>0</v>
      </c>
      <c r="I1" s="346" t="n">
        <f aca="true">TODAY()</f>
        <v>46132</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138</v>
      </c>
    </row>
    <row r="5" customFormat="false" ht="12.75" hidden="false" customHeight="false" outlineLevel="0" collapsed="false">
      <c r="A5" s="355" t="n">
        <v>45996</v>
      </c>
      <c r="B5" s="334" t="s">
        <v>260</v>
      </c>
      <c r="F5" s="334" t="n">
        <v>600</v>
      </c>
      <c r="I5" s="339" t="n">
        <f aca="false">IF((F5&lt;&gt;0),IF((D5&gt;0)," ",(I$1-A5))," ")</f>
        <v>136</v>
      </c>
    </row>
    <row r="6" customFormat="false" ht="12.75" hidden="false" customHeight="false" outlineLevel="0" collapsed="false">
      <c r="A6" s="355" t="n">
        <v>45999</v>
      </c>
      <c r="B6" s="334" t="s">
        <v>261</v>
      </c>
      <c r="F6" s="334" t="n">
        <v>480</v>
      </c>
      <c r="I6" s="339" t="n">
        <f aca="false">IF((F6&lt;&gt;0),IF((D6&gt;0)," ",(I$1-A6))," ")</f>
        <v>133</v>
      </c>
    </row>
    <row r="7" customFormat="false" ht="12.75" hidden="false" customHeight="false" outlineLevel="0" collapsed="false">
      <c r="A7" s="355" t="n">
        <v>46001</v>
      </c>
      <c r="B7" s="334" t="s">
        <v>262</v>
      </c>
      <c r="F7" s="334" t="n">
        <v>720</v>
      </c>
      <c r="I7" s="339" t="n">
        <f aca="false">IF((F7&lt;&gt;0),IF((D7&gt;0)," ",(I$1-A7))," ")</f>
        <v>131</v>
      </c>
    </row>
    <row r="8" customFormat="false" ht="12.75" hidden="false" customHeight="false" outlineLevel="0" collapsed="false">
      <c r="A8" s="355" t="n">
        <v>46006</v>
      </c>
      <c r="B8" s="334" t="s">
        <v>235</v>
      </c>
      <c r="F8" s="334" t="n">
        <v>25000</v>
      </c>
      <c r="I8" s="339" t="n">
        <f aca="false">IF((F8&lt;&gt;0),IF((D8&gt;0)," ",(I$1-A8))," ")</f>
        <v>126</v>
      </c>
    </row>
    <row r="9" customFormat="false" ht="12.75" hidden="false" customHeight="false" outlineLevel="0" collapsed="false">
      <c r="A9" s="355" t="n">
        <v>46009</v>
      </c>
      <c r="B9" s="334" t="s">
        <v>237</v>
      </c>
      <c r="F9" s="334" t="n">
        <v>2400</v>
      </c>
      <c r="I9" s="339" t="n">
        <f aca="false">IF((F9&lt;&gt;0),IF((D9&gt;0)," ",(I$1-A9))," ")</f>
        <v>123</v>
      </c>
    </row>
    <row r="10" customFormat="false" ht="12.75" hidden="false" customHeight="false" outlineLevel="0" collapsed="false">
      <c r="A10" s="355" t="n">
        <v>46011</v>
      </c>
      <c r="B10" s="334" t="s">
        <v>263</v>
      </c>
      <c r="F10" s="334" t="n">
        <v>1800</v>
      </c>
      <c r="I10" s="339" t="n">
        <f aca="false">IF((F10&lt;&gt;0),IF((D10&gt;0)," ",(I$1-A10))," ")</f>
        <v>121</v>
      </c>
    </row>
    <row r="11" customFormat="false" ht="12.75" hidden="false" customHeight="false" outlineLevel="0" collapsed="false">
      <c r="A11" s="355" t="n">
        <v>46013</v>
      </c>
      <c r="B11" s="334" t="s">
        <v>356</v>
      </c>
      <c r="F11" s="334" t="n">
        <v>1440</v>
      </c>
      <c r="I11" s="339" t="n">
        <f aca="false">IF((F11&lt;&gt;0),IF((D11&gt;0)," ",(I$1-A11))," ")</f>
        <v>119</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46132</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140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140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140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140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140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140</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138</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138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136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136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136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133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131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131</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129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127</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127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127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126</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126</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126</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123</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123</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121</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120</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119</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116</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116</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116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113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110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110</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110</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35440</v>
      </c>
      <c r="G1" s="343" t="n">
        <f aca="false">SUM(G4:G300)</f>
        <v>0</v>
      </c>
      <c r="H1" s="345" t="n">
        <f aca="false">SUM(H4:H300)</f>
        <v>0</v>
      </c>
      <c r="I1" s="346" t="n">
        <f aca="true">TODAY()</f>
        <v>46132</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109</v>
      </c>
    </row>
    <row r="5" customFormat="false" ht="12.75" hidden="false" customHeight="false" outlineLevel="0" collapsed="false">
      <c r="A5" s="355" t="n">
        <v>46025</v>
      </c>
      <c r="B5" s="334" t="s">
        <v>259</v>
      </c>
      <c r="F5" s="334" t="n">
        <v>360</v>
      </c>
      <c r="I5" s="339" t="n">
        <f aca="false">IF((F5&lt;&gt;0),IF((D5&gt;0)," ",(I$1-A5))," ")</f>
        <v>107</v>
      </c>
    </row>
    <row r="6" customFormat="false" ht="12.75" hidden="false" customHeight="false" outlineLevel="0" collapsed="false">
      <c r="A6" s="355" t="n">
        <v>46027</v>
      </c>
      <c r="B6" s="334" t="s">
        <v>260</v>
      </c>
      <c r="F6" s="334" t="n">
        <v>600</v>
      </c>
      <c r="I6" s="339" t="n">
        <f aca="false">IF((F6&lt;&gt;0),IF((D6&gt;0)," ",(I$1-A6))," ")</f>
        <v>105</v>
      </c>
    </row>
    <row r="7" customFormat="false" ht="12.75" hidden="false" customHeight="false" outlineLevel="0" collapsed="false">
      <c r="A7" s="355" t="n">
        <v>46030</v>
      </c>
      <c r="B7" s="334" t="s">
        <v>261</v>
      </c>
      <c r="F7" s="334" t="n">
        <v>480</v>
      </c>
      <c r="I7" s="339" t="n">
        <f aca="false">IF((F7&lt;&gt;0),IF((D7&gt;0)," ",(I$1-A7))," ")</f>
        <v>102</v>
      </c>
    </row>
    <row r="8" customFormat="false" ht="12.75" hidden="false" customHeight="false" outlineLevel="0" collapsed="false">
      <c r="A8" s="355" t="n">
        <v>46032</v>
      </c>
      <c r="B8" s="334" t="s">
        <v>262</v>
      </c>
      <c r="F8" s="334" t="n">
        <v>720</v>
      </c>
      <c r="I8" s="339" t="n">
        <f aca="false">IF((F8&lt;&gt;0),IF((D8&gt;0)," ",(I$1-A8))," ")</f>
        <v>100</v>
      </c>
    </row>
    <row r="9" customFormat="false" ht="12.75" hidden="false" customHeight="false" outlineLevel="0" collapsed="false">
      <c r="A9" s="355" t="n">
        <v>46036</v>
      </c>
      <c r="B9" s="334" t="s">
        <v>365</v>
      </c>
      <c r="F9" s="334" t="n">
        <v>2160</v>
      </c>
      <c r="I9" s="339" t="n">
        <f aca="false">IF((F9&lt;&gt;0),IF((D9&gt;0)," ",(I$1-A9))," ")</f>
        <v>96</v>
      </c>
    </row>
    <row r="10" customFormat="false" ht="12.75" hidden="false" customHeight="false" outlineLevel="0" collapsed="false">
      <c r="A10" s="355" t="n">
        <v>46037</v>
      </c>
      <c r="B10" s="334" t="s">
        <v>235</v>
      </c>
      <c r="F10" s="334" t="n">
        <v>25000</v>
      </c>
      <c r="I10" s="339" t="n">
        <f aca="false">IF((F10&lt;&gt;0),IF((D10&gt;0)," ",(I$1-A10))," ")</f>
        <v>95</v>
      </c>
    </row>
    <row r="11" customFormat="false" ht="12.75" hidden="false" customHeight="false" outlineLevel="0" collapsed="false">
      <c r="A11" s="355" t="n">
        <v>46038</v>
      </c>
      <c r="B11" s="334" t="s">
        <v>342</v>
      </c>
      <c r="F11" s="334" t="n">
        <v>1200</v>
      </c>
      <c r="I11" s="339" t="n">
        <f aca="false">IF((F11&lt;&gt;0),IF((D11&gt;0)," ",(I$1-A11))," ")</f>
        <v>94</v>
      </c>
    </row>
    <row r="12" customFormat="false" ht="12.75" hidden="false" customHeight="false" outlineLevel="0" collapsed="false">
      <c r="A12" s="355" t="n">
        <v>46040</v>
      </c>
      <c r="B12" s="334" t="s">
        <v>237</v>
      </c>
      <c r="F12" s="334" t="n">
        <v>2400</v>
      </c>
      <c r="I12" s="339" t="n">
        <f aca="false">IF((F12&lt;&gt;0),IF((D12&gt;0)," ",(I$1-A12))," ")</f>
        <v>92</v>
      </c>
    </row>
    <row r="13" customFormat="false" ht="12.75" hidden="false" customHeight="false" outlineLevel="0" collapsed="false">
      <c r="A13" s="355" t="n">
        <v>46047</v>
      </c>
      <c r="B13" s="334" t="s">
        <v>385</v>
      </c>
      <c r="F13" s="334" t="n">
        <v>480</v>
      </c>
      <c r="I13" s="339" t="n">
        <f aca="false">IF((F13&lt;&gt;0),IF((D13&gt;0)," ",(I$1-A13))," ")</f>
        <v>85</v>
      </c>
    </row>
    <row r="14" customFormat="false" ht="12.75" hidden="false" customHeight="false" outlineLevel="0" collapsed="false">
      <c r="A14" s="355" t="n">
        <v>46050</v>
      </c>
      <c r="B14" s="334" t="s">
        <v>264</v>
      </c>
      <c r="F14" s="334" t="n">
        <v>840</v>
      </c>
      <c r="I14" s="339" t="n">
        <f aca="false">IF((F14&lt;&gt;0),IF((D14&gt;0)," ",(I$1-A14))," ")</f>
        <v>82</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46132</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109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109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109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109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109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109</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107</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107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105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105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105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102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102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100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100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100</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98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96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96</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95</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95</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94</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92</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90</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90</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90</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89</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88</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88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85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85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82</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79</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34360</v>
      </c>
      <c r="G1" s="343" t="n">
        <f aca="false">SUM(G4:G300)</f>
        <v>0</v>
      </c>
      <c r="H1" s="345" t="n">
        <f aca="false">SUM(H4:H300)</f>
        <v>0</v>
      </c>
      <c r="I1" s="346" t="n">
        <f aca="true">TODAY()</f>
        <v>46132</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76</v>
      </c>
    </row>
    <row r="5" customFormat="false" ht="12.75" hidden="false" customHeight="false" outlineLevel="0" collapsed="false">
      <c r="A5" s="355" t="n">
        <v>46058</v>
      </c>
      <c r="B5" s="334" t="s">
        <v>260</v>
      </c>
      <c r="F5" s="334" t="n">
        <v>600</v>
      </c>
      <c r="I5" s="339" t="n">
        <f aca="false">IF((F5&lt;&gt;0),IF((D5&gt;0)," ",(I$1-A5))," ")</f>
        <v>74</v>
      </c>
    </row>
    <row r="6" customFormat="false" ht="12.75" hidden="false" customHeight="false" outlineLevel="0" collapsed="false">
      <c r="A6" s="355" t="n">
        <v>46061</v>
      </c>
      <c r="B6" s="334" t="s">
        <v>261</v>
      </c>
      <c r="F6" s="334" t="n">
        <v>480</v>
      </c>
      <c r="I6" s="339" t="n">
        <f aca="false">IF((F6&lt;&gt;0),IF((D6&gt;0)," ",(I$1-A6))," ")</f>
        <v>71</v>
      </c>
    </row>
    <row r="7" customFormat="false" ht="12.75" hidden="false" customHeight="false" outlineLevel="0" collapsed="false">
      <c r="A7" s="355" t="n">
        <v>46063</v>
      </c>
      <c r="B7" s="334" t="s">
        <v>262</v>
      </c>
      <c r="F7" s="334" t="n">
        <v>720</v>
      </c>
      <c r="I7" s="339" t="n">
        <f aca="false">IF((F7&lt;&gt;0),IF((D7&gt;0)," ",(I$1-A7))," ")</f>
        <v>69</v>
      </c>
    </row>
    <row r="8" customFormat="false" ht="12.75" hidden="false" customHeight="false" outlineLevel="0" collapsed="false">
      <c r="A8" s="355" t="n">
        <v>46068</v>
      </c>
      <c r="B8" s="334" t="s">
        <v>235</v>
      </c>
      <c r="F8" s="334" t="n">
        <v>25000</v>
      </c>
      <c r="I8" s="339" t="n">
        <f aca="false">IF((F8&lt;&gt;0),IF((D8&gt;0)," ",(I$1-A8))," ")</f>
        <v>64</v>
      </c>
    </row>
    <row r="9" customFormat="false" ht="12.75" hidden="false" customHeight="false" outlineLevel="0" collapsed="false">
      <c r="A9" s="355" t="n">
        <v>46071</v>
      </c>
      <c r="B9" s="334" t="s">
        <v>237</v>
      </c>
      <c r="F9" s="334" t="n">
        <v>2400</v>
      </c>
      <c r="I9" s="339" t="n">
        <f aca="false">IF((F9&lt;&gt;0),IF((D9&gt;0)," ",(I$1-A9))," ")</f>
        <v>61</v>
      </c>
    </row>
    <row r="10" customFormat="false" ht="12.75" hidden="false" customHeight="false" outlineLevel="0" collapsed="false">
      <c r="A10" s="355" t="n">
        <v>46073</v>
      </c>
      <c r="B10" s="334" t="s">
        <v>263</v>
      </c>
      <c r="F10" s="334" t="n">
        <v>1800</v>
      </c>
      <c r="I10" s="339" t="n">
        <f aca="false">IF((F10&lt;&gt;0),IF((D10&gt;0)," ",(I$1-A10))," ")</f>
        <v>59</v>
      </c>
    </row>
    <row r="11" customFormat="false" ht="12.75" hidden="false" customHeight="false" outlineLevel="0" collapsed="false">
      <c r="A11" s="355" t="n">
        <v>46073</v>
      </c>
      <c r="B11" s="334" t="s">
        <v>386</v>
      </c>
      <c r="F11" s="334" t="n">
        <v>1800</v>
      </c>
      <c r="I11" s="339" t="n">
        <f aca="false">IF((F11&lt;&gt;0),IF((D11&gt;0)," ",(I$1-A11))," ")</f>
        <v>59</v>
      </c>
    </row>
    <row r="12" customFormat="false" ht="12.75" hidden="false" customHeight="false" outlineLevel="0" collapsed="false">
      <c r="A12" s="355" t="n">
        <v>46078</v>
      </c>
      <c r="B12" s="334" t="s">
        <v>343</v>
      </c>
      <c r="F12" s="334" t="n">
        <v>1200</v>
      </c>
      <c r="I12" s="339" t="n">
        <f aca="false">IF((F12&lt;&gt;0),IF((D12&gt;0)," ",(I$1-A12))," ")</f>
        <v>54</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46132</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78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78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78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78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78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78</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76</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76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74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74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74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73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71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69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67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67</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65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65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65</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64</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64</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64</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61</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61</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61</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59</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59</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58</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57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54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54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51</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51</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31360</v>
      </c>
      <c r="G1" s="343" t="n">
        <f aca="false">SUM(G4:G300)</f>
        <v>0</v>
      </c>
      <c r="H1" s="345" t="n">
        <f aca="false">SUM(H4:H300)</f>
        <v>0</v>
      </c>
      <c r="I1" s="346" t="n">
        <f aca="true">TODAY()</f>
        <v>46132</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48</v>
      </c>
    </row>
    <row r="5" customFormat="false" ht="12.75" hidden="false" customHeight="false" outlineLevel="0" collapsed="false">
      <c r="A5" s="355" t="n">
        <v>46086</v>
      </c>
      <c r="B5" s="334" t="s">
        <v>260</v>
      </c>
      <c r="F5" s="334" t="n">
        <v>600</v>
      </c>
      <c r="I5" s="339" t="n">
        <f aca="false">IF((F5&lt;&gt;0),IF((D5&gt;0)," ",(I$1-A5))," ")</f>
        <v>46</v>
      </c>
    </row>
    <row r="6" customFormat="false" ht="12.75" hidden="false" customHeight="false" outlineLevel="0" collapsed="false">
      <c r="A6" s="355" t="n">
        <v>46089</v>
      </c>
      <c r="B6" s="334" t="s">
        <v>261</v>
      </c>
      <c r="F6" s="334" t="n">
        <v>480</v>
      </c>
      <c r="I6" s="339" t="n">
        <f aca="false">IF((F6&lt;&gt;0),IF((D6&gt;0)," ",(I$1-A6))," ")</f>
        <v>43</v>
      </c>
    </row>
    <row r="7" customFormat="false" ht="12.75" hidden="false" customHeight="false" outlineLevel="0" collapsed="false">
      <c r="A7" s="355" t="n">
        <v>46091</v>
      </c>
      <c r="B7" s="334" t="s">
        <v>262</v>
      </c>
      <c r="F7" s="334" t="n">
        <v>720</v>
      </c>
      <c r="I7" s="339" t="n">
        <f aca="false">IF((F7&lt;&gt;0),IF((D7&gt;0)," ",(I$1-A7))," ")</f>
        <v>41</v>
      </c>
    </row>
    <row r="8" customFormat="false" ht="12.75" hidden="false" customHeight="false" outlineLevel="0" collapsed="false">
      <c r="A8" s="355" t="n">
        <v>46096</v>
      </c>
      <c r="B8" s="334" t="s">
        <v>235</v>
      </c>
      <c r="F8" s="334" t="n">
        <v>25000</v>
      </c>
      <c r="I8" s="339" t="n">
        <f aca="false">IF((F8&lt;&gt;0),IF((D8&gt;0)," ",(I$1-A8))," ")</f>
        <v>36</v>
      </c>
    </row>
    <row r="9" customFormat="false" ht="12.75" hidden="false" customHeight="false" outlineLevel="0" collapsed="false">
      <c r="A9" s="355" t="n">
        <v>46099</v>
      </c>
      <c r="B9" s="334" t="s">
        <v>237</v>
      </c>
      <c r="F9" s="334" t="n">
        <v>2400</v>
      </c>
      <c r="I9" s="339" t="n">
        <f aca="false">IF((F9&lt;&gt;0),IF((D9&gt;0)," ",(I$1-A9))," ")</f>
        <v>33</v>
      </c>
    </row>
    <row r="10" customFormat="false" ht="12.75" hidden="false" customHeight="false" outlineLevel="0" collapsed="false">
      <c r="A10" s="355" t="n">
        <v>46103</v>
      </c>
      <c r="B10" s="334" t="s">
        <v>356</v>
      </c>
      <c r="F10" s="334" t="n">
        <v>1440</v>
      </c>
      <c r="I10" s="339" t="n">
        <f aca="false">IF((F10&lt;&gt;0),IF((D10&gt;0)," ",(I$1-A10))," ")</f>
        <v>29</v>
      </c>
    </row>
    <row r="11" customFormat="false" ht="12.75" hidden="false" customHeight="false" outlineLevel="0" collapsed="false">
      <c r="A11" s="355" t="n">
        <v>46112</v>
      </c>
      <c r="B11" s="334" t="s">
        <v>387</v>
      </c>
      <c r="F11" s="334" t="n">
        <v>360</v>
      </c>
      <c r="I11" s="339" t="n">
        <f aca="false">IF((F11&lt;&gt;0),IF((D11&gt;0)," ",(I$1-A11))," ")</f>
        <v>20</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46132</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50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50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50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50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50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50</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48</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48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46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46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43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41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41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39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37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37</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36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36</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35</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33</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33</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31</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30</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29</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29</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26</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26</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26</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23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20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20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