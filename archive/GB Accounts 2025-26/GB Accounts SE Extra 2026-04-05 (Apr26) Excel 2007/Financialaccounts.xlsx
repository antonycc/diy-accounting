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 Extra 2026-04-05 (Apr26) Excel 2007/"/>
    </mc:Choice>
  </mc:AlternateContent>
  <xr:revisionPtr revIDLastSave="0" documentId="13_ncr:1_{849D0405-58E7-B641-A96C-CEE4079EB74D}" xr6:coauthVersionLast="47" xr6:coauthVersionMax="47" xr10:uidLastSave="{00000000-0000-0000-0000-000000000000}"/>
  <bookViews>
    <workbookView xWindow="1320" yWindow="680" windowWidth="23460" windowHeight="16260" tabRatio="906" activeTab="3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Income Tax" sheetId="8" r:id="rId5"/>
    <sheet name="Wagesinterface" sheetId="12" r:id="rId6"/>
    <sheet name="StockControl" sheetId="13" r:id="rId7"/>
    <sheet name="Profit Forecast" sheetId="14" r:id="rId8"/>
    <sheet name="Admin" sheetId="1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Print_Titles" localSheetId="3">'Profit &amp; Loss Account'!$2:$4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2" l="1"/>
  <c r="H15" i="12"/>
  <c r="F15" i="12"/>
  <c r="E15" i="12"/>
  <c r="D15" i="12"/>
  <c r="I14" i="12"/>
  <c r="H14" i="12"/>
  <c r="F14" i="12"/>
  <c r="E14" i="12"/>
  <c r="D14" i="12"/>
  <c r="I13" i="12"/>
  <c r="H13" i="12"/>
  <c r="F13" i="12"/>
  <c r="E13" i="12"/>
  <c r="D13" i="12"/>
  <c r="I12" i="12"/>
  <c r="H12" i="12"/>
  <c r="F12" i="12"/>
  <c r="E12" i="12"/>
  <c r="D12" i="12"/>
  <c r="I11" i="12"/>
  <c r="H11" i="12"/>
  <c r="F11" i="12"/>
  <c r="E11" i="12"/>
  <c r="D11" i="12"/>
  <c r="I10" i="12"/>
  <c r="H10" i="12"/>
  <c r="F10" i="12"/>
  <c r="E10" i="12"/>
  <c r="D10" i="12"/>
  <c r="I9" i="12"/>
  <c r="H9" i="12"/>
  <c r="F9" i="12"/>
  <c r="E9" i="12"/>
  <c r="D9" i="12"/>
  <c r="I8" i="12"/>
  <c r="H8" i="12"/>
  <c r="F8" i="12"/>
  <c r="E8" i="12"/>
  <c r="D8" i="12"/>
  <c r="I7" i="12"/>
  <c r="H7" i="12"/>
  <c r="F7" i="12"/>
  <c r="E7" i="12"/>
  <c r="D7" i="12"/>
  <c r="I6" i="12"/>
  <c r="H6" i="12"/>
  <c r="F6" i="12"/>
  <c r="E6" i="12"/>
  <c r="D6" i="12"/>
  <c r="I5" i="12"/>
  <c r="H5" i="12"/>
  <c r="F5" i="12"/>
  <c r="E5" i="12"/>
  <c r="D5" i="12"/>
  <c r="I4" i="12"/>
  <c r="H4" i="12"/>
  <c r="F4" i="12"/>
  <c r="E4" i="12"/>
  <c r="D4" i="12"/>
  <c r="F30" i="13" l="1"/>
  <c r="N42" i="6"/>
  <c r="N41" i="6"/>
  <c r="N40" i="6"/>
  <c r="N39" i="6"/>
  <c r="N38" i="6"/>
  <c r="N37" i="6"/>
  <c r="N33" i="6"/>
  <c r="N32" i="6"/>
  <c r="N31" i="6"/>
  <c r="N29" i="6"/>
  <c r="N28" i="6"/>
  <c r="N27" i="6"/>
  <c r="N21" i="6"/>
  <c r="N20" i="6"/>
  <c r="F28" i="13"/>
  <c r="M42" i="6"/>
  <c r="M41" i="6"/>
  <c r="M40" i="6"/>
  <c r="M39" i="6"/>
  <c r="M38" i="6"/>
  <c r="M37" i="6"/>
  <c r="M33" i="6"/>
  <c r="M32" i="6"/>
  <c r="M31" i="6"/>
  <c r="M29" i="6"/>
  <c r="M28" i="6"/>
  <c r="M27" i="6"/>
  <c r="M21" i="6"/>
  <c r="M20" i="6"/>
  <c r="F26" i="13"/>
  <c r="L42" i="6"/>
  <c r="L41" i="6"/>
  <c r="L40" i="6"/>
  <c r="L39" i="6"/>
  <c r="L38" i="6"/>
  <c r="L37" i="6"/>
  <c r="L33" i="6"/>
  <c r="L32" i="6"/>
  <c r="L31" i="6"/>
  <c r="L29" i="6"/>
  <c r="L28" i="6"/>
  <c r="L27" i="6"/>
  <c r="L21" i="6"/>
  <c r="L20" i="6"/>
  <c r="F24" i="13"/>
  <c r="K42" i="6"/>
  <c r="K41" i="6"/>
  <c r="K40" i="6"/>
  <c r="K39" i="6"/>
  <c r="K38" i="6"/>
  <c r="K37" i="6"/>
  <c r="K33" i="6"/>
  <c r="K32" i="6"/>
  <c r="K31" i="6"/>
  <c r="K29" i="6"/>
  <c r="K28" i="6"/>
  <c r="K27" i="6"/>
  <c r="K21" i="6"/>
  <c r="K20" i="6"/>
  <c r="F22" i="13"/>
  <c r="J42" i="6"/>
  <c r="J41" i="6"/>
  <c r="J40" i="6"/>
  <c r="J39" i="6"/>
  <c r="J38" i="6"/>
  <c r="J37" i="6"/>
  <c r="J33" i="6"/>
  <c r="J32" i="6"/>
  <c r="J31" i="6"/>
  <c r="J29" i="6"/>
  <c r="J28" i="6"/>
  <c r="J27" i="6"/>
  <c r="J21" i="6"/>
  <c r="J20" i="6"/>
  <c r="F20" i="13"/>
  <c r="I42" i="6"/>
  <c r="I41" i="6"/>
  <c r="I40" i="6"/>
  <c r="I39" i="6"/>
  <c r="I38" i="6"/>
  <c r="I37" i="6"/>
  <c r="I33" i="6"/>
  <c r="I32" i="6"/>
  <c r="I31" i="6"/>
  <c r="I29" i="6"/>
  <c r="I28" i="6"/>
  <c r="I27" i="6"/>
  <c r="I21" i="6"/>
  <c r="I20" i="6"/>
  <c r="F18" i="13"/>
  <c r="H42" i="6"/>
  <c r="H41" i="6"/>
  <c r="H40" i="6"/>
  <c r="H39" i="6"/>
  <c r="H38" i="6"/>
  <c r="H37" i="6"/>
  <c r="H33" i="6"/>
  <c r="H32" i="6"/>
  <c r="H31" i="6"/>
  <c r="H29" i="6"/>
  <c r="H28" i="6"/>
  <c r="H27" i="6"/>
  <c r="H21" i="6"/>
  <c r="H20" i="6"/>
  <c r="F16" i="13"/>
  <c r="G42" i="6"/>
  <c r="G41" i="6"/>
  <c r="G40" i="6"/>
  <c r="G39" i="6"/>
  <c r="G38" i="6"/>
  <c r="G37" i="6"/>
  <c r="G33" i="6"/>
  <c r="G32" i="6"/>
  <c r="G31" i="6"/>
  <c r="G29" i="6"/>
  <c r="G28" i="6"/>
  <c r="G27" i="6"/>
  <c r="G21" i="6"/>
  <c r="G20" i="6"/>
  <c r="F14" i="13"/>
  <c r="F42" i="6"/>
  <c r="F41" i="6"/>
  <c r="F40" i="6"/>
  <c r="F39" i="6"/>
  <c r="F38" i="6"/>
  <c r="F37" i="6"/>
  <c r="F33" i="6"/>
  <c r="F32" i="6"/>
  <c r="F31" i="6"/>
  <c r="F29" i="6"/>
  <c r="F28" i="6"/>
  <c r="F27" i="6"/>
  <c r="F21" i="6"/>
  <c r="F20" i="6"/>
  <c r="F12" i="13"/>
  <c r="E42" i="6"/>
  <c r="E41" i="6"/>
  <c r="E40" i="6"/>
  <c r="E39" i="6"/>
  <c r="E38" i="6"/>
  <c r="E37" i="6"/>
  <c r="E33" i="6"/>
  <c r="E32" i="6"/>
  <c r="E31" i="6"/>
  <c r="E29" i="6"/>
  <c r="E28" i="6"/>
  <c r="E27" i="6"/>
  <c r="E21" i="6"/>
  <c r="E20" i="6"/>
  <c r="F10" i="13"/>
  <c r="D42" i="6"/>
  <c r="D41" i="6"/>
  <c r="D40" i="6"/>
  <c r="D39" i="6"/>
  <c r="D38" i="6"/>
  <c r="D37" i="6"/>
  <c r="D33" i="6"/>
  <c r="D32" i="6"/>
  <c r="D31" i="6"/>
  <c r="D29" i="6"/>
  <c r="D28" i="6"/>
  <c r="D27" i="6"/>
  <c r="D21" i="6"/>
  <c r="D20" i="6"/>
  <c r="F8" i="13"/>
  <c r="C42" i="6"/>
  <c r="A42" i="6"/>
  <c r="C41" i="6"/>
  <c r="A41" i="6"/>
  <c r="C40" i="6"/>
  <c r="A40" i="6"/>
  <c r="C39" i="6"/>
  <c r="A39" i="6"/>
  <c r="C38" i="6"/>
  <c r="A38" i="6"/>
  <c r="C37" i="6"/>
  <c r="A37" i="6"/>
  <c r="C33" i="6"/>
  <c r="A33" i="6"/>
  <c r="C32" i="6"/>
  <c r="A32" i="6"/>
  <c r="C31" i="6"/>
  <c r="A31" i="6"/>
  <c r="A30" i="6"/>
  <c r="C29" i="6"/>
  <c r="A29" i="6"/>
  <c r="C28" i="6"/>
  <c r="A28" i="6"/>
  <c r="C27" i="6"/>
  <c r="A27" i="6"/>
  <c r="C21" i="6"/>
  <c r="C20" i="6"/>
  <c r="V28" i="13"/>
  <c r="P28" i="13"/>
  <c r="J28" i="13"/>
  <c r="M53" i="6"/>
  <c r="M34" i="6"/>
  <c r="M16" i="6"/>
  <c r="M13" i="6"/>
  <c r="M12" i="6"/>
  <c r="M11" i="6"/>
  <c r="M10" i="6"/>
  <c r="M9" i="6"/>
  <c r="M8" i="6"/>
  <c r="M7" i="6"/>
  <c r="M6" i="6"/>
  <c r="M5" i="6"/>
  <c r="V26" i="13"/>
  <c r="P26" i="13"/>
  <c r="J26" i="13"/>
  <c r="L53" i="6"/>
  <c r="L34" i="6"/>
  <c r="L16" i="6"/>
  <c r="L13" i="6"/>
  <c r="L12" i="6"/>
  <c r="L11" i="6"/>
  <c r="L10" i="6"/>
  <c r="L9" i="6"/>
  <c r="L8" i="6"/>
  <c r="L7" i="6"/>
  <c r="L6" i="6"/>
  <c r="L5" i="6"/>
  <c r="V24" i="13"/>
  <c r="P24" i="13"/>
  <c r="J24" i="13"/>
  <c r="K53" i="6"/>
  <c r="K34" i="6"/>
  <c r="K16" i="6"/>
  <c r="K13" i="6"/>
  <c r="K12" i="6"/>
  <c r="K11" i="6"/>
  <c r="K10" i="6"/>
  <c r="K9" i="6"/>
  <c r="K8" i="6"/>
  <c r="K7" i="6"/>
  <c r="K6" i="6"/>
  <c r="K5" i="6"/>
  <c r="V22" i="13"/>
  <c r="P22" i="13"/>
  <c r="J22" i="13"/>
  <c r="J53" i="6"/>
  <c r="J34" i="6"/>
  <c r="J16" i="6"/>
  <c r="J13" i="6"/>
  <c r="J12" i="6"/>
  <c r="J11" i="6"/>
  <c r="J10" i="6"/>
  <c r="J9" i="6"/>
  <c r="J8" i="6"/>
  <c r="J7" i="6"/>
  <c r="J6" i="6"/>
  <c r="J5" i="6"/>
  <c r="V20" i="13"/>
  <c r="P20" i="13"/>
  <c r="J20" i="13"/>
  <c r="I53" i="6"/>
  <c r="I34" i="6"/>
  <c r="I16" i="6"/>
  <c r="I13" i="6"/>
  <c r="I12" i="6"/>
  <c r="I11" i="6"/>
  <c r="I10" i="6"/>
  <c r="I9" i="6"/>
  <c r="I8" i="6"/>
  <c r="I7" i="6"/>
  <c r="I6" i="6"/>
  <c r="I5" i="6"/>
  <c r="V18" i="13"/>
  <c r="P18" i="13"/>
  <c r="J18" i="13"/>
  <c r="H53" i="6"/>
  <c r="H34" i="6"/>
  <c r="H16" i="6"/>
  <c r="H13" i="6"/>
  <c r="H12" i="6"/>
  <c r="H11" i="6"/>
  <c r="H10" i="6"/>
  <c r="H9" i="6"/>
  <c r="H8" i="6"/>
  <c r="H7" i="6"/>
  <c r="H6" i="6"/>
  <c r="H5" i="6"/>
  <c r="V16" i="13"/>
  <c r="P16" i="13"/>
  <c r="J16" i="13"/>
  <c r="G53" i="6"/>
  <c r="G34" i="6"/>
  <c r="G16" i="6"/>
  <c r="G13" i="6"/>
  <c r="G12" i="6"/>
  <c r="G11" i="6"/>
  <c r="G10" i="6"/>
  <c r="G9" i="6"/>
  <c r="G8" i="6"/>
  <c r="G7" i="6"/>
  <c r="G6" i="6"/>
  <c r="G5" i="6"/>
  <c r="V14" i="13"/>
  <c r="P14" i="13"/>
  <c r="J14" i="13"/>
  <c r="F53" i="6"/>
  <c r="F34" i="6"/>
  <c r="F16" i="6"/>
  <c r="F13" i="6"/>
  <c r="F12" i="6"/>
  <c r="F11" i="6"/>
  <c r="F10" i="6"/>
  <c r="F9" i="6"/>
  <c r="F8" i="6"/>
  <c r="F7" i="6"/>
  <c r="F6" i="6"/>
  <c r="F5" i="6"/>
  <c r="V12" i="13"/>
  <c r="P12" i="13"/>
  <c r="J12" i="13"/>
  <c r="E53" i="6"/>
  <c r="E34" i="6"/>
  <c r="E16" i="6"/>
  <c r="E13" i="6"/>
  <c r="E12" i="6"/>
  <c r="E11" i="6"/>
  <c r="E10" i="6"/>
  <c r="E9" i="6"/>
  <c r="E8" i="6"/>
  <c r="E7" i="6"/>
  <c r="E6" i="6"/>
  <c r="E5" i="6"/>
  <c r="V10" i="13"/>
  <c r="P10" i="13"/>
  <c r="J10" i="13"/>
  <c r="D53" i="6"/>
  <c r="D34" i="6"/>
  <c r="D16" i="6"/>
  <c r="D13" i="6"/>
  <c r="D12" i="6"/>
  <c r="D11" i="6"/>
  <c r="D10" i="6"/>
  <c r="D9" i="6"/>
  <c r="D8" i="6"/>
  <c r="D7" i="6"/>
  <c r="D6" i="6"/>
  <c r="D5" i="6"/>
  <c r="V8" i="13"/>
  <c r="P8" i="13"/>
  <c r="J8" i="13"/>
  <c r="C53" i="6"/>
  <c r="C34" i="6"/>
  <c r="C16" i="6"/>
  <c r="C13" i="6"/>
  <c r="C12" i="6"/>
  <c r="A12" i="6"/>
  <c r="C11" i="6"/>
  <c r="A11" i="6"/>
  <c r="C10" i="6"/>
  <c r="A10" i="6"/>
  <c r="C9" i="6"/>
  <c r="A9" i="6"/>
  <c r="C8" i="6"/>
  <c r="A8" i="6"/>
  <c r="C7" i="6"/>
  <c r="A7" i="6"/>
  <c r="C6" i="6"/>
  <c r="A6" i="6"/>
  <c r="C5" i="6"/>
  <c r="A5" i="6"/>
  <c r="V30" i="13"/>
  <c r="P30" i="13"/>
  <c r="J30" i="13"/>
  <c r="E11" i="8"/>
  <c r="N53" i="6"/>
  <c r="N34" i="6"/>
  <c r="N16" i="6"/>
  <c r="N13" i="6"/>
  <c r="N12" i="6"/>
  <c r="N11" i="6"/>
  <c r="N10" i="6"/>
  <c r="N9" i="6"/>
  <c r="N8" i="6"/>
  <c r="N7" i="6"/>
  <c r="N6" i="6"/>
  <c r="N5" i="6"/>
  <c r="D231" i="16"/>
  <c r="O124" i="18"/>
  <c r="N56" i="6"/>
  <c r="N52" i="6"/>
  <c r="N36" i="6"/>
  <c r="M56" i="6"/>
  <c r="M52" i="6"/>
  <c r="M36" i="6"/>
  <c r="L56" i="6"/>
  <c r="L52" i="6"/>
  <c r="L36" i="6"/>
  <c r="K56" i="6"/>
  <c r="K52" i="6"/>
  <c r="K36" i="6"/>
  <c r="J56" i="6"/>
  <c r="J52" i="6"/>
  <c r="J36" i="6"/>
  <c r="I56" i="6"/>
  <c r="I52" i="6"/>
  <c r="I36" i="6"/>
  <c r="H56" i="6"/>
  <c r="H52" i="6"/>
  <c r="H36" i="6"/>
  <c r="G56" i="6"/>
  <c r="G52" i="6"/>
  <c r="G36" i="6"/>
  <c r="F56" i="6"/>
  <c r="F52" i="6"/>
  <c r="F36" i="6"/>
  <c r="E56" i="6"/>
  <c r="E52" i="6"/>
  <c r="E36" i="6"/>
  <c r="D56" i="6"/>
  <c r="D52" i="6"/>
  <c r="D36" i="6"/>
  <c r="C56" i="6"/>
  <c r="C52" i="6"/>
  <c r="C36" i="6"/>
  <c r="N48" i="6"/>
  <c r="N35" i="6"/>
  <c r="M48" i="6"/>
  <c r="M35" i="6"/>
  <c r="L48" i="6"/>
  <c r="L35" i="6"/>
  <c r="K48" i="6"/>
  <c r="K35" i="6"/>
  <c r="J48" i="6"/>
  <c r="J35" i="6"/>
  <c r="I48" i="6"/>
  <c r="I35" i="6"/>
  <c r="H48" i="6"/>
  <c r="H35" i="6"/>
  <c r="G48" i="6"/>
  <c r="G35" i="6"/>
  <c r="F48" i="6"/>
  <c r="F35" i="6"/>
  <c r="E48" i="6"/>
  <c r="E35" i="6"/>
  <c r="D48" i="6"/>
  <c r="D35" i="6"/>
  <c r="C48" i="6"/>
  <c r="C35" i="6"/>
  <c r="B12" i="6" l="1"/>
  <c r="B9" i="6"/>
  <c r="B10" i="6"/>
  <c r="B11" i="6"/>
  <c r="B8" i="6"/>
  <c r="C8" i="8" l="1"/>
  <c r="S21" i="17" l="1"/>
  <c r="S16" i="17"/>
  <c r="D16" i="14" l="1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G288" i="16" s="1"/>
  <c r="J280" i="16"/>
  <c r="D169" i="16"/>
  <c r="G141" i="16"/>
  <c r="H136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C48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D222" i="16" l="1"/>
  <c r="N41" i="17"/>
  <c r="L14" i="15"/>
  <c r="R116" i="18"/>
  <c r="B52" i="6"/>
  <c r="Q192" i="16"/>
  <c r="L2" i="15"/>
  <c r="C2" i="8" s="1"/>
  <c r="C6" i="8" s="1"/>
  <c r="F216" i="16"/>
  <c r="D112" i="18"/>
  <c r="C16" i="14"/>
  <c r="B48" i="6"/>
  <c r="O38" i="18" s="1"/>
  <c r="B35" i="6"/>
  <c r="D98" i="16" s="1"/>
  <c r="B36" i="6"/>
  <c r="D102" i="16" s="1"/>
  <c r="B56" i="6"/>
  <c r="N16" i="13"/>
  <c r="H14" i="13"/>
  <c r="T14" i="13"/>
  <c r="T16" i="13" s="1"/>
  <c r="T18" i="13" s="1"/>
  <c r="T20" i="13" s="1"/>
  <c r="E33" i="14"/>
  <c r="C33" i="14" s="1"/>
  <c r="O55" i="16" l="1"/>
  <c r="T22" i="13"/>
  <c r="H16" i="13"/>
  <c r="N18" i="13"/>
  <c r="T24" i="13" l="1"/>
  <c r="N20" i="13"/>
  <c r="H18" i="13"/>
  <c r="T26" i="13" l="1"/>
  <c r="H20" i="13"/>
  <c r="N22" i="13"/>
  <c r="T28" i="13" l="1"/>
  <c r="H22" i="13"/>
  <c r="N24" i="13"/>
  <c r="N26" i="13" l="1"/>
  <c r="T30" i="13"/>
  <c r="H24" i="13"/>
  <c r="N28" i="13" l="1"/>
  <c r="H26" i="13"/>
  <c r="N30" i="13" l="1"/>
  <c r="H28" i="13"/>
  <c r="H30" i="13" l="1"/>
  <c r="B53" i="6" l="1"/>
  <c r="L7" i="14" l="1"/>
  <c r="L24" i="14" s="1"/>
  <c r="R18" i="13"/>
  <c r="R22" i="13"/>
  <c r="K7" i="14"/>
  <c r="K24" i="14" s="1"/>
  <c r="M7" i="14"/>
  <c r="M24" i="14" s="1"/>
  <c r="R24" i="13"/>
  <c r="L28" i="13"/>
  <c r="R26" i="13"/>
  <c r="L26" i="13"/>
  <c r="R30" i="13"/>
  <c r="L30" i="13"/>
  <c r="R28" i="13"/>
  <c r="G7" i="14"/>
  <c r="G24" i="14" s="1"/>
  <c r="E7" i="14"/>
  <c r="E24" i="14" s="1"/>
  <c r="H7" i="14"/>
  <c r="H24" i="14" s="1"/>
  <c r="F7" i="14"/>
  <c r="F24" i="14" s="1"/>
  <c r="J7" i="14"/>
  <c r="J24" i="14" s="1"/>
  <c r="I7" i="14"/>
  <c r="I24" i="14" s="1"/>
  <c r="O7" i="14"/>
  <c r="O24" i="14" s="1"/>
  <c r="N7" i="14"/>
  <c r="N24" i="14" s="1"/>
  <c r="L8" i="13" l="1"/>
  <c r="X20" i="13"/>
  <c r="R8" i="13"/>
  <c r="L14" i="13"/>
  <c r="X28" i="13"/>
  <c r="M14" i="6"/>
  <c r="L16" i="13"/>
  <c r="L22" i="13"/>
  <c r="X22" i="13"/>
  <c r="X16" i="13"/>
  <c r="R20" i="13"/>
  <c r="L20" i="13"/>
  <c r="X8" i="13"/>
  <c r="X14" i="13"/>
  <c r="R16" i="13"/>
  <c r="B13" i="6"/>
  <c r="L10" i="13"/>
  <c r="D7" i="14"/>
  <c r="B16" i="6"/>
  <c r="L12" i="13"/>
  <c r="L24" i="13"/>
  <c r="R12" i="13"/>
  <c r="R14" i="13"/>
  <c r="X12" i="13"/>
  <c r="X10" i="13"/>
  <c r="X26" i="13"/>
  <c r="L14" i="6"/>
  <c r="L18" i="13"/>
  <c r="N14" i="6"/>
  <c r="X30" i="13"/>
  <c r="R10" i="13"/>
  <c r="X24" i="13"/>
  <c r="X18" i="13"/>
  <c r="I14" i="6" l="1"/>
  <c r="I54" i="6" s="1"/>
  <c r="B34" i="6"/>
  <c r="D106" i="16" s="1"/>
  <c r="J14" i="6"/>
  <c r="J54" i="6" s="1"/>
  <c r="K14" i="6"/>
  <c r="L5" i="14" s="1"/>
  <c r="L21" i="14" s="1"/>
  <c r="L54" i="6"/>
  <c r="M5" i="14"/>
  <c r="M21" i="14" s="1"/>
  <c r="N54" i="6"/>
  <c r="O5" i="14"/>
  <c r="O21" i="14" s="1"/>
  <c r="E14" i="6"/>
  <c r="O204" i="16"/>
  <c r="O99" i="18"/>
  <c r="B7" i="6"/>
  <c r="N5" i="14"/>
  <c r="N21" i="14" s="1"/>
  <c r="M54" i="6"/>
  <c r="D24" i="14"/>
  <c r="C24" i="14" s="1"/>
  <c r="C7" i="14"/>
  <c r="H14" i="6"/>
  <c r="D14" i="6"/>
  <c r="B5" i="6"/>
  <c r="F14" i="6"/>
  <c r="J5" i="14"/>
  <c r="J21" i="14" s="1"/>
  <c r="G14" i="6"/>
  <c r="B6" i="6"/>
  <c r="C14" i="6"/>
  <c r="AB8" i="13"/>
  <c r="D8" i="13"/>
  <c r="C19" i="6" l="1"/>
  <c r="K54" i="6"/>
  <c r="K5" i="14"/>
  <c r="K21" i="14" s="1"/>
  <c r="Z8" i="13"/>
  <c r="D10" i="13" s="1"/>
  <c r="AB10" i="13"/>
  <c r="G5" i="14"/>
  <c r="G21" i="14" s="1"/>
  <c r="F54" i="6"/>
  <c r="B14" i="6"/>
  <c r="O60" i="18" s="1"/>
  <c r="D54" i="6"/>
  <c r="E5" i="14"/>
  <c r="E21" i="14" s="1"/>
  <c r="C54" i="6"/>
  <c r="D5" i="14"/>
  <c r="H54" i="6"/>
  <c r="I5" i="14"/>
  <c r="I21" i="14" s="1"/>
  <c r="F5" i="14"/>
  <c r="F21" i="14" s="1"/>
  <c r="E54" i="6"/>
  <c r="G54" i="6"/>
  <c r="H5" i="14"/>
  <c r="H21" i="14" s="1"/>
  <c r="D19" i="6" l="1"/>
  <c r="C5" i="14"/>
  <c r="D21" i="14"/>
  <c r="C21" i="14" s="1"/>
  <c r="O51" i="18"/>
  <c r="O46" i="18"/>
  <c r="D55" i="16"/>
  <c r="D38" i="18"/>
  <c r="D60" i="18"/>
  <c r="D55" i="18"/>
  <c r="O55" i="18"/>
  <c r="D51" i="18"/>
  <c r="D64" i="18"/>
  <c r="D46" i="18"/>
  <c r="Z10" i="13"/>
  <c r="D12" i="13" s="1"/>
  <c r="AB12" i="13"/>
  <c r="B54" i="6"/>
  <c r="E19" i="6" l="1"/>
  <c r="AB14" i="13"/>
  <c r="F19" i="6" s="1"/>
  <c r="Z12" i="13"/>
  <c r="D14" i="13" s="1"/>
  <c r="A33" i="18"/>
  <c r="F26" i="14"/>
  <c r="E22" i="14"/>
  <c r="E26" i="14"/>
  <c r="J30" i="14"/>
  <c r="O26" i="14"/>
  <c r="D30" i="14"/>
  <c r="N22" i="14"/>
  <c r="M30" i="14"/>
  <c r="G30" i="14"/>
  <c r="N30" i="14"/>
  <c r="G26" i="14"/>
  <c r="L30" i="14"/>
  <c r="K26" i="14"/>
  <c r="H30" i="14"/>
  <c r="I26" i="14"/>
  <c r="J26" i="14"/>
  <c r="I22" i="14"/>
  <c r="L26" i="14"/>
  <c r="K30" i="14"/>
  <c r="L22" i="14"/>
  <c r="D22" i="14"/>
  <c r="M22" i="14"/>
  <c r="I30" i="14"/>
  <c r="E30" i="14"/>
  <c r="H22" i="14"/>
  <c r="F22" i="14"/>
  <c r="D26" i="14"/>
  <c r="F30" i="14"/>
  <c r="J22" i="14"/>
  <c r="M26" i="14"/>
  <c r="K22" i="14"/>
  <c r="H26" i="14"/>
  <c r="G22" i="14"/>
  <c r="N26" i="14"/>
  <c r="O30" i="14"/>
  <c r="O22" i="14"/>
  <c r="O28" i="14" l="1"/>
  <c r="O32" i="14" s="1"/>
  <c r="O34" i="14" s="1"/>
  <c r="K28" i="14"/>
  <c r="K32" i="14" s="1"/>
  <c r="K34" i="14" s="1"/>
  <c r="G28" i="14"/>
  <c r="G32" i="14" s="1"/>
  <c r="G34" i="14" s="1"/>
  <c r="F28" i="14"/>
  <c r="F32" i="14" s="1"/>
  <c r="F34" i="14" s="1"/>
  <c r="E28" i="14"/>
  <c r="E32" i="14" s="1"/>
  <c r="E34" i="14" s="1"/>
  <c r="H28" i="14"/>
  <c r="H32" i="14" s="1"/>
  <c r="H34" i="14" s="1"/>
  <c r="I28" i="14"/>
  <c r="I32" i="14" s="1"/>
  <c r="I34" i="14" s="1"/>
  <c r="C26" i="14"/>
  <c r="N28" i="14"/>
  <c r="N32" i="14" s="1"/>
  <c r="N34" i="14" s="1"/>
  <c r="M28" i="14"/>
  <c r="M32" i="14" s="1"/>
  <c r="M34" i="14" s="1"/>
  <c r="C30" i="14"/>
  <c r="J28" i="14"/>
  <c r="J32" i="14" s="1"/>
  <c r="J34" i="14" s="1"/>
  <c r="D28" i="14"/>
  <c r="C22" i="14"/>
  <c r="L28" i="14"/>
  <c r="L32" i="14" s="1"/>
  <c r="L34" i="14" s="1"/>
  <c r="Z14" i="13"/>
  <c r="D16" i="13" s="1"/>
  <c r="AB16" i="13"/>
  <c r="G19" i="6" l="1"/>
  <c r="AB18" i="13"/>
  <c r="Z16" i="13"/>
  <c r="D18" i="13" s="1"/>
  <c r="C28" i="14"/>
  <c r="D32" i="14"/>
  <c r="H19" i="6" l="1"/>
  <c r="AB20" i="13"/>
  <c r="I19" i="6" s="1"/>
  <c r="Z18" i="13"/>
  <c r="D20" i="13" s="1"/>
  <c r="D34" i="14"/>
  <c r="C34" i="14" s="1"/>
  <c r="C32" i="14"/>
  <c r="Z20" i="13" l="1"/>
  <c r="D22" i="13" s="1"/>
  <c r="AB22" i="13"/>
  <c r="J19" i="6" s="1"/>
  <c r="Z22" i="13" l="1"/>
  <c r="D24" i="13" s="1"/>
  <c r="AB24" i="13"/>
  <c r="K19" i="6" l="1"/>
  <c r="AB26" i="13"/>
  <c r="Z24" i="13"/>
  <c r="D26" i="13" s="1"/>
  <c r="L19" i="6" l="1"/>
  <c r="Z26" i="13"/>
  <c r="D28" i="13" s="1"/>
  <c r="AB28" i="13"/>
  <c r="M19" i="6" l="1"/>
  <c r="Z28" i="13"/>
  <c r="D30" i="13" s="1"/>
  <c r="AB30" i="13"/>
  <c r="N19" i="6" s="1"/>
  <c r="Z30" i="13" l="1"/>
  <c r="M22" i="6" l="1"/>
  <c r="N9" i="14" s="1"/>
  <c r="N11" i="14" s="1"/>
  <c r="G22" i="6"/>
  <c r="H9" i="14" s="1"/>
  <c r="H11" i="14" s="1"/>
  <c r="J22" i="6"/>
  <c r="K9" i="14" s="1"/>
  <c r="K11" i="14" s="1"/>
  <c r="N22" i="6"/>
  <c r="O9" i="14" s="1"/>
  <c r="O11" i="14" s="1"/>
  <c r="M24" i="6"/>
  <c r="L22" i="6"/>
  <c r="I22" i="6"/>
  <c r="K22" i="6"/>
  <c r="H22" i="6"/>
  <c r="F22" i="6"/>
  <c r="B33" i="6"/>
  <c r="D110" i="16" s="1"/>
  <c r="G24" i="6" l="1"/>
  <c r="J24" i="6"/>
  <c r="B28" i="6"/>
  <c r="D86" i="16" s="1"/>
  <c r="B31" i="6"/>
  <c r="B42" i="6"/>
  <c r="N24" i="6"/>
  <c r="B27" i="6"/>
  <c r="D82" i="16" s="1"/>
  <c r="B32" i="6"/>
  <c r="D94" i="16" s="1"/>
  <c r="C22" i="6"/>
  <c r="B19" i="6"/>
  <c r="B20" i="6"/>
  <c r="D70" i="16" s="1"/>
  <c r="E22" i="6"/>
  <c r="G9" i="14"/>
  <c r="G11" i="14" s="1"/>
  <c r="F24" i="6"/>
  <c r="D22" i="6"/>
  <c r="L24" i="6"/>
  <c r="M9" i="14"/>
  <c r="M11" i="14" s="1"/>
  <c r="B21" i="6"/>
  <c r="B29" i="6"/>
  <c r="D90" i="16" s="1"/>
  <c r="H24" i="6"/>
  <c r="I9" i="14"/>
  <c r="I11" i="14" s="1"/>
  <c r="K24" i="6"/>
  <c r="L9" i="14"/>
  <c r="L11" i="14" s="1"/>
  <c r="J9" i="14"/>
  <c r="J11" i="14" s="1"/>
  <c r="I24" i="6"/>
  <c r="B39" i="6" l="1"/>
  <c r="B38" i="6"/>
  <c r="E9" i="14"/>
  <c r="E11" i="14" s="1"/>
  <c r="D24" i="6"/>
  <c r="E24" i="6"/>
  <c r="F9" i="14"/>
  <c r="F11" i="14" s="1"/>
  <c r="B41" i="6"/>
  <c r="B40" i="6"/>
  <c r="D66" i="16"/>
  <c r="B22" i="6"/>
  <c r="B24" i="6" s="1"/>
  <c r="B37" i="6"/>
  <c r="D9" i="14"/>
  <c r="C24" i="6"/>
  <c r="D118" i="16" l="1"/>
  <c r="D11" i="14"/>
  <c r="C11" i="14" s="1"/>
  <c r="C9" i="14"/>
  <c r="D152" i="16" l="1"/>
  <c r="D144" i="16" l="1"/>
  <c r="D139" i="16"/>
  <c r="D80" i="18"/>
  <c r="O139" i="16"/>
  <c r="O144" i="16"/>
  <c r="O149" i="16" l="1"/>
  <c r="O169" i="16" s="1"/>
  <c r="H44" i="6"/>
  <c r="G44" i="6"/>
  <c r="F44" i="6"/>
  <c r="E44" i="6"/>
  <c r="D44" i="6"/>
  <c r="C44" i="6"/>
  <c r="N44" i="6"/>
  <c r="M44" i="6"/>
  <c r="L44" i="6"/>
  <c r="K44" i="6"/>
  <c r="J44" i="6"/>
  <c r="I44" i="6"/>
  <c r="D85" i="18"/>
  <c r="O160" i="16"/>
  <c r="O85" i="18"/>
  <c r="D43" i="6"/>
  <c r="C43" i="6"/>
  <c r="M43" i="6"/>
  <c r="L43" i="6"/>
  <c r="N43" i="6"/>
  <c r="J43" i="6"/>
  <c r="K43" i="6"/>
  <c r="I43" i="6"/>
  <c r="G43" i="6"/>
  <c r="F43" i="6"/>
  <c r="H43" i="6"/>
  <c r="E43" i="6"/>
  <c r="C38" i="14"/>
  <c r="O80" i="18"/>
  <c r="B44" i="6" l="1"/>
  <c r="B43" i="6"/>
  <c r="D114" i="16" l="1"/>
  <c r="C37" i="14"/>
  <c r="C39" i="14" s="1"/>
  <c r="C41" i="14" s="1"/>
  <c r="O122" i="16"/>
  <c r="D174" i="16" s="1"/>
  <c r="O114" i="16"/>
  <c r="C44" i="14" l="1"/>
  <c r="C42" i="14"/>
  <c r="C43" i="14"/>
  <c r="C46" i="14" l="1"/>
  <c r="C6" i="12" l="1"/>
  <c r="C7" i="12"/>
  <c r="C10" i="12"/>
  <c r="C13" i="12"/>
  <c r="C12" i="12"/>
  <c r="C8" i="12"/>
  <c r="C9" i="12"/>
  <c r="C5" i="12"/>
  <c r="C15" i="12"/>
  <c r="C14" i="12"/>
  <c r="C11" i="12"/>
  <c r="C4" i="12"/>
  <c r="G5" i="12" l="1"/>
  <c r="D26" i="6"/>
  <c r="G9" i="12"/>
  <c r="H26" i="6"/>
  <c r="G13" i="12"/>
  <c r="L26" i="6"/>
  <c r="G12" i="12"/>
  <c r="K26" i="6"/>
  <c r="G14" i="12"/>
  <c r="M26" i="6"/>
  <c r="G15" i="12"/>
  <c r="N26" i="6"/>
  <c r="G10" i="12"/>
  <c r="I26" i="6"/>
  <c r="G4" i="12"/>
  <c r="C26" i="6"/>
  <c r="G11" i="12"/>
  <c r="J26" i="6"/>
  <c r="G7" i="12"/>
  <c r="F26" i="6"/>
  <c r="G8" i="12"/>
  <c r="G26" i="6"/>
  <c r="G6" i="12"/>
  <c r="E26" i="6"/>
  <c r="B26" i="6" l="1"/>
  <c r="D74" i="16" s="1"/>
  <c r="D30" i="6" l="1"/>
  <c r="D45" i="6" s="1"/>
  <c r="C30" i="6"/>
  <c r="E13" i="14" l="1"/>
  <c r="E15" i="14" s="1"/>
  <c r="E17" i="14" s="1"/>
  <c r="D47" i="6"/>
  <c r="D49" i="6" s="1"/>
  <c r="D55" i="6" s="1"/>
  <c r="C45" i="6"/>
  <c r="D13" i="14" l="1"/>
  <c r="C47" i="6"/>
  <c r="C49" i="6" s="1"/>
  <c r="C55" i="6" s="1"/>
  <c r="D15" i="14" l="1"/>
  <c r="E30" i="6"/>
  <c r="E45" i="6" l="1"/>
  <c r="D17" i="14"/>
  <c r="F30" i="6"/>
  <c r="F45" i="6" s="1"/>
  <c r="F47" i="6" l="1"/>
  <c r="F49" i="6" s="1"/>
  <c r="F55" i="6" s="1"/>
  <c r="G13" i="14"/>
  <c r="G15" i="14" s="1"/>
  <c r="G17" i="14" s="1"/>
  <c r="E47" i="6"/>
  <c r="E49" i="6" s="1"/>
  <c r="E55" i="6" s="1"/>
  <c r="F13" i="14"/>
  <c r="G30" i="6"/>
  <c r="G45" i="6" s="1"/>
  <c r="I30" i="6"/>
  <c r="I45" i="6" s="1"/>
  <c r="I47" i="6" l="1"/>
  <c r="I49" i="6" s="1"/>
  <c r="I55" i="6" s="1"/>
  <c r="J13" i="14"/>
  <c r="J15" i="14" s="1"/>
  <c r="J17" i="14" s="1"/>
  <c r="H13" i="14"/>
  <c r="H15" i="14" s="1"/>
  <c r="H17" i="14" s="1"/>
  <c r="G47" i="6"/>
  <c r="G49" i="6" s="1"/>
  <c r="G55" i="6" s="1"/>
  <c r="F15" i="14"/>
  <c r="H30" i="6"/>
  <c r="H45" i="6" s="1"/>
  <c r="F17" i="14" l="1"/>
  <c r="H47" i="6"/>
  <c r="H49" i="6" s="1"/>
  <c r="H55" i="6" s="1"/>
  <c r="I13" i="14"/>
  <c r="I15" i="14" l="1"/>
  <c r="J30" i="6"/>
  <c r="J45" i="6" s="1"/>
  <c r="J47" i="6" l="1"/>
  <c r="J49" i="6" s="1"/>
  <c r="J55" i="6" s="1"/>
  <c r="K13" i="14"/>
  <c r="I17" i="14"/>
  <c r="K30" i="6"/>
  <c r="K45" i="6" s="1"/>
  <c r="K15" i="14" l="1"/>
  <c r="L13" i="14"/>
  <c r="L15" i="14" s="1"/>
  <c r="L17" i="14" s="1"/>
  <c r="K47" i="6"/>
  <c r="K49" i="6" s="1"/>
  <c r="K55" i="6" s="1"/>
  <c r="L30" i="6"/>
  <c r="L45" i="6" s="1"/>
  <c r="M13" i="14" l="1"/>
  <c r="L47" i="6"/>
  <c r="L49" i="6" s="1"/>
  <c r="L55" i="6" s="1"/>
  <c r="K17" i="14"/>
  <c r="M30" i="6"/>
  <c r="M45" i="6" s="1"/>
  <c r="N30" i="6"/>
  <c r="N45" i="6" l="1"/>
  <c r="B30" i="6"/>
  <c r="N13" i="14"/>
  <c r="N15" i="14" s="1"/>
  <c r="N17" i="14" s="1"/>
  <c r="M47" i="6"/>
  <c r="M49" i="6" s="1"/>
  <c r="M55" i="6" s="1"/>
  <c r="M15" i="14"/>
  <c r="M17" i="14" l="1"/>
  <c r="B45" i="6"/>
  <c r="D78" i="16"/>
  <c r="O13" i="14"/>
  <c r="N47" i="6"/>
  <c r="N49" i="6" s="1"/>
  <c r="N55" i="6" s="1"/>
  <c r="B55" i="6" s="1"/>
  <c r="O15" i="14" l="1"/>
  <c r="C13" i="14"/>
  <c r="D122" i="16"/>
  <c r="B47" i="6"/>
  <c r="B49" i="6" s="1"/>
  <c r="O64" i="18"/>
  <c r="D71" i="18" l="1"/>
  <c r="O71" i="18"/>
  <c r="O106" i="18" s="1"/>
  <c r="O94" i="18" s="1"/>
  <c r="D55" i="17" s="1"/>
  <c r="O55" i="17" s="1"/>
  <c r="D124" i="18" s="1"/>
  <c r="O129" i="16"/>
  <c r="D129" i="16"/>
  <c r="O174" i="16" s="1"/>
  <c r="O17" i="14"/>
  <c r="C17" i="14" s="1"/>
  <c r="C15" i="14"/>
  <c r="O194" i="16" l="1"/>
  <c r="O199" i="16" s="1"/>
  <c r="O210" i="16" s="1"/>
  <c r="E5" i="8" s="1"/>
  <c r="O179" i="16"/>
  <c r="D219" i="16" s="1"/>
  <c r="O224" i="16" s="1"/>
  <c r="D99" i="18"/>
  <c r="D106" i="18" s="1"/>
  <c r="E16" i="8" l="1"/>
  <c r="E6" i="8"/>
  <c r="E7" i="8" s="1"/>
  <c r="E15" i="8"/>
  <c r="E8" i="8" l="1"/>
  <c r="E9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<sst xmlns="http://schemas.openxmlformats.org/spreadsheetml/2006/main" count="749" uniqueCount="398">
  <si>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</si>
  <si>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</si>
  <si>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</si>
  <si>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</si>
  <si>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</si>
  <si>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</si>
  <si>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</si>
  <si>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</si>
  <si>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</si>
  <si>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</si>
  <si>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</si>
  <si>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</si>
  <si>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</si>
  <si>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</si>
  <si>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</si>
  <si>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</si>
  <si>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</si>
  <si>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</si>
  <si>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</si>
  <si>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</si>
  <si>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</si>
  <si>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</si>
  <si>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</si>
  <si>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</si>
  <si>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</si>
  <si>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</si>
  <si>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</si>
  <si>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</si>
  <si>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</si>
  <si>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</si>
  <si>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</si>
  <si>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</si>
  <si>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</si>
  <si>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</si>
  <si>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</si>
  <si>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</si>
  <si>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</si>
  <si>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</si>
  <si>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</si>
  <si>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</si>
  <si>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</si>
  <si>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</si>
  <si>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</si>
  <si>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</si>
  <si>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</si>
  <si>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</si>
  <si>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</si>
  <si>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</si>
  <si>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</si>
  <si>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</si>
  <si>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</si>
  <si>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</si>
  <si>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</si>
  <si>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</si>
  <si>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</si>
  <si>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</si>
  <si>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</si>
  <si>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</si>
  <si>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</si>
  <si>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Bad Debts written off</t>
  </si>
  <si>
    <t>Bank Interest Paid</t>
  </si>
  <si>
    <t>Operating Profit</t>
  </si>
  <si>
    <t>Interest received</t>
  </si>
  <si>
    <t>Profit (Loss) before Tax</t>
  </si>
  <si>
    <t>HP Interest Lease Bank Charges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</si>
  <si>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</si>
  <si>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</si>
  <si>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</si>
  <si>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</si>
  <si>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</si>
  <si>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</si>
  <si>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</si>
  <si>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</si>
  <si>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</si>
  <si>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</si>
  <si>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</si>
  <si>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</si>
  <si>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</si>
  <si>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</si>
  <si>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</si>
  <si>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</si>
  <si>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</si>
  <si>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</si>
  <si>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</si>
  <si>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</si>
  <si>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</si>
  <si>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</si>
  <si>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</si>
  <si>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</si>
  <si>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</si>
  <si>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</si>
  <si>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</si>
  <si>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</si>
  <si>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</si>
  <si>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</si>
  <si>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</si>
  <si>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</si>
  <si>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</si>
  <si>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</si>
  <si>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</si>
  <si>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</si>
  <si>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</si>
  <si>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</si>
  <si>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</si>
  <si>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</si>
  <si>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</si>
  <si>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</si>
  <si>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</si>
  <si>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</si>
  <si>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</si>
  <si>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</si>
  <si>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</si>
  <si>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</si>
  <si>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</si>
  <si>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</si>
  <si>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</si>
  <si>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</si>
  <si>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</si>
  <si>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</si>
  <si>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</si>
  <si>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</si>
  <si>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</si>
  <si>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</si>
  <si>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</si>
  <si>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</si>
  <si>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</si>
  <si>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</si>
  <si>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</si>
  <si>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</si>
  <si>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</si>
  <si>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</si>
  <si>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</si>
  <si>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</si>
  <si>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</si>
  <si>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</si>
  <si>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</si>
  <si>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</si>
  <si>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</si>
  <si>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</si>
  <si>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</si>
  <si>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</si>
  <si>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</si>
  <si>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</si>
  <si>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</si>
  <si>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</si>
  <si>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</si>
  <si>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</si>
  <si>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</si>
  <si>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</si>
  <si>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</si>
  <si>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</si>
  <si>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</si>
  <si>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</si>
  <si>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</si>
  <si>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</si>
  <si>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</si>
  <si>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</si>
  <si>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</si>
  <si>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</si>
  <si>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</si>
  <si>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</si>
  <si>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</si>
  <si>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</si>
  <si>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</si>
  <si>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</si>
  <si>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</si>
  <si>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</si>
  <si>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</si>
  <si>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</si>
  <si>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</si>
  <si>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</si>
  <si>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</si>
  <si>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</si>
  <si>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</si>
  <si>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</si>
  <si>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</si>
  <si>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</si>
  <si>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</si>
  <si>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</si>
  <si>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</si>
  <si>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</si>
  <si>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</si>
  <si>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</si>
  <si>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</si>
  <si>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</si>
  <si>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</si>
  <si>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</si>
  <si>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</si>
  <si>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</si>
  <si>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</si>
  <si>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</si>
  <si>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</si>
  <si>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</si>
  <si>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</si>
  <si>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</si>
  <si>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</si>
  <si>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</si>
  <si>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</si>
  <si>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</si>
  <si>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</si>
  <si>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</si>
  <si>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</si>
  <si>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</si>
  <si>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</si>
  <si>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</si>
  <si>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</si>
  <si>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</si>
  <si>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</si>
  <si>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</si>
  <si>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</si>
  <si>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</si>
  <si>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</si>
  <si>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</si>
  <si>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</si>
  <si>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</si>
  <si>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</si>
  <si>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</si>
  <si>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</si>
  <si>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</si>
  <si>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</si>
  <si>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</si>
  <si>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</si>
  <si>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</si>
  <si>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</si>
  <si>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</si>
  <si>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</si>
  <si>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</si>
  <si>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</si>
  <si>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</si>
  <si>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</si>
  <si>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</si>
  <si>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</si>
  <si>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</si>
  <si>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</si>
  <si>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</si>
  <si>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</si>
  <si>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</si>
  <si>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</si>
  <si>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</si>
  <si>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</si>
  <si>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</si>
  <si>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</si>
  <si>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</si>
  <si>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</si>
  <si>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</si>
  <si>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</si>
  <si>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</si>
  <si>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</si>
  <si>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</si>
  <si>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</si>
  <si>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</si>
  <si>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</si>
  <si>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</si>
  <si>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</si>
  <si>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</si>
  <si>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</si>
  <si>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</si>
  <si>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</si>
  <si>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</si>
  <si>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</si>
  <si>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</si>
  <si>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</si>
  <si>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</si>
  <si>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</si>
  <si>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</si>
  <si>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</si>
  <si>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</si>
  <si>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</si>
  <si>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</si>
  <si>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</si>
  <si>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</si>
  <si>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</si>
  <si>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</si>
  <si>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</si>
  <si>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</si>
  <si>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</si>
  <si>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</si>
  <si>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</si>
  <si>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</si>
  <si>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</si>
  <si>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</si>
  <si>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</si>
  <si>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</si>
  <si>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</si>
  <si>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</si>
  <si>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</si>
  <si>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</si>
  <si>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</si>
  <si>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</si>
  <si>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</si>
  <si>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</si>
  <si>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</si>
  <si>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</si>
  <si>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</si>
  <si>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</si>
  <si>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</si>
  <si>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</si>
  <si>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</si>
  <si>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</si>
  <si>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</si>
  <si>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</si>
  <si>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</si>
  <si>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</si>
  <si>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</si>
  <si>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</si>
  <si>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</si>
  <si>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</si>
  <si>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8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</si>
  <si>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</si>
  <si>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£30,000</t>
    </r>
  </si>
  <si>
    <t>you may just put your total expenses in box 19,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</si>
  <si>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</si>
  <si>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</si>
  <si>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</si>
  <si>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</si>
  <si>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</si>
  <si>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</si>
  <si>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10 to 18</t>
    </r>
  </si>
  <si>
    <t>expenses (box 8 + box 9 minus box 19)</t>
  </si>
  <si>
    <t>income (box 8 + box 9 minus box 19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</si>
  <si>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</si>
  <si>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</si>
  <si>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</si>
  <si>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</si>
  <si>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</si>
  <si>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</si>
  <si>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</si>
  <si>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</si>
  <si>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8 or 9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</si>
  <si>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</si>
  <si>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</si>
  <si>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</si>
  <si>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29),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30 to 32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</si>
  <si>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</si>
  <si>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</si>
  <si>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</si>
  <si>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</si>
  <si>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</si>
  <si>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</si>
  <si>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</si>
  <si>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</si>
  <si>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</si>
  <si>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</si>
  <si>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</si>
  <si>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</si>
  <si>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</si>
  <si>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</si>
  <si>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</si>
  <si>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</si>
  <si>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</si>
  <si>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</si>
  <si>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</si>
  <si>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</si>
  <si>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</si>
  <si>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</si>
  <si>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</si>
  <si>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</si>
  <si>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</si>
  <si>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</si>
  <si>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</si>
  <si>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</si>
  <si>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</si>
  <si>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</si>
  <si>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</si>
  <si>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</si>
  <si>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</si>
  <si>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</si>
  <si>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</si>
  <si>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</si>
  <si>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</si>
  <si>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</si>
  <si>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</si>
  <si>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</si>
  <si>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</si>
  <si>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</si>
  <si>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</si>
  <si>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</si>
  <si>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</si>
  <si>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</si>
  <si>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</si>
  <si>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27</t>
    </r>
  </si>
  <si>
    <t>Net business profit for tax purposes (if box 20 + box 25 +</t>
  </si>
  <si>
    <t>box 26 minus boxes 21 to 24) is positive)</t>
  </si>
  <si>
    <t>Total taxable profits from this business</t>
  </si>
  <si>
    <t>Net business loss for tax purposes (if boxes 21 to 24</t>
  </si>
  <si>
    <t>if box 27 + box 29 minus box 28 is positive</t>
  </si>
  <si>
    <t>minus (box 20 + box 25 + box 26)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</si>
  <si>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</si>
  <si>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</si>
  <si>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</si>
  <si>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</si>
  <si>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</si>
  <si>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</si>
  <si>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</si>
  <si>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</si>
  <si>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COPY DETAILS TO HMRC FORM          Submit HMRC RETURN ONLINE                   by 31st January 2025</t>
  </si>
  <si>
    <t>2025-26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</si>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</sst>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6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3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  <row r="3">
          <cell r="P3" t="str">
            <v>Product A Sales</v>
          </cell>
          <cell r="Q3" t="str">
            <v>Product B Sales</v>
          </cell>
          <cell r="R3" t="str">
            <v>Product C Sales</v>
          </cell>
          <cell r="S3" t="str">
            <v>Product 4 Sales</v>
          </cell>
          <cell r="T3" t="str">
            <v>Product 5 Sales</v>
          </cell>
          <cell r="U3" t="str">
            <v>Product 6 Sales</v>
          </cell>
          <cell r="V3" t="str">
            <v>Product 7 Sales</v>
          </cell>
          <cell r="W3" t="str">
            <v>Product 8 Sales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B1">
            <v>0</v>
          </cell>
          <cell r="AC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  <row r="2">
          <cell r="U2" t="str">
            <v>Repairs and Renewals</v>
          </cell>
          <cell r="V2" t="str">
            <v>Post and Stationery</v>
          </cell>
          <cell r="X2" t="str">
            <v>Travelling and Subsistence</v>
          </cell>
          <cell r="Y2" t="str">
            <v>Advertising</v>
          </cell>
          <cell r="Z2" t="str">
            <v>Accountancy and Legal Costs</v>
          </cell>
          <cell r="AA2" t="str">
            <v>Research and Reference Costs</v>
          </cell>
          <cell r="AB2" t="str">
            <v xml:space="preserve">Telephone Broadband and Media </v>
          </cell>
          <cell r="AC2" t="str">
            <v xml:space="preserve">Computer Consumables </v>
          </cell>
          <cell r="AD2" t="str">
            <v xml:space="preserve">Subscriptions </v>
          </cell>
          <cell r="AE2" t="str">
            <v xml:space="preserve">Sundry Expenses </v>
          </cell>
          <cell r="AF2" t="str">
            <v>Other Expenses</v>
          </cell>
        </row>
        <row r="3">
          <cell r="T3" t="str">
            <v>Use of Residence</v>
          </cell>
          <cell r="W3" t="str">
            <v>Motor Vehicle Expenses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6"/>
  <sheetViews>
    <sheetView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297" t="s">
        <v>135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9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136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137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00"/>
      <c r="D5" s="301"/>
      <c r="E5" s="301"/>
      <c r="F5" s="301"/>
      <c r="G5" s="301"/>
      <c r="H5" s="301"/>
      <c r="I5" s="301"/>
      <c r="J5" s="302"/>
      <c r="K5" s="181"/>
      <c r="L5" s="181"/>
      <c r="M5" s="181"/>
      <c r="N5" s="181"/>
      <c r="O5" s="300"/>
      <c r="P5" s="302"/>
      <c r="Q5" s="181"/>
      <c r="R5" s="300"/>
      <c r="S5" s="301"/>
      <c r="T5" s="301"/>
      <c r="U5" s="302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00"/>
      <c r="D7" s="301"/>
      <c r="E7" s="301"/>
      <c r="F7" s="301"/>
      <c r="G7" s="301"/>
      <c r="H7" s="301"/>
      <c r="I7" s="301"/>
      <c r="J7" s="302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295" t="s">
        <v>18</v>
      </c>
      <c r="B9" s="295"/>
      <c r="C9" s="295"/>
      <c r="D9" s="295"/>
      <c r="E9" s="295"/>
      <c r="F9" s="295"/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6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138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139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00"/>
      <c r="D12" s="301"/>
      <c r="E12" s="301"/>
      <c r="F12" s="301"/>
      <c r="G12" s="301"/>
      <c r="H12" s="301"/>
      <c r="I12" s="301"/>
      <c r="J12" s="302"/>
      <c r="K12" s="181"/>
      <c r="L12" s="181"/>
      <c r="M12" s="181"/>
      <c r="N12" s="195" t="s">
        <v>140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141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00"/>
      <c r="D14" s="301"/>
      <c r="E14" s="301"/>
      <c r="F14" s="301"/>
      <c r="G14" s="301"/>
      <c r="H14" s="301"/>
      <c r="I14" s="301"/>
      <c r="J14" s="302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142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143</v>
      </c>
      <c r="O16" s="182"/>
      <c r="P16" s="182"/>
      <c r="Q16" s="182"/>
      <c r="R16" s="181"/>
      <c r="S16" s="306">
        <f>Admin!B4</f>
        <v>45753</v>
      </c>
      <c r="T16" s="307"/>
      <c r="U16" s="307"/>
      <c r="V16" s="307"/>
      <c r="W16" s="187"/>
    </row>
    <row r="17" spans="1:23" ht="15" customHeight="1" x14ac:dyDescent="0.15">
      <c r="A17" s="185"/>
      <c r="B17" s="181"/>
      <c r="C17" s="300"/>
      <c r="D17" s="301"/>
      <c r="E17" s="301"/>
      <c r="F17" s="301"/>
      <c r="G17" s="301"/>
      <c r="H17" s="301"/>
      <c r="I17" s="301"/>
      <c r="J17" s="302"/>
      <c r="K17" s="181"/>
      <c r="L17" s="181"/>
      <c r="M17" s="181"/>
      <c r="N17" s="182" t="s">
        <v>144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00"/>
      <c r="D19" s="301"/>
      <c r="E19" s="301"/>
      <c r="F19" s="301"/>
      <c r="G19" s="301"/>
      <c r="H19" s="301"/>
      <c r="I19" s="301"/>
      <c r="J19" s="302"/>
      <c r="K19" s="181"/>
      <c r="L19" s="181"/>
      <c r="M19" s="181"/>
      <c r="N19" s="303"/>
      <c r="O19" s="304"/>
      <c r="P19" s="304"/>
      <c r="Q19" s="305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00"/>
      <c r="D21" s="301"/>
      <c r="E21" s="301"/>
      <c r="F21" s="301"/>
      <c r="G21" s="301"/>
      <c r="H21" s="301"/>
      <c r="I21" s="301"/>
      <c r="J21" s="302"/>
      <c r="K21" s="181"/>
      <c r="L21" s="194">
        <v>7</v>
      </c>
      <c r="M21" s="181"/>
      <c r="N21" s="182" t="s">
        <v>145</v>
      </c>
      <c r="O21" s="182"/>
      <c r="P21" s="182"/>
      <c r="Q21" s="182"/>
      <c r="R21" s="181"/>
      <c r="S21" s="306">
        <f>Admin!B17</f>
        <v>46117</v>
      </c>
      <c r="T21" s="307"/>
      <c r="U21" s="307"/>
      <c r="V21" s="307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08" t="s">
        <v>146</v>
      </c>
      <c r="O22" s="308"/>
      <c r="P22" s="308"/>
      <c r="Q22" s="308"/>
      <c r="R22" s="308"/>
      <c r="S22" s="308"/>
      <c r="T22" s="308"/>
      <c r="U22" s="308"/>
      <c r="V22" s="308"/>
      <c r="W22" s="199"/>
    </row>
    <row r="23" spans="1:23" x14ac:dyDescent="0.15">
      <c r="A23" s="194">
        <v>3</v>
      </c>
      <c r="B23" s="181"/>
      <c r="C23" s="182" t="s">
        <v>147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08"/>
      <c r="O23" s="308"/>
      <c r="P23" s="308"/>
      <c r="Q23" s="308"/>
      <c r="R23" s="308"/>
      <c r="S23" s="308"/>
      <c r="T23" s="308"/>
      <c r="U23" s="308"/>
      <c r="V23" s="308"/>
      <c r="W23" s="199"/>
    </row>
    <row r="24" spans="1:23" ht="14" x14ac:dyDescent="0.15">
      <c r="A24" s="185"/>
      <c r="B24" s="181"/>
      <c r="C24" s="200" t="s">
        <v>148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03"/>
      <c r="O24" s="304"/>
      <c r="P24" s="304"/>
      <c r="Q24" s="305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00"/>
      <c r="D25" s="301"/>
      <c r="E25" s="301"/>
      <c r="F25" s="301"/>
      <c r="G25" s="301"/>
      <c r="H25" s="301"/>
      <c r="I25" s="301"/>
      <c r="J25" s="302"/>
      <c r="K25" s="181"/>
      <c r="L25" s="194">
        <v>8</v>
      </c>
      <c r="M25" s="181"/>
      <c r="N25" s="182" t="s">
        <v>149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150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00"/>
      <c r="D27" s="301"/>
      <c r="E27" s="301"/>
      <c r="F27" s="301"/>
      <c r="G27" s="301"/>
      <c r="H27" s="301"/>
      <c r="I27" s="301"/>
      <c r="J27" s="302"/>
      <c r="K27" s="181"/>
      <c r="L27" s="181"/>
      <c r="M27" s="181"/>
      <c r="N27" s="303"/>
      <c r="O27" s="304"/>
      <c r="P27" s="304"/>
      <c r="Q27" s="305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151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152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09"/>
      <c r="D30" s="310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153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154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03">
        <f>Admin!B17</f>
        <v>46117</v>
      </c>
      <c r="O32" s="304"/>
      <c r="P32" s="304"/>
      <c r="Q32" s="305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14" t="s">
        <v>155</v>
      </c>
      <c r="B34" s="314"/>
      <c r="C34" s="314"/>
      <c r="D34" s="314"/>
      <c r="E34" s="314"/>
      <c r="F34" s="314"/>
      <c r="G34" s="314"/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14"/>
      <c r="S34" s="314"/>
      <c r="T34" s="314"/>
      <c r="U34" s="314"/>
      <c r="V34" s="314"/>
      <c r="W34" s="314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s">
        <v>156</v>
      </c>
      <c r="D36" s="182"/>
      <c r="E36" s="182"/>
      <c r="F36" s="182"/>
      <c r="G36" s="182"/>
      <c r="H36" s="182"/>
      <c r="I36" s="182"/>
      <c r="J36" s="182"/>
      <c r="K36" s="182"/>
      <c r="L36" s="194">
        <v>12</v>
      </c>
      <c r="M36" s="181"/>
      <c r="N36" s="182" t="s">
        <v>157</v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s">
        <v>158</v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s">
        <v>159</v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>
        <v>11</v>
      </c>
      <c r="B41" s="181"/>
      <c r="C41" s="182" t="s">
        <v>160</v>
      </c>
      <c r="D41" s="182"/>
      <c r="E41" s="182"/>
      <c r="F41" s="182"/>
      <c r="G41" s="182"/>
      <c r="H41" s="182"/>
      <c r="I41" s="182"/>
      <c r="J41" s="182"/>
      <c r="K41" s="182"/>
      <c r="L41" s="194">
        <v>13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 t="s">
        <v>162</v>
      </c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s">
        <v>163</v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 t="s">
        <v>159</v>
      </c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96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164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165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166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15">
        <v>0</v>
      </c>
      <c r="E50" s="316"/>
      <c r="F50" s="317"/>
      <c r="G50" s="210" t="s">
        <v>167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15"/>
      <c r="P50" s="318"/>
      <c r="Q50" s="319"/>
      <c r="R50" s="210" t="s">
        <v>167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168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169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170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170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11">
        <f>'SE Short'!O94</f>
        <v>0</v>
      </c>
      <c r="E55" s="312"/>
      <c r="F55" s="313"/>
      <c r="G55" s="210" t="s">
        <v>167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11">
        <f>D50-D55+'SE Short'!O106</f>
        <v>0</v>
      </c>
      <c r="P55" s="312"/>
      <c r="Q55" s="313"/>
      <c r="R55" s="210" t="s">
        <v>167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3.83203125" style="221" customWidth="1"/>
    <col min="21" max="21" width="2.6640625" style="221" customWidth="1"/>
    <col min="22" max="22" width="7.664062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20" t="s">
        <v>295</v>
      </c>
      <c r="B1" s="321"/>
      <c r="C1" s="321"/>
      <c r="D1" s="321"/>
      <c r="E1" s="321"/>
      <c r="F1" s="321"/>
      <c r="G1" s="322" t="s">
        <v>395</v>
      </c>
      <c r="H1" s="323"/>
      <c r="I1" s="323"/>
      <c r="J1" s="323"/>
      <c r="K1" s="323"/>
      <c r="L1" s="323"/>
      <c r="M1" s="323"/>
      <c r="N1" s="324"/>
      <c r="O1" s="325" t="s">
        <v>296</v>
      </c>
      <c r="P1" s="325"/>
      <c r="Q1" s="325"/>
      <c r="R1" s="325"/>
      <c r="S1" s="325"/>
      <c r="T1" s="325"/>
      <c r="U1" s="325"/>
      <c r="V1" s="325"/>
      <c r="W1" s="325"/>
    </row>
    <row r="2" spans="1:23" ht="30" customHeight="1" x14ac:dyDescent="0.15">
      <c r="A2" s="321"/>
      <c r="B2" s="321"/>
      <c r="C2" s="321"/>
      <c r="D2" s="321"/>
      <c r="E2" s="321"/>
      <c r="F2" s="321"/>
      <c r="G2" s="323"/>
      <c r="H2" s="323"/>
      <c r="I2" s="323"/>
      <c r="J2" s="323"/>
      <c r="K2" s="323"/>
      <c r="L2" s="323"/>
      <c r="M2" s="323"/>
      <c r="N2" s="324"/>
      <c r="O2" s="326" t="s">
        <v>173</v>
      </c>
      <c r="P2" s="326"/>
      <c r="Q2" s="327">
        <f>Admin!B4</f>
        <v>45753</v>
      </c>
      <c r="R2" s="328"/>
      <c r="S2" s="328"/>
      <c r="T2" s="328"/>
      <c r="U2" s="222" t="s">
        <v>174</v>
      </c>
      <c r="V2" s="327">
        <f>Admin!B17</f>
        <v>46117</v>
      </c>
      <c r="W2" s="327"/>
    </row>
    <row r="3" spans="1:23" ht="8.25" customHeight="1" x14ac:dyDescent="0.15">
      <c r="A3" s="332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</row>
    <row r="4" spans="1:23" ht="10" customHeight="1" x14ac:dyDescent="0.15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5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136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137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36" t="str">
        <f>IF('Business Details'!C5&gt;0,'Business Details'!C5:J5," ")</f>
        <v xml:space="preserve"> </v>
      </c>
      <c r="D8" s="337"/>
      <c r="E8" s="337"/>
      <c r="F8" s="337"/>
      <c r="G8" s="337"/>
      <c r="H8" s="337"/>
      <c r="I8" s="337"/>
      <c r="J8" s="338"/>
      <c r="K8" s="220"/>
      <c r="L8" s="220"/>
      <c r="M8" s="220"/>
      <c r="N8" s="220"/>
      <c r="O8" s="300" t="str">
        <f>IF('Business Details'!O5&gt;0,'Business Details'!O5," ")</f>
        <v xml:space="preserve"> </v>
      </c>
      <c r="P8" s="302"/>
      <c r="Q8" s="181"/>
      <c r="R8" s="300" t="str">
        <f>IF('Business Details'!R5&gt;0,'Business Details'!R5," ")</f>
        <v xml:space="preserve"> </v>
      </c>
      <c r="S8" s="301"/>
      <c r="T8" s="301"/>
      <c r="U8" s="302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39" t="s">
        <v>18</v>
      </c>
      <c r="B10" s="339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39"/>
      <c r="V10" s="339"/>
      <c r="W10" s="339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142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297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36" t="str">
        <f>IF('Business Details'!C17&gt;0,'Business Details'!C17," ")</f>
        <v xml:space="preserve"> </v>
      </c>
      <c r="D13" s="337"/>
      <c r="E13" s="337"/>
      <c r="F13" s="337"/>
      <c r="G13" s="337"/>
      <c r="H13" s="337"/>
      <c r="I13" s="337"/>
      <c r="J13" s="338"/>
      <c r="K13" s="220"/>
      <c r="L13" s="220"/>
      <c r="M13" s="220"/>
      <c r="N13" s="241" t="s">
        <v>298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36" t="str">
        <f>IF('Business Details'!C19&gt;0,'Business Details'!C19," ")</f>
        <v xml:space="preserve"> </v>
      </c>
      <c r="D15" s="337"/>
      <c r="E15" s="337"/>
      <c r="F15" s="337"/>
      <c r="G15" s="337"/>
      <c r="H15" s="337"/>
      <c r="I15" s="337"/>
      <c r="J15" s="338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36" t="str">
        <f>IF('Business Details'!C21&gt;0,'Business Details'!C21," ")</f>
        <v xml:space="preserve"> </v>
      </c>
      <c r="D17" s="337"/>
      <c r="E17" s="337"/>
      <c r="F17" s="337"/>
      <c r="G17" s="337"/>
      <c r="H17" s="337"/>
      <c r="I17" s="337"/>
      <c r="J17" s="338"/>
      <c r="K17" s="220"/>
      <c r="L17" s="236">
        <v>5</v>
      </c>
      <c r="M17" s="220"/>
      <c r="N17" s="227" t="s">
        <v>340</v>
      </c>
      <c r="O17" s="227"/>
      <c r="P17" s="227"/>
      <c r="Q17" s="227"/>
      <c r="R17" s="237"/>
      <c r="S17" s="340">
        <f>Q2</f>
        <v>45753</v>
      </c>
      <c r="T17" s="341"/>
      <c r="U17" s="341"/>
      <c r="V17" s="341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42" t="s">
        <v>299</v>
      </c>
      <c r="O18" s="342"/>
      <c r="P18" s="342"/>
      <c r="Q18" s="342"/>
      <c r="R18" s="342"/>
      <c r="S18" s="342"/>
      <c r="T18" s="342"/>
      <c r="U18" s="342"/>
      <c r="V18" s="342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151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29" t="str">
        <f>IF('Business Details'!N19&gt;0,'Business Details'!N19," ")</f>
        <v xml:space="preserve"> </v>
      </c>
      <c r="O20" s="330"/>
      <c r="P20" s="330"/>
      <c r="Q20" s="331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46" t="str">
        <f>IF('Business Details'!C30&gt;0,'Business Details'!C30," ")</f>
        <v xml:space="preserve"> </v>
      </c>
      <c r="D22" s="347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300</v>
      </c>
      <c r="O23" s="246"/>
      <c r="P23" s="227"/>
      <c r="Q23" s="227"/>
      <c r="R23" s="227"/>
      <c r="S23" s="340">
        <f>V2</f>
        <v>46117</v>
      </c>
      <c r="T23" s="348"/>
      <c r="U23" s="349"/>
      <c r="V23" s="349"/>
      <c r="W23" s="239"/>
    </row>
    <row r="24" spans="1:23" x14ac:dyDescent="0.15">
      <c r="A24" s="236">
        <v>3</v>
      </c>
      <c r="B24" s="220"/>
      <c r="C24" s="227" t="s">
        <v>301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146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302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303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29" t="str">
        <f>IF('Business Details'!N24&gt;0,'Business Details'!N24," ")</f>
        <v xml:space="preserve"> </v>
      </c>
      <c r="O26" s="330"/>
      <c r="P26" s="330"/>
      <c r="Q26" s="350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304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305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306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29">
        <f>Admin!B17</f>
        <v>46117</v>
      </c>
      <c r="O31" s="330"/>
      <c r="P31" s="330"/>
      <c r="Q31" s="350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51" t="str">
        <f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8</v>
      </c>
      <c r="B35" s="220"/>
      <c r="C35" s="227" t="s">
        <v>176</v>
      </c>
      <c r="D35" s="227"/>
      <c r="E35" s="227"/>
      <c r="F35" s="227"/>
      <c r="G35" s="227"/>
      <c r="H35" s="227"/>
      <c r="I35" s="227"/>
      <c r="J35" s="227"/>
      <c r="K35" s="227"/>
      <c r="L35" s="236">
        <v>9</v>
      </c>
      <c r="M35" s="220"/>
      <c r="N35" s="227" t="s">
        <v>307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178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179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43">
        <f>'Profit &amp; Loss Account'!B14</f>
        <v>0</v>
      </c>
      <c r="E38" s="344"/>
      <c r="F38" s="345"/>
      <c r="G38" s="218" t="s">
        <v>167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43">
        <f>'Profit &amp; Loss Account'!B48</f>
        <v>0</v>
      </c>
      <c r="P38" s="344"/>
      <c r="Q38" s="345"/>
      <c r="R38" s="218" t="s">
        <v>167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52" t="s">
        <v>308</v>
      </c>
      <c r="B40" s="352"/>
      <c r="C40" s="352"/>
      <c r="D40" s="352"/>
      <c r="E40" s="352"/>
      <c r="F40" s="352"/>
      <c r="G40" s="352"/>
      <c r="H40" s="352"/>
      <c r="I40" s="352"/>
      <c r="J40" s="352"/>
      <c r="K40" s="352"/>
      <c r="L40" s="352"/>
      <c r="M40" s="352"/>
      <c r="N40" s="352"/>
      <c r="O40" s="352"/>
      <c r="P40" s="352"/>
      <c r="Q40" s="352"/>
      <c r="R40" s="352"/>
      <c r="S40" s="352"/>
      <c r="T40" s="352"/>
      <c r="U40" s="352"/>
      <c r="V40" s="352"/>
      <c r="W40" s="352"/>
    </row>
    <row r="41" spans="1:23" s="254" customFormat="1" ht="14" customHeight="1" x14ac:dyDescent="0.15">
      <c r="A41" s="353" t="s">
        <v>309</v>
      </c>
      <c r="B41" s="353"/>
      <c r="C41" s="353"/>
      <c r="D41" s="353"/>
      <c r="E41" s="353"/>
      <c r="F41" s="353"/>
      <c r="G41" s="353"/>
      <c r="H41" s="353"/>
      <c r="I41" s="353"/>
      <c r="J41" s="353"/>
      <c r="K41" s="353"/>
      <c r="L41" s="353"/>
      <c r="M41" s="353"/>
      <c r="N41" s="353"/>
      <c r="O41" s="353"/>
      <c r="P41" s="353"/>
      <c r="Q41" s="353"/>
      <c r="R41" s="353"/>
      <c r="S41" s="353"/>
      <c r="T41" s="353"/>
      <c r="U41" s="353"/>
      <c r="V41" s="353"/>
      <c r="W41" s="353"/>
    </row>
    <row r="42" spans="1:23" s="254" customFormat="1" ht="14" customHeight="1" x14ac:dyDescent="0.15">
      <c r="A42" s="353" t="s">
        <v>310</v>
      </c>
      <c r="B42" s="353"/>
      <c r="C42" s="353"/>
      <c r="D42" s="353"/>
      <c r="E42" s="353"/>
      <c r="F42" s="353"/>
      <c r="G42" s="353"/>
      <c r="H42" s="353"/>
      <c r="I42" s="353"/>
      <c r="J42" s="353"/>
      <c r="K42" s="353"/>
      <c r="L42" s="353"/>
      <c r="M42" s="353"/>
      <c r="N42" s="353"/>
      <c r="O42" s="353"/>
      <c r="P42" s="353"/>
      <c r="Q42" s="353"/>
      <c r="R42" s="353"/>
      <c r="S42" s="353"/>
      <c r="T42" s="353"/>
      <c r="U42" s="353"/>
      <c r="V42" s="353"/>
      <c r="W42" s="353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10</v>
      </c>
      <c r="B44" s="220"/>
      <c r="C44" s="227" t="s">
        <v>186</v>
      </c>
      <c r="D44" s="227"/>
      <c r="E44" s="227"/>
      <c r="F44" s="227"/>
      <c r="G44" s="227"/>
      <c r="H44" s="227"/>
      <c r="I44" s="227"/>
      <c r="J44" s="227"/>
      <c r="K44" s="227"/>
      <c r="L44" s="236">
        <v>15</v>
      </c>
      <c r="M44" s="220"/>
      <c r="N44" s="227" t="s">
        <v>197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43" t="str">
        <f>IF('Profit &amp; Loss Account'!B14&gt;30000,'Profit &amp; Loss Account'!B22," ")</f>
        <v xml:space="preserve"> </v>
      </c>
      <c r="E46" s="344"/>
      <c r="F46" s="345"/>
      <c r="G46" s="218" t="s">
        <v>167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43" t="str">
        <f>IF('Profit &amp; Loss Account'!B14&gt;30000,'Profit &amp; Loss Account'!B33," ")</f>
        <v xml:space="preserve"> </v>
      </c>
      <c r="P46" s="344"/>
      <c r="Q46" s="345"/>
      <c r="R46" s="218" t="s">
        <v>167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11</v>
      </c>
      <c r="B48" s="220"/>
      <c r="C48" s="227" t="s">
        <v>311</v>
      </c>
      <c r="D48" s="227"/>
      <c r="E48" s="227"/>
      <c r="F48" s="227"/>
      <c r="G48" s="227"/>
      <c r="H48" s="227"/>
      <c r="I48" s="227"/>
      <c r="J48" s="227"/>
      <c r="K48" s="227"/>
      <c r="L48" s="236">
        <v>16</v>
      </c>
      <c r="M48" s="220"/>
      <c r="N48" s="227" t="s">
        <v>312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313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43" t="str">
        <f>IF('Profit &amp; Loss Account'!B14&gt;30000,'Profit &amp; Loss Account'!B30+'Profit &amp; Loss Account'!B31," ")</f>
        <v xml:space="preserve"> </v>
      </c>
      <c r="E51" s="344"/>
      <c r="F51" s="345"/>
      <c r="G51" s="218" t="s">
        <v>167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43" t="str">
        <f>IF('Profit &amp; Loss Account'!B14&gt;30000,'Profit &amp; Loss Account'!B35+'Profit &amp; Loss Account'!B36," ")</f>
        <v xml:space="preserve"> </v>
      </c>
      <c r="P51" s="344"/>
      <c r="Q51" s="345"/>
      <c r="R51" s="218" t="s">
        <v>167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12</v>
      </c>
      <c r="B53" s="220"/>
      <c r="C53" s="227" t="s">
        <v>188</v>
      </c>
      <c r="D53" s="227"/>
      <c r="E53" s="227"/>
      <c r="F53" s="227"/>
      <c r="G53" s="227"/>
      <c r="H53" s="227"/>
      <c r="I53" s="227"/>
      <c r="J53" s="227"/>
      <c r="K53" s="227"/>
      <c r="L53" s="236">
        <v>17</v>
      </c>
      <c r="M53" s="220"/>
      <c r="N53" s="227" t="s">
        <v>192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43" t="str">
        <f>IF('Profit &amp; Loss Account'!B14&gt;30000,'Profit &amp; Loss Account'!B26," ")</f>
        <v xml:space="preserve"> </v>
      </c>
      <c r="E55" s="344"/>
      <c r="F55" s="345"/>
      <c r="G55" s="218" t="s">
        <v>167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43" t="str">
        <f>IF('Profit &amp; Loss Account'!B14&gt;30000,'Profit &amp; Loss Account'!B29," ")</f>
        <v xml:space="preserve"> </v>
      </c>
      <c r="P55" s="344"/>
      <c r="Q55" s="345"/>
      <c r="R55" s="218" t="s">
        <v>167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13</v>
      </c>
      <c r="B57" s="220"/>
      <c r="C57" s="227" t="s">
        <v>190</v>
      </c>
      <c r="D57" s="227"/>
      <c r="E57" s="227"/>
      <c r="F57" s="227"/>
      <c r="G57" s="227"/>
      <c r="H57" s="227"/>
      <c r="I57" s="227"/>
      <c r="J57" s="227"/>
      <c r="K57" s="227"/>
      <c r="L57" s="236">
        <v>18</v>
      </c>
      <c r="M57" s="220"/>
      <c r="N57" s="227" t="s">
        <v>314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315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43" t="str">
        <f>IF('Profit &amp; Loss Account'!B14&gt;30000,'Profit &amp; Loss Account'!B27," ")</f>
        <v xml:space="preserve"> </v>
      </c>
      <c r="E60" s="344"/>
      <c r="F60" s="345"/>
      <c r="G60" s="218" t="s">
        <v>167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43" t="str">
        <f>IF('Profit &amp; Loss Account'!B14&gt;30000,'Profit &amp; Loss Account'!B32+'Profit &amp; Loss Account'!B34+'Profit &amp; Loss Account'!B42+SUM('Profit &amp; Loss Account'!B37:B41)+'Profit &amp; Loss Account'!B43," ")</f>
        <v xml:space="preserve"> </v>
      </c>
      <c r="P60" s="344"/>
      <c r="Q60" s="345"/>
      <c r="R60" s="218" t="s">
        <v>167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14</v>
      </c>
      <c r="B62" s="220"/>
      <c r="C62" s="227" t="s">
        <v>316</v>
      </c>
      <c r="D62" s="227"/>
      <c r="E62" s="227"/>
      <c r="F62" s="227"/>
      <c r="G62" s="227"/>
      <c r="H62" s="227"/>
      <c r="I62" s="227"/>
      <c r="J62" s="227"/>
      <c r="K62" s="227"/>
      <c r="L62" s="236">
        <v>19</v>
      </c>
      <c r="M62" s="220"/>
      <c r="N62" s="227" t="s">
        <v>317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43" t="str">
        <f>IF('Profit &amp; Loss Account'!B14&gt;30000,'Profit &amp; Loss Account'!B28," ")</f>
        <v xml:space="preserve"> </v>
      </c>
      <c r="E64" s="344"/>
      <c r="F64" s="345"/>
      <c r="G64" s="218" t="s">
        <v>167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43">
        <f>'Profit &amp; Loss Account'!B22+'Profit &amp; Loss Account'!B45-'Profit &amp; Loss Account'!B44</f>
        <v>0</v>
      </c>
      <c r="P64" s="344"/>
      <c r="Q64" s="345"/>
      <c r="R64" s="218" t="s">
        <v>167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54" t="s">
        <v>202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20</v>
      </c>
      <c r="B68" s="220"/>
      <c r="C68" s="227" t="s">
        <v>203</v>
      </c>
      <c r="D68" s="227"/>
      <c r="E68" s="227"/>
      <c r="F68" s="227"/>
      <c r="G68" s="227"/>
      <c r="H68" s="227"/>
      <c r="I68" s="227"/>
      <c r="J68" s="227"/>
      <c r="K68" s="227"/>
      <c r="L68" s="236">
        <v>21</v>
      </c>
      <c r="M68" s="220"/>
      <c r="N68" s="227" t="s">
        <v>204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318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319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43">
        <f>IF((D38+O38-O64)&gt;=0,D38+O38-O64,0)</f>
        <v>0</v>
      </c>
      <c r="E71" s="344"/>
      <c r="F71" s="345"/>
      <c r="G71" s="218" t="s">
        <v>167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43">
        <f>IF((D38+O38-O64)&lt;0,O64-D38-O38,0)</f>
        <v>0</v>
      </c>
      <c r="P71" s="344"/>
      <c r="Q71" s="345"/>
      <c r="R71" s="218" t="s">
        <v>167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52" t="s">
        <v>207</v>
      </c>
      <c r="B73" s="352"/>
      <c r="C73" s="352"/>
      <c r="D73" s="352"/>
      <c r="E73" s="352"/>
      <c r="F73" s="352"/>
      <c r="G73" s="352"/>
      <c r="H73" s="352"/>
      <c r="I73" s="352"/>
      <c r="J73" s="352"/>
      <c r="K73" s="352"/>
      <c r="L73" s="352"/>
      <c r="M73" s="352"/>
      <c r="N73" s="352"/>
      <c r="O73" s="352"/>
      <c r="P73" s="352"/>
      <c r="Q73" s="352"/>
      <c r="R73" s="352"/>
      <c r="S73" s="352"/>
      <c r="T73" s="352"/>
      <c r="U73" s="352"/>
      <c r="V73" s="352"/>
      <c r="W73" s="352"/>
      <c r="Y73" s="257"/>
      <c r="Z73" s="257"/>
    </row>
    <row r="74" spans="1:26" ht="14" customHeight="1" x14ac:dyDescent="0.15">
      <c r="A74" s="353" t="s">
        <v>320</v>
      </c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</row>
    <row r="75" spans="1:26" ht="14" customHeight="1" x14ac:dyDescent="0.15">
      <c r="A75" s="353" t="s">
        <v>321</v>
      </c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3"/>
      <c r="R75" s="353"/>
      <c r="S75" s="353"/>
      <c r="T75" s="353"/>
      <c r="U75" s="353"/>
      <c r="V75" s="353"/>
      <c r="W75" s="353"/>
      <c r="Y75" s="257"/>
      <c r="Z75" s="257"/>
    </row>
    <row r="76" spans="1:26" ht="13.5" customHeight="1" x14ac:dyDescent="0.15">
      <c r="A76" s="353" t="s">
        <v>322</v>
      </c>
      <c r="B76" s="353"/>
      <c r="C76" s="353"/>
      <c r="D76" s="353"/>
      <c r="E76" s="353"/>
      <c r="F76" s="353"/>
      <c r="G76" s="353"/>
      <c r="H76" s="353"/>
      <c r="I76" s="353"/>
      <c r="J76" s="353"/>
      <c r="K76" s="353"/>
      <c r="L76" s="353"/>
      <c r="M76" s="353"/>
      <c r="N76" s="353"/>
      <c r="O76" s="353"/>
      <c r="P76" s="353"/>
      <c r="Q76" s="353"/>
      <c r="R76" s="353"/>
      <c r="S76" s="353"/>
      <c r="T76" s="353"/>
      <c r="U76" s="353"/>
      <c r="V76" s="353"/>
      <c r="W76" s="353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22</v>
      </c>
      <c r="B78" s="220"/>
      <c r="C78" s="227" t="s">
        <v>339</v>
      </c>
      <c r="D78" s="227"/>
      <c r="E78" s="227"/>
      <c r="F78" s="227"/>
      <c r="G78" s="227"/>
      <c r="H78" s="227"/>
      <c r="I78" s="227"/>
      <c r="J78" s="227"/>
      <c r="K78" s="227"/>
      <c r="L78" s="236">
        <v>24</v>
      </c>
      <c r="M78" s="220"/>
      <c r="N78" s="227" t="s">
        <v>375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43">
        <f>IF(([1]Schedule!$Q$1)&gt;0,[1]Schedule!$Q$1,0)</f>
        <v>0</v>
      </c>
      <c r="E80" s="344"/>
      <c r="F80" s="345"/>
      <c r="G80" s="218" t="s">
        <v>167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43">
        <f>IF(([1]Schedule!$R$1+[1]Schedule!$Y$1)&gt;0,[1]Schedule!$R$1+[1]Schedule!$Y$1,0)</f>
        <v>0</v>
      </c>
      <c r="P80" s="344"/>
      <c r="Q80" s="345"/>
      <c r="R80" s="218" t="s">
        <v>167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23</v>
      </c>
      <c r="B82" s="220"/>
      <c r="C82" s="227" t="s">
        <v>376</v>
      </c>
      <c r="D82" s="220"/>
      <c r="E82" s="220"/>
      <c r="F82" s="220"/>
      <c r="G82" s="220"/>
      <c r="H82" s="220"/>
      <c r="I82" s="220"/>
      <c r="J82" s="220"/>
      <c r="K82" s="220"/>
      <c r="L82" s="236">
        <v>25</v>
      </c>
      <c r="M82" s="220"/>
      <c r="N82" s="227" t="s">
        <v>323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377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378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43">
        <f>IF(([1]Schedule!$R$1+[1]Schedule!$S$1)&lt;1000,[1]Schedule!$S$1,0)</f>
        <v>0</v>
      </c>
      <c r="E85" s="344"/>
      <c r="F85" s="345"/>
      <c r="G85" s="218" t="s">
        <v>167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43">
        <f>IF([1]Schedule!$Z$1&gt;0,[1]Schedule!$Z$1,0)</f>
        <v>0</v>
      </c>
      <c r="P85" s="344"/>
      <c r="Q85" s="345"/>
      <c r="R85" s="218" t="s">
        <v>167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55" t="s">
        <v>324</v>
      </c>
      <c r="B87" s="355"/>
      <c r="C87" s="355"/>
      <c r="D87" s="355"/>
      <c r="E87" s="355"/>
      <c r="F87" s="355"/>
      <c r="G87" s="355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55"/>
      <c r="U87" s="355"/>
      <c r="V87" s="355"/>
      <c r="W87" s="355"/>
    </row>
    <row r="88" spans="1:23" ht="16" customHeight="1" x14ac:dyDescent="0.15">
      <c r="A88" s="353" t="s">
        <v>325</v>
      </c>
      <c r="B88" s="353"/>
      <c r="C88" s="353"/>
      <c r="D88" s="353"/>
      <c r="E88" s="353"/>
      <c r="F88" s="353"/>
      <c r="G88" s="353"/>
      <c r="H88" s="353"/>
      <c r="I88" s="353"/>
      <c r="J88" s="353"/>
      <c r="K88" s="353"/>
      <c r="L88" s="353"/>
      <c r="M88" s="353"/>
      <c r="N88" s="353"/>
      <c r="O88" s="353"/>
      <c r="P88" s="353"/>
      <c r="Q88" s="353"/>
      <c r="R88" s="353"/>
      <c r="S88" s="353"/>
      <c r="T88" s="353"/>
      <c r="U88" s="353"/>
      <c r="V88" s="353"/>
      <c r="W88" s="353"/>
    </row>
    <row r="89" spans="1:23" ht="15.75" customHeight="1" x14ac:dyDescent="0.15">
      <c r="A89" s="353" t="s">
        <v>326</v>
      </c>
      <c r="B89" s="353"/>
      <c r="C89" s="353"/>
      <c r="D89" s="353"/>
      <c r="E89" s="353"/>
      <c r="F89" s="353"/>
      <c r="G89" s="353"/>
      <c r="H89" s="353"/>
      <c r="I89" s="353"/>
      <c r="J89" s="353"/>
      <c r="K89" s="353"/>
      <c r="L89" s="353"/>
      <c r="M89" s="353"/>
      <c r="N89" s="353"/>
      <c r="O89" s="353"/>
      <c r="P89" s="353"/>
      <c r="Q89" s="353"/>
      <c r="R89" s="353"/>
      <c r="S89" s="353"/>
      <c r="T89" s="353"/>
      <c r="U89" s="353"/>
      <c r="V89" s="353"/>
      <c r="W89" s="353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26</v>
      </c>
      <c r="B91" s="220"/>
      <c r="C91" s="227" t="s">
        <v>327</v>
      </c>
      <c r="D91" s="227"/>
      <c r="E91" s="227"/>
      <c r="F91" s="227"/>
      <c r="G91" s="227"/>
      <c r="H91" s="227"/>
      <c r="I91" s="227"/>
      <c r="J91" s="227"/>
      <c r="K91" s="227"/>
      <c r="L91" s="236">
        <v>28</v>
      </c>
      <c r="M91" s="220"/>
      <c r="N91" s="227" t="s">
        <v>246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379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380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43">
        <f>'Business Details'!O50</f>
        <v>0</v>
      </c>
      <c r="E94" s="344"/>
      <c r="F94" s="345"/>
      <c r="G94" s="218" t="s">
        <v>167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43">
        <f>IF(O106&gt;0,0,IF('Business Details'!D50=0,0,IF(D99&gt;'Business Details'!D50,'Business Details'!D50,D99)))</f>
        <v>0</v>
      </c>
      <c r="P94" s="344"/>
      <c r="Q94" s="345"/>
      <c r="R94" s="218" t="s">
        <v>167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27</v>
      </c>
      <c r="B96" s="220"/>
      <c r="C96" s="227" t="s">
        <v>381</v>
      </c>
      <c r="D96" s="227"/>
      <c r="E96" s="227"/>
      <c r="F96" s="227"/>
      <c r="G96" s="227"/>
      <c r="H96" s="227"/>
      <c r="I96" s="227"/>
      <c r="J96" s="227"/>
      <c r="K96" s="227"/>
      <c r="L96" s="236">
        <v>29</v>
      </c>
      <c r="M96" s="220"/>
      <c r="N96" s="227" t="s">
        <v>328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382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329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43">
        <f>IF((D71+O85+D94-O71-D80-D85-O80)&gt;0,D71+O85+D94-O71-D80-D85-O80,0)</f>
        <v>0</v>
      </c>
      <c r="E99" s="344"/>
      <c r="F99" s="345"/>
      <c r="G99" s="218" t="s">
        <v>167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43">
        <f>'Profit &amp; Loss Account'!B16</f>
        <v>0</v>
      </c>
      <c r="P99" s="344"/>
      <c r="Q99" s="345"/>
      <c r="R99" s="218" t="s">
        <v>167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52" t="s">
        <v>330</v>
      </c>
      <c r="B101" s="352"/>
      <c r="C101" s="352"/>
      <c r="D101" s="352"/>
      <c r="E101" s="352"/>
      <c r="F101" s="352"/>
      <c r="G101" s="352"/>
      <c r="H101" s="352"/>
      <c r="I101" s="352"/>
      <c r="J101" s="352"/>
      <c r="K101" s="352"/>
      <c r="L101" s="352"/>
      <c r="M101" s="352"/>
      <c r="N101" s="352"/>
      <c r="O101" s="352"/>
      <c r="P101" s="352"/>
      <c r="Q101" s="352"/>
      <c r="R101" s="352"/>
      <c r="S101" s="352"/>
      <c r="T101" s="352"/>
      <c r="U101" s="352"/>
      <c r="V101" s="352"/>
      <c r="W101" s="352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30</v>
      </c>
      <c r="B103" s="220"/>
      <c r="C103" s="227" t="s">
        <v>383</v>
      </c>
      <c r="D103" s="227"/>
      <c r="E103" s="227"/>
      <c r="F103" s="227"/>
      <c r="G103" s="227"/>
      <c r="H103" s="227"/>
      <c r="I103" s="227"/>
      <c r="J103" s="227"/>
      <c r="K103" s="227"/>
      <c r="L103" s="236">
        <v>31</v>
      </c>
      <c r="M103" s="220"/>
      <c r="N103" s="227" t="s">
        <v>384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385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386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43">
        <f>IF((D99+O99-O94)&gt;0,D99+O99-O94,0)</f>
        <v>0</v>
      </c>
      <c r="E106" s="344"/>
      <c r="F106" s="345"/>
      <c r="G106" s="218" t="s">
        <v>167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43">
        <f>IF((O71+D80+D85+O80-D71-O85-D94)&gt;=0,O71+D80+D85+O80-D71-O85-D94,0)</f>
        <v>0</v>
      </c>
      <c r="P106" s="344"/>
      <c r="Q106" s="345"/>
      <c r="R106" s="218" t="s">
        <v>167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55" t="s">
        <v>331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</row>
    <row r="109" spans="1:26" ht="16" customHeight="1" x14ac:dyDescent="0.15">
      <c r="A109" s="353" t="s">
        <v>332</v>
      </c>
      <c r="B109" s="353"/>
      <c r="C109" s="353"/>
      <c r="D109" s="353"/>
      <c r="E109" s="353"/>
      <c r="F109" s="353"/>
      <c r="G109" s="353"/>
      <c r="H109" s="353"/>
      <c r="I109" s="353"/>
      <c r="J109" s="353"/>
      <c r="K109" s="353"/>
      <c r="L109" s="353"/>
      <c r="M109" s="353"/>
      <c r="N109" s="353"/>
      <c r="O109" s="353"/>
      <c r="P109" s="353"/>
      <c r="Q109" s="353"/>
      <c r="R109" s="353"/>
      <c r="S109" s="353"/>
      <c r="T109" s="353"/>
      <c r="U109" s="353"/>
      <c r="V109" s="353"/>
      <c r="W109" s="353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32</v>
      </c>
      <c r="B111" s="220"/>
      <c r="C111" s="227" t="s">
        <v>333</v>
      </c>
      <c r="D111" s="227"/>
      <c r="E111" s="227"/>
      <c r="F111" s="227"/>
      <c r="G111" s="227"/>
      <c r="H111" s="227"/>
      <c r="I111" s="227"/>
      <c r="J111" s="227"/>
      <c r="K111" s="227"/>
      <c r="L111" s="236">
        <v>35</v>
      </c>
      <c r="M111" s="220"/>
      <c r="N111" s="227" t="s">
        <v>334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257</v>
      </c>
      <c r="D112" s="356" t="str">
        <f>Admin!G2</f>
        <v>2025-26</v>
      </c>
      <c r="E112" s="348"/>
      <c r="F112" s="348"/>
      <c r="G112" s="227"/>
      <c r="H112" s="227"/>
      <c r="I112" s="227"/>
      <c r="J112" s="227"/>
      <c r="K112" s="227"/>
      <c r="L112" s="227"/>
      <c r="M112" s="220"/>
      <c r="N112" s="227" t="s">
        <v>387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43"/>
      <c r="E114" s="344"/>
      <c r="F114" s="345"/>
      <c r="G114" s="218" t="s">
        <v>167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33</v>
      </c>
      <c r="B116" s="220"/>
      <c r="C116" s="227" t="s">
        <v>335</v>
      </c>
      <c r="D116" s="227"/>
      <c r="E116" s="227"/>
      <c r="F116" s="227"/>
      <c r="G116" s="227"/>
      <c r="H116" s="227"/>
      <c r="I116" s="227"/>
      <c r="J116" s="227"/>
      <c r="K116" s="227"/>
      <c r="L116" s="236">
        <v>36</v>
      </c>
      <c r="M116" s="220"/>
      <c r="N116" s="227" t="s">
        <v>290</v>
      </c>
      <c r="O116" s="220"/>
      <c r="P116" s="220"/>
      <c r="Q116" s="220"/>
      <c r="R116" s="357" t="str">
        <f>Admin!G2</f>
        <v>2025-26</v>
      </c>
      <c r="S116" s="358"/>
      <c r="T116" s="358"/>
      <c r="U116" s="227" t="s">
        <v>336</v>
      </c>
      <c r="V116" s="220"/>
      <c r="W116" s="243"/>
    </row>
    <row r="117" spans="1:23" ht="12" customHeight="1" x14ac:dyDescent="0.15">
      <c r="A117" s="255"/>
      <c r="B117" s="220"/>
      <c r="C117" s="227" t="s">
        <v>254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388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 t="s">
        <v>225</v>
      </c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43"/>
      <c r="E119" s="344"/>
      <c r="F119" s="345"/>
      <c r="G119" s="218" t="s">
        <v>167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34</v>
      </c>
      <c r="B121" s="220"/>
      <c r="C121" s="227" t="s">
        <v>256</v>
      </c>
      <c r="D121" s="227"/>
      <c r="E121" s="227"/>
      <c r="F121" s="227"/>
      <c r="G121" s="227"/>
      <c r="H121" s="227"/>
      <c r="I121" s="227"/>
      <c r="J121" s="227"/>
      <c r="K121" s="227"/>
      <c r="L121" s="236">
        <v>37</v>
      </c>
      <c r="M121" s="220"/>
      <c r="N121" s="227" t="s">
        <v>260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258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337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43">
        <f>'Business Details'!O55</f>
        <v>0</v>
      </c>
      <c r="E124" s="344"/>
      <c r="F124" s="345"/>
      <c r="G124" s="218" t="s">
        <v>167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43">
        <f>[2]Mar!$AC$1</f>
        <v>0</v>
      </c>
      <c r="P124" s="344"/>
      <c r="Q124" s="345"/>
      <c r="R124" s="218" t="s">
        <v>167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3.8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20" t="s">
        <v>171</v>
      </c>
      <c r="B1" s="321"/>
      <c r="C1" s="321"/>
      <c r="D1" s="321"/>
      <c r="E1" s="321"/>
      <c r="F1" s="321"/>
      <c r="G1" s="322" t="s">
        <v>395</v>
      </c>
      <c r="H1" s="323"/>
      <c r="I1" s="323"/>
      <c r="J1" s="323"/>
      <c r="K1" s="323"/>
      <c r="L1" s="323"/>
      <c r="M1" s="323"/>
      <c r="N1" s="359" t="s">
        <v>172</v>
      </c>
      <c r="O1" s="359"/>
      <c r="P1" s="359"/>
      <c r="Q1" s="359"/>
      <c r="R1" s="359"/>
      <c r="S1" s="359"/>
      <c r="T1" s="359"/>
      <c r="U1" s="359"/>
      <c r="V1" s="359"/>
      <c r="W1" s="359"/>
    </row>
    <row r="2" spans="1:23" ht="30" customHeight="1" x14ac:dyDescent="0.15">
      <c r="A2" s="321"/>
      <c r="B2" s="321"/>
      <c r="C2" s="321"/>
      <c r="D2" s="321"/>
      <c r="E2" s="321"/>
      <c r="F2" s="321"/>
      <c r="G2" s="323"/>
      <c r="H2" s="323"/>
      <c r="I2" s="323"/>
      <c r="J2" s="323"/>
      <c r="K2" s="323"/>
      <c r="L2" s="323"/>
      <c r="M2" s="323"/>
      <c r="N2" s="326" t="s">
        <v>173</v>
      </c>
      <c r="O2" s="326"/>
      <c r="P2" s="326"/>
      <c r="Q2" s="327">
        <f>Admin!B4</f>
        <v>45753</v>
      </c>
      <c r="R2" s="328"/>
      <c r="S2" s="328"/>
      <c r="T2" s="328"/>
      <c r="U2" s="222" t="s">
        <v>174</v>
      </c>
      <c r="V2" s="327">
        <f>Admin!B17</f>
        <v>46117</v>
      </c>
      <c r="W2" s="327"/>
    </row>
    <row r="3" spans="1:23" ht="8.25" customHeight="1" x14ac:dyDescent="0.15">
      <c r="A3" s="332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</row>
    <row r="4" spans="1:23" ht="10" customHeight="1" x14ac:dyDescent="0.15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5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136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137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61" t="str">
        <f>IF('Business Details'!C5&gt;0,'Business Details'!C5," ")</f>
        <v xml:space="preserve"> </v>
      </c>
      <c r="D8" s="362"/>
      <c r="E8" s="362"/>
      <c r="F8" s="362"/>
      <c r="G8" s="362"/>
      <c r="H8" s="362"/>
      <c r="I8" s="362"/>
      <c r="J8" s="363"/>
      <c r="K8" s="220"/>
      <c r="L8" s="220"/>
      <c r="M8" s="220"/>
      <c r="N8" s="220"/>
      <c r="O8" s="361" t="str">
        <f>IF('Business Details'!O5&gt;0,'Business Details'!O5," ")</f>
        <v xml:space="preserve"> </v>
      </c>
      <c r="P8" s="363"/>
      <c r="Q8" s="220"/>
      <c r="R8" s="361" t="str">
        <f>IF('Business Details'!R5&gt;0,'Business Details'!R5," ")</f>
        <v xml:space="preserve"> </v>
      </c>
      <c r="S8" s="362"/>
      <c r="T8" s="362"/>
      <c r="U8" s="363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61" t="str">
        <f>IF('Business Details'!C7&gt;0,'Business Details'!C7," ")</f>
        <v xml:space="preserve"> </v>
      </c>
      <c r="D10" s="362"/>
      <c r="E10" s="362"/>
      <c r="F10" s="362"/>
      <c r="G10" s="362"/>
      <c r="H10" s="362"/>
      <c r="I10" s="362"/>
      <c r="J10" s="363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60" t="s">
        <v>18</v>
      </c>
      <c r="B12" s="360"/>
      <c r="C12" s="360"/>
      <c r="D12" s="360"/>
      <c r="E12" s="360"/>
      <c r="F12" s="360"/>
      <c r="G12" s="360"/>
      <c r="H12" s="360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39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138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s">
        <v>139</v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61" t="str">
        <f>IF('Business Details'!C12&gt;0,'Business Details'!C12," ")</f>
        <v xml:space="preserve"> </v>
      </c>
      <c r="D15" s="362"/>
      <c r="E15" s="362"/>
      <c r="F15" s="362"/>
      <c r="G15" s="362"/>
      <c r="H15" s="362"/>
      <c r="I15" s="362"/>
      <c r="J15" s="363"/>
      <c r="K15" s="220"/>
      <c r="L15" s="220"/>
      <c r="M15" s="220"/>
      <c r="N15" s="241" t="s">
        <v>140</v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s">
        <v>141</v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61" t="str">
        <f>IF('Business Details'!C14&gt;0,'Business Details'!C14," ")</f>
        <v xml:space="preserve"> </v>
      </c>
      <c r="D17" s="362"/>
      <c r="E17" s="362"/>
      <c r="F17" s="362"/>
      <c r="G17" s="362"/>
      <c r="H17" s="362"/>
      <c r="I17" s="362"/>
      <c r="J17" s="363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142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143</v>
      </c>
      <c r="O19" s="227"/>
      <c r="P19" s="227"/>
      <c r="Q19" s="227"/>
      <c r="R19" s="220"/>
      <c r="S19" s="340">
        <f>Admin!B4</f>
        <v>45753</v>
      </c>
      <c r="T19" s="349"/>
      <c r="U19" s="349"/>
      <c r="V19" s="349"/>
      <c r="W19" s="239"/>
    </row>
    <row r="20" spans="1:23" ht="15" customHeight="1" x14ac:dyDescent="0.15">
      <c r="A20" s="240"/>
      <c r="B20" s="220"/>
      <c r="C20" s="361" t="str">
        <f>IF('Business Details'!C17&gt;0,'Business Details'!C17," ")</f>
        <v xml:space="preserve"> </v>
      </c>
      <c r="D20" s="362"/>
      <c r="E20" s="362"/>
      <c r="F20" s="362"/>
      <c r="G20" s="362"/>
      <c r="H20" s="362"/>
      <c r="I20" s="362"/>
      <c r="J20" s="363"/>
      <c r="K20" s="220"/>
      <c r="L20" s="220"/>
      <c r="M20" s="220"/>
      <c r="N20" s="227" t="s">
        <v>144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61" t="str">
        <f>IF('Business Details'!C19&gt;0,'Business Details'!C19," ")</f>
        <v xml:space="preserve"> </v>
      </c>
      <c r="D22" s="362"/>
      <c r="E22" s="362"/>
      <c r="F22" s="362"/>
      <c r="G22" s="362"/>
      <c r="H22" s="362"/>
      <c r="I22" s="362"/>
      <c r="J22" s="363"/>
      <c r="K22" s="220"/>
      <c r="L22" s="220"/>
      <c r="M22" s="220"/>
      <c r="N22" s="329" t="str">
        <f>IF('Business Details'!N10&gt;0,'Business Details'!N19," ")</f>
        <v xml:space="preserve"> </v>
      </c>
      <c r="O22" s="330"/>
      <c r="P22" s="330"/>
      <c r="Q22" s="331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61" t="str">
        <f>IF('Business Details'!C21&gt;0,'Business Details'!C21," ")</f>
        <v xml:space="preserve"> </v>
      </c>
      <c r="D24" s="362"/>
      <c r="E24" s="362"/>
      <c r="F24" s="362"/>
      <c r="G24" s="362"/>
      <c r="H24" s="362"/>
      <c r="I24" s="362"/>
      <c r="J24" s="363"/>
      <c r="K24" s="220"/>
      <c r="L24" s="236">
        <v>7</v>
      </c>
      <c r="M24" s="220"/>
      <c r="N24" s="227" t="s">
        <v>145</v>
      </c>
      <c r="O24" s="227"/>
      <c r="P24" s="227"/>
      <c r="Q24" s="227"/>
      <c r="R24" s="220"/>
      <c r="S24" s="340">
        <f>Admin!B17</f>
        <v>46117</v>
      </c>
      <c r="T24" s="349"/>
      <c r="U24" s="349"/>
      <c r="V24" s="349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42" t="s">
        <v>146</v>
      </c>
      <c r="O25" s="342"/>
      <c r="P25" s="342"/>
      <c r="Q25" s="342"/>
      <c r="R25" s="342"/>
      <c r="S25" s="342"/>
      <c r="T25" s="342"/>
      <c r="U25" s="342"/>
      <c r="V25" s="342"/>
      <c r="W25" s="245"/>
    </row>
    <row r="26" spans="1:23" x14ac:dyDescent="0.15">
      <c r="A26" s="236">
        <v>3</v>
      </c>
      <c r="B26" s="220"/>
      <c r="C26" s="227" t="s">
        <v>147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42"/>
      <c r="O26" s="342"/>
      <c r="P26" s="342"/>
      <c r="Q26" s="342"/>
      <c r="R26" s="342"/>
      <c r="S26" s="342"/>
      <c r="T26" s="342"/>
      <c r="U26" s="342"/>
      <c r="V26" s="342"/>
      <c r="W26" s="245"/>
    </row>
    <row r="27" spans="1:23" ht="15" customHeight="1" x14ac:dyDescent="0.15">
      <c r="A27" s="240"/>
      <c r="B27" s="220"/>
      <c r="C27" s="248" t="s">
        <v>148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29" t="str">
        <f>IF('Business Details'!N24&gt;0,'Business Details'!N24," ")</f>
        <v xml:space="preserve"> </v>
      </c>
      <c r="O27" s="330"/>
      <c r="P27" s="330"/>
      <c r="Q27" s="331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61" t="str">
        <f>IF('Business Details'!C25&gt;0,'Business Details'!C25," ")</f>
        <v xml:space="preserve"> </v>
      </c>
      <c r="D28" s="362"/>
      <c r="E28" s="362"/>
      <c r="F28" s="362"/>
      <c r="G28" s="362"/>
      <c r="H28" s="362"/>
      <c r="I28" s="362"/>
      <c r="J28" s="363"/>
      <c r="K28" s="220"/>
      <c r="L28" s="236">
        <v>8</v>
      </c>
      <c r="M28" s="220"/>
      <c r="N28" s="227" t="s">
        <v>149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150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61" t="str">
        <f>IF('Business Details'!C27&gt;0,'Business Details'!C27," ")</f>
        <v xml:space="preserve"> </v>
      </c>
      <c r="D30" s="362"/>
      <c r="E30" s="362"/>
      <c r="F30" s="362"/>
      <c r="G30" s="362"/>
      <c r="H30" s="362"/>
      <c r="I30" s="362"/>
      <c r="J30" s="363"/>
      <c r="K30" s="220"/>
      <c r="L30" s="220"/>
      <c r="M30" s="220"/>
      <c r="N30" s="329" t="str">
        <f>IF('Business Details'!N27&gt;0,'Business Details'!N27," ")</f>
        <v xml:space="preserve"> </v>
      </c>
      <c r="O30" s="330"/>
      <c r="P30" s="330"/>
      <c r="Q30" s="331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s">
        <v>151</v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152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64" t="str">
        <f>IF('Business Details'!C30&gt;0,'Business Details'!C30," ")</f>
        <v xml:space="preserve"> </v>
      </c>
      <c r="D33" s="365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s">
        <v>153</v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s">
        <v>154</v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29">
        <f>Admin!B17</f>
        <v>46117</v>
      </c>
      <c r="O35" s="330"/>
      <c r="P35" s="330"/>
      <c r="Q35" s="331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55" t="s">
        <v>155</v>
      </c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5"/>
      <c r="V37" s="355"/>
      <c r="W37" s="355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s">
        <v>156</v>
      </c>
      <c r="D39" s="227"/>
      <c r="E39" s="227"/>
      <c r="F39" s="227"/>
      <c r="G39" s="227"/>
      <c r="H39" s="227"/>
      <c r="I39" s="227"/>
      <c r="J39" s="227"/>
      <c r="K39" s="227"/>
      <c r="L39" s="236">
        <v>12</v>
      </c>
      <c r="M39" s="220"/>
      <c r="N39" s="227" t="s">
        <v>157</v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s">
        <v>158</v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s">
        <v>159</v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>
        <v>11</v>
      </c>
      <c r="B44" s="220"/>
      <c r="C44" s="227" t="s">
        <v>160</v>
      </c>
      <c r="D44" s="227"/>
      <c r="E44" s="227"/>
      <c r="F44" s="227"/>
      <c r="G44" s="227"/>
      <c r="H44" s="227"/>
      <c r="I44" s="227"/>
      <c r="J44" s="227"/>
      <c r="K44" s="227"/>
      <c r="L44" s="236">
        <v>13</v>
      </c>
      <c r="M44" s="220"/>
      <c r="N44" s="227" t="s">
        <v>161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 t="s">
        <v>162</v>
      </c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s">
        <v>163</v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 t="s">
        <v>159</v>
      </c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72" t="str">
        <f>IF('Business Details'!C45="x","x"," ")</f>
        <v xml:space="preserve"> 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52" t="s">
        <v>175</v>
      </c>
      <c r="B50" s="352"/>
      <c r="C50" s="352"/>
      <c r="D50" s="352"/>
      <c r="E50" s="352"/>
      <c r="F50" s="352"/>
      <c r="G50" s="352"/>
      <c r="H50" s="352"/>
      <c r="I50" s="352"/>
      <c r="J50" s="352"/>
      <c r="K50" s="352"/>
      <c r="L50" s="352"/>
      <c r="M50" s="352"/>
      <c r="N50" s="352"/>
      <c r="O50" s="352"/>
      <c r="P50" s="352"/>
      <c r="Q50" s="352"/>
      <c r="R50" s="352"/>
      <c r="S50" s="352"/>
      <c r="T50" s="352"/>
      <c r="U50" s="352"/>
      <c r="V50" s="352"/>
      <c r="W50" s="352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14</v>
      </c>
      <c r="B52" s="220"/>
      <c r="C52" s="227" t="s">
        <v>176</v>
      </c>
      <c r="D52" s="227"/>
      <c r="E52" s="227"/>
      <c r="F52" s="227"/>
      <c r="G52" s="227"/>
      <c r="H52" s="227"/>
      <c r="I52" s="227"/>
      <c r="J52" s="227"/>
      <c r="K52" s="227"/>
      <c r="L52" s="236">
        <v>15</v>
      </c>
      <c r="M52" s="220"/>
      <c r="N52" s="227" t="s">
        <v>177</v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178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 t="s">
        <v>179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43">
        <f>'Profit &amp; Loss Account'!B14</f>
        <v>0</v>
      </c>
      <c r="E55" s="344"/>
      <c r="F55" s="345"/>
      <c r="G55" s="218" t="s">
        <v>167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43">
        <f>'Profit &amp; Loss Account'!B48</f>
        <v>0</v>
      </c>
      <c r="P55" s="344"/>
      <c r="Q55" s="345"/>
      <c r="R55" s="218" t="s">
        <v>167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52" t="s">
        <v>180</v>
      </c>
      <c r="B57" s="352"/>
      <c r="C57" s="352"/>
      <c r="D57" s="352"/>
      <c r="E57" s="352"/>
      <c r="F57" s="352"/>
      <c r="G57" s="352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  <c r="S57" s="352"/>
      <c r="T57" s="352"/>
      <c r="U57" s="352"/>
      <c r="V57" s="352"/>
      <c r="W57" s="352"/>
    </row>
    <row r="58" spans="1:23" s="254" customFormat="1" ht="16" customHeight="1" x14ac:dyDescent="0.15">
      <c r="A58" s="353" t="s">
        <v>181</v>
      </c>
      <c r="B58" s="353"/>
      <c r="C58" s="353"/>
      <c r="D58" s="353"/>
      <c r="E58" s="353"/>
      <c r="F58" s="353"/>
      <c r="G58" s="353"/>
      <c r="H58" s="353"/>
      <c r="I58" s="353"/>
      <c r="J58" s="35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3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s">
        <v>182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s">
        <v>183</v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s">
        <v>184</v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185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16</v>
      </c>
      <c r="B64" s="220"/>
      <c r="C64" s="227" t="s">
        <v>186</v>
      </c>
      <c r="D64" s="227"/>
      <c r="E64" s="227"/>
      <c r="F64" s="227"/>
      <c r="G64" s="227"/>
      <c r="H64" s="227"/>
      <c r="I64" s="227"/>
      <c r="J64" s="227"/>
      <c r="K64" s="227"/>
      <c r="L64" s="236">
        <v>31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43">
        <f>'Profit &amp; Loss Account'!B19+'Profit &amp; Loss Account'!B21</f>
        <v>0</v>
      </c>
      <c r="E66" s="344"/>
      <c r="F66" s="345"/>
      <c r="G66" s="218" t="s">
        <v>167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43"/>
      <c r="P66" s="344"/>
      <c r="Q66" s="345"/>
      <c r="R66" s="218" t="s">
        <v>167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17</v>
      </c>
      <c r="B68" s="220"/>
      <c r="C68" s="227" t="s">
        <v>187</v>
      </c>
      <c r="D68" s="227"/>
      <c r="E68" s="227"/>
      <c r="F68" s="227"/>
      <c r="G68" s="227"/>
      <c r="H68" s="227"/>
      <c r="I68" s="227"/>
      <c r="J68" s="227"/>
      <c r="K68" s="227"/>
      <c r="L68" s="236">
        <v>32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43">
        <f>'Profit &amp; Loss Account'!B20</f>
        <v>0</v>
      </c>
      <c r="E70" s="344"/>
      <c r="F70" s="345"/>
      <c r="G70" s="218" t="s">
        <v>167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43"/>
      <c r="P70" s="344"/>
      <c r="Q70" s="345"/>
      <c r="R70" s="218" t="s">
        <v>167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18</v>
      </c>
      <c r="B72" s="220"/>
      <c r="C72" s="227" t="s">
        <v>188</v>
      </c>
      <c r="D72" s="227"/>
      <c r="E72" s="227"/>
      <c r="F72" s="227"/>
      <c r="G72" s="227"/>
      <c r="H72" s="227"/>
      <c r="I72" s="227"/>
      <c r="J72" s="227"/>
      <c r="K72" s="227"/>
      <c r="L72" s="236">
        <v>33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43">
        <f>'Profit &amp; Loss Account'!B26</f>
        <v>0</v>
      </c>
      <c r="E74" s="344"/>
      <c r="F74" s="345"/>
      <c r="G74" s="218" t="s">
        <v>167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43"/>
      <c r="P74" s="344"/>
      <c r="Q74" s="345"/>
      <c r="R74" s="218" t="s">
        <v>167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19</v>
      </c>
      <c r="B76" s="220"/>
      <c r="C76" s="227" t="s">
        <v>189</v>
      </c>
      <c r="D76" s="227"/>
      <c r="E76" s="227"/>
      <c r="F76" s="227"/>
      <c r="G76" s="227"/>
      <c r="H76" s="227"/>
      <c r="I76" s="227"/>
      <c r="J76" s="227"/>
      <c r="K76" s="227"/>
      <c r="L76" s="236">
        <v>34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43">
        <f>'Profit &amp; Loss Account'!B30+'Profit &amp; Loss Account'!B31</f>
        <v>0</v>
      </c>
      <c r="E78" s="344"/>
      <c r="F78" s="345"/>
      <c r="G78" s="218" t="s">
        <v>167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43"/>
      <c r="P78" s="344"/>
      <c r="Q78" s="345"/>
      <c r="R78" s="218" t="s">
        <v>167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20</v>
      </c>
      <c r="B80" s="220"/>
      <c r="C80" s="227" t="s">
        <v>190</v>
      </c>
      <c r="D80" s="227"/>
      <c r="E80" s="227"/>
      <c r="F80" s="227"/>
      <c r="G80" s="227"/>
      <c r="H80" s="227"/>
      <c r="I80" s="227"/>
      <c r="J80" s="227"/>
      <c r="K80" s="227"/>
      <c r="L80" s="236">
        <v>35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43">
        <f>'Profit &amp; Loss Account'!B27</f>
        <v>0</v>
      </c>
      <c r="E82" s="344"/>
      <c r="F82" s="345"/>
      <c r="G82" s="218" t="s">
        <v>167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43"/>
      <c r="P82" s="344"/>
      <c r="Q82" s="345"/>
      <c r="R82" s="218" t="s">
        <v>167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21</v>
      </c>
      <c r="B84" s="220"/>
      <c r="C84" s="227" t="s">
        <v>191</v>
      </c>
      <c r="D84" s="227"/>
      <c r="E84" s="227"/>
      <c r="F84" s="227"/>
      <c r="G84" s="227"/>
      <c r="H84" s="227"/>
      <c r="I84" s="227"/>
      <c r="J84" s="227"/>
      <c r="K84" s="227"/>
      <c r="L84" s="236">
        <v>36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43">
        <f>'Profit &amp; Loss Account'!B28</f>
        <v>0</v>
      </c>
      <c r="E86" s="344"/>
      <c r="F86" s="345"/>
      <c r="G86" s="218" t="s">
        <v>167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43"/>
      <c r="P86" s="344"/>
      <c r="Q86" s="345"/>
      <c r="R86" s="218" t="s">
        <v>167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22</v>
      </c>
      <c r="B88" s="220"/>
      <c r="C88" s="227" t="s">
        <v>192</v>
      </c>
      <c r="D88" s="227"/>
      <c r="E88" s="227"/>
      <c r="F88" s="227"/>
      <c r="G88" s="227"/>
      <c r="H88" s="227"/>
      <c r="I88" s="227"/>
      <c r="J88" s="227"/>
      <c r="K88" s="227"/>
      <c r="L88" s="236">
        <v>37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43">
        <f>'Profit &amp; Loss Account'!B29</f>
        <v>0</v>
      </c>
      <c r="E90" s="344"/>
      <c r="F90" s="345"/>
      <c r="G90" s="218" t="s">
        <v>167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43"/>
      <c r="P90" s="344"/>
      <c r="Q90" s="345"/>
      <c r="R90" s="218" t="s">
        <v>167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23</v>
      </c>
      <c r="B92" s="220"/>
      <c r="C92" s="227" t="s">
        <v>193</v>
      </c>
      <c r="D92" s="227"/>
      <c r="E92" s="227"/>
      <c r="F92" s="227"/>
      <c r="G92" s="227"/>
      <c r="H92" s="227"/>
      <c r="I92" s="227"/>
      <c r="J92" s="227"/>
      <c r="K92" s="227"/>
      <c r="L92" s="236">
        <v>38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43">
        <f>'Profit &amp; Loss Account'!B32</f>
        <v>0</v>
      </c>
      <c r="E94" s="344"/>
      <c r="F94" s="345"/>
      <c r="G94" s="218" t="s">
        <v>167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43"/>
      <c r="P94" s="344"/>
      <c r="Q94" s="345"/>
      <c r="R94" s="218" t="s">
        <v>167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24</v>
      </c>
      <c r="B96" s="220"/>
      <c r="C96" s="227" t="s">
        <v>194</v>
      </c>
      <c r="D96" s="227"/>
      <c r="E96" s="227"/>
      <c r="F96" s="227"/>
      <c r="G96" s="227"/>
      <c r="H96" s="227"/>
      <c r="I96" s="227"/>
      <c r="J96" s="227"/>
      <c r="K96" s="227"/>
      <c r="L96" s="236">
        <v>39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43">
        <f>'Profit &amp; Loss Account'!B35</f>
        <v>0</v>
      </c>
      <c r="E98" s="344"/>
      <c r="F98" s="345"/>
      <c r="G98" s="218" t="s">
        <v>167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43"/>
      <c r="P98" s="344"/>
      <c r="Q98" s="345"/>
      <c r="R98" s="218" t="s">
        <v>167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25</v>
      </c>
      <c r="B100" s="220"/>
      <c r="C100" s="227" t="s">
        <v>195</v>
      </c>
      <c r="D100" s="227"/>
      <c r="E100" s="227"/>
      <c r="F100" s="227"/>
      <c r="G100" s="227"/>
      <c r="H100" s="227"/>
      <c r="I100" s="227"/>
      <c r="J100" s="227"/>
      <c r="K100" s="227"/>
      <c r="L100" s="236">
        <v>40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43">
        <f>'Profit &amp; Loss Account'!B36</f>
        <v>0</v>
      </c>
      <c r="E102" s="344"/>
      <c r="F102" s="345"/>
      <c r="G102" s="218" t="s">
        <v>167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43"/>
      <c r="P102" s="344"/>
      <c r="Q102" s="345"/>
      <c r="R102" s="218" t="s">
        <v>167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26</v>
      </c>
      <c r="B104" s="220"/>
      <c r="C104" s="227" t="s">
        <v>196</v>
      </c>
      <c r="D104" s="227"/>
      <c r="E104" s="227"/>
      <c r="F104" s="227"/>
      <c r="G104" s="227"/>
      <c r="H104" s="227"/>
      <c r="I104" s="227"/>
      <c r="J104" s="227"/>
      <c r="K104" s="227"/>
      <c r="L104" s="236">
        <v>41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43">
        <f>'Profit &amp; Loss Account'!B34</f>
        <v>0</v>
      </c>
      <c r="E106" s="344"/>
      <c r="F106" s="345"/>
      <c r="G106" s="218" t="s">
        <v>167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43"/>
      <c r="P106" s="344"/>
      <c r="Q106" s="345"/>
      <c r="R106" s="218" t="s">
        <v>167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27</v>
      </c>
      <c r="B108" s="220"/>
      <c r="C108" s="227" t="s">
        <v>197</v>
      </c>
      <c r="D108" s="227"/>
      <c r="E108" s="227"/>
      <c r="F108" s="227"/>
      <c r="G108" s="227"/>
      <c r="H108" s="227"/>
      <c r="I108" s="227"/>
      <c r="J108" s="227"/>
      <c r="K108" s="227"/>
      <c r="L108" s="236">
        <v>42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43">
        <f>'Profit &amp; Loss Account'!B33</f>
        <v>0</v>
      </c>
      <c r="E110" s="344"/>
      <c r="F110" s="345"/>
      <c r="G110" s="218" t="s">
        <v>167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43"/>
      <c r="P110" s="344"/>
      <c r="Q110" s="345"/>
      <c r="R110" s="218" t="s">
        <v>167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28</v>
      </c>
      <c r="B112" s="220"/>
      <c r="C112" s="227" t="s">
        <v>198</v>
      </c>
      <c r="D112" s="227"/>
      <c r="E112" s="227"/>
      <c r="F112" s="227"/>
      <c r="G112" s="227"/>
      <c r="H112" s="227"/>
      <c r="I112" s="227"/>
      <c r="J112" s="227"/>
      <c r="K112" s="227"/>
      <c r="L112" s="236">
        <v>43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43">
        <f>'Profit &amp; Loss Account'!B43+'Profit &amp; Loss Account'!B44</f>
        <v>0</v>
      </c>
      <c r="E114" s="344"/>
      <c r="F114" s="345"/>
      <c r="G114" s="218" t="s">
        <v>167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43">
        <f>'Profit &amp; Loss Account'!B44</f>
        <v>0</v>
      </c>
      <c r="P114" s="344"/>
      <c r="Q114" s="345"/>
      <c r="R114" s="218" t="s">
        <v>167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29</v>
      </c>
      <c r="B116" s="220"/>
      <c r="C116" s="227" t="s">
        <v>199</v>
      </c>
      <c r="D116" s="227"/>
      <c r="E116" s="227"/>
      <c r="F116" s="227"/>
      <c r="G116" s="227"/>
      <c r="H116" s="227"/>
      <c r="I116" s="227"/>
      <c r="J116" s="227"/>
      <c r="K116" s="227"/>
      <c r="L116" s="236">
        <v>44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43">
        <f>SUM('Profit &amp; Loss Account'!B37:B42)</f>
        <v>0</v>
      </c>
      <c r="E118" s="344"/>
      <c r="F118" s="345"/>
      <c r="G118" s="218" t="s">
        <v>167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43"/>
      <c r="P118" s="344"/>
      <c r="Q118" s="345"/>
      <c r="R118" s="218" t="s">
        <v>167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30</v>
      </c>
      <c r="B120" s="220"/>
      <c r="C120" s="227" t="s">
        <v>200</v>
      </c>
      <c r="D120" s="227"/>
      <c r="E120" s="227"/>
      <c r="F120" s="227"/>
      <c r="G120" s="227"/>
      <c r="H120" s="227"/>
      <c r="I120" s="227"/>
      <c r="J120" s="227"/>
      <c r="K120" s="227"/>
      <c r="L120" s="236">
        <v>45</v>
      </c>
      <c r="M120" s="220"/>
      <c r="N120" s="227" t="s">
        <v>201</v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43">
        <f>'Profit &amp; Loss Account'!B22+'Profit &amp; Loss Account'!B45</f>
        <v>0</v>
      </c>
      <c r="E122" s="344"/>
      <c r="F122" s="345"/>
      <c r="G122" s="218" t="s">
        <v>167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43">
        <f>'Profit &amp; Loss Account'!B44</f>
        <v>0</v>
      </c>
      <c r="P122" s="344"/>
      <c r="Q122" s="345"/>
      <c r="R122" s="218" t="s">
        <v>167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54" t="s">
        <v>202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46</v>
      </c>
      <c r="B126" s="220"/>
      <c r="C126" s="227" t="s">
        <v>203</v>
      </c>
      <c r="D126" s="227"/>
      <c r="E126" s="227"/>
      <c r="F126" s="227"/>
      <c r="G126" s="227"/>
      <c r="H126" s="227"/>
      <c r="I126" s="227"/>
      <c r="J126" s="227"/>
      <c r="K126" s="227"/>
      <c r="L126" s="236">
        <v>47</v>
      </c>
      <c r="M126" s="220"/>
      <c r="N126" s="227" t="s">
        <v>204</v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s">
        <v>205</v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s">
        <v>206</v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43">
        <f>IF((D55+O55-D122)&gt;=0,D55+O55-D122,0)</f>
        <v>0</v>
      </c>
      <c r="E129" s="344"/>
      <c r="F129" s="345"/>
      <c r="G129" s="218" t="s">
        <v>167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43">
        <f>IF((D55+O55-D122)&lt;0,D122-D55-O55,0)</f>
        <v>0</v>
      </c>
      <c r="P129" s="344"/>
      <c r="Q129" s="345"/>
      <c r="R129" s="218" t="s">
        <v>167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52" t="s">
        <v>207</v>
      </c>
      <c r="B131" s="352"/>
      <c r="C131" s="352"/>
      <c r="D131" s="352"/>
      <c r="E131" s="352"/>
      <c r="F131" s="352"/>
      <c r="G131" s="352"/>
      <c r="H131" s="352"/>
      <c r="I131" s="352"/>
      <c r="J131" s="352"/>
      <c r="K131" s="352"/>
      <c r="L131" s="352"/>
      <c r="M131" s="352"/>
      <c r="N131" s="352"/>
      <c r="O131" s="352"/>
      <c r="P131" s="352"/>
      <c r="Q131" s="352"/>
      <c r="R131" s="352"/>
      <c r="S131" s="352"/>
      <c r="T131" s="352"/>
      <c r="U131" s="352"/>
      <c r="V131" s="352"/>
      <c r="W131" s="352"/>
    </row>
    <row r="132" spans="1:23" ht="16" customHeight="1" x14ac:dyDescent="0.15">
      <c r="A132" s="353" t="s">
        <v>208</v>
      </c>
      <c r="B132" s="353"/>
      <c r="C132" s="353"/>
      <c r="D132" s="353"/>
      <c r="E132" s="353"/>
      <c r="F132" s="353"/>
      <c r="G132" s="353"/>
      <c r="H132" s="353"/>
      <c r="I132" s="353"/>
      <c r="J132" s="353"/>
      <c r="K132" s="353"/>
      <c r="L132" s="353"/>
      <c r="M132" s="353"/>
      <c r="N132" s="353"/>
      <c r="O132" s="353"/>
      <c r="P132" s="353"/>
      <c r="Q132" s="353"/>
      <c r="R132" s="353"/>
      <c r="S132" s="353"/>
      <c r="T132" s="353"/>
      <c r="U132" s="353"/>
      <c r="V132" s="353"/>
      <c r="W132" s="353"/>
    </row>
    <row r="133" spans="1:23" ht="16" customHeight="1" x14ac:dyDescent="0.15">
      <c r="A133" s="353" t="s">
        <v>341</v>
      </c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</row>
    <row r="134" spans="1:23" ht="16" customHeight="1" x14ac:dyDescent="0.15">
      <c r="A134" s="353" t="s">
        <v>209</v>
      </c>
      <c r="B134" s="353"/>
      <c r="C134" s="353"/>
      <c r="D134" s="353"/>
      <c r="E134" s="353"/>
      <c r="F134" s="353"/>
      <c r="G134" s="353"/>
      <c r="H134" s="353"/>
      <c r="I134" s="353"/>
      <c r="J134" s="353"/>
      <c r="K134" s="353"/>
      <c r="L134" s="353"/>
      <c r="M134" s="353"/>
      <c r="N134" s="353"/>
      <c r="O134" s="353"/>
      <c r="P134" s="353"/>
      <c r="Q134" s="353"/>
      <c r="R134" s="353"/>
      <c r="S134" s="353"/>
      <c r="T134" s="353"/>
      <c r="U134" s="353"/>
      <c r="V134" s="353"/>
      <c r="W134" s="353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48</v>
      </c>
      <c r="B136" s="220"/>
      <c r="C136" s="288" t="s">
        <v>338</v>
      </c>
      <c r="D136" s="227"/>
      <c r="E136" s="227"/>
      <c r="F136" s="227"/>
      <c r="G136" s="227"/>
      <c r="H136" s="366">
        <f>Admin!G4</f>
        <v>1</v>
      </c>
      <c r="I136" s="367"/>
      <c r="J136" s="227"/>
      <c r="K136" s="227"/>
      <c r="L136" s="236">
        <v>54</v>
      </c>
      <c r="M136" s="220"/>
      <c r="N136" s="227" t="s">
        <v>212</v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 t="s">
        <v>342</v>
      </c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43">
        <f>IF([1]Schedule!$Q$1&gt;0,[1]Schedule!$Q$1,0)</f>
        <v>0</v>
      </c>
      <c r="E139" s="344"/>
      <c r="F139" s="345"/>
      <c r="G139" s="218" t="s">
        <v>167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43">
        <f>IF(([1]Schedule!$R$1+[1]Schedule!$S$1)&lt;1000,[1]Schedule!$S$1,0)</f>
        <v>0</v>
      </c>
      <c r="P139" s="344"/>
      <c r="Q139" s="345"/>
      <c r="R139" s="218" t="s">
        <v>167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49</v>
      </c>
      <c r="B141" s="220"/>
      <c r="C141" s="227" t="s">
        <v>210</v>
      </c>
      <c r="D141" s="227"/>
      <c r="E141" s="227"/>
      <c r="F141" s="227"/>
      <c r="G141" s="366">
        <f>Admin!G5</f>
        <v>0.18</v>
      </c>
      <c r="H141" s="368"/>
      <c r="I141" s="227" t="s">
        <v>211</v>
      </c>
      <c r="J141" s="227"/>
      <c r="K141" s="227"/>
      <c r="L141" s="236">
        <v>55</v>
      </c>
      <c r="M141" s="220"/>
      <c r="N141" s="227" t="s">
        <v>214</v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s">
        <v>213</v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 t="s">
        <v>215</v>
      </c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43">
        <f>[1]Schedule!$R$1-D152</f>
        <v>0</v>
      </c>
      <c r="E144" s="344"/>
      <c r="F144" s="345"/>
      <c r="G144" s="218" t="s">
        <v>167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43">
        <f>[1]Schedule!$Y$1</f>
        <v>0</v>
      </c>
      <c r="P144" s="344"/>
      <c r="Q144" s="345"/>
      <c r="R144" s="218" t="s">
        <v>167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50</v>
      </c>
      <c r="B146" s="220"/>
      <c r="C146" s="288" t="s">
        <v>343</v>
      </c>
      <c r="D146" s="227"/>
      <c r="E146" s="227"/>
      <c r="F146" s="227"/>
      <c r="G146" s="227"/>
      <c r="H146" s="366">
        <v>0.1</v>
      </c>
      <c r="I146" s="367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43"/>
      <c r="E147" s="344"/>
      <c r="F147" s="345"/>
      <c r="G147" s="218" t="s">
        <v>167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s">
        <v>344</v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51</v>
      </c>
      <c r="B149" s="220"/>
      <c r="C149" s="227" t="s">
        <v>216</v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43">
        <f>D139+D144+D147+D152+D156+D160+O139+O144</f>
        <v>0</v>
      </c>
      <c r="P149" s="344"/>
      <c r="Q149" s="345"/>
      <c r="R149" s="218" t="s">
        <v>167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 t="s">
        <v>217</v>
      </c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s">
        <v>219</v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43">
        <f>SUM([1]Schedule!$R$38:$R$42)+SUM([1]Schedule!$R$91:$R$95)</f>
        <v>0</v>
      </c>
      <c r="E152" s="318"/>
      <c r="F152" s="319"/>
      <c r="G152" s="218" t="s">
        <v>167</v>
      </c>
      <c r="H152" s="219">
        <v>0</v>
      </c>
      <c r="I152" s="219">
        <v>0</v>
      </c>
      <c r="J152" s="220"/>
      <c r="K152" s="220"/>
      <c r="L152" s="220"/>
      <c r="M152" s="220"/>
      <c r="N152" s="227" t="s">
        <v>220</v>
      </c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</v>
      </c>
      <c r="B154" s="220"/>
      <c r="C154" s="227" t="s">
        <v>218</v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43"/>
      <c r="P154" s="344"/>
      <c r="Q154" s="345"/>
      <c r="R154" s="218" t="s">
        <v>167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43"/>
      <c r="E156" s="318"/>
      <c r="F156" s="319"/>
      <c r="G156" s="218" t="s">
        <v>167</v>
      </c>
      <c r="H156" s="219">
        <v>0</v>
      </c>
      <c r="I156" s="219">
        <v>0</v>
      </c>
      <c r="J156" s="220"/>
      <c r="K156" s="220"/>
      <c r="L156" s="236">
        <v>58</v>
      </c>
      <c r="M156" s="220"/>
      <c r="N156" s="227" t="s">
        <v>345</v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s">
        <v>221</v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s">
        <v>346</v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 t="s">
        <v>347</v>
      </c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s">
        <v>348</v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43"/>
      <c r="E160" s="344"/>
      <c r="F160" s="345"/>
      <c r="G160" s="218" t="s">
        <v>167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43">
        <f>[1]Schedule!$Z$1</f>
        <v>0</v>
      </c>
      <c r="P160" s="344"/>
      <c r="Q160" s="345"/>
      <c r="R160" s="218" t="s">
        <v>167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52" t="s">
        <v>222</v>
      </c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</row>
    <row r="163" spans="1:23" ht="16" customHeight="1" x14ac:dyDescent="0.15">
      <c r="A163" s="353" t="s">
        <v>223</v>
      </c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</row>
    <row r="164" spans="1:23" ht="16" customHeight="1" x14ac:dyDescent="0.15">
      <c r="A164" s="353" t="s">
        <v>349</v>
      </c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3"/>
      <c r="M164" s="353"/>
      <c r="N164" s="353"/>
      <c r="O164" s="353"/>
      <c r="P164" s="353"/>
      <c r="Q164" s="353"/>
      <c r="R164" s="353"/>
      <c r="S164" s="353"/>
      <c r="T164" s="353"/>
      <c r="U164" s="353"/>
      <c r="V164" s="353"/>
      <c r="W164" s="353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59</v>
      </c>
      <c r="B166" s="220"/>
      <c r="C166" s="227" t="s">
        <v>350</v>
      </c>
      <c r="D166" s="227"/>
      <c r="E166" s="227"/>
      <c r="F166" s="227"/>
      <c r="G166" s="227"/>
      <c r="H166" s="227"/>
      <c r="I166" s="227"/>
      <c r="J166" s="227"/>
      <c r="K166" s="227"/>
      <c r="L166" s="236">
        <v>62</v>
      </c>
      <c r="M166" s="220"/>
      <c r="N166" s="227" t="s">
        <v>224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 t="s">
        <v>225</v>
      </c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s">
        <v>351</v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43">
        <f>'Business Details'!O50</f>
        <v>0</v>
      </c>
      <c r="E169" s="344"/>
      <c r="F169" s="345"/>
      <c r="G169" s="218" t="s">
        <v>167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43">
        <f>O149+D179</f>
        <v>0</v>
      </c>
      <c r="P169" s="344"/>
      <c r="Q169" s="345"/>
      <c r="R169" s="218" t="s">
        <v>167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60</v>
      </c>
      <c r="B171" s="220"/>
      <c r="C171" s="227" t="s">
        <v>226</v>
      </c>
      <c r="D171" s="227"/>
      <c r="E171" s="227"/>
      <c r="F171" s="227"/>
      <c r="G171" s="227"/>
      <c r="H171" s="227"/>
      <c r="I171" s="227"/>
      <c r="J171" s="227"/>
      <c r="K171" s="227"/>
      <c r="L171" s="236">
        <v>63</v>
      </c>
      <c r="M171" s="220"/>
      <c r="N171" s="227" t="s">
        <v>352</v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s">
        <v>353</v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s">
        <v>354</v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43">
        <f>O122+O154+O160+D169</f>
        <v>0</v>
      </c>
      <c r="E174" s="344"/>
      <c r="F174" s="345"/>
      <c r="G174" s="218" t="s">
        <v>167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43">
        <f>IF((D129+D174-O169)&gt;0,(D129+D174-O169),IF((-O129+D174-O169)&gt;0,(-O129+D174-O169),0))</f>
        <v>0</v>
      </c>
      <c r="P174" s="344"/>
      <c r="Q174" s="345"/>
      <c r="R174" s="218" t="s">
        <v>167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61</v>
      </c>
      <c r="B176" s="220"/>
      <c r="C176" s="227" t="s">
        <v>227</v>
      </c>
      <c r="D176" s="227"/>
      <c r="E176" s="227"/>
      <c r="F176" s="227"/>
      <c r="G176" s="227"/>
      <c r="H176" s="227"/>
      <c r="I176" s="227"/>
      <c r="J176" s="227"/>
      <c r="K176" s="227"/>
      <c r="L176" s="236">
        <v>64</v>
      </c>
      <c r="M176" s="220"/>
      <c r="N176" s="227" t="s">
        <v>355</v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228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s">
        <v>356</v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43"/>
      <c r="E179" s="344"/>
      <c r="F179" s="345"/>
      <c r="G179" s="218" t="s">
        <v>167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43">
        <f>IF(O174&gt;0,0,IF((D129+D174-O169)&lt;0,-(D129+D174-O169),IF((-O129+D174-O169)&lt;0,-(-O129+D174-O169),0)))</f>
        <v>0</v>
      </c>
      <c r="P179" s="344"/>
      <c r="Q179" s="345"/>
      <c r="R179" s="218" t="s">
        <v>167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52" t="s">
        <v>229</v>
      </c>
      <c r="B181" s="352"/>
      <c r="C181" s="352"/>
      <c r="D181" s="352"/>
      <c r="E181" s="352"/>
      <c r="F181" s="352"/>
      <c r="G181" s="352"/>
      <c r="H181" s="352"/>
      <c r="I181" s="352"/>
      <c r="J181" s="352"/>
      <c r="K181" s="352"/>
      <c r="L181" s="352"/>
      <c r="M181" s="352"/>
      <c r="N181" s="352"/>
      <c r="O181" s="352"/>
      <c r="P181" s="352"/>
      <c r="Q181" s="352"/>
      <c r="R181" s="352"/>
      <c r="S181" s="352"/>
      <c r="T181" s="352"/>
      <c r="U181" s="352"/>
      <c r="V181" s="352"/>
      <c r="W181" s="352"/>
    </row>
    <row r="182" spans="1:23" ht="16" customHeight="1" x14ac:dyDescent="0.15">
      <c r="A182" s="353" t="s">
        <v>230</v>
      </c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3"/>
      <c r="R182" s="353"/>
      <c r="S182" s="353"/>
      <c r="T182" s="353"/>
      <c r="U182" s="353"/>
      <c r="V182" s="353"/>
      <c r="W182" s="353"/>
    </row>
    <row r="183" spans="1:23" ht="16" customHeight="1" x14ac:dyDescent="0.15">
      <c r="A183" s="353" t="s">
        <v>231</v>
      </c>
      <c r="B183" s="353"/>
      <c r="C183" s="353"/>
      <c r="D183" s="353"/>
      <c r="E183" s="353"/>
      <c r="F183" s="353"/>
      <c r="G183" s="353"/>
      <c r="H183" s="353"/>
      <c r="I183" s="353"/>
      <c r="J183" s="353"/>
      <c r="K183" s="353"/>
      <c r="L183" s="353"/>
      <c r="M183" s="353"/>
      <c r="N183" s="353"/>
      <c r="O183" s="353"/>
      <c r="P183" s="353"/>
      <c r="Q183" s="353"/>
      <c r="R183" s="353"/>
      <c r="S183" s="353"/>
      <c r="T183" s="353"/>
      <c r="U183" s="353"/>
      <c r="V183" s="353"/>
      <c r="W183" s="353"/>
    </row>
    <row r="184" spans="1:23" ht="15.75" customHeight="1" x14ac:dyDescent="0.15">
      <c r="A184" s="374" t="s">
        <v>232</v>
      </c>
      <c r="B184" s="374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4"/>
      <c r="P184" s="374"/>
      <c r="Q184" s="374"/>
      <c r="R184" s="374"/>
      <c r="S184" s="374"/>
      <c r="T184" s="374"/>
      <c r="U184" s="374"/>
      <c r="V184" s="374"/>
      <c r="W184" s="374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>
        <v>65</v>
      </c>
      <c r="B186" s="220"/>
      <c r="C186" s="227" t="s">
        <v>233</v>
      </c>
      <c r="D186" s="227"/>
      <c r="E186" s="227"/>
      <c r="F186" s="227"/>
      <c r="G186" s="227"/>
      <c r="H186" s="227"/>
      <c r="I186" s="227"/>
      <c r="J186" s="227"/>
      <c r="K186" s="227"/>
      <c r="L186" s="236">
        <v>71</v>
      </c>
      <c r="M186" s="220"/>
      <c r="N186" s="227" t="s">
        <v>234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369"/>
      <c r="D187" s="370"/>
      <c r="E187" s="370"/>
      <c r="F187" s="371"/>
      <c r="G187" s="227"/>
      <c r="H187" s="227"/>
      <c r="I187" s="227"/>
      <c r="J187" s="227"/>
      <c r="K187" s="227"/>
      <c r="L187" s="227"/>
      <c r="M187" s="220"/>
      <c r="N187" s="241" t="s">
        <v>235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61"/>
      <c r="D188" s="372"/>
      <c r="E188" s="372"/>
      <c r="F188" s="372"/>
      <c r="G188" s="218"/>
      <c r="H188" s="253"/>
      <c r="I188" s="253"/>
      <c r="J188" s="220"/>
      <c r="K188" s="220"/>
      <c r="L188" s="227"/>
      <c r="M188" s="220"/>
      <c r="N188" s="248" t="s">
        <v>236</v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>
        <v>66</v>
      </c>
      <c r="B189" s="220"/>
      <c r="C189" s="227" t="s">
        <v>237</v>
      </c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238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369"/>
      <c r="D190" s="370"/>
      <c r="E190" s="370"/>
      <c r="F190" s="371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239</v>
      </c>
      <c r="P190" s="362"/>
      <c r="Q190" s="373"/>
      <c r="R190" s="218" t="s">
        <v>167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67</v>
      </c>
      <c r="B192" s="220"/>
      <c r="C192" s="227" t="s">
        <v>240</v>
      </c>
      <c r="D192" s="259"/>
      <c r="E192" s="259"/>
      <c r="F192" s="259"/>
      <c r="G192" s="218"/>
      <c r="H192" s="253"/>
      <c r="I192" s="253"/>
      <c r="J192" s="220"/>
      <c r="K192" s="220"/>
      <c r="L192" s="236">
        <v>72</v>
      </c>
      <c r="M192" s="220"/>
      <c r="N192" s="227" t="s">
        <v>241</v>
      </c>
      <c r="O192" s="220"/>
      <c r="P192" s="220"/>
      <c r="Q192" s="290" t="str">
        <f>Admin!G2</f>
        <v>2025-26</v>
      </c>
      <c r="R192" s="227" t="s">
        <v>357</v>
      </c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s">
        <v>242</v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s">
        <v>358</v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s">
        <v>243</v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43">
        <f>O174</f>
        <v>0</v>
      </c>
      <c r="P194" s="344"/>
      <c r="Q194" s="345"/>
      <c r="R194" s="218" t="s">
        <v>167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 t="s">
        <v>244</v>
      </c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 t="s">
        <v>245</v>
      </c>
      <c r="D196" s="227"/>
      <c r="E196" s="227"/>
      <c r="F196" s="227"/>
      <c r="G196" s="227"/>
      <c r="H196" s="227"/>
      <c r="I196" s="227"/>
      <c r="J196" s="227"/>
      <c r="K196" s="227"/>
      <c r="L196" s="236">
        <v>73</v>
      </c>
      <c r="M196" s="220"/>
      <c r="N196" s="227" t="s">
        <v>246</v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239</v>
      </c>
      <c r="E197" s="362"/>
      <c r="F197" s="373"/>
      <c r="G197" s="218" t="s">
        <v>167</v>
      </c>
      <c r="H197" s="219">
        <v>0</v>
      </c>
      <c r="I197" s="219">
        <v>0</v>
      </c>
      <c r="J197" s="220"/>
      <c r="K197" s="220"/>
      <c r="L197" s="220"/>
      <c r="M197" s="220"/>
      <c r="N197" s="241" t="s">
        <v>359</v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 t="s">
        <v>360</v>
      </c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68</v>
      </c>
      <c r="B199" s="220"/>
      <c r="C199" s="227" t="s">
        <v>361</v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43">
        <f>IF(D179&gt;0,0,IF((O194+O204)&gt;'Business Details'!D50,'Business Details'!D50,(O194+O204)))</f>
        <v>0</v>
      </c>
      <c r="P199" s="344"/>
      <c r="Q199" s="345"/>
      <c r="R199" s="218" t="s">
        <v>167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43"/>
      <c r="E201" s="344"/>
      <c r="F201" s="345"/>
      <c r="G201" s="218" t="s">
        <v>167</v>
      </c>
      <c r="H201" s="219">
        <v>0</v>
      </c>
      <c r="I201" s="219">
        <v>0</v>
      </c>
      <c r="J201" s="220"/>
      <c r="K201" s="220"/>
      <c r="L201" s="236">
        <v>74</v>
      </c>
      <c r="M201" s="220"/>
      <c r="N201" s="227" t="s">
        <v>247</v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s">
        <v>362</v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>
        <v>69</v>
      </c>
      <c r="B203" s="220"/>
      <c r="C203" s="227" t="s">
        <v>363</v>
      </c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43">
        <f>'Profit &amp; Loss Account'!B16</f>
        <v>0</v>
      </c>
      <c r="P204" s="344"/>
      <c r="Q204" s="345"/>
      <c r="R204" s="218" t="s">
        <v>167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17" t="s">
        <v>51</v>
      </c>
      <c r="D206" s="343"/>
      <c r="E206" s="344"/>
      <c r="F206" s="345"/>
      <c r="G206" s="218" t="s">
        <v>167</v>
      </c>
      <c r="H206" s="219">
        <v>0</v>
      </c>
      <c r="I206" s="219">
        <v>0</v>
      </c>
      <c r="J206" s="220"/>
      <c r="K206" s="220"/>
      <c r="L206" s="236">
        <v>75</v>
      </c>
      <c r="M206" s="220"/>
      <c r="N206" s="227" t="s">
        <v>364</v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s">
        <v>365</v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70</v>
      </c>
      <c r="B208" s="220"/>
      <c r="C208" s="227" t="s">
        <v>248</v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 t="s">
        <v>366</v>
      </c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 t="s">
        <v>367</v>
      </c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43"/>
      <c r="E210" s="344"/>
      <c r="F210" s="345"/>
      <c r="G210" s="218" t="s">
        <v>167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43">
        <f>O194-O199+O204</f>
        <v>0</v>
      </c>
      <c r="P210" s="344"/>
      <c r="Q210" s="345"/>
      <c r="R210" s="218" t="s">
        <v>167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55" t="s">
        <v>249</v>
      </c>
      <c r="B212" s="355"/>
      <c r="C212" s="355"/>
      <c r="D212" s="355"/>
      <c r="E212" s="355"/>
      <c r="F212" s="355"/>
      <c r="G212" s="355"/>
      <c r="H212" s="355"/>
      <c r="I212" s="355"/>
      <c r="J212" s="355"/>
      <c r="K212" s="355"/>
      <c r="L212" s="355"/>
      <c r="M212" s="355"/>
      <c r="N212" s="355"/>
      <c r="O212" s="355"/>
      <c r="P212" s="355"/>
      <c r="Q212" s="355"/>
      <c r="R212" s="355"/>
      <c r="S212" s="355"/>
      <c r="T212" s="355"/>
      <c r="U212" s="355"/>
      <c r="V212" s="355"/>
      <c r="W212" s="355"/>
    </row>
    <row r="213" spans="1:23" ht="16" customHeight="1" x14ac:dyDescent="0.15">
      <c r="A213" s="353" t="s">
        <v>250</v>
      </c>
      <c r="B213" s="353"/>
      <c r="C213" s="353"/>
      <c r="D213" s="353"/>
      <c r="E213" s="353"/>
      <c r="F213" s="353"/>
      <c r="G213" s="353"/>
      <c r="H213" s="353"/>
      <c r="I213" s="353"/>
      <c r="J213" s="353"/>
      <c r="K213" s="353"/>
      <c r="L213" s="353"/>
      <c r="M213" s="353"/>
      <c r="N213" s="353"/>
      <c r="O213" s="353"/>
      <c r="P213" s="353"/>
      <c r="Q213" s="353"/>
      <c r="R213" s="353"/>
      <c r="S213" s="353"/>
      <c r="T213" s="353"/>
      <c r="U213" s="353"/>
      <c r="V213" s="353"/>
      <c r="W213" s="353"/>
    </row>
    <row r="214" spans="1:23" ht="16" customHeight="1" x14ac:dyDescent="0.15">
      <c r="A214" s="353" t="s">
        <v>251</v>
      </c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3"/>
      <c r="M214" s="353"/>
      <c r="N214" s="353"/>
      <c r="O214" s="353"/>
      <c r="P214" s="353"/>
      <c r="Q214" s="353"/>
      <c r="R214" s="353"/>
      <c r="S214" s="353"/>
      <c r="T214" s="353"/>
      <c r="U214" s="353"/>
      <c r="V214" s="353"/>
      <c r="W214" s="353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76</v>
      </c>
      <c r="B216" s="220"/>
      <c r="C216" s="227" t="s">
        <v>252</v>
      </c>
      <c r="D216" s="227"/>
      <c r="E216" s="227"/>
      <c r="F216" s="289" t="str">
        <f>Admin!G2</f>
        <v>2025-26</v>
      </c>
      <c r="G216" s="227" t="s">
        <v>368</v>
      </c>
      <c r="H216" s="227"/>
      <c r="I216" s="227"/>
      <c r="J216" s="220"/>
      <c r="K216" s="227"/>
      <c r="L216" s="236">
        <v>78</v>
      </c>
      <c r="M216" s="220"/>
      <c r="N216" s="227" t="s">
        <v>253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 t="s">
        <v>369</v>
      </c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254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43">
        <f>O179+E197-D201+D210+P190</f>
        <v>0</v>
      </c>
      <c r="E219" s="344"/>
      <c r="F219" s="345"/>
      <c r="G219" s="218" t="s">
        <v>167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43"/>
      <c r="P219" s="344"/>
      <c r="Q219" s="345"/>
      <c r="R219" s="218" t="s">
        <v>167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77</v>
      </c>
      <c r="B221" s="220"/>
      <c r="C221" s="227" t="s">
        <v>255</v>
      </c>
      <c r="D221" s="227"/>
      <c r="E221" s="227"/>
      <c r="F221" s="227"/>
      <c r="G221" s="227"/>
      <c r="H221" s="227"/>
      <c r="I221" s="227"/>
      <c r="J221" s="227"/>
      <c r="K221" s="227"/>
      <c r="L221" s="236">
        <v>79</v>
      </c>
      <c r="M221" s="220"/>
      <c r="N221" s="227" t="s">
        <v>256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257</v>
      </c>
      <c r="D222" s="356" t="str">
        <f>Admin!G2</f>
        <v>2025-26</v>
      </c>
      <c r="E222" s="348"/>
      <c r="F222" s="349"/>
      <c r="G222" s="220"/>
      <c r="H222" s="220"/>
      <c r="I222" s="220"/>
      <c r="J222" s="220"/>
      <c r="K222" s="220"/>
      <c r="L222" s="220"/>
      <c r="M222" s="220"/>
      <c r="N222" s="246" t="s">
        <v>258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43"/>
      <c r="E224" s="344"/>
      <c r="F224" s="345"/>
      <c r="G224" s="218" t="s">
        <v>167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43">
        <f>D219</f>
        <v>0</v>
      </c>
      <c r="P224" s="344"/>
      <c r="Q224" s="345"/>
      <c r="R224" s="218" t="s">
        <v>167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75" t="s">
        <v>259</v>
      </c>
      <c r="B226" s="375"/>
      <c r="C226" s="375"/>
      <c r="D226" s="375"/>
      <c r="E226" s="375"/>
      <c r="F226" s="375"/>
      <c r="G226" s="375"/>
      <c r="H226" s="375"/>
      <c r="I226" s="375"/>
      <c r="J226" s="375"/>
      <c r="K226" s="375"/>
      <c r="L226" s="375"/>
      <c r="M226" s="375"/>
      <c r="N226" s="375"/>
      <c r="O226" s="375"/>
      <c r="P226" s="375"/>
      <c r="Q226" s="375"/>
      <c r="R226" s="375"/>
      <c r="S226" s="375"/>
      <c r="T226" s="375"/>
      <c r="U226" s="375"/>
      <c r="V226" s="375"/>
      <c r="W226" s="375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80</v>
      </c>
      <c r="B228" s="220"/>
      <c r="C228" s="227" t="s">
        <v>260</v>
      </c>
      <c r="D228" s="227"/>
      <c r="E228" s="227"/>
      <c r="F228" s="227"/>
      <c r="G228" s="227"/>
      <c r="H228" s="227"/>
      <c r="I228" s="227"/>
      <c r="J228" s="227"/>
      <c r="K228" s="227"/>
      <c r="L228" s="236">
        <v>81</v>
      </c>
      <c r="M228" s="220"/>
      <c r="N228" s="227" t="s">
        <v>261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s">
        <v>262</v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43">
        <f>[2]Mar!$AC$1</f>
        <v>0</v>
      </c>
      <c r="E231" s="344"/>
      <c r="F231" s="345"/>
      <c r="G231" s="218" t="s">
        <v>167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43"/>
      <c r="P231" s="344"/>
      <c r="Q231" s="345"/>
      <c r="R231" s="218" t="s">
        <v>167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52" t="s">
        <v>370</v>
      </c>
      <c r="B233" s="352"/>
      <c r="C233" s="352"/>
      <c r="D233" s="352"/>
      <c r="E233" s="352"/>
      <c r="F233" s="352"/>
      <c r="G233" s="352"/>
      <c r="H233" s="352"/>
      <c r="I233" s="352"/>
      <c r="J233" s="352"/>
      <c r="K233" s="352"/>
      <c r="L233" s="352"/>
      <c r="M233" s="352"/>
      <c r="N233" s="352"/>
      <c r="O233" s="352"/>
      <c r="P233" s="352"/>
      <c r="Q233" s="352"/>
      <c r="R233" s="352"/>
      <c r="S233" s="352"/>
      <c r="T233" s="352"/>
      <c r="U233" s="352"/>
      <c r="V233" s="352"/>
      <c r="W233" s="352"/>
    </row>
    <row r="234" spans="1:23" ht="16" customHeight="1" x14ac:dyDescent="0.15">
      <c r="A234" s="353" t="s">
        <v>263</v>
      </c>
      <c r="B234" s="353"/>
      <c r="C234" s="353"/>
      <c r="D234" s="353"/>
      <c r="E234" s="353"/>
      <c r="F234" s="353"/>
      <c r="G234" s="353"/>
      <c r="H234" s="353"/>
      <c r="I234" s="353"/>
      <c r="J234" s="353"/>
      <c r="K234" s="353"/>
      <c r="L234" s="353"/>
      <c r="M234" s="353"/>
      <c r="N234" s="353"/>
      <c r="O234" s="353"/>
      <c r="P234" s="353"/>
      <c r="Q234" s="353"/>
      <c r="R234" s="353"/>
      <c r="S234" s="353"/>
      <c r="T234" s="353"/>
      <c r="U234" s="353"/>
      <c r="V234" s="353"/>
      <c r="W234" s="353"/>
    </row>
    <row r="235" spans="1:23" ht="16" customHeight="1" x14ac:dyDescent="0.15">
      <c r="A235" s="353" t="s">
        <v>371</v>
      </c>
      <c r="B235" s="353"/>
      <c r="C235" s="353"/>
      <c r="D235" s="353"/>
      <c r="E235" s="353"/>
      <c r="F235" s="353"/>
      <c r="G235" s="353"/>
      <c r="H235" s="353"/>
      <c r="I235" s="353"/>
      <c r="J235" s="353"/>
      <c r="K235" s="353"/>
      <c r="L235" s="353"/>
      <c r="M235" s="353"/>
      <c r="N235" s="353"/>
      <c r="O235" s="353"/>
      <c r="P235" s="353"/>
      <c r="Q235" s="353"/>
      <c r="R235" s="353"/>
      <c r="S235" s="353"/>
      <c r="T235" s="353"/>
      <c r="U235" s="353"/>
      <c r="V235" s="353"/>
      <c r="W235" s="353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264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265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82</v>
      </c>
      <c r="B239" s="220"/>
      <c r="C239" s="227" t="s">
        <v>266</v>
      </c>
      <c r="D239" s="227"/>
      <c r="E239" s="227"/>
      <c r="F239" s="227"/>
      <c r="G239" s="227"/>
      <c r="H239" s="227"/>
      <c r="I239" s="227"/>
      <c r="J239" s="227"/>
      <c r="K239" s="227"/>
      <c r="L239" s="236">
        <v>90</v>
      </c>
      <c r="M239" s="220"/>
      <c r="N239" s="227" t="s">
        <v>267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43"/>
      <c r="E241" s="344"/>
      <c r="F241" s="345"/>
      <c r="G241" s="218" t="s">
        <v>167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43"/>
      <c r="P241" s="344"/>
      <c r="Q241" s="345"/>
      <c r="R241" s="218" t="s">
        <v>167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83</v>
      </c>
      <c r="B243" s="220"/>
      <c r="C243" s="227" t="s">
        <v>268</v>
      </c>
      <c r="D243" s="227"/>
      <c r="E243" s="227"/>
      <c r="F243" s="227"/>
      <c r="G243" s="227"/>
      <c r="H243" s="227"/>
      <c r="I243" s="227"/>
      <c r="J243" s="227"/>
      <c r="K243" s="227"/>
      <c r="L243" s="236">
        <v>91</v>
      </c>
      <c r="M243" s="220"/>
      <c r="N243" s="227" t="s">
        <v>269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43"/>
      <c r="E245" s="344"/>
      <c r="F245" s="345"/>
      <c r="G245" s="218" t="s">
        <v>167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43"/>
      <c r="P245" s="344"/>
      <c r="Q245" s="345"/>
      <c r="R245" s="218" t="s">
        <v>167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84</v>
      </c>
      <c r="B247" s="220"/>
      <c r="C247" s="227" t="s">
        <v>270</v>
      </c>
      <c r="D247" s="227"/>
      <c r="E247" s="227"/>
      <c r="F247" s="227"/>
      <c r="G247" s="227"/>
      <c r="H247" s="227"/>
      <c r="I247" s="227"/>
      <c r="J247" s="227"/>
      <c r="K247" s="227"/>
      <c r="L247" s="236">
        <v>92</v>
      </c>
      <c r="M247" s="220"/>
      <c r="N247" s="227" t="s">
        <v>271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43"/>
      <c r="E249" s="344"/>
      <c r="F249" s="345"/>
      <c r="G249" s="218" t="s">
        <v>167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43"/>
      <c r="P249" s="344"/>
      <c r="Q249" s="345"/>
      <c r="R249" s="218" t="s">
        <v>167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85</v>
      </c>
      <c r="B251" s="220"/>
      <c r="C251" s="227" t="s">
        <v>272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273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43"/>
      <c r="E253" s="344"/>
      <c r="F253" s="345"/>
      <c r="G253" s="218" t="s">
        <v>167</v>
      </c>
      <c r="H253" s="219">
        <v>0</v>
      </c>
      <c r="I253" s="219">
        <v>0</v>
      </c>
      <c r="J253" s="220"/>
      <c r="K253" s="220"/>
      <c r="L253" s="236">
        <v>93</v>
      </c>
      <c r="M253" s="220"/>
      <c r="N253" s="227" t="s">
        <v>274</v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86</v>
      </c>
      <c r="B255" s="220"/>
      <c r="C255" s="227" t="s">
        <v>275</v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239</v>
      </c>
      <c r="P255" s="343"/>
      <c r="Q255" s="344"/>
      <c r="R255" s="345"/>
      <c r="S255" s="218" t="s">
        <v>167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43"/>
      <c r="E257" s="344"/>
      <c r="F257" s="345"/>
      <c r="G257" s="218" t="s">
        <v>167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276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87</v>
      </c>
      <c r="B259" s="220"/>
      <c r="C259" s="227" t="s">
        <v>277</v>
      </c>
      <c r="D259" s="227"/>
      <c r="E259" s="227"/>
      <c r="F259" s="227"/>
      <c r="G259" s="227"/>
      <c r="H259" s="227"/>
      <c r="I259" s="227"/>
      <c r="J259" s="227"/>
      <c r="K259" s="227"/>
      <c r="L259" s="236">
        <v>94</v>
      </c>
      <c r="M259" s="220"/>
      <c r="N259" s="227" t="s">
        <v>278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43"/>
      <c r="E261" s="344"/>
      <c r="F261" s="345"/>
      <c r="G261" s="218" t="s">
        <v>167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239</v>
      </c>
      <c r="P261" s="343"/>
      <c r="Q261" s="344"/>
      <c r="R261" s="345"/>
      <c r="S261" s="218" t="s">
        <v>167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88</v>
      </c>
      <c r="B263" s="220"/>
      <c r="C263" s="227" t="s">
        <v>279</v>
      </c>
      <c r="D263" s="227"/>
      <c r="E263" s="227"/>
      <c r="F263" s="227"/>
      <c r="G263" s="227"/>
      <c r="H263" s="227"/>
      <c r="I263" s="227"/>
      <c r="J263" s="227"/>
      <c r="K263" s="227"/>
      <c r="L263" s="236">
        <v>95</v>
      </c>
      <c r="M263" s="220"/>
      <c r="N263" s="227" t="s">
        <v>280</v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43"/>
      <c r="E265" s="344"/>
      <c r="F265" s="345"/>
      <c r="G265" s="218" t="s">
        <v>167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239</v>
      </c>
      <c r="P265" s="343"/>
      <c r="Q265" s="344"/>
      <c r="R265" s="345"/>
      <c r="S265" s="218" t="s">
        <v>167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89</v>
      </c>
      <c r="B267" s="220"/>
      <c r="C267" s="227" t="s">
        <v>281</v>
      </c>
      <c r="D267" s="227"/>
      <c r="E267" s="227"/>
      <c r="F267" s="227"/>
      <c r="G267" s="227"/>
      <c r="H267" s="227"/>
      <c r="I267" s="227"/>
      <c r="J267" s="227"/>
      <c r="K267" s="227"/>
      <c r="L267" s="236">
        <v>96</v>
      </c>
      <c r="M267" s="220"/>
      <c r="N267" s="227" t="s">
        <v>66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43"/>
      <c r="E269" s="344"/>
      <c r="F269" s="345"/>
      <c r="G269" s="218" t="s">
        <v>167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43"/>
      <c r="P269" s="344"/>
      <c r="Q269" s="345"/>
      <c r="R269" s="218" t="s">
        <v>167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97</v>
      </c>
      <c r="M271" s="220"/>
      <c r="N271" s="227" t="s">
        <v>282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43"/>
      <c r="P273" s="344"/>
      <c r="Q273" s="345"/>
      <c r="R273" s="218" t="s">
        <v>167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98</v>
      </c>
      <c r="M275" s="220"/>
      <c r="N275" s="227" t="s">
        <v>283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239</v>
      </c>
      <c r="P277" s="343"/>
      <c r="Q277" s="344"/>
      <c r="R277" s="345"/>
      <c r="S277" s="218" t="s">
        <v>167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55" t="s">
        <v>284</v>
      </c>
      <c r="B279" s="355"/>
      <c r="C279" s="355"/>
      <c r="D279" s="355"/>
      <c r="E279" s="355"/>
      <c r="F279" s="355"/>
      <c r="G279" s="355"/>
      <c r="H279" s="355"/>
      <c r="I279" s="355"/>
      <c r="J279" s="355"/>
      <c r="K279" s="355"/>
      <c r="L279" s="355"/>
      <c r="M279" s="355"/>
      <c r="N279" s="355"/>
      <c r="O279" s="355"/>
      <c r="P279" s="355"/>
      <c r="Q279" s="355"/>
      <c r="R279" s="355"/>
      <c r="S279" s="355"/>
      <c r="T279" s="355"/>
      <c r="U279" s="355"/>
      <c r="V279" s="355"/>
      <c r="W279" s="355"/>
    </row>
    <row r="280" spans="1:23" ht="16" customHeight="1" x14ac:dyDescent="0.15">
      <c r="A280" s="353" t="s">
        <v>285</v>
      </c>
      <c r="B280" s="386"/>
      <c r="C280" s="386"/>
      <c r="D280" s="386"/>
      <c r="E280" s="386"/>
      <c r="F280" s="386"/>
      <c r="G280" s="386"/>
      <c r="H280" s="386"/>
      <c r="I280" s="386"/>
      <c r="J280" s="285">
        <f>Admin!N4</f>
        <v>12570</v>
      </c>
      <c r="K280" s="353" t="s">
        <v>286</v>
      </c>
      <c r="L280" s="333"/>
      <c r="M280" s="333"/>
      <c r="N280" s="333"/>
      <c r="O280" s="333"/>
      <c r="P280" s="333"/>
      <c r="Q280" s="333"/>
      <c r="R280" s="333"/>
      <c r="S280" s="333"/>
      <c r="T280" s="333"/>
      <c r="U280" s="333"/>
      <c r="V280" s="333"/>
      <c r="W280" s="333"/>
    </row>
    <row r="281" spans="1:23" ht="16" customHeight="1" x14ac:dyDescent="0.15">
      <c r="A281" s="385" t="s">
        <v>372</v>
      </c>
      <c r="B281" s="385"/>
      <c r="C281" s="385"/>
      <c r="D281" s="385"/>
      <c r="E281" s="385"/>
      <c r="F281" s="385"/>
      <c r="G281" s="385"/>
      <c r="H281" s="385"/>
      <c r="I281" s="385"/>
      <c r="J281" s="385"/>
      <c r="K281" s="385"/>
      <c r="L281" s="385"/>
      <c r="M281" s="385"/>
      <c r="N281" s="385"/>
      <c r="O281" s="385"/>
      <c r="P281" s="385"/>
      <c r="Q281" s="385"/>
      <c r="R281" s="385"/>
      <c r="S281" s="385"/>
      <c r="T281" s="385"/>
      <c r="U281" s="385"/>
      <c r="V281" s="385"/>
      <c r="W281" s="385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99</v>
      </c>
      <c r="B283" s="220"/>
      <c r="C283" s="227" t="s">
        <v>287</v>
      </c>
      <c r="D283" s="220"/>
      <c r="E283" s="220"/>
      <c r="F283" s="220"/>
      <c r="G283" s="220"/>
      <c r="H283" s="220"/>
      <c r="I283" s="220"/>
      <c r="J283" s="220"/>
      <c r="K283" s="220"/>
      <c r="L283" s="236">
        <v>101</v>
      </c>
      <c r="M283" s="220"/>
      <c r="N283" s="227" t="s">
        <v>288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s">
        <v>373</v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289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43"/>
      <c r="P286" s="344"/>
      <c r="Q286" s="345"/>
      <c r="R286" s="218" t="s">
        <v>167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100</v>
      </c>
      <c r="B288" s="220"/>
      <c r="C288" s="227" t="s">
        <v>290</v>
      </c>
      <c r="D288" s="220"/>
      <c r="E288" s="220"/>
      <c r="F288" s="220"/>
      <c r="G288" s="357" t="str">
        <f>Admin!G2</f>
        <v>2025-26</v>
      </c>
      <c r="H288" s="358"/>
      <c r="I288" s="358"/>
      <c r="J288" s="220" t="s">
        <v>291</v>
      </c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s">
        <v>374</v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 t="s">
        <v>292</v>
      </c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52" t="s">
        <v>293</v>
      </c>
      <c r="B294" s="352"/>
      <c r="C294" s="352"/>
      <c r="D294" s="352"/>
      <c r="E294" s="352"/>
      <c r="F294" s="352"/>
      <c r="G294" s="352"/>
      <c r="H294" s="352"/>
      <c r="I294" s="352"/>
      <c r="J294" s="352"/>
      <c r="K294" s="352"/>
      <c r="L294" s="352"/>
      <c r="M294" s="352"/>
      <c r="N294" s="352"/>
      <c r="O294" s="352"/>
      <c r="P294" s="352"/>
      <c r="Q294" s="352"/>
      <c r="R294" s="352"/>
      <c r="S294" s="352"/>
      <c r="T294" s="352"/>
      <c r="U294" s="352"/>
      <c r="V294" s="352"/>
      <c r="W294" s="352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102</v>
      </c>
      <c r="B296" s="220"/>
      <c r="C296" s="227" t="s">
        <v>294</v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76"/>
      <c r="D298" s="377"/>
      <c r="E298" s="377"/>
      <c r="F298" s="377"/>
      <c r="G298" s="377"/>
      <c r="H298" s="377"/>
      <c r="I298" s="377"/>
      <c r="J298" s="377"/>
      <c r="K298" s="377"/>
      <c r="L298" s="377"/>
      <c r="M298" s="377"/>
      <c r="N298" s="377"/>
      <c r="O298" s="377"/>
      <c r="P298" s="377"/>
      <c r="Q298" s="377"/>
      <c r="R298" s="377"/>
      <c r="S298" s="377"/>
      <c r="T298" s="377"/>
      <c r="U298" s="377"/>
      <c r="V298" s="378"/>
      <c r="W298" s="243"/>
    </row>
    <row r="299" spans="1:23" x14ac:dyDescent="0.15">
      <c r="A299" s="240"/>
      <c r="B299" s="220"/>
      <c r="C299" s="379"/>
      <c r="D299" s="380"/>
      <c r="E299" s="380"/>
      <c r="F299" s="380"/>
      <c r="G299" s="380"/>
      <c r="H299" s="380"/>
      <c r="I299" s="380"/>
      <c r="J299" s="380"/>
      <c r="K299" s="380"/>
      <c r="L299" s="380"/>
      <c r="M299" s="380"/>
      <c r="N299" s="380"/>
      <c r="O299" s="380"/>
      <c r="P299" s="380"/>
      <c r="Q299" s="380"/>
      <c r="R299" s="380"/>
      <c r="S299" s="380"/>
      <c r="T299" s="380"/>
      <c r="U299" s="380"/>
      <c r="V299" s="381"/>
      <c r="W299" s="243"/>
    </row>
    <row r="300" spans="1:23" x14ac:dyDescent="0.15">
      <c r="A300" s="240"/>
      <c r="B300" s="220"/>
      <c r="C300" s="379"/>
      <c r="D300" s="380"/>
      <c r="E300" s="380"/>
      <c r="F300" s="380"/>
      <c r="G300" s="380"/>
      <c r="H300" s="380"/>
      <c r="I300" s="380"/>
      <c r="J300" s="380"/>
      <c r="K300" s="380"/>
      <c r="L300" s="380"/>
      <c r="M300" s="380"/>
      <c r="N300" s="380"/>
      <c r="O300" s="380"/>
      <c r="P300" s="380"/>
      <c r="Q300" s="380"/>
      <c r="R300" s="380"/>
      <c r="S300" s="380"/>
      <c r="T300" s="380"/>
      <c r="U300" s="380"/>
      <c r="V300" s="381"/>
      <c r="W300" s="243"/>
    </row>
    <row r="301" spans="1:23" x14ac:dyDescent="0.15">
      <c r="A301" s="240"/>
      <c r="B301" s="220"/>
      <c r="C301" s="379"/>
      <c r="D301" s="380"/>
      <c r="E301" s="380"/>
      <c r="F301" s="380"/>
      <c r="G301" s="380"/>
      <c r="H301" s="380"/>
      <c r="I301" s="380"/>
      <c r="J301" s="380"/>
      <c r="K301" s="380"/>
      <c r="L301" s="380"/>
      <c r="M301" s="380"/>
      <c r="N301" s="380"/>
      <c r="O301" s="380"/>
      <c r="P301" s="380"/>
      <c r="Q301" s="380"/>
      <c r="R301" s="380"/>
      <c r="S301" s="380"/>
      <c r="T301" s="380"/>
      <c r="U301" s="380"/>
      <c r="V301" s="381"/>
      <c r="W301" s="243"/>
    </row>
    <row r="302" spans="1:23" x14ac:dyDescent="0.15">
      <c r="A302" s="240"/>
      <c r="B302" s="220"/>
      <c r="C302" s="379"/>
      <c r="D302" s="380"/>
      <c r="E302" s="380"/>
      <c r="F302" s="380"/>
      <c r="G302" s="380"/>
      <c r="H302" s="380"/>
      <c r="I302" s="380"/>
      <c r="J302" s="380"/>
      <c r="K302" s="380"/>
      <c r="L302" s="380"/>
      <c r="M302" s="380"/>
      <c r="N302" s="380"/>
      <c r="O302" s="380"/>
      <c r="P302" s="380"/>
      <c r="Q302" s="380"/>
      <c r="R302" s="380"/>
      <c r="S302" s="380"/>
      <c r="T302" s="380"/>
      <c r="U302" s="380"/>
      <c r="V302" s="381"/>
      <c r="W302" s="243"/>
    </row>
    <row r="303" spans="1:23" x14ac:dyDescent="0.15">
      <c r="A303" s="240"/>
      <c r="B303" s="220"/>
      <c r="C303" s="379"/>
      <c r="D303" s="380"/>
      <c r="E303" s="380"/>
      <c r="F303" s="380"/>
      <c r="G303" s="380"/>
      <c r="H303" s="380"/>
      <c r="I303" s="380"/>
      <c r="J303" s="380"/>
      <c r="K303" s="380"/>
      <c r="L303" s="380"/>
      <c r="M303" s="380"/>
      <c r="N303" s="380"/>
      <c r="O303" s="380"/>
      <c r="P303" s="380"/>
      <c r="Q303" s="380"/>
      <c r="R303" s="380"/>
      <c r="S303" s="380"/>
      <c r="T303" s="380"/>
      <c r="U303" s="380"/>
      <c r="V303" s="381"/>
      <c r="W303" s="243"/>
    </row>
    <row r="304" spans="1:23" x14ac:dyDescent="0.15">
      <c r="A304" s="240"/>
      <c r="B304" s="220"/>
      <c r="C304" s="379"/>
      <c r="D304" s="380"/>
      <c r="E304" s="380"/>
      <c r="F304" s="380"/>
      <c r="G304" s="380"/>
      <c r="H304" s="380"/>
      <c r="I304" s="380"/>
      <c r="J304" s="380"/>
      <c r="K304" s="380"/>
      <c r="L304" s="380"/>
      <c r="M304" s="380"/>
      <c r="N304" s="380"/>
      <c r="O304" s="380"/>
      <c r="P304" s="380"/>
      <c r="Q304" s="380"/>
      <c r="R304" s="380"/>
      <c r="S304" s="380"/>
      <c r="T304" s="380"/>
      <c r="U304" s="380"/>
      <c r="V304" s="381"/>
      <c r="W304" s="243"/>
    </row>
    <row r="305" spans="1:23" x14ac:dyDescent="0.15">
      <c r="A305" s="240"/>
      <c r="B305" s="220"/>
      <c r="C305" s="379"/>
      <c r="D305" s="380"/>
      <c r="E305" s="380"/>
      <c r="F305" s="380"/>
      <c r="G305" s="380"/>
      <c r="H305" s="380"/>
      <c r="I305" s="380"/>
      <c r="J305" s="380"/>
      <c r="K305" s="380"/>
      <c r="L305" s="380"/>
      <c r="M305" s="380"/>
      <c r="N305" s="380"/>
      <c r="O305" s="380"/>
      <c r="P305" s="380"/>
      <c r="Q305" s="380"/>
      <c r="R305" s="380"/>
      <c r="S305" s="380"/>
      <c r="T305" s="380"/>
      <c r="U305" s="380"/>
      <c r="V305" s="381"/>
      <c r="W305" s="243"/>
    </row>
    <row r="306" spans="1:23" x14ac:dyDescent="0.15">
      <c r="A306" s="240"/>
      <c r="B306" s="220"/>
      <c r="C306" s="379"/>
      <c r="D306" s="380"/>
      <c r="E306" s="380"/>
      <c r="F306" s="380"/>
      <c r="G306" s="380"/>
      <c r="H306" s="380"/>
      <c r="I306" s="380"/>
      <c r="J306" s="380"/>
      <c r="K306" s="380"/>
      <c r="L306" s="380"/>
      <c r="M306" s="380"/>
      <c r="N306" s="380"/>
      <c r="O306" s="380"/>
      <c r="P306" s="380"/>
      <c r="Q306" s="380"/>
      <c r="R306" s="380"/>
      <c r="S306" s="380"/>
      <c r="T306" s="380"/>
      <c r="U306" s="380"/>
      <c r="V306" s="381"/>
      <c r="W306" s="243"/>
    </row>
    <row r="307" spans="1:23" x14ac:dyDescent="0.15">
      <c r="A307" s="240"/>
      <c r="B307" s="220"/>
      <c r="C307" s="379"/>
      <c r="D307" s="380"/>
      <c r="E307" s="380"/>
      <c r="F307" s="380"/>
      <c r="G307" s="380"/>
      <c r="H307" s="380"/>
      <c r="I307" s="380"/>
      <c r="J307" s="380"/>
      <c r="K307" s="380"/>
      <c r="L307" s="380"/>
      <c r="M307" s="380"/>
      <c r="N307" s="380"/>
      <c r="O307" s="380"/>
      <c r="P307" s="380"/>
      <c r="Q307" s="380"/>
      <c r="R307" s="380"/>
      <c r="S307" s="380"/>
      <c r="T307" s="380"/>
      <c r="U307" s="380"/>
      <c r="V307" s="381"/>
      <c r="W307" s="243"/>
    </row>
    <row r="308" spans="1:23" x14ac:dyDescent="0.15">
      <c r="A308" s="240"/>
      <c r="B308" s="220"/>
      <c r="C308" s="379"/>
      <c r="D308" s="380"/>
      <c r="E308" s="380"/>
      <c r="F308" s="380"/>
      <c r="G308" s="380"/>
      <c r="H308" s="380"/>
      <c r="I308" s="380"/>
      <c r="J308" s="380"/>
      <c r="K308" s="380"/>
      <c r="L308" s="380"/>
      <c r="M308" s="380"/>
      <c r="N308" s="380"/>
      <c r="O308" s="380"/>
      <c r="P308" s="380"/>
      <c r="Q308" s="380"/>
      <c r="R308" s="380"/>
      <c r="S308" s="380"/>
      <c r="T308" s="380"/>
      <c r="U308" s="380"/>
      <c r="V308" s="381"/>
      <c r="W308" s="243"/>
    </row>
    <row r="309" spans="1:23" x14ac:dyDescent="0.15">
      <c r="A309" s="240"/>
      <c r="B309" s="220"/>
      <c r="C309" s="379"/>
      <c r="D309" s="380"/>
      <c r="E309" s="380"/>
      <c r="F309" s="380"/>
      <c r="G309" s="380"/>
      <c r="H309" s="380"/>
      <c r="I309" s="380"/>
      <c r="J309" s="380"/>
      <c r="K309" s="380"/>
      <c r="L309" s="380"/>
      <c r="M309" s="380"/>
      <c r="N309" s="380"/>
      <c r="O309" s="380"/>
      <c r="P309" s="380"/>
      <c r="Q309" s="380"/>
      <c r="R309" s="380"/>
      <c r="S309" s="380"/>
      <c r="T309" s="380"/>
      <c r="U309" s="380"/>
      <c r="V309" s="381"/>
      <c r="W309" s="243"/>
    </row>
    <row r="310" spans="1:23" x14ac:dyDescent="0.15">
      <c r="A310" s="240"/>
      <c r="B310" s="220"/>
      <c r="C310" s="379"/>
      <c r="D310" s="380"/>
      <c r="E310" s="380"/>
      <c r="F310" s="380"/>
      <c r="G310" s="380"/>
      <c r="H310" s="380"/>
      <c r="I310" s="380"/>
      <c r="J310" s="380"/>
      <c r="K310" s="380"/>
      <c r="L310" s="380"/>
      <c r="M310" s="380"/>
      <c r="N310" s="380"/>
      <c r="O310" s="380"/>
      <c r="P310" s="380"/>
      <c r="Q310" s="380"/>
      <c r="R310" s="380"/>
      <c r="S310" s="380"/>
      <c r="T310" s="380"/>
      <c r="U310" s="380"/>
      <c r="V310" s="381"/>
      <c r="W310" s="243"/>
    </row>
    <row r="311" spans="1:23" x14ac:dyDescent="0.15">
      <c r="A311" s="240"/>
      <c r="B311" s="220"/>
      <c r="C311" s="379"/>
      <c r="D311" s="380"/>
      <c r="E311" s="380"/>
      <c r="F311" s="380"/>
      <c r="G311" s="380"/>
      <c r="H311" s="380"/>
      <c r="I311" s="380"/>
      <c r="J311" s="380"/>
      <c r="K311" s="380"/>
      <c r="L311" s="380"/>
      <c r="M311" s="380"/>
      <c r="N311" s="380"/>
      <c r="O311" s="380"/>
      <c r="P311" s="380"/>
      <c r="Q311" s="380"/>
      <c r="R311" s="380"/>
      <c r="S311" s="380"/>
      <c r="T311" s="380"/>
      <c r="U311" s="380"/>
      <c r="V311" s="381"/>
      <c r="W311" s="243"/>
    </row>
    <row r="312" spans="1:23" x14ac:dyDescent="0.15">
      <c r="A312" s="240"/>
      <c r="B312" s="220"/>
      <c r="C312" s="379"/>
      <c r="D312" s="380"/>
      <c r="E312" s="380"/>
      <c r="F312" s="380"/>
      <c r="G312" s="380"/>
      <c r="H312" s="380"/>
      <c r="I312" s="380"/>
      <c r="J312" s="380"/>
      <c r="K312" s="380"/>
      <c r="L312" s="380"/>
      <c r="M312" s="380"/>
      <c r="N312" s="380"/>
      <c r="O312" s="380"/>
      <c r="P312" s="380"/>
      <c r="Q312" s="380"/>
      <c r="R312" s="380"/>
      <c r="S312" s="380"/>
      <c r="T312" s="380"/>
      <c r="U312" s="380"/>
      <c r="V312" s="381"/>
      <c r="W312" s="243"/>
    </row>
    <row r="313" spans="1:23" x14ac:dyDescent="0.15">
      <c r="A313" s="240"/>
      <c r="B313" s="220"/>
      <c r="C313" s="379"/>
      <c r="D313" s="380"/>
      <c r="E313" s="380"/>
      <c r="F313" s="380"/>
      <c r="G313" s="380"/>
      <c r="H313" s="380"/>
      <c r="I313" s="380"/>
      <c r="J313" s="380"/>
      <c r="K313" s="380"/>
      <c r="L313" s="380"/>
      <c r="M313" s="380"/>
      <c r="N313" s="380"/>
      <c r="O313" s="380"/>
      <c r="P313" s="380"/>
      <c r="Q313" s="380"/>
      <c r="R313" s="380"/>
      <c r="S313" s="380"/>
      <c r="T313" s="380"/>
      <c r="U313" s="380"/>
      <c r="V313" s="381"/>
      <c r="W313" s="243"/>
    </row>
    <row r="314" spans="1:23" x14ac:dyDescent="0.15">
      <c r="A314" s="240"/>
      <c r="B314" s="220"/>
      <c r="C314" s="379"/>
      <c r="D314" s="380"/>
      <c r="E314" s="380"/>
      <c r="F314" s="380"/>
      <c r="G314" s="380"/>
      <c r="H314" s="380"/>
      <c r="I314" s="380"/>
      <c r="J314" s="380"/>
      <c r="K314" s="380"/>
      <c r="L314" s="380"/>
      <c r="M314" s="380"/>
      <c r="N314" s="380"/>
      <c r="O314" s="380"/>
      <c r="P314" s="380"/>
      <c r="Q314" s="380"/>
      <c r="R314" s="380"/>
      <c r="S314" s="380"/>
      <c r="T314" s="380"/>
      <c r="U314" s="380"/>
      <c r="V314" s="381"/>
      <c r="W314" s="243"/>
    </row>
    <row r="315" spans="1:23" x14ac:dyDescent="0.15">
      <c r="A315" s="240"/>
      <c r="B315" s="220"/>
      <c r="C315" s="379"/>
      <c r="D315" s="380"/>
      <c r="E315" s="380"/>
      <c r="F315" s="380"/>
      <c r="G315" s="380"/>
      <c r="H315" s="380"/>
      <c r="I315" s="380"/>
      <c r="J315" s="380"/>
      <c r="K315" s="380"/>
      <c r="L315" s="380"/>
      <c r="M315" s="380"/>
      <c r="N315" s="380"/>
      <c r="O315" s="380"/>
      <c r="P315" s="380"/>
      <c r="Q315" s="380"/>
      <c r="R315" s="380"/>
      <c r="S315" s="380"/>
      <c r="T315" s="380"/>
      <c r="U315" s="380"/>
      <c r="V315" s="381"/>
      <c r="W315" s="243"/>
    </row>
    <row r="316" spans="1:23" x14ac:dyDescent="0.15">
      <c r="A316" s="240"/>
      <c r="B316" s="220"/>
      <c r="C316" s="379"/>
      <c r="D316" s="380"/>
      <c r="E316" s="380"/>
      <c r="F316" s="380"/>
      <c r="G316" s="380"/>
      <c r="H316" s="380"/>
      <c r="I316" s="380"/>
      <c r="J316" s="380"/>
      <c r="K316" s="380"/>
      <c r="L316" s="380"/>
      <c r="M316" s="380"/>
      <c r="N316" s="380"/>
      <c r="O316" s="380"/>
      <c r="P316" s="380"/>
      <c r="Q316" s="380"/>
      <c r="R316" s="380"/>
      <c r="S316" s="380"/>
      <c r="T316" s="380"/>
      <c r="U316" s="380"/>
      <c r="V316" s="381"/>
      <c r="W316" s="243"/>
    </row>
    <row r="317" spans="1:23" x14ac:dyDescent="0.15">
      <c r="A317" s="240"/>
      <c r="B317" s="220"/>
      <c r="C317" s="379"/>
      <c r="D317" s="380"/>
      <c r="E317" s="380"/>
      <c r="F317" s="380"/>
      <c r="G317" s="380"/>
      <c r="H317" s="380"/>
      <c r="I317" s="380"/>
      <c r="J317" s="380"/>
      <c r="K317" s="380"/>
      <c r="L317" s="380"/>
      <c r="M317" s="380"/>
      <c r="N317" s="380"/>
      <c r="O317" s="380"/>
      <c r="P317" s="380"/>
      <c r="Q317" s="380"/>
      <c r="R317" s="380"/>
      <c r="S317" s="380"/>
      <c r="T317" s="380"/>
      <c r="U317" s="380"/>
      <c r="V317" s="381"/>
      <c r="W317" s="243"/>
    </row>
    <row r="318" spans="1:23" x14ac:dyDescent="0.15">
      <c r="A318" s="240"/>
      <c r="B318" s="220"/>
      <c r="C318" s="379"/>
      <c r="D318" s="380"/>
      <c r="E318" s="380"/>
      <c r="F318" s="380"/>
      <c r="G318" s="380"/>
      <c r="H318" s="380"/>
      <c r="I318" s="380"/>
      <c r="J318" s="380"/>
      <c r="K318" s="380"/>
      <c r="L318" s="380"/>
      <c r="M318" s="380"/>
      <c r="N318" s="380"/>
      <c r="O318" s="380"/>
      <c r="P318" s="380"/>
      <c r="Q318" s="380"/>
      <c r="R318" s="380"/>
      <c r="S318" s="380"/>
      <c r="T318" s="380"/>
      <c r="U318" s="380"/>
      <c r="V318" s="381"/>
      <c r="W318" s="243"/>
    </row>
    <row r="319" spans="1:23" x14ac:dyDescent="0.15">
      <c r="A319" s="240"/>
      <c r="B319" s="220"/>
      <c r="C319" s="379"/>
      <c r="D319" s="380"/>
      <c r="E319" s="380"/>
      <c r="F319" s="380"/>
      <c r="G319" s="380"/>
      <c r="H319" s="380"/>
      <c r="I319" s="380"/>
      <c r="J319" s="380"/>
      <c r="K319" s="380"/>
      <c r="L319" s="380"/>
      <c r="M319" s="380"/>
      <c r="N319" s="380"/>
      <c r="O319" s="380"/>
      <c r="P319" s="380"/>
      <c r="Q319" s="380"/>
      <c r="R319" s="380"/>
      <c r="S319" s="380"/>
      <c r="T319" s="380"/>
      <c r="U319" s="380"/>
      <c r="V319" s="381"/>
      <c r="W319" s="243"/>
    </row>
    <row r="320" spans="1:23" x14ac:dyDescent="0.15">
      <c r="A320" s="240"/>
      <c r="B320" s="220"/>
      <c r="C320" s="379"/>
      <c r="D320" s="380"/>
      <c r="E320" s="380"/>
      <c r="F320" s="380"/>
      <c r="G320" s="380"/>
      <c r="H320" s="380"/>
      <c r="I320" s="380"/>
      <c r="J320" s="380"/>
      <c r="K320" s="380"/>
      <c r="L320" s="380"/>
      <c r="M320" s="380"/>
      <c r="N320" s="380"/>
      <c r="O320" s="380"/>
      <c r="P320" s="380"/>
      <c r="Q320" s="380"/>
      <c r="R320" s="380"/>
      <c r="S320" s="380"/>
      <c r="T320" s="380"/>
      <c r="U320" s="380"/>
      <c r="V320" s="381"/>
      <c r="W320" s="243"/>
    </row>
    <row r="321" spans="1:23" x14ac:dyDescent="0.15">
      <c r="A321" s="240"/>
      <c r="B321" s="220"/>
      <c r="C321" s="379"/>
      <c r="D321" s="380"/>
      <c r="E321" s="380"/>
      <c r="F321" s="380"/>
      <c r="G321" s="380"/>
      <c r="H321" s="380"/>
      <c r="I321" s="380"/>
      <c r="J321" s="380"/>
      <c r="K321" s="380"/>
      <c r="L321" s="380"/>
      <c r="M321" s="380"/>
      <c r="N321" s="380"/>
      <c r="O321" s="380"/>
      <c r="P321" s="380"/>
      <c r="Q321" s="380"/>
      <c r="R321" s="380"/>
      <c r="S321" s="380"/>
      <c r="T321" s="380"/>
      <c r="U321" s="380"/>
      <c r="V321" s="381"/>
      <c r="W321" s="243"/>
    </row>
    <row r="322" spans="1:23" x14ac:dyDescent="0.15">
      <c r="A322" s="240"/>
      <c r="B322" s="220"/>
      <c r="C322" s="379"/>
      <c r="D322" s="380"/>
      <c r="E322" s="380"/>
      <c r="F322" s="380"/>
      <c r="G322" s="380"/>
      <c r="H322" s="380"/>
      <c r="I322" s="380"/>
      <c r="J322" s="380"/>
      <c r="K322" s="380"/>
      <c r="L322" s="380"/>
      <c r="M322" s="380"/>
      <c r="N322" s="380"/>
      <c r="O322" s="380"/>
      <c r="P322" s="380"/>
      <c r="Q322" s="380"/>
      <c r="R322" s="380"/>
      <c r="S322" s="380"/>
      <c r="T322" s="380"/>
      <c r="U322" s="380"/>
      <c r="V322" s="381"/>
      <c r="W322" s="243"/>
    </row>
    <row r="323" spans="1:23" x14ac:dyDescent="0.15">
      <c r="A323" s="240"/>
      <c r="B323" s="220"/>
      <c r="C323" s="382"/>
      <c r="D323" s="383"/>
      <c r="E323" s="383"/>
      <c r="F323" s="383"/>
      <c r="G323" s="383"/>
      <c r="H323" s="383"/>
      <c r="I323" s="383"/>
      <c r="J323" s="383"/>
      <c r="K323" s="383"/>
      <c r="L323" s="383"/>
      <c r="M323" s="383"/>
      <c r="N323" s="383"/>
      <c r="O323" s="383"/>
      <c r="P323" s="383"/>
      <c r="Q323" s="383"/>
      <c r="R323" s="383"/>
      <c r="S323" s="383"/>
      <c r="T323" s="383"/>
      <c r="U323" s="383"/>
      <c r="V323" s="384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57"/>
  <sheetViews>
    <sheetView tabSelected="1" zoomScaleNormal="100" workbookViewId="0">
      <selection activeCell="A2" sqref="A2:A4"/>
    </sheetView>
  </sheetViews>
  <sheetFormatPr baseColWidth="10" defaultColWidth="9.1640625" defaultRowHeight="12" x14ac:dyDescent="0.15"/>
  <cols>
    <col min="1" max="1" width="35.3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390" t="s">
        <v>50</v>
      </c>
      <c r="B2" s="157" t="s">
        <v>129</v>
      </c>
      <c r="C2" s="388">
        <f>Admin!B5</f>
        <v>45777</v>
      </c>
      <c r="D2" s="387">
        <f>Admin!B6</f>
        <v>45808</v>
      </c>
      <c r="E2" s="387">
        <f>Admin!B7</f>
        <v>45838</v>
      </c>
      <c r="F2" s="387">
        <f>Admin!B8</f>
        <v>45869</v>
      </c>
      <c r="G2" s="387">
        <f>Admin!B9</f>
        <v>45900</v>
      </c>
      <c r="H2" s="387">
        <f>Admin!B10</f>
        <v>45930</v>
      </c>
      <c r="I2" s="387">
        <f>Admin!B11</f>
        <v>45961</v>
      </c>
      <c r="J2" s="387">
        <f>Admin!B12</f>
        <v>45991</v>
      </c>
      <c r="K2" s="387">
        <f>Admin!B13</f>
        <v>46022</v>
      </c>
      <c r="L2" s="387">
        <f>Admin!B14</f>
        <v>46053</v>
      </c>
      <c r="M2" s="387">
        <f>Admin!B15</f>
        <v>46081</v>
      </c>
      <c r="N2" s="387">
        <f>Admin!B16</f>
        <v>46112</v>
      </c>
      <c r="O2" s="24"/>
    </row>
    <row r="3" spans="1:15" ht="12" customHeight="1" x14ac:dyDescent="0.15">
      <c r="A3" s="391"/>
      <c r="B3" s="158">
        <f>Admin!B$17</f>
        <v>46117</v>
      </c>
      <c r="C3" s="389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24"/>
    </row>
    <row r="4" spans="1:15" x14ac:dyDescent="0.15">
      <c r="A4" s="391"/>
      <c r="B4" s="80" t="s">
        <v>51</v>
      </c>
      <c r="C4" s="80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95" t="s">
        <v>51</v>
      </c>
      <c r="N4" s="80" t="s">
        <v>51</v>
      </c>
      <c r="O4" s="24"/>
    </row>
    <row r="5" spans="1:15" x14ac:dyDescent="0.15">
      <c r="A5" s="81" t="str">
        <f>[2]Apr!$P$3</f>
        <v>Product A Sales</v>
      </c>
      <c r="B5" s="62">
        <f>SUM(C5:N5)</f>
        <v>0</v>
      </c>
      <c r="C5" s="75">
        <f>[2]Apr!$P$1</f>
        <v>0</v>
      </c>
      <c r="D5" s="75">
        <f>[2]May!$P$1</f>
        <v>0</v>
      </c>
      <c r="E5" s="75">
        <f>[2]Jun!$P$1</f>
        <v>0</v>
      </c>
      <c r="F5" s="75">
        <f>[2]Jul!$P$1</f>
        <v>0</v>
      </c>
      <c r="G5" s="75">
        <f>[2]Aug!$P$1</f>
        <v>0</v>
      </c>
      <c r="H5" s="75">
        <f>[2]Sep!$P$1</f>
        <v>0</v>
      </c>
      <c r="I5" s="75">
        <f>[2]Oct!$P$1</f>
        <v>0</v>
      </c>
      <c r="J5" s="75">
        <f>[2]Nov!$P$1</f>
        <v>0</v>
      </c>
      <c r="K5" s="75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tr">
        <f>[2]Apr!$Q$3</f>
        <v>Product B Sales</v>
      </c>
      <c r="B6" s="62">
        <f>SUM(C6:N6)</f>
        <v>0</v>
      </c>
      <c r="C6" s="75">
        <f>[2]Apr!$Q$1</f>
        <v>0</v>
      </c>
      <c r="D6" s="75">
        <f>[2]May!$Q$1</f>
        <v>0</v>
      </c>
      <c r="E6" s="75">
        <f>[2]Jun!$Q$1</f>
        <v>0</v>
      </c>
      <c r="F6" s="75">
        <f>[2]Jul!$Q$1</f>
        <v>0</v>
      </c>
      <c r="G6" s="75">
        <f>[2]Aug!$Q$1</f>
        <v>0</v>
      </c>
      <c r="H6" s="75">
        <f>[2]Sep!$Q$1</f>
        <v>0</v>
      </c>
      <c r="I6" s="75">
        <f>[2]Oct!$Q$1</f>
        <v>0</v>
      </c>
      <c r="J6" s="75">
        <f>[2]Nov!$Q$1</f>
        <v>0</v>
      </c>
      <c r="K6" s="75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tr">
        <f>[2]Apr!$R$3</f>
        <v>Product C Sales</v>
      </c>
      <c r="B7" s="62">
        <f>SUM(C7:N7)</f>
        <v>0</v>
      </c>
      <c r="C7" s="75">
        <f>[2]Apr!$R$1</f>
        <v>0</v>
      </c>
      <c r="D7" s="75">
        <f>[2]May!$R$1</f>
        <v>0</v>
      </c>
      <c r="E7" s="75">
        <f>[2]Jun!$R$1</f>
        <v>0</v>
      </c>
      <c r="F7" s="75">
        <f>[2]Jul!$R$1</f>
        <v>0</v>
      </c>
      <c r="G7" s="75">
        <f>[2]Aug!$R$1</f>
        <v>0</v>
      </c>
      <c r="H7" s="75">
        <f>[2]Sep!$R$1</f>
        <v>0</v>
      </c>
      <c r="I7" s="75">
        <f>[2]Oct!$R$1</f>
        <v>0</v>
      </c>
      <c r="J7" s="75">
        <f>[2]Nov!$R$1</f>
        <v>0</v>
      </c>
      <c r="K7" s="75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tr">
        <f>[2]Apr!$S$3</f>
        <v>Product 4 Sales</v>
      </c>
      <c r="B8" s="62">
        <f t="shared" ref="B8:B12" si="0">SUM(C8:N8)</f>
        <v>0</v>
      </c>
      <c r="C8" s="75">
        <f>[2]Apr!$S$1</f>
        <v>0</v>
      </c>
      <c r="D8" s="75">
        <f>[2]May!$S$1</f>
        <v>0</v>
      </c>
      <c r="E8" s="75">
        <f>[2]Jun!$S$1</f>
        <v>0</v>
      </c>
      <c r="F8" s="75">
        <f>[2]Jul!$S$1</f>
        <v>0</v>
      </c>
      <c r="G8" s="75">
        <f>[2]Aug!$S$1</f>
        <v>0</v>
      </c>
      <c r="H8" s="75">
        <f>[2]Sep!$S$1</f>
        <v>0</v>
      </c>
      <c r="I8" s="75">
        <f>[2]Oct!$S$1</f>
        <v>0</v>
      </c>
      <c r="J8" s="75">
        <f>[2]Nov!$S$1</f>
        <v>0</v>
      </c>
      <c r="K8" s="75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x14ac:dyDescent="0.15">
      <c r="A9" s="81" t="str">
        <f>[2]Apr!$T$3</f>
        <v>Product 5 Sales</v>
      </c>
      <c r="B9" s="62">
        <f t="shared" si="0"/>
        <v>0</v>
      </c>
      <c r="C9" s="75">
        <f>[2]Apr!$T$1</f>
        <v>0</v>
      </c>
      <c r="D9" s="75">
        <f>[2]May!$T$1</f>
        <v>0</v>
      </c>
      <c r="E9" s="75">
        <f>[2]Jun!$T$1</f>
        <v>0</v>
      </c>
      <c r="F9" s="75">
        <f>[2]Jul!$T$1</f>
        <v>0</v>
      </c>
      <c r="G9" s="75">
        <f>[2]Aug!$T$1</f>
        <v>0</v>
      </c>
      <c r="H9" s="75">
        <f>[2]Sep!$T$1</f>
        <v>0</v>
      </c>
      <c r="I9" s="75">
        <f>[2]Oct!$T$1</f>
        <v>0</v>
      </c>
      <c r="J9" s="75">
        <f>[2]Nov!$T$1</f>
        <v>0</v>
      </c>
      <c r="K9" s="75">
        <f>[2]Dec!$T$1</f>
        <v>0</v>
      </c>
      <c r="L9" s="75">
        <f>[2]Jan!$T$1</f>
        <v>0</v>
      </c>
      <c r="M9" s="75">
        <f>[2]Feb!$T$1</f>
        <v>0</v>
      </c>
      <c r="N9" s="75">
        <f>[2]Mar!$T$1</f>
        <v>0</v>
      </c>
      <c r="O9" s="24"/>
    </row>
    <row r="10" spans="1:15" x14ac:dyDescent="0.15">
      <c r="A10" s="81" t="str">
        <f>[2]Apr!$U$3</f>
        <v>Product 6 Sales</v>
      </c>
      <c r="B10" s="62">
        <f t="shared" si="0"/>
        <v>0</v>
      </c>
      <c r="C10" s="75">
        <f>[2]Apr!$U$1</f>
        <v>0</v>
      </c>
      <c r="D10" s="75">
        <f>[2]May!$U$1</f>
        <v>0</v>
      </c>
      <c r="E10" s="75">
        <f>[2]Jun!$U$1</f>
        <v>0</v>
      </c>
      <c r="F10" s="75">
        <f>[2]Jul!$U$1</f>
        <v>0</v>
      </c>
      <c r="G10" s="75">
        <f>[2]Aug!$U$1</f>
        <v>0</v>
      </c>
      <c r="H10" s="75">
        <f>[2]Sep!$U$1</f>
        <v>0</v>
      </c>
      <c r="I10" s="75">
        <f>[2]Oct!$U$1</f>
        <v>0</v>
      </c>
      <c r="J10" s="75">
        <f>[2]Nov!$U$1</f>
        <v>0</v>
      </c>
      <c r="K10" s="75">
        <f>[2]Dec!$U$1</f>
        <v>0</v>
      </c>
      <c r="L10" s="75">
        <f>[2]Jan!$U$1</f>
        <v>0</v>
      </c>
      <c r="M10" s="75">
        <f>[2]Feb!$U$1</f>
        <v>0</v>
      </c>
      <c r="N10" s="75">
        <f>[2]Mar!$U$1</f>
        <v>0</v>
      </c>
      <c r="O10" s="24"/>
    </row>
    <row r="11" spans="1:15" x14ac:dyDescent="0.15">
      <c r="A11" s="81" t="str">
        <f>[2]Apr!$V$3</f>
        <v>Product 7 Sales</v>
      </c>
      <c r="B11" s="62">
        <f t="shared" si="0"/>
        <v>0</v>
      </c>
      <c r="C11" s="75">
        <f>[2]Apr!$V$1</f>
        <v>0</v>
      </c>
      <c r="D11" s="75">
        <f>[2]May!$V$1</f>
        <v>0</v>
      </c>
      <c r="E11" s="75">
        <f>[2]Jun!$V$1</f>
        <v>0</v>
      </c>
      <c r="F11" s="75">
        <f>[2]Jul!$V$1</f>
        <v>0</v>
      </c>
      <c r="G11" s="75">
        <f>[2]Aug!$V$1</f>
        <v>0</v>
      </c>
      <c r="H11" s="75">
        <f>[2]Sep!$V$1</f>
        <v>0</v>
      </c>
      <c r="I11" s="75">
        <f>[2]Oct!$V$1</f>
        <v>0</v>
      </c>
      <c r="J11" s="75">
        <f>[2]Nov!$V$1</f>
        <v>0</v>
      </c>
      <c r="K11" s="75">
        <f>[2]Dec!$V$1</f>
        <v>0</v>
      </c>
      <c r="L11" s="75">
        <f>[2]Jan!$V$1</f>
        <v>0</v>
      </c>
      <c r="M11" s="75">
        <f>[2]Feb!$V$1</f>
        <v>0</v>
      </c>
      <c r="N11" s="75">
        <f>[2]Mar!$V$1</f>
        <v>0</v>
      </c>
      <c r="O11" s="24"/>
    </row>
    <row r="12" spans="1:15" x14ac:dyDescent="0.15">
      <c r="A12" s="81" t="str">
        <f>[2]Apr!$W$3</f>
        <v>Product 8 Sales</v>
      </c>
      <c r="B12" s="62">
        <f t="shared" si="0"/>
        <v>0</v>
      </c>
      <c r="C12" s="75">
        <f>[2]Apr!$W$1</f>
        <v>0</v>
      </c>
      <c r="D12" s="75">
        <f>[2]May!$W$1</f>
        <v>0</v>
      </c>
      <c r="E12" s="75">
        <f>[2]Jun!$W$1</f>
        <v>0</v>
      </c>
      <c r="F12" s="75">
        <f>[2]Jul!$W$1</f>
        <v>0</v>
      </c>
      <c r="G12" s="75">
        <f>[2]Aug!$W$1</f>
        <v>0</v>
      </c>
      <c r="H12" s="75">
        <f>[2]Sep!$W$1</f>
        <v>0</v>
      </c>
      <c r="I12" s="75">
        <f>[2]Oct!$W$1</f>
        <v>0</v>
      </c>
      <c r="J12" s="75">
        <f>[2]Nov!$W$1</f>
        <v>0</v>
      </c>
      <c r="K12" s="75">
        <f>[2]Dec!$W$1</f>
        <v>0</v>
      </c>
      <c r="L12" s="75">
        <f>[2]Jan!$W$1</f>
        <v>0</v>
      </c>
      <c r="M12" s="75">
        <f>[2]Feb!$W$1</f>
        <v>0</v>
      </c>
      <c r="N12" s="75">
        <f>[2]Mar!$W$1</f>
        <v>0</v>
      </c>
      <c r="O12" s="24"/>
    </row>
    <row r="13" spans="1:15" x14ac:dyDescent="0.15">
      <c r="A13" s="81" t="s">
        <v>52</v>
      </c>
      <c r="B13" s="62">
        <f>SUM(C13:N13)</f>
        <v>0</v>
      </c>
      <c r="C13" s="75">
        <f>[2]Apr!$X$1</f>
        <v>0</v>
      </c>
      <c r="D13" s="75">
        <f>[2]May!$X$1</f>
        <v>0</v>
      </c>
      <c r="E13" s="75">
        <f>[2]Jun!$X$1</f>
        <v>0</v>
      </c>
      <c r="F13" s="75">
        <f>[2]Jul!$X$1</f>
        <v>0</v>
      </c>
      <c r="G13" s="75">
        <f>[2]Aug!$X$1</f>
        <v>0</v>
      </c>
      <c r="H13" s="75">
        <f>[2]Sep!$X$1</f>
        <v>0</v>
      </c>
      <c r="I13" s="75">
        <f>[2]Oct!$X$1</f>
        <v>0</v>
      </c>
      <c r="J13" s="75">
        <f>[2]Nov!$X$1</f>
        <v>0</v>
      </c>
      <c r="K13" s="75">
        <f>[2]Dec!$X$1</f>
        <v>0</v>
      </c>
      <c r="L13" s="75">
        <f>[2]Jan!$X$1</f>
        <v>0</v>
      </c>
      <c r="M13" s="75">
        <f>[2]Feb!$X$1</f>
        <v>0</v>
      </c>
      <c r="N13" s="75">
        <f>[2]Mar!$X$1</f>
        <v>0</v>
      </c>
      <c r="O13" s="24"/>
    </row>
    <row r="14" spans="1:15" s="84" customFormat="1" x14ac:dyDescent="0.15">
      <c r="A14" s="82" t="s">
        <v>1</v>
      </c>
      <c r="B14" s="62">
        <f t="shared" ref="B14:N14" si="1">SUM(B5:B13)</f>
        <v>0</v>
      </c>
      <c r="C14" s="62">
        <f t="shared" si="1"/>
        <v>0</v>
      </c>
      <c r="D14" s="62">
        <f t="shared" si="1"/>
        <v>0</v>
      </c>
      <c r="E14" s="62">
        <f t="shared" si="1"/>
        <v>0</v>
      </c>
      <c r="F14" s="62">
        <f t="shared" si="1"/>
        <v>0</v>
      </c>
      <c r="G14" s="62">
        <f t="shared" si="1"/>
        <v>0</v>
      </c>
      <c r="H14" s="62">
        <f t="shared" si="1"/>
        <v>0</v>
      </c>
      <c r="I14" s="62">
        <f t="shared" si="1"/>
        <v>0</v>
      </c>
      <c r="J14" s="62">
        <f t="shared" si="1"/>
        <v>0</v>
      </c>
      <c r="K14" s="62">
        <f t="shared" si="1"/>
        <v>0</v>
      </c>
      <c r="L14" s="62">
        <f t="shared" si="1"/>
        <v>0</v>
      </c>
      <c r="M14" s="62">
        <f t="shared" si="1"/>
        <v>0</v>
      </c>
      <c r="N14" s="62">
        <f t="shared" si="1"/>
        <v>0</v>
      </c>
      <c r="O14" s="83"/>
    </row>
    <row r="15" spans="1:15" s="119" customFormat="1" ht="6" customHeight="1" x14ac:dyDescent="0.15">
      <c r="A15" s="8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83"/>
    </row>
    <row r="16" spans="1:15" x14ac:dyDescent="0.15">
      <c r="A16" s="81" t="s">
        <v>53</v>
      </c>
      <c r="B16" s="62">
        <f>SUM(C16:N16)</f>
        <v>0</v>
      </c>
      <c r="C16" s="75">
        <f>[2]Apr!$Y$1</f>
        <v>0</v>
      </c>
      <c r="D16" s="75">
        <f>[2]May!$Y$1</f>
        <v>0</v>
      </c>
      <c r="E16" s="75">
        <f>[2]Jun!$Y$1</f>
        <v>0</v>
      </c>
      <c r="F16" s="75">
        <f>[2]Jul!$Y$1</f>
        <v>0</v>
      </c>
      <c r="G16" s="75">
        <f>[2]Aug!$Y$1</f>
        <v>0</v>
      </c>
      <c r="H16" s="75">
        <f>[2]Sep!$Y$1</f>
        <v>0</v>
      </c>
      <c r="I16" s="75">
        <f>[2]Oct!$Y$1</f>
        <v>0</v>
      </c>
      <c r="J16" s="75">
        <f>[2]Nov!$Y$1</f>
        <v>0</v>
      </c>
      <c r="K16" s="75">
        <f>[2]Dec!$Y$1</f>
        <v>0</v>
      </c>
      <c r="L16" s="75">
        <f>[2]Jan!$Y$1</f>
        <v>0</v>
      </c>
      <c r="M16" s="75">
        <f>[2]Feb!$Y$1</f>
        <v>0</v>
      </c>
      <c r="N16" s="75">
        <f>[2]Mar!$Y$1</f>
        <v>0</v>
      </c>
      <c r="O16" s="24"/>
    </row>
    <row r="17" spans="1:15" s="23" customFormat="1" ht="6" customHeight="1" x14ac:dyDescent="0.15">
      <c r="A17" s="81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24"/>
    </row>
    <row r="18" spans="1:15" s="84" customFormat="1" ht="10.5" customHeight="1" x14ac:dyDescent="0.15">
      <c r="A18" s="85" t="s">
        <v>69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x14ac:dyDescent="0.15">
      <c r="A19" s="81" t="s">
        <v>68</v>
      </c>
      <c r="B19" s="62">
        <f>SUM(C19:N19)</f>
        <v>0</v>
      </c>
      <c r="C19" s="75">
        <f>[3]Apr!$P$1+StockControl!AB6-StockControl!AB8</f>
        <v>0</v>
      </c>
      <c r="D19" s="75">
        <f>[3]May!$P$1+StockControl!AB8-StockControl!AB10</f>
        <v>0</v>
      </c>
      <c r="E19" s="75">
        <f>[3]Jun!$P$1+StockControl!AB10-StockControl!AB12</f>
        <v>0</v>
      </c>
      <c r="F19" s="75">
        <f>[3]Jul!$P$1+StockControl!AB12-StockControl!AB14</f>
        <v>0</v>
      </c>
      <c r="G19" s="75">
        <f>[3]Aug!$P$1+StockControl!AB14-StockControl!AB16</f>
        <v>0</v>
      </c>
      <c r="H19" s="75">
        <f>[3]Sep!$P$1+StockControl!AB16-StockControl!AB18</f>
        <v>0</v>
      </c>
      <c r="I19" s="75">
        <f>[3]Oct!$P$1+StockControl!AB18-StockControl!AB20</f>
        <v>0</v>
      </c>
      <c r="J19" s="75">
        <f>[3]Nov!$P$1+StockControl!AB20-StockControl!AB22</f>
        <v>0</v>
      </c>
      <c r="K19" s="75">
        <f>[3]Dec!$P$1+StockControl!AB22-StockControl!AB24</f>
        <v>0</v>
      </c>
      <c r="L19" s="75">
        <f>[3]Jan!$P$1+StockControl!AB24-StockControl!AB26</f>
        <v>0</v>
      </c>
      <c r="M19" s="75">
        <f>[3]Feb!$P$1+StockControl!AB26-StockControl!AB28</f>
        <v>0</v>
      </c>
      <c r="N19" s="75">
        <f>[3]Mar!$P$1+StockControl!AB28-StockControl!AB30</f>
        <v>0</v>
      </c>
      <c r="O19" s="24"/>
    </row>
    <row r="20" spans="1:15" x14ac:dyDescent="0.15">
      <c r="A20" s="81" t="s">
        <v>55</v>
      </c>
      <c r="B20" s="62">
        <f>SUM(C20:N20)</f>
        <v>0</v>
      </c>
      <c r="C20" s="75">
        <f>[3]Apr!$Q$1</f>
        <v>0</v>
      </c>
      <c r="D20" s="75">
        <f>[3]May!$Q$1</f>
        <v>0</v>
      </c>
      <c r="E20" s="75">
        <f>[3]Jun!$Q$1</f>
        <v>0</v>
      </c>
      <c r="F20" s="75">
        <f>[3]Jul!$Q$1</f>
        <v>0</v>
      </c>
      <c r="G20" s="75">
        <f>[3]Aug!$Q$1</f>
        <v>0</v>
      </c>
      <c r="H20" s="75">
        <f>[3]Sep!$Q$1</f>
        <v>0</v>
      </c>
      <c r="I20" s="75">
        <f>[3]Oct!$Q$1</f>
        <v>0</v>
      </c>
      <c r="J20" s="75">
        <f>[3]Nov!$Q$1</f>
        <v>0</v>
      </c>
      <c r="K20" s="75">
        <f>[3]Dec!$Q$1</f>
        <v>0</v>
      </c>
      <c r="L20" s="75">
        <f>[3]Jan!$Q$1</f>
        <v>0</v>
      </c>
      <c r="M20" s="75">
        <f>[3]Feb!$Q$1</f>
        <v>0</v>
      </c>
      <c r="N20" s="75">
        <f>[3]Mar!$Q$1</f>
        <v>0</v>
      </c>
      <c r="O20" s="24"/>
    </row>
    <row r="21" spans="1:15" x14ac:dyDescent="0.15">
      <c r="A21" s="81" t="s">
        <v>56</v>
      </c>
      <c r="B21" s="62">
        <f>SUM(C21:N21)</f>
        <v>0</v>
      </c>
      <c r="C21" s="75">
        <f>[3]Apr!$R$1</f>
        <v>0</v>
      </c>
      <c r="D21" s="75">
        <f>[3]May!$R$1</f>
        <v>0</v>
      </c>
      <c r="E21" s="75">
        <f>[3]Jun!$R$1</f>
        <v>0</v>
      </c>
      <c r="F21" s="75">
        <f>[3]Jul!$R$1</f>
        <v>0</v>
      </c>
      <c r="G21" s="75">
        <f>[3]Aug!$R$1</f>
        <v>0</v>
      </c>
      <c r="H21" s="75">
        <f>[3]Sep!$R$1</f>
        <v>0</v>
      </c>
      <c r="I21" s="75">
        <f>[3]Oct!$R$1</f>
        <v>0</v>
      </c>
      <c r="J21" s="75">
        <f>[3]Nov!$R$1</f>
        <v>0</v>
      </c>
      <c r="K21" s="75">
        <f>[3]Dec!$R$1</f>
        <v>0</v>
      </c>
      <c r="L21" s="75">
        <f>[3]Jan!$R$1</f>
        <v>0</v>
      </c>
      <c r="M21" s="75">
        <f>[3]Feb!$R$1</f>
        <v>0</v>
      </c>
      <c r="N21" s="75">
        <f>[3]Mar!$R$1</f>
        <v>0</v>
      </c>
      <c r="O21" s="24"/>
    </row>
    <row r="22" spans="1:15" s="84" customFormat="1" x14ac:dyDescent="0.15">
      <c r="A22" s="82" t="s">
        <v>54</v>
      </c>
      <c r="B22" s="62">
        <f t="shared" ref="B22:N22" si="2">SUM(B19:B21)</f>
        <v>0</v>
      </c>
      <c r="C22" s="62">
        <f t="shared" si="2"/>
        <v>0</v>
      </c>
      <c r="D22" s="62">
        <f t="shared" si="2"/>
        <v>0</v>
      </c>
      <c r="E22" s="62">
        <f t="shared" si="2"/>
        <v>0</v>
      </c>
      <c r="F22" s="62">
        <f t="shared" si="2"/>
        <v>0</v>
      </c>
      <c r="G22" s="62">
        <f t="shared" si="2"/>
        <v>0</v>
      </c>
      <c r="H22" s="62">
        <f t="shared" si="2"/>
        <v>0</v>
      </c>
      <c r="I22" s="62">
        <f t="shared" si="2"/>
        <v>0</v>
      </c>
      <c r="J22" s="62">
        <f t="shared" si="2"/>
        <v>0</v>
      </c>
      <c r="K22" s="62">
        <f t="shared" si="2"/>
        <v>0</v>
      </c>
      <c r="L22" s="62">
        <f t="shared" si="2"/>
        <v>0</v>
      </c>
      <c r="M22" s="62">
        <f t="shared" si="2"/>
        <v>0</v>
      </c>
      <c r="N22" s="62">
        <f t="shared" si="2"/>
        <v>0</v>
      </c>
      <c r="O22" s="83"/>
    </row>
    <row r="23" spans="1:15" s="84" customFormat="1" ht="7.5" customHeight="1" x14ac:dyDescent="0.15">
      <c r="A23" s="82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83"/>
    </row>
    <row r="24" spans="1:15" s="84" customFormat="1" x14ac:dyDescent="0.15">
      <c r="A24" s="82" t="s">
        <v>2</v>
      </c>
      <c r="B24" s="62">
        <f>B14+B16-B22</f>
        <v>0</v>
      </c>
      <c r="C24" s="62">
        <f>C14+C16-C22</f>
        <v>0</v>
      </c>
      <c r="D24" s="62">
        <f t="shared" ref="D24:N24" si="3">D14+D16-D22</f>
        <v>0</v>
      </c>
      <c r="E24" s="62">
        <f t="shared" si="3"/>
        <v>0</v>
      </c>
      <c r="F24" s="62">
        <f t="shared" si="3"/>
        <v>0</v>
      </c>
      <c r="G24" s="62">
        <f t="shared" si="3"/>
        <v>0</v>
      </c>
      <c r="H24" s="62">
        <f t="shared" si="3"/>
        <v>0</v>
      </c>
      <c r="I24" s="62">
        <f t="shared" si="3"/>
        <v>0</v>
      </c>
      <c r="J24" s="62">
        <f t="shared" si="3"/>
        <v>0</v>
      </c>
      <c r="K24" s="62">
        <f t="shared" si="3"/>
        <v>0</v>
      </c>
      <c r="L24" s="62">
        <f t="shared" si="3"/>
        <v>0</v>
      </c>
      <c r="M24" s="62">
        <f t="shared" si="3"/>
        <v>0</v>
      </c>
      <c r="N24" s="62">
        <f t="shared" si="3"/>
        <v>0</v>
      </c>
      <c r="O24" s="83"/>
    </row>
    <row r="25" spans="1:15" s="84" customFormat="1" ht="10.5" customHeight="1" x14ac:dyDescent="0.15">
      <c r="A25" s="85" t="s">
        <v>57</v>
      </c>
      <c r="B25" s="54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3"/>
    </row>
    <row r="26" spans="1:15" x14ac:dyDescent="0.15">
      <c r="A26" s="81" t="s">
        <v>58</v>
      </c>
      <c r="B26" s="62">
        <f t="shared" ref="B26:B44" si="4">SUM(C26:N26)</f>
        <v>0</v>
      </c>
      <c r="C26" s="75">
        <f>[3]Apr!$S$1+Wagesinterface!C4+Wagesinterface!H4-Wagesinterface!I4</f>
        <v>0</v>
      </c>
      <c r="D26" s="75">
        <f>[3]May!$S$1+Wagesinterface!C5+Wagesinterface!H5-Wagesinterface!I5</f>
        <v>0</v>
      </c>
      <c r="E26" s="75">
        <f>[3]Jun!$S$1+Wagesinterface!C6+Wagesinterface!H6-Wagesinterface!I6</f>
        <v>0</v>
      </c>
      <c r="F26" s="75">
        <f>[3]Jul!$S$1+Wagesinterface!C7+Wagesinterface!H7-Wagesinterface!I7</f>
        <v>0</v>
      </c>
      <c r="G26" s="75">
        <f>[3]Aug!$S$1+Wagesinterface!C8+Wagesinterface!H8-Wagesinterface!I8</f>
        <v>0</v>
      </c>
      <c r="H26" s="75">
        <f>[3]Sep!$S$1+Wagesinterface!C9+Wagesinterface!H9-Wagesinterface!I9</f>
        <v>0</v>
      </c>
      <c r="I26" s="75">
        <f>[3]Oct!$S$1+Wagesinterface!C10+Wagesinterface!H10-Wagesinterface!I10</f>
        <v>0</v>
      </c>
      <c r="J26" s="75">
        <f>[3]Nov!$S$1+Wagesinterface!C11+Wagesinterface!H11-Wagesinterface!I11</f>
        <v>0</v>
      </c>
      <c r="K26" s="75">
        <f>[3]Dec!$S$1+Wagesinterface!C12+Wagesinterface!H12-Wagesinterface!I12</f>
        <v>0</v>
      </c>
      <c r="L26" s="75">
        <f>[3]Jan!$S$1+Wagesinterface!C13+Wagesinterface!H13-Wagesinterface!I13</f>
        <v>0</v>
      </c>
      <c r="M26" s="75">
        <f>[3]Feb!$S$1+Wagesinterface!C14+Wagesinterface!H14-Wagesinterface!I14</f>
        <v>0</v>
      </c>
      <c r="N26" s="75">
        <f>[3]Mar!$S$1+Wagesinterface!C15+Wagesinterface!H15-Wagesinterface!I15</f>
        <v>0</v>
      </c>
      <c r="O26" s="24"/>
    </row>
    <row r="27" spans="1:15" x14ac:dyDescent="0.15">
      <c r="A27" s="87" t="str">
        <f>[3]Apr!$T$3</f>
        <v>Use of Residence</v>
      </c>
      <c r="B27" s="62">
        <f t="shared" si="4"/>
        <v>0</v>
      </c>
      <c r="C27" s="75">
        <f>[3]Apr!$T$1</f>
        <v>0</v>
      </c>
      <c r="D27" s="75">
        <f>[3]May!$T$1</f>
        <v>0</v>
      </c>
      <c r="E27" s="75">
        <f>[3]Jun!$T$1</f>
        <v>0</v>
      </c>
      <c r="F27" s="75">
        <f>[3]Jul!$T$1</f>
        <v>0</v>
      </c>
      <c r="G27" s="75">
        <f>[3]Aug!$T$1</f>
        <v>0</v>
      </c>
      <c r="H27" s="75">
        <f>[3]Sep!$T$1</f>
        <v>0</v>
      </c>
      <c r="I27" s="75">
        <f>[3]Oct!$T$1</f>
        <v>0</v>
      </c>
      <c r="J27" s="75">
        <f>[3]Nov!$T$1</f>
        <v>0</v>
      </c>
      <c r="K27" s="75">
        <f>[3]Dec!$T$1</f>
        <v>0</v>
      </c>
      <c r="L27" s="75">
        <f>[3]Jan!$T$1</f>
        <v>0</v>
      </c>
      <c r="M27" s="75">
        <f>[3]Feb!$T$1</f>
        <v>0</v>
      </c>
      <c r="N27" s="75">
        <f>[3]Mar!$T$1</f>
        <v>0</v>
      </c>
      <c r="O27" s="24"/>
    </row>
    <row r="28" spans="1:15" x14ac:dyDescent="0.15">
      <c r="A28" s="87" t="str">
        <f>[3]Apr!$U$2</f>
        <v>Repairs and Renewals</v>
      </c>
      <c r="B28" s="62">
        <f t="shared" si="4"/>
        <v>0</v>
      </c>
      <c r="C28" s="75">
        <f>[3]Apr!$U$1</f>
        <v>0</v>
      </c>
      <c r="D28" s="75">
        <f>[3]May!$U$1</f>
        <v>0</v>
      </c>
      <c r="E28" s="75">
        <f>[3]Jun!$U$1</f>
        <v>0</v>
      </c>
      <c r="F28" s="75">
        <f>[3]Jul!$U$1</f>
        <v>0</v>
      </c>
      <c r="G28" s="75">
        <f>[3]Aug!$U$1</f>
        <v>0</v>
      </c>
      <c r="H28" s="75">
        <f>[3]Sep!$U$1</f>
        <v>0</v>
      </c>
      <c r="I28" s="75">
        <f>[3]Oct!$U$1</f>
        <v>0</v>
      </c>
      <c r="J28" s="75">
        <f>[3]Nov!$U$1</f>
        <v>0</v>
      </c>
      <c r="K28" s="75">
        <f>[3]Dec!$U$1</f>
        <v>0</v>
      </c>
      <c r="L28" s="75">
        <f>[3]Jan!$U$1</f>
        <v>0</v>
      </c>
      <c r="M28" s="75">
        <f>[3]Feb!$U$1</f>
        <v>0</v>
      </c>
      <c r="N28" s="75">
        <f>[3]Mar!$U$1</f>
        <v>0</v>
      </c>
      <c r="O28" s="24"/>
    </row>
    <row r="29" spans="1:15" x14ac:dyDescent="0.15">
      <c r="A29" s="87" t="str">
        <f>[3]Apr!$V$2</f>
        <v>Post and Stationery</v>
      </c>
      <c r="B29" s="62">
        <f t="shared" si="4"/>
        <v>0</v>
      </c>
      <c r="C29" s="75">
        <f>[3]Apr!$V$1</f>
        <v>0</v>
      </c>
      <c r="D29" s="75">
        <f>[3]May!$V$1</f>
        <v>0</v>
      </c>
      <c r="E29" s="75">
        <f>[3]Jun!$V$1</f>
        <v>0</v>
      </c>
      <c r="F29" s="75">
        <f>[3]Jul!$V$1</f>
        <v>0</v>
      </c>
      <c r="G29" s="75">
        <f>[3]Aug!$V$1</f>
        <v>0</v>
      </c>
      <c r="H29" s="75">
        <f>[3]Sep!$V$1</f>
        <v>0</v>
      </c>
      <c r="I29" s="75">
        <f>[3]Oct!$V$1</f>
        <v>0</v>
      </c>
      <c r="J29" s="75">
        <f>[3]Nov!$V$1</f>
        <v>0</v>
      </c>
      <c r="K29" s="75">
        <f>[3]Dec!$V$1</f>
        <v>0</v>
      </c>
      <c r="L29" s="75">
        <f>[3]Jan!$V$1</f>
        <v>0</v>
      </c>
      <c r="M29" s="75">
        <f>[3]Feb!$V$1</f>
        <v>0</v>
      </c>
      <c r="N29" s="75">
        <f>[3]Mar!$V$1</f>
        <v>0</v>
      </c>
      <c r="O29" s="24"/>
    </row>
    <row r="30" spans="1:15" x14ac:dyDescent="0.15">
      <c r="A30" s="87" t="str">
        <f>[3]Apr!$W$3</f>
        <v>Motor Vehicle Expenses</v>
      </c>
      <c r="B30" s="62">
        <f t="shared" si="4"/>
        <v>0</v>
      </c>
      <c r="C30" s="75">
        <f>[3]Apr!$W$1</f>
        <v>0</v>
      </c>
      <c r="D30" s="75">
        <f>[3]May!$W$1</f>
        <v>0</v>
      </c>
      <c r="E30" s="75">
        <f>[3]Jun!$W$1</f>
        <v>0</v>
      </c>
      <c r="F30" s="75">
        <f>[3]Jul!$W$1</f>
        <v>0</v>
      </c>
      <c r="G30" s="75">
        <f>[3]Aug!$W$1</f>
        <v>0</v>
      </c>
      <c r="H30" s="75">
        <f>[3]Sep!$W$1</f>
        <v>0</v>
      </c>
      <c r="I30" s="75">
        <f>[3]Oct!$W$1</f>
        <v>0</v>
      </c>
      <c r="J30" s="75">
        <f>[3]Nov!$W$1</f>
        <v>0</v>
      </c>
      <c r="K30" s="75">
        <f>[3]Dec!$W$1</f>
        <v>0</v>
      </c>
      <c r="L30" s="75">
        <f>[3]Jan!$W$1</f>
        <v>0</v>
      </c>
      <c r="M30" s="75">
        <f>[3]Feb!$W$1</f>
        <v>0</v>
      </c>
      <c r="N30" s="75">
        <f>[3]Mar!$W$1</f>
        <v>0</v>
      </c>
      <c r="O30" s="24"/>
    </row>
    <row r="31" spans="1:15" x14ac:dyDescent="0.15">
      <c r="A31" s="87" t="str">
        <f>[3]Apr!$X$2</f>
        <v>Travelling and Subsistence</v>
      </c>
      <c r="B31" s="62">
        <f t="shared" si="4"/>
        <v>0</v>
      </c>
      <c r="C31" s="75">
        <f>[3]Apr!$X$1</f>
        <v>0</v>
      </c>
      <c r="D31" s="75">
        <f>[3]May!$X$1</f>
        <v>0</v>
      </c>
      <c r="E31" s="75">
        <f>[3]Jun!$X$1</f>
        <v>0</v>
      </c>
      <c r="F31" s="75">
        <f>[3]Jul!$X$1</f>
        <v>0</v>
      </c>
      <c r="G31" s="75">
        <f>[3]Aug!$X$1</f>
        <v>0</v>
      </c>
      <c r="H31" s="75">
        <f>[3]Sep!$X$1</f>
        <v>0</v>
      </c>
      <c r="I31" s="75">
        <f>[3]Oct!$X$1</f>
        <v>0</v>
      </c>
      <c r="J31" s="75">
        <f>[3]Nov!$X$1</f>
        <v>0</v>
      </c>
      <c r="K31" s="75">
        <f>[3]Dec!$X$1</f>
        <v>0</v>
      </c>
      <c r="L31" s="75">
        <f>[3]Jan!$X$1</f>
        <v>0</v>
      </c>
      <c r="M31" s="75">
        <f>[3]Feb!$X$1</f>
        <v>0</v>
      </c>
      <c r="N31" s="75">
        <f>[3]Mar!$X$1</f>
        <v>0</v>
      </c>
      <c r="O31" s="24"/>
    </row>
    <row r="32" spans="1:15" x14ac:dyDescent="0.15">
      <c r="A32" s="87" t="str">
        <f>[3]Apr!$Y$2</f>
        <v>Advertising</v>
      </c>
      <c r="B32" s="62">
        <f t="shared" si="4"/>
        <v>0</v>
      </c>
      <c r="C32" s="75">
        <f>[3]Apr!$Y$1</f>
        <v>0</v>
      </c>
      <c r="D32" s="75">
        <f>[3]May!$Y$1</f>
        <v>0</v>
      </c>
      <c r="E32" s="75">
        <f>[3]Jun!$Y$1</f>
        <v>0</v>
      </c>
      <c r="F32" s="75">
        <f>[3]Jul!$Y$1</f>
        <v>0</v>
      </c>
      <c r="G32" s="75">
        <f>[3]Aug!$Y$1</f>
        <v>0</v>
      </c>
      <c r="H32" s="75">
        <f>[3]Sep!$Y$1</f>
        <v>0</v>
      </c>
      <c r="I32" s="75">
        <f>[3]Oct!$Y$1</f>
        <v>0</v>
      </c>
      <c r="J32" s="75">
        <f>[3]Nov!$Y$1</f>
        <v>0</v>
      </c>
      <c r="K32" s="75">
        <f>[3]Dec!$Y$1</f>
        <v>0</v>
      </c>
      <c r="L32" s="75">
        <f>[3]Jan!$Y$1</f>
        <v>0</v>
      </c>
      <c r="M32" s="75">
        <f>[3]Feb!$Y$1</f>
        <v>0</v>
      </c>
      <c r="N32" s="75">
        <f>[3]Mar!$Y$1</f>
        <v>0</v>
      </c>
      <c r="O32" s="24"/>
    </row>
    <row r="33" spans="1:15" x14ac:dyDescent="0.15">
      <c r="A33" s="87" t="str">
        <f>[3]Apr!$Z$2</f>
        <v>Accountancy and Legal Costs</v>
      </c>
      <c r="B33" s="62">
        <f t="shared" si="4"/>
        <v>0</v>
      </c>
      <c r="C33" s="75">
        <f>[3]Apr!$Z$1</f>
        <v>0</v>
      </c>
      <c r="D33" s="75">
        <f>[3]May!$Z$1</f>
        <v>0</v>
      </c>
      <c r="E33" s="75">
        <f>[3]Jun!$Z$1</f>
        <v>0</v>
      </c>
      <c r="F33" s="75">
        <f>[3]Jul!$Z$1</f>
        <v>0</v>
      </c>
      <c r="G33" s="75">
        <f>[3]Aug!$Z$1</f>
        <v>0</v>
      </c>
      <c r="H33" s="75">
        <f>[3]Sep!$Z$1</f>
        <v>0</v>
      </c>
      <c r="I33" s="75">
        <f>[3]Oct!$Z$1</f>
        <v>0</v>
      </c>
      <c r="J33" s="75">
        <f>[3]Nov!$Z$1</f>
        <v>0</v>
      </c>
      <c r="K33" s="75">
        <f>[3]Dec!$Z$1</f>
        <v>0</v>
      </c>
      <c r="L33" s="75">
        <f>[3]Jan!$Z$1</f>
        <v>0</v>
      </c>
      <c r="M33" s="75">
        <f>[3]Feb!$Z$1</f>
        <v>0</v>
      </c>
      <c r="N33" s="75">
        <f>[3]Mar!$Z$1</f>
        <v>0</v>
      </c>
      <c r="O33" s="24"/>
    </row>
    <row r="34" spans="1:15" x14ac:dyDescent="0.15">
      <c r="A34" s="87" t="s">
        <v>59</v>
      </c>
      <c r="B34" s="62">
        <f t="shared" si="4"/>
        <v>0</v>
      </c>
      <c r="C34" s="75">
        <f>-[2]Apr!$Z$1</f>
        <v>0</v>
      </c>
      <c r="D34" s="75">
        <f>-[2]May!$Z$1</f>
        <v>0</v>
      </c>
      <c r="E34" s="75">
        <f>-[2]Jun!$Z$1</f>
        <v>0</v>
      </c>
      <c r="F34" s="75">
        <f>-[2]Jul!$Z$1</f>
        <v>0</v>
      </c>
      <c r="G34" s="75">
        <f>-[2]Aug!$Z$1</f>
        <v>0</v>
      </c>
      <c r="H34" s="75">
        <f>-[2]Sep!$Z$1</f>
        <v>0</v>
      </c>
      <c r="I34" s="75">
        <f>-[2]Oct!$Z$1</f>
        <v>0</v>
      </c>
      <c r="J34" s="75">
        <f>-[2]Nov!$Z$1</f>
        <v>0</v>
      </c>
      <c r="K34" s="75">
        <f>-[2]Dec!$Z$1</f>
        <v>0</v>
      </c>
      <c r="L34" s="75">
        <f>-[2]Jan!$Z$1</f>
        <v>0</v>
      </c>
      <c r="M34" s="75">
        <f>-[2]Feb!$Z$1</f>
        <v>0</v>
      </c>
      <c r="N34" s="75">
        <f>-[2]Mar!$Z$1</f>
        <v>0</v>
      </c>
      <c r="O34" s="24"/>
    </row>
    <row r="35" spans="1:15" x14ac:dyDescent="0.15">
      <c r="A35" s="87" t="s">
        <v>60</v>
      </c>
      <c r="B35" s="62">
        <f t="shared" si="4"/>
        <v>0</v>
      </c>
      <c r="C35" s="75">
        <f>[4]Apr!$Z$1</f>
        <v>0</v>
      </c>
      <c r="D35" s="75">
        <f>[4]May!$Z$1</f>
        <v>0</v>
      </c>
      <c r="E35" s="75">
        <f>[4]Jun!$Z$1</f>
        <v>0</v>
      </c>
      <c r="F35" s="75">
        <f>[4]Jul!$Z$1</f>
        <v>0</v>
      </c>
      <c r="G35" s="75">
        <f>[4]Aug!$Z$1</f>
        <v>0</v>
      </c>
      <c r="H35" s="75">
        <f>[4]Sep!$Z$1</f>
        <v>0</v>
      </c>
      <c r="I35" s="75">
        <f>[4]Oct!$Z$1</f>
        <v>0</v>
      </c>
      <c r="J35" s="75">
        <f>[4]Nov!$Z$1</f>
        <v>0</v>
      </c>
      <c r="K35" s="75">
        <f>[4]Dec!$Z$1</f>
        <v>0</v>
      </c>
      <c r="L35" s="75">
        <f>[4]Jan!$Z$1</f>
        <v>0</v>
      </c>
      <c r="M35" s="75">
        <f>[4]Feb!$Z$1</f>
        <v>0</v>
      </c>
      <c r="N35" s="75">
        <f>[4]Mar!$Z$1</f>
        <v>0</v>
      </c>
      <c r="O35" s="24"/>
    </row>
    <row r="36" spans="1:15" x14ac:dyDescent="0.15">
      <c r="A36" s="87" t="s">
        <v>64</v>
      </c>
      <c r="B36" s="62">
        <f t="shared" si="4"/>
        <v>0</v>
      </c>
      <c r="C36" s="75">
        <f>[5]Apr!$V$1+[4]Apr!$Y$1</f>
        <v>0</v>
      </c>
      <c r="D36" s="75">
        <f>[5]May!$V$1+[4]May!$Y$1</f>
        <v>0</v>
      </c>
      <c r="E36" s="75">
        <f>[5]Jun!$V$1+[4]Jun!$Y$1</f>
        <v>0</v>
      </c>
      <c r="F36" s="75">
        <f>[5]Jul!$V$1+[4]Jul!$Y$1</f>
        <v>0</v>
      </c>
      <c r="G36" s="75">
        <f>[5]Aug!$V$1+[4]Aug!$Y$1</f>
        <v>0</v>
      </c>
      <c r="H36" s="75">
        <f>[5]Sep!$V$1+[4]Sep!$Y$1</f>
        <v>0</v>
      </c>
      <c r="I36" s="75">
        <f>[5]Oct!$V$1+[4]Oct!$Y$1</f>
        <v>0</v>
      </c>
      <c r="J36" s="75">
        <f>[5]Nov!$V$1+[4]Nov!$Y$1</f>
        <v>0</v>
      </c>
      <c r="K36" s="75">
        <f>[5]Dec!$V$1+[4]Dec!$Y$1</f>
        <v>0</v>
      </c>
      <c r="L36" s="75">
        <f>[5]Jan!$V$1+[4]Jan!$Y$1</f>
        <v>0</v>
      </c>
      <c r="M36" s="75">
        <f>[5]Feb!$V$1+[4]Feb!$Y$1</f>
        <v>0</v>
      </c>
      <c r="N36" s="75">
        <f>[5]Mar!$V$1+[4]Mar!$Y$1</f>
        <v>0</v>
      </c>
      <c r="O36" s="24"/>
    </row>
    <row r="37" spans="1:15" x14ac:dyDescent="0.15">
      <c r="A37" s="87" t="str">
        <f>[3]Apr!$AA$2</f>
        <v>Research and Reference Costs</v>
      </c>
      <c r="B37" s="62">
        <f t="shared" si="4"/>
        <v>0</v>
      </c>
      <c r="C37" s="75">
        <f>[3]Apr!$AA$1</f>
        <v>0</v>
      </c>
      <c r="D37" s="75">
        <f>[3]May!$AA$1</f>
        <v>0</v>
      </c>
      <c r="E37" s="75">
        <f>[3]Jun!$AA$1</f>
        <v>0</v>
      </c>
      <c r="F37" s="75">
        <f>[3]Jul!$AA$1</f>
        <v>0</v>
      </c>
      <c r="G37" s="75">
        <f>[3]Aug!$AA$1</f>
        <v>0</v>
      </c>
      <c r="H37" s="75">
        <f>[3]Sep!$AA$1</f>
        <v>0</v>
      </c>
      <c r="I37" s="75">
        <f>[3]Oct!$AA$1</f>
        <v>0</v>
      </c>
      <c r="J37" s="75">
        <f>[3]Nov!$AA$1</f>
        <v>0</v>
      </c>
      <c r="K37" s="75">
        <f>[3]Dec!$AA$1</f>
        <v>0</v>
      </c>
      <c r="L37" s="75">
        <f>[3]Jan!$AA$1</f>
        <v>0</v>
      </c>
      <c r="M37" s="75">
        <f>[3]Feb!$AA$1</f>
        <v>0</v>
      </c>
      <c r="N37" s="75">
        <f>[3]Mar!$AA$1</f>
        <v>0</v>
      </c>
      <c r="O37" s="24"/>
    </row>
    <row r="38" spans="1:15" x14ac:dyDescent="0.15">
      <c r="A38" s="87" t="str">
        <f>[3]Apr!$AB$2</f>
        <v xml:space="preserve">Telephone Broadband and Media </v>
      </c>
      <c r="B38" s="62">
        <f t="shared" si="4"/>
        <v>0</v>
      </c>
      <c r="C38" s="75">
        <f>[3]Apr!$AB$1</f>
        <v>0</v>
      </c>
      <c r="D38" s="75">
        <f>[3]May!$AB$1</f>
        <v>0</v>
      </c>
      <c r="E38" s="75">
        <f>[3]Jun!$AB$1</f>
        <v>0</v>
      </c>
      <c r="F38" s="75">
        <f>[3]Jul!$AB$1</f>
        <v>0</v>
      </c>
      <c r="G38" s="75">
        <f>[3]Aug!$AB$1</f>
        <v>0</v>
      </c>
      <c r="H38" s="75">
        <f>[3]Sep!$AB$1</f>
        <v>0</v>
      </c>
      <c r="I38" s="75">
        <f>[3]Oct!$AB$1</f>
        <v>0</v>
      </c>
      <c r="J38" s="75">
        <f>[3]Nov!$AB$1</f>
        <v>0</v>
      </c>
      <c r="K38" s="75">
        <f>[3]Dec!$AB$1</f>
        <v>0</v>
      </c>
      <c r="L38" s="75">
        <f>[3]Jan!$AB$1</f>
        <v>0</v>
      </c>
      <c r="M38" s="75">
        <f>[3]Feb!$AB$1</f>
        <v>0</v>
      </c>
      <c r="N38" s="75">
        <f>[3]Mar!$AB$1</f>
        <v>0</v>
      </c>
      <c r="O38" s="24"/>
    </row>
    <row r="39" spans="1:15" x14ac:dyDescent="0.15">
      <c r="A39" s="87" t="str">
        <f>[3]Apr!$AC$2</f>
        <v xml:space="preserve">Computer Consumables </v>
      </c>
      <c r="B39" s="62">
        <f t="shared" si="4"/>
        <v>0</v>
      </c>
      <c r="C39" s="75">
        <f>[3]Apr!$AC$1</f>
        <v>0</v>
      </c>
      <c r="D39" s="75">
        <f>[3]May!$AC$1</f>
        <v>0</v>
      </c>
      <c r="E39" s="75">
        <f>[3]Jun!$AC$1</f>
        <v>0</v>
      </c>
      <c r="F39" s="75">
        <f>[3]Jul!$AC$1</f>
        <v>0</v>
      </c>
      <c r="G39" s="75">
        <f>[3]Aug!$AC$1</f>
        <v>0</v>
      </c>
      <c r="H39" s="75">
        <f>[3]Sep!$AC$1</f>
        <v>0</v>
      </c>
      <c r="I39" s="75">
        <f>[3]Oct!$AC$1</f>
        <v>0</v>
      </c>
      <c r="J39" s="75">
        <f>[3]Nov!$AC$1</f>
        <v>0</v>
      </c>
      <c r="K39" s="75">
        <f>[3]Dec!$AC$1</f>
        <v>0</v>
      </c>
      <c r="L39" s="75">
        <f>[3]Jan!$AC$1</f>
        <v>0</v>
      </c>
      <c r="M39" s="75">
        <f>[3]Feb!$AC$1</f>
        <v>0</v>
      </c>
      <c r="N39" s="75">
        <f>[3]Mar!$AC$1</f>
        <v>0</v>
      </c>
      <c r="O39" s="24"/>
    </row>
    <row r="40" spans="1:15" x14ac:dyDescent="0.15">
      <c r="A40" s="87" t="str">
        <f>[3]Apr!$AD$2</f>
        <v xml:space="preserve">Subscriptions </v>
      </c>
      <c r="B40" s="62">
        <f t="shared" si="4"/>
        <v>0</v>
      </c>
      <c r="C40" s="75">
        <f>[3]Apr!$AD$1</f>
        <v>0</v>
      </c>
      <c r="D40" s="75">
        <f>[3]May!$AD$1</f>
        <v>0</v>
      </c>
      <c r="E40" s="75">
        <f>[3]Jun!$AD$1</f>
        <v>0</v>
      </c>
      <c r="F40" s="75">
        <f>[3]Jul!$AD$1</f>
        <v>0</v>
      </c>
      <c r="G40" s="75">
        <f>[3]Aug!$AD$1</f>
        <v>0</v>
      </c>
      <c r="H40" s="75">
        <f>[3]Sep!$AD$1</f>
        <v>0</v>
      </c>
      <c r="I40" s="75">
        <f>[3]Oct!$AD$1</f>
        <v>0</v>
      </c>
      <c r="J40" s="75">
        <f>[3]Nov!$AD$1</f>
        <v>0</v>
      </c>
      <c r="K40" s="75">
        <f>[3]Dec!$AD$1</f>
        <v>0</v>
      </c>
      <c r="L40" s="75">
        <f>[3]Jan!$AD$1</f>
        <v>0</v>
      </c>
      <c r="M40" s="75">
        <f>[3]Feb!$AD$1</f>
        <v>0</v>
      </c>
      <c r="N40" s="75">
        <f>[3]Mar!$AD$1</f>
        <v>0</v>
      </c>
      <c r="O40" s="24"/>
    </row>
    <row r="41" spans="1:15" x14ac:dyDescent="0.15">
      <c r="A41" s="87" t="str">
        <f>[3]Apr!$AE$2</f>
        <v xml:space="preserve">Sundry Expenses </v>
      </c>
      <c r="B41" s="62">
        <f t="shared" si="4"/>
        <v>0</v>
      </c>
      <c r="C41" s="75">
        <f>[3]Apr!$AE$1</f>
        <v>0</v>
      </c>
      <c r="D41" s="75">
        <f>[3]May!$AE$1</f>
        <v>0</v>
      </c>
      <c r="E41" s="75">
        <f>[3]Jun!$AE$1</f>
        <v>0</v>
      </c>
      <c r="F41" s="75">
        <f>[3]Jul!$AE$1</f>
        <v>0</v>
      </c>
      <c r="G41" s="75">
        <f>[3]Aug!$AE$1</f>
        <v>0</v>
      </c>
      <c r="H41" s="75">
        <f>[3]Sep!$AE$1</f>
        <v>0</v>
      </c>
      <c r="I41" s="75">
        <f>[3]Oct!$AE$1</f>
        <v>0</v>
      </c>
      <c r="J41" s="75">
        <f>[3]Nov!$AE$1</f>
        <v>0</v>
      </c>
      <c r="K41" s="75">
        <f>[3]Dec!$AE$1</f>
        <v>0</v>
      </c>
      <c r="L41" s="75">
        <f>[3]Jan!$AE$1</f>
        <v>0</v>
      </c>
      <c r="M41" s="75">
        <f>[3]Feb!$AE$1</f>
        <v>0</v>
      </c>
      <c r="N41" s="75">
        <f>[3]Mar!$AE$1</f>
        <v>0</v>
      </c>
      <c r="O41" s="24"/>
    </row>
    <row r="42" spans="1:15" x14ac:dyDescent="0.15">
      <c r="A42" s="87" t="str">
        <f>[3]Apr!$AF$2</f>
        <v>Other Expenses</v>
      </c>
      <c r="B42" s="62">
        <f t="shared" si="4"/>
        <v>0</v>
      </c>
      <c r="C42" s="75">
        <f>[3]Apr!$AF$1</f>
        <v>0</v>
      </c>
      <c r="D42" s="75">
        <f>[3]May!$AF$1</f>
        <v>0</v>
      </c>
      <c r="E42" s="75">
        <f>[3]Jun!$AF$1</f>
        <v>0</v>
      </c>
      <c r="F42" s="75">
        <f>[3]Jul!$AF$1</f>
        <v>0</v>
      </c>
      <c r="G42" s="75">
        <f>[3]Aug!$AF$1</f>
        <v>0</v>
      </c>
      <c r="H42" s="75">
        <f>[3]Sep!$AF$1</f>
        <v>0</v>
      </c>
      <c r="I42" s="75">
        <f>[3]Oct!$AF$1</f>
        <v>0</v>
      </c>
      <c r="J42" s="75">
        <f>[3]Nov!$AF$1</f>
        <v>0</v>
      </c>
      <c r="K42" s="75">
        <f>[3]Dec!$AF$1</f>
        <v>0</v>
      </c>
      <c r="L42" s="75">
        <f>[3]Jan!$AF$1</f>
        <v>0</v>
      </c>
      <c r="M42" s="75">
        <f>[3]Feb!$AF$1</f>
        <v>0</v>
      </c>
      <c r="N42" s="75">
        <f>[3]Mar!$AF$1</f>
        <v>0</v>
      </c>
      <c r="O42" s="24"/>
    </row>
    <row r="43" spans="1:15" x14ac:dyDescent="0.15">
      <c r="A43" s="81" t="s">
        <v>70</v>
      </c>
      <c r="B43" s="62">
        <f t="shared" si="4"/>
        <v>0</v>
      </c>
      <c r="C43" s="75">
        <f>-([1]Schedule!$V$1-[1]Schedule!$W$1+[1]Schedule!$X$1)/12</f>
        <v>0</v>
      </c>
      <c r="D43" s="75">
        <f>-([1]Schedule!$V$1-[1]Schedule!$W$1+[1]Schedule!$X$1)/12</f>
        <v>0</v>
      </c>
      <c r="E43" s="75">
        <f>-([1]Schedule!$V$1-[1]Schedule!$W$1+[1]Schedule!$X$1)/12</f>
        <v>0</v>
      </c>
      <c r="F43" s="75">
        <f>-([1]Schedule!$V$1-[1]Schedule!$W$1+[1]Schedule!$X$1)/12</f>
        <v>0</v>
      </c>
      <c r="G43" s="75">
        <f>-([1]Schedule!$V$1-[1]Schedule!$W$1+[1]Schedule!$X$1)/12</f>
        <v>0</v>
      </c>
      <c r="H43" s="75">
        <f>-([1]Schedule!$V$1-[1]Schedule!$W$1+[1]Schedule!$X$1)/12</f>
        <v>0</v>
      </c>
      <c r="I43" s="75">
        <f>-([1]Schedule!$V$1-[1]Schedule!$W$1+[1]Schedule!$X$1)/12</f>
        <v>0</v>
      </c>
      <c r="J43" s="75">
        <f>-([1]Schedule!$V$1-[1]Schedule!$W$1+[1]Schedule!$X$1)/12</f>
        <v>0</v>
      </c>
      <c r="K43" s="75">
        <f>-([1]Schedule!$V$1-[1]Schedule!$W$1+[1]Schedule!$X$1)/12</f>
        <v>0</v>
      </c>
      <c r="L43" s="75">
        <f>-([1]Schedule!$V$1-[1]Schedule!$W$1+[1]Schedule!$X$1)/12</f>
        <v>0</v>
      </c>
      <c r="M43" s="75">
        <f>-([1]Schedule!$V$1-[1]Schedule!$W$1+[1]Schedule!$X$1)/12</f>
        <v>0</v>
      </c>
      <c r="N43" s="75">
        <f>-([1]Schedule!$V$1-[1]Schedule!$W$1+[1]Schedule!$X$1)/12</f>
        <v>0</v>
      </c>
      <c r="O43" s="24"/>
    </row>
    <row r="44" spans="1:15" x14ac:dyDescent="0.15">
      <c r="A44" s="81" t="s">
        <v>0</v>
      </c>
      <c r="B44" s="62">
        <f t="shared" si="4"/>
        <v>0</v>
      </c>
      <c r="C44" s="75">
        <f>([1]Schedule!$I$1)/12</f>
        <v>0</v>
      </c>
      <c r="D44" s="75">
        <f>([1]Schedule!$I$1)/12</f>
        <v>0</v>
      </c>
      <c r="E44" s="75">
        <f>([1]Schedule!$I$1)/12</f>
        <v>0</v>
      </c>
      <c r="F44" s="75">
        <f>([1]Schedule!$I$1)/12</f>
        <v>0</v>
      </c>
      <c r="G44" s="75">
        <f>([1]Schedule!$I$1)/12</f>
        <v>0</v>
      </c>
      <c r="H44" s="75">
        <f>([1]Schedule!$I$1)/12</f>
        <v>0</v>
      </c>
      <c r="I44" s="75">
        <f>([1]Schedule!$I$1)/12</f>
        <v>0</v>
      </c>
      <c r="J44" s="75">
        <f>([1]Schedule!$I$1)/12</f>
        <v>0</v>
      </c>
      <c r="K44" s="75">
        <f>([1]Schedule!$I$1)/12</f>
        <v>0</v>
      </c>
      <c r="L44" s="75">
        <f>([1]Schedule!$I$1)/12</f>
        <v>0</v>
      </c>
      <c r="M44" s="75">
        <f>([1]Schedule!$I$1)/12</f>
        <v>0</v>
      </c>
      <c r="N44" s="75">
        <f>([1]Schedule!$I$1)/12</f>
        <v>0</v>
      </c>
      <c r="O44" s="24"/>
    </row>
    <row r="45" spans="1:15" x14ac:dyDescent="0.15">
      <c r="A45" s="82" t="s">
        <v>57</v>
      </c>
      <c r="B45" s="62">
        <f t="shared" ref="B45:N45" si="5">SUM(B26:B44)</f>
        <v>0</v>
      </c>
      <c r="C45" s="62">
        <f t="shared" si="5"/>
        <v>0</v>
      </c>
      <c r="D45" s="62">
        <f t="shared" si="5"/>
        <v>0</v>
      </c>
      <c r="E45" s="62">
        <f t="shared" si="5"/>
        <v>0</v>
      </c>
      <c r="F45" s="62">
        <f t="shared" si="5"/>
        <v>0</v>
      </c>
      <c r="G45" s="62">
        <f t="shared" si="5"/>
        <v>0</v>
      </c>
      <c r="H45" s="62">
        <f t="shared" si="5"/>
        <v>0</v>
      </c>
      <c r="I45" s="62">
        <f t="shared" si="5"/>
        <v>0</v>
      </c>
      <c r="J45" s="62">
        <f t="shared" si="5"/>
        <v>0</v>
      </c>
      <c r="K45" s="62">
        <f t="shared" si="5"/>
        <v>0</v>
      </c>
      <c r="L45" s="62">
        <f t="shared" si="5"/>
        <v>0</v>
      </c>
      <c r="M45" s="62">
        <f t="shared" si="5"/>
        <v>0</v>
      </c>
      <c r="N45" s="62">
        <f t="shared" si="5"/>
        <v>0</v>
      </c>
      <c r="O45" s="24"/>
    </row>
    <row r="46" spans="1:15" ht="7.5" customHeight="1" x14ac:dyDescent="0.15">
      <c r="A46" s="88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24"/>
    </row>
    <row r="47" spans="1:15" x14ac:dyDescent="0.15">
      <c r="A47" s="82" t="s">
        <v>61</v>
      </c>
      <c r="B47" s="62">
        <f t="shared" ref="B47:N47" si="6">B24-B45</f>
        <v>0</v>
      </c>
      <c r="C47" s="62">
        <f t="shared" si="6"/>
        <v>0</v>
      </c>
      <c r="D47" s="62">
        <f t="shared" si="6"/>
        <v>0</v>
      </c>
      <c r="E47" s="62">
        <f t="shared" si="6"/>
        <v>0</v>
      </c>
      <c r="F47" s="62">
        <f t="shared" si="6"/>
        <v>0</v>
      </c>
      <c r="G47" s="62">
        <f t="shared" si="6"/>
        <v>0</v>
      </c>
      <c r="H47" s="62">
        <f t="shared" si="6"/>
        <v>0</v>
      </c>
      <c r="I47" s="62">
        <f t="shared" si="6"/>
        <v>0</v>
      </c>
      <c r="J47" s="62">
        <f t="shared" si="6"/>
        <v>0</v>
      </c>
      <c r="K47" s="62">
        <f t="shared" si="6"/>
        <v>0</v>
      </c>
      <c r="L47" s="62">
        <f t="shared" si="6"/>
        <v>0</v>
      </c>
      <c r="M47" s="62">
        <f t="shared" si="6"/>
        <v>0</v>
      </c>
      <c r="N47" s="62">
        <f t="shared" si="6"/>
        <v>0</v>
      </c>
      <c r="O47" s="24"/>
    </row>
    <row r="48" spans="1:15" x14ac:dyDescent="0.15">
      <c r="A48" s="81" t="s">
        <v>62</v>
      </c>
      <c r="B48" s="62">
        <f>SUM(C48:N48)</f>
        <v>0</v>
      </c>
      <c r="C48" s="75">
        <f>[4]Apr!$J$1</f>
        <v>0</v>
      </c>
      <c r="D48" s="75">
        <f>[4]May!$J$1</f>
        <v>0</v>
      </c>
      <c r="E48" s="75">
        <f>[4]Jun!$J$1</f>
        <v>0</v>
      </c>
      <c r="F48" s="75">
        <f>[4]Jul!$J$1</f>
        <v>0</v>
      </c>
      <c r="G48" s="75">
        <f>[4]Aug!$J$1</f>
        <v>0</v>
      </c>
      <c r="H48" s="75">
        <f>[4]Sep!$J$1</f>
        <v>0</v>
      </c>
      <c r="I48" s="75">
        <f>[4]Oct!$J$1</f>
        <v>0</v>
      </c>
      <c r="J48" s="75">
        <f>[4]Nov!$J$1</f>
        <v>0</v>
      </c>
      <c r="K48" s="75">
        <f>[4]Dec!$J$1</f>
        <v>0</v>
      </c>
      <c r="L48" s="75">
        <f>[4]Jan!$J$1</f>
        <v>0</v>
      </c>
      <c r="M48" s="75">
        <f>[4]Feb!$J$1</f>
        <v>0</v>
      </c>
      <c r="N48" s="75">
        <f>[4]Mar!$J$1</f>
        <v>0</v>
      </c>
      <c r="O48" s="24"/>
    </row>
    <row r="49" spans="1:15" x14ac:dyDescent="0.15">
      <c r="A49" s="82" t="s">
        <v>63</v>
      </c>
      <c r="B49" s="62">
        <f t="shared" ref="B49:N49" si="7">B47+B48</f>
        <v>0</v>
      </c>
      <c r="C49" s="62">
        <f t="shared" si="7"/>
        <v>0</v>
      </c>
      <c r="D49" s="62">
        <f t="shared" si="7"/>
        <v>0</v>
      </c>
      <c r="E49" s="62">
        <f t="shared" si="7"/>
        <v>0</v>
      </c>
      <c r="F49" s="62">
        <f t="shared" si="7"/>
        <v>0</v>
      </c>
      <c r="G49" s="62">
        <f t="shared" si="7"/>
        <v>0</v>
      </c>
      <c r="H49" s="62">
        <f t="shared" si="7"/>
        <v>0</v>
      </c>
      <c r="I49" s="62">
        <f t="shared" si="7"/>
        <v>0</v>
      </c>
      <c r="J49" s="62">
        <f t="shared" si="7"/>
        <v>0</v>
      </c>
      <c r="K49" s="62">
        <f t="shared" si="7"/>
        <v>0</v>
      </c>
      <c r="L49" s="62">
        <f t="shared" si="7"/>
        <v>0</v>
      </c>
      <c r="M49" s="62">
        <f t="shared" si="7"/>
        <v>0</v>
      </c>
      <c r="N49" s="62">
        <f t="shared" si="7"/>
        <v>0</v>
      </c>
      <c r="O49" s="24"/>
    </row>
    <row r="50" spans="1:15" ht="7.5" customHeight="1" thickBot="1" x14ac:dyDescent="0.2">
      <c r="A50" s="89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29"/>
    </row>
    <row r="51" spans="1:15" x14ac:dyDescent="0.15">
      <c r="A51" s="93" t="s">
        <v>72</v>
      </c>
      <c r="B51" s="9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</row>
    <row r="52" spans="1:15" x14ac:dyDescent="0.15">
      <c r="A52" s="87" t="s">
        <v>65</v>
      </c>
      <c r="B52" s="54">
        <f>SUM(C52:N52)</f>
        <v>0</v>
      </c>
      <c r="C52" s="54">
        <f>[5]Apr!$X$1+[4]Apr!$AB$1</f>
        <v>0</v>
      </c>
      <c r="D52" s="54">
        <f>[5]May!$X$1+[4]May!$AB$1</f>
        <v>0</v>
      </c>
      <c r="E52" s="54">
        <f>[5]Jun!$X$1+[4]Jun!$AB$1</f>
        <v>0</v>
      </c>
      <c r="F52" s="54">
        <f>[5]Jul!$X$1+[4]Jul!$AB$1</f>
        <v>0</v>
      </c>
      <c r="G52" s="54">
        <f>[5]Aug!$X$1+[4]Aug!$AB$1</f>
        <v>0</v>
      </c>
      <c r="H52" s="54">
        <f>[5]Sep!$X$1+[4]Sep!$AB$1</f>
        <v>0</v>
      </c>
      <c r="I52" s="54">
        <f>[5]Oct!$X$1+[4]Oct!$AB$1</f>
        <v>0</v>
      </c>
      <c r="J52" s="54">
        <f>[5]Nov!$X$1+[4]Nov!$AB$1</f>
        <v>0</v>
      </c>
      <c r="K52" s="54">
        <f>[5]Dec!$X$1+[4]Dec!$AB$1</f>
        <v>0</v>
      </c>
      <c r="L52" s="54">
        <f>[5]Jan!$X$1+[4]Jan!$AB$1</f>
        <v>0</v>
      </c>
      <c r="M52" s="54">
        <f>[5]Feb!$X$1+[4]Feb!$AB$1</f>
        <v>0</v>
      </c>
      <c r="N52" s="54">
        <f>[5]Mar!$X$1+[4]Mar!$AB$1</f>
        <v>0</v>
      </c>
      <c r="O52" s="24"/>
    </row>
    <row r="53" spans="1:15" x14ac:dyDescent="0.15">
      <c r="A53" s="87" t="s">
        <v>86</v>
      </c>
      <c r="B53" s="54">
        <f>SUM(C53:N53)</f>
        <v>0</v>
      </c>
      <c r="C53" s="54">
        <f>-[2]Apr!$AB$1</f>
        <v>0</v>
      </c>
      <c r="D53" s="54">
        <f>-[2]May!$AB$1</f>
        <v>0</v>
      </c>
      <c r="E53" s="54">
        <f>-[2]Jun!$AB$1</f>
        <v>0</v>
      </c>
      <c r="F53" s="54">
        <f>-[2]Jul!$AB$1</f>
        <v>0</v>
      </c>
      <c r="G53" s="54">
        <f>-[2]Aug!$AB$1</f>
        <v>0</v>
      </c>
      <c r="H53" s="54">
        <f>-[2]Sep!$AB$1</f>
        <v>0</v>
      </c>
      <c r="I53" s="54">
        <f>-[2]Oct!$AB$1</f>
        <v>0</v>
      </c>
      <c r="J53" s="54">
        <f>-[2]Nov!$AB$1</f>
        <v>0</v>
      </c>
      <c r="K53" s="54">
        <f>-[2]Dec!$AB$1</f>
        <v>0</v>
      </c>
      <c r="L53" s="54">
        <f>-[2]Jan!$AB$1</f>
        <v>0</v>
      </c>
      <c r="M53" s="54">
        <f>-[2]Feb!$AB$1</f>
        <v>0</v>
      </c>
      <c r="N53" s="54">
        <f>-[2]Mar!$AB$1</f>
        <v>0</v>
      </c>
      <c r="O53" s="24"/>
    </row>
    <row r="54" spans="1:15" ht="13" thickBot="1" x14ac:dyDescent="0.2">
      <c r="A54" s="87" t="s">
        <v>71</v>
      </c>
      <c r="B54" s="54">
        <f>SUM(C54:N54)</f>
        <v>0</v>
      </c>
      <c r="C54" s="54">
        <f>IF(C14&gt;0,'Profit Forecast'!C$46/12,0)</f>
        <v>0</v>
      </c>
      <c r="D54" s="54">
        <f>IF(D14&gt;0,'Profit Forecast'!C$46/12,0)</f>
        <v>0</v>
      </c>
      <c r="E54" s="54">
        <f>IF(E14&gt;0,'Profit Forecast'!C$46/12,0)</f>
        <v>0</v>
      </c>
      <c r="F54" s="54">
        <f>IF(F14&gt;0,'Profit Forecast'!C$46/12,0)</f>
        <v>0</v>
      </c>
      <c r="G54" s="54">
        <f>IF(G14&gt;0,'Profit Forecast'!C$46/12,0)</f>
        <v>0</v>
      </c>
      <c r="H54" s="54">
        <f>IF(H14&gt;0,'Profit Forecast'!C$46/12,0)</f>
        <v>0</v>
      </c>
      <c r="I54" s="54">
        <f>IF(I14&gt;0,'Profit Forecast'!C$46/12,0)</f>
        <v>0</v>
      </c>
      <c r="J54" s="54">
        <f>IF(J14&gt;0,'Profit Forecast'!C$46/12,0)</f>
        <v>0</v>
      </c>
      <c r="K54" s="54">
        <f>IF(K14&gt;0,'Profit Forecast'!C$46/12,0)</f>
        <v>0</v>
      </c>
      <c r="L54" s="54">
        <f>IF(L14&gt;0,'Profit Forecast'!C$46/12,0)</f>
        <v>0</v>
      </c>
      <c r="M54" s="54">
        <f>IF(M14&gt;0,'Profit Forecast'!C$46/12,0)</f>
        <v>0</v>
      </c>
      <c r="N54" s="54">
        <f>IF(N14&gt;0,'Profit Forecast'!C$46/12,0)</f>
        <v>0</v>
      </c>
      <c r="O54" s="24"/>
    </row>
    <row r="55" spans="1:15" ht="13" thickBot="1" x14ac:dyDescent="0.2">
      <c r="A55" s="134" t="s">
        <v>85</v>
      </c>
      <c r="B55" s="133">
        <f>SUM(C55:N55)</f>
        <v>0</v>
      </c>
      <c r="C55" s="132">
        <f>C49-C52-C54</f>
        <v>0</v>
      </c>
      <c r="D55" s="60">
        <f t="shared" ref="D55:N55" si="8">D49-D52-D54</f>
        <v>0</v>
      </c>
      <c r="E55" s="60">
        <f t="shared" si="8"/>
        <v>0</v>
      </c>
      <c r="F55" s="60">
        <f t="shared" si="8"/>
        <v>0</v>
      </c>
      <c r="G55" s="60">
        <f t="shared" si="8"/>
        <v>0</v>
      </c>
      <c r="H55" s="60">
        <f t="shared" si="8"/>
        <v>0</v>
      </c>
      <c r="I55" s="60">
        <f t="shared" si="8"/>
        <v>0</v>
      </c>
      <c r="J55" s="60">
        <f t="shared" si="8"/>
        <v>0</v>
      </c>
      <c r="K55" s="60">
        <f t="shared" si="8"/>
        <v>0</v>
      </c>
      <c r="L55" s="60">
        <f t="shared" si="8"/>
        <v>0</v>
      </c>
      <c r="M55" s="60">
        <f t="shared" si="8"/>
        <v>0</v>
      </c>
      <c r="N55" s="60">
        <f t="shared" si="8"/>
        <v>0</v>
      </c>
      <c r="O55" s="24"/>
    </row>
    <row r="56" spans="1:15" x14ac:dyDescent="0.15">
      <c r="A56" s="87" t="s">
        <v>66</v>
      </c>
      <c r="B56" s="54">
        <f>SUM(C56:N56)</f>
        <v>0</v>
      </c>
      <c r="C56" s="54">
        <f>[5]Apr!$J$1+[4]Apr!$L$1</f>
        <v>0</v>
      </c>
      <c r="D56" s="54">
        <f>[5]May!$J$1+[4]May!$L$1</f>
        <v>0</v>
      </c>
      <c r="E56" s="54">
        <f>[5]Jun!$J$1+[4]Jun!$L$1</f>
        <v>0</v>
      </c>
      <c r="F56" s="54">
        <f>[5]Jul!$J$1+[4]Jul!$L$1</f>
        <v>0</v>
      </c>
      <c r="G56" s="54">
        <f>[5]Aug!$J$1+[4]Aug!$L$1</f>
        <v>0</v>
      </c>
      <c r="H56" s="54">
        <f>[5]Sep!$J$1+[4]Sep!$L$1</f>
        <v>0</v>
      </c>
      <c r="I56" s="54">
        <f>[5]Oct!$J$1+[4]Oct!$L$1</f>
        <v>0</v>
      </c>
      <c r="J56" s="54">
        <f>[5]Nov!$J$1+[4]Nov!$L$1</f>
        <v>0</v>
      </c>
      <c r="K56" s="54">
        <f>[5]Dec!$J$1+[4]Dec!$L$1</f>
        <v>0</v>
      </c>
      <c r="L56" s="54">
        <f>[5]Jan!$J$1+[4]Jan!$L$1</f>
        <v>0</v>
      </c>
      <c r="M56" s="54">
        <f>[5]Feb!$J$1+[4]Feb!$L$1</f>
        <v>0</v>
      </c>
      <c r="N56" s="54">
        <f>[5]Mar!$J$1+[4]Mar!$L$1</f>
        <v>0</v>
      </c>
      <c r="O56" s="24"/>
    </row>
    <row r="57" spans="1:15" ht="6" customHeight="1" thickBot="1" x14ac:dyDescent="0.2">
      <c r="A57" s="89"/>
      <c r="B57" s="92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9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>&amp;C&amp;"Arial,Bold"&amp;11Financial accounts for the period
6 April 2017 to 5 April 2018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workbookViewId="0">
      <selection activeCell="D2" sqref="D2:F3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116</v>
      </c>
      <c r="C2" s="143" t="str">
        <f>Admin!L2</f>
        <v>2025-26</v>
      </c>
      <c r="D2" s="392" t="s">
        <v>16</v>
      </c>
      <c r="E2" s="393"/>
      <c r="F2" s="393"/>
      <c r="G2" s="120"/>
    </row>
    <row r="3" spans="1:13" ht="18.75" customHeight="1" x14ac:dyDescent="0.15">
      <c r="A3" s="96"/>
      <c r="B3" s="141"/>
      <c r="C3" s="141"/>
      <c r="D3" s="393"/>
      <c r="E3" s="393"/>
      <c r="F3" s="393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00" t="s">
        <v>87</v>
      </c>
      <c r="C5" s="401"/>
      <c r="D5" s="402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128</v>
      </c>
      <c r="C6" s="108" t="str">
        <f>C2</f>
        <v>2025-26</v>
      </c>
      <c r="D6" s="100"/>
      <c r="E6" s="120">
        <f>IF((E5&gt;0),Admin!N$4,0)</f>
        <v>0</v>
      </c>
      <c r="F6" s="122"/>
      <c r="G6" s="120"/>
      <c r="M6" s="293"/>
    </row>
    <row r="7" spans="1:13" x14ac:dyDescent="0.15">
      <c r="A7" s="96"/>
      <c r="B7" s="403" t="s">
        <v>88</v>
      </c>
      <c r="C7" s="403"/>
      <c r="D7" s="404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118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ht="14" thickBot="1" x14ac:dyDescent="0.2">
      <c r="A9" s="96"/>
      <c r="B9" s="108" t="s">
        <v>117</v>
      </c>
      <c r="C9" s="108">
        <f>Admin!N$12</f>
        <v>37701</v>
      </c>
      <c r="D9" s="144">
        <f>Admin!N$7</f>
        <v>0.4</v>
      </c>
      <c r="E9" s="99">
        <f>IF((E7&gt;C9),((E7-C9)*D9),0)</f>
        <v>0</v>
      </c>
      <c r="F9" s="122"/>
      <c r="G9" s="120"/>
      <c r="M9" s="293"/>
    </row>
    <row r="10" spans="1:13" ht="14" thickBot="1" x14ac:dyDescent="0.2">
      <c r="A10" s="96"/>
      <c r="B10" s="114" t="s">
        <v>90</v>
      </c>
      <c r="C10" s="139"/>
      <c r="D10" s="136"/>
      <c r="E10" s="292">
        <f>SUM(E8:E9)</f>
        <v>0</v>
      </c>
      <c r="F10" s="122"/>
      <c r="G10" s="120"/>
      <c r="M10" s="293"/>
    </row>
    <row r="11" spans="1:13" x14ac:dyDescent="0.15">
      <c r="A11" s="96"/>
      <c r="B11" s="108" t="s">
        <v>4</v>
      </c>
      <c r="C11" s="108"/>
      <c r="D11" s="101"/>
      <c r="E11" s="99">
        <f>-[2]Mar!$AC$1</f>
        <v>0</v>
      </c>
      <c r="F11" s="123"/>
      <c r="G11" s="121"/>
      <c r="M11" s="293"/>
    </row>
    <row r="12" spans="1:13" x14ac:dyDescent="0.15">
      <c r="A12" s="96"/>
      <c r="B12" s="108"/>
      <c r="C12" s="108"/>
      <c r="D12" s="101"/>
      <c r="E12" s="99"/>
      <c r="F12" s="123"/>
      <c r="G12" s="121"/>
      <c r="M12" s="293"/>
    </row>
    <row r="13" spans="1:13" x14ac:dyDescent="0.15">
      <c r="A13" s="96"/>
      <c r="B13" s="155" t="s">
        <v>119</v>
      </c>
      <c r="C13" s="405">
        <f>Admin!B21</f>
        <v>46418</v>
      </c>
      <c r="D13" s="406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07" t="s">
        <v>127</v>
      </c>
      <c r="C15" s="408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07" t="s">
        <v>126</v>
      </c>
      <c r="C16" s="408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09" t="s">
        <v>89</v>
      </c>
      <c r="C18" s="408"/>
      <c r="D18" s="103"/>
      <c r="E18" s="292">
        <f>SUM(E10:E17)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394" t="s">
        <v>5</v>
      </c>
      <c r="E21" s="395"/>
      <c r="F21" s="396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397" t="s">
        <v>13</v>
      </c>
      <c r="E23" s="399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398"/>
      <c r="E24" s="398"/>
      <c r="F24" s="124"/>
      <c r="G24" s="120"/>
    </row>
    <row r="25" spans="1:13" x14ac:dyDescent="0.15">
      <c r="A25" s="96"/>
      <c r="B25" s="108" t="s">
        <v>120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125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67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10" t="s">
        <v>28</v>
      </c>
      <c r="C3" s="411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12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13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13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13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12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13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13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13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12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13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13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B2" sqref="B2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14" t="s">
        <v>31</v>
      </c>
      <c r="I1" s="415"/>
      <c r="J1" s="415"/>
      <c r="K1" s="415"/>
      <c r="L1" s="416"/>
      <c r="M1" s="32"/>
      <c r="N1" s="414" t="s">
        <v>31</v>
      </c>
      <c r="O1" s="415"/>
      <c r="P1" s="415"/>
      <c r="Q1" s="415"/>
      <c r="R1" s="416"/>
      <c r="S1" s="32"/>
      <c r="T1" s="414" t="s">
        <v>31</v>
      </c>
      <c r="U1" s="415"/>
      <c r="V1" s="415"/>
      <c r="W1" s="415"/>
      <c r="X1" s="416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17" t="s">
        <v>44</v>
      </c>
      <c r="AE2" s="418"/>
      <c r="AF2" s="418"/>
      <c r="AG2" s="419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20" t="s">
        <v>393</v>
      </c>
      <c r="AE3" s="423"/>
      <c r="AF3" s="423"/>
      <c r="AG3" s="423"/>
      <c r="AH3" s="24"/>
    </row>
    <row r="4" spans="1:34" ht="13" x14ac:dyDescent="0.15">
      <c r="A4" s="20"/>
      <c r="B4" s="424" t="s">
        <v>45</v>
      </c>
      <c r="C4" s="425"/>
      <c r="D4" s="425"/>
      <c r="E4" s="426"/>
      <c r="F4" s="426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22"/>
      <c r="AE4" s="423"/>
      <c r="AF4" s="423"/>
      <c r="AG4" s="423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22"/>
      <c r="AE5" s="423"/>
      <c r="AF5" s="423"/>
      <c r="AG5" s="423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22"/>
      <c r="AE6" s="423"/>
      <c r="AF6" s="423"/>
      <c r="AG6" s="423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22"/>
      <c r="AE7" s="423"/>
      <c r="AF7" s="423"/>
      <c r="AG7" s="423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22"/>
      <c r="AE8" s="423"/>
      <c r="AF8" s="423"/>
      <c r="AG8" s="423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22"/>
      <c r="AE9" s="423"/>
      <c r="AF9" s="423"/>
      <c r="AG9" s="423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20" t="s">
        <v>46</v>
      </c>
      <c r="AE11" s="423"/>
      <c r="AF11" s="423"/>
      <c r="AG11" s="423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22"/>
      <c r="AE12" s="423"/>
      <c r="AF12" s="423"/>
      <c r="AG12" s="423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22"/>
      <c r="AE13" s="423"/>
      <c r="AF13" s="423"/>
      <c r="AG13" s="423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20" t="s">
        <v>394</v>
      </c>
      <c r="AE15" s="421"/>
      <c r="AF15" s="421"/>
      <c r="AG15" s="421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20"/>
      <c r="AE16" s="421"/>
      <c r="AF16" s="421"/>
      <c r="AG16" s="421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20"/>
      <c r="AE17" s="421"/>
      <c r="AF17" s="421"/>
      <c r="AG17" s="421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20" t="s">
        <v>47</v>
      </c>
      <c r="AE19" s="421"/>
      <c r="AF19" s="421"/>
      <c r="AG19" s="421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20"/>
      <c r="AE20" s="421"/>
      <c r="AF20" s="421"/>
      <c r="AG20" s="421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20"/>
      <c r="AE21" s="421"/>
      <c r="AF21" s="421"/>
      <c r="AG21" s="421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20" t="s">
        <v>48</v>
      </c>
      <c r="AE23" s="421"/>
      <c r="AF23" s="421"/>
      <c r="AG23" s="421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20"/>
      <c r="AE24" s="421"/>
      <c r="AF24" s="421"/>
      <c r="AG24" s="421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20"/>
      <c r="AE25" s="421"/>
      <c r="AF25" s="421"/>
      <c r="AG25" s="421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22"/>
      <c r="AE26" s="423"/>
      <c r="AF26" s="423"/>
      <c r="AG26" s="423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IF((H$4+N$4+T$4)=0,0,[3]Feb!$P$1)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20" t="s">
        <v>49</v>
      </c>
      <c r="AE28" s="421"/>
      <c r="AF28" s="421"/>
      <c r="AG28" s="421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20"/>
      <c r="AE29" s="421"/>
      <c r="AF29" s="421"/>
      <c r="AG29" s="421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22"/>
      <c r="AE30" s="423"/>
      <c r="AF30" s="423"/>
      <c r="AG30" s="423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27" t="s">
        <v>132</v>
      </c>
      <c r="C2" s="157" t="s">
        <v>129</v>
      </c>
      <c r="D2" s="388">
        <f>Admin!B5</f>
        <v>45777</v>
      </c>
      <c r="E2" s="387">
        <f>Admin!B6</f>
        <v>45808</v>
      </c>
      <c r="F2" s="387">
        <f>Admin!B7</f>
        <v>45838</v>
      </c>
      <c r="G2" s="387">
        <f>Admin!B8</f>
        <v>45869</v>
      </c>
      <c r="H2" s="387">
        <f>Admin!B9</f>
        <v>45900</v>
      </c>
      <c r="I2" s="387">
        <f>Admin!B10</f>
        <v>45930</v>
      </c>
      <c r="J2" s="387">
        <f>Admin!B11</f>
        <v>45961</v>
      </c>
      <c r="K2" s="387">
        <f>Admin!B12</f>
        <v>45991</v>
      </c>
      <c r="L2" s="387">
        <f>Admin!B13</f>
        <v>46022</v>
      </c>
      <c r="M2" s="387">
        <f>Admin!B14</f>
        <v>46053</v>
      </c>
      <c r="N2" s="387">
        <f>Admin!B15</f>
        <v>46081</v>
      </c>
      <c r="O2" s="387">
        <f>Admin!B16</f>
        <v>46112</v>
      </c>
      <c r="P2" s="23"/>
    </row>
    <row r="3" spans="1:16" ht="12" customHeight="1" x14ac:dyDescent="0.15">
      <c r="A3" s="23"/>
      <c r="B3" s="428"/>
      <c r="C3" s="158">
        <f>Admin!B$17</f>
        <v>46117</v>
      </c>
      <c r="D3" s="389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23"/>
    </row>
    <row r="4" spans="1:16" ht="13" thickBot="1" x14ac:dyDescent="0.2">
      <c r="A4" s="23"/>
      <c r="B4" s="429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Account'!C14</f>
        <v>0</v>
      </c>
      <c r="E5" s="62">
        <f>'Profit &amp; Loss Account'!D14</f>
        <v>0</v>
      </c>
      <c r="F5" s="62">
        <f>'Profit &amp; Loss Account'!E14</f>
        <v>0</v>
      </c>
      <c r="G5" s="62">
        <f>'Profit &amp; Loss Account'!F14</f>
        <v>0</v>
      </c>
      <c r="H5" s="62">
        <f>'Profit &amp; Loss Account'!G14</f>
        <v>0</v>
      </c>
      <c r="I5" s="62">
        <f>'Profit &amp; Loss Account'!H14</f>
        <v>0</v>
      </c>
      <c r="J5" s="62">
        <f>'Profit &amp; Loss Account'!I14</f>
        <v>0</v>
      </c>
      <c r="K5" s="62">
        <f>'Profit &amp; Loss Account'!J14</f>
        <v>0</v>
      </c>
      <c r="L5" s="62">
        <f>'Profit &amp; Loss Account'!K14</f>
        <v>0</v>
      </c>
      <c r="M5" s="62">
        <f>'Profit &amp; Loss Account'!L14</f>
        <v>0</v>
      </c>
      <c r="N5" s="62">
        <f>'Profit &amp; Loss Account'!M14</f>
        <v>0</v>
      </c>
      <c r="O5" s="62">
        <f>'Profit &amp; Loss Account'!N14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73</v>
      </c>
      <c r="C7" s="62">
        <f>SUM(D7:O7)</f>
        <v>0</v>
      </c>
      <c r="D7" s="75">
        <f>'Profit &amp; Loss Account'!C16</f>
        <v>0</v>
      </c>
      <c r="E7" s="75">
        <f>'Profit &amp; Loss Account'!D16</f>
        <v>0</v>
      </c>
      <c r="F7" s="75">
        <f>'Profit &amp; Loss Account'!E16</f>
        <v>0</v>
      </c>
      <c r="G7" s="75">
        <f>'Profit &amp; Loss Account'!F16</f>
        <v>0</v>
      </c>
      <c r="H7" s="75">
        <f>'Profit &amp; Loss Account'!G16</f>
        <v>0</v>
      </c>
      <c r="I7" s="75">
        <f>'Profit &amp; Loss Account'!H16</f>
        <v>0</v>
      </c>
      <c r="J7" s="75">
        <f>'Profit &amp; Loss Account'!I16</f>
        <v>0</v>
      </c>
      <c r="K7" s="75">
        <f>'Profit &amp; Loss Account'!J16</f>
        <v>0</v>
      </c>
      <c r="L7" s="75">
        <f>'Profit &amp; Loss Account'!K16</f>
        <v>0</v>
      </c>
      <c r="M7" s="75">
        <f>'Profit &amp; Loss Account'!L16</f>
        <v>0</v>
      </c>
      <c r="N7" s="75">
        <f>'Profit &amp; Loss Account'!M16</f>
        <v>0</v>
      </c>
      <c r="O7" s="75">
        <f>'Profit &amp; Loss Account'!N16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54</v>
      </c>
      <c r="C9" s="62">
        <f>SUM(D9:O9)</f>
        <v>0</v>
      </c>
      <c r="D9" s="62">
        <f>'Profit &amp; Loss Account'!C22</f>
        <v>0</v>
      </c>
      <c r="E9" s="62">
        <f>'Profit &amp; Loss Account'!D22</f>
        <v>0</v>
      </c>
      <c r="F9" s="62">
        <f>'Profit &amp; Loss Account'!E22</f>
        <v>0</v>
      </c>
      <c r="G9" s="62">
        <f>'Profit &amp; Loss Account'!F22</f>
        <v>0</v>
      </c>
      <c r="H9" s="62">
        <f>'Profit &amp; Loss Account'!G22</f>
        <v>0</v>
      </c>
      <c r="I9" s="62">
        <f>'Profit &amp; Loss Account'!H22</f>
        <v>0</v>
      </c>
      <c r="J9" s="62">
        <f>'Profit &amp; Loss Account'!I22</f>
        <v>0</v>
      </c>
      <c r="K9" s="62">
        <f>'Profit &amp; Loss Account'!J22</f>
        <v>0</v>
      </c>
      <c r="L9" s="62">
        <f>'Profit &amp; Loss Account'!K22</f>
        <v>0</v>
      </c>
      <c r="M9" s="62">
        <f>'Profit &amp; Loss Account'!L22</f>
        <v>0</v>
      </c>
      <c r="N9" s="62">
        <f>'Profit &amp; Loss Account'!M22</f>
        <v>0</v>
      </c>
      <c r="O9" s="62">
        <f>'Profit &amp; Loss Account'!N22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74</v>
      </c>
      <c r="C13" s="62">
        <f>SUM(D13:O13)</f>
        <v>0</v>
      </c>
      <c r="D13" s="62">
        <f>'Profit &amp; Loss Account'!C45</f>
        <v>0</v>
      </c>
      <c r="E13" s="62">
        <f>'Profit &amp; Loss Account'!D45</f>
        <v>0</v>
      </c>
      <c r="F13" s="62">
        <f>'Profit &amp; Loss Account'!E45</f>
        <v>0</v>
      </c>
      <c r="G13" s="62">
        <f>'Profit &amp; Loss Account'!F45</f>
        <v>0</v>
      </c>
      <c r="H13" s="62">
        <f>'Profit &amp; Loss Account'!G45</f>
        <v>0</v>
      </c>
      <c r="I13" s="62">
        <f>'Profit &amp; Loss Account'!H45</f>
        <v>0</v>
      </c>
      <c r="J13" s="62">
        <f>'Profit &amp; Loss Account'!I45</f>
        <v>0</v>
      </c>
      <c r="K13" s="62">
        <f>'Profit &amp; Loss Account'!J45</f>
        <v>0</v>
      </c>
      <c r="L13" s="62">
        <f>'Profit &amp; Loss Account'!K45</f>
        <v>0</v>
      </c>
      <c r="M13" s="62">
        <f>'Profit &amp; Loss Account'!L45</f>
        <v>0</v>
      </c>
      <c r="N13" s="62">
        <f>'Profit &amp; Loss Account'!M45</f>
        <v>0</v>
      </c>
      <c r="O13" s="62">
        <f>'Profit &amp; Loss Account'!N45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61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62</v>
      </c>
      <c r="C16" s="62">
        <f>SUM(D16:O16)</f>
        <v>0</v>
      </c>
      <c r="D16" s="75">
        <f>'Profit &amp; Loss Account'!C48</f>
        <v>0</v>
      </c>
      <c r="E16" s="75">
        <f>'Profit &amp; Loss Account'!D48</f>
        <v>0</v>
      </c>
      <c r="F16" s="75">
        <f>'Profit &amp; Loss Account'!E48</f>
        <v>0</v>
      </c>
      <c r="G16" s="75">
        <f>'Profit &amp; Loss Account'!F48</f>
        <v>0</v>
      </c>
      <c r="H16" s="75">
        <f>'Profit &amp; Loss Account'!G48</f>
        <v>0</v>
      </c>
      <c r="I16" s="75">
        <f>'Profit &amp; Loss Account'!H48</f>
        <v>0</v>
      </c>
      <c r="J16" s="75">
        <f>'Profit &amp; Loss Account'!I48</f>
        <v>0</v>
      </c>
      <c r="K16" s="75">
        <f>'Profit &amp; Loss Account'!J48</f>
        <v>0</v>
      </c>
      <c r="L16" s="75">
        <f>'Profit &amp; Loss Account'!K48</f>
        <v>0</v>
      </c>
      <c r="M16" s="75">
        <f>'Profit &amp; Loss Account'!L48</f>
        <v>0</v>
      </c>
      <c r="N16" s="75">
        <f>'Profit &amp; Loss Account'!M48</f>
        <v>0</v>
      </c>
      <c r="O16" s="75">
        <f>'Profit &amp; Loss Account'!N48</f>
        <v>0</v>
      </c>
      <c r="P16" s="23"/>
    </row>
    <row r="17" spans="1:16" x14ac:dyDescent="0.15">
      <c r="A17" s="23"/>
      <c r="B17" s="130" t="s">
        <v>63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30" t="s">
        <v>133</v>
      </c>
      <c r="C19" s="157" t="s">
        <v>129</v>
      </c>
      <c r="D19" s="388">
        <f t="shared" ref="D19:O19" si="3">D2</f>
        <v>45777</v>
      </c>
      <c r="E19" s="388">
        <f t="shared" si="3"/>
        <v>45808</v>
      </c>
      <c r="F19" s="388">
        <f t="shared" si="3"/>
        <v>45838</v>
      </c>
      <c r="G19" s="388">
        <f t="shared" si="3"/>
        <v>45869</v>
      </c>
      <c r="H19" s="388">
        <f t="shared" si="3"/>
        <v>45900</v>
      </c>
      <c r="I19" s="388">
        <f t="shared" si="3"/>
        <v>45930</v>
      </c>
      <c r="J19" s="388">
        <f t="shared" si="3"/>
        <v>45961</v>
      </c>
      <c r="K19" s="388">
        <f t="shared" si="3"/>
        <v>45991</v>
      </c>
      <c r="L19" s="388">
        <f t="shared" si="3"/>
        <v>46022</v>
      </c>
      <c r="M19" s="388">
        <f t="shared" si="3"/>
        <v>46053</v>
      </c>
      <c r="N19" s="388">
        <f t="shared" si="3"/>
        <v>46081</v>
      </c>
      <c r="O19" s="388">
        <f t="shared" si="3"/>
        <v>46112</v>
      </c>
      <c r="P19" s="23"/>
    </row>
    <row r="20" spans="1:16" ht="12" customHeight="1" x14ac:dyDescent="0.15">
      <c r="A20" s="23"/>
      <c r="B20" s="431"/>
      <c r="C20" s="158">
        <f>Admin!B$17</f>
        <v>46117</v>
      </c>
      <c r="D20" s="432"/>
      <c r="E20" s="432"/>
      <c r="F20" s="432"/>
      <c r="G20" s="432"/>
      <c r="H20" s="432"/>
      <c r="I20" s="432"/>
      <c r="J20" s="432"/>
      <c r="K20" s="432"/>
      <c r="L20" s="432"/>
      <c r="M20" s="432"/>
      <c r="N20" s="432"/>
      <c r="O20" s="432"/>
      <c r="P20" s="23"/>
    </row>
    <row r="21" spans="1:16" ht="13" thickBot="1" x14ac:dyDescent="0.2">
      <c r="A21" s="23"/>
      <c r="B21" s="429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73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54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74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61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62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63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33" t="s">
        <v>84</v>
      </c>
      <c r="C36" s="434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76</v>
      </c>
      <c r="C37" s="128">
        <f>'Profit &amp; Loss Account'!B43+'Profit &amp; Loss Account'!B44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75</v>
      </c>
      <c r="C38" s="128">
        <f>[1]Schedule!$Q$1+[1]Schedule!$R$1+[1]Schedule!$Y$1-[1]Schedule!$Z$1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77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78</v>
      </c>
      <c r="C40" s="128">
        <f>Admin!N$4</f>
        <v>12570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79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80</v>
      </c>
      <c r="C42" s="128">
        <f>IF((C41&gt;0),(IF((C41&lt;Admin!N$12),C41*Admin!N$6,Admin!N$12*Admin!N$6)),0)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81</v>
      </c>
      <c r="C43" s="128">
        <f>IF((C41&gt;Admin!N$12),((C41-Admin!N$12)*Admin!N$7),0)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s">
        <v>82</v>
      </c>
      <c r="C44" s="128">
        <f>IF((C41&gt;0),IF(C41&gt;Admin!N12,Admin!N12*Admin!L20+(C41-Admin!N12)*Admin!L23,C41*Admin!L$20),0)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6" customHeight="1" x14ac:dyDescent="0.15">
      <c r="A45" s="23"/>
      <c r="B45" s="87"/>
      <c r="C45" s="12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83</v>
      </c>
      <c r="C46" s="131">
        <f>C42+C43+C44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 year to 050409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3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91</v>
      </c>
      <c r="C1" s="147"/>
      <c r="D1" s="439"/>
      <c r="E1" s="439"/>
      <c r="F1" s="439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45716</v>
      </c>
      <c r="C2" s="147"/>
      <c r="D2" s="435" t="s">
        <v>92</v>
      </c>
      <c r="E2" s="435"/>
      <c r="F2" s="435"/>
      <c r="G2" s="287" t="str">
        <f>B23</f>
        <v>2025-26</v>
      </c>
      <c r="H2" s="147"/>
      <c r="I2" s="147"/>
      <c r="J2" s="440" t="s">
        <v>109</v>
      </c>
      <c r="K2" s="440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45747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45753</v>
      </c>
      <c r="C4" s="147"/>
      <c r="D4" s="436" t="s">
        <v>339</v>
      </c>
      <c r="E4" s="436"/>
      <c r="F4" s="436"/>
      <c r="G4" s="148">
        <v>1</v>
      </c>
      <c r="H4" s="147"/>
      <c r="I4" s="436" t="s">
        <v>110</v>
      </c>
      <c r="J4" s="436"/>
      <c r="K4" s="436"/>
      <c r="L4" s="436"/>
      <c r="M4" s="436"/>
      <c r="N4" s="145">
        <v>12570</v>
      </c>
      <c r="O4" s="146" t="s">
        <v>51</v>
      </c>
    </row>
    <row r="5" spans="1:15" ht="12" customHeight="1" x14ac:dyDescent="0.15">
      <c r="A5" s="147"/>
      <c r="B5" s="164">
        <v>45777</v>
      </c>
      <c r="C5" s="147"/>
      <c r="D5" s="436" t="s">
        <v>93</v>
      </c>
      <c r="E5" s="436"/>
      <c r="F5" s="436"/>
      <c r="G5" s="148">
        <v>0.18</v>
      </c>
      <c r="H5" s="147"/>
      <c r="I5" s="147"/>
      <c r="J5" s="147"/>
      <c r="K5" s="147"/>
      <c r="L5" s="147"/>
      <c r="M5" s="147"/>
      <c r="N5" s="146"/>
      <c r="O5" s="146"/>
    </row>
    <row r="6" spans="1:15" ht="12" customHeight="1" x14ac:dyDescent="0.15">
      <c r="A6" s="147"/>
      <c r="B6" s="164">
        <v>45808</v>
      </c>
      <c r="C6" s="147"/>
      <c r="D6" s="147"/>
      <c r="E6" s="147"/>
      <c r="F6" s="147"/>
      <c r="G6" s="146"/>
      <c r="H6" s="147"/>
      <c r="I6" s="436" t="s">
        <v>130</v>
      </c>
      <c r="J6" s="436"/>
      <c r="K6" s="436"/>
      <c r="L6" s="436"/>
      <c r="M6" s="436"/>
      <c r="N6" s="148">
        <v>0.2</v>
      </c>
      <c r="O6" s="146" t="s">
        <v>105</v>
      </c>
    </row>
    <row r="7" spans="1:15" ht="12" customHeight="1" x14ac:dyDescent="0.15">
      <c r="A7" s="147"/>
      <c r="B7" s="164">
        <v>45838</v>
      </c>
      <c r="C7" s="147"/>
      <c r="D7" s="436" t="s">
        <v>100</v>
      </c>
      <c r="E7" s="436"/>
      <c r="F7" s="436"/>
      <c r="G7" s="146"/>
      <c r="H7" s="147"/>
      <c r="I7" s="436" t="s">
        <v>131</v>
      </c>
      <c r="J7" s="436"/>
      <c r="K7" s="436"/>
      <c r="L7" s="436"/>
      <c r="M7" s="436"/>
      <c r="N7" s="148">
        <v>0.4</v>
      </c>
      <c r="O7" s="146" t="s">
        <v>105</v>
      </c>
    </row>
    <row r="8" spans="1:15" ht="12" customHeight="1" x14ac:dyDescent="0.15">
      <c r="A8" s="147"/>
      <c r="B8" s="164">
        <v>45869</v>
      </c>
      <c r="C8" s="147"/>
      <c r="D8" s="147" t="s">
        <v>101</v>
      </c>
      <c r="E8" s="152">
        <v>12000</v>
      </c>
      <c r="F8" s="147" t="s">
        <v>102</v>
      </c>
      <c r="G8" s="152">
        <v>3000</v>
      </c>
      <c r="H8" s="147"/>
      <c r="I8" s="147"/>
      <c r="J8" s="147"/>
      <c r="K8" s="147"/>
      <c r="L8" s="147"/>
      <c r="M8" s="147"/>
      <c r="N8" s="146"/>
      <c r="O8" s="146"/>
    </row>
    <row r="9" spans="1:15" ht="12" customHeight="1" x14ac:dyDescent="0.15">
      <c r="A9" s="147"/>
      <c r="B9" s="164">
        <v>45900</v>
      </c>
      <c r="C9" s="147"/>
      <c r="D9" s="147"/>
      <c r="E9" s="146"/>
      <c r="F9" s="147"/>
      <c r="G9" s="146"/>
      <c r="H9" s="147"/>
      <c r="I9" s="436" t="s">
        <v>111</v>
      </c>
      <c r="J9" s="441"/>
      <c r="K9" s="441"/>
      <c r="L9" s="149" t="s">
        <v>112</v>
      </c>
      <c r="M9" s="149" t="s">
        <v>113</v>
      </c>
      <c r="N9" s="150" t="s">
        <v>134</v>
      </c>
      <c r="O9" s="146"/>
    </row>
    <row r="10" spans="1:15" ht="12" customHeight="1" x14ac:dyDescent="0.15">
      <c r="A10" s="147"/>
      <c r="B10" s="164">
        <v>45930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45961</v>
      </c>
      <c r="C11" s="147"/>
      <c r="D11" s="435" t="s">
        <v>94</v>
      </c>
      <c r="E11" s="435"/>
      <c r="F11" s="435"/>
      <c r="G11" s="146" t="s">
        <v>105</v>
      </c>
      <c r="H11" s="147"/>
      <c r="I11" s="147" t="s">
        <v>114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45991</v>
      </c>
      <c r="C12" s="147"/>
      <c r="D12" s="147"/>
      <c r="E12" s="147"/>
      <c r="F12" s="147"/>
      <c r="G12" s="146"/>
      <c r="H12" s="147"/>
      <c r="I12" s="147" t="s">
        <v>115</v>
      </c>
      <c r="J12" s="147"/>
      <c r="K12" s="151">
        <v>0.4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46022</v>
      </c>
      <c r="C13" s="147"/>
      <c r="D13" s="436" t="s">
        <v>95</v>
      </c>
      <c r="E13" s="436"/>
      <c r="F13" s="436"/>
      <c r="G13" s="148">
        <v>0</v>
      </c>
      <c r="H13" s="147"/>
      <c r="I13" s="147"/>
      <c r="J13" s="147"/>
      <c r="K13" s="147"/>
      <c r="L13" s="147"/>
      <c r="M13" s="147"/>
      <c r="N13" s="147"/>
      <c r="O13" s="147"/>
    </row>
    <row r="14" spans="1:15" ht="12" customHeight="1" x14ac:dyDescent="0.15">
      <c r="A14" s="147"/>
      <c r="B14" s="164">
        <v>46053</v>
      </c>
      <c r="C14" s="147"/>
      <c r="D14" s="436" t="s">
        <v>96</v>
      </c>
      <c r="E14" s="436"/>
      <c r="F14" s="436"/>
      <c r="G14" s="148">
        <v>0.1</v>
      </c>
      <c r="H14" s="147"/>
      <c r="I14" s="442" t="s">
        <v>121</v>
      </c>
      <c r="J14" s="442"/>
      <c r="K14" s="442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46081</v>
      </c>
      <c r="C15" s="147"/>
      <c r="D15" s="436" t="s">
        <v>97</v>
      </c>
      <c r="E15" s="436"/>
      <c r="F15" s="436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46112</v>
      </c>
      <c r="C16" s="147"/>
      <c r="D16" s="436" t="s">
        <v>98</v>
      </c>
      <c r="E16" s="436"/>
      <c r="F16" s="436"/>
      <c r="G16" s="148">
        <v>0.33</v>
      </c>
      <c r="H16" s="147"/>
      <c r="I16" s="436" t="s">
        <v>122</v>
      </c>
      <c r="J16" s="436"/>
      <c r="K16" s="436"/>
      <c r="L16" s="168">
        <v>0</v>
      </c>
      <c r="M16" s="147"/>
      <c r="N16" s="147"/>
      <c r="O16" s="147"/>
    </row>
    <row r="17" spans="1:15" ht="12" customHeight="1" thickBot="1" x14ac:dyDescent="0.2">
      <c r="A17" s="147"/>
      <c r="B17" s="175">
        <v>46117</v>
      </c>
      <c r="C17" s="147"/>
      <c r="D17" s="436" t="s">
        <v>99</v>
      </c>
      <c r="E17" s="436"/>
      <c r="F17" s="436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46142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46173</v>
      </c>
      <c r="C19" s="147"/>
      <c r="D19" s="435" t="s">
        <v>103</v>
      </c>
      <c r="E19" s="435"/>
      <c r="F19" s="146" t="s">
        <v>108</v>
      </c>
      <c r="G19" s="146" t="s">
        <v>104</v>
      </c>
      <c r="H19" s="147"/>
      <c r="I19" s="438" t="s">
        <v>123</v>
      </c>
      <c r="J19" s="438"/>
      <c r="K19" s="438"/>
      <c r="L19" s="147"/>
      <c r="M19" s="437" t="s">
        <v>389</v>
      </c>
      <c r="N19" s="147"/>
      <c r="O19" s="147"/>
    </row>
    <row r="20" spans="1:15" ht="12" customHeight="1" x14ac:dyDescent="0.15">
      <c r="A20" s="147"/>
      <c r="B20" s="164">
        <v>46203</v>
      </c>
      <c r="C20" s="147"/>
      <c r="D20" s="162"/>
      <c r="E20" s="162"/>
      <c r="F20" s="146"/>
      <c r="G20" s="146"/>
      <c r="H20" s="147"/>
      <c r="I20" s="438"/>
      <c r="J20" s="438"/>
      <c r="K20" s="438"/>
      <c r="L20" s="294">
        <v>0.06</v>
      </c>
      <c r="M20" s="437"/>
      <c r="N20" s="152">
        <v>12570</v>
      </c>
      <c r="O20" s="146" t="s">
        <v>51</v>
      </c>
    </row>
    <row r="21" spans="1:15" ht="12" customHeight="1" x14ac:dyDescent="0.15">
      <c r="A21" s="147"/>
      <c r="B21" s="164">
        <v>46418</v>
      </c>
      <c r="C21" s="147"/>
      <c r="D21" s="436" t="s">
        <v>106</v>
      </c>
      <c r="E21" s="436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46599</v>
      </c>
      <c r="C22" s="147"/>
      <c r="D22" s="147" t="s">
        <v>107</v>
      </c>
      <c r="E22" s="147"/>
      <c r="F22" s="152">
        <v>10001</v>
      </c>
      <c r="G22" s="168">
        <v>0.25</v>
      </c>
      <c r="H22" s="147"/>
      <c r="I22" s="438" t="s">
        <v>124</v>
      </c>
      <c r="J22" s="438"/>
      <c r="K22" s="438"/>
      <c r="L22" s="147"/>
      <c r="M22" s="437" t="s">
        <v>390</v>
      </c>
      <c r="N22" s="147"/>
      <c r="O22" s="147"/>
    </row>
    <row r="23" spans="1:15" ht="12" customHeight="1" thickBot="1" x14ac:dyDescent="0.2">
      <c r="A23" s="147"/>
      <c r="B23" s="175" t="s">
        <v>396</v>
      </c>
      <c r="C23" s="147"/>
      <c r="D23" s="147"/>
      <c r="E23" s="147"/>
      <c r="F23" s="146"/>
      <c r="G23" s="170"/>
      <c r="H23" s="147"/>
      <c r="I23" s="438"/>
      <c r="J23" s="438"/>
      <c r="K23" s="438"/>
      <c r="L23" s="294">
        <v>0.02</v>
      </c>
      <c r="M23" s="437"/>
      <c r="N23" s="152">
        <v>50270</v>
      </c>
      <c r="O23" s="146" t="s">
        <v>51</v>
      </c>
    </row>
    <row r="24" spans="1:15" ht="12" customHeight="1" thickBot="1" x14ac:dyDescent="0.2">
      <c r="A24" s="147"/>
      <c r="B24" s="175" t="s">
        <v>397</v>
      </c>
      <c r="C24" s="147"/>
      <c r="D24" s="435" t="s">
        <v>103</v>
      </c>
      <c r="E24" s="435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71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36" t="s">
        <v>391</v>
      </c>
      <c r="E26" s="436"/>
      <c r="F26" s="152">
        <v>90000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392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6"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Business Details</vt:lpstr>
      <vt:lpstr>SE Short</vt:lpstr>
      <vt:lpstr>SE Full</vt:lpstr>
      <vt:lpstr>Profit &amp; Loss Account</vt:lpstr>
      <vt:lpstr>Income Tax</vt:lpstr>
      <vt:lpstr>Wagesinterface</vt:lpstr>
      <vt:lpstr>StockControl</vt:lpstr>
      <vt:lpstr>Profit Forecast</vt:lpstr>
      <vt:lpstr>Admin</vt:lpstr>
      <vt:lpstr>'Profit &amp; Loss Account'!Print_Titles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Terry Cartwright</dc:creator>
  <cp:lastModifiedBy>Cartwright, Antony</cp:lastModifiedBy>
  <cp:lastPrinted>2008-06-02T20:53:06Z</cp:lastPrinted>
  <dcterms:created xsi:type="dcterms:W3CDTF">2002-12-30T15:31:19Z</dcterms:created>
  <dcterms:modified xsi:type="dcterms:W3CDTF">2025-06-16T23:16:28Z</dcterms:modified>
</cp:coreProperties>
</file>